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실적(종목별)" sheetId="1" state="visible" r:id="rId1"/>
    <sheet xmlns:r="http://schemas.openxmlformats.org/officeDocument/2006/relationships" name="수주잔고" sheetId="2" state="visible" r:id="rId2"/>
  </sheets>
  <definedNames>
    <definedName name="_xlnm._FilterDatabase" localSheetId="0" hidden="1">'실적(종목별)'!$A$1:$AP$2667</definedName>
    <definedName name="_xlnm._FilterDatabase" localSheetId="1" hidden="1">'수주잔고'!$A$1:$V$921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[Green]#,##0.0&quot;%&quot;;[Red]-#,##0.0&quot;%&quot;;0.0&quot;%&quot;"/>
    <numFmt numFmtId="166" formatCode="#,##0.0;[Red]-#,##0.0"/>
  </numFmts>
  <fonts count="5">
    <font>
      <name val="Calibri"/>
      <family val="2"/>
      <color theme="1"/>
      <sz val="11"/>
      <scheme val="minor"/>
    </font>
    <font>
      <b val="1"/>
    </font>
    <font>
      <name val="맑은 고딕"/>
      <b val="1"/>
      <color rgb="00FFFFFF"/>
      <sz val="10"/>
    </font>
    <font>
      <name val="맑은 고딕"/>
      <color rgb="002B3440"/>
      <sz val="10"/>
    </font>
    <font>
      <name val="맑은 고딕"/>
      <color rgb="001B6AC9"/>
      <sz val="10"/>
      <u val="single"/>
    </font>
  </fonts>
  <fills count="9">
    <fill>
      <patternFill/>
    </fill>
    <fill>
      <patternFill patternType="gray125"/>
    </fill>
    <fill>
      <patternFill patternType="solid">
        <fgColor rgb="0016324B"/>
        <bgColor rgb="0016324B"/>
      </patternFill>
    </fill>
    <fill>
      <patternFill patternType="solid">
        <fgColor rgb="001F3B57"/>
        <bgColor rgb="001F3B57"/>
      </patternFill>
    </fill>
    <fill>
      <patternFill patternType="solid">
        <fgColor rgb="002E5A80"/>
        <bgColor rgb="002E5A80"/>
      </patternFill>
    </fill>
    <fill>
      <patternFill patternType="solid">
        <fgColor rgb="000F766E"/>
        <bgColor rgb="000F766E"/>
      </patternFill>
    </fill>
    <fill>
      <patternFill patternType="solid">
        <fgColor rgb="00F0F5FA"/>
        <bgColor rgb="00F0F5FA"/>
      </patternFill>
    </fill>
    <fill>
      <patternFill patternType="solid">
        <fgColor rgb="00E7F3F1"/>
        <bgColor rgb="00E7F3F1"/>
      </patternFill>
    </fill>
    <fill>
      <patternFill patternType="solid">
        <fgColor rgb="00FFE8CC"/>
        <bgColor rgb="00FFE8CC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>
        <color rgb="00DCE3EA"/>
      </bottom>
    </border>
    <border>
      <left style="thin">
        <color rgb="00AEBECD"/>
      </left>
      <bottom style="thin">
        <color rgb="00DCE3EA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164" fontId="3" fillId="0" borderId="3" applyAlignment="1" pivotButton="0" quotePrefix="0" xfId="0">
      <alignment vertical="center"/>
    </xf>
    <xf numFmtId="164" fontId="3" fillId="0" borderId="2" applyAlignment="1" pivotButton="0" quotePrefix="0" xfId="0">
      <alignment vertical="center"/>
    </xf>
    <xf numFmtId="164" fontId="3" fillId="6" borderId="3" applyAlignment="1" pivotButton="0" quotePrefix="0" xfId="0">
      <alignment vertical="center"/>
    </xf>
    <xf numFmtId="164" fontId="3" fillId="6" borderId="2" applyAlignment="1" pivotButton="0" quotePrefix="0" xfId="0">
      <alignment vertical="center"/>
    </xf>
    <xf numFmtId="164" fontId="3" fillId="7" borderId="3" applyAlignment="1" pivotButton="0" quotePrefix="0" xfId="0">
      <alignment vertical="center"/>
    </xf>
    <xf numFmtId="164" fontId="3" fillId="7" borderId="2" applyAlignment="1" pivotButton="0" quotePrefix="0" xfId="0">
      <alignment vertical="center"/>
    </xf>
    <xf numFmtId="165" fontId="3" fillId="7" borderId="2" applyAlignment="1" pivotButton="0" quotePrefix="0" xfId="0">
      <alignment horizontal="center" vertical="center"/>
    </xf>
    <xf numFmtId="164" fontId="3" fillId="8" borderId="3" applyAlignment="1" pivotButton="0" quotePrefix="0" xfId="0">
      <alignment vertical="center"/>
    </xf>
    <xf numFmtId="164" fontId="3" fillId="8" borderId="2" applyAlignment="1" pivotButton="0" quotePrefix="0" xfId="0">
      <alignment vertical="center"/>
    </xf>
    <xf numFmtId="166" fontId="3" fillId="0" borderId="2" applyAlignment="1" pivotButton="0" quotePrefix="0" xfId="0">
      <alignment vertical="center"/>
    </xf>
    <xf numFmtId="165" fontId="3" fillId="0" borderId="2" applyAlignment="1" pivotButton="0" quotePrefix="0" xfId="0">
      <alignment vertical="center"/>
    </xf>
    <xf numFmtId="166" fontId="3" fillId="0" borderId="3" applyAlignment="1" pivotButton="0" quotePrefix="0" xfId="0">
      <alignment vertical="center"/>
    </xf>
    <xf numFmtId="166" fontId="3" fillId="6" borderId="3" applyAlignment="1" pivotButton="0" quotePrefix="0" xfId="0">
      <alignment vertical="center"/>
    </xf>
    <xf numFmtId="166" fontId="3" fillId="7" borderId="3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B57"/>
    <outlinePr summaryBelow="1" summaryRight="1"/>
    <pageSetUpPr/>
  </sheetPr>
  <dimension ref="A1:AP2667"/>
  <sheetViews>
    <sheetView showGridLines="0" zoomScale="90"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7" customWidth="1" min="3" max="3"/>
    <col width="10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3" customWidth="1" min="39" max="39"/>
    <col width="13" customWidth="1" min="40" max="40"/>
    <col width="13" customWidth="1" min="41" max="41"/>
    <col width="13" customWidth="1" min="42" max="4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기준</t>
        </is>
      </c>
      <c r="D1" s="1" t="inlineStr">
        <is>
          <t>최근분기</t>
        </is>
      </c>
      <c r="E1" s="1" t="inlineStr">
        <is>
          <t>확정미발표분기</t>
        </is>
      </c>
      <c r="F1" s="2" t="inlineStr">
        <is>
          <t>23Q4 매출</t>
        </is>
      </c>
      <c r="G1" s="2" t="inlineStr">
        <is>
          <t>23Q4 영업이익</t>
        </is>
      </c>
      <c r="H1" s="2" t="inlineStr">
        <is>
          <t>23Q4 순이익</t>
        </is>
      </c>
      <c r="I1" s="3" t="inlineStr">
        <is>
          <t>24Q1 매출</t>
        </is>
      </c>
      <c r="J1" s="3" t="inlineStr">
        <is>
          <t>24Q1 영업이익</t>
        </is>
      </c>
      <c r="K1" s="3" t="inlineStr">
        <is>
          <t>24Q1 순이익</t>
        </is>
      </c>
      <c r="L1" s="2" t="inlineStr">
        <is>
          <t>24Q2 매출</t>
        </is>
      </c>
      <c r="M1" s="2" t="inlineStr">
        <is>
          <t>24Q2 영업이익</t>
        </is>
      </c>
      <c r="N1" s="2" t="inlineStr">
        <is>
          <t>24Q2 순이익</t>
        </is>
      </c>
      <c r="O1" s="3" t="inlineStr">
        <is>
          <t>24Q3 매출</t>
        </is>
      </c>
      <c r="P1" s="3" t="inlineStr">
        <is>
          <t>24Q3 영업이익</t>
        </is>
      </c>
      <c r="Q1" s="3" t="inlineStr">
        <is>
          <t>24Q3 순이익</t>
        </is>
      </c>
      <c r="R1" s="2" t="inlineStr">
        <is>
          <t>24Q4 매출</t>
        </is>
      </c>
      <c r="S1" s="2" t="inlineStr">
        <is>
          <t>24Q4 영업이익</t>
        </is>
      </c>
      <c r="T1" s="2" t="inlineStr">
        <is>
          <t>24Q4 순이익</t>
        </is>
      </c>
      <c r="U1" s="3" t="inlineStr">
        <is>
          <t>25Q1 매출</t>
        </is>
      </c>
      <c r="V1" s="3" t="inlineStr">
        <is>
          <t>25Q1 영업이익</t>
        </is>
      </c>
      <c r="W1" s="3" t="inlineStr">
        <is>
          <t>25Q1 순이익</t>
        </is>
      </c>
      <c r="X1" s="2" t="inlineStr">
        <is>
          <t>25Q2 매출</t>
        </is>
      </c>
      <c r="Y1" s="2" t="inlineStr">
        <is>
          <t>25Q2 영업이익</t>
        </is>
      </c>
      <c r="Z1" s="2" t="inlineStr">
        <is>
          <t>25Q2 순이익</t>
        </is>
      </c>
      <c r="AA1" s="3" t="inlineStr">
        <is>
          <t>25Q3 매출</t>
        </is>
      </c>
      <c r="AB1" s="3" t="inlineStr">
        <is>
          <t>25Q3 영업이익</t>
        </is>
      </c>
      <c r="AC1" s="3" t="inlineStr">
        <is>
          <t>25Q3 순이익</t>
        </is>
      </c>
      <c r="AD1" s="2" t="inlineStr">
        <is>
          <t>25Q4 매출</t>
        </is>
      </c>
      <c r="AE1" s="2" t="inlineStr">
        <is>
          <t>25Q4 영업이익</t>
        </is>
      </c>
      <c r="AF1" s="2" t="inlineStr">
        <is>
          <t>25Q4 순이익</t>
        </is>
      </c>
      <c r="AG1" s="3" t="inlineStr">
        <is>
          <t>26Q1 매출</t>
        </is>
      </c>
      <c r="AH1" s="3" t="inlineStr">
        <is>
          <t>26Q1 영업이익</t>
        </is>
      </c>
      <c r="AI1" s="3" t="inlineStr">
        <is>
          <t>26Q1 순이익</t>
        </is>
      </c>
      <c r="AJ1" s="4" t="inlineStr">
        <is>
          <t>26Q2 매출</t>
        </is>
      </c>
      <c r="AK1" s="4" t="inlineStr">
        <is>
          <t>26Q2 영업이익</t>
        </is>
      </c>
      <c r="AL1" s="4" t="inlineStr">
        <is>
          <t>26Q2 순이익</t>
        </is>
      </c>
      <c r="AM1" s="4" t="inlineStr">
        <is>
          <t>26Q2 매출 QoQ%</t>
        </is>
      </c>
      <c r="AN1" s="4" t="inlineStr">
        <is>
          <t>26Q2 매출 YoY%</t>
        </is>
      </c>
      <c r="AO1" s="4" t="inlineStr">
        <is>
          <t>26Q2 영업이익 QoQ%</t>
        </is>
      </c>
      <c r="AP1" s="4" t="inlineStr">
        <is>
          <t>26Q2 영업이익 YoY%</t>
        </is>
      </c>
    </row>
    <row r="2">
      <c r="A2" s="5" t="inlineStr">
        <is>
          <t>동화약품</t>
        </is>
      </c>
      <c r="B2" s="6" t="inlineStr">
        <is>
          <t>000020</t>
        </is>
      </c>
      <c r="C2" s="6" t="inlineStr">
        <is>
          <t>연결</t>
        </is>
      </c>
      <c r="D2" s="6" t="inlineStr">
        <is>
          <t>2026Q2</t>
        </is>
      </c>
      <c r="E2" s="6" t="inlineStr"/>
      <c r="F2" s="7" t="inlineStr"/>
      <c r="G2" s="8" t="inlineStr"/>
      <c r="H2" s="8" t="inlineStr"/>
      <c r="I2" s="9" t="n">
        <v>118886</v>
      </c>
      <c r="J2" s="10" t="n">
        <v>6538</v>
      </c>
      <c r="K2" s="10" t="n">
        <v>2925</v>
      </c>
      <c r="L2" s="7" t="n">
        <v>115162</v>
      </c>
      <c r="M2" s="8" t="n">
        <v>4613</v>
      </c>
      <c r="N2" s="8" t="n">
        <v>3122</v>
      </c>
      <c r="O2" s="9" t="n">
        <v>110193</v>
      </c>
      <c r="P2" s="10" t="n">
        <v>-582</v>
      </c>
      <c r="Q2" s="10" t="n">
        <v>-2063</v>
      </c>
      <c r="R2" s="7" t="n">
        <v>120634</v>
      </c>
      <c r="S2" s="8" t="n">
        <v>2842</v>
      </c>
      <c r="T2" s="8" t="n">
        <v>-1838</v>
      </c>
      <c r="U2" s="9" t="n">
        <v>125674</v>
      </c>
      <c r="V2" s="10" t="n">
        <v>2269</v>
      </c>
      <c r="W2" s="10" t="n">
        <v>-800</v>
      </c>
      <c r="X2" s="7" t="n">
        <v>125025</v>
      </c>
      <c r="Y2" s="8" t="n">
        <v>614</v>
      </c>
      <c r="Z2" s="8" t="n">
        <v>6134</v>
      </c>
      <c r="AA2" s="9" t="n">
        <v>121999</v>
      </c>
      <c r="AB2" s="10" t="n">
        <v>1370</v>
      </c>
      <c r="AC2" s="10" t="n">
        <v>242</v>
      </c>
      <c r="AD2" s="7" t="n">
        <v>123696</v>
      </c>
      <c r="AE2" s="8" t="n">
        <v>-3996</v>
      </c>
      <c r="AF2" s="8" t="n">
        <v>-1734</v>
      </c>
      <c r="AG2" s="9" t="n">
        <v>130614</v>
      </c>
      <c r="AH2" s="10" t="n">
        <v>11228</v>
      </c>
      <c r="AI2" s="10" t="n">
        <v>9653</v>
      </c>
      <c r="AJ2" s="11" t="n">
        <v>136933</v>
      </c>
      <c r="AK2" s="12" t="n">
        <v>10290</v>
      </c>
      <c r="AL2" s="12" t="n">
        <v>6461</v>
      </c>
      <c r="AM2" s="13" t="n">
        <v>4.8</v>
      </c>
      <c r="AN2" s="13" t="n">
        <v>9.5</v>
      </c>
      <c r="AO2" s="13" t="n">
        <v>-8.4</v>
      </c>
      <c r="AP2" s="13" t="n">
        <v>1575.9</v>
      </c>
    </row>
    <row r="3">
      <c r="A3" s="5" t="inlineStr">
        <is>
          <t>KR모터스</t>
        </is>
      </c>
      <c r="B3" s="6" t="inlineStr">
        <is>
          <t>000040</t>
        </is>
      </c>
      <c r="C3" s="6" t="inlineStr">
        <is>
          <t>연결</t>
        </is>
      </c>
      <c r="D3" s="6" t="inlineStr">
        <is>
          <t>2026Q2</t>
        </is>
      </c>
      <c r="E3" s="6" t="inlineStr"/>
      <c r="F3" s="7" t="inlineStr"/>
      <c r="G3" s="8" t="inlineStr"/>
      <c r="H3" s="8" t="inlineStr"/>
      <c r="I3" s="9" t="n">
        <v>13108</v>
      </c>
      <c r="J3" s="10" t="n">
        <v>-4667</v>
      </c>
      <c r="K3" s="10" t="n">
        <v>-9047</v>
      </c>
      <c r="L3" s="7" t="n">
        <v>20541</v>
      </c>
      <c r="M3" s="8" t="n">
        <v>-3382</v>
      </c>
      <c r="N3" s="8" t="n">
        <v>-1547</v>
      </c>
      <c r="O3" s="9" t="n">
        <v>18025</v>
      </c>
      <c r="P3" s="10" t="n">
        <v>-802</v>
      </c>
      <c r="Q3" s="10" t="n">
        <v>-3077</v>
      </c>
      <c r="R3" s="7" t="n">
        <v>-35649</v>
      </c>
      <c r="S3" s="8" t="n">
        <v>3914</v>
      </c>
      <c r="T3" s="8" t="n">
        <v>-551</v>
      </c>
      <c r="U3" s="9" t="n">
        <v>2943</v>
      </c>
      <c r="V3" s="10" t="n">
        <v>-773</v>
      </c>
      <c r="W3" s="10" t="n">
        <v>-1626</v>
      </c>
      <c r="X3" s="7" t="n">
        <v>4536</v>
      </c>
      <c r="Y3" s="8" t="n">
        <v>-233</v>
      </c>
      <c r="Z3" s="8" t="n">
        <v>171</v>
      </c>
      <c r="AA3" s="9" t="n">
        <v>3409</v>
      </c>
      <c r="AB3" s="10" t="n">
        <v>-1262</v>
      </c>
      <c r="AC3" s="10" t="n">
        <v>-2674</v>
      </c>
      <c r="AD3" s="7" t="n">
        <v>2933</v>
      </c>
      <c r="AE3" s="8" t="n">
        <v>-624</v>
      </c>
      <c r="AF3" s="8" t="n">
        <v>2233</v>
      </c>
      <c r="AG3" s="9" t="n">
        <v>2555</v>
      </c>
      <c r="AH3" s="10" t="n">
        <v>-670</v>
      </c>
      <c r="AI3" s="10" t="n">
        <v>19375</v>
      </c>
      <c r="AJ3" s="11" t="n">
        <v>26348</v>
      </c>
      <c r="AK3" s="12" t="n">
        <v>435</v>
      </c>
      <c r="AL3" s="12" t="n">
        <v>9502</v>
      </c>
      <c r="AM3" s="13" t="n">
        <v>931.2</v>
      </c>
      <c r="AN3" s="13" t="n">
        <v>480.9</v>
      </c>
      <c r="AO3" s="13" t="n">
        <v>164.9</v>
      </c>
      <c r="AP3" s="13" t="n">
        <v>286.7</v>
      </c>
    </row>
    <row r="4">
      <c r="A4" s="5" t="inlineStr">
        <is>
          <t>경방</t>
        </is>
      </c>
      <c r="B4" s="6" t="inlineStr">
        <is>
          <t>000050</t>
        </is>
      </c>
      <c r="C4" s="6" t="inlineStr">
        <is>
          <t>연결</t>
        </is>
      </c>
      <c r="D4" s="6" t="inlineStr">
        <is>
          <t>2026Q2</t>
        </is>
      </c>
      <c r="E4" s="6" t="inlineStr"/>
      <c r="F4" s="7" t="inlineStr"/>
      <c r="G4" s="8" t="inlineStr"/>
      <c r="H4" s="8" t="inlineStr"/>
      <c r="I4" s="9" t="n">
        <v>97940</v>
      </c>
      <c r="J4" s="10" t="n">
        <v>13033</v>
      </c>
      <c r="K4" s="10" t="n">
        <v>1659</v>
      </c>
      <c r="L4" s="7" t="n">
        <v>95024</v>
      </c>
      <c r="M4" s="8" t="n">
        <v>375</v>
      </c>
      <c r="N4" s="8" t="n">
        <v>2960</v>
      </c>
      <c r="O4" s="9" t="n">
        <v>93840</v>
      </c>
      <c r="P4" s="10" t="n">
        <v>4243</v>
      </c>
      <c r="Q4" s="10" t="n">
        <v>4610</v>
      </c>
      <c r="R4" s="7" t="n">
        <v>110473</v>
      </c>
      <c r="S4" s="8" t="n">
        <v>15798</v>
      </c>
      <c r="T4" s="8" t="n">
        <v>14365</v>
      </c>
      <c r="U4" s="9" t="n">
        <v>102273</v>
      </c>
      <c r="V4" s="10" t="n">
        <v>10829</v>
      </c>
      <c r="W4" s="10" t="n">
        <v>4312</v>
      </c>
      <c r="X4" s="7" t="n">
        <v>95103</v>
      </c>
      <c r="Y4" s="8" t="n">
        <v>5492</v>
      </c>
      <c r="Z4" s="8" t="n">
        <v>9029</v>
      </c>
      <c r="AA4" s="9" t="n">
        <v>96908</v>
      </c>
      <c r="AB4" s="10" t="n">
        <v>10732</v>
      </c>
      <c r="AC4" s="10" t="n">
        <v>15911</v>
      </c>
      <c r="AD4" s="7" t="n">
        <v>118192</v>
      </c>
      <c r="AE4" s="8" t="n">
        <v>18940</v>
      </c>
      <c r="AF4" s="8" t="n">
        <v>18127</v>
      </c>
      <c r="AG4" s="9" t="n">
        <v>111019</v>
      </c>
      <c r="AH4" s="10" t="n">
        <v>17822</v>
      </c>
      <c r="AI4" s="10" t="n">
        <v>20489</v>
      </c>
      <c r="AJ4" s="11" t="n">
        <v>117108</v>
      </c>
      <c r="AK4" s="12" t="n">
        <v>11166</v>
      </c>
      <c r="AL4" s="12" t="n">
        <v>-2198</v>
      </c>
      <c r="AM4" s="13" t="n">
        <v>5.5</v>
      </c>
      <c r="AN4" s="13" t="n">
        <v>23.1</v>
      </c>
      <c r="AO4" s="13" t="n">
        <v>-37.3</v>
      </c>
      <c r="AP4" s="13" t="n">
        <v>103.3</v>
      </c>
    </row>
    <row r="5">
      <c r="A5" s="5" t="inlineStr">
        <is>
          <t>삼양홀딩스</t>
        </is>
      </c>
      <c r="B5" s="6" t="inlineStr">
        <is>
          <t>000070</t>
        </is>
      </c>
      <c r="C5" s="6" t="inlineStr">
        <is>
          <t>연결</t>
        </is>
      </c>
      <c r="D5" s="6" t="inlineStr">
        <is>
          <t>2026Q2</t>
        </is>
      </c>
      <c r="E5" s="6" t="inlineStr"/>
      <c r="F5" s="7" t="inlineStr"/>
      <c r="G5" s="8" t="inlineStr"/>
      <c r="H5" s="8" t="inlineStr"/>
      <c r="I5" s="9" t="n">
        <v>871146</v>
      </c>
      <c r="J5" s="10" t="n">
        <v>34730</v>
      </c>
      <c r="K5" s="10" t="n">
        <v>44203</v>
      </c>
      <c r="L5" s="7" t="n">
        <v>917357</v>
      </c>
      <c r="M5" s="8" t="n">
        <v>55198</v>
      </c>
      <c r="N5" s="8" t="n">
        <v>39691</v>
      </c>
      <c r="O5" s="9" t="n">
        <v>889190</v>
      </c>
      <c r="P5" s="10" t="n">
        <v>39536</v>
      </c>
      <c r="Q5" s="10" t="n">
        <v>23780</v>
      </c>
      <c r="R5" s="7" t="n">
        <v>875571</v>
      </c>
      <c r="S5" s="8" t="n">
        <v>-1925</v>
      </c>
      <c r="T5" s="8" t="n">
        <v>-18182</v>
      </c>
      <c r="U5" s="9" t="n">
        <v>865936</v>
      </c>
      <c r="V5" s="10" t="n">
        <v>31486</v>
      </c>
      <c r="W5" s="10" t="n">
        <v>38569</v>
      </c>
      <c r="X5" s="7" t="n">
        <v>907514</v>
      </c>
      <c r="Y5" s="8" t="n">
        <v>43105</v>
      </c>
      <c r="Z5" s="8" t="n">
        <v>42601</v>
      </c>
      <c r="AA5" s="9" t="n">
        <v>889632</v>
      </c>
      <c r="AB5" s="10" t="n">
        <v>46439</v>
      </c>
      <c r="AC5" s="10" t="n">
        <v>34164</v>
      </c>
      <c r="AD5" s="7" t="n">
        <v>685205</v>
      </c>
      <c r="AE5" s="8" t="n">
        <v>-12264</v>
      </c>
      <c r="AF5" s="8" t="n">
        <v>-413467</v>
      </c>
      <c r="AG5" s="9" t="n">
        <v>838281</v>
      </c>
      <c r="AH5" s="10" t="n">
        <v>29152</v>
      </c>
      <c r="AI5" s="10" t="n">
        <v>34872</v>
      </c>
      <c r="AJ5" s="11" t="n">
        <v>962967</v>
      </c>
      <c r="AK5" s="12" t="n">
        <v>60528</v>
      </c>
      <c r="AL5" s="12" t="n">
        <v>51730</v>
      </c>
      <c r="AM5" s="13" t="n">
        <v>14.9</v>
      </c>
      <c r="AN5" s="13" t="n">
        <v>6.1</v>
      </c>
      <c r="AO5" s="13" t="n">
        <v>107.6</v>
      </c>
      <c r="AP5" s="13" t="n">
        <v>40.4</v>
      </c>
    </row>
    <row r="6">
      <c r="A6" s="5" t="inlineStr">
        <is>
          <t>하이트진로</t>
        </is>
      </c>
      <c r="B6" s="6" t="inlineStr">
        <is>
          <t>000080</t>
        </is>
      </c>
      <c r="C6" s="6" t="inlineStr">
        <is>
          <t>연결</t>
        </is>
      </c>
      <c r="D6" s="6" t="inlineStr">
        <is>
          <t>2026Q2</t>
        </is>
      </c>
      <c r="E6" s="6" t="inlineStr"/>
      <c r="F6" s="7" t="inlineStr"/>
      <c r="G6" s="8" t="inlineStr"/>
      <c r="H6" s="8" t="inlineStr"/>
      <c r="I6" s="9" t="n">
        <v>621149</v>
      </c>
      <c r="J6" s="10" t="n">
        <v>48352</v>
      </c>
      <c r="K6" s="10" t="n">
        <v>26163</v>
      </c>
      <c r="L6" s="7" t="n">
        <v>665240</v>
      </c>
      <c r="M6" s="8" t="n">
        <v>68247</v>
      </c>
      <c r="N6" s="8" t="n">
        <v>43881</v>
      </c>
      <c r="O6" s="9" t="n">
        <v>685740</v>
      </c>
      <c r="P6" s="10" t="n">
        <v>70200</v>
      </c>
      <c r="Q6" s="10" t="n">
        <v>43823</v>
      </c>
      <c r="R6" s="7" t="n">
        <v>627054</v>
      </c>
      <c r="S6" s="8" t="n">
        <v>21343</v>
      </c>
      <c r="T6" s="8" t="n">
        <v>-18132</v>
      </c>
      <c r="U6" s="9" t="n">
        <v>612777</v>
      </c>
      <c r="V6" s="10" t="n">
        <v>62725</v>
      </c>
      <c r="W6" s="10" t="n">
        <v>37995</v>
      </c>
      <c r="X6" s="7" t="n">
        <v>646554</v>
      </c>
      <c r="Y6" s="8" t="n">
        <v>64459</v>
      </c>
      <c r="Z6" s="8" t="n">
        <v>32918</v>
      </c>
      <c r="AA6" s="9" t="n">
        <v>669533</v>
      </c>
      <c r="AB6" s="10" t="n">
        <v>54394</v>
      </c>
      <c r="AC6" s="10" t="n">
        <v>33923</v>
      </c>
      <c r="AD6" s="7" t="n">
        <v>569703</v>
      </c>
      <c r="AE6" s="8" t="n">
        <v>-9239</v>
      </c>
      <c r="AF6" s="8" t="n">
        <v>-63719</v>
      </c>
      <c r="AG6" s="9" t="n">
        <v>590829</v>
      </c>
      <c r="AH6" s="10" t="n">
        <v>55936</v>
      </c>
      <c r="AI6" s="10" t="n">
        <v>35813</v>
      </c>
      <c r="AJ6" s="11" t="n">
        <v>618592</v>
      </c>
      <c r="AK6" s="12" t="n">
        <v>64938</v>
      </c>
      <c r="AL6" s="12" t="n">
        <v>40549</v>
      </c>
      <c r="AM6" s="13" t="n">
        <v>4.7</v>
      </c>
      <c r="AN6" s="13" t="n">
        <v>-4.3</v>
      </c>
      <c r="AO6" s="13" t="n">
        <v>16.1</v>
      </c>
      <c r="AP6" s="13" t="n">
        <v>0.7</v>
      </c>
    </row>
    <row r="7">
      <c r="A7" s="5" t="inlineStr">
        <is>
          <t>유한양행</t>
        </is>
      </c>
      <c r="B7" s="6" t="inlineStr">
        <is>
          <t>000100</t>
        </is>
      </c>
      <c r="C7" s="6" t="inlineStr">
        <is>
          <t>연결</t>
        </is>
      </c>
      <c r="D7" s="6" t="inlineStr">
        <is>
          <t>2026Q2</t>
        </is>
      </c>
      <c r="E7" s="6" t="inlineStr"/>
      <c r="F7" s="7" t="inlineStr"/>
      <c r="G7" s="8" t="inlineStr"/>
      <c r="H7" s="8" t="inlineStr"/>
      <c r="I7" s="9" t="n">
        <v>444593</v>
      </c>
      <c r="J7" s="10" t="n">
        <v>577</v>
      </c>
      <c r="K7" s="10" t="n">
        <v>10812</v>
      </c>
      <c r="L7" s="7" t="n">
        <v>528312</v>
      </c>
      <c r="M7" s="8" t="n">
        <v>18542</v>
      </c>
      <c r="N7" s="8" t="n">
        <v>31912</v>
      </c>
      <c r="O7" s="9" t="n">
        <v>598785</v>
      </c>
      <c r="P7" s="10" t="n">
        <v>47578</v>
      </c>
      <c r="Q7" s="10" t="n">
        <v>35542</v>
      </c>
      <c r="R7" s="7" t="n">
        <v>496101</v>
      </c>
      <c r="S7" s="8" t="n">
        <v>-11817</v>
      </c>
      <c r="T7" s="8" t="n">
        <v>-23103</v>
      </c>
      <c r="U7" s="9" t="n">
        <v>491564</v>
      </c>
      <c r="V7" s="10" t="n">
        <v>6420</v>
      </c>
      <c r="W7" s="10" t="n">
        <v>10009</v>
      </c>
      <c r="X7" s="7" t="n">
        <v>578987</v>
      </c>
      <c r="Y7" s="8" t="n">
        <v>49861</v>
      </c>
      <c r="Z7" s="8" t="n">
        <v>44001</v>
      </c>
      <c r="AA7" s="9" t="n">
        <v>570014</v>
      </c>
      <c r="AB7" s="10" t="n">
        <v>22014</v>
      </c>
      <c r="AC7" s="10" t="n">
        <v>21170</v>
      </c>
      <c r="AD7" s="7" t="n">
        <v>546073</v>
      </c>
      <c r="AE7" s="8" t="n">
        <v>26079</v>
      </c>
      <c r="AF7" s="8" t="n">
        <v>110139</v>
      </c>
      <c r="AG7" s="9" t="n">
        <v>526780</v>
      </c>
      <c r="AH7" s="10" t="n">
        <v>8815</v>
      </c>
      <c r="AI7" s="10" t="n">
        <v>23367</v>
      </c>
      <c r="AJ7" s="11" t="n">
        <v>639452</v>
      </c>
      <c r="AK7" s="12" t="n">
        <v>66869</v>
      </c>
      <c r="AL7" s="12" t="n">
        <v>68044</v>
      </c>
      <c r="AM7" s="13" t="n">
        <v>21.4</v>
      </c>
      <c r="AN7" s="13" t="n">
        <v>10.4</v>
      </c>
      <c r="AO7" s="13" t="n">
        <v>658.6</v>
      </c>
      <c r="AP7" s="13" t="n">
        <v>34.1</v>
      </c>
    </row>
    <row r="8">
      <c r="A8" s="5" t="inlineStr">
        <is>
          <t>CJ대한통운</t>
        </is>
      </c>
      <c r="B8" s="6" t="inlineStr">
        <is>
          <t>000120</t>
        </is>
      </c>
      <c r="C8" s="6" t="inlineStr">
        <is>
          <t>연결</t>
        </is>
      </c>
      <c r="D8" s="6" t="inlineStr">
        <is>
          <t>2026Q2</t>
        </is>
      </c>
      <c r="E8" s="6" t="inlineStr">
        <is>
          <t>2023Q4</t>
        </is>
      </c>
      <c r="F8" s="14" t="n">
        <v>3060570</v>
      </c>
      <c r="G8" s="15" t="n">
        <v>144013</v>
      </c>
      <c r="H8" s="15" t="n">
        <v>76643</v>
      </c>
      <c r="I8" s="9" t="n">
        <v>2921426</v>
      </c>
      <c r="J8" s="10" t="n">
        <v>109365</v>
      </c>
      <c r="K8" s="10" t="n">
        <v>55435</v>
      </c>
      <c r="L8" s="7" t="n">
        <v>3059182</v>
      </c>
      <c r="M8" s="8" t="n">
        <v>125361</v>
      </c>
      <c r="N8" s="8" t="n">
        <v>61307</v>
      </c>
      <c r="O8" s="9" t="n">
        <v>2975814</v>
      </c>
      <c r="P8" s="10" t="n">
        <v>141611</v>
      </c>
      <c r="Q8" s="10" t="n">
        <v>59966</v>
      </c>
      <c r="R8" s="7" t="n">
        <v>3160339</v>
      </c>
      <c r="S8" s="8" t="n">
        <v>154326</v>
      </c>
      <c r="T8" s="8" t="n">
        <v>91612</v>
      </c>
      <c r="U8" s="9" t="n">
        <v>2992586</v>
      </c>
      <c r="V8" s="10" t="n">
        <v>85367</v>
      </c>
      <c r="W8" s="10" t="n">
        <v>40977</v>
      </c>
      <c r="X8" s="7" t="n">
        <v>3048408</v>
      </c>
      <c r="Y8" s="8" t="n">
        <v>115243</v>
      </c>
      <c r="Z8" s="8" t="n">
        <v>58185</v>
      </c>
      <c r="AA8" s="9" t="n">
        <v>3066608</v>
      </c>
      <c r="AB8" s="10" t="n">
        <v>147907</v>
      </c>
      <c r="AC8" s="10" t="n">
        <v>73427</v>
      </c>
      <c r="AD8" s="7" t="n">
        <v>3177050</v>
      </c>
      <c r="AE8" s="8" t="n">
        <v>159564</v>
      </c>
      <c r="AF8" s="8" t="n">
        <v>86154</v>
      </c>
      <c r="AG8" s="9" t="n">
        <v>3214546</v>
      </c>
      <c r="AH8" s="10" t="n">
        <v>92105</v>
      </c>
      <c r="AI8" s="10" t="n">
        <v>37943</v>
      </c>
      <c r="AJ8" s="11" t="n">
        <v>3379979</v>
      </c>
      <c r="AK8" s="12" t="n">
        <v>101566</v>
      </c>
      <c r="AL8" s="12" t="n">
        <v>36767</v>
      </c>
      <c r="AM8" s="13" t="n">
        <v>5.1</v>
      </c>
      <c r="AN8" s="13" t="n">
        <v>10.9</v>
      </c>
      <c r="AO8" s="13" t="n">
        <v>10.3</v>
      </c>
      <c r="AP8" s="13" t="n">
        <v>-11.9</v>
      </c>
    </row>
    <row r="9">
      <c r="A9" s="5" t="inlineStr">
        <is>
          <t>하이트진로홀딩스</t>
        </is>
      </c>
      <c r="B9" s="6" t="inlineStr">
        <is>
          <t>000140</t>
        </is>
      </c>
      <c r="C9" s="6" t="inlineStr">
        <is>
          <t>연결</t>
        </is>
      </c>
      <c r="D9" s="6" t="inlineStr">
        <is>
          <t>2026Q2</t>
        </is>
      </c>
      <c r="E9" s="6" t="inlineStr"/>
      <c r="F9" s="7" t="inlineStr"/>
      <c r="G9" s="8" t="inlineStr"/>
      <c r="H9" s="8" t="inlineStr"/>
      <c r="I9" s="9" t="n">
        <v>618368</v>
      </c>
      <c r="J9" s="10" t="n">
        <v>51394</v>
      </c>
      <c r="K9" s="10" t="n">
        <v>22982</v>
      </c>
      <c r="L9" s="7" t="n">
        <v>661624</v>
      </c>
      <c r="M9" s="8" t="n">
        <v>72914</v>
      </c>
      <c r="N9" s="8" t="n">
        <v>38809</v>
      </c>
      <c r="O9" s="9" t="n">
        <v>682044</v>
      </c>
      <c r="P9" s="10" t="n">
        <v>73789</v>
      </c>
      <c r="Q9" s="10" t="n">
        <v>37362</v>
      </c>
      <c r="R9" s="7" t="n">
        <v>623033</v>
      </c>
      <c r="S9" s="8" t="n">
        <v>23698</v>
      </c>
      <c r="T9" s="8" t="n">
        <v>-8380</v>
      </c>
      <c r="U9" s="9" t="n">
        <v>609643</v>
      </c>
      <c r="V9" s="10" t="n">
        <v>64608</v>
      </c>
      <c r="W9" s="10" t="n">
        <v>32149</v>
      </c>
      <c r="X9" s="7" t="n">
        <v>642896</v>
      </c>
      <c r="Y9" s="8" t="n">
        <v>67482</v>
      </c>
      <c r="Z9" s="8" t="n">
        <v>29619</v>
      </c>
      <c r="AA9" s="9" t="n">
        <v>665855</v>
      </c>
      <c r="AB9" s="10" t="n">
        <v>58045</v>
      </c>
      <c r="AC9" s="10" t="n">
        <v>31972</v>
      </c>
      <c r="AD9" s="7" t="n">
        <v>566110</v>
      </c>
      <c r="AE9" s="8" t="n">
        <v>-6882</v>
      </c>
      <c r="AF9" s="8" t="n">
        <v>-77853</v>
      </c>
      <c r="AG9" s="9" t="n">
        <v>588294</v>
      </c>
      <c r="AH9" s="10" t="n">
        <v>55687</v>
      </c>
      <c r="AI9" s="10" t="n">
        <v>29063</v>
      </c>
      <c r="AJ9" s="11" t="n">
        <v>615278</v>
      </c>
      <c r="AK9" s="12" t="n">
        <v>64352</v>
      </c>
      <c r="AL9" s="12" t="n">
        <v>36885</v>
      </c>
      <c r="AM9" s="13" t="n">
        <v>4.6</v>
      </c>
      <c r="AN9" s="13" t="n">
        <v>-4.3</v>
      </c>
      <c r="AO9" s="13" t="n">
        <v>15.6</v>
      </c>
      <c r="AP9" s="13" t="n">
        <v>-4.6</v>
      </c>
    </row>
    <row r="10">
      <c r="A10" s="5" t="inlineStr">
        <is>
          <t>두산</t>
        </is>
      </c>
      <c r="B10" s="6" t="inlineStr">
        <is>
          <t>000150</t>
        </is>
      </c>
      <c r="C10" s="6" t="inlineStr">
        <is>
          <t>연결</t>
        </is>
      </c>
      <c r="D10" s="6" t="inlineStr">
        <is>
          <t>2026Q2</t>
        </is>
      </c>
      <c r="E10" s="6" t="inlineStr"/>
      <c r="F10" s="7" t="inlineStr"/>
      <c r="G10" s="8" t="inlineStr"/>
      <c r="H10" s="8" t="inlineStr"/>
      <c r="I10" s="9" t="n">
        <v>4462336</v>
      </c>
      <c r="J10" s="10" t="n">
        <v>347892</v>
      </c>
      <c r="K10" s="10" t="n">
        <v>225946</v>
      </c>
      <c r="L10" s="7" t="n">
        <v>4592222</v>
      </c>
      <c r="M10" s="8" t="n">
        <v>336735</v>
      </c>
      <c r="N10" s="8" t="n">
        <v>216313</v>
      </c>
      <c r="O10" s="9" t="n">
        <v>3878513</v>
      </c>
      <c r="P10" s="10" t="n">
        <v>110194</v>
      </c>
      <c r="Q10" s="10" t="n">
        <v>-94930</v>
      </c>
      <c r="R10" s="7" t="n">
        <v>5199803</v>
      </c>
      <c r="S10" s="8" t="n">
        <v>208938</v>
      </c>
      <c r="T10" s="8" t="n">
        <v>-45102</v>
      </c>
      <c r="U10" s="9" t="n">
        <v>4298676</v>
      </c>
      <c r="V10" s="10" t="n">
        <v>198460</v>
      </c>
      <c r="W10" s="10" t="n">
        <v>11290</v>
      </c>
      <c r="X10" s="7" t="n">
        <v>5346439</v>
      </c>
      <c r="Y10" s="8" t="n">
        <v>357778</v>
      </c>
      <c r="Z10" s="8" t="n">
        <v>233171</v>
      </c>
      <c r="AA10" s="9" t="n">
        <v>4452365</v>
      </c>
      <c r="AB10" s="10" t="n">
        <v>231269</v>
      </c>
      <c r="AC10" s="10" t="n">
        <v>111453</v>
      </c>
      <c r="AD10" s="7" t="n">
        <v>5686658</v>
      </c>
      <c r="AE10" s="8" t="n">
        <v>275208</v>
      </c>
      <c r="AF10" s="8" t="n">
        <v>-106403</v>
      </c>
      <c r="AG10" s="9" t="n">
        <v>5060267</v>
      </c>
      <c r="AH10" s="10" t="n">
        <v>340828</v>
      </c>
      <c r="AI10" s="10" t="n">
        <v>101504</v>
      </c>
      <c r="AJ10" s="11" t="n">
        <v>5586147</v>
      </c>
      <c r="AK10" s="12" t="n">
        <v>488426</v>
      </c>
      <c r="AL10" s="12" t="n">
        <v>535611</v>
      </c>
      <c r="AM10" s="13" t="n">
        <v>10.4</v>
      </c>
      <c r="AN10" s="13" t="n">
        <v>4.5</v>
      </c>
      <c r="AO10" s="13" t="n">
        <v>43.3</v>
      </c>
      <c r="AP10" s="13" t="n">
        <v>36.5</v>
      </c>
    </row>
    <row r="11">
      <c r="A11" s="5" t="inlineStr">
        <is>
          <t>성창기업지주</t>
        </is>
      </c>
      <c r="B11" s="6" t="inlineStr">
        <is>
          <t>000180</t>
        </is>
      </c>
      <c r="C11" s="6" t="inlineStr">
        <is>
          <t>연결</t>
        </is>
      </c>
      <c r="D11" s="6" t="inlineStr">
        <is>
          <t>2026Q2</t>
        </is>
      </c>
      <c r="E11" s="6" t="inlineStr"/>
      <c r="F11" s="7" t="inlineStr"/>
      <c r="G11" s="8" t="inlineStr"/>
      <c r="H11" s="8" t="inlineStr"/>
      <c r="I11" s="9" t="n">
        <v>37967</v>
      </c>
      <c r="J11" s="10" t="n">
        <v>-499</v>
      </c>
      <c r="K11" s="10" t="n">
        <v>-1292</v>
      </c>
      <c r="L11" s="7" t="n">
        <v>39207</v>
      </c>
      <c r="M11" s="8" t="n">
        <v>-1628</v>
      </c>
      <c r="N11" s="8" t="n">
        <v>-2729</v>
      </c>
      <c r="O11" s="9" t="n">
        <v>34000</v>
      </c>
      <c r="P11" s="10" t="n">
        <v>-1790</v>
      </c>
      <c r="Q11" s="10" t="n">
        <v>5366</v>
      </c>
      <c r="R11" s="7" t="n">
        <v>31932</v>
      </c>
      <c r="S11" s="8" t="n">
        <v>-3376</v>
      </c>
      <c r="T11" s="8" t="n">
        <v>-4968</v>
      </c>
      <c r="U11" s="9" t="n">
        <v>32452</v>
      </c>
      <c r="V11" s="10" t="n">
        <v>-2269</v>
      </c>
      <c r="W11" s="10" t="n">
        <v>-1544</v>
      </c>
      <c r="X11" s="7" t="n">
        <v>32642</v>
      </c>
      <c r="Y11" s="8" t="n">
        <v>-1366</v>
      </c>
      <c r="Z11" s="8" t="n">
        <v>-3243</v>
      </c>
      <c r="AA11" s="9" t="n">
        <v>31359</v>
      </c>
      <c r="AB11" s="10" t="n">
        <v>-1140</v>
      </c>
      <c r="AC11" s="10" t="n">
        <v>-950</v>
      </c>
      <c r="AD11" s="7" t="n">
        <v>30765</v>
      </c>
      <c r="AE11" s="8" t="n">
        <v>-2153</v>
      </c>
      <c r="AF11" s="8" t="n">
        <v>-14903</v>
      </c>
      <c r="AG11" s="9" t="n">
        <v>33050</v>
      </c>
      <c r="AH11" s="10" t="n">
        <v>-1621</v>
      </c>
      <c r="AI11" s="10" t="n">
        <v>-1459</v>
      </c>
      <c r="AJ11" s="11" t="n">
        <v>34722</v>
      </c>
      <c r="AK11" s="12" t="n">
        <v>391</v>
      </c>
      <c r="AL11" s="12" t="n">
        <v>951</v>
      </c>
      <c r="AM11" s="13" t="n">
        <v>5.1</v>
      </c>
      <c r="AN11" s="13" t="n">
        <v>6.4</v>
      </c>
      <c r="AO11" s="13" t="n">
        <v>124.1</v>
      </c>
      <c r="AP11" s="13" t="n">
        <v>128.6</v>
      </c>
    </row>
    <row r="12">
      <c r="A12" s="5" t="inlineStr">
        <is>
          <t>덕양에너젠</t>
        </is>
      </c>
      <c r="B12" s="6" t="inlineStr">
        <is>
          <t>0001A0</t>
        </is>
      </c>
      <c r="C12" s="6" t="inlineStr">
        <is>
          <t>연결</t>
        </is>
      </c>
      <c r="D12" s="6" t="inlineStr">
        <is>
          <t>2026Q2</t>
        </is>
      </c>
      <c r="E12" s="6" t="inlineStr"/>
      <c r="F12" s="7" t="inlineStr"/>
      <c r="G12" s="8" t="inlineStr"/>
      <c r="H12" s="8" t="inlineStr"/>
      <c r="I12" s="9" t="inlineStr"/>
      <c r="J12" s="10" t="inlineStr"/>
      <c r="K12" s="10" t="inlineStr"/>
      <c r="L12" s="7" t="inlineStr"/>
      <c r="M12" s="8" t="inlineStr"/>
      <c r="N12" s="8" t="inlineStr"/>
      <c r="O12" s="9" t="inlineStr"/>
      <c r="P12" s="10" t="inlineStr"/>
      <c r="Q12" s="10" t="inlineStr"/>
      <c r="R12" s="7" t="inlineStr"/>
      <c r="S12" s="8" t="inlineStr"/>
      <c r="T12" s="8" t="inlineStr"/>
      <c r="U12" s="9" t="inlineStr"/>
      <c r="V12" s="10" t="inlineStr"/>
      <c r="W12" s="10" t="inlineStr"/>
      <c r="X12" s="7" t="inlineStr"/>
      <c r="Y12" s="8" t="inlineStr"/>
      <c r="Z12" s="8" t="inlineStr"/>
      <c r="AA12" s="9" t="inlineStr"/>
      <c r="AB12" s="10" t="inlineStr"/>
      <c r="AC12" s="10" t="inlineStr"/>
      <c r="AD12" s="7" t="inlineStr"/>
      <c r="AE12" s="8" t="inlineStr"/>
      <c r="AF12" s="8" t="inlineStr"/>
      <c r="AG12" s="9" t="n">
        <v>36980</v>
      </c>
      <c r="AH12" s="10" t="n">
        <v>1392</v>
      </c>
      <c r="AI12" s="10" t="n">
        <v>885</v>
      </c>
      <c r="AJ12" s="11" t="n">
        <v>35316</v>
      </c>
      <c r="AK12" s="12" t="n">
        <v>3189</v>
      </c>
      <c r="AL12" s="12" t="n">
        <v>462</v>
      </c>
      <c r="AM12" s="13" t="n">
        <v>-4.5</v>
      </c>
      <c r="AN12" s="13" t="inlineStr"/>
      <c r="AO12" s="13" t="n">
        <v>129.1</v>
      </c>
      <c r="AP12" s="13" t="inlineStr"/>
    </row>
    <row r="13">
      <c r="A13" s="5" t="inlineStr">
        <is>
          <t>DL</t>
        </is>
      </c>
      <c r="B13" s="6" t="inlineStr">
        <is>
          <t>000210</t>
        </is>
      </c>
      <c r="C13" s="6" t="inlineStr">
        <is>
          <t>연결</t>
        </is>
      </c>
      <c r="D13" s="6" t="inlineStr">
        <is>
          <t>2026Q2</t>
        </is>
      </c>
      <c r="E13" s="6" t="inlineStr">
        <is>
          <t>2023Q4</t>
        </is>
      </c>
      <c r="F13" s="14" t="n">
        <v>1249134</v>
      </c>
      <c r="G13" s="15" t="n">
        <v>77923</v>
      </c>
      <c r="H13" s="15" t="n">
        <v>37479</v>
      </c>
      <c r="I13" s="9" t="n">
        <v>1404109</v>
      </c>
      <c r="J13" s="10" t="n">
        <v>172347</v>
      </c>
      <c r="K13" s="10" t="n">
        <v>32102</v>
      </c>
      <c r="L13" s="7" t="n">
        <v>1492081</v>
      </c>
      <c r="M13" s="8" t="n">
        <v>142803</v>
      </c>
      <c r="N13" s="8" t="n">
        <v>9259</v>
      </c>
      <c r="O13" s="9" t="n">
        <v>1422354</v>
      </c>
      <c r="P13" s="10" t="n">
        <v>121398</v>
      </c>
      <c r="Q13" s="10" t="n">
        <v>22092</v>
      </c>
      <c r="R13" s="7" t="n">
        <v>1296824</v>
      </c>
      <c r="S13" s="8" t="n">
        <v>-24030</v>
      </c>
      <c r="T13" s="8" t="n">
        <v>31386</v>
      </c>
      <c r="U13" s="9" t="n">
        <v>1386571</v>
      </c>
      <c r="V13" s="10" t="n">
        <v>105353</v>
      </c>
      <c r="W13" s="10" t="n">
        <v>-19466</v>
      </c>
      <c r="X13" s="7" t="n">
        <v>1321719</v>
      </c>
      <c r="Y13" s="8" t="n">
        <v>72031</v>
      </c>
      <c r="Z13" s="8" t="n">
        <v>-84295</v>
      </c>
      <c r="AA13" s="9" t="n">
        <v>1387990</v>
      </c>
      <c r="AB13" s="10" t="n">
        <v>109383</v>
      </c>
      <c r="AC13" s="10" t="n">
        <v>24976</v>
      </c>
      <c r="AD13" s="7" t="n">
        <v>1230441</v>
      </c>
      <c r="AE13" s="8" t="n">
        <v>11779</v>
      </c>
      <c r="AF13" s="8" t="n">
        <v>-17513</v>
      </c>
      <c r="AG13" s="9" t="n">
        <v>1282759</v>
      </c>
      <c r="AH13" s="10" t="n">
        <v>112857</v>
      </c>
      <c r="AI13" s="10" t="n">
        <v>12137</v>
      </c>
      <c r="AJ13" s="11" t="n">
        <v>1667871</v>
      </c>
      <c r="AK13" s="12" t="n">
        <v>256507</v>
      </c>
      <c r="AL13" s="12" t="n">
        <v>152719</v>
      </c>
      <c r="AM13" s="13" t="n">
        <v>30</v>
      </c>
      <c r="AN13" s="13" t="n">
        <v>26.2</v>
      </c>
      <c r="AO13" s="13" t="n">
        <v>127.3</v>
      </c>
      <c r="AP13" s="13" t="n">
        <v>256.1</v>
      </c>
    </row>
    <row r="14">
      <c r="A14" s="5" t="inlineStr">
        <is>
          <t>유유제약</t>
        </is>
      </c>
      <c r="B14" s="6" t="inlineStr">
        <is>
          <t>000220</t>
        </is>
      </c>
      <c r="C14" s="6" t="inlineStr">
        <is>
          <t>연결</t>
        </is>
      </c>
      <c r="D14" s="6" t="inlineStr">
        <is>
          <t>2026Q2</t>
        </is>
      </c>
      <c r="E14" s="6" t="inlineStr"/>
      <c r="F14" s="7" t="inlineStr"/>
      <c r="G14" s="8" t="inlineStr"/>
      <c r="H14" s="8" t="inlineStr"/>
      <c r="I14" s="9" t="n">
        <v>33405</v>
      </c>
      <c r="J14" s="10" t="n">
        <v>4665</v>
      </c>
      <c r="K14" s="10" t="n">
        <v>5578</v>
      </c>
      <c r="L14" s="7" t="n">
        <v>33177</v>
      </c>
      <c r="M14" s="8" t="n">
        <v>3782</v>
      </c>
      <c r="N14" s="8" t="n">
        <v>2028</v>
      </c>
      <c r="O14" s="9" t="n">
        <v>33600</v>
      </c>
      <c r="P14" s="10" t="n">
        <v>3518</v>
      </c>
      <c r="Q14" s="10" t="n">
        <v>3289</v>
      </c>
      <c r="R14" s="7" t="n">
        <v>32965</v>
      </c>
      <c r="S14" s="8" t="n">
        <v>-268</v>
      </c>
      <c r="T14" s="8" t="n">
        <v>-606</v>
      </c>
      <c r="U14" s="9" t="n">
        <v>32907</v>
      </c>
      <c r="V14" s="10" t="n">
        <v>3917</v>
      </c>
      <c r="W14" s="10" t="n">
        <v>3001</v>
      </c>
      <c r="X14" s="7" t="n">
        <v>35846</v>
      </c>
      <c r="Y14" s="8" t="n">
        <v>2246</v>
      </c>
      <c r="Z14" s="8" t="n">
        <v>592</v>
      </c>
      <c r="AA14" s="9" t="n">
        <v>37792</v>
      </c>
      <c r="AB14" s="10" t="n">
        <v>4985</v>
      </c>
      <c r="AC14" s="10" t="n">
        <v>4318</v>
      </c>
      <c r="AD14" s="7" t="n">
        <v>34340</v>
      </c>
      <c r="AE14" s="8" t="n">
        <v>-129</v>
      </c>
      <c r="AF14" s="8" t="n">
        <v>1206</v>
      </c>
      <c r="AG14" s="9" t="n">
        <v>35542</v>
      </c>
      <c r="AH14" s="10" t="n">
        <v>4303</v>
      </c>
      <c r="AI14" s="10" t="n">
        <v>3352</v>
      </c>
      <c r="AJ14" s="11" t="n">
        <v>36697</v>
      </c>
      <c r="AK14" s="12" t="n">
        <v>4002</v>
      </c>
      <c r="AL14" s="12" t="n">
        <v>3555</v>
      </c>
      <c r="AM14" s="13" t="n">
        <v>3.2</v>
      </c>
      <c r="AN14" s="13" t="n">
        <v>2.4</v>
      </c>
      <c r="AO14" s="13" t="n">
        <v>-7</v>
      </c>
      <c r="AP14" s="13" t="n">
        <v>78.2</v>
      </c>
    </row>
    <row r="15">
      <c r="A15" s="5" t="inlineStr">
        <is>
          <t>일동홀딩스</t>
        </is>
      </c>
      <c r="B15" s="6" t="inlineStr">
        <is>
          <t>000230</t>
        </is>
      </c>
      <c r="C15" s="6" t="inlineStr">
        <is>
          <t>연결</t>
        </is>
      </c>
      <c r="D15" s="6" t="inlineStr">
        <is>
          <t>2026Q2</t>
        </is>
      </c>
      <c r="E15" s="6" t="inlineStr">
        <is>
          <t>2023Q4</t>
        </is>
      </c>
      <c r="F15" s="14" t="n">
        <v>157355</v>
      </c>
      <c r="G15" s="15" t="n">
        <v>-9222</v>
      </c>
      <c r="H15" s="15" t="n">
        <v>-27736</v>
      </c>
      <c r="I15" s="9" t="n">
        <v>161856</v>
      </c>
      <c r="J15" s="10" t="n">
        <v>-3821</v>
      </c>
      <c r="K15" s="10" t="n">
        <v>-8711</v>
      </c>
      <c r="L15" s="7" t="n">
        <v>162801</v>
      </c>
      <c r="M15" s="8" t="n">
        <v>-3337</v>
      </c>
      <c r="N15" s="8" t="n">
        <v>-3118</v>
      </c>
      <c r="O15" s="9" t="n">
        <v>166569</v>
      </c>
      <c r="P15" s="10" t="n">
        <v>105</v>
      </c>
      <c r="Q15" s="10" t="n">
        <v>-15745</v>
      </c>
      <c r="R15" s="7" t="n">
        <v>166341</v>
      </c>
      <c r="S15" s="8" t="n">
        <v>4641</v>
      </c>
      <c r="T15" s="8" t="n">
        <v>83157</v>
      </c>
      <c r="U15" s="9" t="n">
        <v>149763</v>
      </c>
      <c r="V15" s="10" t="n">
        <v>4088</v>
      </c>
      <c r="W15" s="10" t="n">
        <v>-5224</v>
      </c>
      <c r="X15" s="7" t="n">
        <v>148840</v>
      </c>
      <c r="Y15" s="8" t="n">
        <v>-1970</v>
      </c>
      <c r="Z15" s="8" t="n">
        <v>-8623</v>
      </c>
      <c r="AA15" s="9" t="n">
        <v>150509</v>
      </c>
      <c r="AB15" s="10" t="n">
        <v>6533</v>
      </c>
      <c r="AC15" s="10" t="n">
        <v>15054</v>
      </c>
      <c r="AD15" s="7" t="n">
        <v>141778</v>
      </c>
      <c r="AE15" s="8" t="n">
        <v>6274</v>
      </c>
      <c r="AF15" s="8" t="n">
        <v>20366</v>
      </c>
      <c r="AG15" s="9" t="n">
        <v>148882</v>
      </c>
      <c r="AH15" s="10" t="n">
        <v>8890</v>
      </c>
      <c r="AI15" s="10" t="n">
        <v>5774</v>
      </c>
      <c r="AJ15" s="11" t="n">
        <v>153985</v>
      </c>
      <c r="AK15" s="12" t="n">
        <v>1930</v>
      </c>
      <c r="AL15" s="12" t="n">
        <v>2751</v>
      </c>
      <c r="AM15" s="13" t="n">
        <v>3.4</v>
      </c>
      <c r="AN15" s="13" t="n">
        <v>3.5</v>
      </c>
      <c r="AO15" s="13" t="n">
        <v>-78.3</v>
      </c>
      <c r="AP15" s="13" t="n">
        <v>198</v>
      </c>
    </row>
    <row r="16">
      <c r="A16" s="5" t="inlineStr">
        <is>
          <t>한국앤컴퍼니</t>
        </is>
      </c>
      <c r="B16" s="6" t="inlineStr">
        <is>
          <t>000240</t>
        </is>
      </c>
      <c r="C16" s="6" t="inlineStr">
        <is>
          <t>연결</t>
        </is>
      </c>
      <c r="D16" s="6" t="inlineStr">
        <is>
          <t>2026Q2</t>
        </is>
      </c>
      <c r="E16" s="6" t="inlineStr">
        <is>
          <t>2023Q4</t>
        </is>
      </c>
      <c r="F16" s="14" t="n">
        <v>325883</v>
      </c>
      <c r="G16" s="15" t="n">
        <v>77135</v>
      </c>
      <c r="H16" s="15" t="n">
        <v>23885</v>
      </c>
      <c r="I16" s="9" t="n">
        <v>348674</v>
      </c>
      <c r="J16" s="10" t="n">
        <v>125534</v>
      </c>
      <c r="K16" s="10" t="n">
        <v>114062</v>
      </c>
      <c r="L16" s="7" t="n">
        <v>363523</v>
      </c>
      <c r="M16" s="8" t="n">
        <v>124768</v>
      </c>
      <c r="N16" s="8" t="n">
        <v>108476</v>
      </c>
      <c r="O16" s="9" t="n">
        <v>381397</v>
      </c>
      <c r="P16" s="10" t="n">
        <v>137276</v>
      </c>
      <c r="Q16" s="10" t="n">
        <v>120683</v>
      </c>
      <c r="R16" s="7" t="n">
        <v>297402</v>
      </c>
      <c r="S16" s="8" t="n">
        <v>30690</v>
      </c>
      <c r="T16" s="8" t="n">
        <v>7492</v>
      </c>
      <c r="U16" s="9" t="n">
        <v>388686</v>
      </c>
      <c r="V16" s="10" t="n">
        <v>126893</v>
      </c>
      <c r="W16" s="10" t="n">
        <v>115439</v>
      </c>
      <c r="X16" s="7" t="n">
        <v>343752</v>
      </c>
      <c r="Y16" s="8" t="n">
        <v>73867</v>
      </c>
      <c r="Z16" s="8" t="n">
        <v>56529</v>
      </c>
      <c r="AA16" s="9" t="n">
        <v>384716</v>
      </c>
      <c r="AB16" s="10" t="n">
        <v>137075</v>
      </c>
      <c r="AC16" s="10" t="n">
        <v>129734</v>
      </c>
      <c r="AD16" s="7" t="n">
        <v>340398</v>
      </c>
      <c r="AE16" s="8" t="n">
        <v>73791</v>
      </c>
      <c r="AF16" s="8" t="n">
        <v>45527</v>
      </c>
      <c r="AG16" s="9" t="n">
        <v>378380</v>
      </c>
      <c r="AH16" s="10" t="n">
        <v>121684</v>
      </c>
      <c r="AI16" s="10" t="n">
        <v>124688</v>
      </c>
      <c r="AJ16" s="11" t="n">
        <v>339568</v>
      </c>
      <c r="AK16" s="12" t="n">
        <v>100150</v>
      </c>
      <c r="AL16" s="12" t="n">
        <v>95692</v>
      </c>
      <c r="AM16" s="13" t="n">
        <v>-10.3</v>
      </c>
      <c r="AN16" s="13" t="n">
        <v>-1.2</v>
      </c>
      <c r="AO16" s="13" t="n">
        <v>-17.7</v>
      </c>
      <c r="AP16" s="13" t="n">
        <v>35.6</v>
      </c>
    </row>
    <row r="17">
      <c r="A17" s="5" t="inlineStr">
        <is>
          <t>삼천당제약</t>
        </is>
      </c>
      <c r="B17" s="6" t="inlineStr">
        <is>
          <t>000250</t>
        </is>
      </c>
      <c r="C17" s="6" t="inlineStr">
        <is>
          <t>연결</t>
        </is>
      </c>
      <c r="D17" s="6" t="inlineStr">
        <is>
          <t>2026Q2</t>
        </is>
      </c>
      <c r="E17" s="6" t="inlineStr"/>
      <c r="F17" s="7" t="inlineStr"/>
      <c r="G17" s="8" t="inlineStr"/>
      <c r="H17" s="8" t="inlineStr"/>
      <c r="I17" s="9" t="n">
        <v>48457</v>
      </c>
      <c r="J17" s="10" t="n">
        <v>1863</v>
      </c>
      <c r="K17" s="10" t="n">
        <v>2322</v>
      </c>
      <c r="L17" s="7" t="n">
        <v>54890</v>
      </c>
      <c r="M17" s="8" t="n">
        <v>2138</v>
      </c>
      <c r="N17" s="8" t="n">
        <v>1827</v>
      </c>
      <c r="O17" s="9" t="n">
        <v>52383</v>
      </c>
      <c r="P17" s="10" t="n">
        <v>-814</v>
      </c>
      <c r="Q17" s="10" t="n">
        <v>-285</v>
      </c>
      <c r="R17" s="7" t="n">
        <v>55194</v>
      </c>
      <c r="S17" s="8" t="n">
        <v>-545</v>
      </c>
      <c r="T17" s="8" t="n">
        <v>-8942</v>
      </c>
      <c r="U17" s="9" t="n">
        <v>50618</v>
      </c>
      <c r="V17" s="10" t="n">
        <v>688</v>
      </c>
      <c r="W17" s="10" t="n">
        <v>1275</v>
      </c>
      <c r="X17" s="7" t="n">
        <v>56900</v>
      </c>
      <c r="Y17" s="8" t="n">
        <v>-1080</v>
      </c>
      <c r="Z17" s="8" t="n">
        <v>-1615</v>
      </c>
      <c r="AA17" s="9" t="n">
        <v>58024</v>
      </c>
      <c r="AB17" s="10" t="n">
        <v>3434</v>
      </c>
      <c r="AC17" s="10" t="n">
        <v>4461</v>
      </c>
      <c r="AD17" s="7" t="n">
        <v>66263</v>
      </c>
      <c r="AE17" s="8" t="n">
        <v>5425</v>
      </c>
      <c r="AF17" s="8" t="n">
        <v>7909</v>
      </c>
      <c r="AG17" s="9" t="n">
        <v>64868</v>
      </c>
      <c r="AH17" s="10" t="n">
        <v>5449</v>
      </c>
      <c r="AI17" s="10" t="n">
        <v>6906</v>
      </c>
      <c r="AJ17" s="11" t="n">
        <v>70745</v>
      </c>
      <c r="AK17" s="12" t="n">
        <v>3439</v>
      </c>
      <c r="AL17" s="12" t="n">
        <v>6199</v>
      </c>
      <c r="AM17" s="13" t="n">
        <v>9.1</v>
      </c>
      <c r="AN17" s="13" t="n">
        <v>24.3</v>
      </c>
      <c r="AO17" s="13" t="n">
        <v>-36.9</v>
      </c>
      <c r="AP17" s="13" t="n">
        <v>418.4</v>
      </c>
    </row>
    <row r="18">
      <c r="A18" s="5" t="inlineStr">
        <is>
          <t>기아</t>
        </is>
      </c>
      <c r="B18" s="6" t="inlineStr">
        <is>
          <t>000270</t>
        </is>
      </c>
      <c r="C18" s="6" t="inlineStr">
        <is>
          <t>연결</t>
        </is>
      </c>
      <c r="D18" s="6" t="inlineStr">
        <is>
          <t>2026Q2</t>
        </is>
      </c>
      <c r="E18" s="6" t="inlineStr">
        <is>
          <t>2023Q4</t>
        </is>
      </c>
      <c r="F18" s="14" t="n">
        <v>24328154</v>
      </c>
      <c r="G18" s="15" t="n">
        <v>2465762</v>
      </c>
      <c r="H18" s="15" t="n">
        <v>1620053</v>
      </c>
      <c r="I18" s="9" t="n">
        <v>26212851</v>
      </c>
      <c r="J18" s="10" t="n">
        <v>3425710</v>
      </c>
      <c r="K18" s="10" t="n">
        <v>2809052</v>
      </c>
      <c r="L18" s="7" t="n">
        <v>27567907</v>
      </c>
      <c r="M18" s="8" t="n">
        <v>3643732</v>
      </c>
      <c r="N18" s="8" t="n">
        <v>2956622</v>
      </c>
      <c r="O18" s="9" t="n">
        <v>26519877</v>
      </c>
      <c r="P18" s="10" t="n">
        <v>2881280</v>
      </c>
      <c r="Q18" s="10" t="n">
        <v>2267913</v>
      </c>
      <c r="R18" s="7" t="n">
        <v>27148117</v>
      </c>
      <c r="S18" s="8" t="n">
        <v>2716417</v>
      </c>
      <c r="T18" s="8" t="n">
        <v>1741418</v>
      </c>
      <c r="U18" s="9" t="n">
        <v>28017510</v>
      </c>
      <c r="V18" s="10" t="n">
        <v>3008588</v>
      </c>
      <c r="W18" s="10" t="n">
        <v>2392590</v>
      </c>
      <c r="X18" s="7" t="n">
        <v>29349635</v>
      </c>
      <c r="Y18" s="8" t="n">
        <v>2764766</v>
      </c>
      <c r="Z18" s="8" t="n">
        <v>2268222</v>
      </c>
      <c r="AA18" s="9" t="n">
        <v>28686037</v>
      </c>
      <c r="AB18" s="10" t="n">
        <v>1462251</v>
      </c>
      <c r="AC18" s="10" t="n">
        <v>1422460</v>
      </c>
      <c r="AD18" s="7" t="n">
        <v>28087737</v>
      </c>
      <c r="AE18" s="8" t="n">
        <v>1842543</v>
      </c>
      <c r="AF18" s="8" t="n">
        <v>1470902</v>
      </c>
      <c r="AG18" s="9" t="n">
        <v>29501881</v>
      </c>
      <c r="AH18" s="10" t="n">
        <v>2205091</v>
      </c>
      <c r="AI18" s="10" t="n">
        <v>1830207</v>
      </c>
      <c r="AJ18" s="11" t="n">
        <v>33037055</v>
      </c>
      <c r="AK18" s="12" t="n">
        <v>2628559</v>
      </c>
      <c r="AL18" s="12" t="n">
        <v>2327742</v>
      </c>
      <c r="AM18" s="13" t="n">
        <v>12</v>
      </c>
      <c r="AN18" s="13" t="n">
        <v>12.6</v>
      </c>
      <c r="AO18" s="13" t="n">
        <v>19.2</v>
      </c>
      <c r="AP18" s="13" t="n">
        <v>-4.9</v>
      </c>
    </row>
    <row r="19">
      <c r="A19" s="5" t="inlineStr">
        <is>
          <t>DH오토넥스</t>
        </is>
      </c>
      <c r="B19" s="6" t="inlineStr">
        <is>
          <t>000300</t>
        </is>
      </c>
      <c r="C19" s="6" t="inlineStr">
        <is>
          <t>연결</t>
        </is>
      </c>
      <c r="D19" s="6" t="inlineStr">
        <is>
          <t>2026Q2</t>
        </is>
      </c>
      <c r="E19" s="6" t="inlineStr"/>
      <c r="F19" s="7" t="inlineStr"/>
      <c r="G19" s="8" t="inlineStr"/>
      <c r="H19" s="8" t="inlineStr"/>
      <c r="I19" s="9" t="n">
        <v>9146</v>
      </c>
      <c r="J19" s="10" t="n">
        <v>-1277</v>
      </c>
      <c r="K19" s="10" t="n">
        <v>-2199</v>
      </c>
      <c r="L19" s="7" t="n">
        <v>8944</v>
      </c>
      <c r="M19" s="8" t="n">
        <v>-1799</v>
      </c>
      <c r="N19" s="8" t="n">
        <v>-11327</v>
      </c>
      <c r="O19" s="9" t="n">
        <v>7149</v>
      </c>
      <c r="P19" s="10" t="n">
        <v>-1262</v>
      </c>
      <c r="Q19" s="10" t="n">
        <v>6473</v>
      </c>
      <c r="R19" s="7" t="n">
        <v>7141</v>
      </c>
      <c r="S19" s="8" t="n">
        <v>-4226</v>
      </c>
      <c r="T19" s="8" t="n">
        <v>120583</v>
      </c>
      <c r="U19" s="9" t="n">
        <v>9777</v>
      </c>
      <c r="V19" s="10" t="n">
        <v>154</v>
      </c>
      <c r="W19" s="10" t="n">
        <v>411</v>
      </c>
      <c r="X19" s="7" t="n">
        <v>6856</v>
      </c>
      <c r="Y19" s="8" t="n">
        <v>-1705</v>
      </c>
      <c r="Z19" s="8" t="n">
        <v>562</v>
      </c>
      <c r="AA19" s="9" t="n">
        <v>10303</v>
      </c>
      <c r="AB19" s="10" t="n">
        <v>4248</v>
      </c>
      <c r="AC19" s="10" t="n">
        <v>2886</v>
      </c>
      <c r="AD19" s="7" t="inlineStr"/>
      <c r="AE19" s="8" t="n">
        <v>531</v>
      </c>
      <c r="AF19" s="8" t="n">
        <v>1896</v>
      </c>
      <c r="AG19" s="9" t="n">
        <v>14362</v>
      </c>
      <c r="AH19" s="10" t="n">
        <v>282</v>
      </c>
      <c r="AI19" s="10" t="n">
        <v>168</v>
      </c>
      <c r="AJ19" s="11" t="n">
        <v>7816</v>
      </c>
      <c r="AK19" s="12" t="n">
        <v>-1911</v>
      </c>
      <c r="AL19" s="12" t="n">
        <v>-2258</v>
      </c>
      <c r="AM19" s="13" t="n">
        <v>-45.6</v>
      </c>
      <c r="AN19" s="13" t="n">
        <v>14</v>
      </c>
      <c r="AO19" s="13" t="n">
        <v>-777.7</v>
      </c>
      <c r="AP19" s="13" t="n">
        <v>-12.1</v>
      </c>
    </row>
    <row r="20">
      <c r="A20" s="5" t="inlineStr">
        <is>
          <t>노루홀딩스</t>
        </is>
      </c>
      <c r="B20" s="6" t="inlineStr">
        <is>
          <t>000320</t>
        </is>
      </c>
      <c r="C20" s="6" t="inlineStr">
        <is>
          <t>연결</t>
        </is>
      </c>
      <c r="D20" s="6" t="inlineStr">
        <is>
          <t>2026Q2</t>
        </is>
      </c>
      <c r="E20" s="6" t="inlineStr"/>
      <c r="F20" s="7" t="inlineStr"/>
      <c r="G20" s="8" t="inlineStr"/>
      <c r="H20" s="8" t="inlineStr"/>
      <c r="I20" s="9" t="n">
        <v>280126</v>
      </c>
      <c r="J20" s="10" t="n">
        <v>16598</v>
      </c>
      <c r="K20" s="10" t="n">
        <v>15179</v>
      </c>
      <c r="L20" s="7" t="n">
        <v>345837</v>
      </c>
      <c r="M20" s="8" t="n">
        <v>28364</v>
      </c>
      <c r="N20" s="8" t="n">
        <v>23891</v>
      </c>
      <c r="O20" s="9" t="n">
        <v>307216</v>
      </c>
      <c r="P20" s="10" t="n">
        <v>23860</v>
      </c>
      <c r="Q20" s="10" t="n">
        <v>31753</v>
      </c>
      <c r="R20" s="7" t="n">
        <v>314699</v>
      </c>
      <c r="S20" s="8" t="n">
        <v>3733</v>
      </c>
      <c r="T20" s="8" t="n">
        <v>11245</v>
      </c>
      <c r="U20" s="9" t="n">
        <v>288914</v>
      </c>
      <c r="V20" s="10" t="n">
        <v>12262</v>
      </c>
      <c r="W20" s="10" t="n">
        <v>11723</v>
      </c>
      <c r="X20" s="7" t="n">
        <v>348835</v>
      </c>
      <c r="Y20" s="8" t="n">
        <v>23625</v>
      </c>
      <c r="Z20" s="8" t="n">
        <v>14039</v>
      </c>
      <c r="AA20" s="9" t="n">
        <v>314718</v>
      </c>
      <c r="AB20" s="10" t="n">
        <v>19708</v>
      </c>
      <c r="AC20" s="10" t="n">
        <v>19801</v>
      </c>
      <c r="AD20" s="7" t="n">
        <v>286801</v>
      </c>
      <c r="AE20" s="8" t="n">
        <v>8913</v>
      </c>
      <c r="AF20" s="8" t="n">
        <v>12979</v>
      </c>
      <c r="AG20" s="9" t="n">
        <v>298794</v>
      </c>
      <c r="AH20" s="10" t="n">
        <v>16244</v>
      </c>
      <c r="AI20" s="10" t="n">
        <v>15115</v>
      </c>
      <c r="AJ20" s="11" t="n">
        <v>356230</v>
      </c>
      <c r="AK20" s="12" t="n">
        <v>30822</v>
      </c>
      <c r="AL20" s="12" t="n">
        <v>27087</v>
      </c>
      <c r="AM20" s="13" t="n">
        <v>19.2</v>
      </c>
      <c r="AN20" s="13" t="n">
        <v>2.1</v>
      </c>
      <c r="AO20" s="13" t="n">
        <v>89.7</v>
      </c>
      <c r="AP20" s="13" t="n">
        <v>30.5</v>
      </c>
    </row>
    <row r="21">
      <c r="A21" s="5" t="inlineStr">
        <is>
          <t>한화손해보험</t>
        </is>
      </c>
      <c r="B21" s="6" t="inlineStr">
        <is>
          <t>000370</t>
        </is>
      </c>
      <c r="C21" s="6" t="inlineStr">
        <is>
          <t>연결</t>
        </is>
      </c>
      <c r="D21" s="6" t="inlineStr">
        <is>
          <t>2026Q2</t>
        </is>
      </c>
      <c r="E21" s="6" t="inlineStr">
        <is>
          <t>2023Q4</t>
        </is>
      </c>
      <c r="F21" s="14" t="n">
        <v>1313748</v>
      </c>
      <c r="G21" s="15" t="n">
        <v>57952</v>
      </c>
      <c r="H21" s="15" t="n">
        <v>36969</v>
      </c>
      <c r="I21" s="14" t="n">
        <v>1456358</v>
      </c>
      <c r="J21" s="10" t="n">
        <v>155876</v>
      </c>
      <c r="K21" s="10" t="n">
        <v>108475</v>
      </c>
      <c r="L21" s="14" t="n">
        <v>1482812</v>
      </c>
      <c r="M21" s="8" t="n">
        <v>148026</v>
      </c>
      <c r="N21" s="8" t="n">
        <v>116054</v>
      </c>
      <c r="O21" s="14" t="n">
        <v>1411559</v>
      </c>
      <c r="P21" s="10" t="n">
        <v>120666</v>
      </c>
      <c r="Q21" s="10" t="n">
        <v>85005</v>
      </c>
      <c r="R21" s="14" t="n">
        <v>1616817</v>
      </c>
      <c r="S21" s="8" t="n">
        <v>11168</v>
      </c>
      <c r="T21" s="8" t="n">
        <v>6433</v>
      </c>
      <c r="U21" s="14" t="n">
        <v>1609270</v>
      </c>
      <c r="V21" s="10" t="n">
        <v>172870</v>
      </c>
      <c r="W21" s="10" t="n">
        <v>127517</v>
      </c>
      <c r="X21" s="14" t="n">
        <v>1713368</v>
      </c>
      <c r="Y21" s="8" t="n">
        <v>105976</v>
      </c>
      <c r="Z21" s="8" t="n">
        <v>69864</v>
      </c>
      <c r="AA21" s="14" t="n">
        <v>1599146</v>
      </c>
      <c r="AB21" s="10" t="n">
        <v>63858</v>
      </c>
      <c r="AC21" s="10" t="n">
        <v>35705</v>
      </c>
      <c r="AD21" s="14" t="n">
        <v>2058296</v>
      </c>
      <c r="AE21" s="8" t="n">
        <v>86889</v>
      </c>
      <c r="AF21" s="8" t="n">
        <v>59247</v>
      </c>
      <c r="AG21" s="14" t="n">
        <v>1971620</v>
      </c>
      <c r="AH21" s="10" t="n">
        <v>135869</v>
      </c>
      <c r="AI21" s="10" t="n">
        <v>106464</v>
      </c>
      <c r="AJ21" s="14" t="n">
        <v>1977376</v>
      </c>
      <c r="AK21" s="12" t="n">
        <v>140774</v>
      </c>
      <c r="AL21" s="12" t="n">
        <v>121174</v>
      </c>
      <c r="AM21" s="13" t="n">
        <v>0.3</v>
      </c>
      <c r="AN21" s="13" t="n">
        <v>15.4</v>
      </c>
      <c r="AO21" s="13" t="n">
        <v>3.6</v>
      </c>
      <c r="AP21" s="13" t="n">
        <v>32.8</v>
      </c>
    </row>
    <row r="22">
      <c r="A22" s="5" t="inlineStr">
        <is>
          <t>SP삼화</t>
        </is>
      </c>
      <c r="B22" s="6" t="inlineStr">
        <is>
          <t>000390</t>
        </is>
      </c>
      <c r="C22" s="6" t="inlineStr">
        <is>
          <t>연결</t>
        </is>
      </c>
      <c r="D22" s="6" t="inlineStr">
        <is>
          <t>2026Q2</t>
        </is>
      </c>
      <c r="E22" s="6" t="inlineStr"/>
      <c r="F22" s="7" t="inlineStr"/>
      <c r="G22" s="8" t="inlineStr"/>
      <c r="H22" s="8" t="inlineStr"/>
      <c r="I22" s="9" t="n">
        <v>140395</v>
      </c>
      <c r="J22" s="10" t="n">
        <v>3081</v>
      </c>
      <c r="K22" s="10" t="n">
        <v>3240</v>
      </c>
      <c r="L22" s="7" t="n">
        <v>182670</v>
      </c>
      <c r="M22" s="8" t="n">
        <v>12426</v>
      </c>
      <c r="N22" s="8" t="n">
        <v>9862</v>
      </c>
      <c r="O22" s="9" t="n">
        <v>150485</v>
      </c>
      <c r="P22" s="10" t="n">
        <v>4372</v>
      </c>
      <c r="Q22" s="10" t="n">
        <v>1358</v>
      </c>
      <c r="R22" s="7" t="n">
        <v>154798</v>
      </c>
      <c r="S22" s="8" t="n">
        <v>-897</v>
      </c>
      <c r="T22" s="8" t="n">
        <v>1013</v>
      </c>
      <c r="U22" s="9" t="n">
        <v>133269</v>
      </c>
      <c r="V22" s="10" t="n">
        <v>-3568</v>
      </c>
      <c r="W22" s="10" t="n">
        <v>-1458</v>
      </c>
      <c r="X22" s="7" t="n">
        <v>177509</v>
      </c>
      <c r="Y22" s="8" t="n">
        <v>8137</v>
      </c>
      <c r="Z22" s="8" t="n">
        <v>7735</v>
      </c>
      <c r="AA22" s="9" t="n">
        <v>155502</v>
      </c>
      <c r="AB22" s="10" t="n">
        <v>1346</v>
      </c>
      <c r="AC22" s="10" t="n">
        <v>742</v>
      </c>
      <c r="AD22" s="7" t="n">
        <v>150788</v>
      </c>
      <c r="AE22" s="8" t="n">
        <v>3634</v>
      </c>
      <c r="AF22" s="8" t="n">
        <v>761</v>
      </c>
      <c r="AG22" s="9" t="n">
        <v>144307</v>
      </c>
      <c r="AH22" s="10" t="n">
        <v>1821</v>
      </c>
      <c r="AI22" s="10" t="n">
        <v>2972</v>
      </c>
      <c r="AJ22" s="11" t="n">
        <v>177547</v>
      </c>
      <c r="AK22" s="12" t="n">
        <v>13751</v>
      </c>
      <c r="AL22" s="12" t="n">
        <v>9557</v>
      </c>
      <c r="AM22" s="13" t="n">
        <v>23</v>
      </c>
      <c r="AN22" s="13" t="n">
        <v>0</v>
      </c>
      <c r="AO22" s="13" t="n">
        <v>655.1</v>
      </c>
      <c r="AP22" s="13" t="n">
        <v>69</v>
      </c>
    </row>
    <row r="23">
      <c r="A23" s="5" t="inlineStr">
        <is>
          <t>롯데손해보험</t>
        </is>
      </c>
      <c r="B23" s="6" t="inlineStr">
        <is>
          <t>000400</t>
        </is>
      </c>
      <c r="C23" s="6" t="inlineStr">
        <is>
          <t>별도</t>
        </is>
      </c>
      <c r="D23" s="6" t="inlineStr">
        <is>
          <t>2026Q2</t>
        </is>
      </c>
      <c r="E23" s="6" t="inlineStr"/>
      <c r="F23" s="7" t="inlineStr"/>
      <c r="G23" s="8" t="inlineStr"/>
      <c r="H23" s="8" t="inlineStr"/>
      <c r="I23" s="9" t="inlineStr"/>
      <c r="J23" s="10" t="n">
        <v>51147</v>
      </c>
      <c r="K23" s="10" t="n">
        <v>40867</v>
      </c>
      <c r="L23" s="7" t="inlineStr"/>
      <c r="M23" s="8" t="n">
        <v>32815</v>
      </c>
      <c r="N23" s="8" t="n">
        <v>25388</v>
      </c>
      <c r="O23" s="9" t="inlineStr"/>
      <c r="P23" s="10" t="n">
        <v>23861</v>
      </c>
      <c r="Q23" s="10" t="n">
        <v>18159</v>
      </c>
      <c r="R23" s="7" t="inlineStr"/>
      <c r="S23" s="8" t="n">
        <v>-76762</v>
      </c>
      <c r="T23" s="8" t="n">
        <v>-60193</v>
      </c>
      <c r="U23" s="9" t="inlineStr"/>
      <c r="V23" s="10" t="n">
        <v>13010</v>
      </c>
      <c r="W23" s="10" t="n">
        <v>11279</v>
      </c>
      <c r="X23" s="7" t="inlineStr"/>
      <c r="Y23" s="8" t="n">
        <v>48272</v>
      </c>
      <c r="Z23" s="8" t="n">
        <v>36182</v>
      </c>
      <c r="AA23" s="14" t="n">
        <v>765454</v>
      </c>
      <c r="AB23" s="10" t="n">
        <v>68025</v>
      </c>
      <c r="AC23" s="10" t="n">
        <v>51531</v>
      </c>
      <c r="AD23" s="7" t="inlineStr"/>
      <c r="AE23" s="8" t="n">
        <v>-64571</v>
      </c>
      <c r="AF23" s="8" t="n">
        <v>-47661</v>
      </c>
      <c r="AG23" s="9" t="inlineStr"/>
      <c r="AH23" s="10" t="n">
        <v>-28456</v>
      </c>
      <c r="AI23" s="10" t="n">
        <v>-19767</v>
      </c>
      <c r="AJ23" s="11" t="inlineStr"/>
      <c r="AK23" s="12" t="n">
        <v>3057</v>
      </c>
      <c r="AL23" s="12" t="n">
        <v>1313</v>
      </c>
      <c r="AM23" s="13" t="inlineStr"/>
      <c r="AN23" s="13" t="inlineStr"/>
      <c r="AO23" s="13" t="n">
        <v>110.7</v>
      </c>
      <c r="AP23" s="13" t="n">
        <v>-93.7</v>
      </c>
    </row>
    <row r="24">
      <c r="A24" s="5" t="inlineStr">
        <is>
          <t>대원강업</t>
        </is>
      </c>
      <c r="B24" s="6" t="inlineStr">
        <is>
          <t>000430</t>
        </is>
      </c>
      <c r="C24" s="6" t="inlineStr">
        <is>
          <t>연결</t>
        </is>
      </c>
      <c r="D24" s="6" t="inlineStr">
        <is>
          <t>2026Q2</t>
        </is>
      </c>
      <c r="E24" s="6" t="inlineStr"/>
      <c r="F24" s="7" t="inlineStr"/>
      <c r="G24" s="8" t="inlineStr"/>
      <c r="H24" s="8" t="inlineStr"/>
      <c r="I24" s="9" t="n">
        <v>284365</v>
      </c>
      <c r="J24" s="10" t="n">
        <v>16837</v>
      </c>
      <c r="K24" s="10" t="n">
        <v>13205</v>
      </c>
      <c r="L24" s="7" t="n">
        <v>295258</v>
      </c>
      <c r="M24" s="8" t="n">
        <v>-5793</v>
      </c>
      <c r="N24" s="8" t="n">
        <v>-1079</v>
      </c>
      <c r="O24" s="9" t="n">
        <v>367782</v>
      </c>
      <c r="P24" s="10" t="n">
        <v>17305</v>
      </c>
      <c r="Q24" s="10" t="n">
        <v>12180</v>
      </c>
      <c r="R24" s="7" t="n">
        <v>420180</v>
      </c>
      <c r="S24" s="8" t="n">
        <v>-5784</v>
      </c>
      <c r="T24" s="8" t="n">
        <v>7591</v>
      </c>
      <c r="U24" s="9" t="n">
        <v>381959</v>
      </c>
      <c r="V24" s="10" t="n">
        <v>18385</v>
      </c>
      <c r="W24" s="10" t="n">
        <v>15475</v>
      </c>
      <c r="X24" s="7" t="n">
        <v>421727</v>
      </c>
      <c r="Y24" s="8" t="n">
        <v>16590</v>
      </c>
      <c r="Z24" s="8" t="n">
        <v>8244</v>
      </c>
      <c r="AA24" s="9" t="n">
        <v>389954</v>
      </c>
      <c r="AB24" s="10" t="n">
        <v>-3387</v>
      </c>
      <c r="AC24" s="10" t="n">
        <v>-3661</v>
      </c>
      <c r="AD24" s="7" t="n">
        <v>405432</v>
      </c>
      <c r="AE24" s="8" t="n">
        <v>15419</v>
      </c>
      <c r="AF24" s="8" t="n">
        <v>25930</v>
      </c>
      <c r="AG24" s="9" t="n">
        <v>432811</v>
      </c>
      <c r="AH24" s="10" t="n">
        <v>23275</v>
      </c>
      <c r="AI24" s="10" t="n">
        <v>34982</v>
      </c>
      <c r="AJ24" s="11" t="n">
        <v>472012</v>
      </c>
      <c r="AK24" s="12" t="n">
        <v>38487</v>
      </c>
      <c r="AL24" s="12" t="n">
        <v>30865</v>
      </c>
      <c r="AM24" s="13" t="n">
        <v>9.1</v>
      </c>
      <c r="AN24" s="13" t="n">
        <v>11.9</v>
      </c>
      <c r="AO24" s="13" t="n">
        <v>65.40000000000001</v>
      </c>
      <c r="AP24" s="13" t="n">
        <v>132</v>
      </c>
    </row>
    <row r="25">
      <c r="A25" s="5" t="inlineStr">
        <is>
          <t>중앙에너비스</t>
        </is>
      </c>
      <c r="B25" s="6" t="inlineStr">
        <is>
          <t>000440</t>
        </is>
      </c>
      <c r="C25" s="6" t="inlineStr">
        <is>
          <t>연결</t>
        </is>
      </c>
      <c r="D25" s="6" t="inlineStr">
        <is>
          <t>2026Q2</t>
        </is>
      </c>
      <c r="E25" s="6" t="inlineStr"/>
      <c r="F25" s="7" t="inlineStr"/>
      <c r="G25" s="8" t="inlineStr"/>
      <c r="H25" s="8" t="inlineStr"/>
      <c r="I25" s="9" t="n">
        <v>10946</v>
      </c>
      <c r="J25" s="10" t="n">
        <v>-482</v>
      </c>
      <c r="K25" s="10" t="n">
        <v>-349</v>
      </c>
      <c r="L25" s="7" t="n">
        <v>12036</v>
      </c>
      <c r="M25" s="8" t="n">
        <v>-1048</v>
      </c>
      <c r="N25" s="8" t="n">
        <v>-914</v>
      </c>
      <c r="O25" s="9" t="n">
        <v>14261</v>
      </c>
      <c r="P25" s="10" t="n">
        <v>60</v>
      </c>
      <c r="Q25" s="10" t="n">
        <v>358</v>
      </c>
      <c r="R25" s="7" t="n">
        <v>12568</v>
      </c>
      <c r="S25" s="8" t="n">
        <v>-276</v>
      </c>
      <c r="T25" s="8" t="n">
        <v>-39</v>
      </c>
      <c r="U25" s="9" t="n">
        <v>12573</v>
      </c>
      <c r="V25" s="10" t="n">
        <v>-291</v>
      </c>
      <c r="W25" s="10" t="n">
        <v>-203</v>
      </c>
      <c r="X25" s="7" t="n">
        <v>12481</v>
      </c>
      <c r="Y25" s="8" t="n">
        <v>-948</v>
      </c>
      <c r="Z25" s="8" t="n">
        <v>-899</v>
      </c>
      <c r="AA25" s="9" t="n">
        <v>12774</v>
      </c>
      <c r="AB25" s="10" t="n">
        <v>-196</v>
      </c>
      <c r="AC25" s="10" t="n">
        <v>-127</v>
      </c>
      <c r="AD25" s="7" t="n">
        <v>11764</v>
      </c>
      <c r="AE25" s="8" t="n">
        <v>-309</v>
      </c>
      <c r="AF25" s="8" t="n">
        <v>114</v>
      </c>
      <c r="AG25" s="9" t="n">
        <v>11227</v>
      </c>
      <c r="AH25" s="10" t="n">
        <v>-202</v>
      </c>
      <c r="AI25" s="10" t="n">
        <v>-154</v>
      </c>
      <c r="AJ25" s="11" t="n">
        <v>14951</v>
      </c>
      <c r="AK25" s="12" t="n">
        <v>-967</v>
      </c>
      <c r="AL25" s="12" t="n">
        <v>-837</v>
      </c>
      <c r="AM25" s="13" t="n">
        <v>33.2</v>
      </c>
      <c r="AN25" s="13" t="n">
        <v>19.8</v>
      </c>
      <c r="AO25" s="13" t="n">
        <v>-378.7</v>
      </c>
      <c r="AP25" s="13" t="n">
        <v>-2</v>
      </c>
    </row>
    <row r="26">
      <c r="A26" s="5" t="inlineStr">
        <is>
          <t>시알홀딩스</t>
        </is>
      </c>
      <c r="B26" s="6" t="inlineStr">
        <is>
          <t>000480</t>
        </is>
      </c>
      <c r="C26" s="6" t="inlineStr">
        <is>
          <t>연결</t>
        </is>
      </c>
      <c r="D26" s="6" t="inlineStr">
        <is>
          <t>2026Q2</t>
        </is>
      </c>
      <c r="E26" s="6" t="inlineStr"/>
      <c r="F26" s="7" t="inlineStr"/>
      <c r="G26" s="8" t="inlineStr"/>
      <c r="H26" s="8" t="inlineStr"/>
      <c r="I26" s="9" t="n">
        <v>196660</v>
      </c>
      <c r="J26" s="10" t="n">
        <v>10125</v>
      </c>
      <c r="K26" s="10" t="n">
        <v>9774</v>
      </c>
      <c r="L26" s="7" t="n">
        <v>201928</v>
      </c>
      <c r="M26" s="8" t="n">
        <v>6403</v>
      </c>
      <c r="N26" s="8" t="n">
        <v>2307</v>
      </c>
      <c r="O26" s="9" t="n">
        <v>202556</v>
      </c>
      <c r="P26" s="10" t="n">
        <v>13366</v>
      </c>
      <c r="Q26" s="10" t="n">
        <v>8363</v>
      </c>
      <c r="R26" s="7" t="n">
        <v>209688</v>
      </c>
      <c r="S26" s="8" t="n">
        <v>-12456</v>
      </c>
      <c r="T26" s="8" t="n">
        <v>-17973</v>
      </c>
      <c r="U26" s="9" t="n">
        <v>203230</v>
      </c>
      <c r="V26" s="10" t="n">
        <v>6704</v>
      </c>
      <c r="W26" s="10" t="n">
        <v>-2767</v>
      </c>
      <c r="X26" s="7" t="n">
        <v>214325</v>
      </c>
      <c r="Y26" s="8" t="n">
        <v>7834</v>
      </c>
      <c r="Z26" s="8" t="n">
        <v>5282</v>
      </c>
      <c r="AA26" s="9" t="n">
        <v>216939</v>
      </c>
      <c r="AB26" s="10" t="n">
        <v>18310</v>
      </c>
      <c r="AC26" s="10" t="n">
        <v>-46</v>
      </c>
      <c r="AD26" s="7" t="n">
        <v>193258</v>
      </c>
      <c r="AE26" s="8" t="n">
        <v>-5024</v>
      </c>
      <c r="AF26" s="8" t="n">
        <v>-21272</v>
      </c>
      <c r="AG26" s="9" t="n">
        <v>205693</v>
      </c>
      <c r="AH26" s="10" t="n">
        <v>10197</v>
      </c>
      <c r="AI26" s="10" t="n">
        <v>8021</v>
      </c>
      <c r="AJ26" s="11" t="n">
        <v>200820</v>
      </c>
      <c r="AK26" s="12" t="n">
        <v>62</v>
      </c>
      <c r="AL26" s="12" t="n">
        <v>-7271</v>
      </c>
      <c r="AM26" s="13" t="n">
        <v>-2.4</v>
      </c>
      <c r="AN26" s="13" t="n">
        <v>-6.3</v>
      </c>
      <c r="AO26" s="13" t="n">
        <v>-99.40000000000001</v>
      </c>
      <c r="AP26" s="13" t="n">
        <v>-99.2</v>
      </c>
    </row>
    <row r="27">
      <c r="A27" s="5" t="inlineStr">
        <is>
          <t>대동</t>
        </is>
      </c>
      <c r="B27" s="6" t="inlineStr">
        <is>
          <t>000490</t>
        </is>
      </c>
      <c r="C27" s="6" t="inlineStr">
        <is>
          <t>연결</t>
        </is>
      </c>
      <c r="D27" s="6" t="inlineStr">
        <is>
          <t>2026Q2</t>
        </is>
      </c>
      <c r="E27" s="6" t="inlineStr"/>
      <c r="F27" s="7" t="inlineStr"/>
      <c r="G27" s="8" t="inlineStr"/>
      <c r="H27" s="8" t="inlineStr"/>
      <c r="I27" s="9" t="n">
        <v>362442</v>
      </c>
      <c r="J27" s="10" t="n">
        <v>11570</v>
      </c>
      <c r="K27" s="10" t="n">
        <v>1085</v>
      </c>
      <c r="L27" s="7" t="n">
        <v>412438</v>
      </c>
      <c r="M27" s="8" t="n">
        <v>36045</v>
      </c>
      <c r="N27" s="8" t="n">
        <v>11451</v>
      </c>
      <c r="O27" s="9" t="n">
        <v>328395</v>
      </c>
      <c r="P27" s="10" t="n">
        <v>-9522</v>
      </c>
      <c r="Q27" s="10" t="n">
        <v>-30479</v>
      </c>
      <c r="R27" s="7" t="n">
        <v>312307</v>
      </c>
      <c r="S27" s="8" t="n">
        <v>-19636</v>
      </c>
      <c r="T27" s="8" t="n">
        <v>-27191</v>
      </c>
      <c r="U27" s="9" t="n">
        <v>386795</v>
      </c>
      <c r="V27" s="10" t="n">
        <v>21716</v>
      </c>
      <c r="W27" s="10" t="n">
        <v>9095</v>
      </c>
      <c r="X27" s="7" t="n">
        <v>414557</v>
      </c>
      <c r="Y27" s="8" t="n">
        <v>25100</v>
      </c>
      <c r="Z27" s="8" t="n">
        <v>6828</v>
      </c>
      <c r="AA27" s="9" t="n">
        <v>354097</v>
      </c>
      <c r="AB27" s="10" t="n">
        <v>450</v>
      </c>
      <c r="AC27" s="10" t="n">
        <v>-3719</v>
      </c>
      <c r="AD27" s="7" t="n">
        <v>329273</v>
      </c>
      <c r="AE27" s="8" t="n">
        <v>-16041</v>
      </c>
      <c r="AF27" s="8" t="n">
        <v>-42076</v>
      </c>
      <c r="AG27" s="9" t="n">
        <v>377732</v>
      </c>
      <c r="AH27" s="10" t="n">
        <v>6022</v>
      </c>
      <c r="AI27" s="10" t="n">
        <v>-6130</v>
      </c>
      <c r="AJ27" s="11" t="n">
        <v>467081</v>
      </c>
      <c r="AK27" s="12" t="n">
        <v>41233</v>
      </c>
      <c r="AL27" s="12" t="n">
        <v>21419</v>
      </c>
      <c r="AM27" s="13" t="n">
        <v>23.7</v>
      </c>
      <c r="AN27" s="13" t="n">
        <v>12.7</v>
      </c>
      <c r="AO27" s="13" t="n">
        <v>584.7</v>
      </c>
      <c r="AP27" s="13" t="n">
        <v>64.3</v>
      </c>
    </row>
    <row r="28">
      <c r="A28" s="5" t="inlineStr">
        <is>
          <t>엔비알모션</t>
        </is>
      </c>
      <c r="B28" s="6" t="inlineStr">
        <is>
          <t>0004V0</t>
        </is>
      </c>
      <c r="C28" s="6" t="inlineStr">
        <is>
          <t>연결</t>
        </is>
      </c>
      <c r="D28" s="6" t="inlineStr">
        <is>
          <t>2026Q2</t>
        </is>
      </c>
      <c r="E28" s="6" t="inlineStr"/>
      <c r="F28" s="7" t="inlineStr"/>
      <c r="G28" s="8" t="inlineStr"/>
      <c r="H28" s="8" t="inlineStr"/>
      <c r="I28" s="9" t="inlineStr"/>
      <c r="J28" s="10" t="inlineStr"/>
      <c r="K28" s="10" t="inlineStr"/>
      <c r="L28" s="7" t="inlineStr"/>
      <c r="M28" s="8" t="inlineStr"/>
      <c r="N28" s="8" t="inlineStr"/>
      <c r="O28" s="9" t="inlineStr"/>
      <c r="P28" s="10" t="inlineStr"/>
      <c r="Q28" s="10" t="inlineStr"/>
      <c r="R28" s="7" t="inlineStr"/>
      <c r="S28" s="8" t="inlineStr"/>
      <c r="T28" s="8" t="inlineStr"/>
      <c r="U28" s="9" t="inlineStr"/>
      <c r="V28" s="10" t="inlineStr"/>
      <c r="W28" s="10" t="inlineStr"/>
      <c r="X28" s="7" t="inlineStr"/>
      <c r="Y28" s="8" t="inlineStr"/>
      <c r="Z28" s="8" t="inlineStr"/>
      <c r="AA28" s="9" t="n">
        <v>15653</v>
      </c>
      <c r="AB28" s="10" t="n">
        <v>93</v>
      </c>
      <c r="AC28" s="10" t="n">
        <v>-251</v>
      </c>
      <c r="AD28" s="7" t="inlineStr"/>
      <c r="AE28" s="8" t="inlineStr"/>
      <c r="AF28" s="8" t="inlineStr"/>
      <c r="AG28" s="9" t="n">
        <v>15079</v>
      </c>
      <c r="AH28" s="10" t="n">
        <v>-1228</v>
      </c>
      <c r="AI28" s="10" t="n">
        <v>-1994</v>
      </c>
      <c r="AJ28" s="11" t="n">
        <v>17248</v>
      </c>
      <c r="AK28" s="12" t="n">
        <v>-1129</v>
      </c>
      <c r="AL28" s="12" t="n">
        <v>-1748</v>
      </c>
      <c r="AM28" s="13" t="n">
        <v>14.4</v>
      </c>
      <c r="AN28" s="13" t="inlineStr"/>
      <c r="AO28" s="13" t="n">
        <v>8.1</v>
      </c>
      <c r="AP28" s="13" t="inlineStr"/>
    </row>
    <row r="29">
      <c r="A29" s="5" t="inlineStr">
        <is>
          <t>디비금융제14호스팩</t>
        </is>
      </c>
      <c r="B29" s="6" t="inlineStr">
        <is>
          <t>0004Y0</t>
        </is>
      </c>
      <c r="C29" s="6" t="inlineStr">
        <is>
          <t>별도</t>
        </is>
      </c>
      <c r="D29" s="6" t="inlineStr">
        <is>
          <t>2026Q2</t>
        </is>
      </c>
      <c r="E29" s="6" t="inlineStr"/>
      <c r="F29" s="7" t="inlineStr"/>
      <c r="G29" s="8" t="inlineStr"/>
      <c r="H29" s="8" t="inlineStr"/>
      <c r="I29" s="9" t="inlineStr"/>
      <c r="J29" s="10" t="inlineStr"/>
      <c r="K29" s="10" t="inlineStr"/>
      <c r="L29" s="7" t="inlineStr"/>
      <c r="M29" s="8" t="inlineStr"/>
      <c r="N29" s="8" t="inlineStr"/>
      <c r="O29" s="9" t="inlineStr"/>
      <c r="P29" s="10" t="inlineStr"/>
      <c r="Q29" s="10" t="inlineStr"/>
      <c r="R29" s="7" t="inlineStr"/>
      <c r="S29" s="8" t="inlineStr"/>
      <c r="T29" s="8" t="inlineStr"/>
      <c r="U29" s="9" t="inlineStr"/>
      <c r="V29" s="10" t="inlineStr"/>
      <c r="W29" s="10" t="inlineStr"/>
      <c r="X29" s="7" t="n">
        <v>0</v>
      </c>
      <c r="Y29" s="8" t="n">
        <v>-12</v>
      </c>
      <c r="Z29" s="8" t="n">
        <v>-22</v>
      </c>
      <c r="AA29" s="9" t="n">
        <v>0</v>
      </c>
      <c r="AB29" s="10" t="n">
        <v>-22</v>
      </c>
      <c r="AC29" s="10" t="n">
        <v>8</v>
      </c>
      <c r="AD29" s="7" t="inlineStr"/>
      <c r="AE29" s="8" t="inlineStr"/>
      <c r="AF29" s="8" t="inlineStr"/>
      <c r="AG29" s="9" t="n">
        <v>0</v>
      </c>
      <c r="AH29" s="10" t="n">
        <v>-23</v>
      </c>
      <c r="AI29" s="10" t="n">
        <v>28</v>
      </c>
      <c r="AJ29" s="11" t="n">
        <v>0</v>
      </c>
      <c r="AK29" s="12" t="n">
        <v>-5</v>
      </c>
      <c r="AL29" s="12" t="n">
        <v>35</v>
      </c>
      <c r="AM29" s="13" t="inlineStr"/>
      <c r="AN29" s="13" t="inlineStr"/>
      <c r="AO29" s="13" t="n">
        <v>78.3</v>
      </c>
      <c r="AP29" s="13" t="n">
        <v>58.3</v>
      </c>
    </row>
    <row r="30">
      <c r="A30" s="5" t="inlineStr">
        <is>
          <t>가온전선</t>
        </is>
      </c>
      <c r="B30" s="6" t="inlineStr">
        <is>
          <t>000500</t>
        </is>
      </c>
      <c r="C30" s="6" t="inlineStr">
        <is>
          <t>연결</t>
        </is>
      </c>
      <c r="D30" s="6" t="inlineStr">
        <is>
          <t>2026Q2</t>
        </is>
      </c>
      <c r="E30" s="6" t="inlineStr"/>
      <c r="F30" s="7" t="inlineStr"/>
      <c r="G30" s="8" t="inlineStr"/>
      <c r="H30" s="8" t="inlineStr"/>
      <c r="I30" s="9" t="n">
        <v>402163</v>
      </c>
      <c r="J30" s="10" t="n">
        <v>12778</v>
      </c>
      <c r="K30" s="10" t="n">
        <v>8928</v>
      </c>
      <c r="L30" s="7" t="n">
        <v>409979</v>
      </c>
      <c r="M30" s="8" t="n">
        <v>10484</v>
      </c>
      <c r="N30" s="8" t="n">
        <v>6845</v>
      </c>
      <c r="O30" s="9" t="n">
        <v>402692</v>
      </c>
      <c r="P30" s="10" t="n">
        <v>12856</v>
      </c>
      <c r="Q30" s="10" t="n">
        <v>8535</v>
      </c>
      <c r="R30" s="7" t="n">
        <v>512270</v>
      </c>
      <c r="S30" s="8" t="n">
        <v>8894</v>
      </c>
      <c r="T30" s="8" t="n">
        <v>1047</v>
      </c>
      <c r="U30" s="9" t="n">
        <v>639297</v>
      </c>
      <c r="V30" s="10" t="n">
        <v>21884</v>
      </c>
      <c r="W30" s="10" t="n">
        <v>15337</v>
      </c>
      <c r="X30" s="7" t="n">
        <v>643290</v>
      </c>
      <c r="Y30" s="8" t="n">
        <v>23233</v>
      </c>
      <c r="Z30" s="8" t="n">
        <v>14315</v>
      </c>
      <c r="AA30" s="9" t="n">
        <v>649418</v>
      </c>
      <c r="AB30" s="10" t="n">
        <v>26127</v>
      </c>
      <c r="AC30" s="10" t="n">
        <v>18670</v>
      </c>
      <c r="AD30" s="7" t="n">
        <v>613693</v>
      </c>
      <c r="AE30" s="8" t="n">
        <v>7948</v>
      </c>
      <c r="AF30" s="8" t="n">
        <v>3075</v>
      </c>
      <c r="AG30" s="9" t="n">
        <v>763576</v>
      </c>
      <c r="AH30" s="10" t="n">
        <v>27835</v>
      </c>
      <c r="AI30" s="10" t="n">
        <v>19677</v>
      </c>
      <c r="AJ30" s="11" t="n">
        <v>869390</v>
      </c>
      <c r="AK30" s="12" t="n">
        <v>36132</v>
      </c>
      <c r="AL30" s="12" t="n">
        <v>22859</v>
      </c>
      <c r="AM30" s="13" t="n">
        <v>13.9</v>
      </c>
      <c r="AN30" s="13" t="n">
        <v>35.1</v>
      </c>
      <c r="AO30" s="13" t="n">
        <v>29.8</v>
      </c>
      <c r="AP30" s="13" t="n">
        <v>55.5</v>
      </c>
    </row>
    <row r="31">
      <c r="A31" s="5" t="inlineStr">
        <is>
          <t>삼일제약</t>
        </is>
      </c>
      <c r="B31" s="6" t="inlineStr">
        <is>
          <t>000520</t>
        </is>
      </c>
      <c r="C31" s="6" t="inlineStr">
        <is>
          <t>연결</t>
        </is>
      </c>
      <c r="D31" s="6" t="inlineStr">
        <is>
          <t>2026Q2</t>
        </is>
      </c>
      <c r="E31" s="6" t="inlineStr"/>
      <c r="F31" s="7" t="inlineStr"/>
      <c r="G31" s="8" t="inlineStr"/>
      <c r="H31" s="8" t="inlineStr"/>
      <c r="I31" s="9" t="n">
        <v>54299</v>
      </c>
      <c r="J31" s="10" t="n">
        <v>2108</v>
      </c>
      <c r="K31" s="10" t="n">
        <v>-1743</v>
      </c>
      <c r="L31" s="7" t="n">
        <v>54288</v>
      </c>
      <c r="M31" s="8" t="n">
        <v>1104</v>
      </c>
      <c r="N31" s="8" t="n">
        <v>350</v>
      </c>
      <c r="O31" s="9" t="n">
        <v>53322</v>
      </c>
      <c r="P31" s="10" t="n">
        <v>-240</v>
      </c>
      <c r="Q31" s="10" t="n">
        <v>-676</v>
      </c>
      <c r="R31" s="7" t="n">
        <v>57791</v>
      </c>
      <c r="S31" s="8" t="n">
        <v>-2859</v>
      </c>
      <c r="T31" s="8" t="n">
        <v>-3560</v>
      </c>
      <c r="U31" s="9" t="n">
        <v>52288</v>
      </c>
      <c r="V31" s="10" t="n">
        <v>-5378</v>
      </c>
      <c r="W31" s="10" t="n">
        <v>-9081</v>
      </c>
      <c r="X31" s="7" t="n">
        <v>53786</v>
      </c>
      <c r="Y31" s="8" t="n">
        <v>-3107</v>
      </c>
      <c r="Z31" s="8" t="n">
        <v>-6498</v>
      </c>
      <c r="AA31" s="9" t="n">
        <v>51176</v>
      </c>
      <c r="AB31" s="10" t="n">
        <v>-5155</v>
      </c>
      <c r="AC31" s="10" t="n">
        <v>-7925</v>
      </c>
      <c r="AD31" s="7" t="n">
        <v>53003</v>
      </c>
      <c r="AE31" s="8" t="n">
        <v>-8572</v>
      </c>
      <c r="AF31" s="8" t="n">
        <v>-11160</v>
      </c>
      <c r="AG31" s="9" t="n">
        <v>52547</v>
      </c>
      <c r="AH31" s="10" t="n">
        <v>-8376</v>
      </c>
      <c r="AI31" s="10" t="n">
        <v>-10834</v>
      </c>
      <c r="AJ31" s="11" t="n">
        <v>50602</v>
      </c>
      <c r="AK31" s="12" t="n">
        <v>-6330</v>
      </c>
      <c r="AL31" s="12" t="n">
        <v>-7690</v>
      </c>
      <c r="AM31" s="13" t="n">
        <v>-3.7</v>
      </c>
      <c r="AN31" s="13" t="n">
        <v>-5.9</v>
      </c>
      <c r="AO31" s="13" t="n">
        <v>24.4</v>
      </c>
      <c r="AP31" s="13" t="n">
        <v>-103.7</v>
      </c>
    </row>
    <row r="32">
      <c r="A32" s="5" t="inlineStr">
        <is>
          <t>흥국화재</t>
        </is>
      </c>
      <c r="B32" s="6" t="inlineStr">
        <is>
          <t>000540</t>
        </is>
      </c>
      <c r="C32" s="6" t="inlineStr">
        <is>
          <t>별도</t>
        </is>
      </c>
      <c r="D32" s="6" t="inlineStr">
        <is>
          <t>2026Q2</t>
        </is>
      </c>
      <c r="E32" s="6" t="inlineStr"/>
      <c r="F32" s="7" t="inlineStr"/>
      <c r="G32" s="8" t="inlineStr"/>
      <c r="H32" s="8" t="inlineStr"/>
      <c r="I32" s="9" t="inlineStr"/>
      <c r="J32" s="10" t="n">
        <v>68838</v>
      </c>
      <c r="K32" s="10" t="n">
        <v>48010</v>
      </c>
      <c r="L32" s="7" t="inlineStr"/>
      <c r="M32" s="8" t="n">
        <v>68057</v>
      </c>
      <c r="N32" s="8" t="n">
        <v>58981</v>
      </c>
      <c r="O32" s="9" t="inlineStr"/>
      <c r="P32" s="10" t="n">
        <v>141823</v>
      </c>
      <c r="Q32" s="10" t="n">
        <v>110427</v>
      </c>
      <c r="R32" s="7" t="inlineStr"/>
      <c r="S32" s="8" t="n">
        <v>-129939</v>
      </c>
      <c r="T32" s="8" t="n">
        <v>-110696</v>
      </c>
      <c r="U32" s="9" t="inlineStr"/>
      <c r="V32" s="10" t="n">
        <v>144680</v>
      </c>
      <c r="W32" s="10" t="n">
        <v>119580</v>
      </c>
      <c r="X32" s="7" t="inlineStr"/>
      <c r="Y32" s="8" t="n">
        <v>19314</v>
      </c>
      <c r="Z32" s="8" t="n">
        <v>12763</v>
      </c>
      <c r="AA32" s="9" t="inlineStr"/>
      <c r="AB32" s="10" t="n">
        <v>30271</v>
      </c>
      <c r="AC32" s="10" t="n">
        <v>26656</v>
      </c>
      <c r="AD32" s="7" t="inlineStr"/>
      <c r="AE32" s="8" t="n">
        <v>-6761</v>
      </c>
      <c r="AF32" s="8" t="n">
        <v>-7310</v>
      </c>
      <c r="AG32" s="9" t="inlineStr"/>
      <c r="AH32" s="10" t="n">
        <v>-2140</v>
      </c>
      <c r="AI32" s="10" t="n">
        <v>-664</v>
      </c>
      <c r="AJ32" s="11" t="inlineStr"/>
      <c r="AK32" s="12" t="n">
        <v>35505</v>
      </c>
      <c r="AL32" s="12" t="n">
        <v>26831</v>
      </c>
      <c r="AM32" s="13" t="inlineStr"/>
      <c r="AN32" s="13" t="inlineStr"/>
      <c r="AO32" s="13" t="n">
        <v>1759.1</v>
      </c>
      <c r="AP32" s="13" t="n">
        <v>83.8</v>
      </c>
    </row>
    <row r="33">
      <c r="A33" s="5" t="inlineStr">
        <is>
          <t>CS홀딩스</t>
        </is>
      </c>
      <c r="B33" s="6" t="inlineStr">
        <is>
          <t>000590</t>
        </is>
      </c>
      <c r="C33" s="6" t="inlineStr">
        <is>
          <t>연결</t>
        </is>
      </c>
      <c r="D33" s="6" t="inlineStr">
        <is>
          <t>2026Q2</t>
        </is>
      </c>
      <c r="E33" s="6" t="inlineStr"/>
      <c r="F33" s="7" t="inlineStr"/>
      <c r="G33" s="8" t="inlineStr"/>
      <c r="H33" s="8" t="inlineStr"/>
      <c r="I33" s="9" t="n">
        <v>39357</v>
      </c>
      <c r="J33" s="10" t="n">
        <v>4185</v>
      </c>
      <c r="K33" s="10" t="n">
        <v>7209</v>
      </c>
      <c r="L33" s="7" t="n">
        <v>30813</v>
      </c>
      <c r="M33" s="8" t="n">
        <v>6354</v>
      </c>
      <c r="N33" s="8" t="n">
        <v>7176</v>
      </c>
      <c r="O33" s="9" t="n">
        <v>33822</v>
      </c>
      <c r="P33" s="10" t="n">
        <v>5150</v>
      </c>
      <c r="Q33" s="10" t="n">
        <v>5393</v>
      </c>
      <c r="R33" s="7" t="n">
        <v>37959</v>
      </c>
      <c r="S33" s="8" t="n">
        <v>6625</v>
      </c>
      <c r="T33" s="8" t="n">
        <v>18075</v>
      </c>
      <c r="U33" s="9" t="n">
        <v>32837</v>
      </c>
      <c r="V33" s="10" t="n">
        <v>5254</v>
      </c>
      <c r="W33" s="10" t="n">
        <v>6922</v>
      </c>
      <c r="X33" s="7" t="n">
        <v>35656</v>
      </c>
      <c r="Y33" s="8" t="n">
        <v>6231</v>
      </c>
      <c r="Z33" s="8" t="n">
        <v>1107</v>
      </c>
      <c r="AA33" s="9" t="n">
        <v>30626</v>
      </c>
      <c r="AB33" s="10" t="n">
        <v>5122</v>
      </c>
      <c r="AC33" s="10" t="n">
        <v>7219</v>
      </c>
      <c r="AD33" s="7" t="n">
        <v>35752</v>
      </c>
      <c r="AE33" s="8" t="n">
        <v>3608</v>
      </c>
      <c r="AF33" s="8" t="n">
        <v>5748</v>
      </c>
      <c r="AG33" s="9" t="n">
        <v>31686</v>
      </c>
      <c r="AH33" s="10" t="n">
        <v>4596</v>
      </c>
      <c r="AI33" s="10" t="n">
        <v>8486</v>
      </c>
      <c r="AJ33" s="11" t="n">
        <v>39175</v>
      </c>
      <c r="AK33" s="12" t="n">
        <v>7488</v>
      </c>
      <c r="AL33" s="12" t="n">
        <v>7331</v>
      </c>
      <c r="AM33" s="13" t="n">
        <v>23.6</v>
      </c>
      <c r="AN33" s="13" t="n">
        <v>9.9</v>
      </c>
      <c r="AO33" s="13" t="n">
        <v>62.9</v>
      </c>
      <c r="AP33" s="13" t="n">
        <v>20.2</v>
      </c>
    </row>
    <row r="34">
      <c r="A34" s="5" t="inlineStr">
        <is>
          <t>동아쏘시오홀딩스</t>
        </is>
      </c>
      <c r="B34" s="6" t="inlineStr">
        <is>
          <t>000640</t>
        </is>
      </c>
      <c r="C34" s="6" t="inlineStr">
        <is>
          <t>연결</t>
        </is>
      </c>
      <c r="D34" s="6" t="inlineStr">
        <is>
          <t>2026Q2</t>
        </is>
      </c>
      <c r="E34" s="6" t="inlineStr">
        <is>
          <t>2023Q4</t>
        </is>
      </c>
      <c r="F34" s="14" t="n">
        <v>302347</v>
      </c>
      <c r="G34" s="15" t="n">
        <v>16009</v>
      </c>
      <c r="H34" s="15" t="n">
        <v>15388</v>
      </c>
      <c r="I34" s="9" t="n">
        <v>304920</v>
      </c>
      <c r="J34" s="10" t="n">
        <v>15549</v>
      </c>
      <c r="K34" s="10" t="n">
        <v>7673</v>
      </c>
      <c r="L34" s="7" t="n">
        <v>324491</v>
      </c>
      <c r="M34" s="8" t="n">
        <v>22311</v>
      </c>
      <c r="N34" s="8" t="n">
        <v>17038</v>
      </c>
      <c r="O34" s="9" t="n">
        <v>356892</v>
      </c>
      <c r="P34" s="10" t="n">
        <v>22544</v>
      </c>
      <c r="Q34" s="10" t="n">
        <v>27542</v>
      </c>
      <c r="R34" s="7" t="n">
        <v>346927</v>
      </c>
      <c r="S34" s="8" t="n">
        <v>21691</v>
      </c>
      <c r="T34" s="8" t="n">
        <v>5320</v>
      </c>
      <c r="U34" s="9" t="n">
        <v>328401</v>
      </c>
      <c r="V34" s="10" t="n">
        <v>20350</v>
      </c>
      <c r="W34" s="10" t="n">
        <v>17969</v>
      </c>
      <c r="X34" s="7" t="n">
        <v>346899</v>
      </c>
      <c r="Y34" s="8" t="n">
        <v>28160</v>
      </c>
      <c r="Z34" s="8" t="n">
        <v>38024</v>
      </c>
      <c r="AA34" s="9" t="n">
        <v>382603</v>
      </c>
      <c r="AB34" s="10" t="n">
        <v>33306</v>
      </c>
      <c r="AC34" s="10" t="n">
        <v>47136</v>
      </c>
      <c r="AD34" s="7" t="n">
        <v>371864</v>
      </c>
      <c r="AE34" s="8" t="n">
        <v>15957</v>
      </c>
      <c r="AF34" s="8" t="n">
        <v>-11663</v>
      </c>
      <c r="AG34" s="9" t="n">
        <v>351000</v>
      </c>
      <c r="AH34" s="10" t="n">
        <v>19137</v>
      </c>
      <c r="AI34" s="10" t="n">
        <v>20505</v>
      </c>
      <c r="AJ34" s="11" t="n">
        <v>412392</v>
      </c>
      <c r="AK34" s="12" t="n">
        <v>38959</v>
      </c>
      <c r="AL34" s="12" t="n">
        <v>28896</v>
      </c>
      <c r="AM34" s="13" t="n">
        <v>17.5</v>
      </c>
      <c r="AN34" s="13" t="n">
        <v>18.9</v>
      </c>
      <c r="AO34" s="13" t="n">
        <v>103.6</v>
      </c>
      <c r="AP34" s="13" t="n">
        <v>38.3</v>
      </c>
    </row>
    <row r="35">
      <c r="A35" s="5" t="inlineStr">
        <is>
          <t>천일고속</t>
        </is>
      </c>
      <c r="B35" s="6" t="inlineStr">
        <is>
          <t>000650</t>
        </is>
      </c>
      <c r="C35" s="6" t="inlineStr">
        <is>
          <t>별도</t>
        </is>
      </c>
      <c r="D35" s="6" t="inlineStr">
        <is>
          <t>2026Q2</t>
        </is>
      </c>
      <c r="E35" s="6" t="inlineStr"/>
      <c r="F35" s="7" t="inlineStr"/>
      <c r="G35" s="8" t="inlineStr"/>
      <c r="H35" s="8" t="inlineStr"/>
      <c r="I35" s="9" t="n">
        <v>10761</v>
      </c>
      <c r="J35" s="10" t="n">
        <v>-1750</v>
      </c>
      <c r="K35" s="10" t="n">
        <v>-1978</v>
      </c>
      <c r="L35" s="7" t="n">
        <v>10954</v>
      </c>
      <c r="M35" s="8" t="n">
        <v>-1765</v>
      </c>
      <c r="N35" s="8" t="n">
        <v>-139</v>
      </c>
      <c r="O35" s="9" t="n">
        <v>11122</v>
      </c>
      <c r="P35" s="10" t="n">
        <v>-1270</v>
      </c>
      <c r="Q35" s="10" t="n">
        <v>-1429</v>
      </c>
      <c r="R35" s="7" t="n">
        <v>11880</v>
      </c>
      <c r="S35" s="8" t="n">
        <v>-484</v>
      </c>
      <c r="T35" s="8" t="n">
        <v>-651</v>
      </c>
      <c r="U35" s="9" t="n">
        <v>10785</v>
      </c>
      <c r="V35" s="10" t="n">
        <v>-2065</v>
      </c>
      <c r="W35" s="10" t="n">
        <v>-2093</v>
      </c>
      <c r="X35" s="7" t="n">
        <v>11388</v>
      </c>
      <c r="Y35" s="8" t="n">
        <v>-1406</v>
      </c>
      <c r="Z35" s="8" t="n">
        <v>998</v>
      </c>
      <c r="AA35" s="9" t="n">
        <v>10900</v>
      </c>
      <c r="AB35" s="10" t="n">
        <v>-1643</v>
      </c>
      <c r="AC35" s="10" t="n">
        <v>-1673</v>
      </c>
      <c r="AD35" s="7" t="n">
        <v>12477</v>
      </c>
      <c r="AE35" s="8" t="n">
        <v>-827</v>
      </c>
      <c r="AF35" s="8" t="n">
        <v>-2856</v>
      </c>
      <c r="AG35" s="9" t="n">
        <v>11161</v>
      </c>
      <c r="AH35" s="10" t="n">
        <v>-1591</v>
      </c>
      <c r="AI35" s="10" t="n">
        <v>-1849</v>
      </c>
      <c r="AJ35" s="11" t="n">
        <v>12364</v>
      </c>
      <c r="AK35" s="12" t="n">
        <v>-1078</v>
      </c>
      <c r="AL35" s="12" t="n">
        <v>-1252</v>
      </c>
      <c r="AM35" s="13" t="n">
        <v>10.8</v>
      </c>
      <c r="AN35" s="13" t="n">
        <v>8.6</v>
      </c>
      <c r="AO35" s="13" t="n">
        <v>32.2</v>
      </c>
      <c r="AP35" s="13" t="n">
        <v>23.3</v>
      </c>
    </row>
    <row r="36">
      <c r="A36" s="5" t="inlineStr">
        <is>
          <t>SK하이닉스</t>
        </is>
      </c>
      <c r="B36" s="6" t="inlineStr">
        <is>
          <t>000660</t>
        </is>
      </c>
      <c r="C36" s="6" t="inlineStr">
        <is>
          <t>연결</t>
        </is>
      </c>
      <c r="D36" s="6" t="inlineStr">
        <is>
          <t>2026Q2</t>
        </is>
      </c>
      <c r="E36" s="6" t="inlineStr">
        <is>
          <t>2023Q4</t>
        </is>
      </c>
      <c r="F36" s="14" t="n">
        <v>11305504</v>
      </c>
      <c r="G36" s="15" t="n">
        <v>346034</v>
      </c>
      <c r="H36" s="15" t="n">
        <v>-1379450</v>
      </c>
      <c r="I36" s="9" t="n">
        <v>12429598</v>
      </c>
      <c r="J36" s="10" t="n">
        <v>2886029</v>
      </c>
      <c r="K36" s="10" t="n">
        <v>1917039</v>
      </c>
      <c r="L36" s="7" t="n">
        <v>16423258</v>
      </c>
      <c r="M36" s="8" t="n">
        <v>5468536</v>
      </c>
      <c r="N36" s="8" t="n">
        <v>4120003</v>
      </c>
      <c r="O36" s="9" t="n">
        <v>17573069</v>
      </c>
      <c r="P36" s="10" t="n">
        <v>7029958</v>
      </c>
      <c r="Q36" s="10" t="n">
        <v>5753373</v>
      </c>
      <c r="R36" s="7" t="n">
        <v>19767035</v>
      </c>
      <c r="S36" s="8" t="n">
        <v>8082796</v>
      </c>
      <c r="T36" s="8" t="n">
        <v>8006487</v>
      </c>
      <c r="U36" s="9" t="n">
        <v>17639141</v>
      </c>
      <c r="V36" s="10" t="n">
        <v>7440504</v>
      </c>
      <c r="W36" s="10" t="n">
        <v>8108195</v>
      </c>
      <c r="X36" s="7" t="n">
        <v>22231952</v>
      </c>
      <c r="Y36" s="8" t="n">
        <v>9212851</v>
      </c>
      <c r="Z36" s="8" t="n">
        <v>6996216</v>
      </c>
      <c r="AA36" s="9" t="n">
        <v>24448929</v>
      </c>
      <c r="AB36" s="10" t="n">
        <v>11383390</v>
      </c>
      <c r="AC36" s="10" t="n">
        <v>12597538</v>
      </c>
      <c r="AD36" s="7" t="n">
        <v>32826653</v>
      </c>
      <c r="AE36" s="8" t="n">
        <v>19169574</v>
      </c>
      <c r="AF36" s="8" t="n">
        <v>15245953</v>
      </c>
      <c r="AG36" s="9" t="n">
        <v>52576287</v>
      </c>
      <c r="AH36" s="10" t="n">
        <v>37610283</v>
      </c>
      <c r="AI36" s="10" t="n">
        <v>40345909</v>
      </c>
      <c r="AJ36" s="11" t="n">
        <v>79318746</v>
      </c>
      <c r="AK36" s="12" t="n">
        <v>60542608</v>
      </c>
      <c r="AL36" s="12" t="n">
        <v>93922593</v>
      </c>
      <c r="AM36" s="13" t="n">
        <v>50.9</v>
      </c>
      <c r="AN36" s="13" t="n">
        <v>256.8</v>
      </c>
      <c r="AO36" s="13" t="n">
        <v>61</v>
      </c>
      <c r="AP36" s="13" t="n">
        <v>557.2</v>
      </c>
    </row>
    <row r="37">
      <c r="A37" s="5" t="inlineStr">
        <is>
          <t>영풍</t>
        </is>
      </c>
      <c r="B37" s="6" t="inlineStr">
        <is>
          <t>000670</t>
        </is>
      </c>
      <c r="C37" s="6" t="inlineStr">
        <is>
          <t>연결</t>
        </is>
      </c>
      <c r="D37" s="6" t="inlineStr">
        <is>
          <t>2026Q2</t>
        </is>
      </c>
      <c r="E37" s="6" t="inlineStr"/>
      <c r="F37" s="7" t="inlineStr"/>
      <c r="G37" s="8" t="inlineStr"/>
      <c r="H37" s="8" t="inlineStr"/>
      <c r="I37" s="9" t="n">
        <v>741422</v>
      </c>
      <c r="J37" s="10" t="n">
        <v>-43198</v>
      </c>
      <c r="K37" s="10" t="n">
        <v>-8400</v>
      </c>
      <c r="L37" s="7" t="n">
        <v>752045</v>
      </c>
      <c r="M37" s="8" t="n">
        <v>83</v>
      </c>
      <c r="N37" s="8" t="n">
        <v>53896</v>
      </c>
      <c r="O37" s="9" t="n">
        <v>656711</v>
      </c>
      <c r="P37" s="10" t="n">
        <v>-17927</v>
      </c>
      <c r="Q37" s="10" t="n">
        <v>17868</v>
      </c>
      <c r="R37" s="7" t="n">
        <v>637236</v>
      </c>
      <c r="S37" s="8" t="n">
        <v>-99660</v>
      </c>
      <c r="T37" s="8" t="n">
        <v>-391174</v>
      </c>
      <c r="U37" s="9" t="n">
        <v>571862</v>
      </c>
      <c r="V37" s="10" t="n">
        <v>-56269</v>
      </c>
      <c r="W37" s="10" t="n">
        <v>287259</v>
      </c>
      <c r="X37" s="7" t="n">
        <v>599848</v>
      </c>
      <c r="Y37" s="8" t="n">
        <v>-94139</v>
      </c>
      <c r="Z37" s="8" t="n">
        <v>-22982</v>
      </c>
      <c r="AA37" s="9" t="n">
        <v>749581</v>
      </c>
      <c r="AB37" s="10" t="n">
        <v>-8762</v>
      </c>
      <c r="AC37" s="10" t="n">
        <v>-128050</v>
      </c>
      <c r="AD37" s="7" t="n">
        <v>987683</v>
      </c>
      <c r="AE37" s="8" t="n">
        <v>-100519</v>
      </c>
      <c r="AF37" s="8" t="n">
        <v>-105350</v>
      </c>
      <c r="AG37" s="9" t="n">
        <v>851085</v>
      </c>
      <c r="AH37" s="10" t="n">
        <v>43331</v>
      </c>
      <c r="AI37" s="10" t="n">
        <v>20777</v>
      </c>
      <c r="AJ37" s="11" t="n">
        <v>853192</v>
      </c>
      <c r="AK37" s="12" t="n">
        <v>1511</v>
      </c>
      <c r="AL37" s="12" t="n">
        <v>386237</v>
      </c>
      <c r="AM37" s="13" t="n">
        <v>0.2</v>
      </c>
      <c r="AN37" s="13" t="n">
        <v>42.2</v>
      </c>
      <c r="AO37" s="13" t="n">
        <v>-96.5</v>
      </c>
      <c r="AP37" s="13" t="n">
        <v>101.6</v>
      </c>
    </row>
    <row r="38">
      <c r="A38" s="5" t="inlineStr">
        <is>
          <t>LS네트웍스</t>
        </is>
      </c>
      <c r="B38" s="6" t="inlineStr">
        <is>
          <t>000680</t>
        </is>
      </c>
      <c r="C38" s="6" t="inlineStr">
        <is>
          <t>연결</t>
        </is>
      </c>
      <c r="D38" s="6" t="inlineStr">
        <is>
          <t>2026Q2</t>
        </is>
      </c>
      <c r="E38" s="6" t="inlineStr"/>
      <c r="F38" s="7" t="inlineStr"/>
      <c r="G38" s="8" t="inlineStr"/>
      <c r="H38" s="8" t="inlineStr"/>
      <c r="I38" s="9" t="n">
        <v>383896</v>
      </c>
      <c r="J38" s="10" t="n">
        <v>17994</v>
      </c>
      <c r="K38" s="10" t="n">
        <v>6027</v>
      </c>
      <c r="L38" s="7" t="n">
        <v>498726</v>
      </c>
      <c r="M38" s="8" t="n">
        <v>20391</v>
      </c>
      <c r="N38" s="8" t="n">
        <v>8043</v>
      </c>
      <c r="O38" s="9" t="n">
        <v>518922</v>
      </c>
      <c r="P38" s="10" t="n">
        <v>-5753</v>
      </c>
      <c r="Q38" s="10" t="n">
        <v>-21675</v>
      </c>
      <c r="R38" s="7" t="n">
        <v>532270</v>
      </c>
      <c r="S38" s="8" t="n">
        <v>-7013</v>
      </c>
      <c r="T38" s="8" t="n">
        <v>-24286</v>
      </c>
      <c r="U38" s="9" t="n">
        <v>444191</v>
      </c>
      <c r="V38" s="10" t="n">
        <v>18028</v>
      </c>
      <c r="W38" s="10" t="n">
        <v>1791</v>
      </c>
      <c r="X38" s="7" t="n">
        <v>549157</v>
      </c>
      <c r="Y38" s="8" t="n">
        <v>30664</v>
      </c>
      <c r="Z38" s="8" t="n">
        <v>21303</v>
      </c>
      <c r="AA38" s="9" t="n">
        <v>579733</v>
      </c>
      <c r="AB38" s="10" t="n">
        <v>-308</v>
      </c>
      <c r="AC38" s="10" t="n">
        <v>-3927</v>
      </c>
      <c r="AD38" s="7" t="n">
        <v>1042164</v>
      </c>
      <c r="AE38" s="8" t="n">
        <v>-26097</v>
      </c>
      <c r="AF38" s="8" t="n">
        <v>-38270</v>
      </c>
      <c r="AG38" s="9" t="n">
        <v>1704848</v>
      </c>
      <c r="AH38" s="10" t="n">
        <v>43268</v>
      </c>
      <c r="AI38" s="10" t="n">
        <v>26435</v>
      </c>
      <c r="AJ38" s="11" t="n">
        <v>2379093</v>
      </c>
      <c r="AK38" s="12" t="n">
        <v>63054</v>
      </c>
      <c r="AL38" s="12" t="n">
        <v>35834</v>
      </c>
      <c r="AM38" s="13" t="n">
        <v>39.5</v>
      </c>
      <c r="AN38" s="13" t="n">
        <v>333.2</v>
      </c>
      <c r="AO38" s="13" t="n">
        <v>45.7</v>
      </c>
      <c r="AP38" s="13" t="n">
        <v>105.6</v>
      </c>
    </row>
    <row r="39">
      <c r="A39" s="5" t="inlineStr">
        <is>
          <t>유수홀딩스</t>
        </is>
      </c>
      <c r="B39" s="6" t="inlineStr">
        <is>
          <t>000700</t>
        </is>
      </c>
      <c r="C39" s="6" t="inlineStr">
        <is>
          <t>연결</t>
        </is>
      </c>
      <c r="D39" s="6" t="inlineStr">
        <is>
          <t>2026Q2</t>
        </is>
      </c>
      <c r="E39" s="6" t="inlineStr"/>
      <c r="F39" s="7" t="inlineStr"/>
      <c r="G39" s="8" t="inlineStr"/>
      <c r="H39" s="8" t="inlineStr"/>
      <c r="I39" s="9" t="n">
        <v>97075</v>
      </c>
      <c r="J39" s="10" t="n">
        <v>5107</v>
      </c>
      <c r="K39" s="10" t="n">
        <v>7602</v>
      </c>
      <c r="L39" s="7" t="n">
        <v>103758</v>
      </c>
      <c r="M39" s="8" t="n">
        <v>5931</v>
      </c>
      <c r="N39" s="8" t="n">
        <v>9926</v>
      </c>
      <c r="O39" s="9" t="n">
        <v>124211</v>
      </c>
      <c r="P39" s="10" t="n">
        <v>8886</v>
      </c>
      <c r="Q39" s="10" t="n">
        <v>3863</v>
      </c>
      <c r="R39" s="7" t="n">
        <v>110823</v>
      </c>
      <c r="S39" s="8" t="n">
        <v>-1609</v>
      </c>
      <c r="T39" s="8" t="n">
        <v>10254</v>
      </c>
      <c r="U39" s="9" t="n">
        <v>107679</v>
      </c>
      <c r="V39" s="10" t="n">
        <v>6504</v>
      </c>
      <c r="W39" s="10" t="n">
        <v>3936</v>
      </c>
      <c r="X39" s="7" t="n">
        <v>102452</v>
      </c>
      <c r="Y39" s="8" t="n">
        <v>6705</v>
      </c>
      <c r="Z39" s="8" t="n">
        <v>1386</v>
      </c>
      <c r="AA39" s="9" t="n">
        <v>105133</v>
      </c>
      <c r="AB39" s="10" t="n">
        <v>11164</v>
      </c>
      <c r="AC39" s="10" t="n">
        <v>12225</v>
      </c>
      <c r="AD39" s="7" t="n">
        <v>103210</v>
      </c>
      <c r="AE39" s="8" t="n">
        <v>-3153</v>
      </c>
      <c r="AF39" s="8" t="n">
        <v>-794</v>
      </c>
      <c r="AG39" s="9" t="n">
        <v>106343</v>
      </c>
      <c r="AH39" s="10" t="n">
        <v>9955</v>
      </c>
      <c r="AI39" s="10" t="n">
        <v>13435</v>
      </c>
      <c r="AJ39" s="11" t="n">
        <v>121772</v>
      </c>
      <c r="AK39" s="12" t="n">
        <v>12807</v>
      </c>
      <c r="AL39" s="12" t="n">
        <v>10630</v>
      </c>
      <c r="AM39" s="13" t="n">
        <v>14.5</v>
      </c>
      <c r="AN39" s="13" t="n">
        <v>18.9</v>
      </c>
      <c r="AO39" s="13" t="n">
        <v>28.6</v>
      </c>
      <c r="AP39" s="13" t="n">
        <v>91</v>
      </c>
    </row>
    <row r="40">
      <c r="A40" s="5" t="inlineStr">
        <is>
          <t>현대건설</t>
        </is>
      </c>
      <c r="B40" s="6" t="inlineStr">
        <is>
          <t>000720</t>
        </is>
      </c>
      <c r="C40" s="6" t="inlineStr">
        <is>
          <t>연결</t>
        </is>
      </c>
      <c r="D40" s="6" t="inlineStr">
        <is>
          <t>2026Q2</t>
        </is>
      </c>
      <c r="E40" s="6" t="inlineStr">
        <is>
          <t>2023Q4</t>
        </is>
      </c>
      <c r="F40" s="14" t="n">
        <v>8598387</v>
      </c>
      <c r="G40" s="15" t="n">
        <v>144497</v>
      </c>
      <c r="H40" s="15" t="n">
        <v>110044</v>
      </c>
      <c r="I40" s="9" t="n">
        <v>8545258</v>
      </c>
      <c r="J40" s="10" t="n">
        <v>250913</v>
      </c>
      <c r="K40" s="10" t="n">
        <v>208363</v>
      </c>
      <c r="L40" s="7" t="n">
        <v>8621236</v>
      </c>
      <c r="M40" s="8" t="n">
        <v>147303</v>
      </c>
      <c r="N40" s="8" t="n">
        <v>146117</v>
      </c>
      <c r="O40" s="9" t="n">
        <v>8256906</v>
      </c>
      <c r="P40" s="10" t="n">
        <v>114291</v>
      </c>
      <c r="Q40" s="10" t="n">
        <v>40106</v>
      </c>
      <c r="R40" s="7" t="n">
        <v>7246868</v>
      </c>
      <c r="S40" s="8" t="n">
        <v>-1775927</v>
      </c>
      <c r="T40" s="8" t="n">
        <v>-1160807</v>
      </c>
      <c r="U40" s="9" t="n">
        <v>7455579</v>
      </c>
      <c r="V40" s="10" t="n">
        <v>213697</v>
      </c>
      <c r="W40" s="10" t="n">
        <v>166742</v>
      </c>
      <c r="X40" s="7" t="n">
        <v>7720720</v>
      </c>
      <c r="Y40" s="8" t="n">
        <v>217001</v>
      </c>
      <c r="Z40" s="8" t="n">
        <v>158584</v>
      </c>
      <c r="AA40" s="9" t="n">
        <v>7826469</v>
      </c>
      <c r="AB40" s="10" t="n">
        <v>103538</v>
      </c>
      <c r="AC40" s="10" t="n">
        <v>67827</v>
      </c>
      <c r="AD40" s="7" t="n">
        <v>8060144</v>
      </c>
      <c r="AE40" s="8" t="n">
        <v>118770</v>
      </c>
      <c r="AF40" s="8" t="n">
        <v>165915</v>
      </c>
      <c r="AG40" s="9" t="n">
        <v>6281265</v>
      </c>
      <c r="AH40" s="10" t="n">
        <v>180890</v>
      </c>
      <c r="AI40" s="10" t="n">
        <v>206753</v>
      </c>
      <c r="AJ40" s="11" t="n">
        <v>6842303</v>
      </c>
      <c r="AK40" s="12" t="n">
        <v>261826</v>
      </c>
      <c r="AL40" s="12" t="n">
        <v>156988</v>
      </c>
      <c r="AM40" s="13" t="n">
        <v>8.9</v>
      </c>
      <c r="AN40" s="13" t="n">
        <v>-11.4</v>
      </c>
      <c r="AO40" s="13" t="n">
        <v>44.7</v>
      </c>
      <c r="AP40" s="13" t="n">
        <v>20.7</v>
      </c>
    </row>
    <row r="41">
      <c r="A41" s="5" t="inlineStr">
        <is>
          <t>이화산업</t>
        </is>
      </c>
      <c r="B41" s="6" t="inlineStr">
        <is>
          <t>000760</t>
        </is>
      </c>
      <c r="C41" s="6" t="inlineStr">
        <is>
          <t>연결</t>
        </is>
      </c>
      <c r="D41" s="6" t="inlineStr">
        <is>
          <t>2026Q2</t>
        </is>
      </c>
      <c r="E41" s="6" t="inlineStr"/>
      <c r="F41" s="7" t="inlineStr"/>
      <c r="G41" s="8" t="inlineStr"/>
      <c r="H41" s="8" t="inlineStr"/>
      <c r="I41" s="9" t="n">
        <v>11743</v>
      </c>
      <c r="J41" s="10" t="n">
        <v>882</v>
      </c>
      <c r="K41" s="10" t="n">
        <v>563</v>
      </c>
      <c r="L41" s="7" t="n">
        <v>13456</v>
      </c>
      <c r="M41" s="8" t="n">
        <v>1114</v>
      </c>
      <c r="N41" s="8" t="n">
        <v>912</v>
      </c>
      <c r="O41" s="9" t="n">
        <v>12362</v>
      </c>
      <c r="P41" s="10" t="n">
        <v>-337</v>
      </c>
      <c r="Q41" s="10" t="n">
        <v>-571</v>
      </c>
      <c r="R41" s="7" t="n">
        <v>11927</v>
      </c>
      <c r="S41" s="8" t="n">
        <v>-887</v>
      </c>
      <c r="T41" s="8" t="n">
        <v>-1175</v>
      </c>
      <c r="U41" s="9" t="n">
        <v>11550</v>
      </c>
      <c r="V41" s="10" t="n">
        <v>624</v>
      </c>
      <c r="W41" s="10" t="n">
        <v>356</v>
      </c>
      <c r="X41" s="7" t="n">
        <v>12473</v>
      </c>
      <c r="Y41" s="8" t="n">
        <v>874</v>
      </c>
      <c r="Z41" s="8" t="n">
        <v>584</v>
      </c>
      <c r="AA41" s="9" t="n">
        <v>11435</v>
      </c>
      <c r="AB41" s="10" t="n">
        <v>-539</v>
      </c>
      <c r="AC41" s="10" t="n">
        <v>-630</v>
      </c>
      <c r="AD41" s="7" t="n">
        <v>10797</v>
      </c>
      <c r="AE41" s="8" t="n">
        <v>-1123</v>
      </c>
      <c r="AF41" s="8" t="n">
        <v>-2445</v>
      </c>
      <c r="AG41" s="9" t="n">
        <v>11053</v>
      </c>
      <c r="AH41" s="10" t="n">
        <v>786</v>
      </c>
      <c r="AI41" s="10" t="n">
        <v>743</v>
      </c>
      <c r="AJ41" s="11" t="n">
        <v>13431</v>
      </c>
      <c r="AK41" s="12" t="n">
        <v>1134</v>
      </c>
      <c r="AL41" s="12" t="n">
        <v>877</v>
      </c>
      <c r="AM41" s="13" t="n">
        <v>21.5</v>
      </c>
      <c r="AN41" s="13" t="n">
        <v>7.7</v>
      </c>
      <c r="AO41" s="13" t="n">
        <v>44.3</v>
      </c>
      <c r="AP41" s="13" t="n">
        <v>29.7</v>
      </c>
    </row>
    <row r="42">
      <c r="A42" s="5" t="inlineStr">
        <is>
          <t>아크릴</t>
        </is>
      </c>
      <c r="B42" s="6" t="inlineStr">
        <is>
          <t>0007C0</t>
        </is>
      </c>
      <c r="C42" s="6" t="inlineStr">
        <is>
          <t>연결</t>
        </is>
      </c>
      <c r="D42" s="6" t="inlineStr">
        <is>
          <t>2026Q2</t>
        </is>
      </c>
      <c r="E42" s="6" t="inlineStr"/>
      <c r="F42" s="7" t="inlineStr"/>
      <c r="G42" s="8" t="inlineStr"/>
      <c r="H42" s="8" t="inlineStr"/>
      <c r="I42" s="9" t="inlineStr"/>
      <c r="J42" s="10" t="inlineStr"/>
      <c r="K42" s="10" t="inlineStr"/>
      <c r="L42" s="7" t="inlineStr"/>
      <c r="M42" s="8" t="inlineStr"/>
      <c r="N42" s="8" t="inlineStr"/>
      <c r="O42" s="9" t="inlineStr"/>
      <c r="P42" s="10" t="inlineStr"/>
      <c r="Q42" s="10" t="inlineStr"/>
      <c r="R42" s="7" t="inlineStr"/>
      <c r="S42" s="8" t="inlineStr"/>
      <c r="T42" s="8" t="inlineStr"/>
      <c r="U42" s="9" t="inlineStr"/>
      <c r="V42" s="10" t="inlineStr"/>
      <c r="W42" s="10" t="inlineStr"/>
      <c r="X42" s="7" t="inlineStr"/>
      <c r="Y42" s="8" t="inlineStr"/>
      <c r="Z42" s="8" t="inlineStr"/>
      <c r="AA42" s="9" t="inlineStr"/>
      <c r="AB42" s="10" t="inlineStr"/>
      <c r="AC42" s="10" t="inlineStr"/>
      <c r="AD42" s="7" t="inlineStr"/>
      <c r="AE42" s="8" t="inlineStr"/>
      <c r="AF42" s="8" t="inlineStr"/>
      <c r="AG42" s="9" t="n">
        <v>6574</v>
      </c>
      <c r="AH42" s="10" t="n">
        <v>-786</v>
      </c>
      <c r="AI42" s="10" t="n">
        <v>-695</v>
      </c>
      <c r="AJ42" s="11" t="n">
        <v>5474</v>
      </c>
      <c r="AK42" s="12" t="n">
        <v>-1495</v>
      </c>
      <c r="AL42" s="12" t="n">
        <v>-1531</v>
      </c>
      <c r="AM42" s="13" t="n">
        <v>-16.7</v>
      </c>
      <c r="AN42" s="13" t="inlineStr"/>
      <c r="AO42" s="13" t="n">
        <v>-90.2</v>
      </c>
      <c r="AP42" s="13" t="inlineStr"/>
    </row>
    <row r="43">
      <c r="A43" s="5" t="inlineStr">
        <is>
          <t>인벤테라</t>
        </is>
      </c>
      <c r="B43" s="6" t="inlineStr">
        <is>
          <t>0007J0</t>
        </is>
      </c>
      <c r="C43" s="6" t="inlineStr">
        <is>
          <t>별도</t>
        </is>
      </c>
      <c r="D43" s="6" t="inlineStr">
        <is>
          <t>2026Q2</t>
        </is>
      </c>
      <c r="E43" s="6" t="inlineStr"/>
      <c r="F43" s="7" t="inlineStr"/>
      <c r="G43" s="8" t="inlineStr"/>
      <c r="H43" s="8" t="inlineStr"/>
      <c r="I43" s="9" t="inlineStr"/>
      <c r="J43" s="10" t="inlineStr"/>
      <c r="K43" s="10" t="inlineStr"/>
      <c r="L43" s="7" t="inlineStr"/>
      <c r="M43" s="8" t="inlineStr"/>
      <c r="N43" s="8" t="inlineStr"/>
      <c r="O43" s="9" t="inlineStr"/>
      <c r="P43" s="10" t="inlineStr"/>
      <c r="Q43" s="10" t="inlineStr"/>
      <c r="R43" s="7" t="inlineStr"/>
      <c r="S43" s="8" t="inlineStr"/>
      <c r="T43" s="8" t="inlineStr"/>
      <c r="U43" s="9" t="inlineStr"/>
      <c r="V43" s="10" t="inlineStr"/>
      <c r="W43" s="10" t="inlineStr"/>
      <c r="X43" s="7" t="inlineStr"/>
      <c r="Y43" s="8" t="inlineStr"/>
      <c r="Z43" s="8" t="inlineStr"/>
      <c r="AA43" s="9" t="inlineStr"/>
      <c r="AB43" s="10" t="inlineStr"/>
      <c r="AC43" s="10" t="inlineStr"/>
      <c r="AD43" s="7" t="inlineStr"/>
      <c r="AE43" s="8" t="inlineStr"/>
      <c r="AF43" s="8" t="inlineStr"/>
      <c r="AG43" s="9" t="n">
        <v>0</v>
      </c>
      <c r="AH43" s="10" t="n">
        <v>-1907</v>
      </c>
      <c r="AI43" s="10" t="n">
        <v>-1819</v>
      </c>
      <c r="AJ43" s="11" t="n">
        <v>0</v>
      </c>
      <c r="AK43" s="12" t="n">
        <v>-2493</v>
      </c>
      <c r="AL43" s="12" t="n">
        <v>-2257</v>
      </c>
      <c r="AM43" s="13" t="inlineStr"/>
      <c r="AN43" s="13" t="inlineStr"/>
      <c r="AO43" s="13" t="n">
        <v>-30.7</v>
      </c>
      <c r="AP43" s="13" t="inlineStr"/>
    </row>
    <row r="44">
      <c r="A44" s="5" t="inlineStr">
        <is>
          <t>삼성화재해상보험</t>
        </is>
      </c>
      <c r="B44" s="6" t="inlineStr">
        <is>
          <t>000810</t>
        </is>
      </c>
      <c r="C44" s="6" t="inlineStr">
        <is>
          <t>연결</t>
        </is>
      </c>
      <c r="D44" s="6" t="inlineStr">
        <is>
          <t>2026Q2</t>
        </is>
      </c>
      <c r="E44" s="6" t="inlineStr">
        <is>
          <t>2023Q4</t>
        </is>
      </c>
      <c r="F44" s="14" t="n">
        <v>5110279</v>
      </c>
      <c r="G44" s="15" t="n">
        <v>203396</v>
      </c>
      <c r="H44" s="15" t="n">
        <v>175533</v>
      </c>
      <c r="I44" s="14" t="n">
        <v>5506824</v>
      </c>
      <c r="J44" s="10" t="n">
        <v>897061</v>
      </c>
      <c r="K44" s="10" t="n">
        <v>701953</v>
      </c>
      <c r="L44" s="14" t="n">
        <v>5526845</v>
      </c>
      <c r="M44" s="8" t="n">
        <v>782269</v>
      </c>
      <c r="N44" s="8" t="n">
        <v>612411</v>
      </c>
      <c r="O44" s="14" t="n">
        <v>5325966</v>
      </c>
      <c r="P44" s="10" t="n">
        <v>717461</v>
      </c>
      <c r="Q44" s="10" t="n">
        <v>554559</v>
      </c>
      <c r="R44" s="14" t="n">
        <v>6297334</v>
      </c>
      <c r="S44" s="8" t="n">
        <v>252806</v>
      </c>
      <c r="T44" s="8" t="n">
        <v>207875</v>
      </c>
      <c r="U44" s="14" t="n">
        <v>6105845</v>
      </c>
      <c r="V44" s="10" t="n">
        <v>792356</v>
      </c>
      <c r="W44" s="10" t="n">
        <v>609031</v>
      </c>
      <c r="X44" s="14" t="n">
        <v>6857430</v>
      </c>
      <c r="Y44" s="8" t="n">
        <v>811465</v>
      </c>
      <c r="Z44" s="8" t="n">
        <v>638379</v>
      </c>
      <c r="AA44" s="14" t="n">
        <v>5732271</v>
      </c>
      <c r="AB44" s="10" t="n">
        <v>664064</v>
      </c>
      <c r="AC44" s="10" t="n">
        <v>538496</v>
      </c>
      <c r="AD44" s="14" t="n">
        <v>6082974</v>
      </c>
      <c r="AE44" s="8" t="n">
        <v>391258</v>
      </c>
      <c r="AF44" s="8" t="n">
        <v>234381</v>
      </c>
      <c r="AG44" s="14" t="n">
        <v>6676319</v>
      </c>
      <c r="AH44" s="10" t="n">
        <v>861127</v>
      </c>
      <c r="AI44" s="10" t="n">
        <v>635219</v>
      </c>
      <c r="AJ44" s="14" t="n">
        <v>6461366</v>
      </c>
      <c r="AK44" s="12" t="n">
        <v>885333</v>
      </c>
      <c r="AL44" s="12" t="n">
        <v>738735</v>
      </c>
      <c r="AM44" s="13" t="n">
        <v>-3.2</v>
      </c>
      <c r="AN44" s="13" t="n">
        <v>-5.8</v>
      </c>
      <c r="AO44" s="13" t="n">
        <v>2.8</v>
      </c>
      <c r="AP44" s="13" t="n">
        <v>9.1</v>
      </c>
    </row>
    <row r="45">
      <c r="A45" s="5" t="inlineStr">
        <is>
          <t>화천기공</t>
        </is>
      </c>
      <c r="B45" s="6" t="inlineStr">
        <is>
          <t>000850</t>
        </is>
      </c>
      <c r="C45" s="6" t="inlineStr">
        <is>
          <t>연결</t>
        </is>
      </c>
      <c r="D45" s="6" t="inlineStr">
        <is>
          <t>2026Q2</t>
        </is>
      </c>
      <c r="E45" s="6" t="inlineStr"/>
      <c r="F45" s="7" t="inlineStr"/>
      <c r="G45" s="8" t="inlineStr"/>
      <c r="H45" s="8" t="inlineStr"/>
      <c r="I45" s="9" t="n">
        <v>47148</v>
      </c>
      <c r="J45" s="10" t="n">
        <v>1290</v>
      </c>
      <c r="K45" s="10" t="n">
        <v>2795</v>
      </c>
      <c r="L45" s="7" t="n">
        <v>57762</v>
      </c>
      <c r="M45" s="8" t="n">
        <v>-142</v>
      </c>
      <c r="N45" s="8" t="n">
        <v>3947</v>
      </c>
      <c r="O45" s="9" t="n">
        <v>60236</v>
      </c>
      <c r="P45" s="10" t="n">
        <v>-1798</v>
      </c>
      <c r="Q45" s="10" t="n">
        <v>-620</v>
      </c>
      <c r="R45" s="7" t="n">
        <v>57055</v>
      </c>
      <c r="S45" s="8" t="n">
        <v>-91</v>
      </c>
      <c r="T45" s="8" t="n">
        <v>2532</v>
      </c>
      <c r="U45" s="9" t="n">
        <v>46313</v>
      </c>
      <c r="V45" s="10" t="n">
        <v>143</v>
      </c>
      <c r="W45" s="10" t="n">
        <v>1554</v>
      </c>
      <c r="X45" s="7" t="n">
        <v>58550</v>
      </c>
      <c r="Y45" s="8" t="n">
        <v>2077</v>
      </c>
      <c r="Z45" s="8" t="n">
        <v>3399</v>
      </c>
      <c r="AA45" s="9" t="n">
        <v>65722</v>
      </c>
      <c r="AB45" s="10" t="n">
        <v>3680</v>
      </c>
      <c r="AC45" s="10" t="n">
        <v>5576</v>
      </c>
      <c r="AD45" s="7" t="n">
        <v>51171</v>
      </c>
      <c r="AE45" s="8" t="n">
        <v>-1683</v>
      </c>
      <c r="AF45" s="8" t="n">
        <v>851</v>
      </c>
      <c r="AG45" s="9" t="n">
        <v>55160</v>
      </c>
      <c r="AH45" s="10" t="n">
        <v>1869</v>
      </c>
      <c r="AI45" s="10" t="n">
        <v>4733</v>
      </c>
      <c r="AJ45" s="11" t="n">
        <v>74918</v>
      </c>
      <c r="AK45" s="12" t="n">
        <v>6484</v>
      </c>
      <c r="AL45" s="12" t="n">
        <v>9314</v>
      </c>
      <c r="AM45" s="13" t="n">
        <v>35.8</v>
      </c>
      <c r="AN45" s="13" t="n">
        <v>28</v>
      </c>
      <c r="AO45" s="13" t="n">
        <v>246.9</v>
      </c>
      <c r="AP45" s="13" t="n">
        <v>212.2</v>
      </c>
    </row>
    <row r="46">
      <c r="A46" s="5" t="inlineStr">
        <is>
          <t>강남제비스코</t>
        </is>
      </c>
      <c r="B46" s="6" t="inlineStr">
        <is>
          <t>000860</t>
        </is>
      </c>
      <c r="C46" s="6" t="inlineStr">
        <is>
          <t>연결</t>
        </is>
      </c>
      <c r="D46" s="6" t="inlineStr">
        <is>
          <t>2026Q2</t>
        </is>
      </c>
      <c r="E46" s="6" t="inlineStr"/>
      <c r="F46" s="7" t="inlineStr"/>
      <c r="G46" s="8" t="inlineStr"/>
      <c r="H46" s="8" t="inlineStr"/>
      <c r="I46" s="9" t="n">
        <v>148960</v>
      </c>
      <c r="J46" s="10" t="n">
        <v>4635</v>
      </c>
      <c r="K46" s="10" t="n">
        <v>4055</v>
      </c>
      <c r="L46" s="7" t="n">
        <v>177370</v>
      </c>
      <c r="M46" s="8" t="n">
        <v>11719</v>
      </c>
      <c r="N46" s="8" t="n">
        <v>8546</v>
      </c>
      <c r="O46" s="9" t="n">
        <v>153620</v>
      </c>
      <c r="P46" s="10" t="n">
        <v>2128</v>
      </c>
      <c r="Q46" s="10" t="n">
        <v>1161</v>
      </c>
      <c r="R46" s="7" t="n">
        <v>163187</v>
      </c>
      <c r="S46" s="8" t="n">
        <v>2048</v>
      </c>
      <c r="T46" s="8" t="n">
        <v>4361</v>
      </c>
      <c r="U46" s="9" t="n">
        <v>141022</v>
      </c>
      <c r="V46" s="10" t="n">
        <v>699</v>
      </c>
      <c r="W46" s="10" t="n">
        <v>-57</v>
      </c>
      <c r="X46" s="7" t="n">
        <v>161609</v>
      </c>
      <c r="Y46" s="8" t="n">
        <v>6451</v>
      </c>
      <c r="Z46" s="8" t="n">
        <v>5317</v>
      </c>
      <c r="AA46" s="9" t="n">
        <v>147443</v>
      </c>
      <c r="AB46" s="10" t="n">
        <v>4379</v>
      </c>
      <c r="AC46" s="10" t="n">
        <v>572</v>
      </c>
      <c r="AD46" s="7" t="n">
        <v>148479</v>
      </c>
      <c r="AE46" s="8" t="n">
        <v>-3234</v>
      </c>
      <c r="AF46" s="8" t="n">
        <v>-4906</v>
      </c>
      <c r="AG46" s="9" t="n">
        <v>146935</v>
      </c>
      <c r="AH46" s="10" t="n">
        <v>862</v>
      </c>
      <c r="AI46" s="10" t="n">
        <v>-1476</v>
      </c>
      <c r="AJ46" s="11" t="n">
        <v>178520</v>
      </c>
      <c r="AK46" s="12" t="n">
        <v>12369</v>
      </c>
      <c r="AL46" s="12" t="n">
        <v>6891</v>
      </c>
      <c r="AM46" s="13" t="n">
        <v>21.5</v>
      </c>
      <c r="AN46" s="13" t="n">
        <v>10.5</v>
      </c>
      <c r="AO46" s="13" t="n">
        <v>1334.9</v>
      </c>
      <c r="AP46" s="13" t="n">
        <v>91.7</v>
      </c>
    </row>
    <row r="47">
      <c r="A47" s="5" t="inlineStr">
        <is>
          <t>한화</t>
        </is>
      </c>
      <c r="B47" s="6" t="inlineStr">
        <is>
          <t>000880</t>
        </is>
      </c>
      <c r="C47" s="6" t="inlineStr">
        <is>
          <t>연결</t>
        </is>
      </c>
      <c r="D47" s="6" t="inlineStr">
        <is>
          <t>2026Q2</t>
        </is>
      </c>
      <c r="E47" s="6" t="inlineStr">
        <is>
          <t>2023Q4</t>
        </is>
      </c>
      <c r="F47" s="14" t="n">
        <v>14476040</v>
      </c>
      <c r="G47" s="15" t="n">
        <v>231704</v>
      </c>
      <c r="H47" s="15" t="n">
        <v>10349</v>
      </c>
      <c r="I47" s="9" t="n">
        <v>12435370</v>
      </c>
      <c r="J47" s="10" t="n">
        <v>235771</v>
      </c>
      <c r="K47" s="10" t="n">
        <v>-221468</v>
      </c>
      <c r="L47" s="7" t="n">
        <v>12992719</v>
      </c>
      <c r="M47" s="8" t="n">
        <v>528567</v>
      </c>
      <c r="N47" s="8" t="n">
        <v>37164</v>
      </c>
      <c r="O47" s="9" t="n">
        <v>12218263</v>
      </c>
      <c r="P47" s="10" t="n">
        <v>525432</v>
      </c>
      <c r="Q47" s="10" t="n">
        <v>188481</v>
      </c>
      <c r="R47" s="7" t="n">
        <v>18000477</v>
      </c>
      <c r="S47" s="8" t="n">
        <v>1126339</v>
      </c>
      <c r="T47" s="8" t="n">
        <v>1686257</v>
      </c>
      <c r="U47" s="9" t="n">
        <v>16642591</v>
      </c>
      <c r="V47" s="10" t="n">
        <v>1072563</v>
      </c>
      <c r="W47" s="10" t="n">
        <v>465740</v>
      </c>
      <c r="X47" s="7" t="n">
        <v>19242236</v>
      </c>
      <c r="Y47" s="8" t="n">
        <v>1334841</v>
      </c>
      <c r="Z47" s="8" t="n">
        <v>268714</v>
      </c>
      <c r="AA47" s="9" t="n">
        <v>17786617</v>
      </c>
      <c r="AB47" s="10" t="n">
        <v>1344206</v>
      </c>
      <c r="AC47" s="10" t="n">
        <v>1025766</v>
      </c>
      <c r="AD47" s="7" t="n">
        <v>21113996</v>
      </c>
      <c r="AE47" s="8" t="n">
        <v>395273</v>
      </c>
      <c r="AF47" s="8" t="n">
        <v>231380</v>
      </c>
      <c r="AG47" s="9" t="n">
        <v>21451410</v>
      </c>
      <c r="AH47" s="10" t="n">
        <v>1266711</v>
      </c>
      <c r="AI47" s="10" t="n">
        <v>775775</v>
      </c>
      <c r="AJ47" s="11" t="n">
        <v>28637845</v>
      </c>
      <c r="AK47" s="12" t="n">
        <v>2408503</v>
      </c>
      <c r="AL47" s="12" t="n">
        <v>1821109</v>
      </c>
      <c r="AM47" s="13" t="n">
        <v>33.5</v>
      </c>
      <c r="AN47" s="13" t="n">
        <v>48.8</v>
      </c>
      <c r="AO47" s="13" t="n">
        <v>90.09999999999999</v>
      </c>
      <c r="AP47" s="13" t="n">
        <v>80.40000000000001</v>
      </c>
    </row>
    <row r="48">
      <c r="A48" s="5" t="inlineStr">
        <is>
          <t>보해양조</t>
        </is>
      </c>
      <c r="B48" s="6" t="inlineStr">
        <is>
          <t>000890</t>
        </is>
      </c>
      <c r="C48" s="6" t="inlineStr">
        <is>
          <t>별도</t>
        </is>
      </c>
      <c r="D48" s="6" t="inlineStr">
        <is>
          <t>2026Q2</t>
        </is>
      </c>
      <c r="E48" s="6" t="inlineStr"/>
      <c r="F48" s="7" t="inlineStr"/>
      <c r="G48" s="8" t="inlineStr"/>
      <c r="H48" s="8" t="inlineStr"/>
      <c r="I48" s="9" t="n">
        <v>22133</v>
      </c>
      <c r="J48" s="10" t="n">
        <v>1087</v>
      </c>
      <c r="K48" s="10" t="n">
        <v>1162</v>
      </c>
      <c r="L48" s="7" t="n">
        <v>23235</v>
      </c>
      <c r="M48" s="8" t="n">
        <v>764</v>
      </c>
      <c r="N48" s="8" t="n">
        <v>49</v>
      </c>
      <c r="O48" s="9" t="n">
        <v>21142</v>
      </c>
      <c r="P48" s="10" t="n">
        <v>125</v>
      </c>
      <c r="Q48" s="10" t="n">
        <v>27</v>
      </c>
      <c r="R48" s="7" t="n">
        <v>21114</v>
      </c>
      <c r="S48" s="8" t="n">
        <v>325</v>
      </c>
      <c r="T48" s="8" t="n">
        <v>5448</v>
      </c>
      <c r="U48" s="9" t="n">
        <v>20521</v>
      </c>
      <c r="V48" s="10" t="n">
        <v>974</v>
      </c>
      <c r="W48" s="10" t="n">
        <v>759</v>
      </c>
      <c r="X48" s="7" t="n">
        <v>22669</v>
      </c>
      <c r="Y48" s="8" t="n">
        <v>1485</v>
      </c>
      <c r="Z48" s="8" t="n">
        <v>1177</v>
      </c>
      <c r="AA48" s="9" t="n">
        <v>24630</v>
      </c>
      <c r="AB48" s="10" t="n">
        <v>1116</v>
      </c>
      <c r="AC48" s="10" t="n">
        <v>568</v>
      </c>
      <c r="AD48" s="7" t="n">
        <v>22059</v>
      </c>
      <c r="AE48" s="8" t="n">
        <v>237</v>
      </c>
      <c r="AF48" s="8" t="n">
        <v>986</v>
      </c>
      <c r="AG48" s="9" t="n">
        <v>23493</v>
      </c>
      <c r="AH48" s="10" t="n">
        <v>1211</v>
      </c>
      <c r="AI48" s="10" t="n">
        <v>1155</v>
      </c>
      <c r="AJ48" s="11" t="n">
        <v>25564</v>
      </c>
      <c r="AK48" s="12" t="n">
        <v>1117</v>
      </c>
      <c r="AL48" s="12" t="n">
        <v>867</v>
      </c>
      <c r="AM48" s="13" t="n">
        <v>8.800000000000001</v>
      </c>
      <c r="AN48" s="13" t="n">
        <v>12.8</v>
      </c>
      <c r="AO48" s="13" t="n">
        <v>-7.8</v>
      </c>
      <c r="AP48" s="13" t="n">
        <v>-24.8</v>
      </c>
    </row>
    <row r="49">
      <c r="A49" s="5" t="inlineStr">
        <is>
          <t>에스엔시스</t>
        </is>
      </c>
      <c r="B49" s="6" t="inlineStr">
        <is>
          <t>0008Z0</t>
        </is>
      </c>
      <c r="C49" s="6" t="inlineStr">
        <is>
          <t>연결</t>
        </is>
      </c>
      <c r="D49" s="6" t="inlineStr">
        <is>
          <t>2026Q2</t>
        </is>
      </c>
      <c r="E49" s="6" t="inlineStr"/>
      <c r="F49" s="7" t="inlineStr"/>
      <c r="G49" s="8" t="inlineStr"/>
      <c r="H49" s="8" t="inlineStr"/>
      <c r="I49" s="9" t="inlineStr"/>
      <c r="J49" s="10" t="inlineStr"/>
      <c r="K49" s="10" t="inlineStr"/>
      <c r="L49" s="7" t="inlineStr"/>
      <c r="M49" s="8" t="inlineStr"/>
      <c r="N49" s="8" t="inlineStr"/>
      <c r="O49" s="9" t="inlineStr"/>
      <c r="P49" s="10" t="inlineStr"/>
      <c r="Q49" s="10" t="inlineStr"/>
      <c r="R49" s="7" t="inlineStr"/>
      <c r="S49" s="8" t="inlineStr"/>
      <c r="T49" s="8" t="inlineStr"/>
      <c r="U49" s="9" t="inlineStr"/>
      <c r="V49" s="10" t="inlineStr"/>
      <c r="W49" s="10" t="inlineStr"/>
      <c r="X49" s="7" t="n">
        <v>41235</v>
      </c>
      <c r="Y49" s="8" t="n">
        <v>5006</v>
      </c>
      <c r="Z49" s="8" t="n">
        <v>5931</v>
      </c>
      <c r="AA49" s="9" t="n">
        <v>33222</v>
      </c>
      <c r="AB49" s="10" t="n">
        <v>2968</v>
      </c>
      <c r="AC49" s="10" t="n">
        <v>2982</v>
      </c>
      <c r="AD49" s="7" t="inlineStr"/>
      <c r="AE49" s="8" t="inlineStr"/>
      <c r="AF49" s="8" t="inlineStr"/>
      <c r="AG49" s="9" t="n">
        <v>34252</v>
      </c>
      <c r="AH49" s="10" t="n">
        <v>3799</v>
      </c>
      <c r="AI49" s="10" t="n">
        <v>3679</v>
      </c>
      <c r="AJ49" s="11" t="n">
        <v>41076</v>
      </c>
      <c r="AK49" s="12" t="n">
        <v>6072</v>
      </c>
      <c r="AL49" s="12" t="n">
        <v>5482</v>
      </c>
      <c r="AM49" s="13" t="n">
        <v>19.9</v>
      </c>
      <c r="AN49" s="13" t="n">
        <v>-0.4</v>
      </c>
      <c r="AO49" s="13" t="n">
        <v>59.8</v>
      </c>
      <c r="AP49" s="13" t="n">
        <v>21.3</v>
      </c>
    </row>
    <row r="50">
      <c r="A50" s="5" t="inlineStr">
        <is>
          <t>유니온</t>
        </is>
      </c>
      <c r="B50" s="6" t="inlineStr">
        <is>
          <t>000910</t>
        </is>
      </c>
      <c r="C50" s="6" t="inlineStr">
        <is>
          <t>연결</t>
        </is>
      </c>
      <c r="D50" s="6" t="inlineStr">
        <is>
          <t>2026Q2</t>
        </is>
      </c>
      <c r="E50" s="6" t="inlineStr"/>
      <c r="F50" s="7" t="inlineStr"/>
      <c r="G50" s="8" t="inlineStr"/>
      <c r="H50" s="8" t="inlineStr"/>
      <c r="I50" s="9" t="n">
        <v>54625</v>
      </c>
      <c r="J50" s="10" t="n">
        <v>-3439</v>
      </c>
      <c r="K50" s="10" t="n">
        <v>-9671</v>
      </c>
      <c r="L50" s="7" t="n">
        <v>56091</v>
      </c>
      <c r="M50" s="8" t="n">
        <v>2242</v>
      </c>
      <c r="N50" s="8" t="n">
        <v>958</v>
      </c>
      <c r="O50" s="9" t="n">
        <v>53538</v>
      </c>
      <c r="P50" s="10" t="n">
        <v>-1750</v>
      </c>
      <c r="Q50" s="10" t="n">
        <v>-13561</v>
      </c>
      <c r="R50" s="7" t="n">
        <v>53905</v>
      </c>
      <c r="S50" s="8" t="n">
        <v>-8510</v>
      </c>
      <c r="T50" s="8" t="n">
        <v>-46630</v>
      </c>
      <c r="U50" s="9" t="n">
        <v>50419</v>
      </c>
      <c r="V50" s="10" t="n">
        <v>1043</v>
      </c>
      <c r="W50" s="10" t="n">
        <v>3500</v>
      </c>
      <c r="X50" s="7" t="n">
        <v>54520</v>
      </c>
      <c r="Y50" s="8" t="n">
        <v>1804</v>
      </c>
      <c r="Z50" s="8" t="n">
        <v>1496</v>
      </c>
      <c r="AA50" s="9" t="n">
        <v>49237</v>
      </c>
      <c r="AB50" s="10" t="n">
        <v>-709</v>
      </c>
      <c r="AC50" s="10" t="n">
        <v>4771</v>
      </c>
      <c r="AD50" s="7" t="n">
        <v>48225</v>
      </c>
      <c r="AE50" s="8" t="n">
        <v>3361</v>
      </c>
      <c r="AF50" s="8" t="n">
        <v>15796</v>
      </c>
      <c r="AG50" s="9" t="n">
        <v>45240</v>
      </c>
      <c r="AH50" s="10" t="n">
        <v>-711</v>
      </c>
      <c r="AI50" s="10" t="n">
        <v>32079</v>
      </c>
      <c r="AJ50" s="11" t="n">
        <v>53998</v>
      </c>
      <c r="AK50" s="12" t="n">
        <v>1202</v>
      </c>
      <c r="AL50" s="12" t="n">
        <v>11135</v>
      </c>
      <c r="AM50" s="13" t="n">
        <v>19.4</v>
      </c>
      <c r="AN50" s="13" t="n">
        <v>-1</v>
      </c>
      <c r="AO50" s="13" t="n">
        <v>269.1</v>
      </c>
      <c r="AP50" s="13" t="n">
        <v>-33.4</v>
      </c>
    </row>
    <row r="51">
      <c r="A51" s="5" t="inlineStr">
        <is>
          <t>전방</t>
        </is>
      </c>
      <c r="B51" s="6" t="inlineStr">
        <is>
          <t>000950</t>
        </is>
      </c>
      <c r="C51" s="6" t="inlineStr">
        <is>
          <t>연결</t>
        </is>
      </c>
      <c r="D51" s="6" t="inlineStr">
        <is>
          <t>2026Q2</t>
        </is>
      </c>
      <c r="E51" s="6" t="inlineStr"/>
      <c r="F51" s="7" t="inlineStr"/>
      <c r="G51" s="8" t="inlineStr"/>
      <c r="H51" s="8" t="inlineStr"/>
      <c r="I51" s="9" t="n">
        <v>15691</v>
      </c>
      <c r="J51" s="10" t="n">
        <v>-990</v>
      </c>
      <c r="K51" s="10" t="n">
        <v>320</v>
      </c>
      <c r="L51" s="7" t="n">
        <v>12857</v>
      </c>
      <c r="M51" s="8" t="n">
        <v>-1729</v>
      </c>
      <c r="N51" s="8" t="n">
        <v>5574</v>
      </c>
      <c r="O51" s="9" t="n">
        <v>12052</v>
      </c>
      <c r="P51" s="10" t="n">
        <v>-2752</v>
      </c>
      <c r="Q51" s="10" t="n">
        <v>2920</v>
      </c>
      <c r="R51" s="7" t="n">
        <v>16636</v>
      </c>
      <c r="S51" s="8" t="n">
        <v>-3012</v>
      </c>
      <c r="T51" s="8" t="n">
        <v>99</v>
      </c>
      <c r="U51" s="9" t="n">
        <v>12827</v>
      </c>
      <c r="V51" s="10" t="n">
        <v>-1112</v>
      </c>
      <c r="W51" s="10" t="n">
        <v>33079</v>
      </c>
      <c r="X51" s="7" t="n">
        <v>11704</v>
      </c>
      <c r="Y51" s="8" t="n">
        <v>-2981</v>
      </c>
      <c r="Z51" s="8" t="n">
        <v>-2058</v>
      </c>
      <c r="AA51" s="9" t="n">
        <v>6872</v>
      </c>
      <c r="AB51" s="10" t="n">
        <v>-1718</v>
      </c>
      <c r="AC51" s="10" t="n">
        <v>-716</v>
      </c>
      <c r="AD51" s="7" t="n">
        <v>9373</v>
      </c>
      <c r="AE51" s="8" t="n">
        <v>-1504</v>
      </c>
      <c r="AF51" s="8" t="n">
        <v>-496</v>
      </c>
      <c r="AG51" s="9" t="n">
        <v>7896</v>
      </c>
      <c r="AH51" s="10" t="n">
        <v>-919</v>
      </c>
      <c r="AI51" s="10" t="n">
        <v>841</v>
      </c>
      <c r="AJ51" s="11" t="n">
        <v>6906</v>
      </c>
      <c r="AK51" s="12" t="n">
        <v>-141</v>
      </c>
      <c r="AL51" s="12" t="n">
        <v>875</v>
      </c>
      <c r="AM51" s="13" t="n">
        <v>-12.5</v>
      </c>
      <c r="AN51" s="13" t="n">
        <v>-41</v>
      </c>
      <c r="AO51" s="13" t="n">
        <v>84.7</v>
      </c>
      <c r="AP51" s="13" t="n">
        <v>95.3</v>
      </c>
    </row>
    <row r="52">
      <c r="A52" s="5" t="inlineStr">
        <is>
          <t>한국주철관공업</t>
        </is>
      </c>
      <c r="B52" s="6" t="inlineStr">
        <is>
          <t>000970</t>
        </is>
      </c>
      <c r="C52" s="6" t="inlineStr">
        <is>
          <t>연결</t>
        </is>
      </c>
      <c r="D52" s="6" t="inlineStr">
        <is>
          <t>2026Q2</t>
        </is>
      </c>
      <c r="E52" s="6" t="inlineStr"/>
      <c r="F52" s="7" t="inlineStr"/>
      <c r="G52" s="8" t="inlineStr"/>
      <c r="H52" s="8" t="inlineStr"/>
      <c r="I52" s="9" t="n">
        <v>93180</v>
      </c>
      <c r="J52" s="10" t="n">
        <v>2843</v>
      </c>
      <c r="K52" s="10" t="n">
        <v>3710</v>
      </c>
      <c r="L52" s="7" t="n">
        <v>114046</v>
      </c>
      <c r="M52" s="8" t="n">
        <v>5279</v>
      </c>
      <c r="N52" s="8" t="n">
        <v>4780</v>
      </c>
      <c r="O52" s="9" t="n">
        <v>96402</v>
      </c>
      <c r="P52" s="10" t="n">
        <v>4174</v>
      </c>
      <c r="Q52" s="10" t="n">
        <v>3429</v>
      </c>
      <c r="R52" s="7" t="n">
        <v>115789</v>
      </c>
      <c r="S52" s="8" t="n">
        <v>3150</v>
      </c>
      <c r="T52" s="8" t="n">
        <v>2429</v>
      </c>
      <c r="U52" s="9" t="n">
        <v>91325</v>
      </c>
      <c r="V52" s="10" t="n">
        <v>3746</v>
      </c>
      <c r="W52" s="10" t="n">
        <v>3882</v>
      </c>
      <c r="X52" s="7" t="n">
        <v>109967</v>
      </c>
      <c r="Y52" s="8" t="n">
        <v>4253</v>
      </c>
      <c r="Z52" s="8" t="n">
        <v>4626</v>
      </c>
      <c r="AA52" s="9" t="n">
        <v>101598</v>
      </c>
      <c r="AB52" s="10" t="n">
        <v>3168</v>
      </c>
      <c r="AC52" s="10" t="n">
        <v>4168</v>
      </c>
      <c r="AD52" s="7" t="n">
        <v>103730</v>
      </c>
      <c r="AE52" s="8" t="n">
        <v>2129</v>
      </c>
      <c r="AF52" s="8" t="n">
        <v>4428</v>
      </c>
      <c r="AG52" s="9" t="n">
        <v>92083</v>
      </c>
      <c r="AH52" s="10" t="n">
        <v>2514</v>
      </c>
      <c r="AI52" s="10" t="n">
        <v>2769</v>
      </c>
      <c r="AJ52" s="11" t="n">
        <v>111849</v>
      </c>
      <c r="AK52" s="12" t="n">
        <v>7235</v>
      </c>
      <c r="AL52" s="12" t="n">
        <v>5964</v>
      </c>
      <c r="AM52" s="13" t="n">
        <v>21.5</v>
      </c>
      <c r="AN52" s="13" t="n">
        <v>1.7</v>
      </c>
      <c r="AO52" s="13" t="n">
        <v>187.8</v>
      </c>
      <c r="AP52" s="13" t="n">
        <v>70.09999999999999</v>
      </c>
    </row>
    <row r="53">
      <c r="A53" s="5" t="inlineStr">
        <is>
          <t>DB하이텍</t>
        </is>
      </c>
      <c r="B53" s="6" t="inlineStr">
        <is>
          <t>000990</t>
        </is>
      </c>
      <c r="C53" s="6" t="inlineStr">
        <is>
          <t>연결</t>
        </is>
      </c>
      <c r="D53" s="6" t="inlineStr">
        <is>
          <t>2026Q2</t>
        </is>
      </c>
      <c r="E53" s="6" t="inlineStr">
        <is>
          <t>2023Q4</t>
        </is>
      </c>
      <c r="F53" s="14" t="n">
        <v>277378</v>
      </c>
      <c r="G53" s="15" t="n">
        <v>40752</v>
      </c>
      <c r="H53" s="15" t="n">
        <v>33303</v>
      </c>
      <c r="I53" s="9" t="n">
        <v>261498</v>
      </c>
      <c r="J53" s="10" t="n">
        <v>41042</v>
      </c>
      <c r="K53" s="10" t="n">
        <v>43913</v>
      </c>
      <c r="L53" s="7" t="n">
        <v>298388</v>
      </c>
      <c r="M53" s="8" t="n">
        <v>67452</v>
      </c>
      <c r="N53" s="8" t="n">
        <v>64099</v>
      </c>
      <c r="O53" s="9" t="n">
        <v>287793</v>
      </c>
      <c r="P53" s="10" t="n">
        <v>47052</v>
      </c>
      <c r="Q53" s="10" t="n">
        <v>70986</v>
      </c>
      <c r="R53" s="7" t="n">
        <v>283489</v>
      </c>
      <c r="S53" s="8" t="n">
        <v>35293</v>
      </c>
      <c r="T53" s="8" t="n">
        <v>50388</v>
      </c>
      <c r="U53" s="9" t="n">
        <v>297381</v>
      </c>
      <c r="V53" s="10" t="n">
        <v>52501</v>
      </c>
      <c r="W53" s="10" t="n">
        <v>45900</v>
      </c>
      <c r="X53" s="7" t="n">
        <v>337406</v>
      </c>
      <c r="Y53" s="8" t="n">
        <v>73842</v>
      </c>
      <c r="Z53" s="8" t="n">
        <v>59997</v>
      </c>
      <c r="AA53" s="9" t="n">
        <v>374650</v>
      </c>
      <c r="AB53" s="10" t="n">
        <v>80580</v>
      </c>
      <c r="AC53" s="10" t="n">
        <v>90737</v>
      </c>
      <c r="AD53" s="7" t="n">
        <v>387796</v>
      </c>
      <c r="AE53" s="8" t="n">
        <v>70372</v>
      </c>
      <c r="AF53" s="8" t="n">
        <v>55948</v>
      </c>
      <c r="AG53" s="9" t="n">
        <v>374629</v>
      </c>
      <c r="AH53" s="10" t="n">
        <v>63718</v>
      </c>
      <c r="AI53" s="10" t="n">
        <v>86868</v>
      </c>
      <c r="AJ53" s="11" t="n">
        <v>414450</v>
      </c>
      <c r="AK53" s="12" t="n">
        <v>105233</v>
      </c>
      <c r="AL53" s="12" t="n">
        <v>115607</v>
      </c>
      <c r="AM53" s="13" t="n">
        <v>10.6</v>
      </c>
      <c r="AN53" s="13" t="n">
        <v>22.8</v>
      </c>
      <c r="AO53" s="13" t="n">
        <v>65.2</v>
      </c>
      <c r="AP53" s="13" t="n">
        <v>42.5</v>
      </c>
    </row>
    <row r="54">
      <c r="A54" s="5" t="inlineStr">
        <is>
          <t>에임드바이오</t>
        </is>
      </c>
      <c r="B54" s="6" t="inlineStr">
        <is>
          <t>0009K0</t>
        </is>
      </c>
      <c r="C54" s="6" t="inlineStr">
        <is>
          <t>연결</t>
        </is>
      </c>
      <c r="D54" s="6" t="inlineStr">
        <is>
          <t>2026Q2</t>
        </is>
      </c>
      <c r="E54" s="6" t="inlineStr">
        <is>
          <t>2025Q4</t>
        </is>
      </c>
      <c r="F54" s="7" t="inlineStr"/>
      <c r="G54" s="8" t="inlineStr"/>
      <c r="H54" s="8" t="inlineStr"/>
      <c r="I54" s="9" t="inlineStr"/>
      <c r="J54" s="10" t="inlineStr"/>
      <c r="K54" s="10" t="inlineStr"/>
      <c r="L54" s="7" t="inlineStr"/>
      <c r="M54" s="8" t="inlineStr"/>
      <c r="N54" s="8" t="inlineStr"/>
      <c r="O54" s="9" t="inlineStr"/>
      <c r="P54" s="10" t="inlineStr"/>
      <c r="Q54" s="10" t="inlineStr"/>
      <c r="R54" s="7" t="inlineStr"/>
      <c r="S54" s="8" t="inlineStr"/>
      <c r="T54" s="8" t="inlineStr"/>
      <c r="U54" s="9" t="inlineStr"/>
      <c r="V54" s="10" t="inlineStr"/>
      <c r="W54" s="10" t="inlineStr"/>
      <c r="X54" s="7" t="inlineStr"/>
      <c r="Y54" s="8" t="inlineStr"/>
      <c r="Z54" s="8" t="inlineStr"/>
      <c r="AA54" s="9" t="n">
        <v>114</v>
      </c>
      <c r="AB54" s="10" t="n">
        <v>-5867</v>
      </c>
      <c r="AC54" s="10" t="n">
        <v>-5201</v>
      </c>
      <c r="AD54" s="14" t="n">
        <v>37979</v>
      </c>
      <c r="AE54" s="15" t="n">
        <v>25349</v>
      </c>
      <c r="AF54" s="15" t="n">
        <v>34</v>
      </c>
      <c r="AG54" s="9" t="n">
        <v>8498</v>
      </c>
      <c r="AH54" s="10" t="n">
        <v>-3957</v>
      </c>
      <c r="AI54" s="10" t="n">
        <v>-2011</v>
      </c>
      <c r="AJ54" s="11" t="n">
        <v>20197</v>
      </c>
      <c r="AK54" s="12" t="n">
        <v>8520</v>
      </c>
      <c r="AL54" s="12" t="n">
        <v>10883</v>
      </c>
      <c r="AM54" s="13" t="n">
        <v>137.7</v>
      </c>
      <c r="AN54" s="13" t="inlineStr"/>
      <c r="AO54" s="13" t="n">
        <v>315.3</v>
      </c>
      <c r="AP54" s="13" t="inlineStr"/>
    </row>
    <row r="55">
      <c r="A55" s="5" t="inlineStr">
        <is>
          <t>신라섬유</t>
        </is>
      </c>
      <c r="B55" s="6" t="inlineStr">
        <is>
          <t>001000</t>
        </is>
      </c>
      <c r="C55" s="6" t="inlineStr">
        <is>
          <t>별도</t>
        </is>
      </c>
      <c r="D55" s="6" t="inlineStr">
        <is>
          <t>2026Q2</t>
        </is>
      </c>
      <c r="E55" s="6" t="inlineStr"/>
      <c r="F55" s="7" t="inlineStr"/>
      <c r="G55" s="8" t="inlineStr"/>
      <c r="H55" s="8" t="inlineStr"/>
      <c r="I55" s="9" t="n">
        <v>941</v>
      </c>
      <c r="J55" s="10" t="n">
        <v>309</v>
      </c>
      <c r="K55" s="10" t="n">
        <v>112</v>
      </c>
      <c r="L55" s="7" t="n">
        <v>861</v>
      </c>
      <c r="M55" s="8" t="n">
        <v>-507</v>
      </c>
      <c r="N55" s="8" t="n">
        <v>-677</v>
      </c>
      <c r="O55" s="9" t="n">
        <v>970</v>
      </c>
      <c r="P55" s="10" t="n">
        <v>306</v>
      </c>
      <c r="Q55" s="10" t="n">
        <v>125</v>
      </c>
      <c r="R55" s="7" t="n">
        <v>897</v>
      </c>
      <c r="S55" s="8" t="n">
        <v>309</v>
      </c>
      <c r="T55" s="8" t="n">
        <v>138</v>
      </c>
      <c r="U55" s="9" t="n">
        <v>947</v>
      </c>
      <c r="V55" s="10" t="n">
        <v>317</v>
      </c>
      <c r="W55" s="10" t="n">
        <v>151</v>
      </c>
      <c r="X55" s="7" t="n">
        <v>727</v>
      </c>
      <c r="Y55" s="8" t="n">
        <v>-506</v>
      </c>
      <c r="Z55" s="8" t="n">
        <v>-665</v>
      </c>
      <c r="AA55" s="9" t="n">
        <v>971</v>
      </c>
      <c r="AB55" s="10" t="n">
        <v>324</v>
      </c>
      <c r="AC55" s="10" t="n">
        <v>267</v>
      </c>
      <c r="AD55" s="7" t="n">
        <v>946</v>
      </c>
      <c r="AE55" s="8" t="n">
        <v>353</v>
      </c>
      <c r="AF55" s="8" t="n">
        <v>319</v>
      </c>
      <c r="AG55" s="9" t="n">
        <v>832</v>
      </c>
      <c r="AH55" s="10" t="n">
        <v>303</v>
      </c>
      <c r="AI55" s="10" t="n">
        <v>150</v>
      </c>
      <c r="AJ55" s="11" t="n">
        <v>926</v>
      </c>
      <c r="AK55" s="12" t="n">
        <v>-531</v>
      </c>
      <c r="AL55" s="12" t="n">
        <v>-683</v>
      </c>
      <c r="AM55" s="13" t="n">
        <v>11.3</v>
      </c>
      <c r="AN55" s="13" t="n">
        <v>27.4</v>
      </c>
      <c r="AO55" s="13" t="n">
        <v>-275.2</v>
      </c>
      <c r="AP55" s="13" t="n">
        <v>-4.9</v>
      </c>
    </row>
    <row r="56">
      <c r="A56" s="5" t="inlineStr">
        <is>
          <t>페이퍼코리아</t>
        </is>
      </c>
      <c r="B56" s="6" t="inlineStr">
        <is>
          <t>001020</t>
        </is>
      </c>
      <c r="C56" s="6" t="inlineStr">
        <is>
          <t>연결</t>
        </is>
      </c>
      <c r="D56" s="6" t="inlineStr">
        <is>
          <t>2026Q2</t>
        </is>
      </c>
      <c r="E56" s="6" t="inlineStr"/>
      <c r="F56" s="7" t="inlineStr"/>
      <c r="G56" s="8" t="inlineStr"/>
      <c r="H56" s="8" t="inlineStr"/>
      <c r="I56" s="9" t="n">
        <v>69263</v>
      </c>
      <c r="J56" s="10" t="n">
        <v>1990</v>
      </c>
      <c r="K56" s="10" t="n">
        <v>-422</v>
      </c>
      <c r="L56" s="7" t="n">
        <v>82362</v>
      </c>
      <c r="M56" s="8" t="n">
        <v>1900</v>
      </c>
      <c r="N56" s="8" t="n">
        <v>4177</v>
      </c>
      <c r="O56" s="9" t="n">
        <v>66852</v>
      </c>
      <c r="P56" s="10" t="n">
        <v>-2123</v>
      </c>
      <c r="Q56" s="10" t="n">
        <v>-3312</v>
      </c>
      <c r="R56" s="7" t="n">
        <v>71707</v>
      </c>
      <c r="S56" s="8" t="n">
        <v>271</v>
      </c>
      <c r="T56" s="8" t="n">
        <v>-10126</v>
      </c>
      <c r="U56" s="9" t="n">
        <v>66304</v>
      </c>
      <c r="V56" s="10" t="n">
        <v>451</v>
      </c>
      <c r="W56" s="10" t="n">
        <v>-1876</v>
      </c>
      <c r="X56" s="7" t="n">
        <v>66428</v>
      </c>
      <c r="Y56" s="8" t="n">
        <v>-2374</v>
      </c>
      <c r="Z56" s="8" t="n">
        <v>-3803</v>
      </c>
      <c r="AA56" s="9" t="n">
        <v>65106</v>
      </c>
      <c r="AB56" s="10" t="n">
        <v>-3167</v>
      </c>
      <c r="AC56" s="10" t="n">
        <v>-6566</v>
      </c>
      <c r="AD56" s="7" t="n">
        <v>68831</v>
      </c>
      <c r="AE56" s="8" t="n">
        <v>-189</v>
      </c>
      <c r="AF56" s="8" t="n">
        <v>-7082</v>
      </c>
      <c r="AG56" s="9" t="n">
        <v>67207</v>
      </c>
      <c r="AH56" s="10" t="n">
        <v>1235</v>
      </c>
      <c r="AI56" s="10" t="n">
        <v>-665</v>
      </c>
      <c r="AJ56" s="11" t="n">
        <v>80316</v>
      </c>
      <c r="AK56" s="12" t="n">
        <v>5453</v>
      </c>
      <c r="AL56" s="12" t="n">
        <v>2612</v>
      </c>
      <c r="AM56" s="13" t="n">
        <v>19.5</v>
      </c>
      <c r="AN56" s="13" t="n">
        <v>20.9</v>
      </c>
      <c r="AO56" s="13" t="n">
        <v>341.5</v>
      </c>
      <c r="AP56" s="13" t="n">
        <v>329.7</v>
      </c>
    </row>
    <row r="57">
      <c r="A57" s="5" t="inlineStr">
        <is>
          <t>CJ</t>
        </is>
      </c>
      <c r="B57" s="6" t="inlineStr">
        <is>
          <t>001040</t>
        </is>
      </c>
      <c r="C57" s="6" t="inlineStr">
        <is>
          <t>연결</t>
        </is>
      </c>
      <c r="D57" s="6" t="inlineStr">
        <is>
          <t>2026Q2</t>
        </is>
      </c>
      <c r="E57" s="6" t="inlineStr"/>
      <c r="F57" s="7" t="inlineStr"/>
      <c r="G57" s="8" t="inlineStr"/>
      <c r="H57" s="8" t="inlineStr"/>
      <c r="I57" s="9" t="n">
        <v>10435841</v>
      </c>
      <c r="J57" s="10" t="n">
        <v>576156</v>
      </c>
      <c r="K57" s="10" t="n">
        <v>150839</v>
      </c>
      <c r="L57" s="7" t="n">
        <v>10682936</v>
      </c>
      <c r="M57" s="8" t="n">
        <v>666350</v>
      </c>
      <c r="N57" s="8" t="n">
        <v>308510</v>
      </c>
      <c r="O57" s="9" t="n">
        <v>10845151</v>
      </c>
      <c r="P57" s="10" t="n">
        <v>674848</v>
      </c>
      <c r="Q57" s="10" t="n">
        <v>-295199</v>
      </c>
      <c r="R57" s="7" t="n">
        <v>11682728</v>
      </c>
      <c r="S57" s="8" t="n">
        <v>630130</v>
      </c>
      <c r="T57" s="8" t="n">
        <v>-12954</v>
      </c>
      <c r="U57" s="9" t="n">
        <v>10600439</v>
      </c>
      <c r="V57" s="10" t="n">
        <v>534965</v>
      </c>
      <c r="W57" s="10" t="n">
        <v>136436</v>
      </c>
      <c r="X57" s="7" t="n">
        <v>11119028</v>
      </c>
      <c r="Y57" s="8" t="n">
        <v>618772</v>
      </c>
      <c r="Z57" s="8" t="n">
        <v>363270</v>
      </c>
      <c r="AA57" s="9" t="n">
        <v>11428500</v>
      </c>
      <c r="AB57" s="10" t="n">
        <v>665665</v>
      </c>
      <c r="AC57" s="10" t="n">
        <v>302204</v>
      </c>
      <c r="AD57" s="7" t="n">
        <v>11870862</v>
      </c>
      <c r="AE57" s="8" t="n">
        <v>708336</v>
      </c>
      <c r="AF57" s="8" t="n">
        <v>-659279</v>
      </c>
      <c r="AG57" s="9" t="n">
        <v>11451167</v>
      </c>
      <c r="AH57" s="10" t="n">
        <v>460685</v>
      </c>
      <c r="AI57" s="10" t="n">
        <v>174330</v>
      </c>
      <c r="AJ57" s="11" t="n">
        <v>11528095</v>
      </c>
      <c r="AK57" s="12" t="n">
        <v>531755</v>
      </c>
      <c r="AL57" s="12" t="n">
        <v>155628</v>
      </c>
      <c r="AM57" s="13" t="n">
        <v>0.7</v>
      </c>
      <c r="AN57" s="13" t="n">
        <v>3.7</v>
      </c>
      <c r="AO57" s="13" t="n">
        <v>15.4</v>
      </c>
      <c r="AP57" s="13" t="n">
        <v>-14.1</v>
      </c>
    </row>
    <row r="58">
      <c r="A58" s="5" t="inlineStr">
        <is>
          <t>JW중외제약</t>
        </is>
      </c>
      <c r="B58" s="6" t="inlineStr">
        <is>
          <t>001060</t>
        </is>
      </c>
      <c r="C58" s="6" t="inlineStr">
        <is>
          <t>연결</t>
        </is>
      </c>
      <c r="D58" s="6" t="inlineStr">
        <is>
          <t>2026Q2</t>
        </is>
      </c>
      <c r="E58" s="6" t="inlineStr"/>
      <c r="F58" s="7" t="inlineStr"/>
      <c r="G58" s="8" t="inlineStr"/>
      <c r="H58" s="8" t="inlineStr"/>
      <c r="I58" s="9" t="n">
        <v>180594</v>
      </c>
      <c r="J58" s="10" t="n">
        <v>26247</v>
      </c>
      <c r="K58" s="10" t="n">
        <v>20088</v>
      </c>
      <c r="L58" s="7" t="n">
        <v>172276</v>
      </c>
      <c r="M58" s="8" t="n">
        <v>11640</v>
      </c>
      <c r="N58" s="8" t="n">
        <v>8511</v>
      </c>
      <c r="O58" s="9" t="n">
        <v>178655</v>
      </c>
      <c r="P58" s="10" t="n">
        <v>26539</v>
      </c>
      <c r="Q58" s="10" t="n">
        <v>19847</v>
      </c>
      <c r="R58" s="7" t="n">
        <v>187851</v>
      </c>
      <c r="S58" s="8" t="n">
        <v>18062</v>
      </c>
      <c r="T58" s="8" t="n">
        <v>16594</v>
      </c>
      <c r="U58" s="9" t="n">
        <v>185236</v>
      </c>
      <c r="V58" s="10" t="n">
        <v>22007</v>
      </c>
      <c r="W58" s="10" t="n">
        <v>17471</v>
      </c>
      <c r="X58" s="7" t="n">
        <v>191105</v>
      </c>
      <c r="Y58" s="8" t="n">
        <v>24969</v>
      </c>
      <c r="Z58" s="8" t="n">
        <v>-1865</v>
      </c>
      <c r="AA58" s="9" t="n">
        <v>200016</v>
      </c>
      <c r="AB58" s="10" t="n">
        <v>32028</v>
      </c>
      <c r="AC58" s="10" t="n">
        <v>30588</v>
      </c>
      <c r="AD58" s="7" t="n">
        <v>198941</v>
      </c>
      <c r="AE58" s="8" t="n">
        <v>15457</v>
      </c>
      <c r="AF58" s="8" t="n">
        <v>15317</v>
      </c>
      <c r="AG58" s="9" t="n">
        <v>199885</v>
      </c>
      <c r="AH58" s="10" t="n">
        <v>33577</v>
      </c>
      <c r="AI58" s="10" t="n">
        <v>27483</v>
      </c>
      <c r="AJ58" s="11" t="n">
        <v>222020</v>
      </c>
      <c r="AK58" s="12" t="n">
        <v>33339</v>
      </c>
      <c r="AL58" s="12" t="n">
        <v>27892</v>
      </c>
      <c r="AM58" s="13" t="n">
        <v>11.1</v>
      </c>
      <c r="AN58" s="13" t="n">
        <v>16.2</v>
      </c>
      <c r="AO58" s="13" t="n">
        <v>-0.7</v>
      </c>
      <c r="AP58" s="13" t="n">
        <v>33.5</v>
      </c>
    </row>
    <row r="59">
      <c r="A59" s="5" t="inlineStr">
        <is>
          <t>대한방직</t>
        </is>
      </c>
      <c r="B59" s="6" t="inlineStr">
        <is>
          <t>001070</t>
        </is>
      </c>
      <c r="C59" s="6" t="inlineStr">
        <is>
          <t>연결</t>
        </is>
      </c>
      <c r="D59" s="6" t="inlineStr">
        <is>
          <t>2026Q2</t>
        </is>
      </c>
      <c r="E59" s="6" t="inlineStr"/>
      <c r="F59" s="7" t="inlineStr"/>
      <c r="G59" s="8" t="inlineStr"/>
      <c r="H59" s="8" t="inlineStr"/>
      <c r="I59" s="9" t="n">
        <v>27856</v>
      </c>
      <c r="J59" s="10" t="n">
        <v>-147</v>
      </c>
      <c r="K59" s="10" t="n">
        <v>-119</v>
      </c>
      <c r="L59" s="7" t="n">
        <v>37247</v>
      </c>
      <c r="M59" s="8" t="n">
        <v>942</v>
      </c>
      <c r="N59" s="8" t="n">
        <v>614</v>
      </c>
      <c r="O59" s="9" t="n">
        <v>38277</v>
      </c>
      <c r="P59" s="10" t="n">
        <v>1274</v>
      </c>
      <c r="Q59" s="10" t="n">
        <v>408</v>
      </c>
      <c r="R59" s="7" t="n">
        <v>30529</v>
      </c>
      <c r="S59" s="8" t="n">
        <v>350</v>
      </c>
      <c r="T59" s="8" t="n">
        <v>213</v>
      </c>
      <c r="U59" s="9" t="n">
        <v>30785</v>
      </c>
      <c r="V59" s="10" t="n">
        <v>-510</v>
      </c>
      <c r="W59" s="10" t="n">
        <v>-897</v>
      </c>
      <c r="X59" s="7" t="n">
        <v>46881</v>
      </c>
      <c r="Y59" s="8" t="n">
        <v>76</v>
      </c>
      <c r="Z59" s="8" t="n">
        <v>319</v>
      </c>
      <c r="AA59" s="9" t="n">
        <v>40256</v>
      </c>
      <c r="AB59" s="10" t="n">
        <v>79</v>
      </c>
      <c r="AC59" s="10" t="n">
        <v>-310</v>
      </c>
      <c r="AD59" s="7" t="n">
        <v>40364</v>
      </c>
      <c r="AE59" s="8" t="n">
        <v>1052</v>
      </c>
      <c r="AF59" s="8" t="n">
        <v>277</v>
      </c>
      <c r="AG59" s="9" t="n">
        <v>34900</v>
      </c>
      <c r="AH59" s="10" t="n">
        <v>369</v>
      </c>
      <c r="AI59" s="10" t="n">
        <v>-274</v>
      </c>
      <c r="AJ59" s="11" t="n">
        <v>40587</v>
      </c>
      <c r="AK59" s="12" t="n">
        <v>1154</v>
      </c>
      <c r="AL59" s="12" t="n">
        <v>347</v>
      </c>
      <c r="AM59" s="13" t="n">
        <v>16.3</v>
      </c>
      <c r="AN59" s="13" t="n">
        <v>-13.4</v>
      </c>
      <c r="AO59" s="13" t="n">
        <v>212.7</v>
      </c>
      <c r="AP59" s="13" t="n">
        <v>1418.4</v>
      </c>
    </row>
    <row r="60">
      <c r="A60" s="5" t="inlineStr">
        <is>
          <t>만호제강</t>
        </is>
      </c>
      <c r="B60" s="6" t="inlineStr">
        <is>
          <t>001080</t>
        </is>
      </c>
      <c r="C60" s="6" t="inlineStr">
        <is>
          <t>별도</t>
        </is>
      </c>
      <c r="D60" s="6" t="inlineStr">
        <is>
          <t>2025Q4</t>
        </is>
      </c>
      <c r="E60" s="6" t="inlineStr"/>
      <c r="F60" s="7" t="inlineStr"/>
      <c r="G60" s="8" t="inlineStr"/>
      <c r="H60" s="8" t="inlineStr"/>
      <c r="I60" s="9" t="n">
        <v>37468</v>
      </c>
      <c r="J60" s="10" t="n">
        <v>-3043</v>
      </c>
      <c r="K60" s="10" t="n">
        <v>4600</v>
      </c>
      <c r="L60" s="7" t="n">
        <v>38781</v>
      </c>
      <c r="M60" s="8" t="n">
        <v>-5538</v>
      </c>
      <c r="N60" s="8" t="n">
        <v>-3715</v>
      </c>
      <c r="O60" s="9" t="n">
        <v>40986</v>
      </c>
      <c r="P60" s="10" t="n">
        <v>-5072</v>
      </c>
      <c r="Q60" s="10" t="n">
        <v>-3871</v>
      </c>
      <c r="R60" s="7" t="n">
        <v>62669</v>
      </c>
      <c r="S60" s="8" t="n">
        <v>-17142</v>
      </c>
      <c r="T60" s="8" t="n">
        <v>-41369</v>
      </c>
      <c r="U60" s="9" t="n">
        <v>36686</v>
      </c>
      <c r="V60" s="10" t="n">
        <v>-604</v>
      </c>
      <c r="W60" s="10" t="n">
        <v>7627</v>
      </c>
      <c r="X60" s="7" t="n">
        <v>36054</v>
      </c>
      <c r="Y60" s="8" t="n">
        <v>-3699</v>
      </c>
      <c r="Z60" s="8" t="n">
        <v>-5014</v>
      </c>
      <c r="AA60" s="9" t="n">
        <v>37148</v>
      </c>
      <c r="AB60" s="10" t="n">
        <v>-2829</v>
      </c>
      <c r="AC60" s="10" t="n">
        <v>-4674</v>
      </c>
      <c r="AD60" s="7" t="n">
        <v>43065</v>
      </c>
      <c r="AE60" s="8" t="n">
        <v>-4845</v>
      </c>
      <c r="AF60" s="8" t="n">
        <v>-1475</v>
      </c>
      <c r="AG60" s="9" t="inlineStr"/>
      <c r="AH60" s="10" t="inlineStr"/>
      <c r="AI60" s="10" t="inlineStr"/>
      <c r="AJ60" s="11" t="inlineStr"/>
      <c r="AK60" s="12" t="inlineStr"/>
      <c r="AL60" s="12" t="inlineStr"/>
      <c r="AM60" s="13" t="inlineStr"/>
      <c r="AN60" s="13" t="inlineStr"/>
      <c r="AO60" s="13" t="inlineStr"/>
      <c r="AP60" s="13" t="inlineStr"/>
    </row>
    <row r="61">
      <c r="A61" s="5" t="inlineStr">
        <is>
          <t>보원케미칼</t>
        </is>
      </c>
      <c r="B61" s="6" t="inlineStr">
        <is>
          <t>0010F0</t>
        </is>
      </c>
      <c r="C61" s="6" t="inlineStr">
        <is>
          <t>별도</t>
        </is>
      </c>
      <c r="D61" s="6" t="inlineStr">
        <is>
          <t>2026Q2</t>
        </is>
      </c>
      <c r="E61" s="6" t="inlineStr"/>
      <c r="F61" s="7" t="inlineStr"/>
      <c r="G61" s="8" t="inlineStr"/>
      <c r="H61" s="8" t="inlineStr"/>
      <c r="I61" s="9" t="inlineStr"/>
      <c r="J61" s="10" t="inlineStr"/>
      <c r="K61" s="10" t="inlineStr"/>
      <c r="L61" s="7" t="inlineStr"/>
      <c r="M61" s="8" t="inlineStr"/>
      <c r="N61" s="8" t="inlineStr"/>
      <c r="O61" s="9" t="inlineStr"/>
      <c r="P61" s="10" t="inlineStr"/>
      <c r="Q61" s="10" t="inlineStr"/>
      <c r="R61" s="7" t="inlineStr"/>
      <c r="S61" s="8" t="inlineStr"/>
      <c r="T61" s="8" t="inlineStr"/>
      <c r="U61" s="9" t="inlineStr"/>
      <c r="V61" s="10" t="inlineStr"/>
      <c r="W61" s="10" t="inlineStr"/>
      <c r="X61" s="7" t="inlineStr"/>
      <c r="Y61" s="8" t="inlineStr"/>
      <c r="Z61" s="8" t="inlineStr"/>
      <c r="AA61" s="9" t="inlineStr"/>
      <c r="AB61" s="10" t="inlineStr"/>
      <c r="AC61" s="10" t="inlineStr"/>
      <c r="AD61" s="7" t="inlineStr"/>
      <c r="AE61" s="8" t="inlineStr"/>
      <c r="AF61" s="8" t="inlineStr"/>
      <c r="AG61" s="9" t="n">
        <v>14986</v>
      </c>
      <c r="AH61" s="10" t="n">
        <v>971</v>
      </c>
      <c r="AI61" s="10" t="n">
        <v>-1249</v>
      </c>
      <c r="AJ61" s="11" t="n">
        <v>13694</v>
      </c>
      <c r="AK61" s="12" t="n">
        <v>1024</v>
      </c>
      <c r="AL61" s="12" t="n">
        <v>887</v>
      </c>
      <c r="AM61" s="13" t="n">
        <v>-8.6</v>
      </c>
      <c r="AN61" s="13" t="inlineStr"/>
      <c r="AO61" s="13" t="n">
        <v>5.5</v>
      </c>
      <c r="AP61" s="13" t="inlineStr"/>
    </row>
    <row r="62">
      <c r="A62" s="5" t="inlineStr">
        <is>
          <t>제이피아이헬스케어</t>
        </is>
      </c>
      <c r="B62" s="6" t="inlineStr">
        <is>
          <t>0010V0</t>
        </is>
      </c>
      <c r="C62" s="6" t="inlineStr">
        <is>
          <t>연결</t>
        </is>
      </c>
      <c r="D62" s="6" t="inlineStr">
        <is>
          <t>2026Q2</t>
        </is>
      </c>
      <c r="E62" s="6" t="inlineStr">
        <is>
          <t>2025Q4</t>
        </is>
      </c>
      <c r="F62" s="7" t="inlineStr"/>
      <c r="G62" s="8" t="inlineStr"/>
      <c r="H62" s="8" t="inlineStr"/>
      <c r="I62" s="9" t="inlineStr"/>
      <c r="J62" s="10" t="inlineStr"/>
      <c r="K62" s="10" t="inlineStr"/>
      <c r="L62" s="7" t="inlineStr"/>
      <c r="M62" s="8" t="inlineStr"/>
      <c r="N62" s="8" t="inlineStr"/>
      <c r="O62" s="9" t="inlineStr"/>
      <c r="P62" s="10" t="inlineStr"/>
      <c r="Q62" s="10" t="inlineStr"/>
      <c r="R62" s="7" t="inlineStr"/>
      <c r="S62" s="8" t="inlineStr"/>
      <c r="T62" s="8" t="inlineStr"/>
      <c r="U62" s="9" t="inlineStr"/>
      <c r="V62" s="10" t="inlineStr"/>
      <c r="W62" s="10" t="inlineStr"/>
      <c r="X62" s="7" t="n">
        <v>13059</v>
      </c>
      <c r="Y62" s="8" t="n">
        <v>1322</v>
      </c>
      <c r="Z62" s="8" t="n">
        <v>687</v>
      </c>
      <c r="AA62" s="9" t="n">
        <v>11865</v>
      </c>
      <c r="AB62" s="10" t="n">
        <v>660</v>
      </c>
      <c r="AC62" s="10" t="n">
        <v>1142</v>
      </c>
      <c r="AD62" s="14" t="n">
        <v>12289</v>
      </c>
      <c r="AE62" s="15" t="n">
        <v>1428</v>
      </c>
      <c r="AF62" s="15" t="n">
        <v>1699</v>
      </c>
      <c r="AG62" s="9" t="n">
        <v>10755</v>
      </c>
      <c r="AH62" s="10" t="n">
        <v>458</v>
      </c>
      <c r="AI62" s="10" t="n">
        <v>1554</v>
      </c>
      <c r="AJ62" s="11" t="n">
        <v>11954</v>
      </c>
      <c r="AK62" s="12" t="n">
        <v>2147</v>
      </c>
      <c r="AL62" s="12" t="n">
        <v>2459</v>
      </c>
      <c r="AM62" s="13" t="n">
        <v>11.1</v>
      </c>
      <c r="AN62" s="13" t="n">
        <v>-8.5</v>
      </c>
      <c r="AO62" s="13" t="n">
        <v>368.8</v>
      </c>
      <c r="AP62" s="13" t="n">
        <v>62.4</v>
      </c>
    </row>
    <row r="63">
      <c r="A63" s="5" t="inlineStr">
        <is>
          <t>LX인터내셔널</t>
        </is>
      </c>
      <c r="B63" s="6" t="inlineStr">
        <is>
          <t>001120</t>
        </is>
      </c>
      <c r="C63" s="6" t="inlineStr">
        <is>
          <t>연결</t>
        </is>
      </c>
      <c r="D63" s="6" t="inlineStr">
        <is>
          <t>2026Q2</t>
        </is>
      </c>
      <c r="E63" s="6" t="inlineStr">
        <is>
          <t>2023Q4</t>
        </is>
      </c>
      <c r="F63" s="14" t="n">
        <v>3714700</v>
      </c>
      <c r="G63" s="15" t="n">
        <v>78500</v>
      </c>
      <c r="H63" s="15" t="n">
        <v>-84100</v>
      </c>
      <c r="I63" s="9" t="n">
        <v>3776093</v>
      </c>
      <c r="J63" s="10" t="n">
        <v>110708</v>
      </c>
      <c r="K63" s="10" t="n">
        <v>98013</v>
      </c>
      <c r="L63" s="7" t="n">
        <v>4073559</v>
      </c>
      <c r="M63" s="8" t="n">
        <v>129609</v>
      </c>
      <c r="N63" s="8" t="n">
        <v>113117</v>
      </c>
      <c r="O63" s="9" t="n">
        <v>4560283</v>
      </c>
      <c r="P63" s="10" t="n">
        <v>154674</v>
      </c>
      <c r="Q63" s="10" t="n">
        <v>120748</v>
      </c>
      <c r="R63" s="7" t="n">
        <v>4227638</v>
      </c>
      <c r="S63" s="8" t="n">
        <v>94194</v>
      </c>
      <c r="T63" s="8" t="n">
        <v>-62386</v>
      </c>
      <c r="U63" s="9" t="n">
        <v>4048340</v>
      </c>
      <c r="V63" s="10" t="n">
        <v>116876</v>
      </c>
      <c r="W63" s="10" t="n">
        <v>110443</v>
      </c>
      <c r="X63" s="7" t="n">
        <v>3830161</v>
      </c>
      <c r="Y63" s="8" t="n">
        <v>55038</v>
      </c>
      <c r="Z63" s="8" t="n">
        <v>56240</v>
      </c>
      <c r="AA63" s="9" t="n">
        <v>4507746</v>
      </c>
      <c r="AB63" s="10" t="n">
        <v>64791</v>
      </c>
      <c r="AC63" s="10" t="n">
        <v>47176</v>
      </c>
      <c r="AD63" s="7" t="n">
        <v>4320063</v>
      </c>
      <c r="AE63" s="8" t="n">
        <v>55488</v>
      </c>
      <c r="AF63" s="8" t="n">
        <v>-55597</v>
      </c>
      <c r="AG63" s="9" t="n">
        <v>4211316</v>
      </c>
      <c r="AH63" s="10" t="n">
        <v>108890</v>
      </c>
      <c r="AI63" s="10" t="n">
        <v>73455</v>
      </c>
      <c r="AJ63" s="11" t="n">
        <v>4776321</v>
      </c>
      <c r="AK63" s="12" t="n">
        <v>117835</v>
      </c>
      <c r="AL63" s="12" t="n">
        <v>78763</v>
      </c>
      <c r="AM63" s="13" t="n">
        <v>13.4</v>
      </c>
      <c r="AN63" s="13" t="n">
        <v>24.7</v>
      </c>
      <c r="AO63" s="13" t="n">
        <v>8.199999999999999</v>
      </c>
      <c r="AP63" s="13" t="n">
        <v>114.1</v>
      </c>
    </row>
    <row r="64">
      <c r="A64" s="5" t="inlineStr">
        <is>
          <t>대한제분</t>
        </is>
      </c>
      <c r="B64" s="6" t="inlineStr">
        <is>
          <t>001130</t>
        </is>
      </c>
      <c r="C64" s="6" t="inlineStr">
        <is>
          <t>연결</t>
        </is>
      </c>
      <c r="D64" s="6" t="inlineStr">
        <is>
          <t>2026Q2</t>
        </is>
      </c>
      <c r="E64" s="6" t="inlineStr"/>
      <c r="F64" s="7" t="inlineStr"/>
      <c r="G64" s="8" t="inlineStr"/>
      <c r="H64" s="8" t="inlineStr"/>
      <c r="I64" s="9" t="n">
        <v>339618</v>
      </c>
      <c r="J64" s="10" t="n">
        <v>19462</v>
      </c>
      <c r="K64" s="10" t="n">
        <v>14631</v>
      </c>
      <c r="L64" s="7" t="n">
        <v>341660</v>
      </c>
      <c r="M64" s="8" t="n">
        <v>18654</v>
      </c>
      <c r="N64" s="8" t="n">
        <v>15579</v>
      </c>
      <c r="O64" s="9" t="n">
        <v>329424</v>
      </c>
      <c r="P64" s="10" t="n">
        <v>17226</v>
      </c>
      <c r="Q64" s="10" t="n">
        <v>15453</v>
      </c>
      <c r="R64" s="7" t="n">
        <v>364033</v>
      </c>
      <c r="S64" s="8" t="n">
        <v>16965</v>
      </c>
      <c r="T64" s="8" t="n">
        <v>3166</v>
      </c>
      <c r="U64" s="9" t="n">
        <v>340746</v>
      </c>
      <c r="V64" s="10" t="n">
        <v>15662</v>
      </c>
      <c r="W64" s="10" t="n">
        <v>11332</v>
      </c>
      <c r="X64" s="7" t="n">
        <v>336318</v>
      </c>
      <c r="Y64" s="8" t="n">
        <v>14997</v>
      </c>
      <c r="Z64" s="8" t="n">
        <v>23420</v>
      </c>
      <c r="AA64" s="9" t="n">
        <v>347685</v>
      </c>
      <c r="AB64" s="10" t="n">
        <v>16599</v>
      </c>
      <c r="AC64" s="10" t="n">
        <v>22875</v>
      </c>
      <c r="AD64" s="7" t="n">
        <v>350451</v>
      </c>
      <c r="AE64" s="8" t="n">
        <v>14999</v>
      </c>
      <c r="AF64" s="8" t="n">
        <v>-82765</v>
      </c>
      <c r="AG64" s="9" t="n">
        <v>334342</v>
      </c>
      <c r="AH64" s="10" t="n">
        <v>7016</v>
      </c>
      <c r="AI64" s="10" t="n">
        <v>7353</v>
      </c>
      <c r="AJ64" s="11" t="n">
        <v>351123</v>
      </c>
      <c r="AK64" s="12" t="n">
        <v>7028</v>
      </c>
      <c r="AL64" s="12" t="n">
        <v>12224</v>
      </c>
      <c r="AM64" s="13" t="n">
        <v>5</v>
      </c>
      <c r="AN64" s="13" t="n">
        <v>4.4</v>
      </c>
      <c r="AO64" s="13" t="n">
        <v>0.2</v>
      </c>
      <c r="AP64" s="13" t="n">
        <v>-53.1</v>
      </c>
    </row>
    <row r="65">
      <c r="A65" s="5" t="inlineStr">
        <is>
          <t>액스비스</t>
        </is>
      </c>
      <c r="B65" s="6" t="inlineStr">
        <is>
          <t>0011A0</t>
        </is>
      </c>
      <c r="C65" s="6" t="inlineStr">
        <is>
          <t>연결</t>
        </is>
      </c>
      <c r="D65" s="6" t="inlineStr">
        <is>
          <t>2026Q2</t>
        </is>
      </c>
      <c r="E65" s="6" t="inlineStr"/>
      <c r="F65" s="7" t="inlineStr"/>
      <c r="G65" s="8" t="inlineStr"/>
      <c r="H65" s="8" t="inlineStr"/>
      <c r="I65" s="9" t="inlineStr"/>
      <c r="J65" s="10" t="inlineStr"/>
      <c r="K65" s="10" t="inlineStr"/>
      <c r="L65" s="7" t="inlineStr"/>
      <c r="M65" s="8" t="inlineStr"/>
      <c r="N65" s="8" t="inlineStr"/>
      <c r="O65" s="9" t="inlineStr"/>
      <c r="P65" s="10" t="inlineStr"/>
      <c r="Q65" s="10" t="inlineStr"/>
      <c r="R65" s="7" t="inlineStr"/>
      <c r="S65" s="8" t="inlineStr"/>
      <c r="T65" s="8" t="inlineStr"/>
      <c r="U65" s="9" t="inlineStr"/>
      <c r="V65" s="10" t="inlineStr"/>
      <c r="W65" s="10" t="inlineStr"/>
      <c r="X65" s="7" t="inlineStr"/>
      <c r="Y65" s="8" t="inlineStr"/>
      <c r="Z65" s="8" t="inlineStr"/>
      <c r="AA65" s="9" t="inlineStr"/>
      <c r="AB65" s="10" t="inlineStr"/>
      <c r="AC65" s="10" t="inlineStr"/>
      <c r="AD65" s="7" t="inlineStr"/>
      <c r="AE65" s="8" t="inlineStr"/>
      <c r="AF65" s="8" t="inlineStr"/>
      <c r="AG65" s="9" t="n">
        <v>11064</v>
      </c>
      <c r="AH65" s="10" t="n">
        <v>787</v>
      </c>
      <c r="AI65" s="10" t="n">
        <v>1120</v>
      </c>
      <c r="AJ65" s="11" t="n">
        <v>12046</v>
      </c>
      <c r="AK65" s="12" t="n">
        <v>-331</v>
      </c>
      <c r="AL65" s="12" t="n">
        <v>-268</v>
      </c>
      <c r="AM65" s="13" t="n">
        <v>8.9</v>
      </c>
      <c r="AN65" s="13" t="inlineStr"/>
      <c r="AO65" s="13" t="n">
        <v>-142.1</v>
      </c>
      <c r="AP65" s="13" t="inlineStr"/>
    </row>
    <row r="66">
      <c r="A66" s="5" t="inlineStr">
        <is>
          <t>채비</t>
        </is>
      </c>
      <c r="B66" s="6" t="inlineStr">
        <is>
          <t>0011T0</t>
        </is>
      </c>
      <c r="C66" s="6" t="inlineStr">
        <is>
          <t>연결</t>
        </is>
      </c>
      <c r="D66" s="6" t="inlineStr">
        <is>
          <t>2026Q2</t>
        </is>
      </c>
      <c r="E66" s="6" t="inlineStr"/>
      <c r="F66" s="7" t="inlineStr"/>
      <c r="G66" s="8" t="inlineStr"/>
      <c r="H66" s="8" t="inlineStr"/>
      <c r="I66" s="9" t="inlineStr"/>
      <c r="J66" s="10" t="inlineStr"/>
      <c r="K66" s="10" t="inlineStr"/>
      <c r="L66" s="7" t="inlineStr"/>
      <c r="M66" s="8" t="inlineStr"/>
      <c r="N66" s="8" t="inlineStr"/>
      <c r="O66" s="9" t="inlineStr"/>
      <c r="P66" s="10" t="inlineStr"/>
      <c r="Q66" s="10" t="inlineStr"/>
      <c r="R66" s="7" t="inlineStr"/>
      <c r="S66" s="8" t="inlineStr"/>
      <c r="T66" s="8" t="inlineStr"/>
      <c r="U66" s="9" t="inlineStr"/>
      <c r="V66" s="10" t="inlineStr"/>
      <c r="W66" s="10" t="inlineStr"/>
      <c r="X66" s="7" t="inlineStr"/>
      <c r="Y66" s="8" t="inlineStr"/>
      <c r="Z66" s="8" t="inlineStr"/>
      <c r="AA66" s="9" t="inlineStr"/>
      <c r="AB66" s="10" t="inlineStr"/>
      <c r="AC66" s="10" t="inlineStr"/>
      <c r="AD66" s="7" t="inlineStr"/>
      <c r="AE66" s="8" t="inlineStr"/>
      <c r="AF66" s="8" t="inlineStr"/>
      <c r="AG66" s="9" t="n">
        <v>20696</v>
      </c>
      <c r="AH66" s="10" t="n">
        <v>-9661</v>
      </c>
      <c r="AI66" s="10" t="n">
        <v>-11046</v>
      </c>
      <c r="AJ66" s="11" t="n">
        <v>28954</v>
      </c>
      <c r="AK66" s="12" t="n">
        <v>-10036</v>
      </c>
      <c r="AL66" s="12" t="n">
        <v>-11377</v>
      </c>
      <c r="AM66" s="13" t="n">
        <v>39.9</v>
      </c>
      <c r="AN66" s="13" t="inlineStr"/>
      <c r="AO66" s="13" t="n">
        <v>-3.9</v>
      </c>
      <c r="AP66" s="13" t="inlineStr"/>
    </row>
    <row r="67">
      <c r="A67" s="5" t="inlineStr">
        <is>
          <t>유진증권</t>
        </is>
      </c>
      <c r="B67" s="6" t="inlineStr">
        <is>
          <t>001200</t>
        </is>
      </c>
      <c r="C67" s="6" t="inlineStr">
        <is>
          <t>연결</t>
        </is>
      </c>
      <c r="D67" s="6" t="inlineStr">
        <is>
          <t>2026Q2</t>
        </is>
      </c>
      <c r="E67" s="6" t="inlineStr"/>
      <c r="F67" s="7" t="inlineStr"/>
      <c r="G67" s="8" t="inlineStr"/>
      <c r="H67" s="8" t="inlineStr"/>
      <c r="I67" s="9" t="n">
        <v>409902</v>
      </c>
      <c r="J67" s="10" t="n">
        <v>17685</v>
      </c>
      <c r="K67" s="10" t="n">
        <v>15658</v>
      </c>
      <c r="L67" s="7" t="n">
        <v>361034</v>
      </c>
      <c r="M67" s="8" t="n">
        <v>26066</v>
      </c>
      <c r="N67" s="8" t="n">
        <v>20674</v>
      </c>
      <c r="O67" s="9" t="n">
        <v>381172</v>
      </c>
      <c r="P67" s="10" t="n">
        <v>6556</v>
      </c>
      <c r="Q67" s="10" t="n">
        <v>7153</v>
      </c>
      <c r="R67" s="7" t="n">
        <v>500492</v>
      </c>
      <c r="S67" s="8" t="n">
        <v>8031</v>
      </c>
      <c r="T67" s="8" t="n">
        <v>6134</v>
      </c>
      <c r="U67" s="9" t="n">
        <v>402775</v>
      </c>
      <c r="V67" s="10" t="n">
        <v>5876</v>
      </c>
      <c r="W67" s="10" t="n">
        <v>6023</v>
      </c>
      <c r="X67" s="7" t="n">
        <v>455105</v>
      </c>
      <c r="Y67" s="8" t="n">
        <v>43773</v>
      </c>
      <c r="Z67" s="8" t="n">
        <v>33568</v>
      </c>
      <c r="AA67" s="9" t="n">
        <v>281969</v>
      </c>
      <c r="AB67" s="10" t="n">
        <v>23106</v>
      </c>
      <c r="AC67" s="10" t="n">
        <v>18198</v>
      </c>
      <c r="AD67" s="7" t="n">
        <v>554226</v>
      </c>
      <c r="AE67" s="8" t="n">
        <v>11686</v>
      </c>
      <c r="AF67" s="8" t="n">
        <v>6749</v>
      </c>
      <c r="AG67" s="9" t="n">
        <v>1065722</v>
      </c>
      <c r="AH67" s="10" t="n">
        <v>66579</v>
      </c>
      <c r="AI67" s="10" t="n">
        <v>52713</v>
      </c>
      <c r="AJ67" s="11" t="n">
        <v>1501779</v>
      </c>
      <c r="AK67" s="12" t="n">
        <v>87589</v>
      </c>
      <c r="AL67" s="12" t="n">
        <v>67517</v>
      </c>
      <c r="AM67" s="13" t="n">
        <v>40.9</v>
      </c>
      <c r="AN67" s="13" t="n">
        <v>230</v>
      </c>
      <c r="AO67" s="13" t="n">
        <v>31.6</v>
      </c>
      <c r="AP67" s="13" t="n">
        <v>100.1</v>
      </c>
    </row>
    <row r="68">
      <c r="A68" s="5" t="inlineStr">
        <is>
          <t>금호전기</t>
        </is>
      </c>
      <c r="B68" s="6" t="inlineStr">
        <is>
          <t>001210</t>
        </is>
      </c>
      <c r="C68" s="6" t="inlineStr">
        <is>
          <t>연결</t>
        </is>
      </c>
      <c r="D68" s="6" t="inlineStr">
        <is>
          <t>2026Q2</t>
        </is>
      </c>
      <c r="E68" s="6" t="inlineStr"/>
      <c r="F68" s="7" t="inlineStr"/>
      <c r="G68" s="8" t="inlineStr"/>
      <c r="H68" s="8" t="inlineStr"/>
      <c r="I68" s="9" t="n">
        <v>15159</v>
      </c>
      <c r="J68" s="10" t="n">
        <v>-1406</v>
      </c>
      <c r="K68" s="10" t="n">
        <v>-2091</v>
      </c>
      <c r="L68" s="7" t="n">
        <v>12930</v>
      </c>
      <c r="M68" s="8" t="n">
        <v>-425</v>
      </c>
      <c r="N68" s="8" t="n">
        <v>-1330</v>
      </c>
      <c r="O68" s="9" t="n">
        <v>12255</v>
      </c>
      <c r="P68" s="10" t="n">
        <v>-1763</v>
      </c>
      <c r="Q68" s="10" t="n">
        <v>-1725</v>
      </c>
      <c r="R68" s="7" t="n">
        <v>12828</v>
      </c>
      <c r="S68" s="8" t="n">
        <v>-1363</v>
      </c>
      <c r="T68" s="8" t="n">
        <v>-8698</v>
      </c>
      <c r="U68" s="9" t="n">
        <v>11630</v>
      </c>
      <c r="V68" s="10" t="n">
        <v>58</v>
      </c>
      <c r="W68" s="10" t="n">
        <v>-325</v>
      </c>
      <c r="X68" s="7" t="n">
        <v>9765</v>
      </c>
      <c r="Y68" s="8" t="n">
        <v>-963</v>
      </c>
      <c r="Z68" s="8" t="n">
        <v>-1457</v>
      </c>
      <c r="AA68" s="9" t="n">
        <v>11362</v>
      </c>
      <c r="AB68" s="10" t="n">
        <v>-367</v>
      </c>
      <c r="AC68" s="10" t="n">
        <v>37</v>
      </c>
      <c r="AD68" s="7" t="n">
        <v>11581</v>
      </c>
      <c r="AE68" s="8" t="n">
        <v>88</v>
      </c>
      <c r="AF68" s="8" t="n">
        <v>-2191</v>
      </c>
      <c r="AG68" s="9" t="n">
        <v>10806</v>
      </c>
      <c r="AH68" s="10" t="n">
        <v>42</v>
      </c>
      <c r="AI68" s="10" t="n">
        <v>2710</v>
      </c>
      <c r="AJ68" s="11" t="n">
        <v>7882</v>
      </c>
      <c r="AK68" s="12" t="n">
        <v>-1028</v>
      </c>
      <c r="AL68" s="12" t="n">
        <v>-787</v>
      </c>
      <c r="AM68" s="13" t="n">
        <v>-27.1</v>
      </c>
      <c r="AN68" s="13" t="n">
        <v>-19.3</v>
      </c>
      <c r="AO68" s="13" t="n">
        <v>-2547.6</v>
      </c>
      <c r="AP68" s="13" t="n">
        <v>-6.7</v>
      </c>
    </row>
    <row r="69">
      <c r="A69" s="5" t="inlineStr">
        <is>
          <t>동국홀딩스</t>
        </is>
      </c>
      <c r="B69" s="6" t="inlineStr">
        <is>
          <t>001230</t>
        </is>
      </c>
      <c r="C69" s="6" t="inlineStr">
        <is>
          <t>연결</t>
        </is>
      </c>
      <c r="D69" s="6" t="inlineStr">
        <is>
          <t>2026Q2</t>
        </is>
      </c>
      <c r="E69" s="6" t="inlineStr"/>
      <c r="F69" s="7" t="inlineStr"/>
      <c r="G69" s="8" t="inlineStr"/>
      <c r="H69" s="8" t="inlineStr"/>
      <c r="I69" s="9" t="n">
        <v>439837</v>
      </c>
      <c r="J69" s="10" t="n">
        <v>13103</v>
      </c>
      <c r="K69" s="10" t="n">
        <v>17517</v>
      </c>
      <c r="L69" s="7" t="n">
        <v>506354</v>
      </c>
      <c r="M69" s="8" t="n">
        <v>26084</v>
      </c>
      <c r="N69" s="8" t="n">
        <v>25334</v>
      </c>
      <c r="O69" s="9" t="n">
        <v>531439</v>
      </c>
      <c r="P69" s="10" t="n">
        <v>17256</v>
      </c>
      <c r="Q69" s="10" t="n">
        <v>1625</v>
      </c>
      <c r="R69" s="7" t="n">
        <v>521796</v>
      </c>
      <c r="S69" s="8" t="n">
        <v>1560</v>
      </c>
      <c r="T69" s="8" t="n">
        <v>-24823</v>
      </c>
      <c r="U69" s="9" t="n">
        <v>465564</v>
      </c>
      <c r="V69" s="10" t="n">
        <v>14958</v>
      </c>
      <c r="W69" s="10" t="n">
        <v>2185</v>
      </c>
      <c r="X69" s="7" t="n">
        <v>480658</v>
      </c>
      <c r="Y69" s="8" t="n">
        <v>12647</v>
      </c>
      <c r="Z69" s="8" t="n">
        <v>6899</v>
      </c>
      <c r="AA69" s="9" t="n">
        <v>497018</v>
      </c>
      <c r="AB69" s="10" t="n">
        <v>10242</v>
      </c>
      <c r="AC69" s="10" t="n">
        <v>8076</v>
      </c>
      <c r="AD69" s="7" t="n">
        <v>542025</v>
      </c>
      <c r="AE69" s="8" t="n">
        <v>1610</v>
      </c>
      <c r="AF69" s="8" t="n">
        <v>3561</v>
      </c>
      <c r="AG69" s="9" t="n">
        <v>565302</v>
      </c>
      <c r="AH69" s="10" t="n">
        <v>6221</v>
      </c>
      <c r="AI69" s="10" t="n">
        <v>5333</v>
      </c>
      <c r="AJ69" s="11" t="n">
        <v>656943</v>
      </c>
      <c r="AK69" s="12" t="n">
        <v>20115</v>
      </c>
      <c r="AL69" s="12" t="n">
        <v>100456</v>
      </c>
      <c r="AM69" s="13" t="n">
        <v>16.2</v>
      </c>
      <c r="AN69" s="13" t="n">
        <v>36.7</v>
      </c>
      <c r="AO69" s="13" t="n">
        <v>223.3</v>
      </c>
      <c r="AP69" s="13" t="n">
        <v>59</v>
      </c>
    </row>
    <row r="70">
      <c r="A70" s="5" t="inlineStr">
        <is>
          <t>GS글로벌</t>
        </is>
      </c>
      <c r="B70" s="6" t="inlineStr">
        <is>
          <t>001250</t>
        </is>
      </c>
      <c r="C70" s="6" t="inlineStr">
        <is>
          <t>연결</t>
        </is>
      </c>
      <c r="D70" s="6" t="inlineStr">
        <is>
          <t>2026Q2</t>
        </is>
      </c>
      <c r="E70" s="6" t="inlineStr">
        <is>
          <t>2023Q4</t>
        </is>
      </c>
      <c r="F70" s="14" t="n">
        <v>985763</v>
      </c>
      <c r="G70" s="15" t="n">
        <v>13167</v>
      </c>
      <c r="H70" s="15" t="n">
        <v>-2249</v>
      </c>
      <c r="I70" s="9" t="n">
        <v>962218</v>
      </c>
      <c r="J70" s="10" t="n">
        <v>17113</v>
      </c>
      <c r="K70" s="10" t="n">
        <v>11928</v>
      </c>
      <c r="L70" s="7" t="n">
        <v>957374</v>
      </c>
      <c r="M70" s="8" t="n">
        <v>21233</v>
      </c>
      <c r="N70" s="8" t="n">
        <v>18852</v>
      </c>
      <c r="O70" s="9" t="n">
        <v>1055420</v>
      </c>
      <c r="P70" s="10" t="n">
        <v>24601</v>
      </c>
      <c r="Q70" s="10" t="n">
        <v>17003</v>
      </c>
      <c r="R70" s="7" t="n">
        <v>1091482</v>
      </c>
      <c r="S70" s="8" t="n">
        <v>14933</v>
      </c>
      <c r="T70" s="8" t="n">
        <v>8285</v>
      </c>
      <c r="U70" s="9" t="n">
        <v>1021740</v>
      </c>
      <c r="V70" s="10" t="n">
        <v>15957</v>
      </c>
      <c r="W70" s="10" t="n">
        <v>8822</v>
      </c>
      <c r="X70" s="7" t="n">
        <v>1073997</v>
      </c>
      <c r="Y70" s="8" t="n">
        <v>19794</v>
      </c>
      <c r="Z70" s="8" t="n">
        <v>12532</v>
      </c>
      <c r="AA70" s="9" t="n">
        <v>945779</v>
      </c>
      <c r="AB70" s="10" t="n">
        <v>6452</v>
      </c>
      <c r="AC70" s="10" t="n">
        <v>-1674</v>
      </c>
      <c r="AD70" s="7" t="n">
        <v>1067749</v>
      </c>
      <c r="AE70" s="8" t="n">
        <v>10097</v>
      </c>
      <c r="AF70" s="8" t="n">
        <v>-5806</v>
      </c>
      <c r="AG70" s="9" t="n">
        <v>1099073</v>
      </c>
      <c r="AH70" s="10" t="n">
        <v>12852</v>
      </c>
      <c r="AI70" s="10" t="n">
        <v>3745</v>
      </c>
      <c r="AJ70" s="11" t="n">
        <v>1134889</v>
      </c>
      <c r="AK70" s="12" t="n">
        <v>11717</v>
      </c>
      <c r="AL70" s="12" t="n">
        <v>7858</v>
      </c>
      <c r="AM70" s="13" t="n">
        <v>3.3</v>
      </c>
      <c r="AN70" s="13" t="n">
        <v>5.7</v>
      </c>
      <c r="AO70" s="13" t="n">
        <v>-8.800000000000001</v>
      </c>
      <c r="AP70" s="13" t="n">
        <v>-40.8</v>
      </c>
    </row>
    <row r="71">
      <c r="A71" s="5" t="inlineStr">
        <is>
          <t>남광토건</t>
        </is>
      </c>
      <c r="B71" s="6" t="inlineStr">
        <is>
          <t>001260</t>
        </is>
      </c>
      <c r="C71" s="6" t="inlineStr">
        <is>
          <t>연결</t>
        </is>
      </c>
      <c r="D71" s="6" t="inlineStr">
        <is>
          <t>2026Q2</t>
        </is>
      </c>
      <c r="E71" s="6" t="inlineStr"/>
      <c r="F71" s="7" t="inlineStr"/>
      <c r="G71" s="8" t="inlineStr"/>
      <c r="H71" s="8" t="inlineStr"/>
      <c r="I71" s="9" t="n">
        <v>142625</v>
      </c>
      <c r="J71" s="10" t="n">
        <v>5143</v>
      </c>
      <c r="K71" s="10" t="n">
        <v>4851</v>
      </c>
      <c r="L71" s="7" t="n">
        <v>124033</v>
      </c>
      <c r="M71" s="8" t="n">
        <v>762</v>
      </c>
      <c r="N71" s="8" t="n">
        <v>295</v>
      </c>
      <c r="O71" s="9" t="n">
        <v>112585</v>
      </c>
      <c r="P71" s="10" t="n">
        <v>1298</v>
      </c>
      <c r="Q71" s="10" t="n">
        <v>1467</v>
      </c>
      <c r="R71" s="7" t="n">
        <v>125006</v>
      </c>
      <c r="S71" s="8" t="n">
        <v>101</v>
      </c>
      <c r="T71" s="8" t="n">
        <v>-414</v>
      </c>
      <c r="U71" s="9" t="n">
        <v>81436</v>
      </c>
      <c r="V71" s="10" t="n">
        <v>2550</v>
      </c>
      <c r="W71" s="10" t="n">
        <v>2176</v>
      </c>
      <c r="X71" s="7" t="n">
        <v>98337</v>
      </c>
      <c r="Y71" s="8" t="n">
        <v>2645</v>
      </c>
      <c r="Z71" s="8" t="n">
        <v>2693</v>
      </c>
      <c r="AA71" s="9" t="n">
        <v>87590</v>
      </c>
      <c r="AB71" s="10" t="n">
        <v>198</v>
      </c>
      <c r="AC71" s="10" t="n">
        <v>244</v>
      </c>
      <c r="AD71" s="7" t="n">
        <v>90083</v>
      </c>
      <c r="AE71" s="8" t="n">
        <v>6047</v>
      </c>
      <c r="AF71" s="8" t="n">
        <v>180</v>
      </c>
      <c r="AG71" s="9" t="n">
        <v>82106</v>
      </c>
      <c r="AH71" s="10" t="n">
        <v>2249</v>
      </c>
      <c r="AI71" s="10" t="n">
        <v>3568</v>
      </c>
      <c r="AJ71" s="11" t="n">
        <v>80296</v>
      </c>
      <c r="AK71" s="12" t="n">
        <v>2256</v>
      </c>
      <c r="AL71" s="12" t="n">
        <v>1410</v>
      </c>
      <c r="AM71" s="13" t="n">
        <v>-2.2</v>
      </c>
      <c r="AN71" s="13" t="n">
        <v>-18.3</v>
      </c>
      <c r="AO71" s="13" t="n">
        <v>0.3</v>
      </c>
      <c r="AP71" s="13" t="n">
        <v>-14.7</v>
      </c>
    </row>
    <row r="72">
      <c r="A72" s="5" t="inlineStr">
        <is>
          <t>부국증권</t>
        </is>
      </c>
      <c r="B72" s="6" t="inlineStr">
        <is>
          <t>001270</t>
        </is>
      </c>
      <c r="C72" s="6" t="inlineStr">
        <is>
          <t>연결</t>
        </is>
      </c>
      <c r="D72" s="6" t="inlineStr">
        <is>
          <t>2026Q2</t>
        </is>
      </c>
      <c r="E72" s="6" t="inlineStr"/>
      <c r="F72" s="7" t="inlineStr"/>
      <c r="G72" s="8" t="inlineStr"/>
      <c r="H72" s="8" t="inlineStr"/>
      <c r="I72" s="9" t="n">
        <v>167688</v>
      </c>
      <c r="J72" s="10" t="n">
        <v>19799</v>
      </c>
      <c r="K72" s="10" t="n">
        <v>17143</v>
      </c>
      <c r="L72" s="7" t="n">
        <v>186146</v>
      </c>
      <c r="M72" s="8" t="n">
        <v>9994</v>
      </c>
      <c r="N72" s="8" t="n">
        <v>8432</v>
      </c>
      <c r="O72" s="9" t="n">
        <v>203279</v>
      </c>
      <c r="P72" s="10" t="n">
        <v>8372</v>
      </c>
      <c r="Q72" s="10" t="n">
        <v>6844</v>
      </c>
      <c r="R72" s="7" t="n">
        <v>222062</v>
      </c>
      <c r="S72" s="8" t="n">
        <v>-1491</v>
      </c>
      <c r="T72" s="8" t="n">
        <v>-1466</v>
      </c>
      <c r="U72" s="9" t="n">
        <v>193216</v>
      </c>
      <c r="V72" s="10" t="n">
        <v>22338</v>
      </c>
      <c r="W72" s="10" t="n">
        <v>18315</v>
      </c>
      <c r="X72" s="7" t="n">
        <v>262755</v>
      </c>
      <c r="Y72" s="8" t="n">
        <v>20473</v>
      </c>
      <c r="Z72" s="8" t="n">
        <v>17829</v>
      </c>
      <c r="AA72" s="9" t="n">
        <v>208507</v>
      </c>
      <c r="AB72" s="10" t="n">
        <v>13920</v>
      </c>
      <c r="AC72" s="10" t="n">
        <v>10496</v>
      </c>
      <c r="AD72" s="7" t="n">
        <v>300986</v>
      </c>
      <c r="AE72" s="8" t="n">
        <v>46</v>
      </c>
      <c r="AF72" s="8" t="n">
        <v>-999</v>
      </c>
      <c r="AG72" s="9" t="n">
        <v>479606</v>
      </c>
      <c r="AH72" s="10" t="n">
        <v>15625</v>
      </c>
      <c r="AI72" s="10" t="n">
        <v>12847</v>
      </c>
      <c r="AJ72" s="11" t="n">
        <v>583135</v>
      </c>
      <c r="AK72" s="12" t="n">
        <v>24450</v>
      </c>
      <c r="AL72" s="12" t="n">
        <v>24392</v>
      </c>
      <c r="AM72" s="13" t="n">
        <v>21.6</v>
      </c>
      <c r="AN72" s="13" t="n">
        <v>121.9</v>
      </c>
      <c r="AO72" s="13" t="n">
        <v>56.5</v>
      </c>
      <c r="AP72" s="13" t="n">
        <v>19.4</v>
      </c>
    </row>
    <row r="73">
      <c r="A73" s="5" t="inlineStr">
        <is>
          <t>상상인증권</t>
        </is>
      </c>
      <c r="B73" s="6" t="inlineStr">
        <is>
          <t>001290</t>
        </is>
      </c>
      <c r="C73" s="6" t="inlineStr">
        <is>
          <t>연결</t>
        </is>
      </c>
      <c r="D73" s="6" t="inlineStr">
        <is>
          <t>2026Q2</t>
        </is>
      </c>
      <c r="E73" s="6" t="inlineStr"/>
      <c r="F73" s="7" t="inlineStr"/>
      <c r="G73" s="8" t="inlineStr"/>
      <c r="H73" s="8" t="inlineStr"/>
      <c r="I73" s="9" t="n">
        <v>86405</v>
      </c>
      <c r="J73" s="10" t="n">
        <v>-4717</v>
      </c>
      <c r="K73" s="10" t="n">
        <v>-3443</v>
      </c>
      <c r="L73" s="7" t="n">
        <v>69931</v>
      </c>
      <c r="M73" s="8" t="n">
        <v>-19958</v>
      </c>
      <c r="N73" s="8" t="n">
        <v>-18248</v>
      </c>
      <c r="O73" s="9" t="n">
        <v>105928</v>
      </c>
      <c r="P73" s="10" t="n">
        <v>-10980</v>
      </c>
      <c r="Q73" s="10" t="n">
        <v>-10493</v>
      </c>
      <c r="R73" s="7" t="n">
        <v>60411</v>
      </c>
      <c r="S73" s="8" t="n">
        <v>-14053</v>
      </c>
      <c r="T73" s="8" t="n">
        <v>-15163</v>
      </c>
      <c r="U73" s="9" t="n">
        <v>44638</v>
      </c>
      <c r="V73" s="10" t="n">
        <v>21</v>
      </c>
      <c r="W73" s="10" t="n">
        <v>188</v>
      </c>
      <c r="X73" s="7" t="n">
        <v>44884</v>
      </c>
      <c r="Y73" s="8" t="n">
        <v>-9998</v>
      </c>
      <c r="Z73" s="8" t="n">
        <v>-7518</v>
      </c>
      <c r="AA73" s="9" t="n">
        <v>46943</v>
      </c>
      <c r="AB73" s="10" t="n">
        <v>2817</v>
      </c>
      <c r="AC73" s="10" t="n">
        <v>3128</v>
      </c>
      <c r="AD73" s="7" t="n">
        <v>45269</v>
      </c>
      <c r="AE73" s="8" t="n">
        <v>-1929</v>
      </c>
      <c r="AF73" s="8" t="n">
        <v>-1655</v>
      </c>
      <c r="AG73" s="9" t="n">
        <v>58086</v>
      </c>
      <c r="AH73" s="10" t="n">
        <v>6273</v>
      </c>
      <c r="AI73" s="10" t="n">
        <v>8448</v>
      </c>
      <c r="AJ73" s="11" t="n">
        <v>58668</v>
      </c>
      <c r="AK73" s="12" t="n">
        <v>2180</v>
      </c>
      <c r="AL73" s="12" t="n">
        <v>2607</v>
      </c>
      <c r="AM73" s="13" t="n">
        <v>1</v>
      </c>
      <c r="AN73" s="13" t="n">
        <v>30.7</v>
      </c>
      <c r="AO73" s="13" t="n">
        <v>-65.2</v>
      </c>
      <c r="AP73" s="13" t="n">
        <v>121.8</v>
      </c>
    </row>
    <row r="74">
      <c r="A74" s="5" t="inlineStr">
        <is>
          <t>PKC</t>
        </is>
      </c>
      <c r="B74" s="6" t="inlineStr">
        <is>
          <t>001340</t>
        </is>
      </c>
      <c r="C74" s="6" t="inlineStr">
        <is>
          <t>연결</t>
        </is>
      </c>
      <c r="D74" s="6" t="inlineStr">
        <is>
          <t>2026Q2</t>
        </is>
      </c>
      <c r="E74" s="6" t="inlineStr"/>
      <c r="F74" s="7" t="inlineStr"/>
      <c r="G74" s="8" t="inlineStr"/>
      <c r="H74" s="8" t="inlineStr"/>
      <c r="I74" s="9" t="n">
        <v>59733</v>
      </c>
      <c r="J74" s="10" t="n">
        <v>3036</v>
      </c>
      <c r="K74" s="10" t="n">
        <v>1290</v>
      </c>
      <c r="L74" s="7" t="n">
        <v>59120</v>
      </c>
      <c r="M74" s="8" t="n">
        <v>1227</v>
      </c>
      <c r="N74" s="8" t="n">
        <v>229</v>
      </c>
      <c r="O74" s="9" t="n">
        <v>62907</v>
      </c>
      <c r="P74" s="10" t="n">
        <v>2984</v>
      </c>
      <c r="Q74" s="10" t="n">
        <v>1494</v>
      </c>
      <c r="R74" s="7" t="n">
        <v>63468</v>
      </c>
      <c r="S74" s="8" t="n">
        <v>2501</v>
      </c>
      <c r="T74" s="8" t="n">
        <v>588</v>
      </c>
      <c r="U74" s="9" t="n">
        <v>64563</v>
      </c>
      <c r="V74" s="10" t="n">
        <v>3317</v>
      </c>
      <c r="W74" s="10" t="n">
        <v>1839</v>
      </c>
      <c r="X74" s="7" t="n">
        <v>66208</v>
      </c>
      <c r="Y74" s="8" t="n">
        <v>2183</v>
      </c>
      <c r="Z74" s="8" t="n">
        <v>2240</v>
      </c>
      <c r="AA74" s="9" t="n">
        <v>69834</v>
      </c>
      <c r="AB74" s="10" t="n">
        <v>3244</v>
      </c>
      <c r="AC74" s="10" t="n">
        <v>1452</v>
      </c>
      <c r="AD74" s="7" t="n">
        <v>71532</v>
      </c>
      <c r="AE74" s="8" t="n">
        <v>3407</v>
      </c>
      <c r="AF74" s="8" t="n">
        <v>4569</v>
      </c>
      <c r="AG74" s="9" t="n">
        <v>70228</v>
      </c>
      <c r="AH74" s="10" t="n">
        <v>4996</v>
      </c>
      <c r="AI74" s="10" t="n">
        <v>-2468</v>
      </c>
      <c r="AJ74" s="11" t="n">
        <v>71575</v>
      </c>
      <c r="AK74" s="12" t="n">
        <v>5448</v>
      </c>
      <c r="AL74" s="12" t="n">
        <v>3955</v>
      </c>
      <c r="AM74" s="13" t="n">
        <v>1.9</v>
      </c>
      <c r="AN74" s="13" t="n">
        <v>8.1</v>
      </c>
      <c r="AO74" s="13" t="n">
        <v>9</v>
      </c>
      <c r="AP74" s="13" t="n">
        <v>149.6</v>
      </c>
    </row>
    <row r="75">
      <c r="A75" s="5" t="inlineStr">
        <is>
          <t>삼성제약</t>
        </is>
      </c>
      <c r="B75" s="6" t="inlineStr">
        <is>
          <t>001360</t>
        </is>
      </c>
      <c r="C75" s="6" t="inlineStr">
        <is>
          <t>별도</t>
        </is>
      </c>
      <c r="D75" s="6" t="inlineStr">
        <is>
          <t>2026Q2</t>
        </is>
      </c>
      <c r="E75" s="6" t="inlineStr"/>
      <c r="F75" s="7" t="inlineStr"/>
      <c r="G75" s="8" t="inlineStr"/>
      <c r="H75" s="8" t="inlineStr"/>
      <c r="I75" s="9" t="n">
        <v>12169</v>
      </c>
      <c r="J75" s="10" t="n">
        <v>-2153</v>
      </c>
      <c r="K75" s="10" t="n">
        <v>-4810</v>
      </c>
      <c r="L75" s="7" t="n">
        <v>10578</v>
      </c>
      <c r="M75" s="8" t="n">
        <v>-6177</v>
      </c>
      <c r="N75" s="8" t="n">
        <v>-10276</v>
      </c>
      <c r="O75" s="9" t="n">
        <v>11079</v>
      </c>
      <c r="P75" s="10" t="n">
        <v>-3613</v>
      </c>
      <c r="Q75" s="10" t="n">
        <v>18327</v>
      </c>
      <c r="R75" s="7" t="n">
        <v>10468</v>
      </c>
      <c r="S75" s="8" t="n">
        <v>-2886</v>
      </c>
      <c r="T75" s="8" t="n">
        <v>-17333</v>
      </c>
      <c r="U75" s="9" t="n">
        <v>11357</v>
      </c>
      <c r="V75" s="10" t="n">
        <v>-4496</v>
      </c>
      <c r="W75" s="10" t="n">
        <v>37248</v>
      </c>
      <c r="X75" s="7" t="n">
        <v>10898</v>
      </c>
      <c r="Y75" s="8" t="n">
        <v>-4304</v>
      </c>
      <c r="Z75" s="8" t="n">
        <v>63572</v>
      </c>
      <c r="AA75" s="9" t="n">
        <v>12002</v>
      </c>
      <c r="AB75" s="10" t="n">
        <v>-3852</v>
      </c>
      <c r="AC75" s="10" t="n">
        <v>-30171</v>
      </c>
      <c r="AD75" s="7" t="n">
        <v>11817</v>
      </c>
      <c r="AE75" s="8" t="n">
        <v>-5416</v>
      </c>
      <c r="AF75" s="8" t="n">
        <v>-59104</v>
      </c>
      <c r="AG75" s="9" t="n">
        <v>9016</v>
      </c>
      <c r="AH75" s="10" t="n">
        <v>-1894</v>
      </c>
      <c r="AI75" s="10" t="n">
        <v>8767</v>
      </c>
      <c r="AJ75" s="11" t="n">
        <v>9901</v>
      </c>
      <c r="AK75" s="12" t="n">
        <v>-4990</v>
      </c>
      <c r="AL75" s="12" t="n">
        <v>-56646</v>
      </c>
      <c r="AM75" s="13" t="n">
        <v>9.800000000000001</v>
      </c>
      <c r="AN75" s="13" t="n">
        <v>-9.1</v>
      </c>
      <c r="AO75" s="13" t="n">
        <v>-163.5</v>
      </c>
      <c r="AP75" s="13" t="n">
        <v>-15.9</v>
      </c>
    </row>
    <row r="76">
      <c r="A76" s="5" t="inlineStr">
        <is>
          <t>SG글로벌</t>
        </is>
      </c>
      <c r="B76" s="6" t="inlineStr">
        <is>
          <t>001380</t>
        </is>
      </c>
      <c r="C76" s="6" t="inlineStr">
        <is>
          <t>연결</t>
        </is>
      </c>
      <c r="D76" s="6" t="inlineStr">
        <is>
          <t>2026Q2</t>
        </is>
      </c>
      <c r="E76" s="6" t="inlineStr"/>
      <c r="F76" s="7" t="inlineStr"/>
      <c r="G76" s="8" t="inlineStr"/>
      <c r="H76" s="8" t="inlineStr"/>
      <c r="I76" s="9" t="n">
        <v>25254</v>
      </c>
      <c r="J76" s="10" t="n">
        <v>2036</v>
      </c>
      <c r="K76" s="10" t="n">
        <v>3543</v>
      </c>
      <c r="L76" s="7" t="n">
        <v>28817</v>
      </c>
      <c r="M76" s="8" t="n">
        <v>3756</v>
      </c>
      <c r="N76" s="8" t="n">
        <v>2907</v>
      </c>
      <c r="O76" s="9" t="n">
        <v>15189</v>
      </c>
      <c r="P76" s="10" t="n">
        <v>-2452</v>
      </c>
      <c r="Q76" s="10" t="n">
        <v>-2559</v>
      </c>
      <c r="R76" s="7" t="n">
        <v>30175</v>
      </c>
      <c r="S76" s="8" t="n">
        <v>2814</v>
      </c>
      <c r="T76" s="8" t="n">
        <v>2425</v>
      </c>
      <c r="U76" s="9" t="n">
        <v>23077</v>
      </c>
      <c r="V76" s="10" t="n">
        <v>1916</v>
      </c>
      <c r="W76" s="10" t="n">
        <v>1321</v>
      </c>
      <c r="X76" s="7" t="n">
        <v>27492</v>
      </c>
      <c r="Y76" s="8" t="n">
        <v>2627</v>
      </c>
      <c r="Z76" s="8" t="n">
        <v>1568</v>
      </c>
      <c r="AA76" s="9" t="n">
        <v>15890</v>
      </c>
      <c r="AB76" s="10" t="n">
        <v>-503</v>
      </c>
      <c r="AC76" s="10" t="n">
        <v>-380</v>
      </c>
      <c r="AD76" s="7" t="n">
        <v>27022</v>
      </c>
      <c r="AE76" s="8" t="n">
        <v>924</v>
      </c>
      <c r="AF76" s="8" t="n">
        <v>298</v>
      </c>
      <c r="AG76" s="9" t="n">
        <v>27773</v>
      </c>
      <c r="AH76" s="10" t="n">
        <v>2705</v>
      </c>
      <c r="AI76" s="10" t="n">
        <v>2124</v>
      </c>
      <c r="AJ76" s="11" t="n">
        <v>29059</v>
      </c>
      <c r="AK76" s="12" t="n">
        <v>2082</v>
      </c>
      <c r="AL76" s="12" t="n">
        <v>1594</v>
      </c>
      <c r="AM76" s="13" t="n">
        <v>4.6</v>
      </c>
      <c r="AN76" s="13" t="n">
        <v>5.7</v>
      </c>
      <c r="AO76" s="13" t="n">
        <v>-23</v>
      </c>
      <c r="AP76" s="13" t="n">
        <v>-20.7</v>
      </c>
    </row>
    <row r="77">
      <c r="A77" s="5" t="inlineStr">
        <is>
          <t>KG케미칼</t>
        </is>
      </c>
      <c r="B77" s="6" t="inlineStr">
        <is>
          <t>001390</t>
        </is>
      </c>
      <c r="C77" s="6" t="inlineStr">
        <is>
          <t>연결</t>
        </is>
      </c>
      <c r="D77" s="6" t="inlineStr">
        <is>
          <t>2026Q2</t>
        </is>
      </c>
      <c r="E77" s="6" t="inlineStr"/>
      <c r="F77" s="7" t="inlineStr"/>
      <c r="G77" s="8" t="inlineStr"/>
      <c r="H77" s="8" t="inlineStr"/>
      <c r="I77" s="9" t="n">
        <v>2266524</v>
      </c>
      <c r="J77" s="10" t="n">
        <v>107473</v>
      </c>
      <c r="K77" s="10" t="n">
        <v>66414</v>
      </c>
      <c r="L77" s="7" t="n">
        <v>2277401</v>
      </c>
      <c r="M77" s="8" t="n">
        <v>128268</v>
      </c>
      <c r="N77" s="8" t="n">
        <v>88532</v>
      </c>
      <c r="O77" s="9" t="n">
        <v>2146235</v>
      </c>
      <c r="P77" s="10" t="n">
        <v>7241</v>
      </c>
      <c r="Q77" s="10" t="n">
        <v>1448</v>
      </c>
      <c r="R77" s="7" t="n">
        <v>2172982</v>
      </c>
      <c r="S77" s="8" t="n">
        <v>75820</v>
      </c>
      <c r="T77" s="8" t="n">
        <v>72102</v>
      </c>
      <c r="U77" s="9" t="n">
        <v>2121689</v>
      </c>
      <c r="V77" s="10" t="n">
        <v>106567</v>
      </c>
      <c r="W77" s="10" t="n">
        <v>73447</v>
      </c>
      <c r="X77" s="7" t="n">
        <v>2181205</v>
      </c>
      <c r="Y77" s="8" t="n">
        <v>78861</v>
      </c>
      <c r="Z77" s="8" t="n">
        <v>58185</v>
      </c>
      <c r="AA77" s="9" t="n">
        <v>2462628</v>
      </c>
      <c r="AB77" s="10" t="n">
        <v>90212</v>
      </c>
      <c r="AC77" s="10" t="n">
        <v>52784</v>
      </c>
      <c r="AD77" s="7" t="n">
        <v>2336125</v>
      </c>
      <c r="AE77" s="8" t="n">
        <v>30039</v>
      </c>
      <c r="AF77" s="8" t="n">
        <v>59569</v>
      </c>
      <c r="AG77" s="9" t="n">
        <v>2393426</v>
      </c>
      <c r="AH77" s="10" t="n">
        <v>64593</v>
      </c>
      <c r="AI77" s="10" t="n">
        <v>92012</v>
      </c>
      <c r="AJ77" s="11" t="n">
        <v>2581225</v>
      </c>
      <c r="AK77" s="12" t="n">
        <v>90912</v>
      </c>
      <c r="AL77" s="12" t="n">
        <v>135007</v>
      </c>
      <c r="AM77" s="13" t="n">
        <v>7.8</v>
      </c>
      <c r="AN77" s="13" t="n">
        <v>18.3</v>
      </c>
      <c r="AO77" s="13" t="n">
        <v>40.7</v>
      </c>
      <c r="AP77" s="13" t="n">
        <v>15.3</v>
      </c>
    </row>
    <row r="78">
      <c r="A78" s="5" t="inlineStr">
        <is>
          <t>삼진식품</t>
        </is>
      </c>
      <c r="B78" s="6" t="inlineStr">
        <is>
          <t>0013V0</t>
        </is>
      </c>
      <c r="C78" s="6" t="inlineStr">
        <is>
          <t>연결</t>
        </is>
      </c>
      <c r="D78" s="6" t="inlineStr">
        <is>
          <t>2026Q2</t>
        </is>
      </c>
      <c r="E78" s="6" t="inlineStr"/>
      <c r="F78" s="7" t="inlineStr"/>
      <c r="G78" s="8" t="inlineStr"/>
      <c r="H78" s="8" t="inlineStr"/>
      <c r="I78" s="9" t="inlineStr"/>
      <c r="J78" s="10" t="inlineStr"/>
      <c r="K78" s="10" t="inlineStr"/>
      <c r="L78" s="7" t="inlineStr"/>
      <c r="M78" s="8" t="inlineStr"/>
      <c r="N78" s="8" t="inlineStr"/>
      <c r="O78" s="9" t="inlineStr"/>
      <c r="P78" s="10" t="inlineStr"/>
      <c r="Q78" s="10" t="inlineStr"/>
      <c r="R78" s="7" t="inlineStr"/>
      <c r="S78" s="8" t="inlineStr"/>
      <c r="T78" s="8" t="inlineStr"/>
      <c r="U78" s="9" t="inlineStr"/>
      <c r="V78" s="10" t="inlineStr"/>
      <c r="W78" s="10" t="inlineStr"/>
      <c r="X78" s="7" t="inlineStr"/>
      <c r="Y78" s="8" t="inlineStr"/>
      <c r="Z78" s="8" t="inlineStr"/>
      <c r="AA78" s="9" t="inlineStr"/>
      <c r="AB78" s="10" t="inlineStr"/>
      <c r="AC78" s="10" t="inlineStr"/>
      <c r="AD78" s="7" t="inlineStr"/>
      <c r="AE78" s="8" t="inlineStr"/>
      <c r="AF78" s="8" t="inlineStr"/>
      <c r="AG78" s="9" t="n">
        <v>33319</v>
      </c>
      <c r="AH78" s="10" t="n">
        <v>3890</v>
      </c>
      <c r="AI78" s="10" t="n">
        <v>2882</v>
      </c>
      <c r="AJ78" s="11" t="n">
        <v>21495</v>
      </c>
      <c r="AK78" s="12" t="n">
        <v>-524</v>
      </c>
      <c r="AL78" s="12" t="n">
        <v>-224</v>
      </c>
      <c r="AM78" s="13" t="n">
        <v>-35.5</v>
      </c>
      <c r="AN78" s="13" t="inlineStr"/>
      <c r="AO78" s="13" t="n">
        <v>-113.5</v>
      </c>
      <c r="AP78" s="13" t="inlineStr"/>
    </row>
    <row r="79">
      <c r="A79" s="5" t="inlineStr">
        <is>
          <t>태원물산</t>
        </is>
      </c>
      <c r="B79" s="6" t="inlineStr">
        <is>
          <t>001420</t>
        </is>
      </c>
      <c r="C79" s="6" t="inlineStr">
        <is>
          <t>별도</t>
        </is>
      </c>
      <c r="D79" s="6" t="inlineStr">
        <is>
          <t>2026Q2</t>
        </is>
      </c>
      <c r="E79" s="6" t="inlineStr"/>
      <c r="F79" s="7" t="inlineStr"/>
      <c r="G79" s="8" t="inlineStr"/>
      <c r="H79" s="8" t="inlineStr"/>
      <c r="I79" s="9" t="n">
        <v>3322</v>
      </c>
      <c r="J79" s="10" t="n">
        <v>-45</v>
      </c>
      <c r="K79" s="10" t="n">
        <v>16555</v>
      </c>
      <c r="L79" s="7" t="n">
        <v>2932</v>
      </c>
      <c r="M79" s="8" t="n">
        <v>-193</v>
      </c>
      <c r="N79" s="8" t="n">
        <v>308</v>
      </c>
      <c r="O79" s="9" t="n">
        <v>2357</v>
      </c>
      <c r="P79" s="10" t="n">
        <v>-320</v>
      </c>
      <c r="Q79" s="10" t="n">
        <v>280</v>
      </c>
      <c r="R79" s="7" t="n">
        <v>2960</v>
      </c>
      <c r="S79" s="8" t="n">
        <v>-336</v>
      </c>
      <c r="T79" s="8" t="n">
        <v>326</v>
      </c>
      <c r="U79" s="9" t="n">
        <v>2706</v>
      </c>
      <c r="V79" s="10" t="n">
        <v>-318</v>
      </c>
      <c r="W79" s="10" t="n">
        <v>212</v>
      </c>
      <c r="X79" s="7" t="n">
        <v>3991</v>
      </c>
      <c r="Y79" s="8" t="n">
        <v>-156</v>
      </c>
      <c r="Z79" s="8" t="n">
        <v>93</v>
      </c>
      <c r="AA79" s="9" t="n">
        <v>5003</v>
      </c>
      <c r="AB79" s="10" t="n">
        <v>-180</v>
      </c>
      <c r="AC79" s="10" t="n">
        <v>68</v>
      </c>
      <c r="AD79" s="7" t="n">
        <v>3165</v>
      </c>
      <c r="AE79" s="8" t="n">
        <v>-324</v>
      </c>
      <c r="AF79" s="8" t="n">
        <v>-2713</v>
      </c>
      <c r="AG79" s="9" t="n">
        <v>3742</v>
      </c>
      <c r="AH79" s="10" t="n">
        <v>-741</v>
      </c>
      <c r="AI79" s="10" t="n">
        <v>-496</v>
      </c>
      <c r="AJ79" s="11" t="n">
        <v>5336</v>
      </c>
      <c r="AK79" s="12" t="n">
        <v>-160</v>
      </c>
      <c r="AL79" s="12" t="n">
        <v>139</v>
      </c>
      <c r="AM79" s="13" t="n">
        <v>42.6</v>
      </c>
      <c r="AN79" s="13" t="n">
        <v>33.7</v>
      </c>
      <c r="AO79" s="13" t="n">
        <v>78.40000000000001</v>
      </c>
      <c r="AP79" s="13" t="n">
        <v>-2.6</v>
      </c>
    </row>
    <row r="80">
      <c r="A80" s="5" t="inlineStr">
        <is>
          <t>세아베스틸지주</t>
        </is>
      </c>
      <c r="B80" s="6" t="inlineStr">
        <is>
          <t>001430</t>
        </is>
      </c>
      <c r="C80" s="6" t="inlineStr">
        <is>
          <t>연결</t>
        </is>
      </c>
      <c r="D80" s="6" t="inlineStr">
        <is>
          <t>2026Q2</t>
        </is>
      </c>
      <c r="E80" s="6" t="inlineStr"/>
      <c r="F80" s="7" t="inlineStr"/>
      <c r="G80" s="8" t="inlineStr"/>
      <c r="H80" s="8" t="inlineStr"/>
      <c r="I80" s="9" t="n">
        <v>953055</v>
      </c>
      <c r="J80" s="10" t="n">
        <v>21275</v>
      </c>
      <c r="K80" s="10" t="n">
        <v>16056</v>
      </c>
      <c r="L80" s="7" t="n">
        <v>970077</v>
      </c>
      <c r="M80" s="8" t="n">
        <v>63659</v>
      </c>
      <c r="N80" s="8" t="n">
        <v>46612</v>
      </c>
      <c r="O80" s="9" t="n">
        <v>883476</v>
      </c>
      <c r="P80" s="10" t="n">
        <v>24423</v>
      </c>
      <c r="Q80" s="10" t="n">
        <v>11369</v>
      </c>
      <c r="R80" s="7" t="n">
        <v>829455</v>
      </c>
      <c r="S80" s="8" t="n">
        <v>-57025</v>
      </c>
      <c r="T80" s="8" t="n">
        <v>-53764</v>
      </c>
      <c r="U80" s="9" t="n">
        <v>899902</v>
      </c>
      <c r="V80" s="10" t="n">
        <v>18103</v>
      </c>
      <c r="W80" s="10" t="n">
        <v>6004</v>
      </c>
      <c r="X80" s="7" t="n">
        <v>964508</v>
      </c>
      <c r="Y80" s="8" t="n">
        <v>44496</v>
      </c>
      <c r="Z80" s="8" t="n">
        <v>18184</v>
      </c>
      <c r="AA80" s="9" t="n">
        <v>925909</v>
      </c>
      <c r="AB80" s="10" t="n">
        <v>26957</v>
      </c>
      <c r="AC80" s="10" t="n">
        <v>33866</v>
      </c>
      <c r="AD80" s="7" t="n">
        <v>861266</v>
      </c>
      <c r="AE80" s="8" t="n">
        <v>8856</v>
      </c>
      <c r="AF80" s="8" t="n">
        <v>-1918</v>
      </c>
      <c r="AG80" s="9" t="n">
        <v>967600</v>
      </c>
      <c r="AH80" s="10" t="n">
        <v>31092</v>
      </c>
      <c r="AI80" s="10" t="n">
        <v>21896</v>
      </c>
      <c r="AJ80" s="11" t="n">
        <v>1135710</v>
      </c>
      <c r="AK80" s="12" t="n">
        <v>59840</v>
      </c>
      <c r="AL80" s="12" t="n">
        <v>35167</v>
      </c>
      <c r="AM80" s="13" t="n">
        <v>17.4</v>
      </c>
      <c r="AN80" s="13" t="n">
        <v>17.8</v>
      </c>
      <c r="AO80" s="13" t="n">
        <v>92.5</v>
      </c>
      <c r="AP80" s="13" t="n">
        <v>34.5</v>
      </c>
    </row>
    <row r="81">
      <c r="A81" s="5" t="inlineStr">
        <is>
          <t>대한전선</t>
        </is>
      </c>
      <c r="B81" s="6" t="inlineStr">
        <is>
          <t>001440</t>
        </is>
      </c>
      <c r="C81" s="6" t="inlineStr">
        <is>
          <t>연결</t>
        </is>
      </c>
      <c r="D81" s="6" t="inlineStr">
        <is>
          <t>2026Q2</t>
        </is>
      </c>
      <c r="E81" s="6" t="inlineStr">
        <is>
          <t>2023Q4</t>
        </is>
      </c>
      <c r="F81" s="14" t="n">
        <v>757247</v>
      </c>
      <c r="G81" s="15" t="n">
        <v>19363</v>
      </c>
      <c r="H81" s="15" t="n">
        <v>32680</v>
      </c>
      <c r="I81" s="9" t="n">
        <v>788528</v>
      </c>
      <c r="J81" s="10" t="n">
        <v>28767</v>
      </c>
      <c r="K81" s="10" t="n">
        <v>21054</v>
      </c>
      <c r="L81" s="7" t="n">
        <v>864349</v>
      </c>
      <c r="M81" s="8" t="n">
        <v>37389</v>
      </c>
      <c r="N81" s="8" t="n">
        <v>25840</v>
      </c>
      <c r="O81" s="9" t="n">
        <v>804433</v>
      </c>
      <c r="P81" s="10" t="n">
        <v>27211</v>
      </c>
      <c r="Q81" s="10" t="n">
        <v>25675</v>
      </c>
      <c r="R81" s="7" t="n">
        <v>833989</v>
      </c>
      <c r="S81" s="8" t="n">
        <v>21803</v>
      </c>
      <c r="T81" s="8" t="n">
        <v>1621</v>
      </c>
      <c r="U81" s="9" t="n">
        <v>855456</v>
      </c>
      <c r="V81" s="10" t="n">
        <v>27105</v>
      </c>
      <c r="W81" s="10" t="n">
        <v>29379</v>
      </c>
      <c r="X81" s="7" t="n">
        <v>916356</v>
      </c>
      <c r="Y81" s="8" t="n">
        <v>28563</v>
      </c>
      <c r="Z81" s="8" t="n">
        <v>-23037</v>
      </c>
      <c r="AA81" s="9" t="n">
        <v>854974</v>
      </c>
      <c r="AB81" s="10" t="n">
        <v>29532</v>
      </c>
      <c r="AC81" s="10" t="n">
        <v>41078</v>
      </c>
      <c r="AD81" s="7" t="n">
        <v>1009232</v>
      </c>
      <c r="AE81" s="8" t="n">
        <v>43413</v>
      </c>
      <c r="AF81" s="8" t="n">
        <v>42457</v>
      </c>
      <c r="AG81" s="9" t="n">
        <v>1083362</v>
      </c>
      <c r="AH81" s="10" t="n">
        <v>60411</v>
      </c>
      <c r="AI81" s="10" t="n">
        <v>-6844</v>
      </c>
      <c r="AJ81" s="11" t="n">
        <v>1198667</v>
      </c>
      <c r="AK81" s="12" t="n">
        <v>60842</v>
      </c>
      <c r="AL81" s="12" t="n">
        <v>-88179</v>
      </c>
      <c r="AM81" s="13" t="n">
        <v>10.6</v>
      </c>
      <c r="AN81" s="13" t="n">
        <v>30.8</v>
      </c>
      <c r="AO81" s="13" t="n">
        <v>0.7</v>
      </c>
      <c r="AP81" s="13" t="n">
        <v>113</v>
      </c>
    </row>
    <row r="82">
      <c r="A82" s="5" t="inlineStr">
        <is>
          <t>현대해상</t>
        </is>
      </c>
      <c r="B82" s="6" t="inlineStr">
        <is>
          <t>001450</t>
        </is>
      </c>
      <c r="C82" s="6" t="inlineStr">
        <is>
          <t>연결</t>
        </is>
      </c>
      <c r="D82" s="6" t="inlineStr">
        <is>
          <t>2026Q2</t>
        </is>
      </c>
      <c r="E82" s="6" t="inlineStr">
        <is>
          <t>2023Q4</t>
        </is>
      </c>
      <c r="F82" s="14" t="n">
        <v>3847662</v>
      </c>
      <c r="G82" s="15" t="n">
        <v>-42767</v>
      </c>
      <c r="H82" s="15" t="n">
        <v>19366</v>
      </c>
      <c r="I82" s="14" t="n">
        <v>4440124</v>
      </c>
      <c r="J82" s="10" t="n">
        <v>558161</v>
      </c>
      <c r="K82" s="10" t="n">
        <v>373252</v>
      </c>
      <c r="L82" s="14" t="n">
        <v>4241123</v>
      </c>
      <c r="M82" s="8" t="n">
        <v>465248</v>
      </c>
      <c r="N82" s="8" t="n">
        <v>347744</v>
      </c>
      <c r="O82" s="14" t="n">
        <v>3739486</v>
      </c>
      <c r="P82" s="10" t="n">
        <v>295640</v>
      </c>
      <c r="Q82" s="10" t="n">
        <v>212286</v>
      </c>
      <c r="R82" s="14" t="n">
        <v>4798581</v>
      </c>
      <c r="S82" s="8" t="n">
        <v>-74979</v>
      </c>
      <c r="T82" s="8" t="n">
        <v>-82749</v>
      </c>
      <c r="U82" s="14" t="n">
        <v>4202906</v>
      </c>
      <c r="V82" s="10" t="n">
        <v>283698</v>
      </c>
      <c r="W82" s="10" t="n">
        <v>203879</v>
      </c>
      <c r="X82" s="14" t="n">
        <v>4875558</v>
      </c>
      <c r="Y82" s="8" t="n">
        <v>397511</v>
      </c>
      <c r="Z82" s="8" t="n">
        <v>300640</v>
      </c>
      <c r="AA82" s="14" t="n">
        <v>4279483</v>
      </c>
      <c r="AB82" s="10" t="n">
        <v>707683</v>
      </c>
      <c r="AC82" s="10" t="n">
        <v>629822</v>
      </c>
      <c r="AD82" s="14" t="n">
        <v>4211408</v>
      </c>
      <c r="AE82" s="8" t="n">
        <v>-127898</v>
      </c>
      <c r="AF82" s="8" t="n">
        <v>-114521</v>
      </c>
      <c r="AG82" s="14" t="n">
        <v>4621894</v>
      </c>
      <c r="AH82" s="10" t="n">
        <v>324494</v>
      </c>
      <c r="AI82" s="10" t="n">
        <v>236446</v>
      </c>
      <c r="AJ82" s="14" t="n">
        <v>4581265</v>
      </c>
      <c r="AK82" s="12" t="n">
        <v>528691</v>
      </c>
      <c r="AL82" s="12" t="n">
        <v>418303</v>
      </c>
      <c r="AM82" s="13" t="n">
        <v>-0.9</v>
      </c>
      <c r="AN82" s="13" t="n">
        <v>-6</v>
      </c>
      <c r="AO82" s="13" t="n">
        <v>62.9</v>
      </c>
      <c r="AP82" s="13" t="n">
        <v>33</v>
      </c>
    </row>
    <row r="83">
      <c r="A83" s="5" t="inlineStr">
        <is>
          <t>BYC</t>
        </is>
      </c>
      <c r="B83" s="6" t="inlineStr">
        <is>
          <t>001460</t>
        </is>
      </c>
      <c r="C83" s="6" t="inlineStr">
        <is>
          <t>연결</t>
        </is>
      </c>
      <c r="D83" s="6" t="inlineStr">
        <is>
          <t>2026Q2</t>
        </is>
      </c>
      <c r="E83" s="6" t="inlineStr"/>
      <c r="F83" s="7" t="inlineStr"/>
      <c r="G83" s="8" t="inlineStr"/>
      <c r="H83" s="8" t="inlineStr"/>
      <c r="I83" s="9" t="n">
        <v>38667</v>
      </c>
      <c r="J83" s="10" t="n">
        <v>5148</v>
      </c>
      <c r="K83" s="10" t="n">
        <v>3970</v>
      </c>
      <c r="L83" s="7" t="n">
        <v>41211</v>
      </c>
      <c r="M83" s="8" t="n">
        <v>2189</v>
      </c>
      <c r="N83" s="8" t="n">
        <v>1157</v>
      </c>
      <c r="O83" s="9" t="n">
        <v>38130</v>
      </c>
      <c r="P83" s="10" t="n">
        <v>5801</v>
      </c>
      <c r="Q83" s="10" t="n">
        <v>5096</v>
      </c>
      <c r="R83" s="7" t="n">
        <v>47200</v>
      </c>
      <c r="S83" s="8" t="n">
        <v>10695</v>
      </c>
      <c r="T83" s="8" t="n">
        <v>8182</v>
      </c>
      <c r="U83" s="9" t="n">
        <v>35341</v>
      </c>
      <c r="V83" s="10" t="n">
        <v>4202</v>
      </c>
      <c r="W83" s="10" t="n">
        <v>3201</v>
      </c>
      <c r="X83" s="7" t="n">
        <v>39495</v>
      </c>
      <c r="Y83" s="8" t="n">
        <v>2781</v>
      </c>
      <c r="Z83" s="8" t="n">
        <v>1661</v>
      </c>
      <c r="AA83" s="9" t="n">
        <v>39104</v>
      </c>
      <c r="AB83" s="10" t="n">
        <v>8252</v>
      </c>
      <c r="AC83" s="10" t="n">
        <v>6277</v>
      </c>
      <c r="AD83" s="7" t="n">
        <v>49227</v>
      </c>
      <c r="AE83" s="8" t="n">
        <v>11339</v>
      </c>
      <c r="AF83" s="8" t="n">
        <v>8452</v>
      </c>
      <c r="AG83" s="9" t="n">
        <v>36311</v>
      </c>
      <c r="AH83" s="10" t="n">
        <v>5588</v>
      </c>
      <c r="AI83" s="10" t="n">
        <v>4284</v>
      </c>
      <c r="AJ83" s="11" t="n">
        <v>43427</v>
      </c>
      <c r="AK83" s="12" t="n">
        <v>2993</v>
      </c>
      <c r="AL83" s="12" t="n">
        <v>3699</v>
      </c>
      <c r="AM83" s="13" t="n">
        <v>19.6</v>
      </c>
      <c r="AN83" s="13" t="n">
        <v>10</v>
      </c>
      <c r="AO83" s="13" t="n">
        <v>-46.4</v>
      </c>
      <c r="AP83" s="13" t="n">
        <v>7.6</v>
      </c>
    </row>
    <row r="84">
      <c r="A84" s="5" t="inlineStr">
        <is>
          <t>삼부토건</t>
        </is>
      </c>
      <c r="B84" s="6" t="inlineStr">
        <is>
          <t>001470</t>
        </is>
      </c>
      <c r="C84" s="6" t="inlineStr">
        <is>
          <t>연결</t>
        </is>
      </c>
      <c r="D84" s="6" t="inlineStr">
        <is>
          <t>2026Q2</t>
        </is>
      </c>
      <c r="E84" s="6" t="inlineStr"/>
      <c r="F84" s="7" t="inlineStr"/>
      <c r="G84" s="8" t="inlineStr"/>
      <c r="H84" s="8" t="inlineStr"/>
      <c r="I84" s="9" t="n">
        <v>116371</v>
      </c>
      <c r="J84" s="10" t="n">
        <v>-13579</v>
      </c>
      <c r="K84" s="10" t="n">
        <v>-16127</v>
      </c>
      <c r="L84" s="7" t="n">
        <v>88150</v>
      </c>
      <c r="M84" s="8" t="n">
        <v>-27393</v>
      </c>
      <c r="N84" s="8" t="n">
        <v>-35426</v>
      </c>
      <c r="O84" s="9" t="n">
        <v>64325</v>
      </c>
      <c r="P84" s="10" t="n">
        <v>-26804</v>
      </c>
      <c r="Q84" s="10" t="n">
        <v>-31459</v>
      </c>
      <c r="R84" s="7" t="n">
        <v>193580</v>
      </c>
      <c r="S84" s="8" t="n">
        <v>-44802</v>
      </c>
      <c r="T84" s="8" t="n">
        <v>-44755</v>
      </c>
      <c r="U84" s="9" t="n">
        <v>4950</v>
      </c>
      <c r="V84" s="10" t="n">
        <v>-29388</v>
      </c>
      <c r="W84" s="10" t="n">
        <v>-29657</v>
      </c>
      <c r="X84" s="7" t="n">
        <v>41607</v>
      </c>
      <c r="Y84" s="8" t="n">
        <v>-30245</v>
      </c>
      <c r="Z84" s="8" t="n">
        <v>-48950</v>
      </c>
      <c r="AA84" s="9" t="n">
        <v>39122</v>
      </c>
      <c r="AB84" s="10" t="n">
        <v>14857</v>
      </c>
      <c r="AC84" s="10" t="n">
        <v>17939</v>
      </c>
      <c r="AD84" s="7" t="n">
        <v>25314</v>
      </c>
      <c r="AE84" s="8" t="n">
        <v>18166</v>
      </c>
      <c r="AF84" s="8" t="n">
        <v>-16040</v>
      </c>
      <c r="AG84" s="9" t="n">
        <v>15746</v>
      </c>
      <c r="AH84" s="10" t="n">
        <v>-1148</v>
      </c>
      <c r="AI84" s="10" t="n">
        <v>-2004</v>
      </c>
      <c r="AJ84" s="11" t="n">
        <v>21982</v>
      </c>
      <c r="AK84" s="12" t="n">
        <v>-6946</v>
      </c>
      <c r="AL84" s="12" t="n">
        <v>176408</v>
      </c>
      <c r="AM84" s="13" t="n">
        <v>39.6</v>
      </c>
      <c r="AN84" s="13" t="n">
        <v>-47.2</v>
      </c>
      <c r="AO84" s="13" t="n">
        <v>-505.1</v>
      </c>
      <c r="AP84" s="13" t="n">
        <v>77</v>
      </c>
    </row>
    <row r="85">
      <c r="A85" s="5" t="inlineStr">
        <is>
          <t>현대차증권</t>
        </is>
      </c>
      <c r="B85" s="6" t="inlineStr">
        <is>
          <t>001500</t>
        </is>
      </c>
      <c r="C85" s="6" t="inlineStr">
        <is>
          <t>연결</t>
        </is>
      </c>
      <c r="D85" s="6" t="inlineStr">
        <is>
          <t>2026Q2</t>
        </is>
      </c>
      <c r="E85" s="6" t="inlineStr">
        <is>
          <t>2023Q4</t>
        </is>
      </c>
      <c r="F85" s="14" t="n">
        <v>447956</v>
      </c>
      <c r="G85" s="15" t="n">
        <v>242</v>
      </c>
      <c r="H85" s="15" t="n">
        <v>456</v>
      </c>
      <c r="I85" s="9" t="n">
        <v>473911</v>
      </c>
      <c r="J85" s="10" t="n">
        <v>13140</v>
      </c>
      <c r="K85" s="10" t="n">
        <v>10186</v>
      </c>
      <c r="L85" s="7" t="n">
        <v>435526</v>
      </c>
      <c r="M85" s="8" t="n">
        <v>19448</v>
      </c>
      <c r="N85" s="8" t="n">
        <v>14965</v>
      </c>
      <c r="O85" s="9" t="n">
        <v>252057</v>
      </c>
      <c r="P85" s="10" t="n">
        <v>14552</v>
      </c>
      <c r="Q85" s="10" t="n">
        <v>10657</v>
      </c>
      <c r="R85" s="7" t="n">
        <v>634139</v>
      </c>
      <c r="S85" s="8" t="n">
        <v>7551</v>
      </c>
      <c r="T85" s="8" t="n">
        <v>342</v>
      </c>
      <c r="U85" s="9" t="n">
        <v>425447</v>
      </c>
      <c r="V85" s="10" t="n">
        <v>27100</v>
      </c>
      <c r="W85" s="10" t="n">
        <v>19286</v>
      </c>
      <c r="X85" s="7" t="n">
        <v>27029</v>
      </c>
      <c r="Y85" s="15" t="n">
        <v>27029</v>
      </c>
      <c r="Z85" s="8" t="n">
        <v>20726</v>
      </c>
      <c r="AA85" s="14" t="n">
        <v>244010</v>
      </c>
      <c r="AB85" s="10" t="n">
        <v>14076</v>
      </c>
      <c r="AC85" s="10" t="n">
        <v>12219</v>
      </c>
      <c r="AD85" s="14" t="n">
        <v>456918</v>
      </c>
      <c r="AE85" s="15" t="n">
        <v>4047</v>
      </c>
      <c r="AF85" s="8" t="n">
        <v>5504</v>
      </c>
      <c r="AG85" s="14" t="n">
        <v>847837</v>
      </c>
      <c r="AH85" s="10" t="n">
        <v>32311</v>
      </c>
      <c r="AI85" s="10" t="n">
        <v>26589</v>
      </c>
      <c r="AJ85" s="14" t="n">
        <v>1034443</v>
      </c>
      <c r="AK85" s="12" t="n">
        <v>19120</v>
      </c>
      <c r="AL85" s="12" t="n">
        <v>32724</v>
      </c>
      <c r="AM85" s="13" t="n">
        <v>22</v>
      </c>
      <c r="AN85" s="13" t="n">
        <v>3727.2</v>
      </c>
      <c r="AO85" s="13" t="n">
        <v>-40.8</v>
      </c>
      <c r="AP85" s="13" t="n">
        <v>-29.3</v>
      </c>
    </row>
    <row r="86">
      <c r="A86" s="5" t="inlineStr">
        <is>
          <t>SK증권</t>
        </is>
      </c>
      <c r="B86" s="6" t="inlineStr">
        <is>
          <t>001510</t>
        </is>
      </c>
      <c r="C86" s="6" t="inlineStr">
        <is>
          <t>연결</t>
        </is>
      </c>
      <c r="D86" s="6" t="inlineStr">
        <is>
          <t>2026Q2</t>
        </is>
      </c>
      <c r="E86" s="6" t="inlineStr"/>
      <c r="F86" s="7" t="inlineStr"/>
      <c r="G86" s="8" t="inlineStr"/>
      <c r="H86" s="8" t="inlineStr"/>
      <c r="I86" s="9" t="inlineStr"/>
      <c r="J86" s="10" t="n">
        <v>-13906</v>
      </c>
      <c r="K86" s="10" t="n">
        <v>-5907</v>
      </c>
      <c r="L86" s="7" t="inlineStr"/>
      <c r="M86" s="8" t="n">
        <v>-61230</v>
      </c>
      <c r="N86" s="8" t="n">
        <v>-47605</v>
      </c>
      <c r="O86" s="9" t="inlineStr"/>
      <c r="P86" s="10" t="n">
        <v>-1275</v>
      </c>
      <c r="Q86" s="10" t="n">
        <v>970</v>
      </c>
      <c r="R86" s="7" t="inlineStr"/>
      <c r="S86" s="8" t="n">
        <v>-31465</v>
      </c>
      <c r="T86" s="8" t="n">
        <v>-30728</v>
      </c>
      <c r="U86" s="9" t="inlineStr"/>
      <c r="V86" s="10" t="n">
        <v>535</v>
      </c>
      <c r="W86" s="10" t="n">
        <v>2662</v>
      </c>
      <c r="X86" s="7" t="inlineStr"/>
      <c r="Y86" s="8" t="n">
        <v>4677</v>
      </c>
      <c r="Z86" s="8" t="n">
        <v>12861</v>
      </c>
      <c r="AA86" s="9" t="inlineStr"/>
      <c r="AB86" s="10" t="n">
        <v>8260</v>
      </c>
      <c r="AC86" s="10" t="n">
        <v>18862</v>
      </c>
      <c r="AD86" s="7" t="inlineStr"/>
      <c r="AE86" s="8" t="n">
        <v>-5686</v>
      </c>
      <c r="AF86" s="8" t="n">
        <v>-5682</v>
      </c>
      <c r="AG86" s="9" t="inlineStr"/>
      <c r="AH86" s="10" t="n">
        <v>28703</v>
      </c>
      <c r="AI86" s="10" t="n">
        <v>23371</v>
      </c>
      <c r="AJ86" s="11" t="inlineStr"/>
      <c r="AK86" s="12" t="n">
        <v>22548</v>
      </c>
      <c r="AL86" s="12" t="n">
        <v>33501</v>
      </c>
      <c r="AM86" s="13" t="inlineStr"/>
      <c r="AN86" s="13" t="inlineStr"/>
      <c r="AO86" s="13" t="n">
        <v>-21.4</v>
      </c>
      <c r="AP86" s="13" t="n">
        <v>382.1</v>
      </c>
    </row>
    <row r="87">
      <c r="A87" s="5" t="inlineStr">
        <is>
          <t>동양</t>
        </is>
      </c>
      <c r="B87" s="6" t="inlineStr">
        <is>
          <t>001520</t>
        </is>
      </c>
      <c r="C87" s="6" t="inlineStr">
        <is>
          <t>연결</t>
        </is>
      </c>
      <c r="D87" s="6" t="inlineStr">
        <is>
          <t>2026Q2</t>
        </is>
      </c>
      <c r="E87" s="6" t="inlineStr"/>
      <c r="F87" s="7" t="inlineStr"/>
      <c r="G87" s="8" t="inlineStr"/>
      <c r="H87" s="8" t="inlineStr"/>
      <c r="I87" s="9" t="n">
        <v>192349</v>
      </c>
      <c r="J87" s="10" t="n">
        <v>3112</v>
      </c>
      <c r="K87" s="10" t="n">
        <v>1161</v>
      </c>
      <c r="L87" s="7" t="n">
        <v>211062</v>
      </c>
      <c r="M87" s="8" t="n">
        <v>7072</v>
      </c>
      <c r="N87" s="8" t="n">
        <v>5785</v>
      </c>
      <c r="O87" s="9" t="n">
        <v>173574</v>
      </c>
      <c r="P87" s="10" t="n">
        <v>-7828</v>
      </c>
      <c r="Q87" s="10" t="n">
        <v>-13883</v>
      </c>
      <c r="R87" s="7" t="n">
        <v>173423</v>
      </c>
      <c r="S87" s="8" t="n">
        <v>-3277</v>
      </c>
      <c r="T87" s="8" t="n">
        <v>-67293</v>
      </c>
      <c r="U87" s="9" t="n">
        <v>156315</v>
      </c>
      <c r="V87" s="10" t="n">
        <v>-6016</v>
      </c>
      <c r="W87" s="10" t="n">
        <v>-10417</v>
      </c>
      <c r="X87" s="7" t="n">
        <v>163718</v>
      </c>
      <c r="Y87" s="8" t="n">
        <v>-3536</v>
      </c>
      <c r="Z87" s="8" t="n">
        <v>8024</v>
      </c>
      <c r="AA87" s="9" t="n">
        <v>160511</v>
      </c>
      <c r="AB87" s="10" t="n">
        <v>-5809</v>
      </c>
      <c r="AC87" s="10" t="n">
        <v>-8356</v>
      </c>
      <c r="AD87" s="7" t="n">
        <v>150084</v>
      </c>
      <c r="AE87" s="8" t="n">
        <v>-5383</v>
      </c>
      <c r="AF87" s="8" t="n">
        <v>31022</v>
      </c>
      <c r="AG87" s="9" t="n">
        <v>125430</v>
      </c>
      <c r="AH87" s="10" t="n">
        <v>-8719</v>
      </c>
      <c r="AI87" s="10" t="n">
        <v>7053</v>
      </c>
      <c r="AJ87" s="11" t="n">
        <v>146110</v>
      </c>
      <c r="AK87" s="12" t="n">
        <v>-3603</v>
      </c>
      <c r="AL87" s="12" t="n">
        <v>-16793</v>
      </c>
      <c r="AM87" s="13" t="n">
        <v>16.5</v>
      </c>
      <c r="AN87" s="13" t="n">
        <v>-10.8</v>
      </c>
      <c r="AO87" s="13" t="n">
        <v>58.7</v>
      </c>
      <c r="AP87" s="13" t="n">
        <v>-1.9</v>
      </c>
    </row>
    <row r="88">
      <c r="A88" s="5" t="inlineStr">
        <is>
          <t>디아이동일</t>
        </is>
      </c>
      <c r="B88" s="6" t="inlineStr">
        <is>
          <t>001530</t>
        </is>
      </c>
      <c r="C88" s="6" t="inlineStr">
        <is>
          <t>연결</t>
        </is>
      </c>
      <c r="D88" s="6" t="inlineStr">
        <is>
          <t>2026Q2</t>
        </is>
      </c>
      <c r="E88" s="6" t="inlineStr"/>
      <c r="F88" s="7" t="inlineStr"/>
      <c r="G88" s="8" t="inlineStr"/>
      <c r="H88" s="8" t="inlineStr"/>
      <c r="I88" s="9" t="n">
        <v>166195</v>
      </c>
      <c r="J88" s="10" t="n">
        <v>4502</v>
      </c>
      <c r="K88" s="10" t="n">
        <v>3887</v>
      </c>
      <c r="L88" s="7" t="n">
        <v>170716</v>
      </c>
      <c r="M88" s="8" t="n">
        <v>3658</v>
      </c>
      <c r="N88" s="8" t="n">
        <v>5848</v>
      </c>
      <c r="O88" s="9" t="n">
        <v>153556</v>
      </c>
      <c r="P88" s="10" t="n">
        <v>427</v>
      </c>
      <c r="Q88" s="10" t="n">
        <v>-2422</v>
      </c>
      <c r="R88" s="7" t="n">
        <v>161259</v>
      </c>
      <c r="S88" s="8" t="n">
        <v>-776</v>
      </c>
      <c r="T88" s="8" t="n">
        <v>-4810</v>
      </c>
      <c r="U88" s="9" t="n">
        <v>162515</v>
      </c>
      <c r="V88" s="10" t="n">
        <v>1559</v>
      </c>
      <c r="W88" s="10" t="n">
        <v>-1485</v>
      </c>
      <c r="X88" s="7" t="n">
        <v>155325</v>
      </c>
      <c r="Y88" s="8" t="n">
        <v>326</v>
      </c>
      <c r="Z88" s="8" t="n">
        <v>-5878</v>
      </c>
      <c r="AA88" s="9" t="n">
        <v>145796</v>
      </c>
      <c r="AB88" s="10" t="n">
        <v>-278</v>
      </c>
      <c r="AC88" s="10" t="n">
        <v>348</v>
      </c>
      <c r="AD88" s="7" t="n">
        <v>137716</v>
      </c>
      <c r="AE88" s="8" t="n">
        <v>-3152</v>
      </c>
      <c r="AF88" s="8" t="n">
        <v>-2954</v>
      </c>
      <c r="AG88" s="9" t="n">
        <v>169790</v>
      </c>
      <c r="AH88" s="10" t="n">
        <v>672</v>
      </c>
      <c r="AI88" s="10" t="n">
        <v>2793</v>
      </c>
      <c r="AJ88" s="11" t="n">
        <v>180227</v>
      </c>
      <c r="AK88" s="12" t="n">
        <v>3346</v>
      </c>
      <c r="AL88" s="12" t="n">
        <v>6149</v>
      </c>
      <c r="AM88" s="13" t="n">
        <v>6.1</v>
      </c>
      <c r="AN88" s="13" t="n">
        <v>16</v>
      </c>
      <c r="AO88" s="13" t="n">
        <v>397.9</v>
      </c>
      <c r="AP88" s="13" t="n">
        <v>926.4</v>
      </c>
    </row>
    <row r="89">
      <c r="A89" s="5" t="inlineStr">
        <is>
          <t>안국약품</t>
        </is>
      </c>
      <c r="B89" s="6" t="inlineStr">
        <is>
          <t>001540</t>
        </is>
      </c>
      <c r="C89" s="6" t="inlineStr">
        <is>
          <t>연결</t>
        </is>
      </c>
      <c r="D89" s="6" t="inlineStr">
        <is>
          <t>2026Q2</t>
        </is>
      </c>
      <c r="E89" s="6" t="inlineStr"/>
      <c r="F89" s="7" t="inlineStr"/>
      <c r="G89" s="8" t="inlineStr"/>
      <c r="H89" s="8" t="inlineStr"/>
      <c r="I89" s="9" t="n">
        <v>65739</v>
      </c>
      <c r="J89" s="10" t="n">
        <v>3064</v>
      </c>
      <c r="K89" s="10" t="n">
        <v>7687</v>
      </c>
      <c r="L89" s="7" t="n">
        <v>67177</v>
      </c>
      <c r="M89" s="8" t="n">
        <v>1686</v>
      </c>
      <c r="N89" s="8" t="n">
        <v>9686</v>
      </c>
      <c r="O89" s="9" t="n">
        <v>67508</v>
      </c>
      <c r="P89" s="10" t="n">
        <v>708</v>
      </c>
      <c r="Q89" s="10" t="n">
        <v>-372</v>
      </c>
      <c r="R89" s="7" t="n">
        <v>70692</v>
      </c>
      <c r="S89" s="8" t="n">
        <v>1243</v>
      </c>
      <c r="T89" s="8" t="n">
        <v>-658</v>
      </c>
      <c r="U89" s="9" t="n">
        <v>75752</v>
      </c>
      <c r="V89" s="10" t="n">
        <v>5856</v>
      </c>
      <c r="W89" s="10" t="n">
        <v>3504</v>
      </c>
      <c r="X89" s="7" t="n">
        <v>76823</v>
      </c>
      <c r="Y89" s="8" t="n">
        <v>4965</v>
      </c>
      <c r="Z89" s="8" t="n">
        <v>3071</v>
      </c>
      <c r="AA89" s="9" t="n">
        <v>77690</v>
      </c>
      <c r="AB89" s="10" t="n">
        <v>4884</v>
      </c>
      <c r="AC89" s="10" t="n">
        <v>3358</v>
      </c>
      <c r="AD89" s="7" t="n">
        <v>76609</v>
      </c>
      <c r="AE89" s="8" t="n">
        <v>-5882</v>
      </c>
      <c r="AF89" s="8" t="n">
        <v>-2614</v>
      </c>
      <c r="AG89" s="9" t="n">
        <v>98928</v>
      </c>
      <c r="AH89" s="10" t="n">
        <v>16019</v>
      </c>
      <c r="AI89" s="10" t="n">
        <v>12395</v>
      </c>
      <c r="AJ89" s="11" t="n">
        <v>91851</v>
      </c>
      <c r="AK89" s="12" t="n">
        <v>8640</v>
      </c>
      <c r="AL89" s="12" t="n">
        <v>8574</v>
      </c>
      <c r="AM89" s="13" t="n">
        <v>-7.2</v>
      </c>
      <c r="AN89" s="13" t="n">
        <v>19.6</v>
      </c>
      <c r="AO89" s="13" t="n">
        <v>-46.1</v>
      </c>
      <c r="AP89" s="13" t="n">
        <v>74</v>
      </c>
    </row>
    <row r="90">
      <c r="A90" s="5" t="inlineStr">
        <is>
          <t>조비</t>
        </is>
      </c>
      <c r="B90" s="6" t="inlineStr">
        <is>
          <t>001550</t>
        </is>
      </c>
      <c r="C90" s="6" t="inlineStr">
        <is>
          <t>별도</t>
        </is>
      </c>
      <c r="D90" s="6" t="inlineStr">
        <is>
          <t>2026Q2</t>
        </is>
      </c>
      <c r="E90" s="6" t="inlineStr"/>
      <c r="F90" s="7" t="inlineStr"/>
      <c r="G90" s="8" t="inlineStr"/>
      <c r="H90" s="8" t="inlineStr"/>
      <c r="I90" s="9" t="n">
        <v>26815</v>
      </c>
      <c r="J90" s="10" t="n">
        <v>2152</v>
      </c>
      <c r="K90" s="10" t="n">
        <v>899</v>
      </c>
      <c r="L90" s="7" t="n">
        <v>52240</v>
      </c>
      <c r="M90" s="8" t="n">
        <v>4387</v>
      </c>
      <c r="N90" s="8" t="n">
        <v>3065</v>
      </c>
      <c r="O90" s="9" t="n">
        <v>11791</v>
      </c>
      <c r="P90" s="10" t="n">
        <v>-1306</v>
      </c>
      <c r="Q90" s="10" t="n">
        <v>-1372</v>
      </c>
      <c r="R90" s="7" t="n">
        <v>11602</v>
      </c>
      <c r="S90" s="8" t="n">
        <v>-406</v>
      </c>
      <c r="T90" s="8" t="n">
        <v>-1952</v>
      </c>
      <c r="U90" s="9" t="n">
        <v>25264</v>
      </c>
      <c r="V90" s="10" t="n">
        <v>1829</v>
      </c>
      <c r="W90" s="10" t="n">
        <v>1287</v>
      </c>
      <c r="X90" s="7" t="n">
        <v>49091</v>
      </c>
      <c r="Y90" s="8" t="n">
        <v>5328</v>
      </c>
      <c r="Z90" s="8" t="n">
        <v>5020</v>
      </c>
      <c r="AA90" s="9" t="n">
        <v>11299</v>
      </c>
      <c r="AB90" s="10" t="n">
        <v>-2625</v>
      </c>
      <c r="AC90" s="10" t="n">
        <v>-3248</v>
      </c>
      <c r="AD90" s="7" t="n">
        <v>14083</v>
      </c>
      <c r="AE90" s="8" t="n">
        <v>-712</v>
      </c>
      <c r="AF90" s="8" t="n">
        <v>-1086</v>
      </c>
      <c r="AG90" s="9" t="n">
        <v>43589</v>
      </c>
      <c r="AH90" s="10" t="n">
        <v>4729</v>
      </c>
      <c r="AI90" s="10" t="n">
        <v>3689</v>
      </c>
      <c r="AJ90" s="11" t="n">
        <v>46413</v>
      </c>
      <c r="AK90" s="12" t="n">
        <v>3844</v>
      </c>
      <c r="AL90" s="12" t="n">
        <v>3204</v>
      </c>
      <c r="AM90" s="13" t="n">
        <v>6.5</v>
      </c>
      <c r="AN90" s="13" t="n">
        <v>-5.5</v>
      </c>
      <c r="AO90" s="13" t="n">
        <v>-18.7</v>
      </c>
      <c r="AP90" s="13" t="n">
        <v>-27.9</v>
      </c>
    </row>
    <row r="91">
      <c r="A91" s="5" t="inlineStr">
        <is>
          <t>제일연마</t>
        </is>
      </c>
      <c r="B91" s="6" t="inlineStr">
        <is>
          <t>001560</t>
        </is>
      </c>
      <c r="C91" s="6" t="inlineStr">
        <is>
          <t>연결</t>
        </is>
      </c>
      <c r="D91" s="6" t="inlineStr">
        <is>
          <t>2026Q2</t>
        </is>
      </c>
      <c r="E91" s="6" t="inlineStr"/>
      <c r="F91" s="7" t="inlineStr"/>
      <c r="G91" s="8" t="inlineStr"/>
      <c r="H91" s="8" t="inlineStr"/>
      <c r="I91" s="9" t="n">
        <v>19907</v>
      </c>
      <c r="J91" s="10" t="n">
        <v>2087</v>
      </c>
      <c r="K91" s="10" t="n">
        <v>2096</v>
      </c>
      <c r="L91" s="7" t="n">
        <v>20331</v>
      </c>
      <c r="M91" s="8" t="n">
        <v>1589</v>
      </c>
      <c r="N91" s="8" t="n">
        <v>1628</v>
      </c>
      <c r="O91" s="9" t="n">
        <v>20403</v>
      </c>
      <c r="P91" s="10" t="n">
        <v>1631</v>
      </c>
      <c r="Q91" s="10" t="n">
        <v>1075</v>
      </c>
      <c r="R91" s="7" t="n">
        <v>21333</v>
      </c>
      <c r="S91" s="8" t="n">
        <v>447</v>
      </c>
      <c r="T91" s="8" t="n">
        <v>1208</v>
      </c>
      <c r="U91" s="9" t="n">
        <v>18976</v>
      </c>
      <c r="V91" s="10" t="n">
        <v>925</v>
      </c>
      <c r="W91" s="10" t="n">
        <v>855</v>
      </c>
      <c r="X91" s="7" t="n">
        <v>19255</v>
      </c>
      <c r="Y91" s="8" t="n">
        <v>841</v>
      </c>
      <c r="Z91" s="8" t="n">
        <v>10202</v>
      </c>
      <c r="AA91" s="9" t="n">
        <v>20785</v>
      </c>
      <c r="AB91" s="10" t="n">
        <v>1572</v>
      </c>
      <c r="AC91" s="10" t="n">
        <v>1693</v>
      </c>
      <c r="AD91" s="7" t="n">
        <v>19883</v>
      </c>
      <c r="AE91" s="8" t="n">
        <v>904</v>
      </c>
      <c r="AF91" s="8" t="n">
        <v>894</v>
      </c>
      <c r="AG91" s="9" t="n">
        <v>19503</v>
      </c>
      <c r="AH91" s="10" t="n">
        <v>1535</v>
      </c>
      <c r="AI91" s="10" t="n">
        <v>1867</v>
      </c>
      <c r="AJ91" s="11" t="n">
        <v>21596</v>
      </c>
      <c r="AK91" s="12" t="n">
        <v>2070</v>
      </c>
      <c r="AL91" s="12" t="n">
        <v>2286</v>
      </c>
      <c r="AM91" s="13" t="n">
        <v>10.7</v>
      </c>
      <c r="AN91" s="13" t="n">
        <v>12.2</v>
      </c>
      <c r="AO91" s="13" t="n">
        <v>34.9</v>
      </c>
      <c r="AP91" s="13" t="n">
        <v>146.1</v>
      </c>
    </row>
    <row r="92">
      <c r="A92" s="5" t="inlineStr">
        <is>
          <t>금양</t>
        </is>
      </c>
      <c r="B92" s="6" t="inlineStr">
        <is>
          <t>001570</t>
        </is>
      </c>
      <c r="C92" s="6" t="inlineStr">
        <is>
          <t>연결</t>
        </is>
      </c>
      <c r="D92" s="6" t="inlineStr">
        <is>
          <t>2026Q1</t>
        </is>
      </c>
      <c r="E92" s="6" t="inlineStr"/>
      <c r="F92" s="7" t="inlineStr"/>
      <c r="G92" s="8" t="inlineStr"/>
      <c r="H92" s="8" t="inlineStr"/>
      <c r="I92" s="9" t="n">
        <v>37575</v>
      </c>
      <c r="J92" s="10" t="n">
        <v>-17288</v>
      </c>
      <c r="K92" s="10" t="n">
        <v>-19949</v>
      </c>
      <c r="L92" s="7" t="n">
        <v>38561</v>
      </c>
      <c r="M92" s="8" t="n">
        <v>-818</v>
      </c>
      <c r="N92" s="8" t="n">
        <v>-35082</v>
      </c>
      <c r="O92" s="9" t="n">
        <v>40371</v>
      </c>
      <c r="P92" s="10" t="n">
        <v>-21156</v>
      </c>
      <c r="Q92" s="10" t="n">
        <v>-105894</v>
      </c>
      <c r="R92" s="7" t="n">
        <v>37223</v>
      </c>
      <c r="S92" s="8" t="n">
        <v>-16740</v>
      </c>
      <c r="T92" s="8" t="n">
        <v>-25165</v>
      </c>
      <c r="U92" s="9" t="n">
        <v>35145</v>
      </c>
      <c r="V92" s="10" t="n">
        <v>-13503</v>
      </c>
      <c r="W92" s="10" t="n">
        <v>-22356</v>
      </c>
      <c r="X92" s="7" t="n">
        <v>23287</v>
      </c>
      <c r="Y92" s="8" t="n">
        <v>-11975</v>
      </c>
      <c r="Z92" s="8" t="n">
        <v>-13191</v>
      </c>
      <c r="AA92" s="9" t="n">
        <v>22634</v>
      </c>
      <c r="AB92" s="10" t="n">
        <v>-13511</v>
      </c>
      <c r="AC92" s="10" t="n">
        <v>-20259</v>
      </c>
      <c r="AD92" s="7" t="n">
        <v>21715</v>
      </c>
      <c r="AE92" s="8" t="n">
        <v>-5672</v>
      </c>
      <c r="AF92" s="8" t="n">
        <v>-13236</v>
      </c>
      <c r="AG92" s="9" t="n">
        <v>17365</v>
      </c>
      <c r="AH92" s="10" t="n">
        <v>-7940</v>
      </c>
      <c r="AI92" s="10" t="n">
        <v>-19439</v>
      </c>
      <c r="AJ92" s="11" t="inlineStr"/>
      <c r="AK92" s="12" t="inlineStr"/>
      <c r="AL92" s="12" t="inlineStr"/>
      <c r="AM92" s="13" t="inlineStr"/>
      <c r="AN92" s="13" t="inlineStr"/>
      <c r="AO92" s="13" t="inlineStr"/>
      <c r="AP92" s="13" t="inlineStr"/>
    </row>
    <row r="93">
      <c r="A93" s="5" t="inlineStr">
        <is>
          <t>그린광학</t>
        </is>
      </c>
      <c r="B93" s="6" t="inlineStr">
        <is>
          <t>0015G0</t>
        </is>
      </c>
      <c r="C93" s="6" t="inlineStr">
        <is>
          <t>연결</t>
        </is>
      </c>
      <c r="D93" s="6" t="inlineStr">
        <is>
          <t>2026Q2</t>
        </is>
      </c>
      <c r="E93" s="6" t="inlineStr"/>
      <c r="F93" s="7" t="inlineStr"/>
      <c r="G93" s="8" t="inlineStr"/>
      <c r="H93" s="8" t="inlineStr"/>
      <c r="I93" s="9" t="inlineStr"/>
      <c r="J93" s="10" t="inlineStr"/>
      <c r="K93" s="10" t="inlineStr"/>
      <c r="L93" s="7" t="inlineStr"/>
      <c r="M93" s="8" t="inlineStr"/>
      <c r="N93" s="8" t="inlineStr"/>
      <c r="O93" s="9" t="inlineStr"/>
      <c r="P93" s="10" t="inlineStr"/>
      <c r="Q93" s="10" t="inlineStr"/>
      <c r="R93" s="7" t="inlineStr"/>
      <c r="S93" s="8" t="inlineStr"/>
      <c r="T93" s="8" t="inlineStr"/>
      <c r="U93" s="9" t="inlineStr"/>
      <c r="V93" s="10" t="inlineStr"/>
      <c r="W93" s="10" t="inlineStr"/>
      <c r="X93" s="7" t="inlineStr"/>
      <c r="Y93" s="8" t="inlineStr"/>
      <c r="Z93" s="8" t="inlineStr"/>
      <c r="AA93" s="9" t="n">
        <v>11593</v>
      </c>
      <c r="AB93" s="10" t="n">
        <v>913</v>
      </c>
      <c r="AC93" s="10" t="n">
        <v>854</v>
      </c>
      <c r="AD93" s="7" t="inlineStr"/>
      <c r="AE93" s="8" t="inlineStr"/>
      <c r="AF93" s="8" t="inlineStr"/>
      <c r="AG93" s="9" t="n">
        <v>10858</v>
      </c>
      <c r="AH93" s="10" t="n">
        <v>555</v>
      </c>
      <c r="AI93" s="10" t="n">
        <v>914</v>
      </c>
      <c r="AJ93" s="11" t="n">
        <v>15353</v>
      </c>
      <c r="AK93" s="12" t="n">
        <v>215</v>
      </c>
      <c r="AL93" s="12" t="n">
        <v>378</v>
      </c>
      <c r="AM93" s="13" t="n">
        <v>41.4</v>
      </c>
      <c r="AN93" s="13" t="inlineStr"/>
      <c r="AO93" s="13" t="n">
        <v>-61.3</v>
      </c>
      <c r="AP93" s="13" t="inlineStr"/>
    </row>
    <row r="94">
      <c r="A94" s="5" t="inlineStr">
        <is>
          <t>아로마티카</t>
        </is>
      </c>
      <c r="B94" s="6" t="inlineStr">
        <is>
          <t>0015N0</t>
        </is>
      </c>
      <c r="C94" s="6" t="inlineStr">
        <is>
          <t>연결</t>
        </is>
      </c>
      <c r="D94" s="6" t="inlineStr">
        <is>
          <t>2026Q2</t>
        </is>
      </c>
      <c r="E94" s="6" t="inlineStr">
        <is>
          <t>2025Q4</t>
        </is>
      </c>
      <c r="F94" s="7" t="inlineStr"/>
      <c r="G94" s="8" t="inlineStr"/>
      <c r="H94" s="8" t="inlineStr"/>
      <c r="I94" s="9" t="inlineStr"/>
      <c r="J94" s="10" t="inlineStr"/>
      <c r="K94" s="10" t="inlineStr"/>
      <c r="L94" s="7" t="inlineStr"/>
      <c r="M94" s="8" t="inlineStr"/>
      <c r="N94" s="8" t="inlineStr"/>
      <c r="O94" s="9" t="inlineStr"/>
      <c r="P94" s="10" t="inlineStr"/>
      <c r="Q94" s="10" t="inlineStr"/>
      <c r="R94" s="7" t="inlineStr"/>
      <c r="S94" s="8" t="inlineStr"/>
      <c r="T94" s="8" t="inlineStr"/>
      <c r="U94" s="9" t="inlineStr"/>
      <c r="V94" s="10" t="inlineStr"/>
      <c r="W94" s="10" t="inlineStr"/>
      <c r="X94" s="7" t="inlineStr"/>
      <c r="Y94" s="8" t="inlineStr"/>
      <c r="Z94" s="8" t="inlineStr"/>
      <c r="AA94" s="9" t="n">
        <v>12978</v>
      </c>
      <c r="AB94" s="10" t="n">
        <v>1908</v>
      </c>
      <c r="AC94" s="10" t="n">
        <v>1588</v>
      </c>
      <c r="AD94" s="14" t="n">
        <v>13750</v>
      </c>
      <c r="AE94" s="15" t="n">
        <v>995</v>
      </c>
      <c r="AF94" s="15" t="n">
        <v>1237</v>
      </c>
      <c r="AG94" s="9" t="n">
        <v>14000</v>
      </c>
      <c r="AH94" s="10" t="n">
        <v>1335</v>
      </c>
      <c r="AI94" s="10" t="n">
        <v>1274</v>
      </c>
      <c r="AJ94" s="11" t="n">
        <v>17743</v>
      </c>
      <c r="AK94" s="12" t="n">
        <v>2246</v>
      </c>
      <c r="AL94" s="12" t="n">
        <v>1755</v>
      </c>
      <c r="AM94" s="13" t="n">
        <v>26.7</v>
      </c>
      <c r="AN94" s="13" t="inlineStr"/>
      <c r="AO94" s="13" t="n">
        <v>68.2</v>
      </c>
      <c r="AP94" s="13" t="inlineStr"/>
    </row>
    <row r="95">
      <c r="A95" s="5" t="inlineStr">
        <is>
          <t>페스카로</t>
        </is>
      </c>
      <c r="B95" s="6" t="inlineStr">
        <is>
          <t>0015S0</t>
        </is>
      </c>
      <c r="C95" s="6" t="inlineStr">
        <is>
          <t>연결</t>
        </is>
      </c>
      <c r="D95" s="6" t="inlineStr">
        <is>
          <t>2026Q2</t>
        </is>
      </c>
      <c r="E95" s="6" t="inlineStr"/>
      <c r="F95" s="7" t="inlineStr"/>
      <c r="G95" s="8" t="inlineStr"/>
      <c r="H95" s="8" t="inlineStr"/>
      <c r="I95" s="9" t="inlineStr"/>
      <c r="J95" s="10" t="inlineStr"/>
      <c r="K95" s="10" t="inlineStr"/>
      <c r="L95" s="7" t="inlineStr"/>
      <c r="M95" s="8" t="inlineStr"/>
      <c r="N95" s="8" t="inlineStr"/>
      <c r="O95" s="9" t="inlineStr"/>
      <c r="P95" s="10" t="inlineStr"/>
      <c r="Q95" s="10" t="inlineStr"/>
      <c r="R95" s="7" t="inlineStr"/>
      <c r="S95" s="8" t="inlineStr"/>
      <c r="T95" s="8" t="inlineStr"/>
      <c r="U95" s="9" t="inlineStr"/>
      <c r="V95" s="10" t="inlineStr"/>
      <c r="W95" s="10" t="inlineStr"/>
      <c r="X95" s="7" t="inlineStr"/>
      <c r="Y95" s="8" t="inlineStr"/>
      <c r="Z95" s="8" t="inlineStr"/>
      <c r="AA95" s="9" t="inlineStr"/>
      <c r="AB95" s="10" t="inlineStr"/>
      <c r="AC95" s="10" t="inlineStr"/>
      <c r="AD95" s="7" t="inlineStr"/>
      <c r="AE95" s="8" t="inlineStr"/>
      <c r="AF95" s="8" t="inlineStr"/>
      <c r="AG95" s="9" t="n">
        <v>6555</v>
      </c>
      <c r="AH95" s="10" t="n">
        <v>571</v>
      </c>
      <c r="AI95" s="10" t="n">
        <v>965</v>
      </c>
      <c r="AJ95" s="11" t="n">
        <v>10513</v>
      </c>
      <c r="AK95" s="12" t="n">
        <v>531</v>
      </c>
      <c r="AL95" s="12" t="n">
        <v>1379</v>
      </c>
      <c r="AM95" s="13" t="n">
        <v>60.4</v>
      </c>
      <c r="AN95" s="13" t="inlineStr"/>
      <c r="AO95" s="13" t="n">
        <v>-7</v>
      </c>
      <c r="AP95" s="13" t="inlineStr"/>
    </row>
    <row r="96">
      <c r="A96" s="5" t="inlineStr">
        <is>
          <t>케이비아이동국실업</t>
        </is>
      </c>
      <c r="B96" s="6" t="inlineStr">
        <is>
          <t>001620</t>
        </is>
      </c>
      <c r="C96" s="6" t="inlineStr">
        <is>
          <t>연결</t>
        </is>
      </c>
      <c r="D96" s="6" t="inlineStr">
        <is>
          <t>2026Q2</t>
        </is>
      </c>
      <c r="E96" s="6" t="inlineStr"/>
      <c r="F96" s="7" t="inlineStr"/>
      <c r="G96" s="8" t="inlineStr"/>
      <c r="H96" s="8" t="inlineStr"/>
      <c r="I96" s="9" t="n">
        <v>164668</v>
      </c>
      <c r="J96" s="10" t="n">
        <v>1807</v>
      </c>
      <c r="K96" s="10" t="n">
        <v>5239</v>
      </c>
      <c r="L96" s="7" t="n">
        <v>180275</v>
      </c>
      <c r="M96" s="8" t="n">
        <v>3042</v>
      </c>
      <c r="N96" s="8" t="n">
        <v>7913</v>
      </c>
      <c r="O96" s="9" t="n">
        <v>164587</v>
      </c>
      <c r="P96" s="10" t="n">
        <v>-13963</v>
      </c>
      <c r="Q96" s="10" t="n">
        <v>-10015</v>
      </c>
      <c r="R96" s="7" t="n">
        <v>158870</v>
      </c>
      <c r="S96" s="8" t="n">
        <v>2787</v>
      </c>
      <c r="T96" s="8" t="n">
        <v>22523</v>
      </c>
      <c r="U96" s="9" t="n">
        <v>171160</v>
      </c>
      <c r="V96" s="10" t="n">
        <v>-6472</v>
      </c>
      <c r="W96" s="10" t="n">
        <v>-5453</v>
      </c>
      <c r="X96" s="7" t="n">
        <v>213264</v>
      </c>
      <c r="Y96" s="8" t="n">
        <v>5496</v>
      </c>
      <c r="Z96" s="8" t="n">
        <v>768</v>
      </c>
      <c r="AA96" s="9" t="n">
        <v>208327</v>
      </c>
      <c r="AB96" s="10" t="n">
        <v>5310</v>
      </c>
      <c r="AC96" s="10" t="n">
        <v>9268</v>
      </c>
      <c r="AD96" s="7" t="n">
        <v>215257</v>
      </c>
      <c r="AE96" s="8" t="n">
        <v>14224</v>
      </c>
      <c r="AF96" s="8" t="n">
        <v>26977</v>
      </c>
      <c r="AG96" s="9" t="n">
        <v>204692</v>
      </c>
      <c r="AH96" s="10" t="n">
        <v>-1207</v>
      </c>
      <c r="AI96" s="10" t="n">
        <v>5201</v>
      </c>
      <c r="AJ96" s="11" t="n">
        <v>215782</v>
      </c>
      <c r="AK96" s="12" t="n">
        <v>27</v>
      </c>
      <c r="AL96" s="12" t="n">
        <v>3555</v>
      </c>
      <c r="AM96" s="13" t="n">
        <v>5.4</v>
      </c>
      <c r="AN96" s="13" t="n">
        <v>1.2</v>
      </c>
      <c r="AO96" s="13" t="n">
        <v>102.2</v>
      </c>
      <c r="AP96" s="13" t="n">
        <v>-99.5</v>
      </c>
    </row>
    <row r="97">
      <c r="A97" s="5" t="inlineStr">
        <is>
          <t>종근당홀딩스</t>
        </is>
      </c>
      <c r="B97" s="6" t="inlineStr">
        <is>
          <t>001630</t>
        </is>
      </c>
      <c r="C97" s="6" t="inlineStr">
        <is>
          <t>연결</t>
        </is>
      </c>
      <c r="D97" s="6" t="inlineStr">
        <is>
          <t>2026Q2</t>
        </is>
      </c>
      <c r="E97" s="6" t="inlineStr"/>
      <c r="F97" s="7" t="inlineStr"/>
      <c r="G97" s="8" t="inlineStr"/>
      <c r="H97" s="8" t="inlineStr"/>
      <c r="I97" s="9" t="n">
        <v>249992</v>
      </c>
      <c r="J97" s="10" t="n">
        <v>12525</v>
      </c>
      <c r="K97" s="10" t="n">
        <v>12300</v>
      </c>
      <c r="L97" s="7" t="n">
        <v>248442</v>
      </c>
      <c r="M97" s="8" t="n">
        <v>8569</v>
      </c>
      <c r="N97" s="8" t="n">
        <v>17407</v>
      </c>
      <c r="O97" s="9" t="n">
        <v>232243</v>
      </c>
      <c r="P97" s="10" t="n">
        <v>7472</v>
      </c>
      <c r="Q97" s="10" t="n">
        <v>3771</v>
      </c>
      <c r="R97" s="7" t="n">
        <v>227076</v>
      </c>
      <c r="S97" s="8" t="n">
        <v>6920</v>
      </c>
      <c r="T97" s="8" t="n">
        <v>6816</v>
      </c>
      <c r="U97" s="9" t="n">
        <v>246621</v>
      </c>
      <c r="V97" s="10" t="n">
        <v>11902</v>
      </c>
      <c r="W97" s="10" t="n">
        <v>7842</v>
      </c>
      <c r="X97" s="7" t="n">
        <v>242184</v>
      </c>
      <c r="Y97" s="8" t="n">
        <v>16514</v>
      </c>
      <c r="Z97" s="8" t="n">
        <v>11350</v>
      </c>
      <c r="AA97" s="9" t="n">
        <v>234219</v>
      </c>
      <c r="AB97" s="10" t="n">
        <v>18114</v>
      </c>
      <c r="AC97" s="10" t="n">
        <v>20048</v>
      </c>
      <c r="AD97" s="7" t="n">
        <v>235988</v>
      </c>
      <c r="AE97" s="8" t="n">
        <v>11751</v>
      </c>
      <c r="AF97" s="8" t="n">
        <v>15077</v>
      </c>
      <c r="AG97" s="9" t="n">
        <v>240267</v>
      </c>
      <c r="AH97" s="10" t="n">
        <v>19278</v>
      </c>
      <c r="AI97" s="10" t="n">
        <v>17897</v>
      </c>
      <c r="AJ97" s="11" t="n">
        <v>251169</v>
      </c>
      <c r="AK97" s="12" t="n">
        <v>6639</v>
      </c>
      <c r="AL97" s="12" t="n">
        <v>17641</v>
      </c>
      <c r="AM97" s="13" t="n">
        <v>4.5</v>
      </c>
      <c r="AN97" s="13" t="n">
        <v>3.7</v>
      </c>
      <c r="AO97" s="13" t="n">
        <v>-65.59999999999999</v>
      </c>
      <c r="AP97" s="13" t="n">
        <v>-59.8</v>
      </c>
    </row>
    <row r="98">
      <c r="A98" s="5" t="inlineStr">
        <is>
          <t>대상</t>
        </is>
      </c>
      <c r="B98" s="6" t="inlineStr">
        <is>
          <t>001680</t>
        </is>
      </c>
      <c r="C98" s="6" t="inlineStr">
        <is>
          <t>연결</t>
        </is>
      </c>
      <c r="D98" s="6" t="inlineStr">
        <is>
          <t>2026Q2</t>
        </is>
      </c>
      <c r="E98" s="6" t="inlineStr"/>
      <c r="F98" s="7" t="inlineStr"/>
      <c r="G98" s="8" t="inlineStr"/>
      <c r="H98" s="8" t="inlineStr"/>
      <c r="I98" s="9" t="n">
        <v>1044523</v>
      </c>
      <c r="J98" s="10" t="n">
        <v>47696</v>
      </c>
      <c r="K98" s="10" t="n">
        <v>20674</v>
      </c>
      <c r="L98" s="7" t="n">
        <v>1054219</v>
      </c>
      <c r="M98" s="8" t="n">
        <v>44377</v>
      </c>
      <c r="N98" s="8" t="n">
        <v>23155</v>
      </c>
      <c r="O98" s="9" t="n">
        <v>1111807</v>
      </c>
      <c r="P98" s="10" t="n">
        <v>51567</v>
      </c>
      <c r="Q98" s="10" t="n">
        <v>37846</v>
      </c>
      <c r="R98" s="7" t="n">
        <v>1044586</v>
      </c>
      <c r="S98" s="8" t="n">
        <v>33301</v>
      </c>
      <c r="T98" s="8" t="n">
        <v>15014</v>
      </c>
      <c r="U98" s="9" t="n">
        <v>1130424</v>
      </c>
      <c r="V98" s="10" t="n">
        <v>57276</v>
      </c>
      <c r="W98" s="10" t="n">
        <v>28428</v>
      </c>
      <c r="X98" s="7" t="n">
        <v>1076033</v>
      </c>
      <c r="Y98" s="8" t="n">
        <v>40802</v>
      </c>
      <c r="Z98" s="8" t="n">
        <v>18209</v>
      </c>
      <c r="AA98" s="9" t="n">
        <v>1145422</v>
      </c>
      <c r="AB98" s="10" t="n">
        <v>50895</v>
      </c>
      <c r="AC98" s="10" t="n">
        <v>22368</v>
      </c>
      <c r="AD98" s="7" t="n">
        <v>1049426</v>
      </c>
      <c r="AE98" s="8" t="n">
        <v>20309</v>
      </c>
      <c r="AF98" s="8" t="n">
        <v>-372094</v>
      </c>
      <c r="AG98" s="9" t="n">
        <v>1109855</v>
      </c>
      <c r="AH98" s="10" t="n">
        <v>57011</v>
      </c>
      <c r="AI98" s="10" t="n">
        <v>32628</v>
      </c>
      <c r="AJ98" s="11" t="n">
        <v>1165775</v>
      </c>
      <c r="AK98" s="12" t="n">
        <v>46451</v>
      </c>
      <c r="AL98" s="12" t="n">
        <v>19596</v>
      </c>
      <c r="AM98" s="13" t="n">
        <v>5</v>
      </c>
      <c r="AN98" s="13" t="n">
        <v>8.300000000000001</v>
      </c>
      <c r="AO98" s="13" t="n">
        <v>-18.5</v>
      </c>
      <c r="AP98" s="13" t="n">
        <v>13.8</v>
      </c>
    </row>
    <row r="99">
      <c r="A99" s="5" t="inlineStr">
        <is>
          <t>신영증권</t>
        </is>
      </c>
      <c r="B99" s="6" t="inlineStr">
        <is>
          <t>001720</t>
        </is>
      </c>
      <c r="C99" s="6" t="inlineStr">
        <is>
          <t>연결</t>
        </is>
      </c>
      <c r="D99" s="6" t="inlineStr">
        <is>
          <t>2026Q1</t>
        </is>
      </c>
      <c r="E99" s="6" t="inlineStr"/>
      <c r="F99" s="7" t="inlineStr"/>
      <c r="G99" s="8" t="inlineStr"/>
      <c r="H99" s="8" t="inlineStr"/>
      <c r="I99" s="9" t="n">
        <v>861910</v>
      </c>
      <c r="J99" s="10" t="n">
        <v>59798</v>
      </c>
      <c r="K99" s="10" t="n">
        <v>42585</v>
      </c>
      <c r="L99" s="7" t="n">
        <v>562918</v>
      </c>
      <c r="M99" s="8" t="n">
        <v>37338</v>
      </c>
      <c r="N99" s="8" t="n">
        <v>30118</v>
      </c>
      <c r="O99" s="9" t="n">
        <v>647500</v>
      </c>
      <c r="P99" s="10" t="n">
        <v>17802</v>
      </c>
      <c r="Q99" s="10" t="n">
        <v>9887</v>
      </c>
      <c r="R99" s="7" t="n">
        <v>691932</v>
      </c>
      <c r="S99" s="8" t="n">
        <v>55439</v>
      </c>
      <c r="T99" s="8" t="n">
        <v>66798</v>
      </c>
      <c r="U99" s="9" t="n">
        <v>901669</v>
      </c>
      <c r="V99" s="10" t="n">
        <v>75732</v>
      </c>
      <c r="W99" s="10" t="n">
        <v>61056</v>
      </c>
      <c r="X99" s="7" t="n">
        <v>458459</v>
      </c>
      <c r="Y99" s="8" t="n">
        <v>36035</v>
      </c>
      <c r="Z99" s="8" t="n">
        <v>30167</v>
      </c>
      <c r="AA99" s="9" t="n">
        <v>705101</v>
      </c>
      <c r="AB99" s="10" t="n">
        <v>37021</v>
      </c>
      <c r="AC99" s="10" t="n">
        <v>25636</v>
      </c>
      <c r="AD99" s="7" t="n">
        <v>401152</v>
      </c>
      <c r="AE99" s="8" t="n">
        <v>-12642</v>
      </c>
      <c r="AF99" s="8" t="n">
        <v>-4581</v>
      </c>
      <c r="AG99" s="9" t="n">
        <v>1663107</v>
      </c>
      <c r="AH99" s="10" t="n">
        <v>121069</v>
      </c>
      <c r="AI99" s="10" t="n">
        <v>94324</v>
      </c>
      <c r="AJ99" s="11" t="inlineStr"/>
      <c r="AK99" s="12" t="inlineStr"/>
      <c r="AL99" s="12" t="inlineStr"/>
      <c r="AM99" s="13" t="inlineStr"/>
      <c r="AN99" s="13" t="inlineStr"/>
      <c r="AO99" s="13" t="inlineStr"/>
      <c r="AP99" s="13" t="inlineStr"/>
    </row>
    <row r="100">
      <c r="A100" s="5" t="inlineStr">
        <is>
          <t>SK네트웍스</t>
        </is>
      </c>
      <c r="B100" s="6" t="inlineStr">
        <is>
          <t>001740</t>
        </is>
      </c>
      <c r="C100" s="6" t="inlineStr">
        <is>
          <t>연결</t>
        </is>
      </c>
      <c r="D100" s="6" t="inlineStr">
        <is>
          <t>2026Q2</t>
        </is>
      </c>
      <c r="E100" s="6" t="inlineStr">
        <is>
          <t>2023Q4</t>
        </is>
      </c>
      <c r="F100" s="14" t="n">
        <v>2407130</v>
      </c>
      <c r="G100" s="15" t="n">
        <v>50451</v>
      </c>
      <c r="H100" s="15" t="n">
        <v>-23190</v>
      </c>
      <c r="I100" s="9" t="n">
        <v>2476906</v>
      </c>
      <c r="J100" s="10" t="n">
        <v>62410</v>
      </c>
      <c r="K100" s="10" t="n">
        <v>7307</v>
      </c>
      <c r="L100" s="7" t="n">
        <v>1689973</v>
      </c>
      <c r="M100" s="8" t="n">
        <v>29082</v>
      </c>
      <c r="N100" s="8" t="n">
        <v>21245</v>
      </c>
      <c r="O100" s="9" t="n">
        <v>2042849</v>
      </c>
      <c r="P100" s="10" t="n">
        <v>28642</v>
      </c>
      <c r="Q100" s="10" t="n">
        <v>65836</v>
      </c>
      <c r="R100" s="7" t="n">
        <v>1447553</v>
      </c>
      <c r="S100" s="8" t="n">
        <v>-6219</v>
      </c>
      <c r="T100" s="8" t="n">
        <v>-48096</v>
      </c>
      <c r="U100" s="9" t="n">
        <v>1636685</v>
      </c>
      <c r="V100" s="10" t="n">
        <v>16476</v>
      </c>
      <c r="W100" s="10" t="n">
        <v>-5383</v>
      </c>
      <c r="X100" s="7" t="n">
        <v>1516333</v>
      </c>
      <c r="Y100" s="8" t="n">
        <v>43030</v>
      </c>
      <c r="Z100" s="8" t="n">
        <v>26085</v>
      </c>
      <c r="AA100" s="9" t="n">
        <v>1972605</v>
      </c>
      <c r="AB100" s="10" t="n">
        <v>22350</v>
      </c>
      <c r="AC100" s="10" t="n">
        <v>19149</v>
      </c>
      <c r="AD100" s="7" t="n">
        <v>1619504</v>
      </c>
      <c r="AE100" s="8" t="n">
        <v>4437</v>
      </c>
      <c r="AF100" s="8" t="n">
        <v>10130</v>
      </c>
      <c r="AG100" s="9" t="n">
        <v>1743436</v>
      </c>
      <c r="AH100" s="10" t="n">
        <v>33352</v>
      </c>
      <c r="AI100" s="10" t="n">
        <v>42699</v>
      </c>
      <c r="AJ100" s="11" t="n">
        <v>1444497</v>
      </c>
      <c r="AK100" s="12" t="n">
        <v>24791</v>
      </c>
      <c r="AL100" s="12" t="n">
        <v>49655</v>
      </c>
      <c r="AM100" s="13" t="n">
        <v>-17.1</v>
      </c>
      <c r="AN100" s="13" t="n">
        <v>-4.7</v>
      </c>
      <c r="AO100" s="13" t="n">
        <v>-25.7</v>
      </c>
      <c r="AP100" s="13" t="n">
        <v>-42.4</v>
      </c>
    </row>
    <row r="101">
      <c r="A101" s="5" t="inlineStr">
        <is>
          <t>한양증권</t>
        </is>
      </c>
      <c r="B101" s="6" t="inlineStr">
        <is>
          <t>001750</t>
        </is>
      </c>
      <c r="C101" s="6" t="inlineStr">
        <is>
          <t>별도</t>
        </is>
      </c>
      <c r="D101" s="6" t="inlineStr">
        <is>
          <t>2026Q2</t>
        </is>
      </c>
      <c r="E101" s="6" t="inlineStr"/>
      <c r="F101" s="7" t="inlineStr"/>
      <c r="G101" s="8" t="inlineStr"/>
      <c r="H101" s="8" t="inlineStr"/>
      <c r="I101" s="9" t="n">
        <v>192850</v>
      </c>
      <c r="J101" s="10" t="n">
        <v>19647</v>
      </c>
      <c r="K101" s="10" t="n">
        <v>13367</v>
      </c>
      <c r="L101" s="7" t="n">
        <v>205581</v>
      </c>
      <c r="M101" s="8" t="n">
        <v>16391</v>
      </c>
      <c r="N101" s="8" t="n">
        <v>12531</v>
      </c>
      <c r="O101" s="9" t="n">
        <v>212786</v>
      </c>
      <c r="P101" s="10" t="n">
        <v>10691</v>
      </c>
      <c r="Q101" s="10" t="n">
        <v>7574</v>
      </c>
      <c r="R101" s="7" t="n">
        <v>222092</v>
      </c>
      <c r="S101" s="8" t="n">
        <v>7720</v>
      </c>
      <c r="T101" s="8" t="n">
        <v>5326</v>
      </c>
      <c r="U101" s="9" t="n">
        <v>200298</v>
      </c>
      <c r="V101" s="10" t="n">
        <v>29378</v>
      </c>
      <c r="W101" s="10" t="n">
        <v>21079</v>
      </c>
      <c r="X101" s="7" t="n">
        <v>246454</v>
      </c>
      <c r="Y101" s="8" t="n">
        <v>17782</v>
      </c>
      <c r="Z101" s="8" t="n">
        <v>13630</v>
      </c>
      <c r="AA101" s="9" t="n">
        <v>205862</v>
      </c>
      <c r="AB101" s="10" t="n">
        <v>18886</v>
      </c>
      <c r="AC101" s="10" t="n">
        <v>14258</v>
      </c>
      <c r="AD101" s="7" t="n">
        <v>256408</v>
      </c>
      <c r="AE101" s="8" t="n">
        <v>9265</v>
      </c>
      <c r="AF101" s="8" t="n">
        <v>7604</v>
      </c>
      <c r="AG101" s="9" t="n">
        <v>511339</v>
      </c>
      <c r="AH101" s="10" t="n">
        <v>25994</v>
      </c>
      <c r="AI101" s="10" t="n">
        <v>18634</v>
      </c>
      <c r="AJ101" s="11" t="n">
        <v>813033</v>
      </c>
      <c r="AK101" s="12" t="n">
        <v>25478</v>
      </c>
      <c r="AL101" s="12" t="n">
        <v>19701</v>
      </c>
      <c r="AM101" s="13" t="n">
        <v>59</v>
      </c>
      <c r="AN101" s="13" t="n">
        <v>229.9</v>
      </c>
      <c r="AO101" s="13" t="n">
        <v>-2</v>
      </c>
      <c r="AP101" s="13" t="n">
        <v>43.3</v>
      </c>
    </row>
    <row r="102">
      <c r="A102" s="5" t="inlineStr">
        <is>
          <t>SHD</t>
        </is>
      </c>
      <c r="B102" s="6" t="inlineStr">
        <is>
          <t>001770</t>
        </is>
      </c>
      <c r="C102" s="6" t="inlineStr">
        <is>
          <t>별도</t>
        </is>
      </c>
      <c r="D102" s="6" t="inlineStr">
        <is>
          <t>2026Q2</t>
        </is>
      </c>
      <c r="E102" s="6" t="inlineStr"/>
      <c r="F102" s="7" t="inlineStr"/>
      <c r="G102" s="8" t="inlineStr"/>
      <c r="H102" s="8" t="inlineStr"/>
      <c r="I102" s="9" t="n">
        <v>24945</v>
      </c>
      <c r="J102" s="10" t="n">
        <v>-1458</v>
      </c>
      <c r="K102" s="10" t="n">
        <v>-1103</v>
      </c>
      <c r="L102" s="7" t="n">
        <v>26256</v>
      </c>
      <c r="M102" s="8" t="n">
        <v>-2175</v>
      </c>
      <c r="N102" s="8" t="n">
        <v>2245</v>
      </c>
      <c r="O102" s="9" t="n">
        <v>28918</v>
      </c>
      <c r="P102" s="10" t="n">
        <v>-1401</v>
      </c>
      <c r="Q102" s="10" t="n">
        <v>-1358</v>
      </c>
      <c r="R102" s="7" t="n">
        <v>26486</v>
      </c>
      <c r="S102" s="8" t="n">
        <v>1008</v>
      </c>
      <c r="T102" s="8" t="n">
        <v>3144</v>
      </c>
      <c r="U102" s="9" t="n">
        <v>29194</v>
      </c>
      <c r="V102" s="10" t="n">
        <v>746</v>
      </c>
      <c r="W102" s="10" t="n">
        <v>665</v>
      </c>
      <c r="X102" s="7" t="n">
        <v>26843</v>
      </c>
      <c r="Y102" s="8" t="n">
        <v>653</v>
      </c>
      <c r="Z102" s="8" t="n">
        <v>99</v>
      </c>
      <c r="AA102" s="9" t="n">
        <v>21232</v>
      </c>
      <c r="AB102" s="10" t="n">
        <v>873</v>
      </c>
      <c r="AC102" s="10" t="n">
        <v>760</v>
      </c>
      <c r="AD102" s="7" t="n">
        <v>23129</v>
      </c>
      <c r="AE102" s="8" t="n">
        <v>466</v>
      </c>
      <c r="AF102" s="8" t="n">
        <v>445</v>
      </c>
      <c r="AG102" s="9" t="n">
        <v>27732</v>
      </c>
      <c r="AH102" s="10" t="n">
        <v>-159</v>
      </c>
      <c r="AI102" s="10" t="n">
        <v>-75</v>
      </c>
      <c r="AJ102" s="11" t="n">
        <v>28676</v>
      </c>
      <c r="AK102" s="12" t="n">
        <v>-580</v>
      </c>
      <c r="AL102" s="12" t="n">
        <v>-458</v>
      </c>
      <c r="AM102" s="13" t="n">
        <v>3.4</v>
      </c>
      <c r="AN102" s="13" t="n">
        <v>6.8</v>
      </c>
      <c r="AO102" s="13" t="n">
        <v>-264.8</v>
      </c>
      <c r="AP102" s="13" t="n">
        <v>-188.8</v>
      </c>
    </row>
    <row r="103">
      <c r="A103" s="5" t="inlineStr">
        <is>
          <t>알루코</t>
        </is>
      </c>
      <c r="B103" s="6" t="inlineStr">
        <is>
          <t>001780</t>
        </is>
      </c>
      <c r="C103" s="6" t="inlineStr">
        <is>
          <t>연결</t>
        </is>
      </c>
      <c r="D103" s="6" t="inlineStr">
        <is>
          <t>2026Q2</t>
        </is>
      </c>
      <c r="E103" s="6" t="inlineStr"/>
      <c r="F103" s="7" t="inlineStr"/>
      <c r="G103" s="8" t="inlineStr"/>
      <c r="H103" s="8" t="inlineStr"/>
      <c r="I103" s="9" t="n">
        <v>149856</v>
      </c>
      <c r="J103" s="10" t="n">
        <v>14365</v>
      </c>
      <c r="K103" s="10" t="n">
        <v>12522</v>
      </c>
      <c r="L103" s="7" t="n">
        <v>174676</v>
      </c>
      <c r="M103" s="8" t="n">
        <v>10741</v>
      </c>
      <c r="N103" s="8" t="n">
        <v>5939</v>
      </c>
      <c r="O103" s="9" t="n">
        <v>156536</v>
      </c>
      <c r="P103" s="10" t="n">
        <v>10425</v>
      </c>
      <c r="Q103" s="10" t="n">
        <v>264</v>
      </c>
      <c r="R103" s="7" t="n">
        <v>141876</v>
      </c>
      <c r="S103" s="8" t="n">
        <v>2522</v>
      </c>
      <c r="T103" s="8" t="n">
        <v>-1060</v>
      </c>
      <c r="U103" s="9" t="n">
        <v>168889</v>
      </c>
      <c r="V103" s="10" t="n">
        <v>16123</v>
      </c>
      <c r="W103" s="10" t="n">
        <v>11385</v>
      </c>
      <c r="X103" s="7" t="n">
        <v>165338</v>
      </c>
      <c r="Y103" s="8" t="n">
        <v>11549</v>
      </c>
      <c r="Z103" s="8" t="n">
        <v>-1830</v>
      </c>
      <c r="AA103" s="9" t="n">
        <v>123423</v>
      </c>
      <c r="AB103" s="10" t="n">
        <v>2454</v>
      </c>
      <c r="AC103" s="10" t="n">
        <v>331</v>
      </c>
      <c r="AD103" s="7" t="n">
        <v>118008</v>
      </c>
      <c r="AE103" s="8" t="n">
        <v>4774</v>
      </c>
      <c r="AF103" s="8" t="n">
        <v>5992</v>
      </c>
      <c r="AG103" s="9" t="n">
        <v>142126</v>
      </c>
      <c r="AH103" s="10" t="n">
        <v>9715</v>
      </c>
      <c r="AI103" s="10" t="n">
        <v>13208</v>
      </c>
      <c r="AJ103" s="11" t="n">
        <v>142403</v>
      </c>
      <c r="AK103" s="12" t="n">
        <v>5924</v>
      </c>
      <c r="AL103" s="12" t="n">
        <v>-2153</v>
      </c>
      <c r="AM103" s="13" t="n">
        <v>0.2</v>
      </c>
      <c r="AN103" s="13" t="n">
        <v>-13.9</v>
      </c>
      <c r="AO103" s="13" t="n">
        <v>-39</v>
      </c>
      <c r="AP103" s="13" t="n">
        <v>-48.7</v>
      </c>
    </row>
    <row r="104">
      <c r="A104" s="5" t="inlineStr">
        <is>
          <t>대한제당</t>
        </is>
      </c>
      <c r="B104" s="6" t="inlineStr">
        <is>
          <t>001790</t>
        </is>
      </c>
      <c r="C104" s="6" t="inlineStr">
        <is>
          <t>연결</t>
        </is>
      </c>
      <c r="D104" s="6" t="inlineStr">
        <is>
          <t>2026Q2</t>
        </is>
      </c>
      <c r="E104" s="6" t="inlineStr"/>
      <c r="F104" s="7" t="inlineStr"/>
      <c r="G104" s="8" t="inlineStr"/>
      <c r="H104" s="8" t="inlineStr"/>
      <c r="I104" s="9" t="n">
        <v>325173</v>
      </c>
      <c r="J104" s="10" t="n">
        <v>5439</v>
      </c>
      <c r="K104" s="10" t="n">
        <v>7968</v>
      </c>
      <c r="L104" s="7" t="n">
        <v>340577</v>
      </c>
      <c r="M104" s="8" t="n">
        <v>13472</v>
      </c>
      <c r="N104" s="8" t="n">
        <v>9742</v>
      </c>
      <c r="O104" s="9" t="n">
        <v>354668</v>
      </c>
      <c r="P104" s="10" t="n">
        <v>16618</v>
      </c>
      <c r="Q104" s="10" t="n">
        <v>3329</v>
      </c>
      <c r="R104" s="7" t="n">
        <v>353411</v>
      </c>
      <c r="S104" s="8" t="n">
        <v>1468</v>
      </c>
      <c r="T104" s="8" t="n">
        <v>-517</v>
      </c>
      <c r="U104" s="9" t="n">
        <v>329373</v>
      </c>
      <c r="V104" s="10" t="n">
        <v>8276</v>
      </c>
      <c r="W104" s="10" t="n">
        <v>38711</v>
      </c>
      <c r="X104" s="7" t="n">
        <v>351935</v>
      </c>
      <c r="Y104" s="8" t="n">
        <v>14690</v>
      </c>
      <c r="Z104" s="8" t="n">
        <v>6372</v>
      </c>
      <c r="AA104" s="9" t="n">
        <v>345965</v>
      </c>
      <c r="AB104" s="10" t="n">
        <v>18632</v>
      </c>
      <c r="AC104" s="10" t="n">
        <v>13264</v>
      </c>
      <c r="AD104" s="7" t="n">
        <v>329003</v>
      </c>
      <c r="AE104" s="8" t="n">
        <v>14958</v>
      </c>
      <c r="AF104" s="8" t="n">
        <v>-118649</v>
      </c>
      <c r="AG104" s="9" t="n">
        <v>315141</v>
      </c>
      <c r="AH104" s="10" t="n">
        <v>5494</v>
      </c>
      <c r="AI104" s="10" t="n">
        <v>9413</v>
      </c>
      <c r="AJ104" s="11" t="n">
        <v>336628</v>
      </c>
      <c r="AK104" s="12" t="n">
        <v>13379</v>
      </c>
      <c r="AL104" s="12" t="n">
        <v>12433</v>
      </c>
      <c r="AM104" s="13" t="n">
        <v>6.8</v>
      </c>
      <c r="AN104" s="13" t="n">
        <v>-4.3</v>
      </c>
      <c r="AO104" s="13" t="n">
        <v>143.5</v>
      </c>
      <c r="AP104" s="13" t="n">
        <v>-8.9</v>
      </c>
    </row>
    <row r="105">
      <c r="A105" s="5" t="inlineStr">
        <is>
          <t>세미티에스</t>
        </is>
      </c>
      <c r="B105" s="6" t="inlineStr">
        <is>
          <t>0017J0</t>
        </is>
      </c>
      <c r="C105" s="6" t="inlineStr">
        <is>
          <t>연결</t>
        </is>
      </c>
      <c r="D105" s="6" t="inlineStr">
        <is>
          <t>2026Q2</t>
        </is>
      </c>
      <c r="E105" s="6" t="inlineStr"/>
      <c r="F105" s="7" t="inlineStr"/>
      <c r="G105" s="8" t="inlineStr"/>
      <c r="H105" s="8" t="inlineStr"/>
      <c r="I105" s="9" t="inlineStr"/>
      <c r="J105" s="10" t="inlineStr"/>
      <c r="K105" s="10" t="inlineStr"/>
      <c r="L105" s="7" t="inlineStr"/>
      <c r="M105" s="8" t="inlineStr"/>
      <c r="N105" s="8" t="inlineStr"/>
      <c r="O105" s="9" t="inlineStr"/>
      <c r="P105" s="10" t="inlineStr"/>
      <c r="Q105" s="10" t="inlineStr"/>
      <c r="R105" s="7" t="inlineStr"/>
      <c r="S105" s="8" t="inlineStr"/>
      <c r="T105" s="8" t="inlineStr"/>
      <c r="U105" s="9" t="inlineStr"/>
      <c r="V105" s="10" t="inlineStr"/>
      <c r="W105" s="10" t="inlineStr"/>
      <c r="X105" s="7" t="inlineStr"/>
      <c r="Y105" s="8" t="inlineStr"/>
      <c r="Z105" s="8" t="inlineStr"/>
      <c r="AA105" s="9" t="inlineStr"/>
      <c r="AB105" s="10" t="inlineStr"/>
      <c r="AC105" s="10" t="inlineStr"/>
      <c r="AD105" s="7" t="inlineStr"/>
      <c r="AE105" s="8" t="inlineStr"/>
      <c r="AF105" s="8" t="inlineStr"/>
      <c r="AG105" s="9" t="n">
        <v>12697</v>
      </c>
      <c r="AH105" s="10" t="n">
        <v>4458</v>
      </c>
      <c r="AI105" s="10" t="n">
        <v>5415</v>
      </c>
      <c r="AJ105" s="11" t="n">
        <v>2494</v>
      </c>
      <c r="AK105" s="12" t="n">
        <v>-414</v>
      </c>
      <c r="AL105" s="12" t="n">
        <v>-17497</v>
      </c>
      <c r="AM105" s="13" t="n">
        <v>-80.40000000000001</v>
      </c>
      <c r="AN105" s="13" t="inlineStr"/>
      <c r="AO105" s="13" t="n">
        <v>-109.3</v>
      </c>
      <c r="AP105" s="13" t="inlineStr"/>
    </row>
    <row r="106">
      <c r="A106" s="5" t="inlineStr">
        <is>
          <t>오리온홀딩스</t>
        </is>
      </c>
      <c r="B106" s="6" t="inlineStr">
        <is>
          <t>001800</t>
        </is>
      </c>
      <c r="C106" s="6" t="inlineStr">
        <is>
          <t>연결</t>
        </is>
      </c>
      <c r="D106" s="6" t="inlineStr">
        <is>
          <t>2026Q2</t>
        </is>
      </c>
      <c r="E106" s="6" t="inlineStr"/>
      <c r="F106" s="7" t="inlineStr"/>
      <c r="G106" s="8" t="inlineStr"/>
      <c r="H106" s="8" t="inlineStr"/>
      <c r="I106" s="9" t="n">
        <v>810952</v>
      </c>
      <c r="J106" s="10" t="n">
        <v>130373</v>
      </c>
      <c r="K106" s="10" t="n">
        <v>112212</v>
      </c>
      <c r="L106" s="7" t="n">
        <v>735911</v>
      </c>
      <c r="M106" s="8" t="n">
        <v>111504</v>
      </c>
      <c r="N106" s="8" t="n">
        <v>60307</v>
      </c>
      <c r="O106" s="9" t="n">
        <v>779053</v>
      </c>
      <c r="P106" s="10" t="n">
        <v>122072</v>
      </c>
      <c r="Q106" s="10" t="n">
        <v>83177</v>
      </c>
      <c r="R106" s="7" t="n">
        <v>869330</v>
      </c>
      <c r="S106" s="8" t="n">
        <v>142291</v>
      </c>
      <c r="T106" s="8" t="n">
        <v>223833</v>
      </c>
      <c r="U106" s="9" t="n">
        <v>812998</v>
      </c>
      <c r="V106" s="10" t="n">
        <v>116387</v>
      </c>
      <c r="W106" s="10" t="n">
        <v>96731</v>
      </c>
      <c r="X106" s="7" t="n">
        <v>795510</v>
      </c>
      <c r="Y106" s="8" t="n">
        <v>99280</v>
      </c>
      <c r="Z106" s="8" t="n">
        <v>57735</v>
      </c>
      <c r="AA106" s="9" t="n">
        <v>845589</v>
      </c>
      <c r="AB106" s="10" t="n">
        <v>122862</v>
      </c>
      <c r="AC106" s="10" t="n">
        <v>89772</v>
      </c>
      <c r="AD106" s="7" t="n">
        <v>939029</v>
      </c>
      <c r="AE106" s="8" t="n">
        <v>149200</v>
      </c>
      <c r="AF106" s="8" t="n">
        <v>93540</v>
      </c>
      <c r="AG106" s="9" t="n">
        <v>1008605</v>
      </c>
      <c r="AH106" s="10" t="n">
        <v>172860</v>
      </c>
      <c r="AI106" s="10" t="n">
        <v>130610</v>
      </c>
      <c r="AJ106" s="11" t="n">
        <v>960503</v>
      </c>
      <c r="AK106" s="12" t="n">
        <v>127719</v>
      </c>
      <c r="AL106" s="12" t="n">
        <v>77346</v>
      </c>
      <c r="AM106" s="13" t="n">
        <v>-4.8</v>
      </c>
      <c r="AN106" s="13" t="n">
        <v>20.7</v>
      </c>
      <c r="AO106" s="13" t="n">
        <v>-26.1</v>
      </c>
      <c r="AP106" s="13" t="n">
        <v>28.6</v>
      </c>
    </row>
    <row r="107">
      <c r="A107" s="5" t="inlineStr">
        <is>
          <t>무림SP</t>
        </is>
      </c>
      <c r="B107" s="6" t="inlineStr">
        <is>
          <t>001810</t>
        </is>
      </c>
      <c r="C107" s="6" t="inlineStr">
        <is>
          <t>연결</t>
        </is>
      </c>
      <c r="D107" s="6" t="inlineStr">
        <is>
          <t>2026Q2</t>
        </is>
      </c>
      <c r="E107" s="6" t="inlineStr"/>
      <c r="F107" s="7" t="inlineStr"/>
      <c r="G107" s="8" t="inlineStr"/>
      <c r="H107" s="8" t="inlineStr"/>
      <c r="I107" s="9" t="n">
        <v>44160</v>
      </c>
      <c r="J107" s="10" t="n">
        <v>-280</v>
      </c>
      <c r="K107" s="10" t="n">
        <v>102</v>
      </c>
      <c r="L107" s="7" t="n">
        <v>44007</v>
      </c>
      <c r="M107" s="8" t="n">
        <v>1269</v>
      </c>
      <c r="N107" s="8" t="n">
        <v>3996</v>
      </c>
      <c r="O107" s="9" t="n">
        <v>44748</v>
      </c>
      <c r="P107" s="10" t="n">
        <v>-1042</v>
      </c>
      <c r="Q107" s="10" t="n">
        <v>1308</v>
      </c>
      <c r="R107" s="7" t="n">
        <v>43951</v>
      </c>
      <c r="S107" s="8" t="n">
        <v>711</v>
      </c>
      <c r="T107" s="8" t="n">
        <v>-2070</v>
      </c>
      <c r="U107" s="9" t="n">
        <v>46765</v>
      </c>
      <c r="V107" s="10" t="n">
        <v>524</v>
      </c>
      <c r="W107" s="10" t="n">
        <v>-132</v>
      </c>
      <c r="X107" s="7" t="n">
        <v>50540</v>
      </c>
      <c r="Y107" s="8" t="n">
        <v>1266</v>
      </c>
      <c r="Z107" s="8" t="n">
        <v>4215</v>
      </c>
      <c r="AA107" s="9" t="n">
        <v>53800</v>
      </c>
      <c r="AB107" s="10" t="n">
        <v>154</v>
      </c>
      <c r="AC107" s="10" t="n">
        <v>-1473</v>
      </c>
      <c r="AD107" s="7" t="n">
        <v>54566</v>
      </c>
      <c r="AE107" s="8" t="n">
        <v>-166</v>
      </c>
      <c r="AF107" s="8" t="n">
        <v>-4281</v>
      </c>
      <c r="AG107" s="9" t="n">
        <v>57640</v>
      </c>
      <c r="AH107" s="10" t="n">
        <v>208</v>
      </c>
      <c r="AI107" s="10" t="n">
        <v>-2464</v>
      </c>
      <c r="AJ107" s="11" t="n">
        <v>62729</v>
      </c>
      <c r="AK107" s="12" t="n">
        <v>1369</v>
      </c>
      <c r="AL107" s="12" t="n">
        <v>-6180</v>
      </c>
      <c r="AM107" s="13" t="n">
        <v>8.800000000000001</v>
      </c>
      <c r="AN107" s="13" t="n">
        <v>24.1</v>
      </c>
      <c r="AO107" s="13" t="n">
        <v>558.2</v>
      </c>
      <c r="AP107" s="13" t="n">
        <v>8.1</v>
      </c>
    </row>
    <row r="108">
      <c r="A108" s="5" t="inlineStr">
        <is>
          <t>삼화콘덴서공업</t>
        </is>
      </c>
      <c r="B108" s="6" t="inlineStr">
        <is>
          <t>001820</t>
        </is>
      </c>
      <c r="C108" s="6" t="inlineStr">
        <is>
          <t>연결</t>
        </is>
      </c>
      <c r="D108" s="6" t="inlineStr">
        <is>
          <t>2026Q2</t>
        </is>
      </c>
      <c r="E108" s="6" t="inlineStr"/>
      <c r="F108" s="7" t="inlineStr"/>
      <c r="G108" s="8" t="inlineStr"/>
      <c r="H108" s="8" t="inlineStr"/>
      <c r="I108" s="9" t="n">
        <v>73630</v>
      </c>
      <c r="J108" s="10" t="n">
        <v>7120</v>
      </c>
      <c r="K108" s="10" t="n">
        <v>7541</v>
      </c>
      <c r="L108" s="7" t="n">
        <v>76501</v>
      </c>
      <c r="M108" s="8" t="n">
        <v>7651</v>
      </c>
      <c r="N108" s="8" t="n">
        <v>7724</v>
      </c>
      <c r="O108" s="9" t="n">
        <v>74935</v>
      </c>
      <c r="P108" s="10" t="n">
        <v>4870</v>
      </c>
      <c r="Q108" s="10" t="n">
        <v>2373</v>
      </c>
      <c r="R108" s="7" t="n">
        <v>70346</v>
      </c>
      <c r="S108" s="8" t="n">
        <v>-1799</v>
      </c>
      <c r="T108" s="8" t="n">
        <v>4401</v>
      </c>
      <c r="U108" s="9" t="n">
        <v>72426</v>
      </c>
      <c r="V108" s="10" t="n">
        <v>4815</v>
      </c>
      <c r="W108" s="10" t="n">
        <v>4051</v>
      </c>
      <c r="X108" s="7" t="n">
        <v>78773</v>
      </c>
      <c r="Y108" s="8" t="n">
        <v>5568</v>
      </c>
      <c r="Z108" s="8" t="n">
        <v>2841</v>
      </c>
      <c r="AA108" s="9" t="n">
        <v>72506</v>
      </c>
      <c r="AB108" s="10" t="n">
        <v>2657</v>
      </c>
      <c r="AC108" s="10" t="n">
        <v>4069</v>
      </c>
      <c r="AD108" s="7" t="n">
        <v>70787</v>
      </c>
      <c r="AE108" s="8" t="n">
        <v>-174</v>
      </c>
      <c r="AF108" s="8" t="n">
        <v>1647</v>
      </c>
      <c r="AG108" s="9" t="n">
        <v>72853</v>
      </c>
      <c r="AH108" s="10" t="n">
        <v>4697</v>
      </c>
      <c r="AI108" s="10" t="n">
        <v>5250</v>
      </c>
      <c r="AJ108" s="11" t="n">
        <v>82847</v>
      </c>
      <c r="AK108" s="12" t="n">
        <v>8638</v>
      </c>
      <c r="AL108" s="12" t="n">
        <v>8320</v>
      </c>
      <c r="AM108" s="13" t="n">
        <v>13.7</v>
      </c>
      <c r="AN108" s="13" t="n">
        <v>5.2</v>
      </c>
      <c r="AO108" s="13" t="n">
        <v>83.90000000000001</v>
      </c>
      <c r="AP108" s="13" t="n">
        <v>55.1</v>
      </c>
    </row>
    <row r="109">
      <c r="A109" s="5" t="inlineStr">
        <is>
          <t>이화공영</t>
        </is>
      </c>
      <c r="B109" s="6" t="inlineStr">
        <is>
          <t>001840</t>
        </is>
      </c>
      <c r="C109" s="6" t="inlineStr">
        <is>
          <t>별도</t>
        </is>
      </c>
      <c r="D109" s="6" t="inlineStr">
        <is>
          <t>2026Q2</t>
        </is>
      </c>
      <c r="E109" s="6" t="inlineStr"/>
      <c r="F109" s="7" t="inlineStr"/>
      <c r="G109" s="8" t="inlineStr"/>
      <c r="H109" s="8" t="inlineStr"/>
      <c r="I109" s="9" t="n">
        <v>40909</v>
      </c>
      <c r="J109" s="10" t="n">
        <v>-2261</v>
      </c>
      <c r="K109" s="10" t="n">
        <v>-1432</v>
      </c>
      <c r="L109" s="7" t="n">
        <v>36853</v>
      </c>
      <c r="M109" s="8" t="n">
        <v>85</v>
      </c>
      <c r="N109" s="8" t="n">
        <v>66</v>
      </c>
      <c r="O109" s="9" t="n">
        <v>21554</v>
      </c>
      <c r="P109" s="10" t="n">
        <v>-7539</v>
      </c>
      <c r="Q109" s="10" t="n">
        <v>-7706</v>
      </c>
      <c r="R109" s="7" t="n">
        <v>28969</v>
      </c>
      <c r="S109" s="8" t="n">
        <v>-10058</v>
      </c>
      <c r="T109" s="8" t="n">
        <v>-14026</v>
      </c>
      <c r="U109" s="9" t="n">
        <v>20555</v>
      </c>
      <c r="V109" s="10" t="n">
        <v>-846</v>
      </c>
      <c r="W109" s="10" t="n">
        <v>-1106</v>
      </c>
      <c r="X109" s="7" t="n">
        <v>33947</v>
      </c>
      <c r="Y109" s="8" t="n">
        <v>2625</v>
      </c>
      <c r="Z109" s="8" t="n">
        <v>2671</v>
      </c>
      <c r="AA109" s="9" t="n">
        <v>29432</v>
      </c>
      <c r="AB109" s="10" t="n">
        <v>207</v>
      </c>
      <c r="AC109" s="10" t="n">
        <v>-331</v>
      </c>
      <c r="AD109" s="7" t="n">
        <v>31257</v>
      </c>
      <c r="AE109" s="8" t="n">
        <v>1304</v>
      </c>
      <c r="AF109" s="8" t="n">
        <v>893</v>
      </c>
      <c r="AG109" s="9" t="n">
        <v>13235</v>
      </c>
      <c r="AH109" s="10" t="n">
        <v>-858</v>
      </c>
      <c r="AI109" s="10" t="n">
        <v>-131</v>
      </c>
      <c r="AJ109" s="11" t="n">
        <v>10369</v>
      </c>
      <c r="AK109" s="12" t="n">
        <v>-1129</v>
      </c>
      <c r="AL109" s="12" t="n">
        <v>-1280</v>
      </c>
      <c r="AM109" s="13" t="n">
        <v>-21.7</v>
      </c>
      <c r="AN109" s="13" t="n">
        <v>-69.5</v>
      </c>
      <c r="AO109" s="13" t="n">
        <v>-31.6</v>
      </c>
      <c r="AP109" s="13" t="n">
        <v>-143</v>
      </c>
    </row>
    <row r="110">
      <c r="A110" s="5" t="inlineStr">
        <is>
          <t>KISCO홀딩스</t>
        </is>
      </c>
      <c r="B110" s="6" t="inlineStr">
        <is>
          <t>001940</t>
        </is>
      </c>
      <c r="C110" s="6" t="inlineStr">
        <is>
          <t>연결</t>
        </is>
      </c>
      <c r="D110" s="6" t="inlineStr">
        <is>
          <t>2026Q2</t>
        </is>
      </c>
      <c r="E110" s="6" t="inlineStr"/>
      <c r="F110" s="7" t="inlineStr"/>
      <c r="G110" s="8" t="inlineStr"/>
      <c r="H110" s="8" t="inlineStr"/>
      <c r="I110" s="9" t="n">
        <v>258124</v>
      </c>
      <c r="J110" s="10" t="n">
        <v>2544</v>
      </c>
      <c r="K110" s="10" t="n">
        <v>12188</v>
      </c>
      <c r="L110" s="7" t="n">
        <v>280559</v>
      </c>
      <c r="M110" s="8" t="n">
        <v>701</v>
      </c>
      <c r="N110" s="8" t="n">
        <v>11423</v>
      </c>
      <c r="O110" s="9" t="n">
        <v>238537</v>
      </c>
      <c r="P110" s="10" t="n">
        <v>1252</v>
      </c>
      <c r="Q110" s="10" t="n">
        <v>9587</v>
      </c>
      <c r="R110" s="7" t="n">
        <v>235958</v>
      </c>
      <c r="S110" s="8" t="n">
        <v>-8125</v>
      </c>
      <c r="T110" s="8" t="n">
        <v>12116</v>
      </c>
      <c r="U110" s="9" t="n">
        <v>190603</v>
      </c>
      <c r="V110" s="10" t="n">
        <v>-19648</v>
      </c>
      <c r="W110" s="10" t="n">
        <v>-6607</v>
      </c>
      <c r="X110" s="7" t="n">
        <v>211590</v>
      </c>
      <c r="Y110" s="8" t="n">
        <v>-2647</v>
      </c>
      <c r="Z110" s="8" t="n">
        <v>-1207</v>
      </c>
      <c r="AA110" s="9" t="n">
        <v>203805</v>
      </c>
      <c r="AB110" s="10" t="n">
        <v>-19516</v>
      </c>
      <c r="AC110" s="10" t="n">
        <v>-8326</v>
      </c>
      <c r="AD110" s="7" t="n">
        <v>219263</v>
      </c>
      <c r="AE110" s="8" t="n">
        <v>-28936</v>
      </c>
      <c r="AF110" s="8" t="n">
        <v>-7054</v>
      </c>
      <c r="AG110" s="9" t="n">
        <v>203043</v>
      </c>
      <c r="AH110" s="10" t="n">
        <v>-17287</v>
      </c>
      <c r="AI110" s="10" t="n">
        <v>-14287</v>
      </c>
      <c r="AJ110" s="11" t="n">
        <v>273292</v>
      </c>
      <c r="AK110" s="12" t="n">
        <v>-6841</v>
      </c>
      <c r="AL110" s="12" t="n">
        <v>908</v>
      </c>
      <c r="AM110" s="13" t="n">
        <v>34.6</v>
      </c>
      <c r="AN110" s="13" t="n">
        <v>29.2</v>
      </c>
      <c r="AO110" s="13" t="n">
        <v>60.4</v>
      </c>
      <c r="AP110" s="13" t="n">
        <v>-158.4</v>
      </c>
    </row>
    <row r="111">
      <c r="A111" s="5" t="inlineStr">
        <is>
          <t>코오롱</t>
        </is>
      </c>
      <c r="B111" s="6" t="inlineStr">
        <is>
          <t>002020</t>
        </is>
      </c>
      <c r="C111" s="6" t="inlineStr">
        <is>
          <t>연결</t>
        </is>
      </c>
      <c r="D111" s="6" t="inlineStr">
        <is>
          <t>2026Q2</t>
        </is>
      </c>
      <c r="E111" s="6" t="inlineStr"/>
      <c r="F111" s="7" t="inlineStr"/>
      <c r="G111" s="8" t="inlineStr"/>
      <c r="H111" s="8" t="inlineStr"/>
      <c r="I111" s="9" t="n">
        <v>1396998</v>
      </c>
      <c r="J111" s="10" t="n">
        <v>24344</v>
      </c>
      <c r="K111" s="10" t="n">
        <v>-6191</v>
      </c>
      <c r="L111" s="7" t="n">
        <v>1552591</v>
      </c>
      <c r="M111" s="8" t="n">
        <v>17454</v>
      </c>
      <c r="N111" s="8" t="n">
        <v>252440</v>
      </c>
      <c r="O111" s="9" t="n">
        <v>1535594</v>
      </c>
      <c r="P111" s="10" t="n">
        <v>-16554</v>
      </c>
      <c r="Q111" s="10" t="n">
        <v>-55163</v>
      </c>
      <c r="R111" s="7" t="n">
        <v>1543181</v>
      </c>
      <c r="S111" s="8" t="n">
        <v>-114797</v>
      </c>
      <c r="T111" s="8" t="n">
        <v>-33459</v>
      </c>
      <c r="U111" s="9" t="n">
        <v>1448148</v>
      </c>
      <c r="V111" s="10" t="n">
        <v>39652</v>
      </c>
      <c r="W111" s="10" t="n">
        <v>-28871</v>
      </c>
      <c r="X111" s="7" t="n">
        <v>1503801</v>
      </c>
      <c r="Y111" s="8" t="n">
        <v>43510</v>
      </c>
      <c r="Z111" s="8" t="n">
        <v>-73935</v>
      </c>
      <c r="AA111" s="9" t="n">
        <v>1439940</v>
      </c>
      <c r="AB111" s="10" t="n">
        <v>67570</v>
      </c>
      <c r="AC111" s="10" t="n">
        <v>6474</v>
      </c>
      <c r="AD111" s="7" t="n">
        <v>1494244</v>
      </c>
      <c r="AE111" s="8" t="n">
        <v>-90231</v>
      </c>
      <c r="AF111" s="8" t="n">
        <v>-200274</v>
      </c>
      <c r="AG111" s="9" t="n">
        <v>1518775</v>
      </c>
      <c r="AH111" s="10" t="n">
        <v>98778</v>
      </c>
      <c r="AI111" s="10" t="n">
        <v>-44674</v>
      </c>
      <c r="AJ111" s="11" t="n">
        <v>1706697</v>
      </c>
      <c r="AK111" s="12" t="n">
        <v>99841</v>
      </c>
      <c r="AL111" s="12" t="n">
        <v>55380</v>
      </c>
      <c r="AM111" s="13" t="n">
        <v>12.4</v>
      </c>
      <c r="AN111" s="13" t="n">
        <v>13.5</v>
      </c>
      <c r="AO111" s="13" t="n">
        <v>1.1</v>
      </c>
      <c r="AP111" s="13" t="n">
        <v>129.5</v>
      </c>
    </row>
    <row r="112">
      <c r="A112" s="5" t="inlineStr">
        <is>
          <t>아세아</t>
        </is>
      </c>
      <c r="B112" s="6" t="inlineStr">
        <is>
          <t>002030</t>
        </is>
      </c>
      <c r="C112" s="6" t="inlineStr">
        <is>
          <t>연결</t>
        </is>
      </c>
      <c r="D112" s="6" t="inlineStr">
        <is>
          <t>2026Q2</t>
        </is>
      </c>
      <c r="E112" s="6" t="inlineStr"/>
      <c r="F112" s="7" t="inlineStr"/>
      <c r="G112" s="8" t="inlineStr"/>
      <c r="H112" s="8" t="inlineStr"/>
      <c r="I112" s="9" t="n">
        <v>482443</v>
      </c>
      <c r="J112" s="10" t="n">
        <v>48975</v>
      </c>
      <c r="K112" s="10" t="n">
        <v>32342</v>
      </c>
      <c r="L112" s="7" t="n">
        <v>535721</v>
      </c>
      <c r="M112" s="8" t="n">
        <v>66919</v>
      </c>
      <c r="N112" s="8" t="n">
        <v>46059</v>
      </c>
      <c r="O112" s="9" t="n">
        <v>473184</v>
      </c>
      <c r="P112" s="10" t="n">
        <v>36852</v>
      </c>
      <c r="Q112" s="10" t="n">
        <v>24061</v>
      </c>
      <c r="R112" s="7" t="n">
        <v>516075</v>
      </c>
      <c r="S112" s="8" t="n">
        <v>19676</v>
      </c>
      <c r="T112" s="8" t="n">
        <v>5981</v>
      </c>
      <c r="U112" s="9" t="n">
        <v>433122</v>
      </c>
      <c r="V112" s="10" t="n">
        <v>25597</v>
      </c>
      <c r="W112" s="10" t="n">
        <v>14973</v>
      </c>
      <c r="X112" s="7" t="n">
        <v>502250</v>
      </c>
      <c r="Y112" s="8" t="n">
        <v>51054</v>
      </c>
      <c r="Z112" s="8" t="n">
        <v>33932</v>
      </c>
      <c r="AA112" s="9" t="n">
        <v>459918</v>
      </c>
      <c r="AB112" s="10" t="n">
        <v>26642</v>
      </c>
      <c r="AC112" s="10" t="n">
        <v>15446</v>
      </c>
      <c r="AD112" s="7" t="n">
        <v>489175</v>
      </c>
      <c r="AE112" s="8" t="n">
        <v>7737</v>
      </c>
      <c r="AF112" s="8" t="n">
        <v>-13075</v>
      </c>
      <c r="AG112" s="9" t="n">
        <v>459409</v>
      </c>
      <c r="AH112" s="10" t="n">
        <v>23713</v>
      </c>
      <c r="AI112" s="10" t="n">
        <v>16711</v>
      </c>
      <c r="AJ112" s="11" t="n">
        <v>508745</v>
      </c>
      <c r="AK112" s="12" t="n">
        <v>36404</v>
      </c>
      <c r="AL112" s="12" t="n">
        <v>25661</v>
      </c>
      <c r="AM112" s="13" t="n">
        <v>10.7</v>
      </c>
      <c r="AN112" s="13" t="n">
        <v>1.3</v>
      </c>
      <c r="AO112" s="13" t="n">
        <v>53.5</v>
      </c>
      <c r="AP112" s="13" t="n">
        <v>-28.7</v>
      </c>
    </row>
    <row r="113">
      <c r="A113" s="5" t="inlineStr">
        <is>
          <t>비비안</t>
        </is>
      </c>
      <c r="B113" s="6" t="inlineStr">
        <is>
          <t>002070</t>
        </is>
      </c>
      <c r="C113" s="6" t="inlineStr">
        <is>
          <t>연결</t>
        </is>
      </c>
      <c r="D113" s="6" t="inlineStr">
        <is>
          <t>2026Q2</t>
        </is>
      </c>
      <c r="E113" s="6" t="inlineStr"/>
      <c r="F113" s="7" t="inlineStr"/>
      <c r="G113" s="8" t="inlineStr"/>
      <c r="H113" s="8" t="inlineStr"/>
      <c r="I113" s="9" t="n">
        <v>50920</v>
      </c>
      <c r="J113" s="10" t="n">
        <v>-327</v>
      </c>
      <c r="K113" s="10" t="n">
        <v>-1598</v>
      </c>
      <c r="L113" s="7" t="n">
        <v>74042</v>
      </c>
      <c r="M113" s="8" t="n">
        <v>3347</v>
      </c>
      <c r="N113" s="8" t="n">
        <v>1535</v>
      </c>
      <c r="O113" s="9" t="n">
        <v>55356</v>
      </c>
      <c r="P113" s="10" t="n">
        <v>1446</v>
      </c>
      <c r="Q113" s="10" t="n">
        <v>8502</v>
      </c>
      <c r="R113" s="7" t="n">
        <v>54903</v>
      </c>
      <c r="S113" s="8" t="n">
        <v>-2785</v>
      </c>
      <c r="T113" s="8" t="n">
        <v>-12248</v>
      </c>
      <c r="U113" s="9" t="n">
        <v>57160</v>
      </c>
      <c r="V113" s="10" t="n">
        <v>1685</v>
      </c>
      <c r="W113" s="10" t="n">
        <v>-1960</v>
      </c>
      <c r="X113" s="7" t="n">
        <v>80498</v>
      </c>
      <c r="Y113" s="8" t="n">
        <v>2342</v>
      </c>
      <c r="Z113" s="8" t="n">
        <v>6503</v>
      </c>
      <c r="AA113" s="9" t="n">
        <v>56016</v>
      </c>
      <c r="AB113" s="10" t="n">
        <v>-2107</v>
      </c>
      <c r="AC113" s="10" t="n">
        <v>-4612</v>
      </c>
      <c r="AD113" s="7" t="n">
        <v>28771</v>
      </c>
      <c r="AE113" s="8" t="n">
        <v>-6924</v>
      </c>
      <c r="AF113" s="8" t="n">
        <v>-12536</v>
      </c>
      <c r="AG113" s="9" t="n">
        <v>49635</v>
      </c>
      <c r="AH113" s="10" t="n">
        <v>-2118</v>
      </c>
      <c r="AI113" s="10" t="n">
        <v>-4525</v>
      </c>
      <c r="AJ113" s="11" t="n">
        <v>69806</v>
      </c>
      <c r="AK113" s="12" t="n">
        <v>-523</v>
      </c>
      <c r="AL113" s="12" t="n">
        <v>-2831</v>
      </c>
      <c r="AM113" s="13" t="n">
        <v>40.6</v>
      </c>
      <c r="AN113" s="13" t="n">
        <v>-13.3</v>
      </c>
      <c r="AO113" s="13" t="n">
        <v>75.3</v>
      </c>
      <c r="AP113" s="13" t="n">
        <v>-122.3</v>
      </c>
    </row>
    <row r="114">
      <c r="A114" s="5" t="inlineStr">
        <is>
          <t>경농</t>
        </is>
      </c>
      <c r="B114" s="6" t="inlineStr">
        <is>
          <t>002100</t>
        </is>
      </c>
      <c r="C114" s="6" t="inlineStr">
        <is>
          <t>연결</t>
        </is>
      </c>
      <c r="D114" s="6" t="inlineStr">
        <is>
          <t>2026Q2</t>
        </is>
      </c>
      <c r="E114" s="6" t="inlineStr"/>
      <c r="F114" s="7" t="inlineStr"/>
      <c r="G114" s="8" t="inlineStr"/>
      <c r="H114" s="8" t="inlineStr"/>
      <c r="I114" s="9" t="n">
        <v>136725</v>
      </c>
      <c r="J114" s="10" t="n">
        <v>36670</v>
      </c>
      <c r="K114" s="10" t="n">
        <v>27666</v>
      </c>
      <c r="L114" s="7" t="n">
        <v>108191</v>
      </c>
      <c r="M114" s="8" t="n">
        <v>9348</v>
      </c>
      <c r="N114" s="8" t="n">
        <v>6895</v>
      </c>
      <c r="O114" s="9" t="n">
        <v>42828</v>
      </c>
      <c r="P114" s="10" t="n">
        <v>-1600</v>
      </c>
      <c r="Q114" s="10" t="n">
        <v>-1701</v>
      </c>
      <c r="R114" s="7" t="n">
        <v>37442</v>
      </c>
      <c r="S114" s="8" t="n">
        <v>-17698</v>
      </c>
      <c r="T114" s="8" t="n">
        <v>-15123</v>
      </c>
      <c r="U114" s="9" t="n">
        <v>136708</v>
      </c>
      <c r="V114" s="10" t="n">
        <v>33607</v>
      </c>
      <c r="W114" s="10" t="n">
        <v>26326</v>
      </c>
      <c r="X114" s="7" t="n">
        <v>114292</v>
      </c>
      <c r="Y114" s="8" t="n">
        <v>14482</v>
      </c>
      <c r="Z114" s="8" t="n">
        <v>11554</v>
      </c>
      <c r="AA114" s="9" t="n">
        <v>45470</v>
      </c>
      <c r="AB114" s="10" t="n">
        <v>-4390</v>
      </c>
      <c r="AC114" s="10" t="n">
        <v>-4563</v>
      </c>
      <c r="AD114" s="7" t="n">
        <v>42767</v>
      </c>
      <c r="AE114" s="8" t="n">
        <v>-15001</v>
      </c>
      <c r="AF114" s="8" t="n">
        <v>-13726</v>
      </c>
      <c r="AG114" s="9" t="n">
        <v>153466</v>
      </c>
      <c r="AH114" s="10" t="n">
        <v>32340</v>
      </c>
      <c r="AI114" s="10" t="n">
        <v>24589</v>
      </c>
      <c r="AJ114" s="11" t="n">
        <v>121953</v>
      </c>
      <c r="AK114" s="12" t="n">
        <v>13536</v>
      </c>
      <c r="AL114" s="12" t="n">
        <v>9906</v>
      </c>
      <c r="AM114" s="13" t="n">
        <v>-20.5</v>
      </c>
      <c r="AN114" s="13" t="n">
        <v>6.7</v>
      </c>
      <c r="AO114" s="13" t="n">
        <v>-58.1</v>
      </c>
      <c r="AP114" s="13" t="n">
        <v>-6.5</v>
      </c>
    </row>
    <row r="115">
      <c r="A115" s="5" t="inlineStr">
        <is>
          <t>고려산업</t>
        </is>
      </c>
      <c r="B115" s="6" t="inlineStr">
        <is>
          <t>002140</t>
        </is>
      </c>
      <c r="C115" s="6" t="inlineStr">
        <is>
          <t>연결</t>
        </is>
      </c>
      <c r="D115" s="6" t="inlineStr">
        <is>
          <t>2026Q2</t>
        </is>
      </c>
      <c r="E115" s="6" t="inlineStr"/>
      <c r="F115" s="7" t="inlineStr"/>
      <c r="G115" s="8" t="inlineStr"/>
      <c r="H115" s="8" t="inlineStr"/>
      <c r="I115" s="9" t="n">
        <v>79106</v>
      </c>
      <c r="J115" s="10" t="n">
        <v>2622</v>
      </c>
      <c r="K115" s="10" t="n">
        <v>582</v>
      </c>
      <c r="L115" s="7" t="n">
        <v>74660</v>
      </c>
      <c r="M115" s="8" t="n">
        <v>1639</v>
      </c>
      <c r="N115" s="8" t="n">
        <v>-523</v>
      </c>
      <c r="O115" s="9" t="n">
        <v>74151</v>
      </c>
      <c r="P115" s="10" t="n">
        <v>4201</v>
      </c>
      <c r="Q115" s="10" t="n">
        <v>3052</v>
      </c>
      <c r="R115" s="7" t="n">
        <v>79739</v>
      </c>
      <c r="S115" s="8" t="n">
        <v>5808</v>
      </c>
      <c r="T115" s="8" t="n">
        <v>782</v>
      </c>
      <c r="U115" s="9" t="n">
        <v>78425</v>
      </c>
      <c r="V115" s="10" t="n">
        <v>3610</v>
      </c>
      <c r="W115" s="10" t="n">
        <v>2444</v>
      </c>
      <c r="X115" s="7" t="n">
        <v>73672</v>
      </c>
      <c r="Y115" s="8" t="n">
        <v>3715</v>
      </c>
      <c r="Z115" s="8" t="n">
        <v>3093</v>
      </c>
      <c r="AA115" s="9" t="n">
        <v>72051</v>
      </c>
      <c r="AB115" s="10" t="n">
        <v>3766</v>
      </c>
      <c r="AC115" s="10" t="n">
        <v>2750</v>
      </c>
      <c r="AD115" s="7" t="n">
        <v>73174</v>
      </c>
      <c r="AE115" s="8" t="n">
        <v>2657</v>
      </c>
      <c r="AF115" s="8" t="n">
        <v>1385</v>
      </c>
      <c r="AG115" s="9" t="n">
        <v>75202</v>
      </c>
      <c r="AH115" s="10" t="n">
        <v>3274</v>
      </c>
      <c r="AI115" s="10" t="n">
        <v>667</v>
      </c>
      <c r="AJ115" s="11" t="n">
        <v>79478</v>
      </c>
      <c r="AK115" s="12" t="n">
        <v>3997</v>
      </c>
      <c r="AL115" s="12" t="n">
        <v>2742</v>
      </c>
      <c r="AM115" s="13" t="n">
        <v>5.7</v>
      </c>
      <c r="AN115" s="13" t="n">
        <v>7.9</v>
      </c>
      <c r="AO115" s="13" t="n">
        <v>22.1</v>
      </c>
      <c r="AP115" s="13" t="n">
        <v>7.6</v>
      </c>
    </row>
    <row r="116">
      <c r="A116" s="5" t="inlineStr">
        <is>
          <t>도화엔지니어링</t>
        </is>
      </c>
      <c r="B116" s="6" t="inlineStr">
        <is>
          <t>002150</t>
        </is>
      </c>
      <c r="C116" s="6" t="inlineStr">
        <is>
          <t>연결</t>
        </is>
      </c>
      <c r="D116" s="6" t="inlineStr">
        <is>
          <t>2026Q2</t>
        </is>
      </c>
      <c r="E116" s="6" t="inlineStr"/>
      <c r="F116" s="7" t="inlineStr"/>
      <c r="G116" s="8" t="inlineStr"/>
      <c r="H116" s="8" t="inlineStr"/>
      <c r="I116" s="9" t="n">
        <v>123981</v>
      </c>
      <c r="J116" s="10" t="n">
        <v>905</v>
      </c>
      <c r="K116" s="10" t="n">
        <v>2660</v>
      </c>
      <c r="L116" s="7" t="n">
        <v>151519</v>
      </c>
      <c r="M116" s="8" t="n">
        <v>6414</v>
      </c>
      <c r="N116" s="8" t="n">
        <v>5450</v>
      </c>
      <c r="O116" s="9" t="n">
        <v>130764</v>
      </c>
      <c r="P116" s="10" t="n">
        <v>-4134</v>
      </c>
      <c r="Q116" s="10" t="n">
        <v>-4254</v>
      </c>
      <c r="R116" s="7" t="n">
        <v>176523</v>
      </c>
      <c r="S116" s="8" t="n">
        <v>-16572</v>
      </c>
      <c r="T116" s="8" t="n">
        <v>-10204</v>
      </c>
      <c r="U116" s="9" t="n">
        <v>157508</v>
      </c>
      <c r="V116" s="10" t="n">
        <v>3474</v>
      </c>
      <c r="W116" s="10" t="n">
        <v>3791</v>
      </c>
      <c r="X116" s="7" t="n">
        <v>166874</v>
      </c>
      <c r="Y116" s="8" t="n">
        <v>4742</v>
      </c>
      <c r="Z116" s="8" t="n">
        <v>-3579</v>
      </c>
      <c r="AA116" s="9" t="n">
        <v>180718</v>
      </c>
      <c r="AB116" s="10" t="n">
        <v>7806</v>
      </c>
      <c r="AC116" s="10" t="n">
        <v>5334</v>
      </c>
      <c r="AD116" s="7" t="n">
        <v>193375</v>
      </c>
      <c r="AE116" s="8" t="n">
        <v>14095</v>
      </c>
      <c r="AF116" s="8" t="n">
        <v>776</v>
      </c>
      <c r="AG116" s="9" t="n">
        <v>155457</v>
      </c>
      <c r="AH116" s="10" t="n">
        <v>-2386</v>
      </c>
      <c r="AI116" s="10" t="n">
        <v>-2931</v>
      </c>
      <c r="AJ116" s="11" t="n">
        <v>169613</v>
      </c>
      <c r="AK116" s="12" t="n">
        <v>4491</v>
      </c>
      <c r="AL116" s="12" t="n">
        <v>3420</v>
      </c>
      <c r="AM116" s="13" t="n">
        <v>9.1</v>
      </c>
      <c r="AN116" s="13" t="n">
        <v>1.6</v>
      </c>
      <c r="AO116" s="13" t="n">
        <v>288.2</v>
      </c>
      <c r="AP116" s="13" t="n">
        <v>-5.3</v>
      </c>
    </row>
    <row r="117">
      <c r="A117" s="5" t="inlineStr">
        <is>
          <t>SYTS</t>
        </is>
      </c>
      <c r="B117" s="6" t="inlineStr">
        <is>
          <t>002170</t>
        </is>
      </c>
      <c r="C117" s="6" t="inlineStr">
        <is>
          <t>연결</t>
        </is>
      </c>
      <c r="D117" s="6" t="inlineStr">
        <is>
          <t>2026Q2</t>
        </is>
      </c>
      <c r="E117" s="6" t="inlineStr"/>
      <c r="F117" s="7" t="inlineStr"/>
      <c r="G117" s="8" t="inlineStr"/>
      <c r="H117" s="8" t="inlineStr"/>
      <c r="I117" s="9" t="n">
        <v>49013</v>
      </c>
      <c r="J117" s="10" t="n">
        <v>5368</v>
      </c>
      <c r="K117" s="10" t="n">
        <v>2003</v>
      </c>
      <c r="L117" s="7" t="n">
        <v>49721</v>
      </c>
      <c r="M117" s="8" t="n">
        <v>3970</v>
      </c>
      <c r="N117" s="8" t="n">
        <v>1218</v>
      </c>
      <c r="O117" s="9" t="n">
        <v>46288</v>
      </c>
      <c r="P117" s="10" t="n">
        <v>6112</v>
      </c>
      <c r="Q117" s="10" t="n">
        <v>10376</v>
      </c>
      <c r="R117" s="7" t="n">
        <v>46288</v>
      </c>
      <c r="S117" s="8" t="n">
        <v>4542</v>
      </c>
      <c r="T117" s="8" t="n">
        <v>-2589</v>
      </c>
      <c r="U117" s="9" t="n">
        <v>48406</v>
      </c>
      <c r="V117" s="10" t="n">
        <v>5012</v>
      </c>
      <c r="W117" s="10" t="n">
        <v>3209</v>
      </c>
      <c r="X117" s="7" t="n">
        <v>45899</v>
      </c>
      <c r="Y117" s="8" t="n">
        <v>4917</v>
      </c>
      <c r="Z117" s="8" t="n">
        <v>5203</v>
      </c>
      <c r="AA117" s="9" t="n">
        <v>40338</v>
      </c>
      <c r="AB117" s="10" t="n">
        <v>4039</v>
      </c>
      <c r="AC117" s="10" t="n">
        <v>7454</v>
      </c>
      <c r="AD117" s="7" t="n">
        <v>40042</v>
      </c>
      <c r="AE117" s="8" t="n">
        <v>4474</v>
      </c>
      <c r="AF117" s="8" t="n">
        <v>8085</v>
      </c>
      <c r="AG117" s="9" t="n">
        <v>41251</v>
      </c>
      <c r="AH117" s="10" t="n">
        <v>2149</v>
      </c>
      <c r="AI117" s="10" t="n">
        <v>3127</v>
      </c>
      <c r="AJ117" s="11" t="n">
        <v>35342</v>
      </c>
      <c r="AK117" s="12" t="n">
        <v>1613</v>
      </c>
      <c r="AL117" s="12" t="n">
        <v>6482</v>
      </c>
      <c r="AM117" s="13" t="n">
        <v>-14.3</v>
      </c>
      <c r="AN117" s="13" t="n">
        <v>-23</v>
      </c>
      <c r="AO117" s="13" t="n">
        <v>-24.9</v>
      </c>
      <c r="AP117" s="13" t="n">
        <v>-67.2</v>
      </c>
    </row>
    <row r="118">
      <c r="A118" s="5" t="inlineStr">
        <is>
          <t>한국수출포장공업</t>
        </is>
      </c>
      <c r="B118" s="6" t="inlineStr">
        <is>
          <t>002200</t>
        </is>
      </c>
      <c r="C118" s="6" t="inlineStr">
        <is>
          <t>연결</t>
        </is>
      </c>
      <c r="D118" s="6" t="inlineStr">
        <is>
          <t>2026Q2</t>
        </is>
      </c>
      <c r="E118" s="6" t="inlineStr"/>
      <c r="F118" s="7" t="inlineStr"/>
      <c r="G118" s="8" t="inlineStr"/>
      <c r="H118" s="8" t="inlineStr"/>
      <c r="I118" s="9" t="n">
        <v>73456</v>
      </c>
      <c r="J118" s="10" t="n">
        <v>3339</v>
      </c>
      <c r="K118" s="10" t="n">
        <v>3182</v>
      </c>
      <c r="L118" s="7" t="n">
        <v>76675</v>
      </c>
      <c r="M118" s="8" t="n">
        <v>3105</v>
      </c>
      <c r="N118" s="8" t="n">
        <v>4822</v>
      </c>
      <c r="O118" s="9" t="n">
        <v>75464</v>
      </c>
      <c r="P118" s="10" t="n">
        <v>-2907</v>
      </c>
      <c r="Q118" s="10" t="n">
        <v>-1563</v>
      </c>
      <c r="R118" s="7" t="n">
        <v>76166</v>
      </c>
      <c r="S118" s="8" t="n">
        <v>-4123</v>
      </c>
      <c r="T118" s="8" t="n">
        <v>-3046</v>
      </c>
      <c r="U118" s="9" t="n">
        <v>70952</v>
      </c>
      <c r="V118" s="10" t="n">
        <v>-829</v>
      </c>
      <c r="W118" s="10" t="n">
        <v>-180</v>
      </c>
      <c r="X118" s="7" t="n">
        <v>74714</v>
      </c>
      <c r="Y118" s="8" t="n">
        <v>465</v>
      </c>
      <c r="Z118" s="8" t="n">
        <v>1326</v>
      </c>
      <c r="AA118" s="9" t="n">
        <v>76336</v>
      </c>
      <c r="AB118" s="10" t="n">
        <v>-1047</v>
      </c>
      <c r="AC118" s="10" t="n">
        <v>-311</v>
      </c>
      <c r="AD118" s="7" t="n">
        <v>67598</v>
      </c>
      <c r="AE118" s="8" t="n">
        <v>-5146</v>
      </c>
      <c r="AF118" s="8" t="n">
        <v>-4715</v>
      </c>
      <c r="AG118" s="9" t="n">
        <v>69124</v>
      </c>
      <c r="AH118" s="10" t="n">
        <v>-7169</v>
      </c>
      <c r="AI118" s="10" t="n">
        <v>-5310</v>
      </c>
      <c r="AJ118" s="11" t="n">
        <v>77203</v>
      </c>
      <c r="AK118" s="12" t="n">
        <v>-9729</v>
      </c>
      <c r="AL118" s="12" t="n">
        <v>890</v>
      </c>
      <c r="AM118" s="13" t="n">
        <v>11.7</v>
      </c>
      <c r="AN118" s="13" t="n">
        <v>3.3</v>
      </c>
      <c r="AO118" s="13" t="n">
        <v>-35.7</v>
      </c>
      <c r="AP118" s="13" t="n">
        <v>-2192.3</v>
      </c>
    </row>
    <row r="119">
      <c r="A119" s="5" t="inlineStr">
        <is>
          <t>동성제약</t>
        </is>
      </c>
      <c r="B119" s="6" t="inlineStr">
        <is>
          <t>002210</t>
        </is>
      </c>
      <c r="C119" s="6" t="inlineStr">
        <is>
          <t>별도</t>
        </is>
      </c>
      <c r="D119" s="6" t="inlineStr">
        <is>
          <t>2026Q2</t>
        </is>
      </c>
      <c r="E119" s="6" t="inlineStr"/>
      <c r="F119" s="7" t="inlineStr"/>
      <c r="G119" s="8" t="inlineStr"/>
      <c r="H119" s="8" t="inlineStr"/>
      <c r="I119" s="9" t="n">
        <v>22710</v>
      </c>
      <c r="J119" s="10" t="n">
        <v>105</v>
      </c>
      <c r="K119" s="10" t="n">
        <v>-163</v>
      </c>
      <c r="L119" s="7" t="n">
        <v>21740</v>
      </c>
      <c r="M119" s="8" t="n">
        <v>-1991</v>
      </c>
      <c r="N119" s="8" t="n">
        <v>-1060</v>
      </c>
      <c r="O119" s="9" t="n">
        <v>21438</v>
      </c>
      <c r="P119" s="10" t="n">
        <v>-698</v>
      </c>
      <c r="Q119" s="10" t="n">
        <v>-1461</v>
      </c>
      <c r="R119" s="7" t="n">
        <v>22560</v>
      </c>
      <c r="S119" s="8" t="n">
        <v>-3148</v>
      </c>
      <c r="T119" s="8" t="n">
        <v>-11888</v>
      </c>
      <c r="U119" s="9" t="n">
        <v>26345</v>
      </c>
      <c r="V119" s="10" t="n">
        <v>743</v>
      </c>
      <c r="W119" s="10" t="n">
        <v>-1307</v>
      </c>
      <c r="X119" s="7" t="n">
        <v>19961</v>
      </c>
      <c r="Y119" s="8" t="n">
        <v>-4154</v>
      </c>
      <c r="Z119" s="8" t="n">
        <v>-18788</v>
      </c>
      <c r="AA119" s="9" t="n">
        <v>21803</v>
      </c>
      <c r="AB119" s="10" t="n">
        <v>411</v>
      </c>
      <c r="AC119" s="10" t="n">
        <v>112</v>
      </c>
      <c r="AD119" s="7" t="n">
        <v>19060</v>
      </c>
      <c r="AE119" s="8" t="n">
        <v>-7118</v>
      </c>
      <c r="AF119" s="8" t="n">
        <v>-5754</v>
      </c>
      <c r="AG119" s="9" t="n">
        <v>19124</v>
      </c>
      <c r="AH119" s="10" t="n">
        <v>289</v>
      </c>
      <c r="AI119" s="10" t="n">
        <v>14</v>
      </c>
      <c r="AJ119" s="11" t="n">
        <v>22085</v>
      </c>
      <c r="AK119" s="12" t="n">
        <v>-2035</v>
      </c>
      <c r="AL119" s="12" t="n">
        <v>-5894</v>
      </c>
      <c r="AM119" s="13" t="n">
        <v>15.5</v>
      </c>
      <c r="AN119" s="13" t="n">
        <v>10.6</v>
      </c>
      <c r="AO119" s="13" t="n">
        <v>-804.2</v>
      </c>
      <c r="AP119" s="13" t="n">
        <v>51</v>
      </c>
    </row>
    <row r="120">
      <c r="A120" s="5" t="inlineStr">
        <is>
          <t>한일철강</t>
        </is>
      </c>
      <c r="B120" s="6" t="inlineStr">
        <is>
          <t>002220</t>
        </is>
      </c>
      <c r="C120" s="6" t="inlineStr">
        <is>
          <t>연결</t>
        </is>
      </c>
      <c r="D120" s="6" t="inlineStr">
        <is>
          <t>2026Q2</t>
        </is>
      </c>
      <c r="E120" s="6" t="inlineStr"/>
      <c r="F120" s="7" t="inlineStr"/>
      <c r="G120" s="8" t="inlineStr"/>
      <c r="H120" s="8" t="inlineStr"/>
      <c r="I120" s="9" t="n">
        <v>49991</v>
      </c>
      <c r="J120" s="10" t="n">
        <v>382</v>
      </c>
      <c r="K120" s="10" t="n">
        <v>-2070</v>
      </c>
      <c r="L120" s="7" t="n">
        <v>55505</v>
      </c>
      <c r="M120" s="8" t="n">
        <v>444</v>
      </c>
      <c r="N120" s="8" t="n">
        <v>-1643</v>
      </c>
      <c r="O120" s="9" t="n">
        <v>44028</v>
      </c>
      <c r="P120" s="10" t="n">
        <v>-176</v>
      </c>
      <c r="Q120" s="10" t="n">
        <v>-603</v>
      </c>
      <c r="R120" s="7" t="n">
        <v>56318</v>
      </c>
      <c r="S120" s="8" t="n">
        <v>17</v>
      </c>
      <c r="T120" s="8" t="n">
        <v>-294</v>
      </c>
      <c r="U120" s="9" t="n">
        <v>49758</v>
      </c>
      <c r="V120" s="10" t="n">
        <v>189</v>
      </c>
      <c r="W120" s="10" t="n">
        <v>-141</v>
      </c>
      <c r="X120" s="7" t="n">
        <v>50110</v>
      </c>
      <c r="Y120" s="8" t="n">
        <v>1540</v>
      </c>
      <c r="Z120" s="8" t="n">
        <v>1841</v>
      </c>
      <c r="AA120" s="9" t="n">
        <v>50841</v>
      </c>
      <c r="AB120" s="10" t="n">
        <v>1424</v>
      </c>
      <c r="AC120" s="10" t="n">
        <v>-912</v>
      </c>
      <c r="AD120" s="7" t="n">
        <v>45695</v>
      </c>
      <c r="AE120" s="8" t="n">
        <v>26</v>
      </c>
      <c r="AF120" s="8" t="n">
        <v>-1224</v>
      </c>
      <c r="AG120" s="9" t="n">
        <v>61874</v>
      </c>
      <c r="AH120" s="10" t="n">
        <v>463</v>
      </c>
      <c r="AI120" s="10" t="n">
        <v>-1588</v>
      </c>
      <c r="AJ120" s="11" t="n">
        <v>61757</v>
      </c>
      <c r="AK120" s="12" t="n">
        <v>2856</v>
      </c>
      <c r="AL120" s="12" t="n">
        <v>1709</v>
      </c>
      <c r="AM120" s="13" t="n">
        <v>-0.2</v>
      </c>
      <c r="AN120" s="13" t="n">
        <v>23.2</v>
      </c>
      <c r="AO120" s="13" t="n">
        <v>516.8</v>
      </c>
      <c r="AP120" s="13" t="n">
        <v>85.5</v>
      </c>
    </row>
    <row r="121">
      <c r="A121" s="5" t="inlineStr">
        <is>
          <t>피에스텍</t>
        </is>
      </c>
      <c r="B121" s="6" t="inlineStr">
        <is>
          <t>002230</t>
        </is>
      </c>
      <c r="C121" s="6" t="inlineStr">
        <is>
          <t>연결</t>
        </is>
      </c>
      <c r="D121" s="6" t="inlineStr">
        <is>
          <t>2026Q2</t>
        </is>
      </c>
      <c r="E121" s="6" t="inlineStr"/>
      <c r="F121" s="7" t="inlineStr"/>
      <c r="G121" s="8" t="inlineStr"/>
      <c r="H121" s="8" t="inlineStr"/>
      <c r="I121" s="9" t="n">
        <v>17176</v>
      </c>
      <c r="J121" s="10" t="n">
        <v>520</v>
      </c>
      <c r="K121" s="10" t="n">
        <v>1922</v>
      </c>
      <c r="L121" s="7" t="n">
        <v>23372</v>
      </c>
      <c r="M121" s="8" t="n">
        <v>1735</v>
      </c>
      <c r="N121" s="8" t="n">
        <v>252</v>
      </c>
      <c r="O121" s="9" t="n">
        <v>18078</v>
      </c>
      <c r="P121" s="10" t="n">
        <v>997</v>
      </c>
      <c r="Q121" s="10" t="n">
        <v>-282</v>
      </c>
      <c r="R121" s="7" t="n">
        <v>21959</v>
      </c>
      <c r="S121" s="8" t="n">
        <v>178</v>
      </c>
      <c r="T121" s="8" t="n">
        <v>3744</v>
      </c>
      <c r="U121" s="9" t="n">
        <v>25745</v>
      </c>
      <c r="V121" s="10" t="n">
        <v>1752</v>
      </c>
      <c r="W121" s="10" t="n">
        <v>897</v>
      </c>
      <c r="X121" s="7" t="n">
        <v>29997</v>
      </c>
      <c r="Y121" s="8" t="n">
        <v>1650</v>
      </c>
      <c r="Z121" s="8" t="n">
        <v>3668</v>
      </c>
      <c r="AA121" s="9" t="n">
        <v>22696</v>
      </c>
      <c r="AB121" s="10" t="n">
        <v>645</v>
      </c>
      <c r="AC121" s="10" t="n">
        <v>2030</v>
      </c>
      <c r="AD121" s="7" t="n">
        <v>18722</v>
      </c>
      <c r="AE121" s="8" t="n">
        <v>1234</v>
      </c>
      <c r="AF121" s="8" t="n">
        <v>2538</v>
      </c>
      <c r="AG121" s="9" t="n">
        <v>17581</v>
      </c>
      <c r="AH121" s="10" t="n">
        <v>413</v>
      </c>
      <c r="AI121" s="10" t="n">
        <v>6949</v>
      </c>
      <c r="AJ121" s="11" t="n">
        <v>23334</v>
      </c>
      <c r="AK121" s="12" t="n">
        <v>1451</v>
      </c>
      <c r="AL121" s="12" t="n">
        <v>8775</v>
      </c>
      <c r="AM121" s="13" t="n">
        <v>32.7</v>
      </c>
      <c r="AN121" s="13" t="n">
        <v>-22.2</v>
      </c>
      <c r="AO121" s="13" t="n">
        <v>251.3</v>
      </c>
      <c r="AP121" s="13" t="n">
        <v>-12.1</v>
      </c>
    </row>
    <row r="122">
      <c r="A122" s="5" t="inlineStr">
        <is>
          <t>고려제강</t>
        </is>
      </c>
      <c r="B122" s="6" t="inlineStr">
        <is>
          <t>002240</t>
        </is>
      </c>
      <c r="C122" s="6" t="inlineStr">
        <is>
          <t>연결</t>
        </is>
      </c>
      <c r="D122" s="6" t="inlineStr">
        <is>
          <t>2026Q2</t>
        </is>
      </c>
      <c r="E122" s="6" t="inlineStr"/>
      <c r="F122" s="7" t="inlineStr"/>
      <c r="G122" s="8" t="inlineStr"/>
      <c r="H122" s="8" t="inlineStr"/>
      <c r="I122" s="9" t="n">
        <v>434110</v>
      </c>
      <c r="J122" s="10" t="n">
        <v>16248</v>
      </c>
      <c r="K122" s="10" t="n">
        <v>25998</v>
      </c>
      <c r="L122" s="7" t="n">
        <v>449168</v>
      </c>
      <c r="M122" s="8" t="n">
        <v>9001</v>
      </c>
      <c r="N122" s="8" t="n">
        <v>11631</v>
      </c>
      <c r="O122" s="9" t="n">
        <v>425078</v>
      </c>
      <c r="P122" s="10" t="n">
        <v>-5305</v>
      </c>
      <c r="Q122" s="10" t="n">
        <v>-21487</v>
      </c>
      <c r="R122" s="7" t="n">
        <v>431253</v>
      </c>
      <c r="S122" s="8" t="n">
        <v>6163</v>
      </c>
      <c r="T122" s="8" t="n">
        <v>16773</v>
      </c>
      <c r="U122" s="9" t="n">
        <v>442692</v>
      </c>
      <c r="V122" s="10" t="n">
        <v>8268</v>
      </c>
      <c r="W122" s="10" t="n">
        <v>6064</v>
      </c>
      <c r="X122" s="7" t="n">
        <v>475532</v>
      </c>
      <c r="Y122" s="8" t="n">
        <v>20392</v>
      </c>
      <c r="Z122" s="8" t="n">
        <v>5143</v>
      </c>
      <c r="AA122" s="9" t="n">
        <v>441516</v>
      </c>
      <c r="AB122" s="10" t="n">
        <v>11192</v>
      </c>
      <c r="AC122" s="10" t="n">
        <v>21414</v>
      </c>
      <c r="AD122" s="7" t="n">
        <v>449443</v>
      </c>
      <c r="AE122" s="8" t="n">
        <v>871</v>
      </c>
      <c r="AF122" s="8" t="n">
        <v>-28018</v>
      </c>
      <c r="AG122" s="9" t="n">
        <v>432710</v>
      </c>
      <c r="AH122" s="10" t="n">
        <v>7045</v>
      </c>
      <c r="AI122" s="10" t="n">
        <v>20961</v>
      </c>
      <c r="AJ122" s="11" t="n">
        <v>483130</v>
      </c>
      <c r="AK122" s="12" t="n">
        <v>5338</v>
      </c>
      <c r="AL122" s="12" t="n">
        <v>26734</v>
      </c>
      <c r="AM122" s="13" t="n">
        <v>11.7</v>
      </c>
      <c r="AN122" s="13" t="n">
        <v>1.6</v>
      </c>
      <c r="AO122" s="13" t="n">
        <v>-24.2</v>
      </c>
      <c r="AP122" s="13" t="n">
        <v>-73.8</v>
      </c>
    </row>
    <row r="123">
      <c r="A123" s="5" t="inlineStr">
        <is>
          <t>삼일기업공사</t>
        </is>
      </c>
      <c r="B123" s="6" t="inlineStr">
        <is>
          <t>002290</t>
        </is>
      </c>
      <c r="C123" s="6" t="inlineStr">
        <is>
          <t>별도</t>
        </is>
      </c>
      <c r="D123" s="6" t="inlineStr">
        <is>
          <t>2026Q2</t>
        </is>
      </c>
      <c r="E123" s="6" t="inlineStr"/>
      <c r="F123" s="7" t="inlineStr"/>
      <c r="G123" s="8" t="inlineStr"/>
      <c r="H123" s="8" t="inlineStr"/>
      <c r="I123" s="9" t="n">
        <v>17136</v>
      </c>
      <c r="J123" s="10" t="n">
        <v>733</v>
      </c>
      <c r="K123" s="10" t="n">
        <v>834</v>
      </c>
      <c r="L123" s="7" t="n">
        <v>25578</v>
      </c>
      <c r="M123" s="8" t="n">
        <v>417</v>
      </c>
      <c r="N123" s="8" t="n">
        <v>522</v>
      </c>
      <c r="O123" s="9" t="n">
        <v>32932</v>
      </c>
      <c r="P123" s="10" t="n">
        <v>2069</v>
      </c>
      <c r="Q123" s="10" t="n">
        <v>2058</v>
      </c>
      <c r="R123" s="7" t="n">
        <v>37004</v>
      </c>
      <c r="S123" s="8" t="n">
        <v>2434</v>
      </c>
      <c r="T123" s="8" t="n">
        <v>2430</v>
      </c>
      <c r="U123" s="9" t="n">
        <v>21672</v>
      </c>
      <c r="V123" s="10" t="n">
        <v>2254</v>
      </c>
      <c r="W123" s="10" t="n">
        <v>1859</v>
      </c>
      <c r="X123" s="7" t="n">
        <v>19822</v>
      </c>
      <c r="Y123" s="8" t="n">
        <v>1948</v>
      </c>
      <c r="Z123" s="8" t="n">
        <v>1952</v>
      </c>
      <c r="AA123" s="9" t="n">
        <v>17498</v>
      </c>
      <c r="AB123" s="10" t="n">
        <v>1883</v>
      </c>
      <c r="AC123" s="10" t="n">
        <v>1770</v>
      </c>
      <c r="AD123" s="7" t="n">
        <v>26185</v>
      </c>
      <c r="AE123" s="8" t="n">
        <v>1309</v>
      </c>
      <c r="AF123" s="8" t="n">
        <v>1257</v>
      </c>
      <c r="AG123" s="9" t="n">
        <v>20135</v>
      </c>
      <c r="AH123" s="10" t="n">
        <v>1516</v>
      </c>
      <c r="AI123" s="10" t="n">
        <v>1671</v>
      </c>
      <c r="AJ123" s="11" t="n">
        <v>38327</v>
      </c>
      <c r="AK123" s="12" t="n">
        <v>1149</v>
      </c>
      <c r="AL123" s="12" t="n">
        <v>1240</v>
      </c>
      <c r="AM123" s="13" t="n">
        <v>90.40000000000001</v>
      </c>
      <c r="AN123" s="13" t="n">
        <v>93.40000000000001</v>
      </c>
      <c r="AO123" s="13" t="n">
        <v>-24.2</v>
      </c>
      <c r="AP123" s="13" t="n">
        <v>-41</v>
      </c>
    </row>
    <row r="124">
      <c r="A124" s="5" t="inlineStr">
        <is>
          <t>아세아제지</t>
        </is>
      </c>
      <c r="B124" s="6" t="inlineStr">
        <is>
          <t>002310</t>
        </is>
      </c>
      <c r="C124" s="6" t="inlineStr">
        <is>
          <t>연결</t>
        </is>
      </c>
      <c r="D124" s="6" t="inlineStr">
        <is>
          <t>2026Q2</t>
        </is>
      </c>
      <c r="E124" s="6" t="inlineStr"/>
      <c r="F124" s="7" t="inlineStr"/>
      <c r="G124" s="8" t="inlineStr"/>
      <c r="H124" s="8" t="inlineStr"/>
      <c r="I124" s="9" t="n">
        <v>218131</v>
      </c>
      <c r="J124" s="10" t="n">
        <v>14497</v>
      </c>
      <c r="K124" s="10" t="n">
        <v>13585</v>
      </c>
      <c r="L124" s="7" t="n">
        <v>227720</v>
      </c>
      <c r="M124" s="8" t="n">
        <v>9620</v>
      </c>
      <c r="N124" s="8" t="n">
        <v>9825</v>
      </c>
      <c r="O124" s="9" t="n">
        <v>225707</v>
      </c>
      <c r="P124" s="10" t="n">
        <v>6854</v>
      </c>
      <c r="Q124" s="10" t="n">
        <v>6198</v>
      </c>
      <c r="R124" s="7" t="n">
        <v>219507</v>
      </c>
      <c r="S124" s="8" t="n">
        <v>-4405</v>
      </c>
      <c r="T124" s="8" t="n">
        <v>-5666</v>
      </c>
      <c r="U124" s="9" t="n">
        <v>211065</v>
      </c>
      <c r="V124" s="10" t="n">
        <v>13252</v>
      </c>
      <c r="W124" s="10" t="n">
        <v>11999</v>
      </c>
      <c r="X124" s="7" t="n">
        <v>216238</v>
      </c>
      <c r="Y124" s="8" t="n">
        <v>10011</v>
      </c>
      <c r="Z124" s="8" t="n">
        <v>9887</v>
      </c>
      <c r="AA124" s="9" t="n">
        <v>214439</v>
      </c>
      <c r="AB124" s="10" t="n">
        <v>4763</v>
      </c>
      <c r="AC124" s="10" t="n">
        <v>4329</v>
      </c>
      <c r="AD124" s="7" t="n">
        <v>213384</v>
      </c>
      <c r="AE124" s="8" t="n">
        <v>-810</v>
      </c>
      <c r="AF124" s="8" t="n">
        <v>3395</v>
      </c>
      <c r="AG124" s="9" t="n">
        <v>217135</v>
      </c>
      <c r="AH124" s="10" t="n">
        <v>10040</v>
      </c>
      <c r="AI124" s="10" t="n">
        <v>8076</v>
      </c>
      <c r="AJ124" s="11" t="n">
        <v>229486</v>
      </c>
      <c r="AK124" s="12" t="n">
        <v>12443</v>
      </c>
      <c r="AL124" s="12" t="n">
        <v>11362</v>
      </c>
      <c r="AM124" s="13" t="n">
        <v>5.7</v>
      </c>
      <c r="AN124" s="13" t="n">
        <v>6.1</v>
      </c>
      <c r="AO124" s="13" t="n">
        <v>23.9</v>
      </c>
      <c r="AP124" s="13" t="n">
        <v>24.3</v>
      </c>
    </row>
    <row r="125">
      <c r="A125" s="5" t="inlineStr">
        <is>
          <t>한진</t>
        </is>
      </c>
      <c r="B125" s="6" t="inlineStr">
        <is>
          <t>002320</t>
        </is>
      </c>
      <c r="C125" s="6" t="inlineStr">
        <is>
          <t>연결</t>
        </is>
      </c>
      <c r="D125" s="6" t="inlineStr">
        <is>
          <t>2026Q2</t>
        </is>
      </c>
      <c r="E125" s="6" t="inlineStr">
        <is>
          <t>2023Q4</t>
        </is>
      </c>
      <c r="F125" s="14" t="n">
        <v>748700</v>
      </c>
      <c r="G125" s="15" t="n">
        <v>29600</v>
      </c>
      <c r="H125" s="15" t="n">
        <v>6800</v>
      </c>
      <c r="I125" s="9" t="n">
        <v>712161</v>
      </c>
      <c r="J125" s="10" t="n">
        <v>23387</v>
      </c>
      <c r="K125" s="10" t="n">
        <v>-3352</v>
      </c>
      <c r="L125" s="7" t="n">
        <v>734210</v>
      </c>
      <c r="M125" s="8" t="n">
        <v>36856</v>
      </c>
      <c r="N125" s="8" t="n">
        <v>12769</v>
      </c>
      <c r="O125" s="9" t="n">
        <v>756574</v>
      </c>
      <c r="P125" s="10" t="n">
        <v>39948</v>
      </c>
      <c r="Q125" s="10" t="n">
        <v>8647</v>
      </c>
      <c r="R125" s="7" t="n">
        <v>812534</v>
      </c>
      <c r="S125" s="8" t="n">
        <v>-103</v>
      </c>
      <c r="T125" s="8" t="n">
        <v>-18429</v>
      </c>
      <c r="U125" s="9" t="n">
        <v>729112</v>
      </c>
      <c r="V125" s="10" t="n">
        <v>27318</v>
      </c>
      <c r="W125" s="10" t="n">
        <v>503</v>
      </c>
      <c r="X125" s="7" t="n">
        <v>740792</v>
      </c>
      <c r="Y125" s="8" t="n">
        <v>36998</v>
      </c>
      <c r="Z125" s="8" t="n">
        <v>11222</v>
      </c>
      <c r="AA125" s="9" t="n">
        <v>799314</v>
      </c>
      <c r="AB125" s="10" t="n">
        <v>30822</v>
      </c>
      <c r="AC125" s="10" t="n">
        <v>-2234</v>
      </c>
      <c r="AD125" s="7" t="n">
        <v>795707</v>
      </c>
      <c r="AE125" s="8" t="n">
        <v>17058</v>
      </c>
      <c r="AF125" s="8" t="n">
        <v>-8506</v>
      </c>
      <c r="AG125" s="9" t="n">
        <v>778956</v>
      </c>
      <c r="AH125" s="10" t="n">
        <v>19843</v>
      </c>
      <c r="AI125" s="10" t="n">
        <v>-2265</v>
      </c>
      <c r="AJ125" s="11" t="n">
        <v>864122</v>
      </c>
      <c r="AK125" s="12" t="n">
        <v>29831</v>
      </c>
      <c r="AL125" s="12" t="n">
        <v>2967</v>
      </c>
      <c r="AM125" s="13" t="n">
        <v>10.9</v>
      </c>
      <c r="AN125" s="13" t="n">
        <v>16.6</v>
      </c>
      <c r="AO125" s="13" t="n">
        <v>50.3</v>
      </c>
      <c r="AP125" s="13" t="n">
        <v>-19.4</v>
      </c>
    </row>
    <row r="126">
      <c r="A126" s="5" t="inlineStr">
        <is>
          <t>넥센타이어</t>
        </is>
      </c>
      <c r="B126" s="6" t="inlineStr">
        <is>
          <t>002350</t>
        </is>
      </c>
      <c r="C126" s="6" t="inlineStr">
        <is>
          <t>연결</t>
        </is>
      </c>
      <c r="D126" s="6" t="inlineStr">
        <is>
          <t>2026Q2</t>
        </is>
      </c>
      <c r="E126" s="6" t="inlineStr">
        <is>
          <t>2023Q4</t>
        </is>
      </c>
      <c r="F126" s="14" t="n">
        <v>678135</v>
      </c>
      <c r="G126" s="15" t="n">
        <v>64110</v>
      </c>
      <c r="H126" s="15" t="n">
        <v>10568</v>
      </c>
      <c r="I126" s="9" t="n">
        <v>678084</v>
      </c>
      <c r="J126" s="10" t="n">
        <v>41551</v>
      </c>
      <c r="K126" s="10" t="n">
        <v>40981</v>
      </c>
      <c r="L126" s="7" t="n">
        <v>763753</v>
      </c>
      <c r="M126" s="8" t="n">
        <v>62861</v>
      </c>
      <c r="N126" s="8" t="n">
        <v>44405</v>
      </c>
      <c r="O126" s="9" t="n">
        <v>708508</v>
      </c>
      <c r="P126" s="10" t="n">
        <v>52264</v>
      </c>
      <c r="Q126" s="10" t="n">
        <v>-6449</v>
      </c>
      <c r="R126" s="7" t="n">
        <v>697580</v>
      </c>
      <c r="S126" s="8" t="n">
        <v>15461</v>
      </c>
      <c r="T126" s="8" t="n">
        <v>47782</v>
      </c>
      <c r="U126" s="9" t="n">
        <v>771186</v>
      </c>
      <c r="V126" s="10" t="n">
        <v>40718</v>
      </c>
      <c r="W126" s="10" t="n">
        <v>39920</v>
      </c>
      <c r="X126" s="7" t="n">
        <v>804669</v>
      </c>
      <c r="Y126" s="8" t="n">
        <v>42632</v>
      </c>
      <c r="Z126" s="8" t="n">
        <v>19220</v>
      </c>
      <c r="AA126" s="9" t="n">
        <v>780696</v>
      </c>
      <c r="AB126" s="10" t="n">
        <v>46486</v>
      </c>
      <c r="AC126" s="10" t="n">
        <v>54829</v>
      </c>
      <c r="AD126" s="7" t="n">
        <v>833059</v>
      </c>
      <c r="AE126" s="8" t="n">
        <v>40461</v>
      </c>
      <c r="AF126" s="8" t="n">
        <v>37205</v>
      </c>
      <c r="AG126" s="9" t="n">
        <v>838275</v>
      </c>
      <c r="AH126" s="10" t="n">
        <v>54210</v>
      </c>
      <c r="AI126" s="10" t="n">
        <v>61994</v>
      </c>
      <c r="AJ126" s="11" t="n">
        <v>891294</v>
      </c>
      <c r="AK126" s="12" t="n">
        <v>34334</v>
      </c>
      <c r="AL126" s="12" t="n">
        <v>216</v>
      </c>
      <c r="AM126" s="13" t="n">
        <v>6.3</v>
      </c>
      <c r="AN126" s="13" t="n">
        <v>10.8</v>
      </c>
      <c r="AO126" s="13" t="n">
        <v>-36.7</v>
      </c>
      <c r="AP126" s="13" t="n">
        <v>-19.5</v>
      </c>
    </row>
    <row r="127">
      <c r="A127" s="5" t="inlineStr">
        <is>
          <t>SH에너지화학</t>
        </is>
      </c>
      <c r="B127" s="6" t="inlineStr">
        <is>
          <t>002360</t>
        </is>
      </c>
      <c r="C127" s="6" t="inlineStr">
        <is>
          <t>연결</t>
        </is>
      </c>
      <c r="D127" s="6" t="inlineStr">
        <is>
          <t>2026Q2</t>
        </is>
      </c>
      <c r="E127" s="6" t="inlineStr"/>
      <c r="F127" s="7" t="inlineStr"/>
      <c r="G127" s="8" t="inlineStr"/>
      <c r="H127" s="8" t="inlineStr"/>
      <c r="I127" s="9" t="n">
        <v>28539</v>
      </c>
      <c r="J127" s="10" t="n">
        <v>-3236</v>
      </c>
      <c r="K127" s="10" t="n">
        <v>-2257</v>
      </c>
      <c r="L127" s="7" t="n">
        <v>34794</v>
      </c>
      <c r="M127" s="8" t="n">
        <v>-1381</v>
      </c>
      <c r="N127" s="8" t="n">
        <v>-825</v>
      </c>
      <c r="O127" s="9" t="n">
        <v>31337</v>
      </c>
      <c r="P127" s="10" t="n">
        <v>-2661</v>
      </c>
      <c r="Q127" s="10" t="n">
        <v>-2232</v>
      </c>
      <c r="R127" s="7" t="n">
        <v>31377</v>
      </c>
      <c r="S127" s="8" t="n">
        <v>-2416</v>
      </c>
      <c r="T127" s="8" t="n">
        <v>-5102</v>
      </c>
      <c r="U127" s="9" t="n">
        <v>26367</v>
      </c>
      <c r="V127" s="10" t="n">
        <v>-3353</v>
      </c>
      <c r="W127" s="10" t="n">
        <v>-2688</v>
      </c>
      <c r="X127" s="7" t="n">
        <v>25390</v>
      </c>
      <c r="Y127" s="8" t="n">
        <v>-3280</v>
      </c>
      <c r="Z127" s="8" t="n">
        <v>-2833</v>
      </c>
      <c r="AA127" s="9" t="n">
        <v>21732</v>
      </c>
      <c r="AB127" s="10" t="n">
        <v>-2331</v>
      </c>
      <c r="AC127" s="10" t="n">
        <v>-1672</v>
      </c>
      <c r="AD127" s="7" t="n">
        <v>25138</v>
      </c>
      <c r="AE127" s="8" t="n">
        <v>-3286</v>
      </c>
      <c r="AF127" s="8" t="n">
        <v>-3591</v>
      </c>
      <c r="AG127" s="9" t="n">
        <v>30843</v>
      </c>
      <c r="AH127" s="10" t="n">
        <v>-1234</v>
      </c>
      <c r="AI127" s="10" t="n">
        <v>-683</v>
      </c>
      <c r="AJ127" s="11" t="n">
        <v>28276</v>
      </c>
      <c r="AK127" s="12" t="n">
        <v>94</v>
      </c>
      <c r="AL127" s="12" t="n">
        <v>623</v>
      </c>
      <c r="AM127" s="13" t="n">
        <v>-8.300000000000001</v>
      </c>
      <c r="AN127" s="13" t="n">
        <v>11.4</v>
      </c>
      <c r="AO127" s="13" t="n">
        <v>107.6</v>
      </c>
      <c r="AP127" s="13" t="n">
        <v>102.9</v>
      </c>
    </row>
    <row r="128">
      <c r="A128" s="5" t="inlineStr">
        <is>
          <t>케이씨씨</t>
        </is>
      </c>
      <c r="B128" s="6" t="inlineStr">
        <is>
          <t>002380</t>
        </is>
      </c>
      <c r="C128" s="6" t="inlineStr">
        <is>
          <t>연결</t>
        </is>
      </c>
      <c r="D128" s="6" t="inlineStr">
        <is>
          <t>2026Q2</t>
        </is>
      </c>
      <c r="E128" s="6" t="inlineStr">
        <is>
          <t>2023Q4</t>
        </is>
      </c>
      <c r="F128" s="14" t="n">
        <v>1582430</v>
      </c>
      <c r="G128" s="15" t="n">
        <v>57889</v>
      </c>
      <c r="H128" s="15" t="n">
        <v>29393</v>
      </c>
      <c r="I128" s="9" t="n">
        <v>1588372</v>
      </c>
      <c r="J128" s="10" t="n">
        <v>106907</v>
      </c>
      <c r="K128" s="10" t="n">
        <v>454911</v>
      </c>
      <c r="L128" s="7" t="n">
        <v>1778728</v>
      </c>
      <c r="M128" s="8" t="n">
        <v>140561</v>
      </c>
      <c r="N128" s="8" t="n">
        <v>-32841</v>
      </c>
      <c r="O128" s="9" t="n">
        <v>1634208</v>
      </c>
      <c r="P128" s="10" t="n">
        <v>125329</v>
      </c>
      <c r="Q128" s="10" t="n">
        <v>-42308</v>
      </c>
      <c r="R128" s="7" t="n">
        <v>1657454</v>
      </c>
      <c r="S128" s="8" t="n">
        <v>98321</v>
      </c>
      <c r="T128" s="8" t="n">
        <v>-86467</v>
      </c>
      <c r="U128" s="9" t="n">
        <v>1599305</v>
      </c>
      <c r="V128" s="10" t="n">
        <v>103444</v>
      </c>
      <c r="W128" s="10" t="n">
        <v>44050</v>
      </c>
      <c r="X128" s="7" t="n">
        <v>1705264</v>
      </c>
      <c r="Y128" s="8" t="n">
        <v>140381</v>
      </c>
      <c r="Z128" s="8" t="n">
        <v>893271</v>
      </c>
      <c r="AA128" s="9" t="n">
        <v>1622833</v>
      </c>
      <c r="AB128" s="10" t="n">
        <v>117264</v>
      </c>
      <c r="AC128" s="10" t="n">
        <v>326338</v>
      </c>
      <c r="AD128" s="7" t="n">
        <v>1556417</v>
      </c>
      <c r="AE128" s="8" t="n">
        <v>66526</v>
      </c>
      <c r="AF128" s="8" t="n">
        <v>274837</v>
      </c>
      <c r="AG128" s="9" t="n">
        <v>1626400</v>
      </c>
      <c r="AH128" s="10" t="n">
        <v>88128</v>
      </c>
      <c r="AI128" s="10" t="n">
        <v>216957</v>
      </c>
      <c r="AJ128" s="11" t="n">
        <v>1806019</v>
      </c>
      <c r="AK128" s="12" t="n">
        <v>128884</v>
      </c>
      <c r="AL128" s="12" t="n">
        <v>2839157</v>
      </c>
      <c r="AM128" s="13" t="n">
        <v>11</v>
      </c>
      <c r="AN128" s="13" t="n">
        <v>5.9</v>
      </c>
      <c r="AO128" s="13" t="n">
        <v>46.2</v>
      </c>
      <c r="AP128" s="13" t="n">
        <v>-8.199999999999999</v>
      </c>
    </row>
    <row r="129">
      <c r="A129" s="5" t="inlineStr">
        <is>
          <t>한독</t>
        </is>
      </c>
      <c r="B129" s="6" t="inlineStr">
        <is>
          <t>002390</t>
        </is>
      </c>
      <c r="C129" s="6" t="inlineStr">
        <is>
          <t>연결</t>
        </is>
      </c>
      <c r="D129" s="6" t="inlineStr">
        <is>
          <t>2026Q2</t>
        </is>
      </c>
      <c r="E129" s="6" t="inlineStr">
        <is>
          <t>2023Q4</t>
        </is>
      </c>
      <c r="F129" s="14" t="n">
        <v>124907</v>
      </c>
      <c r="G129" s="15" t="n">
        <v>-2380</v>
      </c>
      <c r="H129" s="15" t="n">
        <v>-9066</v>
      </c>
      <c r="I129" s="9" t="n">
        <v>128780</v>
      </c>
      <c r="J129" s="10" t="n">
        <v>4640</v>
      </c>
      <c r="K129" s="10" t="n">
        <v>-2294</v>
      </c>
      <c r="L129" s="7" t="n">
        <v>128251</v>
      </c>
      <c r="M129" s="8" t="n">
        <v>1863</v>
      </c>
      <c r="N129" s="8" t="n">
        <v>-12915</v>
      </c>
      <c r="O129" s="9" t="n">
        <v>129043</v>
      </c>
      <c r="P129" s="10" t="n">
        <v>-3059</v>
      </c>
      <c r="Q129" s="10" t="n">
        <v>-4014</v>
      </c>
      <c r="R129" s="7" t="n">
        <v>121284</v>
      </c>
      <c r="S129" s="8" t="n">
        <v>-2905</v>
      </c>
      <c r="T129" s="8" t="n">
        <v>-33443</v>
      </c>
      <c r="U129" s="9" t="n">
        <v>119873</v>
      </c>
      <c r="V129" s="10" t="n">
        <v>-1653</v>
      </c>
      <c r="W129" s="10" t="n">
        <v>-7724</v>
      </c>
      <c r="X129" s="7" t="n">
        <v>130534</v>
      </c>
      <c r="Y129" s="8" t="n">
        <v>219</v>
      </c>
      <c r="Z129" s="8" t="n">
        <v>-6379</v>
      </c>
      <c r="AA129" s="9" t="n">
        <v>144677</v>
      </c>
      <c r="AB129" s="10" t="n">
        <v>182</v>
      </c>
      <c r="AC129" s="10" t="n">
        <v>3920</v>
      </c>
      <c r="AD129" s="7" t="n">
        <v>140054</v>
      </c>
      <c r="AE129" s="8" t="n">
        <v>4543</v>
      </c>
      <c r="AF129" s="8" t="n">
        <v>7945</v>
      </c>
      <c r="AG129" s="9" t="n">
        <v>135428</v>
      </c>
      <c r="AH129" s="10" t="n">
        <v>753</v>
      </c>
      <c r="AI129" s="10" t="n">
        <v>-8583</v>
      </c>
      <c r="AJ129" s="11" t="n">
        <v>140726</v>
      </c>
      <c r="AK129" s="12" t="n">
        <v>2774</v>
      </c>
      <c r="AL129" s="12" t="n">
        <v>-12734</v>
      </c>
      <c r="AM129" s="13" t="n">
        <v>3.9</v>
      </c>
      <c r="AN129" s="13" t="n">
        <v>7.8</v>
      </c>
      <c r="AO129" s="13" t="n">
        <v>268.4</v>
      </c>
      <c r="AP129" s="13" t="n">
        <v>1166.7</v>
      </c>
    </row>
    <row r="130">
      <c r="A130" s="5" t="inlineStr">
        <is>
          <t>범양건영</t>
        </is>
      </c>
      <c r="B130" s="6" t="inlineStr">
        <is>
          <t>002410</t>
        </is>
      </c>
      <c r="C130" s="6" t="inlineStr">
        <is>
          <t>연결</t>
        </is>
      </c>
      <c r="D130" s="6" t="inlineStr">
        <is>
          <t>2026Q2</t>
        </is>
      </c>
      <c r="E130" s="6" t="inlineStr"/>
      <c r="F130" s="7" t="inlineStr"/>
      <c r="G130" s="8" t="inlineStr"/>
      <c r="H130" s="8" t="inlineStr"/>
      <c r="I130" s="9" t="n">
        <v>32562</v>
      </c>
      <c r="J130" s="10" t="n">
        <v>413</v>
      </c>
      <c r="K130" s="10" t="n">
        <v>962</v>
      </c>
      <c r="L130" s="7" t="n">
        <v>29019</v>
      </c>
      <c r="M130" s="8" t="n">
        <v>-15565</v>
      </c>
      <c r="N130" s="8" t="n">
        <v>-18285</v>
      </c>
      <c r="O130" s="9" t="n">
        <v>23406</v>
      </c>
      <c r="P130" s="10" t="n">
        <v>-6051</v>
      </c>
      <c r="Q130" s="10" t="n">
        <v>-6416</v>
      </c>
      <c r="R130" s="7" t="n">
        <v>16370</v>
      </c>
      <c r="S130" s="8" t="n">
        <v>-17029</v>
      </c>
      <c r="T130" s="8" t="n">
        <v>-22607</v>
      </c>
      <c r="U130" s="9" t="n">
        <v>36450</v>
      </c>
      <c r="V130" s="10" t="n">
        <v>-450</v>
      </c>
      <c r="W130" s="10" t="n">
        <v>-8952</v>
      </c>
      <c r="X130" s="7" t="n">
        <v>16319</v>
      </c>
      <c r="Y130" s="8" t="n">
        <v>-23084</v>
      </c>
      <c r="Z130" s="8" t="n">
        <v>-22536</v>
      </c>
      <c r="AA130" s="9" t="n">
        <v>12894</v>
      </c>
      <c r="AB130" s="10" t="n">
        <v>-3322</v>
      </c>
      <c r="AC130" s="10" t="n">
        <v>-3370</v>
      </c>
      <c r="AD130" s="7" t="n">
        <v>6180</v>
      </c>
      <c r="AE130" s="8" t="n">
        <v>-24453</v>
      </c>
      <c r="AF130" s="8" t="n">
        <v>-52644</v>
      </c>
      <c r="AG130" s="9" t="n">
        <v>7655</v>
      </c>
      <c r="AH130" s="10" t="n">
        <v>522</v>
      </c>
      <c r="AI130" s="10" t="n">
        <v>-758</v>
      </c>
      <c r="AJ130" s="11" t="n">
        <v>1004</v>
      </c>
      <c r="AK130" s="12" t="n">
        <v>-461</v>
      </c>
      <c r="AL130" s="12" t="n">
        <v>854</v>
      </c>
      <c r="AM130" s="13" t="n">
        <v>-86.90000000000001</v>
      </c>
      <c r="AN130" s="13" t="n">
        <v>-93.8</v>
      </c>
      <c r="AO130" s="13" t="n">
        <v>-188.3</v>
      </c>
      <c r="AP130" s="13" t="n">
        <v>98</v>
      </c>
    </row>
    <row r="131">
      <c r="A131" s="5" t="inlineStr">
        <is>
          <t>우양피앤엘</t>
        </is>
      </c>
      <c r="B131" s="6" t="inlineStr">
        <is>
          <t>002420</t>
        </is>
      </c>
      <c r="C131" s="6" t="inlineStr">
        <is>
          <t>별도</t>
        </is>
      </c>
      <c r="D131" s="6" t="inlineStr">
        <is>
          <t>2026Q2</t>
        </is>
      </c>
      <c r="E131" s="6" t="inlineStr"/>
      <c r="F131" s="7" t="inlineStr"/>
      <c r="G131" s="8" t="inlineStr"/>
      <c r="H131" s="8" t="inlineStr"/>
      <c r="I131" s="9" t="n">
        <v>8559</v>
      </c>
      <c r="J131" s="10" t="n">
        <v>-519</v>
      </c>
      <c r="K131" s="10" t="n">
        <v>-686</v>
      </c>
      <c r="L131" s="7" t="n">
        <v>8623</v>
      </c>
      <c r="M131" s="8" t="n">
        <v>-332</v>
      </c>
      <c r="N131" s="8" t="n">
        <v>-476</v>
      </c>
      <c r="O131" s="9" t="n">
        <v>7895</v>
      </c>
      <c r="P131" s="10" t="n">
        <v>-334</v>
      </c>
      <c r="Q131" s="10" t="n">
        <v>-504</v>
      </c>
      <c r="R131" s="7" t="n">
        <v>6955</v>
      </c>
      <c r="S131" s="8" t="n">
        <v>-791</v>
      </c>
      <c r="T131" s="8" t="n">
        <v>-1157</v>
      </c>
      <c r="U131" s="9" t="n">
        <v>6921</v>
      </c>
      <c r="V131" s="10" t="n">
        <v>-722</v>
      </c>
      <c r="W131" s="10" t="n">
        <v>-878</v>
      </c>
      <c r="X131" s="7" t="n">
        <v>7256</v>
      </c>
      <c r="Y131" s="8" t="n">
        <v>-83</v>
      </c>
      <c r="Z131" s="8" t="n">
        <v>-222</v>
      </c>
      <c r="AA131" s="9" t="n">
        <v>7640</v>
      </c>
      <c r="AB131" s="10" t="n">
        <v>22</v>
      </c>
      <c r="AC131" s="10" t="n">
        <v>-111</v>
      </c>
      <c r="AD131" s="7" t="n">
        <v>7428</v>
      </c>
      <c r="AE131" s="8" t="n">
        <v>213</v>
      </c>
      <c r="AF131" s="8" t="n">
        <v>-385</v>
      </c>
      <c r="AG131" s="9" t="n">
        <v>7165</v>
      </c>
      <c r="AH131" s="10" t="n">
        <v>160</v>
      </c>
      <c r="AI131" s="10" t="n">
        <v>14</v>
      </c>
      <c r="AJ131" s="11" t="n">
        <v>9126</v>
      </c>
      <c r="AK131" s="12" t="n">
        <v>-167</v>
      </c>
      <c r="AL131" s="12" t="n">
        <v>-305</v>
      </c>
      <c r="AM131" s="13" t="n">
        <v>27.4</v>
      </c>
      <c r="AN131" s="13" t="n">
        <v>25.8</v>
      </c>
      <c r="AO131" s="13" t="n">
        <v>-204.4</v>
      </c>
      <c r="AP131" s="13" t="n">
        <v>-101.2</v>
      </c>
    </row>
    <row r="132">
      <c r="A132" s="5" t="inlineStr">
        <is>
          <t>삼익악기</t>
        </is>
      </c>
      <c r="B132" s="6" t="inlineStr">
        <is>
          <t>002450</t>
        </is>
      </c>
      <c r="C132" s="6" t="inlineStr">
        <is>
          <t>연결</t>
        </is>
      </c>
      <c r="D132" s="6" t="inlineStr">
        <is>
          <t>2026Q2</t>
        </is>
      </c>
      <c r="E132" s="6" t="inlineStr"/>
      <c r="F132" s="7" t="inlineStr"/>
      <c r="G132" s="8" t="inlineStr"/>
      <c r="H132" s="8" t="inlineStr"/>
      <c r="I132" s="9" t="n">
        <v>78140</v>
      </c>
      <c r="J132" s="10" t="n">
        <v>9831</v>
      </c>
      <c r="K132" s="10" t="n">
        <v>10686</v>
      </c>
      <c r="L132" s="7" t="n">
        <v>46536</v>
      </c>
      <c r="M132" s="8" t="n">
        <v>-5448</v>
      </c>
      <c r="N132" s="8" t="n">
        <v>-4830</v>
      </c>
      <c r="O132" s="9" t="n">
        <v>47338</v>
      </c>
      <c r="P132" s="10" t="n">
        <v>717</v>
      </c>
      <c r="Q132" s="10" t="n">
        <v>-2611</v>
      </c>
      <c r="R132" s="7" t="n">
        <v>58366</v>
      </c>
      <c r="S132" s="8" t="n">
        <v>834</v>
      </c>
      <c r="T132" s="8" t="n">
        <v>-124</v>
      </c>
      <c r="U132" s="9" t="n">
        <v>75338</v>
      </c>
      <c r="V132" s="10" t="n">
        <v>6208</v>
      </c>
      <c r="W132" s="10" t="n">
        <v>4828</v>
      </c>
      <c r="X132" s="7" t="n">
        <v>48538</v>
      </c>
      <c r="Y132" s="8" t="n">
        <v>-2375</v>
      </c>
      <c r="Z132" s="8" t="n">
        <v>15121</v>
      </c>
      <c r="AA132" s="9" t="n">
        <v>45797</v>
      </c>
      <c r="AB132" s="10" t="n">
        <v>-32</v>
      </c>
      <c r="AC132" s="10" t="n">
        <v>1070</v>
      </c>
      <c r="AD132" s="7" t="n">
        <v>54766</v>
      </c>
      <c r="AE132" s="8" t="n">
        <v>-1519</v>
      </c>
      <c r="AF132" s="8" t="n">
        <v>-3744</v>
      </c>
      <c r="AG132" s="9" t="n">
        <v>70413</v>
      </c>
      <c r="AH132" s="10" t="n">
        <v>8743</v>
      </c>
      <c r="AI132" s="10" t="n">
        <v>12700</v>
      </c>
      <c r="AJ132" s="11" t="n">
        <v>53942</v>
      </c>
      <c r="AK132" s="12" t="n">
        <v>2908</v>
      </c>
      <c r="AL132" s="12" t="n">
        <v>30930</v>
      </c>
      <c r="AM132" s="13" t="n">
        <v>-23.4</v>
      </c>
      <c r="AN132" s="13" t="n">
        <v>11.1</v>
      </c>
      <c r="AO132" s="13" t="n">
        <v>-66.7</v>
      </c>
      <c r="AP132" s="13" t="n">
        <v>222.4</v>
      </c>
    </row>
    <row r="133">
      <c r="A133" s="5" t="inlineStr">
        <is>
          <t>HS화성</t>
        </is>
      </c>
      <c r="B133" s="6" t="inlineStr">
        <is>
          <t>002460</t>
        </is>
      </c>
      <c r="C133" s="6" t="inlineStr">
        <is>
          <t>연결</t>
        </is>
      </c>
      <c r="D133" s="6" t="inlineStr">
        <is>
          <t>2026Q2</t>
        </is>
      </c>
      <c r="E133" s="6" t="inlineStr"/>
      <c r="F133" s="7" t="inlineStr"/>
      <c r="G133" s="8" t="inlineStr"/>
      <c r="H133" s="8" t="inlineStr"/>
      <c r="I133" s="9" t="n">
        <v>188305</v>
      </c>
      <c r="J133" s="10" t="n">
        <v>14733</v>
      </c>
      <c r="K133" s="10" t="n">
        <v>11059</v>
      </c>
      <c r="L133" s="7" t="n">
        <v>139980</v>
      </c>
      <c r="M133" s="8" t="n">
        <v>4895</v>
      </c>
      <c r="N133" s="8" t="n">
        <v>871</v>
      </c>
      <c r="O133" s="9" t="n">
        <v>133341</v>
      </c>
      <c r="P133" s="10" t="n">
        <v>4111</v>
      </c>
      <c r="Q133" s="10" t="n">
        <v>-3138</v>
      </c>
      <c r="R133" s="7" t="n">
        <v>151154</v>
      </c>
      <c r="S133" s="8" t="n">
        <v>-5</v>
      </c>
      <c r="T133" s="8" t="n">
        <v>4676</v>
      </c>
      <c r="U133" s="9" t="n">
        <v>151095</v>
      </c>
      <c r="V133" s="10" t="n">
        <v>10575</v>
      </c>
      <c r="W133" s="10" t="n">
        <v>6880</v>
      </c>
      <c r="X133" s="7" t="n">
        <v>116134</v>
      </c>
      <c r="Y133" s="8" t="n">
        <v>2352</v>
      </c>
      <c r="Z133" s="8" t="n">
        <v>3324</v>
      </c>
      <c r="AA133" s="9" t="n">
        <v>295547</v>
      </c>
      <c r="AB133" s="10" t="n">
        <v>33821</v>
      </c>
      <c r="AC133" s="10" t="n">
        <v>22637</v>
      </c>
      <c r="AD133" s="7" t="n">
        <v>96703</v>
      </c>
      <c r="AE133" s="8" t="n">
        <v>-3503</v>
      </c>
      <c r="AF133" s="8" t="n">
        <v>-1934</v>
      </c>
      <c r="AG133" s="9" t="n">
        <v>68952</v>
      </c>
      <c r="AH133" s="10" t="n">
        <v>191</v>
      </c>
      <c r="AI133" s="10" t="n">
        <v>4562</v>
      </c>
      <c r="AJ133" s="11" t="n">
        <v>81599</v>
      </c>
      <c r="AK133" s="12" t="n">
        <v>-5443</v>
      </c>
      <c r="AL133" s="12" t="n">
        <v>1040</v>
      </c>
      <c r="AM133" s="13" t="n">
        <v>18.3</v>
      </c>
      <c r="AN133" s="13" t="n">
        <v>-29.7</v>
      </c>
      <c r="AO133" s="13" t="n">
        <v>-2949.7</v>
      </c>
      <c r="AP133" s="13" t="n">
        <v>-331.4</v>
      </c>
    </row>
    <row r="134">
      <c r="A134" s="5" t="inlineStr">
        <is>
          <t>조흥</t>
        </is>
      </c>
      <c r="B134" s="6" t="inlineStr">
        <is>
          <t>002600</t>
        </is>
      </c>
      <c r="C134" s="6" t="inlineStr">
        <is>
          <t>연결</t>
        </is>
      </c>
      <c r="D134" s="6" t="inlineStr">
        <is>
          <t>2026Q2</t>
        </is>
      </c>
      <c r="E134" s="6" t="inlineStr"/>
      <c r="F134" s="7" t="inlineStr"/>
      <c r="G134" s="8" t="inlineStr"/>
      <c r="H134" s="8" t="inlineStr"/>
      <c r="I134" s="9" t="n">
        <v>100349</v>
      </c>
      <c r="J134" s="10" t="n">
        <v>5837</v>
      </c>
      <c r="K134" s="10" t="n">
        <v>1627</v>
      </c>
      <c r="L134" s="7" t="n">
        <v>100276</v>
      </c>
      <c r="M134" s="8" t="n">
        <v>7140</v>
      </c>
      <c r="N134" s="8" t="n">
        <v>4535</v>
      </c>
      <c r="O134" s="9" t="n">
        <v>106126</v>
      </c>
      <c r="P134" s="10" t="n">
        <v>8415</v>
      </c>
      <c r="Q134" s="10" t="n">
        <v>6223</v>
      </c>
      <c r="R134" s="7" t="n">
        <v>121412</v>
      </c>
      <c r="S134" s="8" t="n">
        <v>-557</v>
      </c>
      <c r="T134" s="8" t="n">
        <v>-9871</v>
      </c>
      <c r="U134" s="9" t="n">
        <v>114967</v>
      </c>
      <c r="V134" s="10" t="n">
        <v>3728</v>
      </c>
      <c r="W134" s="10" t="n">
        <v>-453</v>
      </c>
      <c r="X134" s="7" t="n">
        <v>122334</v>
      </c>
      <c r="Y134" s="8" t="n">
        <v>4035</v>
      </c>
      <c r="Z134" s="8" t="n">
        <v>5459</v>
      </c>
      <c r="AA134" s="9" t="n">
        <v>123067</v>
      </c>
      <c r="AB134" s="10" t="n">
        <v>6187</v>
      </c>
      <c r="AC134" s="10" t="n">
        <v>1763</v>
      </c>
      <c r="AD134" s="7" t="n">
        <v>127878</v>
      </c>
      <c r="AE134" s="8" t="n">
        <v>4680</v>
      </c>
      <c r="AF134" s="8" t="n">
        <v>1313</v>
      </c>
      <c r="AG134" s="9" t="n">
        <v>122538</v>
      </c>
      <c r="AH134" s="10" t="n">
        <v>3761</v>
      </c>
      <c r="AI134" s="10" t="n">
        <v>-2040</v>
      </c>
      <c r="AJ134" s="11" t="n">
        <v>126187</v>
      </c>
      <c r="AK134" s="12" t="n">
        <v>5627</v>
      </c>
      <c r="AL134" s="12" t="n">
        <v>1160</v>
      </c>
      <c r="AM134" s="13" t="n">
        <v>3</v>
      </c>
      <c r="AN134" s="13" t="n">
        <v>3.1</v>
      </c>
      <c r="AO134" s="13" t="n">
        <v>49.6</v>
      </c>
      <c r="AP134" s="13" t="n">
        <v>39.5</v>
      </c>
    </row>
    <row r="135">
      <c r="A135" s="5" t="inlineStr">
        <is>
          <t>제일파마홀딩스</t>
        </is>
      </c>
      <c r="B135" s="6" t="inlineStr">
        <is>
          <t>002620</t>
        </is>
      </c>
      <c r="C135" s="6" t="inlineStr">
        <is>
          <t>연결</t>
        </is>
      </c>
      <c r="D135" s="6" t="inlineStr">
        <is>
          <t>2026Q2</t>
        </is>
      </c>
      <c r="E135" s="6" t="inlineStr"/>
      <c r="F135" s="7" t="inlineStr"/>
      <c r="G135" s="8" t="inlineStr"/>
      <c r="H135" s="8" t="inlineStr"/>
      <c r="I135" s="9" t="n">
        <v>188831</v>
      </c>
      <c r="J135" s="10" t="n">
        <v>252</v>
      </c>
      <c r="K135" s="10" t="n">
        <v>-1761</v>
      </c>
      <c r="L135" s="7" t="n">
        <v>197028</v>
      </c>
      <c r="M135" s="8" t="n">
        <v>-12435</v>
      </c>
      <c r="N135" s="8" t="n">
        <v>-26593</v>
      </c>
      <c r="O135" s="9" t="n">
        <v>189997</v>
      </c>
      <c r="P135" s="10" t="n">
        <v>-3277</v>
      </c>
      <c r="Q135" s="10" t="n">
        <v>-5690</v>
      </c>
      <c r="R135" s="7" t="n">
        <v>203966</v>
      </c>
      <c r="S135" s="8" t="n">
        <v>3901</v>
      </c>
      <c r="T135" s="8" t="n">
        <v>-32347</v>
      </c>
      <c r="U135" s="9" t="n">
        <v>182043</v>
      </c>
      <c r="V135" s="10" t="n">
        <v>7119</v>
      </c>
      <c r="W135" s="10" t="n">
        <v>4611</v>
      </c>
      <c r="X135" s="7" t="n">
        <v>159780</v>
      </c>
      <c r="Y135" s="8" t="n">
        <v>6927</v>
      </c>
      <c r="Z135" s="8" t="n">
        <v>2892</v>
      </c>
      <c r="AA135" s="9" t="n">
        <v>161363</v>
      </c>
      <c r="AB135" s="10" t="n">
        <v>18090</v>
      </c>
      <c r="AC135" s="10" t="n">
        <v>14217</v>
      </c>
      <c r="AD135" s="7" t="n">
        <v>154428</v>
      </c>
      <c r="AE135" s="8" t="n">
        <v>6550</v>
      </c>
      <c r="AF135" s="8" t="n">
        <v>12927</v>
      </c>
      <c r="AG135" s="9" t="n">
        <v>150396</v>
      </c>
      <c r="AH135" s="10" t="n">
        <v>3560</v>
      </c>
      <c r="AI135" s="10" t="n">
        <v>4485</v>
      </c>
      <c r="AJ135" s="11" t="n">
        <v>164704</v>
      </c>
      <c r="AK135" s="12" t="n">
        <v>-9940</v>
      </c>
      <c r="AL135" s="12" t="n">
        <v>-6207</v>
      </c>
      <c r="AM135" s="13" t="n">
        <v>9.5</v>
      </c>
      <c r="AN135" s="13" t="n">
        <v>3.1</v>
      </c>
      <c r="AO135" s="13" t="n">
        <v>-379.2</v>
      </c>
      <c r="AP135" s="13" t="n">
        <v>-243.5</v>
      </c>
    </row>
    <row r="136">
      <c r="A136" s="5" t="inlineStr">
        <is>
          <t>오리엔트바이오</t>
        </is>
      </c>
      <c r="B136" s="6" t="inlineStr">
        <is>
          <t>002630</t>
        </is>
      </c>
      <c r="C136" s="6" t="inlineStr">
        <is>
          <t>별도</t>
        </is>
      </c>
      <c r="D136" s="6" t="inlineStr">
        <is>
          <t>2026Q1</t>
        </is>
      </c>
      <c r="E136" s="6" t="inlineStr"/>
      <c r="F136" s="7" t="inlineStr"/>
      <c r="G136" s="8" t="inlineStr"/>
      <c r="H136" s="8" t="inlineStr"/>
      <c r="I136" s="9" t="n">
        <v>7384</v>
      </c>
      <c r="J136" s="10" t="n">
        <v>-67</v>
      </c>
      <c r="K136" s="10" t="n">
        <v>-6784</v>
      </c>
      <c r="L136" s="7" t="n">
        <v>6731</v>
      </c>
      <c r="M136" s="8" t="n">
        <v>-691</v>
      </c>
      <c r="N136" s="8" t="n">
        <v>-1091</v>
      </c>
      <c r="O136" s="9" t="n">
        <v>8957</v>
      </c>
      <c r="P136" s="10" t="n">
        <v>-1733</v>
      </c>
      <c r="Q136" s="10" t="n">
        <v>-1305</v>
      </c>
      <c r="R136" s="7" t="n">
        <v>4933</v>
      </c>
      <c r="S136" s="8" t="n">
        <v>1845</v>
      </c>
      <c r="T136" s="8" t="n">
        <v>22051</v>
      </c>
      <c r="U136" s="9" t="n">
        <v>7681</v>
      </c>
      <c r="V136" s="10" t="n">
        <v>-1624</v>
      </c>
      <c r="W136" s="10" t="n">
        <v>-2032</v>
      </c>
      <c r="X136" s="7" t="n">
        <v>6931</v>
      </c>
      <c r="Y136" s="8" t="n">
        <v>-680</v>
      </c>
      <c r="Z136" s="8" t="n">
        <v>-151</v>
      </c>
      <c r="AA136" s="9" t="n">
        <v>8601</v>
      </c>
      <c r="AB136" s="10" t="n">
        <v>-1569</v>
      </c>
      <c r="AC136" s="10" t="n">
        <v>-1919</v>
      </c>
      <c r="AD136" s="7" t="n">
        <v>6185</v>
      </c>
      <c r="AE136" s="8" t="n">
        <v>797</v>
      </c>
      <c r="AF136" s="8" t="n">
        <v>-9093</v>
      </c>
      <c r="AG136" s="9" t="n">
        <v>6591</v>
      </c>
      <c r="AH136" s="10" t="n">
        <v>50</v>
      </c>
      <c r="AI136" s="10" t="n">
        <v>4847</v>
      </c>
      <c r="AJ136" s="11" t="inlineStr"/>
      <c r="AK136" s="12" t="inlineStr"/>
      <c r="AL136" s="12" t="inlineStr"/>
      <c r="AM136" s="13" t="inlineStr"/>
      <c r="AN136" s="13" t="inlineStr"/>
      <c r="AO136" s="13" t="inlineStr"/>
      <c r="AP136" s="13" t="inlineStr"/>
    </row>
    <row r="137">
      <c r="A137" s="5" t="inlineStr">
        <is>
          <t>한탑</t>
        </is>
      </c>
      <c r="B137" s="6" t="inlineStr">
        <is>
          <t>002680</t>
        </is>
      </c>
      <c r="C137" s="6" t="inlineStr">
        <is>
          <t>연결</t>
        </is>
      </c>
      <c r="D137" s="6" t="inlineStr">
        <is>
          <t>2026Q2</t>
        </is>
      </c>
      <c r="E137" s="6" t="inlineStr"/>
      <c r="F137" s="7" t="inlineStr"/>
      <c r="G137" s="8" t="inlineStr"/>
      <c r="H137" s="8" t="inlineStr"/>
      <c r="I137" s="9" t="n">
        <v>20083</v>
      </c>
      <c r="J137" s="10" t="n">
        <v>937</v>
      </c>
      <c r="K137" s="10" t="n">
        <v>-1185</v>
      </c>
      <c r="L137" s="7" t="n">
        <v>22749</v>
      </c>
      <c r="M137" s="8" t="n">
        <v>1322</v>
      </c>
      <c r="N137" s="8" t="n">
        <v>-336</v>
      </c>
      <c r="O137" s="9" t="n">
        <v>20606</v>
      </c>
      <c r="P137" s="10" t="n">
        <v>956</v>
      </c>
      <c r="Q137" s="10" t="n">
        <v>552</v>
      </c>
      <c r="R137" s="7" t="n">
        <v>21452</v>
      </c>
      <c r="S137" s="8" t="n">
        <v>533</v>
      </c>
      <c r="T137" s="8" t="n">
        <v>-4391</v>
      </c>
      <c r="U137" s="9" t="n">
        <v>20274</v>
      </c>
      <c r="V137" s="10" t="n">
        <v>676</v>
      </c>
      <c r="W137" s="10" t="n">
        <v>582</v>
      </c>
      <c r="X137" s="7" t="n">
        <v>21574</v>
      </c>
      <c r="Y137" s="8" t="n">
        <v>927</v>
      </c>
      <c r="Z137" s="8" t="n">
        <v>1731</v>
      </c>
      <c r="AA137" s="9" t="n">
        <v>20743</v>
      </c>
      <c r="AB137" s="10" t="n">
        <v>773</v>
      </c>
      <c r="AC137" s="10" t="n">
        <v>-667</v>
      </c>
      <c r="AD137" s="7" t="n">
        <v>19809</v>
      </c>
      <c r="AE137" s="8" t="n">
        <v>548</v>
      </c>
      <c r="AF137" s="8" t="n">
        <v>441</v>
      </c>
      <c r="AG137" s="9" t="n">
        <v>19779</v>
      </c>
      <c r="AH137" s="10" t="n">
        <v>-889</v>
      </c>
      <c r="AI137" s="10" t="n">
        <v>-2764</v>
      </c>
      <c r="AJ137" s="11" t="n">
        <v>18269</v>
      </c>
      <c r="AK137" s="12" t="n">
        <v>-1246</v>
      </c>
      <c r="AL137" s="12" t="n">
        <v>-26892</v>
      </c>
      <c r="AM137" s="13" t="n">
        <v>-7.6</v>
      </c>
      <c r="AN137" s="13" t="n">
        <v>-15.3</v>
      </c>
      <c r="AO137" s="13" t="n">
        <v>-40.2</v>
      </c>
      <c r="AP137" s="13" t="n">
        <v>-234.4</v>
      </c>
    </row>
    <row r="138">
      <c r="A138" s="5" t="inlineStr">
        <is>
          <t>동일제강</t>
        </is>
      </c>
      <c r="B138" s="6" t="inlineStr">
        <is>
          <t>002690</t>
        </is>
      </c>
      <c r="C138" s="6" t="inlineStr">
        <is>
          <t>별도</t>
        </is>
      </c>
      <c r="D138" s="6" t="inlineStr">
        <is>
          <t>2026Q2</t>
        </is>
      </c>
      <c r="E138" s="6" t="inlineStr"/>
      <c r="F138" s="7" t="inlineStr"/>
      <c r="G138" s="8" t="inlineStr"/>
      <c r="H138" s="8" t="inlineStr"/>
      <c r="I138" s="9" t="n">
        <v>42916</v>
      </c>
      <c r="J138" s="10" t="n">
        <v>-776</v>
      </c>
      <c r="K138" s="10" t="n">
        <v>-246</v>
      </c>
      <c r="L138" s="7" t="n">
        <v>37958</v>
      </c>
      <c r="M138" s="8" t="n">
        <v>-605</v>
      </c>
      <c r="N138" s="8" t="n">
        <v>1252</v>
      </c>
      <c r="O138" s="9" t="n">
        <v>35353</v>
      </c>
      <c r="P138" s="10" t="n">
        <v>-2495</v>
      </c>
      <c r="Q138" s="10" t="n">
        <v>-1585</v>
      </c>
      <c r="R138" s="7" t="n">
        <v>34889</v>
      </c>
      <c r="S138" s="8" t="n">
        <v>-1923</v>
      </c>
      <c r="T138" s="8" t="n">
        <v>95</v>
      </c>
      <c r="U138" s="9" t="n">
        <v>40781</v>
      </c>
      <c r="V138" s="10" t="n">
        <v>-151</v>
      </c>
      <c r="W138" s="10" t="n">
        <v>415</v>
      </c>
      <c r="X138" s="7" t="n">
        <v>38460</v>
      </c>
      <c r="Y138" s="8" t="n">
        <v>-146</v>
      </c>
      <c r="Z138" s="8" t="n">
        <v>1495</v>
      </c>
      <c r="AA138" s="9" t="n">
        <v>36905</v>
      </c>
      <c r="AB138" s="10" t="n">
        <v>-441</v>
      </c>
      <c r="AC138" s="10" t="n">
        <v>5199</v>
      </c>
      <c r="AD138" s="7" t="n">
        <v>31200</v>
      </c>
      <c r="AE138" s="8" t="n">
        <v>-2773</v>
      </c>
      <c r="AF138" s="8" t="n">
        <v>-5759</v>
      </c>
      <c r="AG138" s="9" t="n">
        <v>38570</v>
      </c>
      <c r="AH138" s="10" t="n">
        <v>1</v>
      </c>
      <c r="AI138" s="10" t="n">
        <v>663</v>
      </c>
      <c r="AJ138" s="11" t="n">
        <v>41942</v>
      </c>
      <c r="AK138" s="12" t="n">
        <v>394</v>
      </c>
      <c r="AL138" s="12" t="n">
        <v>686</v>
      </c>
      <c r="AM138" s="13" t="n">
        <v>8.699999999999999</v>
      </c>
      <c r="AN138" s="13" t="n">
        <v>9.1</v>
      </c>
      <c r="AO138" s="13" t="n">
        <v>39300</v>
      </c>
      <c r="AP138" s="13" t="n">
        <v>369.9</v>
      </c>
    </row>
    <row r="139">
      <c r="A139" s="5" t="inlineStr">
        <is>
          <t>신일전자</t>
        </is>
      </c>
      <c r="B139" s="6" t="inlineStr">
        <is>
          <t>002700</t>
        </is>
      </c>
      <c r="C139" s="6" t="inlineStr">
        <is>
          <t>별도</t>
        </is>
      </c>
      <c r="D139" s="6" t="inlineStr">
        <is>
          <t>2026Q2</t>
        </is>
      </c>
      <c r="E139" s="6" t="inlineStr"/>
      <c r="F139" s="7" t="inlineStr"/>
      <c r="G139" s="8" t="inlineStr"/>
      <c r="H139" s="8" t="inlineStr"/>
      <c r="I139" s="9" t="n">
        <v>29251</v>
      </c>
      <c r="J139" s="10" t="n">
        <v>-580</v>
      </c>
      <c r="K139" s="10" t="n">
        <v>-1111</v>
      </c>
      <c r="L139" s="7" t="n">
        <v>58454</v>
      </c>
      <c r="M139" s="8" t="n">
        <v>3189</v>
      </c>
      <c r="N139" s="8" t="n">
        <v>2185</v>
      </c>
      <c r="O139" s="9" t="n">
        <v>47602</v>
      </c>
      <c r="P139" s="10" t="n">
        <v>599</v>
      </c>
      <c r="Q139" s="10" t="n">
        <v>2012</v>
      </c>
      <c r="R139" s="7" t="n">
        <v>43008</v>
      </c>
      <c r="S139" s="8" t="n">
        <v>825</v>
      </c>
      <c r="T139" s="8" t="n">
        <v>-1651</v>
      </c>
      <c r="U139" s="9" t="n">
        <v>31723</v>
      </c>
      <c r="V139" s="10" t="n">
        <v>-754</v>
      </c>
      <c r="W139" s="10" t="n">
        <v>-835</v>
      </c>
      <c r="X139" s="7" t="n">
        <v>62144</v>
      </c>
      <c r="Y139" s="8" t="n">
        <v>3484</v>
      </c>
      <c r="Z139" s="8" t="n">
        <v>3681</v>
      </c>
      <c r="AA139" s="9" t="n">
        <v>52484</v>
      </c>
      <c r="AB139" s="10" t="n">
        <v>1956</v>
      </c>
      <c r="AC139" s="10" t="n">
        <v>1012</v>
      </c>
      <c r="AD139" s="7" t="n">
        <v>47639</v>
      </c>
      <c r="AE139" s="8" t="n">
        <v>551</v>
      </c>
      <c r="AF139" s="8" t="n">
        <v>349</v>
      </c>
      <c r="AG139" s="9" t="n">
        <v>33381</v>
      </c>
      <c r="AH139" s="10" t="n">
        <v>-247</v>
      </c>
      <c r="AI139" s="10" t="n">
        <v>-949</v>
      </c>
      <c r="AJ139" s="11" t="n">
        <v>71886</v>
      </c>
      <c r="AK139" s="12" t="n">
        <v>6976</v>
      </c>
      <c r="AL139" s="12" t="n">
        <v>5243</v>
      </c>
      <c r="AM139" s="13" t="n">
        <v>115.4</v>
      </c>
      <c r="AN139" s="13" t="n">
        <v>15.7</v>
      </c>
      <c r="AO139" s="13" t="n">
        <v>2924.3</v>
      </c>
      <c r="AP139" s="13" t="n">
        <v>100.2</v>
      </c>
    </row>
    <row r="140">
      <c r="A140" s="5" t="inlineStr">
        <is>
          <t>TCC스틸</t>
        </is>
      </c>
      <c r="B140" s="6" t="inlineStr">
        <is>
          <t>002710</t>
        </is>
      </c>
      <c r="C140" s="6" t="inlineStr">
        <is>
          <t>연결</t>
        </is>
      </c>
      <c r="D140" s="6" t="inlineStr">
        <is>
          <t>2026Q2</t>
        </is>
      </c>
      <c r="E140" s="6" t="inlineStr"/>
      <c r="F140" s="7" t="inlineStr"/>
      <c r="G140" s="8" t="inlineStr"/>
      <c r="H140" s="8" t="inlineStr"/>
      <c r="I140" s="9" t="n">
        <v>131898</v>
      </c>
      <c r="J140" s="10" t="n">
        <v>1477</v>
      </c>
      <c r="K140" s="10" t="n">
        <v>-1433</v>
      </c>
      <c r="L140" s="7" t="n">
        <v>167063</v>
      </c>
      <c r="M140" s="8" t="n">
        <v>4783</v>
      </c>
      <c r="N140" s="8" t="n">
        <v>8425</v>
      </c>
      <c r="O140" s="9" t="n">
        <v>146555</v>
      </c>
      <c r="P140" s="10" t="n">
        <v>3180</v>
      </c>
      <c r="Q140" s="10" t="n">
        <v>4168</v>
      </c>
      <c r="R140" s="7" t="n">
        <v>136559</v>
      </c>
      <c r="S140" s="8" t="n">
        <v>2832</v>
      </c>
      <c r="T140" s="8" t="n">
        <v>9063</v>
      </c>
      <c r="U140" s="9" t="n">
        <v>155650</v>
      </c>
      <c r="V140" s="10" t="n">
        <v>1824</v>
      </c>
      <c r="W140" s="10" t="n">
        <v>-72</v>
      </c>
      <c r="X140" s="7" t="n">
        <v>155417</v>
      </c>
      <c r="Y140" s="8" t="n">
        <v>-3370</v>
      </c>
      <c r="Z140" s="8" t="n">
        <v>2291</v>
      </c>
      <c r="AA140" s="9" t="n">
        <v>148606</v>
      </c>
      <c r="AB140" s="10" t="n">
        <v>-5449</v>
      </c>
      <c r="AC140" s="10" t="n">
        <v>-4055</v>
      </c>
      <c r="AD140" s="7" t="n">
        <v>151841</v>
      </c>
      <c r="AE140" s="8" t="n">
        <v>-3914</v>
      </c>
      <c r="AF140" s="8" t="n">
        <v>-5765</v>
      </c>
      <c r="AG140" s="9" t="n">
        <v>174653</v>
      </c>
      <c r="AH140" s="10" t="n">
        <v>-3980</v>
      </c>
      <c r="AI140" s="10" t="n">
        <v>-1536</v>
      </c>
      <c r="AJ140" s="11" t="n">
        <v>182687</v>
      </c>
      <c r="AK140" s="12" t="n">
        <v>1170</v>
      </c>
      <c r="AL140" s="12" t="n">
        <v>-6052</v>
      </c>
      <c r="AM140" s="13" t="n">
        <v>4.6</v>
      </c>
      <c r="AN140" s="13" t="n">
        <v>17.5</v>
      </c>
      <c r="AO140" s="13" t="n">
        <v>129.4</v>
      </c>
      <c r="AP140" s="13" t="n">
        <v>134.7</v>
      </c>
    </row>
    <row r="141">
      <c r="A141" s="5" t="inlineStr">
        <is>
          <t>국제약품</t>
        </is>
      </c>
      <c r="B141" s="6" t="inlineStr">
        <is>
          <t>002720</t>
        </is>
      </c>
      <c r="C141" s="6" t="inlineStr">
        <is>
          <t>연결</t>
        </is>
      </c>
      <c r="D141" s="6" t="inlineStr">
        <is>
          <t>2026Q2</t>
        </is>
      </c>
      <c r="E141" s="6" t="inlineStr"/>
      <c r="F141" s="7" t="inlineStr"/>
      <c r="G141" s="8" t="inlineStr"/>
      <c r="H141" s="8" t="inlineStr"/>
      <c r="I141" s="9" t="n">
        <v>37534</v>
      </c>
      <c r="J141" s="10" t="n">
        <v>3397</v>
      </c>
      <c r="K141" s="10" t="n">
        <v>2754</v>
      </c>
      <c r="L141" s="7" t="n">
        <v>37643</v>
      </c>
      <c r="M141" s="8" t="n">
        <v>684</v>
      </c>
      <c r="N141" s="8" t="n">
        <v>600</v>
      </c>
      <c r="O141" s="9" t="n">
        <v>39651</v>
      </c>
      <c r="P141" s="10" t="n">
        <v>1678</v>
      </c>
      <c r="Q141" s="10" t="n">
        <v>1154</v>
      </c>
      <c r="R141" s="7" t="n">
        <v>41635</v>
      </c>
      <c r="S141" s="8" t="n">
        <v>943</v>
      </c>
      <c r="T141" s="8" t="n">
        <v>698</v>
      </c>
      <c r="U141" s="9" t="n">
        <v>41504</v>
      </c>
      <c r="V141" s="10" t="n">
        <v>2303</v>
      </c>
      <c r="W141" s="10" t="n">
        <v>1858</v>
      </c>
      <c r="X141" s="7" t="n">
        <v>45023</v>
      </c>
      <c r="Y141" s="8" t="n">
        <v>3509</v>
      </c>
      <c r="Z141" s="8" t="n">
        <v>2665</v>
      </c>
      <c r="AA141" s="9" t="n">
        <v>45633</v>
      </c>
      <c r="AB141" s="10" t="n">
        <v>1915</v>
      </c>
      <c r="AC141" s="10" t="n">
        <v>1917</v>
      </c>
      <c r="AD141" s="7" t="n">
        <v>43336</v>
      </c>
      <c r="AE141" s="8" t="n">
        <v>-1542</v>
      </c>
      <c r="AF141" s="8" t="n">
        <v>-735</v>
      </c>
      <c r="AG141" s="9" t="n">
        <v>43980</v>
      </c>
      <c r="AH141" s="10" t="n">
        <v>1969</v>
      </c>
      <c r="AI141" s="10" t="n">
        <v>2145</v>
      </c>
      <c r="AJ141" s="11" t="n">
        <v>48318</v>
      </c>
      <c r="AK141" s="12" t="n">
        <v>2134</v>
      </c>
      <c r="AL141" s="12" t="n">
        <v>1667</v>
      </c>
      <c r="AM141" s="13" t="n">
        <v>9.9</v>
      </c>
      <c r="AN141" s="13" t="n">
        <v>7.3</v>
      </c>
      <c r="AO141" s="13" t="n">
        <v>8.4</v>
      </c>
      <c r="AP141" s="13" t="n">
        <v>-39.2</v>
      </c>
    </row>
    <row r="142">
      <c r="A142" s="5" t="inlineStr">
        <is>
          <t>보락</t>
        </is>
      </c>
      <c r="B142" s="6" t="inlineStr">
        <is>
          <t>002760</t>
        </is>
      </c>
      <c r="C142" s="6" t="inlineStr">
        <is>
          <t>별도</t>
        </is>
      </c>
      <c r="D142" s="6" t="inlineStr">
        <is>
          <t>2026Q2</t>
        </is>
      </c>
      <c r="E142" s="6" t="inlineStr"/>
      <c r="F142" s="7" t="inlineStr"/>
      <c r="G142" s="8" t="inlineStr"/>
      <c r="H142" s="8" t="inlineStr"/>
      <c r="I142" s="9" t="n">
        <v>11370</v>
      </c>
      <c r="J142" s="10" t="n">
        <v>373</v>
      </c>
      <c r="K142" s="10" t="n">
        <v>345</v>
      </c>
      <c r="L142" s="7" t="n">
        <v>11827</v>
      </c>
      <c r="M142" s="8" t="n">
        <v>330</v>
      </c>
      <c r="N142" s="8" t="n">
        <v>447</v>
      </c>
      <c r="O142" s="9" t="n">
        <v>12627</v>
      </c>
      <c r="P142" s="10" t="n">
        <v>617</v>
      </c>
      <c r="Q142" s="10" t="n">
        <v>594</v>
      </c>
      <c r="R142" s="7" t="n">
        <v>11776</v>
      </c>
      <c r="S142" s="8" t="n">
        <v>-3112</v>
      </c>
      <c r="T142" s="8" t="n">
        <v>-2896</v>
      </c>
      <c r="U142" s="9" t="n">
        <v>13048</v>
      </c>
      <c r="V142" s="10" t="n">
        <v>305</v>
      </c>
      <c r="W142" s="10" t="n">
        <v>240</v>
      </c>
      <c r="X142" s="7" t="n">
        <v>13734</v>
      </c>
      <c r="Y142" s="8" t="n">
        <v>891</v>
      </c>
      <c r="Z142" s="8" t="n">
        <v>1050</v>
      </c>
      <c r="AA142" s="9" t="n">
        <v>11933</v>
      </c>
      <c r="AB142" s="10" t="n">
        <v>984</v>
      </c>
      <c r="AC142" s="10" t="n">
        <v>1019</v>
      </c>
      <c r="AD142" s="7" t="n">
        <v>11401</v>
      </c>
      <c r="AE142" s="8" t="n">
        <v>50</v>
      </c>
      <c r="AF142" s="8" t="n">
        <v>31</v>
      </c>
      <c r="AG142" s="9" t="n">
        <v>11207</v>
      </c>
      <c r="AH142" s="10" t="n">
        <v>557</v>
      </c>
      <c r="AI142" s="10" t="n">
        <v>543</v>
      </c>
      <c r="AJ142" s="11" t="n">
        <v>12491</v>
      </c>
      <c r="AK142" s="12" t="n">
        <v>683</v>
      </c>
      <c r="AL142" s="12" t="n">
        <v>931</v>
      </c>
      <c r="AM142" s="13" t="n">
        <v>11.5</v>
      </c>
      <c r="AN142" s="13" t="n">
        <v>-9.1</v>
      </c>
      <c r="AO142" s="13" t="n">
        <v>22.6</v>
      </c>
      <c r="AP142" s="13" t="n">
        <v>-23.3</v>
      </c>
    </row>
    <row r="143">
      <c r="A143" s="5" t="inlineStr">
        <is>
          <t>진흥기업</t>
        </is>
      </c>
      <c r="B143" s="6" t="inlineStr">
        <is>
          <t>002780</t>
        </is>
      </c>
      <c r="C143" s="6" t="inlineStr">
        <is>
          <t>별도</t>
        </is>
      </c>
      <c r="D143" s="6" t="inlineStr">
        <is>
          <t>2026Q2</t>
        </is>
      </c>
      <c r="E143" s="6" t="inlineStr"/>
      <c r="F143" s="7" t="inlineStr"/>
      <c r="G143" s="8" t="inlineStr"/>
      <c r="H143" s="8" t="inlineStr"/>
      <c r="I143" s="9" t="n">
        <v>171166</v>
      </c>
      <c r="J143" s="10" t="n">
        <v>9638</v>
      </c>
      <c r="K143" s="10" t="n">
        <v>8923</v>
      </c>
      <c r="L143" s="7" t="n">
        <v>188957</v>
      </c>
      <c r="M143" s="8" t="n">
        <v>-18370</v>
      </c>
      <c r="N143" s="8" t="n">
        <v>-14873</v>
      </c>
      <c r="O143" s="9" t="n">
        <v>166016</v>
      </c>
      <c r="P143" s="10" t="n">
        <v>-3286</v>
      </c>
      <c r="Q143" s="10" t="n">
        <v>-2568</v>
      </c>
      <c r="R143" s="7" t="n">
        <v>200052</v>
      </c>
      <c r="S143" s="8" t="n">
        <v>7271</v>
      </c>
      <c r="T143" s="8" t="n">
        <v>10697</v>
      </c>
      <c r="U143" s="9" t="n">
        <v>95364</v>
      </c>
      <c r="V143" s="10" t="n">
        <v>1186</v>
      </c>
      <c r="W143" s="10" t="n">
        <v>3401</v>
      </c>
      <c r="X143" s="7" t="n">
        <v>136766</v>
      </c>
      <c r="Y143" s="8" t="n">
        <v>240</v>
      </c>
      <c r="Z143" s="8" t="n">
        <v>-9042</v>
      </c>
      <c r="AA143" s="9" t="n">
        <v>157291</v>
      </c>
      <c r="AB143" s="10" t="n">
        <v>2265</v>
      </c>
      <c r="AC143" s="10" t="n">
        <v>4087</v>
      </c>
      <c r="AD143" s="7" t="n">
        <v>186961</v>
      </c>
      <c r="AE143" s="8" t="n">
        <v>-26695</v>
      </c>
      <c r="AF143" s="8" t="n">
        <v>-26817</v>
      </c>
      <c r="AG143" s="9" t="n">
        <v>183604</v>
      </c>
      <c r="AH143" s="10" t="n">
        <v>11098</v>
      </c>
      <c r="AI143" s="10" t="n">
        <v>9472</v>
      </c>
      <c r="AJ143" s="11" t="n">
        <v>220256</v>
      </c>
      <c r="AK143" s="12" t="n">
        <v>507</v>
      </c>
      <c r="AL143" s="12" t="n">
        <v>698</v>
      </c>
      <c r="AM143" s="13" t="n">
        <v>20</v>
      </c>
      <c r="AN143" s="13" t="n">
        <v>61</v>
      </c>
      <c r="AO143" s="13" t="n">
        <v>-95.40000000000001</v>
      </c>
      <c r="AP143" s="13" t="n">
        <v>111.2</v>
      </c>
    </row>
    <row r="144">
      <c r="A144" s="5" t="inlineStr">
        <is>
          <t>아모레퍼시픽홀딩스</t>
        </is>
      </c>
      <c r="B144" s="6" t="inlineStr">
        <is>
          <t>002790</t>
        </is>
      </c>
      <c r="C144" s="6" t="inlineStr">
        <is>
          <t>연결</t>
        </is>
      </c>
      <c r="D144" s="6" t="inlineStr">
        <is>
          <t>2026Q2</t>
        </is>
      </c>
      <c r="E144" s="6" t="inlineStr">
        <is>
          <t>2023Q4</t>
        </is>
      </c>
      <c r="F144" s="14" t="n">
        <v>1018006</v>
      </c>
      <c r="G144" s="15" t="n">
        <v>29852</v>
      </c>
      <c r="H144" s="15" t="n">
        <v>47890</v>
      </c>
      <c r="I144" s="9" t="n">
        <v>1006777</v>
      </c>
      <c r="J144" s="10" t="n">
        <v>83037</v>
      </c>
      <c r="K144" s="10" t="n">
        <v>97771</v>
      </c>
      <c r="L144" s="7" t="n">
        <v>1005691</v>
      </c>
      <c r="M144" s="8" t="n">
        <v>12222</v>
      </c>
      <c r="N144" s="8" t="n">
        <v>537253</v>
      </c>
      <c r="O144" s="9" t="n">
        <v>1068057</v>
      </c>
      <c r="P144" s="10" t="n">
        <v>74990</v>
      </c>
      <c r="Q144" s="10" t="n">
        <v>51646</v>
      </c>
      <c r="R144" s="7" t="n">
        <v>1179362</v>
      </c>
      <c r="S144" s="8" t="n">
        <v>79029</v>
      </c>
      <c r="T144" s="8" t="n">
        <v>-33797</v>
      </c>
      <c r="U144" s="9" t="n">
        <v>1164751</v>
      </c>
      <c r="V144" s="10" t="n">
        <v>128863</v>
      </c>
      <c r="W144" s="10" t="n">
        <v>140008</v>
      </c>
      <c r="X144" s="7" t="n">
        <v>1094967</v>
      </c>
      <c r="Y144" s="8" t="n">
        <v>80116</v>
      </c>
      <c r="Z144" s="8" t="n">
        <v>50771</v>
      </c>
      <c r="AA144" s="9" t="n">
        <v>1108243</v>
      </c>
      <c r="AB144" s="10" t="n">
        <v>104261</v>
      </c>
      <c r="AC144" s="10" t="n">
        <v>83271</v>
      </c>
      <c r="AD144" s="7" t="n">
        <v>1255214</v>
      </c>
      <c r="AE144" s="8" t="n">
        <v>54760</v>
      </c>
      <c r="AF144" s="8" t="n">
        <v>18106</v>
      </c>
      <c r="AG144" s="9" t="n">
        <v>1222743</v>
      </c>
      <c r="AH144" s="10" t="n">
        <v>137786</v>
      </c>
      <c r="AI144" s="10" t="n">
        <v>132463</v>
      </c>
      <c r="AJ144" s="11" t="n">
        <v>1254302</v>
      </c>
      <c r="AK144" s="12" t="n">
        <v>122783</v>
      </c>
      <c r="AL144" s="12" t="n">
        <v>104452</v>
      </c>
      <c r="AM144" s="13" t="n">
        <v>2.6</v>
      </c>
      <c r="AN144" s="13" t="n">
        <v>14.6</v>
      </c>
      <c r="AO144" s="13" t="n">
        <v>-10.9</v>
      </c>
      <c r="AP144" s="13" t="n">
        <v>53.3</v>
      </c>
    </row>
    <row r="145">
      <c r="A145" s="5" t="inlineStr">
        <is>
          <t>신신제약</t>
        </is>
      </c>
      <c r="B145" s="6" t="inlineStr">
        <is>
          <t>002800</t>
        </is>
      </c>
      <c r="C145" s="6" t="inlineStr">
        <is>
          <t>연결</t>
        </is>
      </c>
      <c r="D145" s="6" t="inlineStr">
        <is>
          <t>2026Q2</t>
        </is>
      </c>
      <c r="E145" s="6" t="inlineStr"/>
      <c r="F145" s="7" t="inlineStr"/>
      <c r="G145" s="8" t="inlineStr"/>
      <c r="H145" s="8" t="inlineStr"/>
      <c r="I145" s="9" t="n">
        <v>24710</v>
      </c>
      <c r="J145" s="10" t="n">
        <v>622</v>
      </c>
      <c r="K145" s="10" t="n">
        <v>346</v>
      </c>
      <c r="L145" s="7" t="n">
        <v>29457</v>
      </c>
      <c r="M145" s="8" t="n">
        <v>3247</v>
      </c>
      <c r="N145" s="8" t="n">
        <v>2708</v>
      </c>
      <c r="O145" s="9" t="n">
        <v>26957</v>
      </c>
      <c r="P145" s="10" t="n">
        <v>1870</v>
      </c>
      <c r="Q145" s="10" t="n">
        <v>1048</v>
      </c>
      <c r="R145" s="7" t="n">
        <v>25264</v>
      </c>
      <c r="S145" s="8" t="n">
        <v>1151</v>
      </c>
      <c r="T145" s="8" t="n">
        <v>709</v>
      </c>
      <c r="U145" s="9" t="n">
        <v>25310</v>
      </c>
      <c r="V145" s="10" t="n">
        <v>1273</v>
      </c>
      <c r="W145" s="10" t="n">
        <v>994</v>
      </c>
      <c r="X145" s="7" t="n">
        <v>29597</v>
      </c>
      <c r="Y145" s="8" t="n">
        <v>2222</v>
      </c>
      <c r="Z145" s="8" t="n">
        <v>1393</v>
      </c>
      <c r="AA145" s="9" t="n">
        <v>30115</v>
      </c>
      <c r="AB145" s="10" t="n">
        <v>3959</v>
      </c>
      <c r="AC145" s="10" t="n">
        <v>3402</v>
      </c>
      <c r="AD145" s="7" t="n">
        <v>28756</v>
      </c>
      <c r="AE145" s="8" t="n">
        <v>3336</v>
      </c>
      <c r="AF145" s="8" t="n">
        <v>3493</v>
      </c>
      <c r="AG145" s="9" t="n">
        <v>30180</v>
      </c>
      <c r="AH145" s="10" t="n">
        <v>3178</v>
      </c>
      <c r="AI145" s="10" t="n">
        <v>2861</v>
      </c>
      <c r="AJ145" s="11" t="n">
        <v>33999</v>
      </c>
      <c r="AK145" s="12" t="n">
        <v>4065</v>
      </c>
      <c r="AL145" s="12" t="n">
        <v>3648</v>
      </c>
      <c r="AM145" s="13" t="n">
        <v>12.7</v>
      </c>
      <c r="AN145" s="13" t="n">
        <v>14.9</v>
      </c>
      <c r="AO145" s="13" t="n">
        <v>27.9</v>
      </c>
      <c r="AP145" s="13" t="n">
        <v>82.90000000000001</v>
      </c>
    </row>
    <row r="146">
      <c r="A146" s="5" t="inlineStr">
        <is>
          <t>삼영무역</t>
        </is>
      </c>
      <c r="B146" s="6" t="inlineStr">
        <is>
          <t>002810</t>
        </is>
      </c>
      <c r="C146" s="6" t="inlineStr">
        <is>
          <t>연결</t>
        </is>
      </c>
      <c r="D146" s="6" t="inlineStr">
        <is>
          <t>2026Q2</t>
        </is>
      </c>
      <c r="E146" s="6" t="inlineStr"/>
      <c r="F146" s="7" t="inlineStr"/>
      <c r="G146" s="8" t="inlineStr"/>
      <c r="H146" s="8" t="inlineStr"/>
      <c r="I146" s="9" t="n">
        <v>117828</v>
      </c>
      <c r="J146" s="10" t="n">
        <v>5072</v>
      </c>
      <c r="K146" s="10" t="n">
        <v>16927</v>
      </c>
      <c r="L146" s="7" t="n">
        <v>127644</v>
      </c>
      <c r="M146" s="8" t="n">
        <v>6231</v>
      </c>
      <c r="N146" s="8" t="n">
        <v>18232</v>
      </c>
      <c r="O146" s="9" t="n">
        <v>114080</v>
      </c>
      <c r="P146" s="10" t="n">
        <v>3649</v>
      </c>
      <c r="Q146" s="10" t="n">
        <v>14363</v>
      </c>
      <c r="R146" s="7" t="n">
        <v>120639</v>
      </c>
      <c r="S146" s="8" t="n">
        <v>3408</v>
      </c>
      <c r="T146" s="8" t="n">
        <v>13062</v>
      </c>
      <c r="U146" s="9" t="n">
        <v>115976</v>
      </c>
      <c r="V146" s="10" t="n">
        <v>5266</v>
      </c>
      <c r="W146" s="10" t="n">
        <v>18082</v>
      </c>
      <c r="X146" s="7" t="n">
        <v>119980</v>
      </c>
      <c r="Y146" s="8" t="n">
        <v>5233</v>
      </c>
      <c r="Z146" s="8" t="n">
        <v>16799</v>
      </c>
      <c r="AA146" s="9" t="n">
        <v>110362</v>
      </c>
      <c r="AB146" s="10" t="n">
        <v>3301</v>
      </c>
      <c r="AC146" s="10" t="n">
        <v>15798</v>
      </c>
      <c r="AD146" s="7" t="n">
        <v>100550</v>
      </c>
      <c r="AE146" s="8" t="n">
        <v>-1038</v>
      </c>
      <c r="AF146" s="8" t="n">
        <v>10673</v>
      </c>
      <c r="AG146" s="9" t="n">
        <v>109421</v>
      </c>
      <c r="AH146" s="10" t="n">
        <v>4512</v>
      </c>
      <c r="AI146" s="10" t="n">
        <v>19835</v>
      </c>
      <c r="AJ146" s="11" t="n">
        <v>123413</v>
      </c>
      <c r="AK146" s="12" t="n">
        <v>9033</v>
      </c>
      <c r="AL146" s="12" t="n">
        <v>23070</v>
      </c>
      <c r="AM146" s="13" t="n">
        <v>12.8</v>
      </c>
      <c r="AN146" s="13" t="n">
        <v>2.9</v>
      </c>
      <c r="AO146" s="13" t="n">
        <v>100.2</v>
      </c>
      <c r="AP146" s="13" t="n">
        <v>72.59999999999999</v>
      </c>
    </row>
    <row r="147">
      <c r="A147" s="5" t="inlineStr">
        <is>
          <t>SUN&amp;L</t>
        </is>
      </c>
      <c r="B147" s="6" t="inlineStr">
        <is>
          <t>002820</t>
        </is>
      </c>
      <c r="C147" s="6" t="inlineStr">
        <is>
          <t>연결</t>
        </is>
      </c>
      <c r="D147" s="6" t="inlineStr">
        <is>
          <t>2026Q2</t>
        </is>
      </c>
      <c r="E147" s="6" t="inlineStr"/>
      <c r="F147" s="7" t="inlineStr"/>
      <c r="G147" s="8" t="inlineStr"/>
      <c r="H147" s="8" t="inlineStr"/>
      <c r="I147" s="9" t="n">
        <v>87210</v>
      </c>
      <c r="J147" s="10" t="n">
        <v>-1505</v>
      </c>
      <c r="K147" s="10" t="n">
        <v>-3598</v>
      </c>
      <c r="L147" s="7" t="n">
        <v>86078</v>
      </c>
      <c r="M147" s="8" t="n">
        <v>-1275</v>
      </c>
      <c r="N147" s="8" t="n">
        <v>-4633</v>
      </c>
      <c r="O147" s="9" t="n">
        <v>76680</v>
      </c>
      <c r="P147" s="10" t="n">
        <v>-1320</v>
      </c>
      <c r="Q147" s="10" t="n">
        <v>-3779</v>
      </c>
      <c r="R147" s="7" t="n">
        <v>89374</v>
      </c>
      <c r="S147" s="8" t="n">
        <v>-1764</v>
      </c>
      <c r="T147" s="8" t="n">
        <v>1436</v>
      </c>
      <c r="U147" s="9" t="n">
        <v>70971</v>
      </c>
      <c r="V147" s="10" t="n">
        <v>-2005</v>
      </c>
      <c r="W147" s="10" t="n">
        <v>-3737</v>
      </c>
      <c r="X147" s="7" t="n">
        <v>77672</v>
      </c>
      <c r="Y147" s="8" t="n">
        <v>-2947</v>
      </c>
      <c r="Z147" s="8" t="n">
        <v>-3879</v>
      </c>
      <c r="AA147" s="9" t="n">
        <v>65967</v>
      </c>
      <c r="AB147" s="10" t="n">
        <v>-6848</v>
      </c>
      <c r="AC147" s="10" t="n">
        <v>6819</v>
      </c>
      <c r="AD147" s="7" t="n">
        <v>57794</v>
      </c>
      <c r="AE147" s="8" t="n">
        <v>-6078</v>
      </c>
      <c r="AF147" s="8" t="n">
        <v>-2838</v>
      </c>
      <c r="AG147" s="9" t="n">
        <v>50628</v>
      </c>
      <c r="AH147" s="10" t="n">
        <v>-2769</v>
      </c>
      <c r="AI147" s="10" t="n">
        <v>-5062</v>
      </c>
      <c r="AJ147" s="11" t="n">
        <v>59456</v>
      </c>
      <c r="AK147" s="12" t="n">
        <v>-1055</v>
      </c>
      <c r="AL147" s="12" t="n">
        <v>8309</v>
      </c>
      <c r="AM147" s="13" t="n">
        <v>17.4</v>
      </c>
      <c r="AN147" s="13" t="n">
        <v>-23.5</v>
      </c>
      <c r="AO147" s="13" t="n">
        <v>61.9</v>
      </c>
      <c r="AP147" s="13" t="n">
        <v>64.2</v>
      </c>
    </row>
    <row r="148">
      <c r="A148" s="5" t="inlineStr">
        <is>
          <t>미원상사</t>
        </is>
      </c>
      <c r="B148" s="6" t="inlineStr">
        <is>
          <t>002840</t>
        </is>
      </c>
      <c r="C148" s="6" t="inlineStr">
        <is>
          <t>연결</t>
        </is>
      </c>
      <c r="D148" s="6" t="inlineStr">
        <is>
          <t>2026Q2</t>
        </is>
      </c>
      <c r="E148" s="6" t="inlineStr"/>
      <c r="F148" s="7" t="inlineStr"/>
      <c r="G148" s="8" t="inlineStr"/>
      <c r="H148" s="8" t="inlineStr"/>
      <c r="I148" s="9" t="n">
        <v>103935</v>
      </c>
      <c r="J148" s="10" t="n">
        <v>15954</v>
      </c>
      <c r="K148" s="10" t="n">
        <v>8530</v>
      </c>
      <c r="L148" s="7" t="n">
        <v>111058</v>
      </c>
      <c r="M148" s="8" t="n">
        <v>20025</v>
      </c>
      <c r="N148" s="8" t="n">
        <v>17753</v>
      </c>
      <c r="O148" s="9" t="n">
        <v>106169</v>
      </c>
      <c r="P148" s="10" t="n">
        <v>14339</v>
      </c>
      <c r="Q148" s="10" t="n">
        <v>10760</v>
      </c>
      <c r="R148" s="7" t="n">
        <v>114636</v>
      </c>
      <c r="S148" s="8" t="n">
        <v>9628</v>
      </c>
      <c r="T148" s="8" t="n">
        <v>13506</v>
      </c>
      <c r="U148" s="9" t="n">
        <v>108231</v>
      </c>
      <c r="V148" s="10" t="n">
        <v>13487</v>
      </c>
      <c r="W148" s="10" t="n">
        <v>13076</v>
      </c>
      <c r="X148" s="7" t="n">
        <v>111210</v>
      </c>
      <c r="Y148" s="8" t="n">
        <v>10348</v>
      </c>
      <c r="Z148" s="8" t="n">
        <v>7322</v>
      </c>
      <c r="AA148" s="9" t="n">
        <v>113106</v>
      </c>
      <c r="AB148" s="10" t="n">
        <v>10757</v>
      </c>
      <c r="AC148" s="10" t="n">
        <v>10357</v>
      </c>
      <c r="AD148" s="7" t="n">
        <v>108591</v>
      </c>
      <c r="AE148" s="8" t="n">
        <v>9016</v>
      </c>
      <c r="AF148" s="8" t="n">
        <v>12767</v>
      </c>
      <c r="AG148" s="9" t="n">
        <v>117305</v>
      </c>
      <c r="AH148" s="10" t="n">
        <v>9829</v>
      </c>
      <c r="AI148" s="10" t="n">
        <v>10999</v>
      </c>
      <c r="AJ148" s="11" t="n">
        <v>130051</v>
      </c>
      <c r="AK148" s="12" t="n">
        <v>20307</v>
      </c>
      <c r="AL148" s="12" t="n">
        <v>18692</v>
      </c>
      <c r="AM148" s="13" t="n">
        <v>10.9</v>
      </c>
      <c r="AN148" s="13" t="n">
        <v>16.9</v>
      </c>
      <c r="AO148" s="13" t="n">
        <v>106.6</v>
      </c>
      <c r="AP148" s="13" t="n">
        <v>96.2</v>
      </c>
    </row>
    <row r="149">
      <c r="A149" s="5" t="inlineStr">
        <is>
          <t>신풍</t>
        </is>
      </c>
      <c r="B149" s="6" t="inlineStr">
        <is>
          <t>002870</t>
        </is>
      </c>
      <c r="C149" s="6" t="inlineStr">
        <is>
          <t>연결</t>
        </is>
      </c>
      <c r="D149" s="6" t="inlineStr">
        <is>
          <t>2026Q2</t>
        </is>
      </c>
      <c r="E149" s="6" t="inlineStr"/>
      <c r="F149" s="7" t="inlineStr"/>
      <c r="G149" s="8" t="inlineStr"/>
      <c r="H149" s="8" t="inlineStr"/>
      <c r="I149" s="9" t="n">
        <v>5055</v>
      </c>
      <c r="J149" s="10" t="n">
        <v>-938</v>
      </c>
      <c r="K149" s="10" t="n">
        <v>2349</v>
      </c>
      <c r="L149" s="7" t="n">
        <v>5508</v>
      </c>
      <c r="M149" s="8" t="n">
        <v>-1316</v>
      </c>
      <c r="N149" s="8" t="n">
        <v>204</v>
      </c>
      <c r="O149" s="9" t="n">
        <v>6152</v>
      </c>
      <c r="P149" s="10" t="n">
        <v>-1012</v>
      </c>
      <c r="Q149" s="10" t="n">
        <v>-329</v>
      </c>
      <c r="R149" s="7" t="n">
        <v>6063</v>
      </c>
      <c r="S149" s="8" t="n">
        <v>-1100</v>
      </c>
      <c r="T149" s="8" t="n">
        <v>-1915</v>
      </c>
      <c r="U149" s="9" t="n">
        <v>5785</v>
      </c>
      <c r="V149" s="10" t="n">
        <v>-882</v>
      </c>
      <c r="W149" s="10" t="n">
        <v>701</v>
      </c>
      <c r="X149" s="7" t="n">
        <v>6413</v>
      </c>
      <c r="Y149" s="8" t="n">
        <v>-466</v>
      </c>
      <c r="Z149" s="8" t="n">
        <v>355</v>
      </c>
      <c r="AA149" s="9" t="n">
        <v>6323</v>
      </c>
      <c r="AB149" s="10" t="n">
        <v>-366</v>
      </c>
      <c r="AC149" s="10" t="n">
        <v>958</v>
      </c>
      <c r="AD149" s="7" t="n">
        <v>5707</v>
      </c>
      <c r="AE149" s="8" t="n">
        <v>-579</v>
      </c>
      <c r="AF149" s="8" t="n">
        <v>-13</v>
      </c>
      <c r="AG149" s="9" t="n">
        <v>6025</v>
      </c>
      <c r="AH149" s="10" t="n">
        <v>-564</v>
      </c>
      <c r="AI149" s="10" t="n">
        <v>845</v>
      </c>
      <c r="AJ149" s="11" t="n">
        <v>6812</v>
      </c>
      <c r="AK149" s="12" t="n">
        <v>-613</v>
      </c>
      <c r="AL149" s="12" t="n">
        <v>6887</v>
      </c>
      <c r="AM149" s="13" t="n">
        <v>13.1</v>
      </c>
      <c r="AN149" s="13" t="n">
        <v>6.2</v>
      </c>
      <c r="AO149" s="13" t="n">
        <v>-8.699999999999999</v>
      </c>
      <c r="AP149" s="13" t="n">
        <v>-31.5</v>
      </c>
    </row>
    <row r="150">
      <c r="A150" s="5" t="inlineStr">
        <is>
          <t>디와이에이</t>
        </is>
      </c>
      <c r="B150" s="6" t="inlineStr">
        <is>
          <t>002880</t>
        </is>
      </c>
      <c r="C150" s="6" t="inlineStr">
        <is>
          <t>연결</t>
        </is>
      </c>
      <c r="D150" s="6" t="inlineStr">
        <is>
          <t>2026Q2</t>
        </is>
      </c>
      <c r="E150" s="6" t="inlineStr"/>
      <c r="F150" s="7" t="inlineStr"/>
      <c r="G150" s="8" t="inlineStr"/>
      <c r="H150" s="8" t="inlineStr"/>
      <c r="I150" s="9" t="n">
        <v>150220</v>
      </c>
      <c r="J150" s="10" t="n">
        <v>13283</v>
      </c>
      <c r="K150" s="10" t="n">
        <v>8588</v>
      </c>
      <c r="L150" s="7" t="n">
        <v>148518</v>
      </c>
      <c r="M150" s="8" t="n">
        <v>10693</v>
      </c>
      <c r="N150" s="8" t="n">
        <v>4008</v>
      </c>
      <c r="O150" s="9" t="n">
        <v>130004</v>
      </c>
      <c r="P150" s="10" t="n">
        <v>8453</v>
      </c>
      <c r="Q150" s="10" t="n">
        <v>3331</v>
      </c>
      <c r="R150" s="7" t="n">
        <v>136174</v>
      </c>
      <c r="S150" s="8" t="n">
        <v>5040</v>
      </c>
      <c r="T150" s="8" t="n">
        <v>-11082</v>
      </c>
      <c r="U150" s="9" t="n">
        <v>147391</v>
      </c>
      <c r="V150" s="10" t="n">
        <v>10796</v>
      </c>
      <c r="W150" s="10" t="n">
        <v>1525</v>
      </c>
      <c r="X150" s="7" t="n">
        <v>152948</v>
      </c>
      <c r="Y150" s="8" t="n">
        <v>10277</v>
      </c>
      <c r="Z150" s="8" t="n">
        <v>2707</v>
      </c>
      <c r="AA150" s="9" t="n">
        <v>159276</v>
      </c>
      <c r="AB150" s="10" t="n">
        <v>5978</v>
      </c>
      <c r="AC150" s="10" t="n">
        <v>4721</v>
      </c>
      <c r="AD150" s="7" t="n">
        <v>173783</v>
      </c>
      <c r="AE150" s="8" t="n">
        <v>3155</v>
      </c>
      <c r="AF150" s="8" t="n">
        <v>-9605</v>
      </c>
      <c r="AG150" s="9" t="n">
        <v>189278</v>
      </c>
      <c r="AH150" s="10" t="n">
        <v>7289</v>
      </c>
      <c r="AI150" s="10" t="n">
        <v>3532</v>
      </c>
      <c r="AJ150" s="11" t="n">
        <v>252999996</v>
      </c>
      <c r="AK150" s="12" t="n">
        <v>13495638</v>
      </c>
      <c r="AL150" s="12" t="n">
        <v>14468220</v>
      </c>
      <c r="AM150" s="13" t="n">
        <v>133565.8</v>
      </c>
      <c r="AN150" s="13" t="n">
        <v>165315.7</v>
      </c>
      <c r="AO150" s="13" t="n">
        <v>185050.7</v>
      </c>
      <c r="AP150" s="13" t="n">
        <v>131218.8</v>
      </c>
    </row>
    <row r="151">
      <c r="A151" s="5" t="inlineStr">
        <is>
          <t>TYM</t>
        </is>
      </c>
      <c r="B151" s="6" t="inlineStr">
        <is>
          <t>002900</t>
        </is>
      </c>
      <c r="C151" s="6" t="inlineStr">
        <is>
          <t>연결</t>
        </is>
      </c>
      <c r="D151" s="6" t="inlineStr">
        <is>
          <t>2026Q2</t>
        </is>
      </c>
      <c r="E151" s="6" t="inlineStr"/>
      <c r="F151" s="7" t="inlineStr"/>
      <c r="G151" s="8" t="inlineStr"/>
      <c r="H151" s="8" t="inlineStr"/>
      <c r="I151" s="9" t="n">
        <v>223155</v>
      </c>
      <c r="J151" s="10" t="n">
        <v>10732</v>
      </c>
      <c r="K151" s="10" t="n">
        <v>14771</v>
      </c>
      <c r="L151" s="7" t="n">
        <v>215185</v>
      </c>
      <c r="M151" s="8" t="n">
        <v>12012</v>
      </c>
      <c r="N151" s="8" t="n">
        <v>9423</v>
      </c>
      <c r="O151" s="9" t="n">
        <v>188438</v>
      </c>
      <c r="P151" s="10" t="n">
        <v>-162</v>
      </c>
      <c r="Q151" s="10" t="n">
        <v>-12425</v>
      </c>
      <c r="R151" s="7" t="n">
        <v>162012</v>
      </c>
      <c r="S151" s="8" t="n">
        <v>-6502</v>
      </c>
      <c r="T151" s="8" t="n">
        <v>6440</v>
      </c>
      <c r="U151" s="9" t="n">
        <v>225746</v>
      </c>
      <c r="V151" s="10" t="n">
        <v>15140</v>
      </c>
      <c r="W151" s="10" t="n">
        <v>10326</v>
      </c>
      <c r="X151" s="7" t="n">
        <v>262572</v>
      </c>
      <c r="Y151" s="8" t="n">
        <v>24236</v>
      </c>
      <c r="Z151" s="8" t="n">
        <v>12560</v>
      </c>
      <c r="AA151" s="9" t="n">
        <v>224174</v>
      </c>
      <c r="AB151" s="10" t="n">
        <v>15928</v>
      </c>
      <c r="AC151" s="10" t="n">
        <v>11215</v>
      </c>
      <c r="AD151" s="7" t="n">
        <v>216869</v>
      </c>
      <c r="AE151" s="8" t="n">
        <v>8778</v>
      </c>
      <c r="AF151" s="8" t="n">
        <v>6018</v>
      </c>
      <c r="AG151" s="9" t="n">
        <v>289678</v>
      </c>
      <c r="AH151" s="10" t="n">
        <v>35042</v>
      </c>
      <c r="AI151" s="10" t="n">
        <v>30271</v>
      </c>
      <c r="AJ151" s="11" t="n">
        <v>262526</v>
      </c>
      <c r="AK151" s="12" t="n">
        <v>27599</v>
      </c>
      <c r="AL151" s="12" t="n">
        <v>26476</v>
      </c>
      <c r="AM151" s="13" t="n">
        <v>-9.4</v>
      </c>
      <c r="AN151" s="13" t="n">
        <v>-0</v>
      </c>
      <c r="AO151" s="13" t="n">
        <v>-21.2</v>
      </c>
      <c r="AP151" s="13" t="n">
        <v>13.9</v>
      </c>
    </row>
    <row r="152">
      <c r="A152" s="5" t="inlineStr">
        <is>
          <t>유성기업</t>
        </is>
      </c>
      <c r="B152" s="6" t="inlineStr">
        <is>
          <t>002920</t>
        </is>
      </c>
      <c r="C152" s="6" t="inlineStr">
        <is>
          <t>연결</t>
        </is>
      </c>
      <c r="D152" s="6" t="inlineStr">
        <is>
          <t>2026Q2</t>
        </is>
      </c>
      <c r="E152" s="6" t="inlineStr"/>
      <c r="F152" s="7" t="inlineStr"/>
      <c r="G152" s="8" t="inlineStr"/>
      <c r="H152" s="8" t="inlineStr"/>
      <c r="I152" s="9" t="n">
        <v>78713</v>
      </c>
      <c r="J152" s="10" t="n">
        <v>2068</v>
      </c>
      <c r="K152" s="10" t="n">
        <v>5522</v>
      </c>
      <c r="L152" s="7" t="n">
        <v>84649</v>
      </c>
      <c r="M152" s="8" t="n">
        <v>117</v>
      </c>
      <c r="N152" s="8" t="n">
        <v>-7539</v>
      </c>
      <c r="O152" s="9" t="n">
        <v>79549</v>
      </c>
      <c r="P152" s="10" t="n">
        <v>-3663</v>
      </c>
      <c r="Q152" s="10" t="n">
        <v>-2758</v>
      </c>
      <c r="R152" s="7" t="n">
        <v>81692</v>
      </c>
      <c r="S152" s="8" t="n">
        <v>1004</v>
      </c>
      <c r="T152" s="8" t="n">
        <v>-2033</v>
      </c>
      <c r="U152" s="9" t="n">
        <v>78237</v>
      </c>
      <c r="V152" s="10" t="n">
        <v>-479</v>
      </c>
      <c r="W152" s="10" t="n">
        <v>2998</v>
      </c>
      <c r="X152" s="7" t="n">
        <v>82274</v>
      </c>
      <c r="Y152" s="8" t="n">
        <v>-1580</v>
      </c>
      <c r="Z152" s="8" t="n">
        <v>2415</v>
      </c>
      <c r="AA152" s="9" t="n">
        <v>74888</v>
      </c>
      <c r="AB152" s="10" t="n">
        <v>-3552</v>
      </c>
      <c r="AC152" s="10" t="n">
        <v>2971</v>
      </c>
      <c r="AD152" s="7" t="n">
        <v>69176</v>
      </c>
      <c r="AE152" s="8" t="n">
        <v>-24412</v>
      </c>
      <c r="AF152" s="8" t="n">
        <v>-31644</v>
      </c>
      <c r="AG152" s="9" t="n">
        <v>67377</v>
      </c>
      <c r="AH152" s="10" t="n">
        <v>-3429</v>
      </c>
      <c r="AI152" s="10" t="n">
        <v>1386</v>
      </c>
      <c r="AJ152" s="11" t="n">
        <v>69823</v>
      </c>
      <c r="AK152" s="12" t="n">
        <v>-7533</v>
      </c>
      <c r="AL152" s="12" t="n">
        <v>1961</v>
      </c>
      <c r="AM152" s="13" t="n">
        <v>3.6</v>
      </c>
      <c r="AN152" s="13" t="n">
        <v>-15.1</v>
      </c>
      <c r="AO152" s="13" t="n">
        <v>-119.7</v>
      </c>
      <c r="AP152" s="13" t="n">
        <v>-376.8</v>
      </c>
    </row>
    <row r="153">
      <c r="A153" s="5" t="inlineStr">
        <is>
          <t>한국쉘석유</t>
        </is>
      </c>
      <c r="B153" s="6" t="inlineStr">
        <is>
          <t>002960</t>
        </is>
      </c>
      <c r="C153" s="6" t="inlineStr">
        <is>
          <t>별도</t>
        </is>
      </c>
      <c r="D153" s="6" t="inlineStr">
        <is>
          <t>2026Q2</t>
        </is>
      </c>
      <c r="E153" s="6" t="inlineStr">
        <is>
          <t>2023Q4</t>
        </is>
      </c>
      <c r="F153" s="14" t="n">
        <v>79918</v>
      </c>
      <c r="G153" s="15" t="n">
        <v>7225</v>
      </c>
      <c r="H153" s="15" t="n">
        <v>6244</v>
      </c>
      <c r="I153" s="9" t="n">
        <v>81374</v>
      </c>
      <c r="J153" s="10" t="n">
        <v>12375</v>
      </c>
      <c r="K153" s="10" t="n">
        <v>10616</v>
      </c>
      <c r="L153" s="7" t="n">
        <v>88899</v>
      </c>
      <c r="M153" s="8" t="n">
        <v>12932</v>
      </c>
      <c r="N153" s="8" t="n">
        <v>11066</v>
      </c>
      <c r="O153" s="9" t="n">
        <v>80657</v>
      </c>
      <c r="P153" s="10" t="n">
        <v>11995</v>
      </c>
      <c r="Q153" s="10" t="n">
        <v>10354</v>
      </c>
      <c r="R153" s="7" t="n">
        <v>76239</v>
      </c>
      <c r="S153" s="8" t="n">
        <v>8653</v>
      </c>
      <c r="T153" s="8" t="n">
        <v>4619</v>
      </c>
      <c r="U153" s="9" t="n">
        <v>89987</v>
      </c>
      <c r="V153" s="10" t="n">
        <v>14519</v>
      </c>
      <c r="W153" s="10" t="n">
        <v>12311</v>
      </c>
      <c r="X153" s="7" t="n">
        <v>90546</v>
      </c>
      <c r="Y153" s="8" t="n">
        <v>14417</v>
      </c>
      <c r="Z153" s="8" t="n">
        <v>11682</v>
      </c>
      <c r="AA153" s="9" t="n">
        <v>86053</v>
      </c>
      <c r="AB153" s="10" t="n">
        <v>14313</v>
      </c>
      <c r="AC153" s="10" t="n">
        <v>12313</v>
      </c>
      <c r="AD153" s="7" t="n">
        <v>78373</v>
      </c>
      <c r="AE153" s="8" t="n">
        <v>9532</v>
      </c>
      <c r="AF153" s="8" t="n">
        <v>11922</v>
      </c>
      <c r="AG153" s="9" t="n">
        <v>91271</v>
      </c>
      <c r="AH153" s="10" t="n">
        <v>16009</v>
      </c>
      <c r="AI153" s="10" t="n">
        <v>14049</v>
      </c>
      <c r="AJ153" s="11" t="n">
        <v>95484</v>
      </c>
      <c r="AK153" s="12" t="n">
        <v>15564</v>
      </c>
      <c r="AL153" s="12" t="n">
        <v>12754</v>
      </c>
      <c r="AM153" s="13" t="n">
        <v>4.6</v>
      </c>
      <c r="AN153" s="13" t="n">
        <v>5.5</v>
      </c>
      <c r="AO153" s="13" t="n">
        <v>-2.8</v>
      </c>
      <c r="AP153" s="13" t="n">
        <v>8</v>
      </c>
    </row>
    <row r="154">
      <c r="A154" s="5" t="inlineStr">
        <is>
          <t>금호건설</t>
        </is>
      </c>
      <c r="B154" s="6" t="inlineStr">
        <is>
          <t>002990</t>
        </is>
      </c>
      <c r="C154" s="6" t="inlineStr">
        <is>
          <t>연결</t>
        </is>
      </c>
      <c r="D154" s="6" t="inlineStr">
        <is>
          <t>2026Q2</t>
        </is>
      </c>
      <c r="E154" s="6" t="inlineStr"/>
      <c r="F154" s="7" t="inlineStr"/>
      <c r="G154" s="8" t="inlineStr"/>
      <c r="H154" s="8" t="inlineStr"/>
      <c r="I154" s="9" t="n">
        <v>494491</v>
      </c>
      <c r="J154" s="10" t="n">
        <v>1506</v>
      </c>
      <c r="K154" s="10" t="n">
        <v>-1866</v>
      </c>
      <c r="L154" s="7" t="n">
        <v>511157</v>
      </c>
      <c r="M154" s="8" t="n">
        <v>-31425</v>
      </c>
      <c r="N154" s="8" t="n">
        <v>-38164</v>
      </c>
      <c r="O154" s="9" t="n">
        <v>387087</v>
      </c>
      <c r="P154" s="10" t="n">
        <v>-157376</v>
      </c>
      <c r="Q154" s="10" t="n">
        <v>-189837</v>
      </c>
      <c r="R154" s="7" t="n">
        <v>521456</v>
      </c>
      <c r="S154" s="8" t="n">
        <v>5467</v>
      </c>
      <c r="T154" s="8" t="n">
        <v>1324</v>
      </c>
      <c r="U154" s="9" t="n">
        <v>468048</v>
      </c>
      <c r="V154" s="10" t="n">
        <v>5738</v>
      </c>
      <c r="W154" s="10" t="n">
        <v>780</v>
      </c>
      <c r="X154" s="7" t="n">
        <v>531192</v>
      </c>
      <c r="Y154" s="8" t="n">
        <v>16183</v>
      </c>
      <c r="Z154" s="8" t="n">
        <v>10447</v>
      </c>
      <c r="AA154" s="9" t="n">
        <v>523352</v>
      </c>
      <c r="AB154" s="10" t="n">
        <v>15373</v>
      </c>
      <c r="AC154" s="10" t="n">
        <v>7650</v>
      </c>
      <c r="AD154" s="7" t="n">
        <v>495896</v>
      </c>
      <c r="AE154" s="8" t="n">
        <v>9790</v>
      </c>
      <c r="AF154" s="8" t="n">
        <v>43503</v>
      </c>
      <c r="AG154" s="9" t="n">
        <v>453403</v>
      </c>
      <c r="AH154" s="10" t="n">
        <v>12118</v>
      </c>
      <c r="AI154" s="10" t="n">
        <v>10795</v>
      </c>
      <c r="AJ154" s="11" t="n">
        <v>511651</v>
      </c>
      <c r="AK154" s="12" t="n">
        <v>16540</v>
      </c>
      <c r="AL154" s="12" t="n">
        <v>13582</v>
      </c>
      <c r="AM154" s="13" t="n">
        <v>12.8</v>
      </c>
      <c r="AN154" s="13" t="n">
        <v>-3.7</v>
      </c>
      <c r="AO154" s="13" t="n">
        <v>36.5</v>
      </c>
      <c r="AP154" s="13" t="n">
        <v>2.2</v>
      </c>
    </row>
    <row r="155">
      <c r="A155" s="5" t="inlineStr">
        <is>
          <t>부광약품</t>
        </is>
      </c>
      <c r="B155" s="6" t="inlineStr">
        <is>
          <t>003000</t>
        </is>
      </c>
      <c r="C155" s="6" t="inlineStr">
        <is>
          <t>연결</t>
        </is>
      </c>
      <c r="D155" s="6" t="inlineStr">
        <is>
          <t>2026Q2</t>
        </is>
      </c>
      <c r="E155" s="6" t="inlineStr"/>
      <c r="F155" s="7" t="inlineStr"/>
      <c r="G155" s="8" t="inlineStr"/>
      <c r="H155" s="8" t="inlineStr"/>
      <c r="I155" s="9" t="n">
        <v>34393</v>
      </c>
      <c r="J155" s="10" t="n">
        <v>-1628</v>
      </c>
      <c r="K155" s="10" t="n">
        <v>-2558</v>
      </c>
      <c r="L155" s="7" t="n">
        <v>36915</v>
      </c>
      <c r="M155" s="8" t="n">
        <v>-1886</v>
      </c>
      <c r="N155" s="8" t="n">
        <v>-2797</v>
      </c>
      <c r="O155" s="9" t="n">
        <v>42597</v>
      </c>
      <c r="P155" s="10" t="n">
        <v>3179</v>
      </c>
      <c r="Q155" s="10" t="n">
        <v>99</v>
      </c>
      <c r="R155" s="7" t="n">
        <v>46182</v>
      </c>
      <c r="S155" s="8" t="n">
        <v>1953</v>
      </c>
      <c r="T155" s="8" t="n">
        <v>1797</v>
      </c>
      <c r="U155" s="9" t="n">
        <v>47806</v>
      </c>
      <c r="V155" s="10" t="n">
        <v>3014</v>
      </c>
      <c r="W155" s="10" t="n">
        <v>-111</v>
      </c>
      <c r="X155" s="7" t="n">
        <v>42579</v>
      </c>
      <c r="Y155" s="8" t="n">
        <v>2013</v>
      </c>
      <c r="Z155" s="8" t="n">
        <v>6394</v>
      </c>
      <c r="AA155" s="9" t="n">
        <v>47815</v>
      </c>
      <c r="AB155" s="10" t="n">
        <v>979</v>
      </c>
      <c r="AC155" s="10" t="n">
        <v>1496</v>
      </c>
      <c r="AD155" s="7" t="n">
        <v>62514</v>
      </c>
      <c r="AE155" s="8" t="n">
        <v>8158</v>
      </c>
      <c r="AF155" s="8" t="n">
        <v>4654</v>
      </c>
      <c r="AG155" s="9" t="n">
        <v>47776</v>
      </c>
      <c r="AH155" s="10" t="n">
        <v>1104</v>
      </c>
      <c r="AI155" s="10" t="n">
        <v>1162</v>
      </c>
      <c r="AJ155" s="11" t="n">
        <v>56988</v>
      </c>
      <c r="AK155" s="12" t="n">
        <v>1410</v>
      </c>
      <c r="AL155" s="12" t="n">
        <v>1389</v>
      </c>
      <c r="AM155" s="13" t="n">
        <v>19.3</v>
      </c>
      <c r="AN155" s="13" t="n">
        <v>33.8</v>
      </c>
      <c r="AO155" s="13" t="n">
        <v>27.7</v>
      </c>
      <c r="AP155" s="13" t="n">
        <v>-30</v>
      </c>
    </row>
    <row r="156">
      <c r="A156" s="5" t="inlineStr">
        <is>
          <t>혜인</t>
        </is>
      </c>
      <c r="B156" s="6" t="inlineStr">
        <is>
          <t>003010</t>
        </is>
      </c>
      <c r="C156" s="6" t="inlineStr">
        <is>
          <t>별도</t>
        </is>
      </c>
      <c r="D156" s="6" t="inlineStr">
        <is>
          <t>2026Q2</t>
        </is>
      </c>
      <c r="E156" s="6" t="inlineStr"/>
      <c r="F156" s="7" t="inlineStr"/>
      <c r="G156" s="8" t="inlineStr"/>
      <c r="H156" s="8" t="inlineStr"/>
      <c r="I156" s="9" t="n">
        <v>43981</v>
      </c>
      <c r="J156" s="10" t="n">
        <v>4326</v>
      </c>
      <c r="K156" s="10" t="n">
        <v>1697</v>
      </c>
      <c r="L156" s="7" t="n">
        <v>55236</v>
      </c>
      <c r="M156" s="8" t="n">
        <v>901</v>
      </c>
      <c r="N156" s="8" t="n">
        <v>268</v>
      </c>
      <c r="O156" s="9" t="n">
        <v>46368</v>
      </c>
      <c r="P156" s="10" t="n">
        <v>677</v>
      </c>
      <c r="Q156" s="10" t="n">
        <v>1601</v>
      </c>
      <c r="R156" s="7" t="n">
        <v>103241</v>
      </c>
      <c r="S156" s="8" t="n">
        <v>8254</v>
      </c>
      <c r="T156" s="8" t="n">
        <v>3708</v>
      </c>
      <c r="U156" s="9" t="n">
        <v>66746</v>
      </c>
      <c r="V156" s="10" t="n">
        <v>1094</v>
      </c>
      <c r="W156" s="10" t="n">
        <v>323</v>
      </c>
      <c r="X156" s="7" t="n">
        <v>65829</v>
      </c>
      <c r="Y156" s="8" t="n">
        <v>4203</v>
      </c>
      <c r="Z156" s="8" t="n">
        <v>5974</v>
      </c>
      <c r="AA156" s="9" t="n">
        <v>56541</v>
      </c>
      <c r="AB156" s="10" t="n">
        <v>2069</v>
      </c>
      <c r="AC156" s="10" t="n">
        <v>483</v>
      </c>
      <c r="AD156" s="7" t="n">
        <v>52597</v>
      </c>
      <c r="AE156" s="8" t="n">
        <v>10186</v>
      </c>
      <c r="AF156" s="8" t="n">
        <v>7457</v>
      </c>
      <c r="AG156" s="9" t="n">
        <v>40365</v>
      </c>
      <c r="AH156" s="10" t="n">
        <v>1301</v>
      </c>
      <c r="AI156" s="10" t="n">
        <v>416</v>
      </c>
      <c r="AJ156" s="11" t="n">
        <v>64151</v>
      </c>
      <c r="AK156" s="12" t="n">
        <v>7104</v>
      </c>
      <c r="AL156" s="12" t="n">
        <v>9648</v>
      </c>
      <c r="AM156" s="13" t="n">
        <v>58.9</v>
      </c>
      <c r="AN156" s="13" t="n">
        <v>-2.5</v>
      </c>
      <c r="AO156" s="13" t="n">
        <v>446</v>
      </c>
      <c r="AP156" s="13" t="n">
        <v>69</v>
      </c>
    </row>
    <row r="157">
      <c r="A157" s="5" t="inlineStr">
        <is>
          <t>세아제강지주</t>
        </is>
      </c>
      <c r="B157" s="6" t="inlineStr">
        <is>
          <t>003030</t>
        </is>
      </c>
      <c r="C157" s="6" t="inlineStr">
        <is>
          <t>연결</t>
        </is>
      </c>
      <c r="D157" s="6" t="inlineStr">
        <is>
          <t>2026Q2</t>
        </is>
      </c>
      <c r="E157" s="6" t="inlineStr"/>
      <c r="F157" s="7" t="inlineStr"/>
      <c r="G157" s="8" t="inlineStr"/>
      <c r="H157" s="8" t="inlineStr"/>
      <c r="I157" s="9" t="n">
        <v>882616</v>
      </c>
      <c r="J157" s="10" t="n">
        <v>68387</v>
      </c>
      <c r="K157" s="10" t="n">
        <v>60482</v>
      </c>
      <c r="L157" s="7" t="n">
        <v>1009854</v>
      </c>
      <c r="M157" s="8" t="n">
        <v>85779</v>
      </c>
      <c r="N157" s="8" t="n">
        <v>61653</v>
      </c>
      <c r="O157" s="9" t="n">
        <v>860020</v>
      </c>
      <c r="P157" s="10" t="n">
        <v>19388</v>
      </c>
      <c r="Q157" s="10" t="n">
        <v>7690</v>
      </c>
      <c r="R157" s="7" t="n">
        <v>922597</v>
      </c>
      <c r="S157" s="8" t="n">
        <v>38057</v>
      </c>
      <c r="T157" s="8" t="n">
        <v>-12781</v>
      </c>
      <c r="U157" s="9" t="n">
        <v>947008</v>
      </c>
      <c r="V157" s="10" t="n">
        <v>65023</v>
      </c>
      <c r="W157" s="10" t="n">
        <v>59702</v>
      </c>
      <c r="X157" s="7" t="n">
        <v>1020891</v>
      </c>
      <c r="Y157" s="8" t="n">
        <v>85039</v>
      </c>
      <c r="Z157" s="8" t="n">
        <v>45499</v>
      </c>
      <c r="AA157" s="9" t="n">
        <v>923122</v>
      </c>
      <c r="AB157" s="10" t="n">
        <v>39787</v>
      </c>
      <c r="AC157" s="10" t="n">
        <v>16215</v>
      </c>
      <c r="AD157" s="7" t="n">
        <v>868554</v>
      </c>
      <c r="AE157" s="8" t="n">
        <v>15977</v>
      </c>
      <c r="AF157" s="8" t="n">
        <v>-23562</v>
      </c>
      <c r="AG157" s="9" t="n">
        <v>991921</v>
      </c>
      <c r="AH157" s="10" t="n">
        <v>26676</v>
      </c>
      <c r="AI157" s="10" t="n">
        <v>8242</v>
      </c>
      <c r="AJ157" s="11" t="n">
        <v>1166899</v>
      </c>
      <c r="AK157" s="12" t="n">
        <v>-50796</v>
      </c>
      <c r="AL157" s="12" t="n">
        <v>-74623</v>
      </c>
      <c r="AM157" s="13" t="n">
        <v>17.6</v>
      </c>
      <c r="AN157" s="13" t="n">
        <v>14.3</v>
      </c>
      <c r="AO157" s="13" t="n">
        <v>-290.4</v>
      </c>
      <c r="AP157" s="13" t="n">
        <v>-159.7</v>
      </c>
    </row>
    <row r="158">
      <c r="A158" s="5" t="inlineStr">
        <is>
          <t>에이프로젠바이오로직스</t>
        </is>
      </c>
      <c r="B158" s="6" t="inlineStr">
        <is>
          <t>003060</t>
        </is>
      </c>
      <c r="C158" s="6" t="inlineStr">
        <is>
          <t>연결</t>
        </is>
      </c>
      <c r="D158" s="6" t="inlineStr">
        <is>
          <t>2026Q2</t>
        </is>
      </c>
      <c r="E158" s="6" t="inlineStr"/>
      <c r="F158" s="7" t="inlineStr"/>
      <c r="G158" s="8" t="inlineStr"/>
      <c r="H158" s="8" t="inlineStr"/>
      <c r="I158" s="9" t="n">
        <v>15606</v>
      </c>
      <c r="J158" s="10" t="n">
        <v>-11519</v>
      </c>
      <c r="K158" s="10" t="n">
        <v>-6010</v>
      </c>
      <c r="L158" s="7" t="n">
        <v>15192</v>
      </c>
      <c r="M158" s="8" t="n">
        <v>-12135</v>
      </c>
      <c r="N158" s="8" t="n">
        <v>-23474</v>
      </c>
      <c r="O158" s="9" t="n">
        <v>14531</v>
      </c>
      <c r="P158" s="10" t="n">
        <v>-13132</v>
      </c>
      <c r="Q158" s="10" t="n">
        <v>-15489</v>
      </c>
      <c r="R158" s="7" t="n">
        <v>22049</v>
      </c>
      <c r="S158" s="8" t="n">
        <v>-16037</v>
      </c>
      <c r="T158" s="8" t="n">
        <v>-60007</v>
      </c>
      <c r="U158" s="9" t="n">
        <v>16848</v>
      </c>
      <c r="V158" s="10" t="n">
        <v>-15738</v>
      </c>
      <c r="W158" s="10" t="n">
        <v>-43055</v>
      </c>
      <c r="X158" s="7" t="n">
        <v>14896</v>
      </c>
      <c r="Y158" s="8" t="n">
        <v>-17951</v>
      </c>
      <c r="Z158" s="8" t="n">
        <v>-66888</v>
      </c>
      <c r="AA158" s="9" t="n">
        <v>21118</v>
      </c>
      <c r="AB158" s="10" t="n">
        <v>-10675</v>
      </c>
      <c r="AC158" s="10" t="n">
        <v>-24522</v>
      </c>
      <c r="AD158" s="7" t="n">
        <v>20364</v>
      </c>
      <c r="AE158" s="8" t="n">
        <v>-15991</v>
      </c>
      <c r="AF158" s="8" t="n">
        <v>-33832</v>
      </c>
      <c r="AG158" s="9" t="n">
        <v>21620</v>
      </c>
      <c r="AH158" s="10" t="n">
        <v>-13615</v>
      </c>
      <c r="AI158" s="10" t="n">
        <v>-4570</v>
      </c>
      <c r="AJ158" s="11" t="n">
        <v>23078</v>
      </c>
      <c r="AK158" s="12" t="n">
        <v>-17459</v>
      </c>
      <c r="AL158" s="12" t="n">
        <v>-9668</v>
      </c>
      <c r="AM158" s="13" t="n">
        <v>6.7</v>
      </c>
      <c r="AN158" s="13" t="n">
        <v>54.9</v>
      </c>
      <c r="AO158" s="13" t="n">
        <v>-28.2</v>
      </c>
      <c r="AP158" s="13" t="n">
        <v>2.7</v>
      </c>
    </row>
    <row r="159">
      <c r="A159" s="5" t="inlineStr">
        <is>
          <t>코오롱글로벌</t>
        </is>
      </c>
      <c r="B159" s="6" t="inlineStr">
        <is>
          <t>003070</t>
        </is>
      </c>
      <c r="C159" s="6" t="inlineStr">
        <is>
          <t>연결</t>
        </is>
      </c>
      <c r="D159" s="6" t="inlineStr">
        <is>
          <t>2026Q2</t>
        </is>
      </c>
      <c r="E159" s="6" t="inlineStr"/>
      <c r="F159" s="7" t="inlineStr"/>
      <c r="G159" s="8" t="inlineStr"/>
      <c r="H159" s="8" t="inlineStr"/>
      <c r="I159" s="9" t="n">
        <v>702454</v>
      </c>
      <c r="J159" s="10" t="n">
        <v>878</v>
      </c>
      <c r="K159" s="10" t="n">
        <v>-16590</v>
      </c>
      <c r="L159" s="7" t="n">
        <v>796328</v>
      </c>
      <c r="M159" s="8" t="n">
        <v>-365</v>
      </c>
      <c r="N159" s="8" t="n">
        <v>-25189</v>
      </c>
      <c r="O159" s="9" t="n">
        <v>709786</v>
      </c>
      <c r="P159" s="10" t="n">
        <v>-21056</v>
      </c>
      <c r="Q159" s="10" t="n">
        <v>-54746</v>
      </c>
      <c r="R159" s="7" t="n">
        <v>703393</v>
      </c>
      <c r="S159" s="8" t="n">
        <v>-36126</v>
      </c>
      <c r="T159" s="8" t="n">
        <v>119041</v>
      </c>
      <c r="U159" s="9" t="n">
        <v>644028</v>
      </c>
      <c r="V159" s="10" t="n">
        <v>9592</v>
      </c>
      <c r="W159" s="10" t="n">
        <v>-36874</v>
      </c>
      <c r="X159" s="7" t="n">
        <v>734428</v>
      </c>
      <c r="Y159" s="8" t="n">
        <v>19079</v>
      </c>
      <c r="Z159" s="8" t="n">
        <v>-20258</v>
      </c>
      <c r="AA159" s="9" t="n">
        <v>607362</v>
      </c>
      <c r="AB159" s="10" t="n">
        <v>27715</v>
      </c>
      <c r="AC159" s="10" t="n">
        <v>12871</v>
      </c>
      <c r="AD159" s="7" t="n">
        <v>698613</v>
      </c>
      <c r="AE159" s="8" t="n">
        <v>-52735</v>
      </c>
      <c r="AF159" s="8" t="n">
        <v>-156102</v>
      </c>
      <c r="AG159" s="9" t="n">
        <v>631209</v>
      </c>
      <c r="AH159" s="10" t="n">
        <v>22012</v>
      </c>
      <c r="AI159" s="10" t="n">
        <v>10892</v>
      </c>
      <c r="AJ159" s="11" t="n">
        <v>750495</v>
      </c>
      <c r="AK159" s="12" t="n">
        <v>52208</v>
      </c>
      <c r="AL159" s="12" t="n">
        <v>32238</v>
      </c>
      <c r="AM159" s="13" t="n">
        <v>18.9</v>
      </c>
      <c r="AN159" s="13" t="n">
        <v>2.2</v>
      </c>
      <c r="AO159" s="13" t="n">
        <v>137.2</v>
      </c>
      <c r="AP159" s="13" t="n">
        <v>173.6</v>
      </c>
    </row>
    <row r="160">
      <c r="A160" s="5" t="inlineStr">
        <is>
          <t>SB성보</t>
        </is>
      </c>
      <c r="B160" s="6" t="inlineStr">
        <is>
          <t>003080</t>
        </is>
      </c>
      <c r="C160" s="6" t="inlineStr">
        <is>
          <t>연결</t>
        </is>
      </c>
      <c r="D160" s="6" t="inlineStr">
        <is>
          <t>2026Q2</t>
        </is>
      </c>
      <c r="E160" s="6" t="inlineStr"/>
      <c r="F160" s="7" t="inlineStr"/>
      <c r="G160" s="8" t="inlineStr"/>
      <c r="H160" s="8" t="inlineStr"/>
      <c r="I160" s="9" t="n">
        <v>40641</v>
      </c>
      <c r="J160" s="10" t="n">
        <v>7862</v>
      </c>
      <c r="K160" s="10" t="n">
        <v>6257</v>
      </c>
      <c r="L160" s="7" t="n">
        <v>10108</v>
      </c>
      <c r="M160" s="8" t="n">
        <v>-1542</v>
      </c>
      <c r="N160" s="8" t="n">
        <v>-1402</v>
      </c>
      <c r="O160" s="9" t="n">
        <v>7184</v>
      </c>
      <c r="P160" s="10" t="n">
        <v>-3667</v>
      </c>
      <c r="Q160" s="10" t="n">
        <v>-3154</v>
      </c>
      <c r="R160" s="7" t="n">
        <v>1905</v>
      </c>
      <c r="S160" s="8" t="n">
        <v>-5583</v>
      </c>
      <c r="T160" s="8" t="n">
        <v>-5345</v>
      </c>
      <c r="U160" s="9" t="n">
        <v>44925</v>
      </c>
      <c r="V160" s="10" t="n">
        <v>7556</v>
      </c>
      <c r="W160" s="10" t="n">
        <v>5253</v>
      </c>
      <c r="X160" s="7" t="n">
        <v>10941</v>
      </c>
      <c r="Y160" s="8" t="n">
        <v>-3497</v>
      </c>
      <c r="Z160" s="8" t="n">
        <v>44657</v>
      </c>
      <c r="AA160" s="9" t="n">
        <v>6725</v>
      </c>
      <c r="AB160" s="10" t="n">
        <v>-4789</v>
      </c>
      <c r="AC160" s="10" t="n">
        <v>-3862</v>
      </c>
      <c r="AD160" s="7" t="n">
        <v>1743</v>
      </c>
      <c r="AE160" s="8" t="n">
        <v>-7413</v>
      </c>
      <c r="AF160" s="8" t="n">
        <v>-11929</v>
      </c>
      <c r="AG160" s="9" t="n">
        <v>44339</v>
      </c>
      <c r="AH160" s="10" t="n">
        <v>7050</v>
      </c>
      <c r="AI160" s="10" t="n">
        <v>4598</v>
      </c>
      <c r="AJ160" s="11" t="n">
        <v>12905</v>
      </c>
      <c r="AK160" s="12" t="n">
        <v>-3666</v>
      </c>
      <c r="AL160" s="12" t="n">
        <v>-2829</v>
      </c>
      <c r="AM160" s="13" t="n">
        <v>-70.90000000000001</v>
      </c>
      <c r="AN160" s="13" t="n">
        <v>18</v>
      </c>
      <c r="AO160" s="13" t="n">
        <v>-152</v>
      </c>
      <c r="AP160" s="13" t="n">
        <v>-4.8</v>
      </c>
    </row>
    <row r="161">
      <c r="A161" s="5" t="inlineStr">
        <is>
          <t>대웅</t>
        </is>
      </c>
      <c r="B161" s="6" t="inlineStr">
        <is>
          <t>003090</t>
        </is>
      </c>
      <c r="C161" s="6" t="inlineStr">
        <is>
          <t>연결</t>
        </is>
      </c>
      <c r="D161" s="6" t="inlineStr">
        <is>
          <t>2026Q2</t>
        </is>
      </c>
      <c r="E161" s="6" t="inlineStr"/>
      <c r="F161" s="7" t="inlineStr"/>
      <c r="G161" s="8" t="inlineStr"/>
      <c r="H161" s="8" t="inlineStr"/>
      <c r="I161" s="9" t="inlineStr"/>
      <c r="J161" s="10" t="n">
        <v>48479</v>
      </c>
      <c r="K161" s="10" t="n">
        <v>24978</v>
      </c>
      <c r="L161" s="7" t="inlineStr"/>
      <c r="M161" s="8" t="n">
        <v>68681</v>
      </c>
      <c r="N161" s="8" t="n">
        <v>18423</v>
      </c>
      <c r="O161" s="9" t="inlineStr"/>
      <c r="P161" s="10" t="n">
        <v>101708</v>
      </c>
      <c r="Q161" s="10" t="n">
        <v>58007</v>
      </c>
      <c r="R161" s="7" t="inlineStr"/>
      <c r="S161" s="8" t="n">
        <v>63045</v>
      </c>
      <c r="T161" s="8" t="n">
        <v>-32547</v>
      </c>
      <c r="U161" s="9" t="n">
        <v>481435</v>
      </c>
      <c r="V161" s="10" t="n">
        <v>61139</v>
      </c>
      <c r="W161" s="10" t="n">
        <v>34512</v>
      </c>
      <c r="X161" s="7" t="n">
        <v>528428</v>
      </c>
      <c r="Y161" s="8" t="n">
        <v>85334</v>
      </c>
      <c r="Z161" s="8" t="n">
        <v>61338</v>
      </c>
      <c r="AA161" s="9" t="n">
        <v>542175</v>
      </c>
      <c r="AB161" s="10" t="n">
        <v>80540</v>
      </c>
      <c r="AC161" s="10" t="n">
        <v>62654</v>
      </c>
      <c r="AD161" s="7" t="n">
        <v>516332</v>
      </c>
      <c r="AE161" s="8" t="n">
        <v>34781</v>
      </c>
      <c r="AF161" s="8" t="n">
        <v>69403</v>
      </c>
      <c r="AG161" s="9" t="n">
        <v>492707</v>
      </c>
      <c r="AH161" s="10" t="n">
        <v>47781</v>
      </c>
      <c r="AI161" s="10" t="n">
        <v>53258</v>
      </c>
      <c r="AJ161" s="11" t="n">
        <v>570821</v>
      </c>
      <c r="AK161" s="12" t="n">
        <v>76642</v>
      </c>
      <c r="AL161" s="12" t="n">
        <v>36337</v>
      </c>
      <c r="AM161" s="13" t="n">
        <v>15.9</v>
      </c>
      <c r="AN161" s="13" t="n">
        <v>8</v>
      </c>
      <c r="AO161" s="13" t="n">
        <v>60.4</v>
      </c>
      <c r="AP161" s="13" t="n">
        <v>-10.2</v>
      </c>
    </row>
    <row r="162">
      <c r="A162" s="5" t="inlineStr">
        <is>
          <t>선광</t>
        </is>
      </c>
      <c r="B162" s="6" t="inlineStr">
        <is>
          <t>003100</t>
        </is>
      </c>
      <c r="C162" s="6" t="inlineStr">
        <is>
          <t>연결</t>
        </is>
      </c>
      <c r="D162" s="6" t="inlineStr">
        <is>
          <t>2026Q2</t>
        </is>
      </c>
      <c r="E162" s="6" t="inlineStr"/>
      <c r="F162" s="7" t="inlineStr"/>
      <c r="G162" s="8" t="inlineStr"/>
      <c r="H162" s="8" t="inlineStr"/>
      <c r="I162" s="9" t="n">
        <v>44232</v>
      </c>
      <c r="J162" s="10" t="n">
        <v>8462</v>
      </c>
      <c r="K162" s="10" t="n">
        <v>6855</v>
      </c>
      <c r="L162" s="7" t="n">
        <v>47312</v>
      </c>
      <c r="M162" s="8" t="n">
        <v>8446</v>
      </c>
      <c r="N162" s="8" t="n">
        <v>6940</v>
      </c>
      <c r="O162" s="9" t="n">
        <v>47007</v>
      </c>
      <c r="P162" s="10" t="n">
        <v>9942</v>
      </c>
      <c r="Q162" s="10" t="n">
        <v>7675</v>
      </c>
      <c r="R162" s="7" t="n">
        <v>48201</v>
      </c>
      <c r="S162" s="8" t="n">
        <v>9524</v>
      </c>
      <c r="T162" s="8" t="n">
        <v>6828</v>
      </c>
      <c r="U162" s="9" t="n">
        <v>45947</v>
      </c>
      <c r="V162" s="10" t="n">
        <v>9892</v>
      </c>
      <c r="W162" s="10" t="n">
        <v>8898</v>
      </c>
      <c r="X162" s="7" t="n">
        <v>47285</v>
      </c>
      <c r="Y162" s="8" t="n">
        <v>7508</v>
      </c>
      <c r="Z162" s="8" t="n">
        <v>7662</v>
      </c>
      <c r="AA162" s="9" t="n">
        <v>47994</v>
      </c>
      <c r="AB162" s="10" t="n">
        <v>12531</v>
      </c>
      <c r="AC162" s="10" t="n">
        <v>10911</v>
      </c>
      <c r="AD162" s="7" t="n">
        <v>49196</v>
      </c>
      <c r="AE162" s="8" t="n">
        <v>11459</v>
      </c>
      <c r="AF162" s="8" t="n">
        <v>12010</v>
      </c>
      <c r="AG162" s="9" t="n">
        <v>44320</v>
      </c>
      <c r="AH162" s="10" t="n">
        <v>10578</v>
      </c>
      <c r="AI162" s="10" t="n">
        <v>9431</v>
      </c>
      <c r="AJ162" s="11" t="n">
        <v>51646</v>
      </c>
      <c r="AK162" s="12" t="n">
        <v>12346</v>
      </c>
      <c r="AL162" s="12" t="n">
        <v>13379</v>
      </c>
      <c r="AM162" s="13" t="n">
        <v>16.5</v>
      </c>
      <c r="AN162" s="13" t="n">
        <v>9.199999999999999</v>
      </c>
      <c r="AO162" s="13" t="n">
        <v>16.7</v>
      </c>
      <c r="AP162" s="13" t="n">
        <v>64.40000000000001</v>
      </c>
    </row>
    <row r="163">
      <c r="A163" s="5" t="inlineStr">
        <is>
          <t>일성아이에스</t>
        </is>
      </c>
      <c r="B163" s="6" t="inlineStr">
        <is>
          <t>003120</t>
        </is>
      </c>
      <c r="C163" s="6" t="inlineStr">
        <is>
          <t>별도</t>
        </is>
      </c>
      <c r="D163" s="6" t="inlineStr">
        <is>
          <t>2026Q2</t>
        </is>
      </c>
      <c r="E163" s="6" t="inlineStr"/>
      <c r="F163" s="7" t="inlineStr"/>
      <c r="G163" s="8" t="inlineStr"/>
      <c r="H163" s="8" t="inlineStr"/>
      <c r="I163" s="9" t="n">
        <v>15986</v>
      </c>
      <c r="J163" s="10" t="n">
        <v>-3355</v>
      </c>
      <c r="K163" s="10" t="n">
        <v>-667</v>
      </c>
      <c r="L163" s="7" t="n">
        <v>17143</v>
      </c>
      <c r="M163" s="8" t="n">
        <v>-3060</v>
      </c>
      <c r="N163" s="8" t="n">
        <v>-422</v>
      </c>
      <c r="O163" s="9" t="n">
        <v>19019</v>
      </c>
      <c r="P163" s="10" t="n">
        <v>875</v>
      </c>
      <c r="Q163" s="10" t="n">
        <v>9619</v>
      </c>
      <c r="R163" s="7" t="n">
        <v>16870</v>
      </c>
      <c r="S163" s="8" t="n">
        <v>-3978</v>
      </c>
      <c r="T163" s="8" t="n">
        <v>4564</v>
      </c>
      <c r="U163" s="9" t="n">
        <v>16621</v>
      </c>
      <c r="V163" s="10" t="n">
        <v>-1020</v>
      </c>
      <c r="W163" s="10" t="n">
        <v>1539</v>
      </c>
      <c r="X163" s="7" t="n">
        <v>16255</v>
      </c>
      <c r="Y163" s="8" t="n">
        <v>-2286</v>
      </c>
      <c r="Z163" s="8" t="n">
        <v>-4121</v>
      </c>
      <c r="AA163" s="9" t="n">
        <v>16762</v>
      </c>
      <c r="AB163" s="10" t="n">
        <v>-845</v>
      </c>
      <c r="AC163" s="10" t="n">
        <v>341</v>
      </c>
      <c r="AD163" s="7" t="n">
        <v>14654</v>
      </c>
      <c r="AE163" s="8" t="n">
        <v>-2010</v>
      </c>
      <c r="AF163" s="8" t="n">
        <v>3407</v>
      </c>
      <c r="AG163" s="9" t="n">
        <v>16709</v>
      </c>
      <c r="AH163" s="10" t="n">
        <v>-496</v>
      </c>
      <c r="AI163" s="10" t="n">
        <v>1577</v>
      </c>
      <c r="AJ163" s="11" t="n">
        <v>17091</v>
      </c>
      <c r="AK163" s="12" t="n">
        <v>-1563</v>
      </c>
      <c r="AL163" s="12" t="n">
        <v>217</v>
      </c>
      <c r="AM163" s="13" t="n">
        <v>2.3</v>
      </c>
      <c r="AN163" s="13" t="n">
        <v>5.1</v>
      </c>
      <c r="AO163" s="13" t="n">
        <v>-215.1</v>
      </c>
      <c r="AP163" s="13" t="n">
        <v>31.6</v>
      </c>
    </row>
    <row r="164">
      <c r="A164" s="5" t="inlineStr">
        <is>
          <t>디아이</t>
        </is>
      </c>
      <c r="B164" s="6" t="inlineStr">
        <is>
          <t>003160</t>
        </is>
      </c>
      <c r="C164" s="6" t="inlineStr">
        <is>
          <t>연결</t>
        </is>
      </c>
      <c r="D164" s="6" t="inlineStr">
        <is>
          <t>2026Q2</t>
        </is>
      </c>
      <c r="E164" s="6" t="inlineStr"/>
      <c r="F164" s="7" t="inlineStr"/>
      <c r="G164" s="8" t="inlineStr"/>
      <c r="H164" s="8" t="inlineStr"/>
      <c r="I164" s="9" t="n">
        <v>34733</v>
      </c>
      <c r="J164" s="10" t="n">
        <v>-1837</v>
      </c>
      <c r="K164" s="10" t="n">
        <v>-1301</v>
      </c>
      <c r="L164" s="7" t="n">
        <v>46134</v>
      </c>
      <c r="M164" s="8" t="n">
        <v>944</v>
      </c>
      <c r="N164" s="8" t="n">
        <v>-912</v>
      </c>
      <c r="O164" s="9" t="n">
        <v>54268</v>
      </c>
      <c r="P164" s="10" t="n">
        <v>-1759</v>
      </c>
      <c r="Q164" s="10" t="n">
        <v>-2534</v>
      </c>
      <c r="R164" s="7" t="n">
        <v>78822</v>
      </c>
      <c r="S164" s="8" t="n">
        <v>5733</v>
      </c>
      <c r="T164" s="8" t="n">
        <v>7518</v>
      </c>
      <c r="U164" s="9" t="n">
        <v>110045</v>
      </c>
      <c r="V164" s="10" t="n">
        <v>9925</v>
      </c>
      <c r="W164" s="10" t="n">
        <v>7315</v>
      </c>
      <c r="X164" s="7" t="n">
        <v>119270</v>
      </c>
      <c r="Y164" s="8" t="n">
        <v>12250</v>
      </c>
      <c r="Z164" s="8" t="n">
        <v>8842</v>
      </c>
      <c r="AA164" s="9" t="n">
        <v>109064</v>
      </c>
      <c r="AB164" s="10" t="n">
        <v>10005</v>
      </c>
      <c r="AC164" s="10" t="n">
        <v>7665</v>
      </c>
      <c r="AD164" s="7" t="n">
        <v>93915</v>
      </c>
      <c r="AE164" s="8" t="n">
        <v>4328</v>
      </c>
      <c r="AF164" s="8" t="n">
        <v>-10305</v>
      </c>
      <c r="AG164" s="9" t="n">
        <v>105701</v>
      </c>
      <c r="AH164" s="10" t="n">
        <v>18872</v>
      </c>
      <c r="AI164" s="10" t="n">
        <v>14964</v>
      </c>
      <c r="AJ164" s="11" t="n">
        <v>168632</v>
      </c>
      <c r="AK164" s="12" t="n">
        <v>39590</v>
      </c>
      <c r="AL164" s="12" t="n">
        <v>31839</v>
      </c>
      <c r="AM164" s="13" t="n">
        <v>59.5</v>
      </c>
      <c r="AN164" s="13" t="n">
        <v>41.4</v>
      </c>
      <c r="AO164" s="13" t="n">
        <v>109.8</v>
      </c>
      <c r="AP164" s="13" t="n">
        <v>223.2</v>
      </c>
    </row>
    <row r="165">
      <c r="A165" s="5" t="inlineStr">
        <is>
          <t>일신방직</t>
        </is>
      </c>
      <c r="B165" s="6" t="inlineStr">
        <is>
          <t>003200</t>
        </is>
      </c>
      <c r="C165" s="6" t="inlineStr">
        <is>
          <t>연결</t>
        </is>
      </c>
      <c r="D165" s="6" t="inlineStr">
        <is>
          <t>2026Q2</t>
        </is>
      </c>
      <c r="E165" s="6" t="inlineStr"/>
      <c r="F165" s="7" t="inlineStr"/>
      <c r="G165" s="8" t="inlineStr"/>
      <c r="H165" s="8" t="inlineStr"/>
      <c r="I165" s="9" t="n">
        <v>135838</v>
      </c>
      <c r="J165" s="10" t="n">
        <v>2848</v>
      </c>
      <c r="K165" s="10" t="n">
        <v>3381</v>
      </c>
      <c r="L165" s="7" t="n">
        <v>123813</v>
      </c>
      <c r="M165" s="8" t="n">
        <v>4422</v>
      </c>
      <c r="N165" s="8" t="n">
        <v>19874</v>
      </c>
      <c r="O165" s="9" t="n">
        <v>119820</v>
      </c>
      <c r="P165" s="10" t="n">
        <v>-3200</v>
      </c>
      <c r="Q165" s="10" t="n">
        <v>1456</v>
      </c>
      <c r="R165" s="7" t="n">
        <v>144180</v>
      </c>
      <c r="S165" s="8" t="n">
        <v>4994</v>
      </c>
      <c r="T165" s="8" t="n">
        <v>4291</v>
      </c>
      <c r="U165" s="9" t="n">
        <v>136430</v>
      </c>
      <c r="V165" s="10" t="n">
        <v>2811</v>
      </c>
      <c r="W165" s="10" t="n">
        <v>18955</v>
      </c>
      <c r="X165" s="7" t="n">
        <v>121879</v>
      </c>
      <c r="Y165" s="8" t="n">
        <v>1750</v>
      </c>
      <c r="Z165" s="8" t="n">
        <v>1426</v>
      </c>
      <c r="AA165" s="9" t="n">
        <v>124271</v>
      </c>
      <c r="AB165" s="10" t="n">
        <v>923</v>
      </c>
      <c r="AC165" s="10" t="n">
        <v>1142</v>
      </c>
      <c r="AD165" s="7" t="n">
        <v>134598</v>
      </c>
      <c r="AE165" s="8" t="n">
        <v>6923</v>
      </c>
      <c r="AF165" s="8" t="n">
        <v>12393</v>
      </c>
      <c r="AG165" s="9" t="n">
        <v>140509</v>
      </c>
      <c r="AH165" s="10" t="n">
        <v>2994</v>
      </c>
      <c r="AI165" s="10" t="n">
        <v>4048</v>
      </c>
      <c r="AJ165" s="11" t="n">
        <v>138516</v>
      </c>
      <c r="AK165" s="12" t="n">
        <v>12490</v>
      </c>
      <c r="AL165" s="12" t="n">
        <v>30041</v>
      </c>
      <c r="AM165" s="13" t="n">
        <v>-1.4</v>
      </c>
      <c r="AN165" s="13" t="n">
        <v>13.7</v>
      </c>
      <c r="AO165" s="13" t="n">
        <v>317.2</v>
      </c>
      <c r="AP165" s="13" t="n">
        <v>613.7</v>
      </c>
    </row>
    <row r="166">
      <c r="A166" s="5" t="inlineStr">
        <is>
          <t>대원제약</t>
        </is>
      </c>
      <c r="B166" s="6" t="inlineStr">
        <is>
          <t>003220</t>
        </is>
      </c>
      <c r="C166" s="6" t="inlineStr">
        <is>
          <t>연결</t>
        </is>
      </c>
      <c r="D166" s="6" t="inlineStr">
        <is>
          <t>2026Q2</t>
        </is>
      </c>
      <c r="E166" s="6" t="inlineStr"/>
      <c r="F166" s="7" t="inlineStr"/>
      <c r="G166" s="8" t="inlineStr"/>
      <c r="H166" s="8" t="inlineStr"/>
      <c r="I166" s="9" t="n">
        <v>158301</v>
      </c>
      <c r="J166" s="10" t="n">
        <v>14979</v>
      </c>
      <c r="K166" s="10" t="n">
        <v>8989</v>
      </c>
      <c r="L166" s="7" t="n">
        <v>137959</v>
      </c>
      <c r="M166" s="8" t="n">
        <v>-1355</v>
      </c>
      <c r="N166" s="8" t="n">
        <v>-2270</v>
      </c>
      <c r="O166" s="9" t="n">
        <v>156831</v>
      </c>
      <c r="P166" s="10" t="n">
        <v>11381</v>
      </c>
      <c r="Q166" s="10" t="n">
        <v>5640</v>
      </c>
      <c r="R166" s="7" t="n">
        <v>145071</v>
      </c>
      <c r="S166" s="8" t="n">
        <v>3215</v>
      </c>
      <c r="T166" s="8" t="n">
        <v>-3314</v>
      </c>
      <c r="U166" s="9" t="n">
        <v>157832</v>
      </c>
      <c r="V166" s="10" t="n">
        <v>9406</v>
      </c>
      <c r="W166" s="10" t="n">
        <v>4899</v>
      </c>
      <c r="X166" s="7" t="n">
        <v>143856</v>
      </c>
      <c r="Y166" s="8" t="n">
        <v>-1408</v>
      </c>
      <c r="Z166" s="8" t="n">
        <v>-3502</v>
      </c>
      <c r="AA166" s="9" t="n">
        <v>143940</v>
      </c>
      <c r="AB166" s="10" t="n">
        <v>-10368</v>
      </c>
      <c r="AC166" s="10" t="n">
        <v>-18011</v>
      </c>
      <c r="AD166" s="7" t="n">
        <v>159807</v>
      </c>
      <c r="AE166" s="8" t="n">
        <v>5853</v>
      </c>
      <c r="AF166" s="8" t="n">
        <v>12601</v>
      </c>
      <c r="AG166" s="9" t="n">
        <v>158058</v>
      </c>
      <c r="AH166" s="10" t="n">
        <v>4381</v>
      </c>
      <c r="AI166" s="10" t="n">
        <v>1920</v>
      </c>
      <c r="AJ166" s="11" t="n">
        <v>152832</v>
      </c>
      <c r="AK166" s="12" t="n">
        <v>-9</v>
      </c>
      <c r="AL166" s="12" t="n">
        <v>3778</v>
      </c>
      <c r="AM166" s="13" t="n">
        <v>-3.3</v>
      </c>
      <c r="AN166" s="13" t="n">
        <v>6.2</v>
      </c>
      <c r="AO166" s="13" t="n">
        <v>-100.2</v>
      </c>
      <c r="AP166" s="13" t="n">
        <v>99.40000000000001</v>
      </c>
    </row>
    <row r="167">
      <c r="A167" s="5" t="inlineStr">
        <is>
          <t>삼양식품</t>
        </is>
      </c>
      <c r="B167" s="6" t="inlineStr">
        <is>
          <t>003230</t>
        </is>
      </c>
      <c r="C167" s="6" t="inlineStr">
        <is>
          <t>연결</t>
        </is>
      </c>
      <c r="D167" s="6" t="inlineStr">
        <is>
          <t>2026Q2</t>
        </is>
      </c>
      <c r="E167" s="6" t="inlineStr"/>
      <c r="F167" s="7" t="inlineStr"/>
      <c r="G167" s="8" t="inlineStr"/>
      <c r="H167" s="8" t="inlineStr"/>
      <c r="I167" s="9" t="n">
        <v>385749</v>
      </c>
      <c r="J167" s="10" t="n">
        <v>80120</v>
      </c>
      <c r="K167" s="10" t="n">
        <v>66480</v>
      </c>
      <c r="L167" s="7" t="n">
        <v>424443</v>
      </c>
      <c r="M167" s="8" t="n">
        <v>89468</v>
      </c>
      <c r="N167" s="8" t="n">
        <v>70346</v>
      </c>
      <c r="O167" s="9" t="n">
        <v>438970</v>
      </c>
      <c r="P167" s="10" t="n">
        <v>87314</v>
      </c>
      <c r="Q167" s="10" t="n">
        <v>58737</v>
      </c>
      <c r="R167" s="7" t="n">
        <v>478853</v>
      </c>
      <c r="S167" s="8" t="n">
        <v>87667</v>
      </c>
      <c r="T167" s="8" t="n">
        <v>75693</v>
      </c>
      <c r="U167" s="9" t="n">
        <v>529013</v>
      </c>
      <c r="V167" s="10" t="n">
        <v>133988</v>
      </c>
      <c r="W167" s="10" t="n">
        <v>98959</v>
      </c>
      <c r="X167" s="7" t="n">
        <v>553078</v>
      </c>
      <c r="Y167" s="8" t="n">
        <v>120088</v>
      </c>
      <c r="Z167" s="8" t="n">
        <v>84075</v>
      </c>
      <c r="AA167" s="9" t="n">
        <v>632016</v>
      </c>
      <c r="AB167" s="10" t="n">
        <v>130900</v>
      </c>
      <c r="AC167" s="10" t="n">
        <v>110017</v>
      </c>
      <c r="AD167" s="7" t="n">
        <v>637678</v>
      </c>
      <c r="AE167" s="8" t="n">
        <v>139212</v>
      </c>
      <c r="AF167" s="8" t="n">
        <v>95623</v>
      </c>
      <c r="AG167" s="9" t="n">
        <v>714406</v>
      </c>
      <c r="AH167" s="10" t="n">
        <v>177133</v>
      </c>
      <c r="AI167" s="10" t="n">
        <v>144516</v>
      </c>
      <c r="AJ167" s="11" t="n">
        <v>770309</v>
      </c>
      <c r="AK167" s="12" t="n">
        <v>176181</v>
      </c>
      <c r="AL167" s="12" t="n">
        <v>137539</v>
      </c>
      <c r="AM167" s="13" t="n">
        <v>7.8</v>
      </c>
      <c r="AN167" s="13" t="n">
        <v>39.3</v>
      </c>
      <c r="AO167" s="13" t="n">
        <v>-0.5</v>
      </c>
      <c r="AP167" s="13" t="n">
        <v>46.7</v>
      </c>
    </row>
    <row r="168">
      <c r="A168" s="5" t="inlineStr">
        <is>
          <t>태광산업</t>
        </is>
      </c>
      <c r="B168" s="6" t="inlineStr">
        <is>
          <t>003240</t>
        </is>
      </c>
      <c r="C168" s="6" t="inlineStr">
        <is>
          <t>연결</t>
        </is>
      </c>
      <c r="D168" s="6" t="inlineStr">
        <is>
          <t>2026Q2</t>
        </is>
      </c>
      <c r="E168" s="6" t="inlineStr"/>
      <c r="F168" s="7" t="inlineStr"/>
      <c r="G168" s="8" t="inlineStr"/>
      <c r="H168" s="8" t="inlineStr"/>
      <c r="I168" s="9" t="n">
        <v>554393</v>
      </c>
      <c r="J168" s="10" t="n">
        <v>-6279</v>
      </c>
      <c r="K168" s="10" t="n">
        <v>39704</v>
      </c>
      <c r="L168" s="7" t="n">
        <v>554561</v>
      </c>
      <c r="M168" s="8" t="n">
        <v>6940</v>
      </c>
      <c r="N168" s="8" t="n">
        <v>49580</v>
      </c>
      <c r="O168" s="9" t="n">
        <v>526448</v>
      </c>
      <c r="P168" s="10" t="n">
        <v>-17212</v>
      </c>
      <c r="Q168" s="10" t="n">
        <v>13627</v>
      </c>
      <c r="R168" s="7" t="n">
        <v>486461</v>
      </c>
      <c r="S168" s="8" t="n">
        <v>-10614</v>
      </c>
      <c r="T168" s="8" t="n">
        <v>115451</v>
      </c>
      <c r="U168" s="9" t="n">
        <v>507501</v>
      </c>
      <c r="V168" s="10" t="n">
        <v>2708</v>
      </c>
      <c r="W168" s="10" t="n">
        <v>75836</v>
      </c>
      <c r="X168" s="7" t="n">
        <v>464633</v>
      </c>
      <c r="Y168" s="8" t="n">
        <v>-18905</v>
      </c>
      <c r="Z168" s="8" t="n">
        <v>-25547</v>
      </c>
      <c r="AA168" s="9" t="n">
        <v>445197</v>
      </c>
      <c r="AB168" s="10" t="n">
        <v>-41895</v>
      </c>
      <c r="AC168" s="10" t="n">
        <v>-2625</v>
      </c>
      <c r="AD168" s="7" t="n">
        <v>410109</v>
      </c>
      <c r="AE168" s="8" t="n">
        <v>22077</v>
      </c>
      <c r="AF168" s="8" t="n">
        <v>35480</v>
      </c>
      <c r="AG168" s="9" t="n">
        <v>533314</v>
      </c>
      <c r="AH168" s="10" t="n">
        <v>-11401</v>
      </c>
      <c r="AI168" s="10" t="n">
        <v>28388</v>
      </c>
      <c r="AJ168" s="11" t="n">
        <v>557672</v>
      </c>
      <c r="AK168" s="12" t="n">
        <v>-1082</v>
      </c>
      <c r="AL168" s="12" t="n">
        <v>58667</v>
      </c>
      <c r="AM168" s="13" t="n">
        <v>4.6</v>
      </c>
      <c r="AN168" s="13" t="n">
        <v>20</v>
      </c>
      <c r="AO168" s="13" t="n">
        <v>90.5</v>
      </c>
      <c r="AP168" s="13" t="n">
        <v>94.3</v>
      </c>
    </row>
    <row r="169">
      <c r="A169" s="5" t="inlineStr">
        <is>
          <t>흥아해운</t>
        </is>
      </c>
      <c r="B169" s="6" t="inlineStr">
        <is>
          <t>003280</t>
        </is>
      </c>
      <c r="C169" s="6" t="inlineStr">
        <is>
          <t>연결</t>
        </is>
      </c>
      <c r="D169" s="6" t="inlineStr">
        <is>
          <t>2026Q2</t>
        </is>
      </c>
      <c r="E169" s="6" t="inlineStr"/>
      <c r="F169" s="7" t="inlineStr"/>
      <c r="G169" s="8" t="inlineStr"/>
      <c r="H169" s="8" t="inlineStr"/>
      <c r="I169" s="9" t="n">
        <v>43519</v>
      </c>
      <c r="J169" s="10" t="n">
        <v>5681</v>
      </c>
      <c r="K169" s="10" t="n">
        <v>4461</v>
      </c>
      <c r="L169" s="7" t="n">
        <v>48144</v>
      </c>
      <c r="M169" s="8" t="n">
        <v>8588</v>
      </c>
      <c r="N169" s="8" t="n">
        <v>7319</v>
      </c>
      <c r="O169" s="9" t="n">
        <v>48868</v>
      </c>
      <c r="P169" s="10" t="n">
        <v>9298</v>
      </c>
      <c r="Q169" s="10" t="n">
        <v>10111</v>
      </c>
      <c r="R169" s="7" t="n">
        <v>47470</v>
      </c>
      <c r="S169" s="8" t="n">
        <v>3974</v>
      </c>
      <c r="T169" s="8" t="n">
        <v>18070</v>
      </c>
      <c r="U169" s="9" t="n">
        <v>45771</v>
      </c>
      <c r="V169" s="10" t="n">
        <v>4665</v>
      </c>
      <c r="W169" s="10" t="n">
        <v>3116</v>
      </c>
      <c r="X169" s="7" t="n">
        <v>48689</v>
      </c>
      <c r="Y169" s="8" t="n">
        <v>5854</v>
      </c>
      <c r="Z169" s="8" t="n">
        <v>6578</v>
      </c>
      <c r="AA169" s="9" t="n">
        <v>41314</v>
      </c>
      <c r="AB169" s="10" t="n">
        <v>1219</v>
      </c>
      <c r="AC169" s="10" t="n">
        <v>44</v>
      </c>
      <c r="AD169" s="7" t="n">
        <v>45039</v>
      </c>
      <c r="AE169" s="8" t="n">
        <v>-462</v>
      </c>
      <c r="AF169" s="8" t="n">
        <v>20586</v>
      </c>
      <c r="AG169" s="9" t="n">
        <v>40023</v>
      </c>
      <c r="AH169" s="10" t="n">
        <v>1104</v>
      </c>
      <c r="AI169" s="10" t="n">
        <v>553</v>
      </c>
      <c r="AJ169" s="11" t="n">
        <v>49964</v>
      </c>
      <c r="AK169" s="12" t="n">
        <v>3141</v>
      </c>
      <c r="AL169" s="12" t="n">
        <v>2171</v>
      </c>
      <c r="AM169" s="13" t="n">
        <v>24.8</v>
      </c>
      <c r="AN169" s="13" t="n">
        <v>2.6</v>
      </c>
      <c r="AO169" s="13" t="n">
        <v>184.5</v>
      </c>
      <c r="AP169" s="13" t="n">
        <v>-46.3</v>
      </c>
    </row>
    <row r="170">
      <c r="A170" s="5" t="inlineStr">
        <is>
          <t>한일홀딩스</t>
        </is>
      </c>
      <c r="B170" s="6" t="inlineStr">
        <is>
          <t>003300</t>
        </is>
      </c>
      <c r="C170" s="6" t="inlineStr">
        <is>
          <t>연결</t>
        </is>
      </c>
      <c r="D170" s="6" t="inlineStr">
        <is>
          <t>2026Q2</t>
        </is>
      </c>
      <c r="E170" s="6" t="inlineStr"/>
      <c r="F170" s="7" t="inlineStr"/>
      <c r="G170" s="8" t="inlineStr"/>
      <c r="H170" s="8" t="inlineStr"/>
      <c r="I170" s="9" t="n">
        <v>513440</v>
      </c>
      <c r="J170" s="10" t="n">
        <v>54703</v>
      </c>
      <c r="K170" s="10" t="n">
        <v>52809</v>
      </c>
      <c r="L170" s="7" t="n">
        <v>614000</v>
      </c>
      <c r="M170" s="8" t="n">
        <v>119909</v>
      </c>
      <c r="N170" s="8" t="n">
        <v>84627</v>
      </c>
      <c r="O170" s="9" t="n">
        <v>492032</v>
      </c>
      <c r="P170" s="10" t="n">
        <v>70417</v>
      </c>
      <c r="Q170" s="10" t="n">
        <v>51324</v>
      </c>
      <c r="R170" s="7" t="n">
        <v>629271</v>
      </c>
      <c r="S170" s="8" t="n">
        <v>34285</v>
      </c>
      <c r="T170" s="8" t="n">
        <v>9748</v>
      </c>
      <c r="U170" s="9" t="n">
        <v>410492</v>
      </c>
      <c r="V170" s="10" t="n">
        <v>12655</v>
      </c>
      <c r="W170" s="10" t="n">
        <v>10343</v>
      </c>
      <c r="X170" s="7" t="n">
        <v>543122</v>
      </c>
      <c r="Y170" s="8" t="n">
        <v>47312</v>
      </c>
      <c r="Z170" s="8" t="n">
        <v>24105</v>
      </c>
      <c r="AA170" s="9" t="n">
        <v>505045</v>
      </c>
      <c r="AB170" s="10" t="n">
        <v>49097</v>
      </c>
      <c r="AC170" s="10" t="n">
        <v>35843</v>
      </c>
      <c r="AD170" s="7" t="n">
        <v>471830</v>
      </c>
      <c r="AE170" s="8" t="n">
        <v>14160</v>
      </c>
      <c r="AF170" s="8" t="n">
        <v>-8350</v>
      </c>
      <c r="AG170" s="9" t="n">
        <v>395615</v>
      </c>
      <c r="AH170" s="10" t="n">
        <v>12396</v>
      </c>
      <c r="AI170" s="10" t="n">
        <v>6076</v>
      </c>
      <c r="AJ170" s="11" t="n">
        <v>502404</v>
      </c>
      <c r="AK170" s="12" t="n">
        <v>65256</v>
      </c>
      <c r="AL170" s="12" t="n">
        <v>55028</v>
      </c>
      <c r="AM170" s="13" t="n">
        <v>27</v>
      </c>
      <c r="AN170" s="13" t="n">
        <v>-7.5</v>
      </c>
      <c r="AO170" s="13" t="n">
        <v>426.4</v>
      </c>
      <c r="AP170" s="13" t="n">
        <v>37.9</v>
      </c>
    </row>
    <row r="171">
      <c r="A171" s="5" t="inlineStr">
        <is>
          <t>대주산업</t>
        </is>
      </c>
      <c r="B171" s="6" t="inlineStr">
        <is>
          <t>003310</t>
        </is>
      </c>
      <c r="C171" s="6" t="inlineStr">
        <is>
          <t>연결</t>
        </is>
      </c>
      <c r="D171" s="6" t="inlineStr">
        <is>
          <t>2026Q2</t>
        </is>
      </c>
      <c r="E171" s="6" t="inlineStr"/>
      <c r="F171" s="7" t="inlineStr"/>
      <c r="G171" s="8" t="inlineStr"/>
      <c r="H171" s="8" t="inlineStr"/>
      <c r="I171" s="9" t="n">
        <v>26338</v>
      </c>
      <c r="J171" s="10" t="n">
        <v>1606</v>
      </c>
      <c r="K171" s="10" t="n">
        <v>1957</v>
      </c>
      <c r="L171" s="7" t="n">
        <v>26464</v>
      </c>
      <c r="M171" s="8" t="n">
        <v>2541</v>
      </c>
      <c r="N171" s="8" t="n">
        <v>1243</v>
      </c>
      <c r="O171" s="9" t="n">
        <v>24511</v>
      </c>
      <c r="P171" s="10" t="n">
        <v>2345</v>
      </c>
      <c r="Q171" s="10" t="n">
        <v>2043</v>
      </c>
      <c r="R171" s="7" t="n">
        <v>28726</v>
      </c>
      <c r="S171" s="8" t="n">
        <v>3533</v>
      </c>
      <c r="T171" s="8" t="n">
        <v>3073</v>
      </c>
      <c r="U171" s="9" t="n">
        <v>25549</v>
      </c>
      <c r="V171" s="10" t="n">
        <v>2575</v>
      </c>
      <c r="W171" s="10" t="n">
        <v>2044</v>
      </c>
      <c r="X171" s="7" t="n">
        <v>24901</v>
      </c>
      <c r="Y171" s="8" t="n">
        <v>2083</v>
      </c>
      <c r="Z171" s="8" t="n">
        <v>1864</v>
      </c>
      <c r="AA171" s="9" t="n">
        <v>24003</v>
      </c>
      <c r="AB171" s="10" t="n">
        <v>2504</v>
      </c>
      <c r="AC171" s="10" t="n">
        <v>1874</v>
      </c>
      <c r="AD171" s="7" t="n">
        <v>26530</v>
      </c>
      <c r="AE171" s="8" t="n">
        <v>3473</v>
      </c>
      <c r="AF171" s="8" t="n">
        <v>977</v>
      </c>
      <c r="AG171" s="9" t="n">
        <v>24987</v>
      </c>
      <c r="AH171" s="10" t="n">
        <v>1965</v>
      </c>
      <c r="AI171" s="10" t="n">
        <v>1580</v>
      </c>
      <c r="AJ171" s="11" t="n">
        <v>25269</v>
      </c>
      <c r="AK171" s="12" t="n">
        <v>2558</v>
      </c>
      <c r="AL171" s="12" t="n">
        <v>1945</v>
      </c>
      <c r="AM171" s="13" t="n">
        <v>1.1</v>
      </c>
      <c r="AN171" s="13" t="n">
        <v>1.5</v>
      </c>
      <c r="AO171" s="13" t="n">
        <v>30.2</v>
      </c>
      <c r="AP171" s="13" t="n">
        <v>22.8</v>
      </c>
    </row>
    <row r="172">
      <c r="A172" s="5" t="inlineStr">
        <is>
          <t>한국화장품제조</t>
        </is>
      </c>
      <c r="B172" s="6" t="inlineStr">
        <is>
          <t>003350</t>
        </is>
      </c>
      <c r="C172" s="6" t="inlineStr">
        <is>
          <t>별도</t>
        </is>
      </c>
      <c r="D172" s="6" t="inlineStr">
        <is>
          <t>2026Q2</t>
        </is>
      </c>
      <c r="E172" s="6" t="inlineStr"/>
      <c r="F172" s="7" t="inlineStr"/>
      <c r="G172" s="8" t="inlineStr"/>
      <c r="H172" s="8" t="inlineStr"/>
      <c r="I172" s="9" t="n">
        <v>35135</v>
      </c>
      <c r="J172" s="10" t="n">
        <v>4361</v>
      </c>
      <c r="K172" s="10" t="n">
        <v>4133</v>
      </c>
      <c r="L172" s="7" t="n">
        <v>48114</v>
      </c>
      <c r="M172" s="8" t="n">
        <v>8949</v>
      </c>
      <c r="N172" s="8" t="n">
        <v>6984</v>
      </c>
      <c r="O172" s="9" t="n">
        <v>48223</v>
      </c>
      <c r="P172" s="10" t="n">
        <v>9361</v>
      </c>
      <c r="Q172" s="10" t="n">
        <v>7318</v>
      </c>
      <c r="R172" s="7" t="n">
        <v>35997</v>
      </c>
      <c r="S172" s="8" t="n">
        <v>3874</v>
      </c>
      <c r="T172" s="8" t="n">
        <v>4701</v>
      </c>
      <c r="U172" s="9" t="n">
        <v>37998</v>
      </c>
      <c r="V172" s="10" t="n">
        <v>6001</v>
      </c>
      <c r="W172" s="10" t="n">
        <v>5235</v>
      </c>
      <c r="X172" s="7" t="n">
        <v>53774</v>
      </c>
      <c r="Y172" s="8" t="n">
        <v>10825</v>
      </c>
      <c r="Z172" s="8" t="n">
        <v>8477</v>
      </c>
      <c r="AA172" s="9" t="n">
        <v>54836</v>
      </c>
      <c r="AB172" s="10" t="n">
        <v>11853</v>
      </c>
      <c r="AC172" s="10" t="n">
        <v>9546</v>
      </c>
      <c r="AD172" s="7" t="n">
        <v>38020</v>
      </c>
      <c r="AE172" s="8" t="n">
        <v>4205</v>
      </c>
      <c r="AF172" s="8" t="n">
        <v>4115</v>
      </c>
      <c r="AG172" s="9" t="n">
        <v>52227</v>
      </c>
      <c r="AH172" s="10" t="n">
        <v>8575</v>
      </c>
      <c r="AI172" s="10" t="n">
        <v>7528</v>
      </c>
      <c r="AJ172" s="11" t="n">
        <v>71183</v>
      </c>
      <c r="AK172" s="12" t="n">
        <v>13953</v>
      </c>
      <c r="AL172" s="12" t="n">
        <v>10838</v>
      </c>
      <c r="AM172" s="13" t="n">
        <v>36.3</v>
      </c>
      <c r="AN172" s="13" t="n">
        <v>32.4</v>
      </c>
      <c r="AO172" s="13" t="n">
        <v>62.7</v>
      </c>
      <c r="AP172" s="13" t="n">
        <v>28.9</v>
      </c>
    </row>
    <row r="173">
      <c r="A173" s="5" t="inlineStr">
        <is>
          <t>하림지주</t>
        </is>
      </c>
      <c r="B173" s="6" t="inlineStr">
        <is>
          <t>003380</t>
        </is>
      </c>
      <c r="C173" s="6" t="inlineStr">
        <is>
          <t>연결</t>
        </is>
      </c>
      <c r="D173" s="6" t="inlineStr">
        <is>
          <t>2026Q2</t>
        </is>
      </c>
      <c r="E173" s="6" t="inlineStr"/>
      <c r="F173" s="7" t="inlineStr"/>
      <c r="G173" s="8" t="inlineStr"/>
      <c r="H173" s="8" t="inlineStr"/>
      <c r="I173" s="9" t="n">
        <v>2743083</v>
      </c>
      <c r="J173" s="10" t="n">
        <v>175035</v>
      </c>
      <c r="K173" s="10" t="n">
        <v>-6198</v>
      </c>
      <c r="L173" s="7" t="n">
        <v>3021256</v>
      </c>
      <c r="M173" s="8" t="n">
        <v>199733</v>
      </c>
      <c r="N173" s="8" t="n">
        <v>54598</v>
      </c>
      <c r="O173" s="9" t="n">
        <v>3100974</v>
      </c>
      <c r="P173" s="10" t="n">
        <v>259204</v>
      </c>
      <c r="Q173" s="10" t="n">
        <v>282394</v>
      </c>
      <c r="R173" s="7" t="n">
        <v>3407646</v>
      </c>
      <c r="S173" s="8" t="n">
        <v>131508</v>
      </c>
      <c r="T173" s="8" t="n">
        <v>-155977</v>
      </c>
      <c r="U173" s="9" t="n">
        <v>3203535</v>
      </c>
      <c r="V173" s="10" t="n">
        <v>219888</v>
      </c>
      <c r="W173" s="10" t="n">
        <v>108645</v>
      </c>
      <c r="X173" s="7" t="n">
        <v>3310850</v>
      </c>
      <c r="Y173" s="8" t="n">
        <v>238893</v>
      </c>
      <c r="Z173" s="8" t="n">
        <v>261544</v>
      </c>
      <c r="AA173" s="9" t="n">
        <v>3306008</v>
      </c>
      <c r="AB173" s="10" t="n">
        <v>255172</v>
      </c>
      <c r="AC173" s="10" t="n">
        <v>102327</v>
      </c>
      <c r="AD173" s="7" t="n">
        <v>3394491</v>
      </c>
      <c r="AE173" s="8" t="n">
        <v>173474</v>
      </c>
      <c r="AF173" s="8" t="n">
        <v>41244</v>
      </c>
      <c r="AG173" s="9" t="n">
        <v>3554066</v>
      </c>
      <c r="AH173" s="10" t="n">
        <v>258252</v>
      </c>
      <c r="AI173" s="10" t="n">
        <v>141147</v>
      </c>
      <c r="AJ173" s="11" t="n">
        <v>4091400</v>
      </c>
      <c r="AK173" s="12" t="n">
        <v>285934</v>
      </c>
      <c r="AL173" s="12" t="n">
        <v>130045</v>
      </c>
      <c r="AM173" s="13" t="n">
        <v>15.1</v>
      </c>
      <c r="AN173" s="13" t="n">
        <v>23.6</v>
      </c>
      <c r="AO173" s="13" t="n">
        <v>10.7</v>
      </c>
      <c r="AP173" s="13" t="n">
        <v>19.7</v>
      </c>
    </row>
    <row r="174">
      <c r="A174" s="5" t="inlineStr">
        <is>
          <t>유화증권</t>
        </is>
      </c>
      <c r="B174" s="6" t="inlineStr">
        <is>
          <t>003460</t>
        </is>
      </c>
      <c r="C174" s="6" t="inlineStr">
        <is>
          <t>별도</t>
        </is>
      </c>
      <c r="D174" s="6" t="inlineStr">
        <is>
          <t>2026Q2</t>
        </is>
      </c>
      <c r="E174" s="6" t="inlineStr"/>
      <c r="F174" s="7" t="inlineStr"/>
      <c r="G174" s="8" t="inlineStr"/>
      <c r="H174" s="8" t="inlineStr"/>
      <c r="I174" s="9" t="inlineStr"/>
      <c r="J174" s="10" t="n">
        <v>8632</v>
      </c>
      <c r="K174" s="10" t="n">
        <v>9255</v>
      </c>
      <c r="L174" s="7" t="inlineStr"/>
      <c r="M174" s="8" t="n">
        <v>3557</v>
      </c>
      <c r="N174" s="8" t="n">
        <v>4907</v>
      </c>
      <c r="O174" s="9" t="inlineStr"/>
      <c r="P174" s="10" t="n">
        <v>3306</v>
      </c>
      <c r="Q174" s="10" t="n">
        <v>5052</v>
      </c>
      <c r="R174" s="7" t="inlineStr"/>
      <c r="S174" s="8" t="n">
        <v>-3294</v>
      </c>
      <c r="T174" s="8" t="n">
        <v>-1435</v>
      </c>
      <c r="U174" s="9" t="inlineStr"/>
      <c r="V174" s="10" t="n">
        <v>5832</v>
      </c>
      <c r="W174" s="10" t="n">
        <v>6988</v>
      </c>
      <c r="X174" s="7" t="inlineStr"/>
      <c r="Y174" s="8" t="n">
        <v>-1176</v>
      </c>
      <c r="Z174" s="8" t="n">
        <v>1263</v>
      </c>
      <c r="AA174" s="9" t="inlineStr"/>
      <c r="AB174" s="10" t="n">
        <v>5171</v>
      </c>
      <c r="AC174" s="10" t="n">
        <v>6308</v>
      </c>
      <c r="AD174" s="7" t="inlineStr"/>
      <c r="AE174" s="8" t="n">
        <v>-3910</v>
      </c>
      <c r="AF174" s="8" t="n">
        <v>-503</v>
      </c>
      <c r="AG174" s="9" t="inlineStr"/>
      <c r="AH174" s="10" t="n">
        <v>10613</v>
      </c>
      <c r="AI174" s="10" t="n">
        <v>11172</v>
      </c>
      <c r="AJ174" s="11" t="inlineStr"/>
      <c r="AK174" s="12" t="n">
        <v>-2432</v>
      </c>
      <c r="AL174" s="12" t="n">
        <v>706</v>
      </c>
      <c r="AM174" s="13" t="inlineStr"/>
      <c r="AN174" s="13" t="inlineStr"/>
      <c r="AO174" s="13" t="n">
        <v>-122.9</v>
      </c>
      <c r="AP174" s="13" t="n">
        <v>-106.8</v>
      </c>
    </row>
    <row r="175">
      <c r="A175" s="5" t="inlineStr">
        <is>
          <t>유안타증권</t>
        </is>
      </c>
      <c r="B175" s="6" t="inlineStr">
        <is>
          <t>003470</t>
        </is>
      </c>
      <c r="C175" s="6" t="inlineStr">
        <is>
          <t>연결</t>
        </is>
      </c>
      <c r="D175" s="6" t="inlineStr">
        <is>
          <t>2026Q2</t>
        </is>
      </c>
      <c r="E175" s="6" t="inlineStr"/>
      <c r="F175" s="7" t="inlineStr"/>
      <c r="G175" s="8" t="inlineStr"/>
      <c r="H175" s="8" t="inlineStr"/>
      <c r="I175" s="9" t="n">
        <v>745615</v>
      </c>
      <c r="J175" s="10" t="n">
        <v>41968</v>
      </c>
      <c r="K175" s="10" t="n">
        <v>34141</v>
      </c>
      <c r="L175" s="7" t="n">
        <v>595328</v>
      </c>
      <c r="M175" s="8" t="n">
        <v>11948</v>
      </c>
      <c r="N175" s="8" t="n">
        <v>6904</v>
      </c>
      <c r="O175" s="9" t="n">
        <v>672335</v>
      </c>
      <c r="P175" s="10" t="n">
        <v>18211</v>
      </c>
      <c r="Q175" s="10" t="n">
        <v>20877</v>
      </c>
      <c r="R175" s="7" t="n">
        <v>699449</v>
      </c>
      <c r="S175" s="8" t="n">
        <v>22626</v>
      </c>
      <c r="T175" s="8" t="n">
        <v>11128</v>
      </c>
      <c r="U175" s="9" t="n">
        <v>763715</v>
      </c>
      <c r="V175" s="10" t="n">
        <v>12908</v>
      </c>
      <c r="W175" s="10" t="n">
        <v>9149</v>
      </c>
      <c r="X175" s="7" t="n">
        <v>802679</v>
      </c>
      <c r="Y175" s="8" t="n">
        <v>26841</v>
      </c>
      <c r="Z175" s="8" t="n">
        <v>23491</v>
      </c>
      <c r="AA175" s="9" t="n">
        <v>714650</v>
      </c>
      <c r="AB175" s="10" t="n">
        <v>39101</v>
      </c>
      <c r="AC175" s="10" t="n">
        <v>29747</v>
      </c>
      <c r="AD175" s="7" t="n">
        <v>1180229</v>
      </c>
      <c r="AE175" s="8" t="n">
        <v>20529</v>
      </c>
      <c r="AF175" s="8" t="n">
        <v>33245</v>
      </c>
      <c r="AG175" s="9" t="n">
        <v>1723369</v>
      </c>
      <c r="AH175" s="10" t="n">
        <v>72816</v>
      </c>
      <c r="AI175" s="10" t="n">
        <v>67978</v>
      </c>
      <c r="AJ175" s="11" t="n">
        <v>1807168</v>
      </c>
      <c r="AK175" s="12" t="n">
        <v>86473</v>
      </c>
      <c r="AL175" s="12" t="n">
        <v>61861</v>
      </c>
      <c r="AM175" s="13" t="n">
        <v>4.9</v>
      </c>
      <c r="AN175" s="13" t="n">
        <v>125.1</v>
      </c>
      <c r="AO175" s="13" t="n">
        <v>18.8</v>
      </c>
      <c r="AP175" s="13" t="n">
        <v>222.2</v>
      </c>
    </row>
    <row r="176">
      <c r="A176" s="5" t="inlineStr">
        <is>
          <t>한진중공업홀딩스</t>
        </is>
      </c>
      <c r="B176" s="6" t="inlineStr">
        <is>
          <t>003480</t>
        </is>
      </c>
      <c r="C176" s="6" t="inlineStr">
        <is>
          <t>연결</t>
        </is>
      </c>
      <c r="D176" s="6" t="inlineStr">
        <is>
          <t>2026Q2</t>
        </is>
      </c>
      <c r="E176" s="6" t="inlineStr"/>
      <c r="F176" s="7" t="inlineStr"/>
      <c r="G176" s="8" t="inlineStr"/>
      <c r="H176" s="8" t="inlineStr"/>
      <c r="I176" s="9" t="n">
        <v>446506</v>
      </c>
      <c r="J176" s="10" t="n">
        <v>19373</v>
      </c>
      <c r="K176" s="10" t="n">
        <v>20285</v>
      </c>
      <c r="L176" s="7" t="n">
        <v>181992</v>
      </c>
      <c r="M176" s="8" t="n">
        <v>2834</v>
      </c>
      <c r="N176" s="8" t="n">
        <v>-789</v>
      </c>
      <c r="O176" s="9" t="n">
        <v>179023</v>
      </c>
      <c r="P176" s="10" t="n">
        <v>9861</v>
      </c>
      <c r="Q176" s="10" t="n">
        <v>3253</v>
      </c>
      <c r="R176" s="7" t="inlineStr"/>
      <c r="S176" s="8" t="n">
        <v>13807</v>
      </c>
      <c r="T176" s="8" t="n">
        <v>38097</v>
      </c>
      <c r="U176" s="9" t="inlineStr"/>
      <c r="V176" s="10" t="n">
        <v>38421</v>
      </c>
      <c r="W176" s="10" t="n">
        <v>28020</v>
      </c>
      <c r="X176" s="7" t="n">
        <v>201201</v>
      </c>
      <c r="Y176" s="8" t="n">
        <v>823</v>
      </c>
      <c r="Z176" s="8" t="n">
        <v>-683</v>
      </c>
      <c r="AA176" s="9" t="n">
        <v>160932</v>
      </c>
      <c r="AB176" s="10" t="n">
        <v>10407</v>
      </c>
      <c r="AC176" s="10" t="n">
        <v>6023</v>
      </c>
      <c r="AD176" s="7" t="inlineStr"/>
      <c r="AE176" s="8" t="n">
        <v>23603</v>
      </c>
      <c r="AF176" s="8" t="n">
        <v>29202</v>
      </c>
      <c r="AG176" s="9" t="n">
        <v>484033</v>
      </c>
      <c r="AH176" s="10" t="n">
        <v>49618</v>
      </c>
      <c r="AI176" s="10" t="n">
        <v>35470</v>
      </c>
      <c r="AJ176" s="11" t="n">
        <v>205726</v>
      </c>
      <c r="AK176" s="12" t="n">
        <v>3081</v>
      </c>
      <c r="AL176" s="12" t="n">
        <v>408</v>
      </c>
      <c r="AM176" s="13" t="n">
        <v>-57.5</v>
      </c>
      <c r="AN176" s="13" t="n">
        <v>2.2</v>
      </c>
      <c r="AO176" s="13" t="n">
        <v>-93.8</v>
      </c>
      <c r="AP176" s="13" t="n">
        <v>274.4</v>
      </c>
    </row>
    <row r="177">
      <c r="A177" s="5" t="inlineStr">
        <is>
          <t>대한항공</t>
        </is>
      </c>
      <c r="B177" s="6" t="inlineStr">
        <is>
          <t>003490</t>
        </is>
      </c>
      <c r="C177" s="6" t="inlineStr">
        <is>
          <t>연결</t>
        </is>
      </c>
      <c r="D177" s="6" t="inlineStr">
        <is>
          <t>2026Q2</t>
        </is>
      </c>
      <c r="E177" s="6" t="inlineStr">
        <is>
          <t>2023Q4</t>
        </is>
      </c>
      <c r="F177" s="14" t="n">
        <v>3980106</v>
      </c>
      <c r="G177" s="15" t="n">
        <v>183608</v>
      </c>
      <c r="H177" s="15" t="n">
        <v>-234594</v>
      </c>
      <c r="I177" s="9" t="n">
        <v>4291445</v>
      </c>
      <c r="J177" s="10" t="n">
        <v>537527</v>
      </c>
      <c r="K177" s="10" t="n">
        <v>406529</v>
      </c>
      <c r="L177" s="7" t="n">
        <v>4402231</v>
      </c>
      <c r="M177" s="8" t="n">
        <v>442930</v>
      </c>
      <c r="N177" s="8" t="n">
        <v>359141</v>
      </c>
      <c r="O177" s="9" t="n">
        <v>4675277</v>
      </c>
      <c r="P177" s="10" t="n">
        <v>665662</v>
      </c>
      <c r="Q177" s="10" t="n">
        <v>316932</v>
      </c>
      <c r="R177" s="7" t="n">
        <v>4501765</v>
      </c>
      <c r="S177" s="8" t="n">
        <v>464081</v>
      </c>
      <c r="T177" s="8" t="n">
        <v>299256</v>
      </c>
      <c r="U177" s="9" t="n">
        <v>6491862</v>
      </c>
      <c r="V177" s="10" t="n">
        <v>431046</v>
      </c>
      <c r="W177" s="10" t="n">
        <v>349860</v>
      </c>
      <c r="X177" s="7" t="n">
        <v>6210706</v>
      </c>
      <c r="Y177" s="8" t="n">
        <v>370084</v>
      </c>
      <c r="Z177" s="8" t="n">
        <v>557276</v>
      </c>
      <c r="AA177" s="9" t="n">
        <v>6026889</v>
      </c>
      <c r="AB177" s="10" t="n">
        <v>157544</v>
      </c>
      <c r="AC177" s="10" t="n">
        <v>-278126</v>
      </c>
      <c r="AD177" s="7" t="n">
        <v>6496085</v>
      </c>
      <c r="AE177" s="8" t="n">
        <v>154915</v>
      </c>
      <c r="AF177" s="8" t="n">
        <v>18263</v>
      </c>
      <c r="AG177" s="9" t="n">
        <v>6658062</v>
      </c>
      <c r="AH177" s="10" t="n">
        <v>517384</v>
      </c>
      <c r="AI177" s="10" t="n">
        <v>33677</v>
      </c>
      <c r="AJ177" s="11" t="n">
        <v>7230056</v>
      </c>
      <c r="AK177" s="12" t="n">
        <v>-207111</v>
      </c>
      <c r="AL177" s="12" t="n">
        <v>-600094</v>
      </c>
      <c r="AM177" s="13" t="n">
        <v>8.6</v>
      </c>
      <c r="AN177" s="13" t="n">
        <v>16.4</v>
      </c>
      <c r="AO177" s="13" t="n">
        <v>-140</v>
      </c>
      <c r="AP177" s="13" t="n">
        <v>-156</v>
      </c>
    </row>
    <row r="178">
      <c r="A178" s="5" t="inlineStr">
        <is>
          <t>영진약품</t>
        </is>
      </c>
      <c r="B178" s="6" t="inlineStr">
        <is>
          <t>003520</t>
        </is>
      </c>
      <c r="C178" s="6" t="inlineStr">
        <is>
          <t>별도</t>
        </is>
      </c>
      <c r="D178" s="6" t="inlineStr">
        <is>
          <t>2026Q2</t>
        </is>
      </c>
      <c r="E178" s="6" t="inlineStr"/>
      <c r="F178" s="7" t="inlineStr"/>
      <c r="G178" s="8" t="inlineStr"/>
      <c r="H178" s="8" t="inlineStr"/>
      <c r="I178" s="9" t="n">
        <v>64946</v>
      </c>
      <c r="J178" s="10" t="n">
        <v>4602</v>
      </c>
      <c r="K178" s="10" t="n">
        <v>4093</v>
      </c>
      <c r="L178" s="7" t="n">
        <v>62202</v>
      </c>
      <c r="M178" s="8" t="n">
        <v>1209</v>
      </c>
      <c r="N178" s="8" t="n">
        <v>-1456</v>
      </c>
      <c r="O178" s="9" t="n">
        <v>62040</v>
      </c>
      <c r="P178" s="10" t="n">
        <v>1320</v>
      </c>
      <c r="Q178" s="10" t="n">
        <v>-437</v>
      </c>
      <c r="R178" s="7" t="n">
        <v>62852</v>
      </c>
      <c r="S178" s="8" t="n">
        <v>1591</v>
      </c>
      <c r="T178" s="8" t="n">
        <v>-967</v>
      </c>
      <c r="U178" s="9" t="n">
        <v>64074</v>
      </c>
      <c r="V178" s="10" t="n">
        <v>2615</v>
      </c>
      <c r="W178" s="10" t="n">
        <v>976</v>
      </c>
      <c r="X178" s="7" t="n">
        <v>62516</v>
      </c>
      <c r="Y178" s="8" t="n">
        <v>1885</v>
      </c>
      <c r="Z178" s="8" t="n">
        <v>339</v>
      </c>
      <c r="AA178" s="9" t="n">
        <v>60850</v>
      </c>
      <c r="AB178" s="10" t="n">
        <v>4</v>
      </c>
      <c r="AC178" s="10" t="n">
        <v>-1167</v>
      </c>
      <c r="AD178" s="7" t="n">
        <v>66816</v>
      </c>
      <c r="AE178" s="8" t="n">
        <v>-1088</v>
      </c>
      <c r="AF178" s="8" t="n">
        <v>-376</v>
      </c>
      <c r="AG178" s="9" t="n">
        <v>63759</v>
      </c>
      <c r="AH178" s="10" t="n">
        <v>-1755</v>
      </c>
      <c r="AI178" s="10" t="n">
        <v>-2282</v>
      </c>
      <c r="AJ178" s="11" t="n">
        <v>61578</v>
      </c>
      <c r="AK178" s="12" t="n">
        <v>-1497</v>
      </c>
      <c r="AL178" s="12" t="n">
        <v>-2431</v>
      </c>
      <c r="AM178" s="13" t="n">
        <v>-3.4</v>
      </c>
      <c r="AN178" s="13" t="n">
        <v>-1.5</v>
      </c>
      <c r="AO178" s="13" t="n">
        <v>14.7</v>
      </c>
      <c r="AP178" s="13" t="n">
        <v>-179.4</v>
      </c>
    </row>
    <row r="179">
      <c r="A179" s="5" t="inlineStr">
        <is>
          <t>한화투자증권</t>
        </is>
      </c>
      <c r="B179" s="6" t="inlineStr">
        <is>
          <t>003530</t>
        </is>
      </c>
      <c r="C179" s="6" t="inlineStr">
        <is>
          <t>연결</t>
        </is>
      </c>
      <c r="D179" s="6" t="inlineStr">
        <is>
          <t>2026Q2</t>
        </is>
      </c>
      <c r="E179" s="6" t="inlineStr"/>
      <c r="F179" s="7" t="inlineStr"/>
      <c r="G179" s="8" t="inlineStr"/>
      <c r="H179" s="8" t="inlineStr"/>
      <c r="I179" s="9" t="n">
        <v>666282</v>
      </c>
      <c r="J179" s="10" t="n">
        <v>25961</v>
      </c>
      <c r="K179" s="10" t="n">
        <v>76614</v>
      </c>
      <c r="L179" s="7" t="n">
        <v>484163</v>
      </c>
      <c r="M179" s="8" t="n">
        <v>-21624</v>
      </c>
      <c r="N179" s="8" t="n">
        <v>-19299</v>
      </c>
      <c r="O179" s="9" t="n">
        <v>461014</v>
      </c>
      <c r="P179" s="10" t="n">
        <v>5558</v>
      </c>
      <c r="Q179" s="10" t="n">
        <v>3391</v>
      </c>
      <c r="R179" s="7" t="n">
        <v>884334</v>
      </c>
      <c r="S179" s="8" t="n">
        <v>-5929</v>
      </c>
      <c r="T179" s="8" t="n">
        <v>-21816</v>
      </c>
      <c r="U179" s="9" t="n">
        <v>836959</v>
      </c>
      <c r="V179" s="10" t="n">
        <v>47151</v>
      </c>
      <c r="W179" s="10" t="n">
        <v>37156</v>
      </c>
      <c r="X179" s="7" t="n">
        <v>889628</v>
      </c>
      <c r="Y179" s="8" t="n">
        <v>37718</v>
      </c>
      <c r="Z179" s="8" t="n">
        <v>29323</v>
      </c>
      <c r="AA179" s="9" t="n">
        <v>469392</v>
      </c>
      <c r="AB179" s="10" t="n">
        <v>37656</v>
      </c>
      <c r="AC179" s="10" t="n">
        <v>21453</v>
      </c>
      <c r="AD179" s="7" t="n">
        <v>898599</v>
      </c>
      <c r="AE179" s="8" t="n">
        <v>25176</v>
      </c>
      <c r="AF179" s="8" t="n">
        <v>14078</v>
      </c>
      <c r="AG179" s="9" t="n">
        <v>1659350</v>
      </c>
      <c r="AH179" s="10" t="n">
        <v>29649</v>
      </c>
      <c r="AI179" s="10" t="n">
        <v>19127</v>
      </c>
      <c r="AJ179" s="11" t="n">
        <v>3234649</v>
      </c>
      <c r="AK179" s="12" t="n">
        <v>55604</v>
      </c>
      <c r="AL179" s="12" t="n">
        <v>27026</v>
      </c>
      <c r="AM179" s="13" t="n">
        <v>94.90000000000001</v>
      </c>
      <c r="AN179" s="13" t="n">
        <v>263.6</v>
      </c>
      <c r="AO179" s="13" t="n">
        <v>87.5</v>
      </c>
      <c r="AP179" s="13" t="n">
        <v>47.4</v>
      </c>
    </row>
    <row r="180">
      <c r="A180" s="5" t="inlineStr">
        <is>
          <t>대신증권</t>
        </is>
      </c>
      <c r="B180" s="6" t="inlineStr">
        <is>
          <t>003540</t>
        </is>
      </c>
      <c r="C180" s="6" t="inlineStr">
        <is>
          <t>연결</t>
        </is>
      </c>
      <c r="D180" s="6" t="inlineStr">
        <is>
          <t>2026Q2</t>
        </is>
      </c>
      <c r="E180" s="6" t="inlineStr"/>
      <c r="F180" s="7" t="inlineStr"/>
      <c r="G180" s="8" t="inlineStr"/>
      <c r="H180" s="8" t="inlineStr"/>
      <c r="I180" s="9" t="n">
        <v>1076034</v>
      </c>
      <c r="J180" s="10" t="n">
        <v>73027</v>
      </c>
      <c r="K180" s="10" t="n">
        <v>53078</v>
      </c>
      <c r="L180" s="7" t="n">
        <v>940627</v>
      </c>
      <c r="M180" s="8" t="n">
        <v>36231</v>
      </c>
      <c r="N180" s="8" t="n">
        <v>52103</v>
      </c>
      <c r="O180" s="9" t="n">
        <v>989138</v>
      </c>
      <c r="P180" s="10" t="n">
        <v>3642</v>
      </c>
      <c r="Q180" s="10" t="n">
        <v>3202</v>
      </c>
      <c r="R180" s="7" t="n">
        <v>1088064</v>
      </c>
      <c r="S180" s="8" t="n">
        <v>-29307</v>
      </c>
      <c r="T180" s="8" t="n">
        <v>35799</v>
      </c>
      <c r="U180" s="9" t="n">
        <v>1124734</v>
      </c>
      <c r="V180" s="10" t="n">
        <v>38788</v>
      </c>
      <c r="W180" s="10" t="n">
        <v>76867</v>
      </c>
      <c r="X180" s="7" t="n">
        <v>1322102</v>
      </c>
      <c r="Y180" s="8" t="n">
        <v>135735</v>
      </c>
      <c r="Z180" s="8" t="n">
        <v>75216</v>
      </c>
      <c r="AA180" s="9" t="n">
        <v>825821</v>
      </c>
      <c r="AB180" s="10" t="n">
        <v>73644</v>
      </c>
      <c r="AC180" s="10" t="n">
        <v>40067</v>
      </c>
      <c r="AD180" s="7" t="n">
        <v>1791233</v>
      </c>
      <c r="AE180" s="8" t="n">
        <v>53235</v>
      </c>
      <c r="AF180" s="8" t="n">
        <v>-5423</v>
      </c>
      <c r="AG180" s="9" t="n">
        <v>2401389</v>
      </c>
      <c r="AH180" s="10" t="n">
        <v>102460</v>
      </c>
      <c r="AI180" s="10" t="n">
        <v>145487</v>
      </c>
      <c r="AJ180" s="11" t="n">
        <v>2550414</v>
      </c>
      <c r="AK180" s="12" t="n">
        <v>359933</v>
      </c>
      <c r="AL180" s="12" t="n">
        <v>257808</v>
      </c>
      <c r="AM180" s="13" t="n">
        <v>6.2</v>
      </c>
      <c r="AN180" s="13" t="n">
        <v>92.90000000000001</v>
      </c>
      <c r="AO180" s="13" t="n">
        <v>251.3</v>
      </c>
      <c r="AP180" s="13" t="n">
        <v>165.2</v>
      </c>
    </row>
    <row r="181">
      <c r="A181" s="5" t="inlineStr">
        <is>
          <t>LG</t>
        </is>
      </c>
      <c r="B181" s="6" t="inlineStr">
        <is>
          <t>003550</t>
        </is>
      </c>
      <c r="C181" s="6" t="inlineStr">
        <is>
          <t>연결</t>
        </is>
      </c>
      <c r="D181" s="6" t="inlineStr">
        <is>
          <t>2026Q2</t>
        </is>
      </c>
      <c r="E181" s="6" t="inlineStr">
        <is>
          <t>2023Q4</t>
        </is>
      </c>
      <c r="F181" s="14" t="n">
        <v>2035128</v>
      </c>
      <c r="G181" s="15" t="n">
        <v>119556</v>
      </c>
      <c r="H181" s="15" t="n">
        <v>64996</v>
      </c>
      <c r="I181" s="9" t="n">
        <v>1623788</v>
      </c>
      <c r="J181" s="10" t="n">
        <v>422628</v>
      </c>
      <c r="K181" s="10" t="n">
        <v>368356</v>
      </c>
      <c r="L181" s="7" t="n">
        <v>1824042</v>
      </c>
      <c r="M181" s="8" t="n">
        <v>309408</v>
      </c>
      <c r="N181" s="8" t="n">
        <v>290431</v>
      </c>
      <c r="O181" s="9" t="n">
        <v>1944212</v>
      </c>
      <c r="P181" s="10" t="n">
        <v>476714</v>
      </c>
      <c r="Q181" s="10" t="n">
        <v>442895</v>
      </c>
      <c r="R181" s="7" t="n">
        <v>1783463</v>
      </c>
      <c r="S181" s="8" t="n">
        <v>-241908</v>
      </c>
      <c r="T181" s="8" t="n">
        <v>-311204</v>
      </c>
      <c r="U181" s="9" t="n">
        <v>1936098</v>
      </c>
      <c r="V181" s="10" t="n">
        <v>638042</v>
      </c>
      <c r="W181" s="10" t="n">
        <v>608471</v>
      </c>
      <c r="X181" s="7" t="n">
        <v>1797748</v>
      </c>
      <c r="Y181" s="8" t="n">
        <v>276889</v>
      </c>
      <c r="Z181" s="8" t="n">
        <v>244174</v>
      </c>
      <c r="AA181" s="9" t="n">
        <v>1996180</v>
      </c>
      <c r="AB181" s="10" t="n">
        <v>418941</v>
      </c>
      <c r="AC181" s="10" t="n">
        <v>373412</v>
      </c>
      <c r="AD181" s="7" t="n">
        <v>1522521</v>
      </c>
      <c r="AE181" s="8" t="n">
        <v>-421698</v>
      </c>
      <c r="AF181" s="8" t="n">
        <v>-225936</v>
      </c>
      <c r="AG181" s="9" t="n">
        <v>1800623</v>
      </c>
      <c r="AH181" s="10" t="n">
        <v>413830</v>
      </c>
      <c r="AI181" s="10" t="n">
        <v>378965</v>
      </c>
      <c r="AJ181" s="11" t="n">
        <v>2139622</v>
      </c>
      <c r="AK181" s="12" t="n">
        <v>532978</v>
      </c>
      <c r="AL181" s="12" t="n">
        <v>533838</v>
      </c>
      <c r="AM181" s="13" t="n">
        <v>18.8</v>
      </c>
      <c r="AN181" s="13" t="n">
        <v>19</v>
      </c>
      <c r="AO181" s="13" t="n">
        <v>28.8</v>
      </c>
      <c r="AP181" s="13" t="n">
        <v>92.5</v>
      </c>
    </row>
    <row r="182">
      <c r="A182" s="5" t="inlineStr">
        <is>
          <t>SNT다이내믹스</t>
        </is>
      </c>
      <c r="B182" s="6" t="inlineStr">
        <is>
          <t>003570</t>
        </is>
      </c>
      <c r="C182" s="6" t="inlineStr">
        <is>
          <t>연결</t>
        </is>
      </c>
      <c r="D182" s="6" t="inlineStr">
        <is>
          <t>2026Q2</t>
        </is>
      </c>
      <c r="E182" s="6" t="inlineStr"/>
      <c r="F182" s="7" t="inlineStr"/>
      <c r="G182" s="8" t="inlineStr"/>
      <c r="H182" s="8" t="inlineStr"/>
      <c r="I182" s="9" t="n">
        <v>114055</v>
      </c>
      <c r="J182" s="10" t="n">
        <v>11035</v>
      </c>
      <c r="K182" s="10" t="n">
        <v>12880</v>
      </c>
      <c r="L182" s="7" t="n">
        <v>145063</v>
      </c>
      <c r="M182" s="8" t="n">
        <v>57442</v>
      </c>
      <c r="N182" s="8" t="n">
        <v>47020</v>
      </c>
      <c r="O182" s="9" t="n">
        <v>163730</v>
      </c>
      <c r="P182" s="10" t="n">
        <v>18440</v>
      </c>
      <c r="Q182" s="10" t="n">
        <v>17454</v>
      </c>
      <c r="R182" s="7" t="n">
        <v>191605</v>
      </c>
      <c r="S182" s="8" t="n">
        <v>23592</v>
      </c>
      <c r="T182" s="8" t="n">
        <v>18778</v>
      </c>
      <c r="U182" s="9" t="n">
        <v>150136</v>
      </c>
      <c r="V182" s="10" t="n">
        <v>17703</v>
      </c>
      <c r="W182" s="10" t="n">
        <v>17769</v>
      </c>
      <c r="X182" s="7" t="n">
        <v>186531</v>
      </c>
      <c r="Y182" s="8" t="n">
        <v>29586</v>
      </c>
      <c r="Z182" s="8" t="n">
        <v>28013</v>
      </c>
      <c r="AA182" s="9" t="n">
        <v>151718</v>
      </c>
      <c r="AB182" s="10" t="n">
        <v>19901</v>
      </c>
      <c r="AC182" s="10" t="n">
        <v>17160</v>
      </c>
      <c r="AD182" s="7" t="n">
        <v>223637</v>
      </c>
      <c r="AE182" s="8" t="n">
        <v>18267</v>
      </c>
      <c r="AF182" s="8" t="n">
        <v>-1367</v>
      </c>
      <c r="AG182" s="9" t="n">
        <v>179925</v>
      </c>
      <c r="AH182" s="10" t="n">
        <v>21287</v>
      </c>
      <c r="AI182" s="10" t="n">
        <v>20246</v>
      </c>
      <c r="AJ182" s="11" t="n">
        <v>196313</v>
      </c>
      <c r="AK182" s="12" t="n">
        <v>17188</v>
      </c>
      <c r="AL182" s="12" t="n">
        <v>13114</v>
      </c>
      <c r="AM182" s="13" t="n">
        <v>9.1</v>
      </c>
      <c r="AN182" s="13" t="n">
        <v>5.2</v>
      </c>
      <c r="AO182" s="13" t="n">
        <v>-19.3</v>
      </c>
      <c r="AP182" s="13" t="n">
        <v>-41.9</v>
      </c>
    </row>
    <row r="183">
      <c r="A183" s="5" t="inlineStr">
        <is>
          <t>HLB글로벌</t>
        </is>
      </c>
      <c r="B183" s="6" t="inlineStr">
        <is>
          <t>003580</t>
        </is>
      </c>
      <c r="C183" s="6" t="inlineStr">
        <is>
          <t>연결</t>
        </is>
      </c>
      <c r="D183" s="6" t="inlineStr">
        <is>
          <t>2026Q2</t>
        </is>
      </c>
      <c r="E183" s="6" t="inlineStr"/>
      <c r="F183" s="7" t="inlineStr"/>
      <c r="G183" s="8" t="inlineStr"/>
      <c r="H183" s="8" t="inlineStr"/>
      <c r="I183" s="9" t="n">
        <v>29265</v>
      </c>
      <c r="J183" s="10" t="n">
        <v>1692</v>
      </c>
      <c r="K183" s="10" t="n">
        <v>152</v>
      </c>
      <c r="L183" s="7" t="n">
        <v>27158</v>
      </c>
      <c r="M183" s="8" t="n">
        <v>387</v>
      </c>
      <c r="N183" s="8" t="n">
        <v>-158</v>
      </c>
      <c r="O183" s="9" t="n">
        <v>21172</v>
      </c>
      <c r="P183" s="10" t="n">
        <v>-3410</v>
      </c>
      <c r="Q183" s="10" t="n">
        <v>-3661</v>
      </c>
      <c r="R183" s="7" t="n">
        <v>20666</v>
      </c>
      <c r="S183" s="8" t="n">
        <v>-2336</v>
      </c>
      <c r="T183" s="8" t="n">
        <v>-5340</v>
      </c>
      <c r="U183" s="9" t="n">
        <v>25174</v>
      </c>
      <c r="V183" s="10" t="n">
        <v>-4207</v>
      </c>
      <c r="W183" s="10" t="n">
        <v>-5028</v>
      </c>
      <c r="X183" s="7" t="n">
        <v>27044</v>
      </c>
      <c r="Y183" s="8" t="n">
        <v>-1698</v>
      </c>
      <c r="Z183" s="8" t="n">
        <v>-4250</v>
      </c>
      <c r="AA183" s="9" t="n">
        <v>27434</v>
      </c>
      <c r="AB183" s="10" t="n">
        <v>-84</v>
      </c>
      <c r="AC183" s="10" t="n">
        <v>-1042</v>
      </c>
      <c r="AD183" s="7" t="n">
        <v>20634</v>
      </c>
      <c r="AE183" s="8" t="n">
        <v>-3894</v>
      </c>
      <c r="AF183" s="8" t="n">
        <v>1411</v>
      </c>
      <c r="AG183" s="9" t="n">
        <v>26671</v>
      </c>
      <c r="AH183" s="10" t="n">
        <v>-2511</v>
      </c>
      <c r="AI183" s="10" t="n">
        <v>-1815</v>
      </c>
      <c r="AJ183" s="11" t="n">
        <v>31164</v>
      </c>
      <c r="AK183" s="12" t="n">
        <v>-875</v>
      </c>
      <c r="AL183" s="12" t="n">
        <v>-1637</v>
      </c>
      <c r="AM183" s="13" t="n">
        <v>16.8</v>
      </c>
      <c r="AN183" s="13" t="n">
        <v>15.2</v>
      </c>
      <c r="AO183" s="13" t="n">
        <v>65.2</v>
      </c>
      <c r="AP183" s="13" t="n">
        <v>48.5</v>
      </c>
    </row>
    <row r="184">
      <c r="A184" s="5" t="inlineStr">
        <is>
          <t>방림</t>
        </is>
      </c>
      <c r="B184" s="6" t="inlineStr">
        <is>
          <t>003610</t>
        </is>
      </c>
      <c r="C184" s="6" t="inlineStr">
        <is>
          <t>연결</t>
        </is>
      </c>
      <c r="D184" s="6" t="inlineStr">
        <is>
          <t>2026Q2</t>
        </is>
      </c>
      <c r="E184" s="6" t="inlineStr"/>
      <c r="F184" s="7" t="inlineStr"/>
      <c r="G184" s="8" t="inlineStr"/>
      <c r="H184" s="8" t="inlineStr"/>
      <c r="I184" s="9" t="n">
        <v>28367</v>
      </c>
      <c r="J184" s="10" t="n">
        <v>-125</v>
      </c>
      <c r="K184" s="10" t="n">
        <v>4679</v>
      </c>
      <c r="L184" s="7" t="n">
        <v>25979</v>
      </c>
      <c r="M184" s="8" t="n">
        <v>-1879</v>
      </c>
      <c r="N184" s="8" t="n">
        <v>555</v>
      </c>
      <c r="O184" s="9" t="n">
        <v>27446</v>
      </c>
      <c r="P184" s="10" t="n">
        <v>145</v>
      </c>
      <c r="Q184" s="10" t="n">
        <v>2013</v>
      </c>
      <c r="R184" s="7" t="n">
        <v>28804</v>
      </c>
      <c r="S184" s="8" t="n">
        <v>-1411</v>
      </c>
      <c r="T184" s="8" t="n">
        <v>-6630</v>
      </c>
      <c r="U184" s="9" t="n">
        <v>31199</v>
      </c>
      <c r="V184" s="10" t="n">
        <v>169</v>
      </c>
      <c r="W184" s="10" t="n">
        <v>2533</v>
      </c>
      <c r="X184" s="7" t="n">
        <v>30400</v>
      </c>
      <c r="Y184" s="8" t="n">
        <v>-129</v>
      </c>
      <c r="Z184" s="8" t="n">
        <v>735</v>
      </c>
      <c r="AA184" s="9" t="n">
        <v>29565</v>
      </c>
      <c r="AB184" s="10" t="n">
        <v>1012</v>
      </c>
      <c r="AC184" s="10" t="n">
        <v>-1465</v>
      </c>
      <c r="AD184" s="7" t="n">
        <v>31363</v>
      </c>
      <c r="AE184" s="8" t="n">
        <v>69</v>
      </c>
      <c r="AF184" s="8" t="n">
        <v>4708</v>
      </c>
      <c r="AG184" s="9" t="inlineStr"/>
      <c r="AH184" s="10" t="inlineStr"/>
      <c r="AI184" s="10" t="inlineStr"/>
      <c r="AJ184" s="11" t="n">
        <v>31293</v>
      </c>
      <c r="AK184" s="12" t="n">
        <v>-895</v>
      </c>
      <c r="AL184" s="12" t="n">
        <v>2818</v>
      </c>
      <c r="AM184" s="13" t="inlineStr"/>
      <c r="AN184" s="13" t="n">
        <v>2.9</v>
      </c>
      <c r="AO184" s="13" t="inlineStr"/>
      <c r="AP184" s="13" t="n">
        <v>-593.8</v>
      </c>
    </row>
    <row r="185">
      <c r="A185" s="5" t="inlineStr">
        <is>
          <t>KG모빌리티</t>
        </is>
      </c>
      <c r="B185" s="6" t="inlineStr">
        <is>
          <t>003620</t>
        </is>
      </c>
      <c r="C185" s="6" t="inlineStr">
        <is>
          <t>연결</t>
        </is>
      </c>
      <c r="D185" s="6" t="inlineStr">
        <is>
          <t>2026Q2</t>
        </is>
      </c>
      <c r="E185" s="6" t="inlineStr"/>
      <c r="F185" s="7" t="inlineStr"/>
      <c r="G185" s="8" t="inlineStr"/>
      <c r="H185" s="8" t="inlineStr"/>
      <c r="I185" s="9" t="n">
        <v>1001788</v>
      </c>
      <c r="J185" s="10" t="n">
        <v>15117</v>
      </c>
      <c r="K185" s="10" t="n">
        <v>53880</v>
      </c>
      <c r="L185" s="7" t="n">
        <v>984860</v>
      </c>
      <c r="M185" s="8" t="n">
        <v>10583</v>
      </c>
      <c r="N185" s="8" t="n">
        <v>32613</v>
      </c>
      <c r="O185" s="9" t="n">
        <v>899152</v>
      </c>
      <c r="P185" s="10" t="n">
        <v>-40025</v>
      </c>
      <c r="Q185" s="10" t="n">
        <v>-52008</v>
      </c>
      <c r="R185" s="7" t="n">
        <v>1019269</v>
      </c>
      <c r="S185" s="8" t="n">
        <v>15758</v>
      </c>
      <c r="T185" s="8" t="n">
        <v>-641</v>
      </c>
      <c r="U185" s="9" t="n">
        <v>916586</v>
      </c>
      <c r="V185" s="10" t="n">
        <v>5682</v>
      </c>
      <c r="W185" s="10" t="n">
        <v>3000</v>
      </c>
      <c r="X185" s="7" t="n">
        <v>986435</v>
      </c>
      <c r="Y185" s="8" t="n">
        <v>8013</v>
      </c>
      <c r="Z185" s="8" t="n">
        <v>-7704</v>
      </c>
      <c r="AA185" s="9" t="n">
        <v>1217222</v>
      </c>
      <c r="AB185" s="10" t="n">
        <v>1420</v>
      </c>
      <c r="AC185" s="10" t="n">
        <v>8246</v>
      </c>
      <c r="AD185" s="7" t="n">
        <v>1183394</v>
      </c>
      <c r="AE185" s="8" t="n">
        <v>21041</v>
      </c>
      <c r="AF185" s="8" t="n">
        <v>43029</v>
      </c>
      <c r="AG185" s="9" t="n">
        <v>1141373</v>
      </c>
      <c r="AH185" s="10" t="n">
        <v>9589</v>
      </c>
      <c r="AI185" s="10" t="n">
        <v>27292</v>
      </c>
      <c r="AJ185" s="11" t="n">
        <v>1233965</v>
      </c>
      <c r="AK185" s="12" t="n">
        <v>5222</v>
      </c>
      <c r="AL185" s="12" t="n">
        <v>14897</v>
      </c>
      <c r="AM185" s="13" t="n">
        <v>8.1</v>
      </c>
      <c r="AN185" s="13" t="n">
        <v>25.1</v>
      </c>
      <c r="AO185" s="13" t="n">
        <v>-45.5</v>
      </c>
      <c r="AP185" s="13" t="n">
        <v>-34.8</v>
      </c>
    </row>
    <row r="186">
      <c r="A186" s="5" t="inlineStr">
        <is>
          <t>미창석유공업</t>
        </is>
      </c>
      <c r="B186" s="6" t="inlineStr">
        <is>
          <t>003650</t>
        </is>
      </c>
      <c r="C186" s="6" t="inlineStr">
        <is>
          <t>별도</t>
        </is>
      </c>
      <c r="D186" s="6" t="inlineStr">
        <is>
          <t>2026Q2</t>
        </is>
      </c>
      <c r="E186" s="6" t="inlineStr"/>
      <c r="F186" s="7" t="inlineStr"/>
      <c r="G186" s="8" t="inlineStr"/>
      <c r="H186" s="8" t="inlineStr"/>
      <c r="I186" s="9" t="n">
        <v>103166</v>
      </c>
      <c r="J186" s="10" t="n">
        <v>12957</v>
      </c>
      <c r="K186" s="10" t="n">
        <v>16836</v>
      </c>
      <c r="L186" s="7" t="n">
        <v>117357</v>
      </c>
      <c r="M186" s="8" t="n">
        <v>11883</v>
      </c>
      <c r="N186" s="8" t="n">
        <v>29358</v>
      </c>
      <c r="O186" s="9" t="n">
        <v>100830</v>
      </c>
      <c r="P186" s="10" t="n">
        <v>9315</v>
      </c>
      <c r="Q186" s="10" t="n">
        <v>5529</v>
      </c>
      <c r="R186" s="7" t="n">
        <v>110589</v>
      </c>
      <c r="S186" s="8" t="n">
        <v>11484</v>
      </c>
      <c r="T186" s="8" t="n">
        <v>902</v>
      </c>
      <c r="U186" s="9" t="n">
        <v>101036</v>
      </c>
      <c r="V186" s="10" t="n">
        <v>10933</v>
      </c>
      <c r="W186" s="10" t="n">
        <v>3117</v>
      </c>
      <c r="X186" s="7" t="n">
        <v>104163</v>
      </c>
      <c r="Y186" s="8" t="n">
        <v>8553</v>
      </c>
      <c r="Z186" s="8" t="n">
        <v>38970</v>
      </c>
      <c r="AA186" s="9" t="n">
        <v>106011</v>
      </c>
      <c r="AB186" s="10" t="n">
        <v>7765</v>
      </c>
      <c r="AC186" s="10" t="n">
        <v>6858</v>
      </c>
      <c r="AD186" s="7" t="n">
        <v>94277</v>
      </c>
      <c r="AE186" s="8" t="n">
        <v>7301</v>
      </c>
      <c r="AF186" s="8" t="n">
        <v>19921</v>
      </c>
      <c r="AG186" s="9" t="n">
        <v>101101</v>
      </c>
      <c r="AH186" s="10" t="n">
        <v>13724</v>
      </c>
      <c r="AI186" s="10" t="n">
        <v>16942</v>
      </c>
      <c r="AJ186" s="11" t="n">
        <v>135946</v>
      </c>
      <c r="AK186" s="12" t="n">
        <v>8156</v>
      </c>
      <c r="AL186" s="12" t="n">
        <v>79400</v>
      </c>
      <c r="AM186" s="13" t="n">
        <v>34.5</v>
      </c>
      <c r="AN186" s="13" t="n">
        <v>30.5</v>
      </c>
      <c r="AO186" s="13" t="n">
        <v>-40.6</v>
      </c>
      <c r="AP186" s="13" t="n">
        <v>-4.6</v>
      </c>
    </row>
    <row r="187">
      <c r="A187" s="5" t="inlineStr">
        <is>
          <t>포스코퓨처엠</t>
        </is>
      </c>
      <c r="B187" s="6" t="inlineStr">
        <is>
          <t>003670</t>
        </is>
      </c>
      <c r="C187" s="6" t="inlineStr">
        <is>
          <t>연결</t>
        </is>
      </c>
      <c r="D187" s="6" t="inlineStr">
        <is>
          <t>2026Q2</t>
        </is>
      </c>
      <c r="E187" s="6" t="inlineStr">
        <is>
          <t>2023Q4</t>
        </is>
      </c>
      <c r="F187" s="14" t="n">
        <v>1145840</v>
      </c>
      <c r="G187" s="15" t="n">
        <v>-73659</v>
      </c>
      <c r="H187" s="15" t="n">
        <v>-102057</v>
      </c>
      <c r="I187" s="9" t="n">
        <v>1138422</v>
      </c>
      <c r="J187" s="10" t="n">
        <v>37897</v>
      </c>
      <c r="K187" s="10" t="n">
        <v>57007</v>
      </c>
      <c r="L187" s="7" t="n">
        <v>915487</v>
      </c>
      <c r="M187" s="8" t="n">
        <v>2737</v>
      </c>
      <c r="N187" s="8" t="n">
        <v>-11195</v>
      </c>
      <c r="O187" s="9" t="n">
        <v>922788</v>
      </c>
      <c r="P187" s="10" t="n">
        <v>1368</v>
      </c>
      <c r="Q187" s="10" t="n">
        <v>-1208</v>
      </c>
      <c r="R187" s="7" t="n">
        <v>723247</v>
      </c>
      <c r="S187" s="8" t="n">
        <v>-41281</v>
      </c>
      <c r="T187" s="8" t="n">
        <v>-275942</v>
      </c>
      <c r="U187" s="9" t="n">
        <v>845394</v>
      </c>
      <c r="V187" s="10" t="n">
        <v>17150</v>
      </c>
      <c r="W187" s="10" t="n">
        <v>48930</v>
      </c>
      <c r="X187" s="7" t="n">
        <v>660937</v>
      </c>
      <c r="Y187" s="8" t="n">
        <v>773</v>
      </c>
      <c r="Z187" s="8" t="n">
        <v>-35547</v>
      </c>
      <c r="AA187" s="9" t="n">
        <v>874798</v>
      </c>
      <c r="AB187" s="10" t="n">
        <v>66670</v>
      </c>
      <c r="AC187" s="10" t="n">
        <v>46449</v>
      </c>
      <c r="AD187" s="7" t="n">
        <v>557569</v>
      </c>
      <c r="AE187" s="8" t="n">
        <v>-51766</v>
      </c>
      <c r="AF187" s="8" t="n">
        <v>-23310</v>
      </c>
      <c r="AG187" s="9" t="n">
        <v>757515</v>
      </c>
      <c r="AH187" s="10" t="n">
        <v>17700</v>
      </c>
      <c r="AI187" s="10" t="n">
        <v>6283</v>
      </c>
      <c r="AJ187" s="11" t="n">
        <v>679457</v>
      </c>
      <c r="AK187" s="12" t="n">
        <v>26689</v>
      </c>
      <c r="AL187" s="12" t="n">
        <v>24655</v>
      </c>
      <c r="AM187" s="13" t="n">
        <v>-10.3</v>
      </c>
      <c r="AN187" s="13" t="n">
        <v>2.8</v>
      </c>
      <c r="AO187" s="13" t="n">
        <v>50.8</v>
      </c>
      <c r="AP187" s="13" t="n">
        <v>3352.7</v>
      </c>
    </row>
    <row r="188">
      <c r="A188" s="5" t="inlineStr">
        <is>
          <t>한성기업</t>
        </is>
      </c>
      <c r="B188" s="6" t="inlineStr">
        <is>
          <t>003680</t>
        </is>
      </c>
      <c r="C188" s="6" t="inlineStr">
        <is>
          <t>별도</t>
        </is>
      </c>
      <c r="D188" s="6" t="inlineStr">
        <is>
          <t>2026Q2</t>
        </is>
      </c>
      <c r="E188" s="6" t="inlineStr"/>
      <c r="F188" s="7" t="inlineStr"/>
      <c r="G188" s="8" t="inlineStr"/>
      <c r="H188" s="8" t="inlineStr"/>
      <c r="I188" s="9" t="n">
        <v>84709</v>
      </c>
      <c r="J188" s="10" t="n">
        <v>3777</v>
      </c>
      <c r="K188" s="10" t="n">
        <v>2442</v>
      </c>
      <c r="L188" s="7" t="n">
        <v>86312</v>
      </c>
      <c r="M188" s="8" t="n">
        <v>1515</v>
      </c>
      <c r="N188" s="8" t="n">
        <v>30</v>
      </c>
      <c r="O188" s="9" t="n">
        <v>81349</v>
      </c>
      <c r="P188" s="10" t="n">
        <v>4194</v>
      </c>
      <c r="Q188" s="10" t="n">
        <v>554</v>
      </c>
      <c r="R188" s="7" t="n">
        <v>80117</v>
      </c>
      <c r="S188" s="8" t="n">
        <v>1518</v>
      </c>
      <c r="T188" s="8" t="n">
        <v>-187</v>
      </c>
      <c r="U188" s="9" t="n">
        <v>81067</v>
      </c>
      <c r="V188" s="10" t="n">
        <v>2684</v>
      </c>
      <c r="W188" s="10" t="n">
        <v>1064</v>
      </c>
      <c r="X188" s="7" t="n">
        <v>78697</v>
      </c>
      <c r="Y188" s="8" t="n">
        <v>3020</v>
      </c>
      <c r="Z188" s="8" t="n">
        <v>44</v>
      </c>
      <c r="AA188" s="9" t="n">
        <v>76368</v>
      </c>
      <c r="AB188" s="10" t="n">
        <v>409</v>
      </c>
      <c r="AC188" s="10" t="n">
        <v>-1186</v>
      </c>
      <c r="AD188" s="7" t="n">
        <v>82313</v>
      </c>
      <c r="AE188" s="8" t="n">
        <v>-282</v>
      </c>
      <c r="AF188" s="8" t="n">
        <v>245</v>
      </c>
      <c r="AG188" s="9" t="n">
        <v>77674</v>
      </c>
      <c r="AH188" s="10" t="n">
        <v>3030</v>
      </c>
      <c r="AI188" s="10" t="n">
        <v>1868</v>
      </c>
      <c r="AJ188" s="11" t="n">
        <v>78120</v>
      </c>
      <c r="AK188" s="12" t="n">
        <v>3685</v>
      </c>
      <c r="AL188" s="12" t="n">
        <v>2594</v>
      </c>
      <c r="AM188" s="13" t="n">
        <v>0.6</v>
      </c>
      <c r="AN188" s="13" t="n">
        <v>-0.7</v>
      </c>
      <c r="AO188" s="13" t="n">
        <v>21.6</v>
      </c>
      <c r="AP188" s="13" t="n">
        <v>22</v>
      </c>
    </row>
    <row r="189">
      <c r="A189" s="5" t="inlineStr">
        <is>
          <t>코리안리</t>
        </is>
      </c>
      <c r="B189" s="6" t="inlineStr">
        <is>
          <t>003690</t>
        </is>
      </c>
      <c r="C189" s="6" t="inlineStr">
        <is>
          <t>연결</t>
        </is>
      </c>
      <c r="D189" s="6" t="inlineStr">
        <is>
          <t>2026Q2</t>
        </is>
      </c>
      <c r="E189" s="6" t="inlineStr"/>
      <c r="F189" s="7" t="inlineStr"/>
      <c r="G189" s="8" t="inlineStr"/>
      <c r="H189" s="8" t="inlineStr"/>
      <c r="I189" s="14" t="n">
        <v>1541212</v>
      </c>
      <c r="J189" s="10" t="n">
        <v>75988</v>
      </c>
      <c r="K189" s="10" t="n">
        <v>58000</v>
      </c>
      <c r="L189" s="14" t="n">
        <v>1787819</v>
      </c>
      <c r="M189" s="8" t="n">
        <v>127410</v>
      </c>
      <c r="N189" s="8" t="n">
        <v>97129</v>
      </c>
      <c r="O189" s="14" t="n">
        <v>1538232</v>
      </c>
      <c r="P189" s="10" t="n">
        <v>117168</v>
      </c>
      <c r="Q189" s="10" t="n">
        <v>102846</v>
      </c>
      <c r="R189" s="14" t="n">
        <v>1936349</v>
      </c>
      <c r="S189" s="8" t="n">
        <v>84867</v>
      </c>
      <c r="T189" s="8" t="n">
        <v>58697</v>
      </c>
      <c r="U189" s="14" t="n">
        <v>1553560</v>
      </c>
      <c r="V189" s="10" t="n">
        <v>123459</v>
      </c>
      <c r="W189" s="10" t="n">
        <v>95192</v>
      </c>
      <c r="X189" s="14" t="n">
        <v>1949972</v>
      </c>
      <c r="Y189" s="8" t="n">
        <v>137949</v>
      </c>
      <c r="Z189" s="8" t="n">
        <v>106471</v>
      </c>
      <c r="AA189" s="14" t="n">
        <v>1436069</v>
      </c>
      <c r="AB189" s="10" t="n">
        <v>153887</v>
      </c>
      <c r="AC189" s="10" t="n">
        <v>80851</v>
      </c>
      <c r="AD189" s="14" t="n">
        <v>1636487</v>
      </c>
      <c r="AE189" s="8" t="n">
        <v>55644</v>
      </c>
      <c r="AF189" s="8" t="n">
        <v>39527</v>
      </c>
      <c r="AG189" s="14" t="n">
        <v>1698145</v>
      </c>
      <c r="AH189" s="10" t="n">
        <v>291247</v>
      </c>
      <c r="AI189" s="10" t="n">
        <v>214622</v>
      </c>
      <c r="AJ189" s="14" t="n">
        <v>1953988</v>
      </c>
      <c r="AK189" s="12" t="n">
        <v>175045</v>
      </c>
      <c r="AL189" s="12" t="n">
        <v>132572</v>
      </c>
      <c r="AM189" s="13" t="n">
        <v>15.1</v>
      </c>
      <c r="AN189" s="13" t="n">
        <v>0.2</v>
      </c>
      <c r="AO189" s="13" t="n">
        <v>-39.9</v>
      </c>
      <c r="AP189" s="13" t="n">
        <v>26.9</v>
      </c>
    </row>
    <row r="190">
      <c r="A190" s="5" t="inlineStr">
        <is>
          <t>삼영</t>
        </is>
      </c>
      <c r="B190" s="6" t="inlineStr">
        <is>
          <t>003720</t>
        </is>
      </c>
      <c r="C190" s="6" t="inlineStr">
        <is>
          <t>연결</t>
        </is>
      </c>
      <c r="D190" s="6" t="inlineStr">
        <is>
          <t>2026Q2</t>
        </is>
      </c>
      <c r="E190" s="6" t="inlineStr"/>
      <c r="F190" s="7" t="inlineStr"/>
      <c r="G190" s="8" t="inlineStr"/>
      <c r="H190" s="8" t="inlineStr"/>
      <c r="I190" s="9" t="n">
        <v>29762</v>
      </c>
      <c r="J190" s="10" t="n">
        <v>1635</v>
      </c>
      <c r="K190" s="10" t="n">
        <v>1400</v>
      </c>
      <c r="L190" s="7" t="n">
        <v>33077</v>
      </c>
      <c r="M190" s="8" t="n">
        <v>3241</v>
      </c>
      <c r="N190" s="8" t="n">
        <v>3815</v>
      </c>
      <c r="O190" s="9" t="n">
        <v>31152</v>
      </c>
      <c r="P190" s="10" t="n">
        <v>2202</v>
      </c>
      <c r="Q190" s="10" t="n">
        <v>1736</v>
      </c>
      <c r="R190" s="7" t="n">
        <v>32049</v>
      </c>
      <c r="S190" s="8" t="n">
        <v>2024</v>
      </c>
      <c r="T190" s="8" t="n">
        <v>1111</v>
      </c>
      <c r="U190" s="9" t="n">
        <v>31347</v>
      </c>
      <c r="V190" s="10" t="n">
        <v>2264</v>
      </c>
      <c r="W190" s="10" t="n">
        <v>2191</v>
      </c>
      <c r="X190" s="7" t="n">
        <v>33373</v>
      </c>
      <c r="Y190" s="8" t="n">
        <v>2321</v>
      </c>
      <c r="Z190" s="8" t="n">
        <v>1423</v>
      </c>
      <c r="AA190" s="9" t="n">
        <v>45850</v>
      </c>
      <c r="AB190" s="10" t="n">
        <v>5610</v>
      </c>
      <c r="AC190" s="10" t="n">
        <v>4699</v>
      </c>
      <c r="AD190" s="7" t="n">
        <v>42638</v>
      </c>
      <c r="AE190" s="8" t="n">
        <v>4726</v>
      </c>
      <c r="AF190" s="8" t="n">
        <v>6735</v>
      </c>
      <c r="AG190" s="9" t="n">
        <v>48437</v>
      </c>
      <c r="AH190" s="10" t="n">
        <v>6006</v>
      </c>
      <c r="AI190" s="10" t="n">
        <v>5662</v>
      </c>
      <c r="AJ190" s="11" t="n">
        <v>54043</v>
      </c>
      <c r="AK190" s="12" t="n">
        <v>7176</v>
      </c>
      <c r="AL190" s="12" t="n">
        <v>6405</v>
      </c>
      <c r="AM190" s="13" t="n">
        <v>11.6</v>
      </c>
      <c r="AN190" s="13" t="n">
        <v>61.9</v>
      </c>
      <c r="AO190" s="13" t="n">
        <v>19.5</v>
      </c>
      <c r="AP190" s="13" t="n">
        <v>209.2</v>
      </c>
    </row>
    <row r="191">
      <c r="A191" s="5" t="inlineStr">
        <is>
          <t>진양산업</t>
        </is>
      </c>
      <c r="B191" s="6" t="inlineStr">
        <is>
          <t>003780</t>
        </is>
      </c>
      <c r="C191" s="6" t="inlineStr">
        <is>
          <t>연결</t>
        </is>
      </c>
      <c r="D191" s="6" t="inlineStr">
        <is>
          <t>2026Q2</t>
        </is>
      </c>
      <c r="E191" s="6" t="inlineStr"/>
      <c r="F191" s="7" t="inlineStr"/>
      <c r="G191" s="8" t="inlineStr"/>
      <c r="H191" s="8" t="inlineStr"/>
      <c r="I191" s="9" t="n">
        <v>20214</v>
      </c>
      <c r="J191" s="10" t="n">
        <v>1842</v>
      </c>
      <c r="K191" s="10" t="n">
        <v>1603</v>
      </c>
      <c r="L191" s="7" t="n">
        <v>22325</v>
      </c>
      <c r="M191" s="8" t="n">
        <v>2449</v>
      </c>
      <c r="N191" s="8" t="n">
        <v>2526</v>
      </c>
      <c r="O191" s="9" t="n">
        <v>22006</v>
      </c>
      <c r="P191" s="10" t="n">
        <v>2451</v>
      </c>
      <c r="Q191" s="10" t="n">
        <v>4432</v>
      </c>
      <c r="R191" s="7" t="n">
        <v>23675</v>
      </c>
      <c r="S191" s="8" t="n">
        <v>1454</v>
      </c>
      <c r="T191" s="8" t="n">
        <v>1485</v>
      </c>
      <c r="U191" s="9" t="n">
        <v>22552</v>
      </c>
      <c r="V191" s="10" t="n">
        <v>2160</v>
      </c>
      <c r="W191" s="10" t="n">
        <v>1615</v>
      </c>
      <c r="X191" s="7" t="n">
        <v>24254</v>
      </c>
      <c r="Y191" s="8" t="n">
        <v>2585</v>
      </c>
      <c r="Z191" s="8" t="n">
        <v>2168</v>
      </c>
      <c r="AA191" s="9" t="n">
        <v>23545</v>
      </c>
      <c r="AB191" s="10" t="n">
        <v>2605</v>
      </c>
      <c r="AC191" s="10" t="n">
        <v>2132</v>
      </c>
      <c r="AD191" s="7" t="n">
        <v>20304</v>
      </c>
      <c r="AE191" s="8" t="n">
        <v>1094</v>
      </c>
      <c r="AF191" s="8" t="n">
        <v>1032</v>
      </c>
      <c r="AG191" s="9" t="n">
        <v>22212</v>
      </c>
      <c r="AH191" s="10" t="n">
        <v>1708</v>
      </c>
      <c r="AI191" s="10" t="n">
        <v>1464</v>
      </c>
      <c r="AJ191" s="11" t="n">
        <v>23684</v>
      </c>
      <c r="AK191" s="12" t="n">
        <v>1632</v>
      </c>
      <c r="AL191" s="12" t="n">
        <v>1159</v>
      </c>
      <c r="AM191" s="13" t="n">
        <v>6.6</v>
      </c>
      <c r="AN191" s="13" t="n">
        <v>-2.4</v>
      </c>
      <c r="AO191" s="13" t="n">
        <v>-4.4</v>
      </c>
      <c r="AP191" s="13" t="n">
        <v>-36.9</v>
      </c>
    </row>
    <row r="192">
      <c r="A192" s="5" t="inlineStr">
        <is>
          <t>KB제32호스팩</t>
        </is>
      </c>
      <c r="B192" s="6" t="inlineStr">
        <is>
          <t>0037T0</t>
        </is>
      </c>
      <c r="C192" s="6" t="inlineStr">
        <is>
          <t>별도</t>
        </is>
      </c>
      <c r="D192" s="6" t="inlineStr">
        <is>
          <t>2026Q2</t>
        </is>
      </c>
      <c r="E192" s="6" t="inlineStr"/>
      <c r="F192" s="7" t="inlineStr"/>
      <c r="G192" s="8" t="inlineStr"/>
      <c r="H192" s="8" t="inlineStr"/>
      <c r="I192" s="9" t="inlineStr"/>
      <c r="J192" s="10" t="inlineStr"/>
      <c r="K192" s="10" t="inlineStr"/>
      <c r="L192" s="7" t="inlineStr"/>
      <c r="M192" s="8" t="inlineStr"/>
      <c r="N192" s="8" t="inlineStr"/>
      <c r="O192" s="9" t="inlineStr"/>
      <c r="P192" s="10" t="inlineStr"/>
      <c r="Q192" s="10" t="inlineStr"/>
      <c r="R192" s="7" t="inlineStr"/>
      <c r="S192" s="8" t="inlineStr"/>
      <c r="T192" s="8" t="inlineStr"/>
      <c r="U192" s="9" t="inlineStr"/>
      <c r="V192" s="10" t="inlineStr"/>
      <c r="W192" s="10" t="inlineStr"/>
      <c r="X192" s="7" t="n">
        <v>0</v>
      </c>
      <c r="Y192" s="8" t="n">
        <v>-26</v>
      </c>
      <c r="Z192" s="8" t="n">
        <v>-23</v>
      </c>
      <c r="AA192" s="9" t="n">
        <v>0</v>
      </c>
      <c r="AB192" s="10" t="n">
        <v>-17</v>
      </c>
      <c r="AC192" s="10" t="n">
        <v>41</v>
      </c>
      <c r="AD192" s="7" t="inlineStr"/>
      <c r="AE192" s="8" t="inlineStr"/>
      <c r="AF192" s="8" t="inlineStr"/>
      <c r="AG192" s="9" t="n">
        <v>0</v>
      </c>
      <c r="AH192" s="10" t="n">
        <v>-13</v>
      </c>
      <c r="AI192" s="10" t="n">
        <v>42</v>
      </c>
      <c r="AJ192" s="11" t="n">
        <v>0</v>
      </c>
      <c r="AK192" s="12" t="n">
        <v>-12</v>
      </c>
      <c r="AL192" s="12" t="n">
        <v>46</v>
      </c>
      <c r="AM192" s="13" t="inlineStr"/>
      <c r="AN192" s="13" t="inlineStr"/>
      <c r="AO192" s="13" t="n">
        <v>7.7</v>
      </c>
      <c r="AP192" s="13" t="n">
        <v>53.8</v>
      </c>
    </row>
    <row r="193">
      <c r="A193" s="5" t="inlineStr">
        <is>
          <t>에이스침대</t>
        </is>
      </c>
      <c r="B193" s="6" t="inlineStr">
        <is>
          <t>003800</t>
        </is>
      </c>
      <c r="C193" s="6" t="inlineStr">
        <is>
          <t>연결</t>
        </is>
      </c>
      <c r="D193" s="6" t="inlineStr">
        <is>
          <t>2026Q2</t>
        </is>
      </c>
      <c r="E193" s="6" t="inlineStr"/>
      <c r="F193" s="7" t="inlineStr"/>
      <c r="G193" s="8" t="inlineStr"/>
      <c r="H193" s="8" t="inlineStr"/>
      <c r="I193" s="9" t="n">
        <v>83708</v>
      </c>
      <c r="J193" s="10" t="n">
        <v>14757</v>
      </c>
      <c r="K193" s="10" t="n">
        <v>13859</v>
      </c>
      <c r="L193" s="7" t="n">
        <v>78335</v>
      </c>
      <c r="M193" s="8" t="n">
        <v>21071</v>
      </c>
      <c r="N193" s="8" t="n">
        <v>21779</v>
      </c>
      <c r="O193" s="9" t="n">
        <v>77444</v>
      </c>
      <c r="P193" s="10" t="n">
        <v>12584</v>
      </c>
      <c r="Q193" s="10" t="n">
        <v>10619</v>
      </c>
      <c r="R193" s="7" t="n">
        <v>86505</v>
      </c>
      <c r="S193" s="8" t="n">
        <v>17823</v>
      </c>
      <c r="T193" s="8" t="n">
        <v>19652</v>
      </c>
      <c r="U193" s="9" t="n">
        <v>81387</v>
      </c>
      <c r="V193" s="10" t="n">
        <v>12101</v>
      </c>
      <c r="W193" s="10" t="n">
        <v>9512</v>
      </c>
      <c r="X193" s="7" t="n">
        <v>76481</v>
      </c>
      <c r="Y193" s="8" t="n">
        <v>16909</v>
      </c>
      <c r="Z193" s="8" t="n">
        <v>22717</v>
      </c>
      <c r="AA193" s="9" t="n">
        <v>79894</v>
      </c>
      <c r="AB193" s="10" t="n">
        <v>12292</v>
      </c>
      <c r="AC193" s="10" t="n">
        <v>11860</v>
      </c>
      <c r="AD193" s="7" t="n">
        <v>79505</v>
      </c>
      <c r="AE193" s="8" t="n">
        <v>12789</v>
      </c>
      <c r="AF193" s="8" t="n">
        <v>11885</v>
      </c>
      <c r="AG193" s="9" t="n">
        <v>85036</v>
      </c>
      <c r="AH193" s="10" t="n">
        <v>12807</v>
      </c>
      <c r="AI193" s="10" t="n">
        <v>15018</v>
      </c>
      <c r="AJ193" s="11" t="n">
        <v>84792</v>
      </c>
      <c r="AK193" s="12" t="n">
        <v>16623</v>
      </c>
      <c r="AL193" s="12" t="n">
        <v>22395</v>
      </c>
      <c r="AM193" s="13" t="n">
        <v>-0.3</v>
      </c>
      <c r="AN193" s="13" t="n">
        <v>10.9</v>
      </c>
      <c r="AO193" s="13" t="n">
        <v>29.8</v>
      </c>
      <c r="AP193" s="13" t="n">
        <v>-1.7</v>
      </c>
    </row>
    <row r="194">
      <c r="A194" s="5" t="inlineStr">
        <is>
          <t>대한화섬</t>
        </is>
      </c>
      <c r="B194" s="6" t="inlineStr">
        <is>
          <t>003830</t>
        </is>
      </c>
      <c r="C194" s="6" t="inlineStr">
        <is>
          <t>별도</t>
        </is>
      </c>
      <c r="D194" s="6" t="inlineStr">
        <is>
          <t>2026Q2</t>
        </is>
      </c>
      <c r="E194" s="6" t="inlineStr"/>
      <c r="F194" s="7" t="inlineStr"/>
      <c r="G194" s="8" t="inlineStr"/>
      <c r="H194" s="8" t="inlineStr"/>
      <c r="I194" s="9" t="n">
        <v>34061</v>
      </c>
      <c r="J194" s="10" t="n">
        <v>600</v>
      </c>
      <c r="K194" s="10" t="n">
        <v>4523</v>
      </c>
      <c r="L194" s="7" t="n">
        <v>33010</v>
      </c>
      <c r="M194" s="8" t="n">
        <v>1272</v>
      </c>
      <c r="N194" s="8" t="n">
        <v>686</v>
      </c>
      <c r="O194" s="9" t="n">
        <v>27611</v>
      </c>
      <c r="P194" s="10" t="n">
        <v>-1635</v>
      </c>
      <c r="Q194" s="10" t="n">
        <v>-5454</v>
      </c>
      <c r="R194" s="7" t="n">
        <v>29104</v>
      </c>
      <c r="S194" s="8" t="n">
        <v>-1779</v>
      </c>
      <c r="T194" s="8" t="n">
        <v>-2250</v>
      </c>
      <c r="U194" s="9" t="n">
        <v>28724</v>
      </c>
      <c r="V194" s="10" t="n">
        <v>-172</v>
      </c>
      <c r="W194" s="10" t="n">
        <v>7836</v>
      </c>
      <c r="X194" s="7" t="n">
        <v>27079</v>
      </c>
      <c r="Y194" s="8" t="n">
        <v>-635</v>
      </c>
      <c r="Z194" s="8" t="n">
        <v>-679</v>
      </c>
      <c r="AA194" s="9" t="n">
        <v>27012</v>
      </c>
      <c r="AB194" s="10" t="n">
        <v>-2218</v>
      </c>
      <c r="AC194" s="10" t="n">
        <v>2725</v>
      </c>
      <c r="AD194" s="7" t="n">
        <v>25411</v>
      </c>
      <c r="AE194" s="8" t="n">
        <v>-4230</v>
      </c>
      <c r="AF194" s="8" t="n">
        <v>-276</v>
      </c>
      <c r="AG194" s="9" t="n">
        <v>26522</v>
      </c>
      <c r="AH194" s="10" t="n">
        <v>-642</v>
      </c>
      <c r="AI194" s="10" t="n">
        <v>11048</v>
      </c>
      <c r="AJ194" s="11" t="n">
        <v>27708</v>
      </c>
      <c r="AK194" s="12" t="n">
        <v>-1145</v>
      </c>
      <c r="AL194" s="12" t="n">
        <v>2045</v>
      </c>
      <c r="AM194" s="13" t="n">
        <v>4.5</v>
      </c>
      <c r="AN194" s="13" t="n">
        <v>2.3</v>
      </c>
      <c r="AO194" s="13" t="n">
        <v>-78.3</v>
      </c>
      <c r="AP194" s="13" t="n">
        <v>-80.3</v>
      </c>
    </row>
    <row r="195">
      <c r="A195" s="5" t="inlineStr">
        <is>
          <t>보령</t>
        </is>
      </c>
      <c r="B195" s="6" t="inlineStr">
        <is>
          <t>003850</t>
        </is>
      </c>
      <c r="C195" s="6" t="inlineStr">
        <is>
          <t>연결</t>
        </is>
      </c>
      <c r="D195" s="6" t="inlineStr">
        <is>
          <t>2026Q2</t>
        </is>
      </c>
      <c r="E195" s="6" t="inlineStr">
        <is>
          <t>2023Q4</t>
        </is>
      </c>
      <c r="F195" s="14" t="n">
        <v>231237</v>
      </c>
      <c r="G195" s="15" t="n">
        <v>14775</v>
      </c>
      <c r="H195" s="15" t="n">
        <v>5737</v>
      </c>
      <c r="I195" s="9" t="n">
        <v>233601</v>
      </c>
      <c r="J195" s="10" t="n">
        <v>16347</v>
      </c>
      <c r="K195" s="10" t="n">
        <v>23398</v>
      </c>
      <c r="L195" s="7" t="n">
        <v>255562</v>
      </c>
      <c r="M195" s="8" t="n">
        <v>20121</v>
      </c>
      <c r="N195" s="8" t="n">
        <v>23650</v>
      </c>
      <c r="O195" s="9" t="n">
        <v>271030</v>
      </c>
      <c r="P195" s="10" t="n">
        <v>19455</v>
      </c>
      <c r="Q195" s="10" t="n">
        <v>9353</v>
      </c>
      <c r="R195" s="7" t="n">
        <v>256914</v>
      </c>
      <c r="S195" s="8" t="n">
        <v>14549</v>
      </c>
      <c r="T195" s="8" t="n">
        <v>13235</v>
      </c>
      <c r="U195" s="9" t="n">
        <v>240550</v>
      </c>
      <c r="V195" s="10" t="n">
        <v>10913</v>
      </c>
      <c r="W195" s="10" t="n">
        <v>349</v>
      </c>
      <c r="X195" s="7" t="n">
        <v>251518</v>
      </c>
      <c r="Y195" s="8" t="n">
        <v>25366</v>
      </c>
      <c r="Z195" s="8" t="n">
        <v>8864</v>
      </c>
      <c r="AA195" s="9" t="n">
        <v>280010</v>
      </c>
      <c r="AB195" s="10" t="n">
        <v>29436</v>
      </c>
      <c r="AC195" s="10" t="n">
        <v>33999</v>
      </c>
      <c r="AD195" s="7" t="n">
        <v>245349</v>
      </c>
      <c r="AE195" s="8" t="n">
        <v>-648</v>
      </c>
      <c r="AF195" s="8" t="n">
        <v>21091</v>
      </c>
      <c r="AG195" s="9" t="n">
        <v>255354</v>
      </c>
      <c r="AH195" s="10" t="n">
        <v>20151</v>
      </c>
      <c r="AI195" s="10" t="n">
        <v>41438</v>
      </c>
      <c r="AJ195" s="11" t="n">
        <v>279623</v>
      </c>
      <c r="AK195" s="12" t="n">
        <v>23799</v>
      </c>
      <c r="AL195" s="12" t="n">
        <v>24055</v>
      </c>
      <c r="AM195" s="13" t="n">
        <v>9.5</v>
      </c>
      <c r="AN195" s="13" t="n">
        <v>11.2</v>
      </c>
      <c r="AO195" s="13" t="n">
        <v>18.1</v>
      </c>
      <c r="AP195" s="13" t="n">
        <v>-6.2</v>
      </c>
    </row>
    <row r="196">
      <c r="A196" s="5" t="inlineStr">
        <is>
          <t>남양유업</t>
        </is>
      </c>
      <c r="B196" s="6" t="inlineStr">
        <is>
          <t>003920</t>
        </is>
      </c>
      <c r="C196" s="6" t="inlineStr">
        <is>
          <t>연결</t>
        </is>
      </c>
      <c r="D196" s="6" t="inlineStr">
        <is>
          <t>2026Q2</t>
        </is>
      </c>
      <c r="E196" s="6" t="inlineStr"/>
      <c r="F196" s="7" t="inlineStr"/>
      <c r="G196" s="8" t="inlineStr"/>
      <c r="H196" s="8" t="inlineStr"/>
      <c r="I196" s="9" t="n">
        <v>234213</v>
      </c>
      <c r="J196" s="10" t="n">
        <v>-7407</v>
      </c>
      <c r="K196" s="10" t="n">
        <v>-5577</v>
      </c>
      <c r="L196" s="7" t="n">
        <v>244445</v>
      </c>
      <c r="M196" s="8" t="n">
        <v>-16037</v>
      </c>
      <c r="N196" s="8" t="n">
        <v>-13479</v>
      </c>
      <c r="O196" s="9" t="n">
        <v>242685</v>
      </c>
      <c r="P196" s="10" t="n">
        <v>509</v>
      </c>
      <c r="Q196" s="10" t="n">
        <v>40</v>
      </c>
      <c r="R196" s="7" t="n">
        <v>231451</v>
      </c>
      <c r="S196" s="8" t="n">
        <v>13128</v>
      </c>
      <c r="T196" s="8" t="n">
        <v>19266</v>
      </c>
      <c r="U196" s="9" t="n">
        <v>215610</v>
      </c>
      <c r="V196" s="10" t="n">
        <v>78</v>
      </c>
      <c r="W196" s="10" t="n">
        <v>1216</v>
      </c>
      <c r="X196" s="7" t="n">
        <v>232091</v>
      </c>
      <c r="Y196" s="8" t="n">
        <v>925</v>
      </c>
      <c r="Z196" s="8" t="n">
        <v>863</v>
      </c>
      <c r="AA196" s="9" t="n">
        <v>237488</v>
      </c>
      <c r="AB196" s="10" t="n">
        <v>1704</v>
      </c>
      <c r="AC196" s="10" t="n">
        <v>2071</v>
      </c>
      <c r="AD196" s="7" t="n">
        <v>228960</v>
      </c>
      <c r="AE196" s="8" t="n">
        <v>2467</v>
      </c>
      <c r="AF196" s="8" t="n">
        <v>2958</v>
      </c>
      <c r="AG196" s="9" t="n">
        <v>225175</v>
      </c>
      <c r="AH196" s="10" t="n">
        <v>522</v>
      </c>
      <c r="AI196" s="10" t="n">
        <v>6315</v>
      </c>
      <c r="AJ196" s="11" t="n">
        <v>258038</v>
      </c>
      <c r="AK196" s="12" t="n">
        <v>1278</v>
      </c>
      <c r="AL196" s="12" t="n">
        <v>1518</v>
      </c>
      <c r="AM196" s="13" t="n">
        <v>14.6</v>
      </c>
      <c r="AN196" s="13" t="n">
        <v>11.2</v>
      </c>
      <c r="AO196" s="13" t="n">
        <v>144.8</v>
      </c>
      <c r="AP196" s="13" t="n">
        <v>38.2</v>
      </c>
    </row>
    <row r="197">
      <c r="A197" s="5" t="inlineStr">
        <is>
          <t>사조대림</t>
        </is>
      </c>
      <c r="B197" s="6" t="inlineStr">
        <is>
          <t>003960</t>
        </is>
      </c>
      <c r="C197" s="6" t="inlineStr">
        <is>
          <t>연결</t>
        </is>
      </c>
      <c r="D197" s="6" t="inlineStr">
        <is>
          <t>2026Q2</t>
        </is>
      </c>
      <c r="E197" s="6" t="inlineStr"/>
      <c r="F197" s="7" t="inlineStr"/>
      <c r="G197" s="8" t="inlineStr"/>
      <c r="H197" s="8" t="inlineStr"/>
      <c r="I197" s="9" t="n">
        <v>594649</v>
      </c>
      <c r="J197" s="10" t="n">
        <v>44099</v>
      </c>
      <c r="K197" s="10" t="n">
        <v>34074</v>
      </c>
      <c r="L197" s="7" t="n">
        <v>584956</v>
      </c>
      <c r="M197" s="8" t="n">
        <v>32181</v>
      </c>
      <c r="N197" s="8" t="n">
        <v>23585</v>
      </c>
      <c r="O197" s="9" t="n">
        <v>635998</v>
      </c>
      <c r="P197" s="10" t="n">
        <v>46460</v>
      </c>
      <c r="Q197" s="10" t="n">
        <v>37283</v>
      </c>
      <c r="R197" s="7" t="n">
        <v>827353</v>
      </c>
      <c r="S197" s="8" t="n">
        <v>10277</v>
      </c>
      <c r="T197" s="8" t="n">
        <v>839</v>
      </c>
      <c r="U197" s="9" t="n">
        <v>853731</v>
      </c>
      <c r="V197" s="10" t="n">
        <v>15252</v>
      </c>
      <c r="W197" s="10" t="n">
        <v>8644</v>
      </c>
      <c r="X197" s="7" t="n">
        <v>860454</v>
      </c>
      <c r="Y197" s="8" t="n">
        <v>31625</v>
      </c>
      <c r="Z197" s="8" t="n">
        <v>22090</v>
      </c>
      <c r="AA197" s="9" t="n">
        <v>937038</v>
      </c>
      <c r="AB197" s="10" t="n">
        <v>31679</v>
      </c>
      <c r="AC197" s="10" t="n">
        <v>22322</v>
      </c>
      <c r="AD197" s="7" t="n">
        <v>848590</v>
      </c>
      <c r="AE197" s="8" t="n">
        <v>16127</v>
      </c>
      <c r="AF197" s="8" t="n">
        <v>-126619</v>
      </c>
      <c r="AG197" s="9" t="n">
        <v>886310</v>
      </c>
      <c r="AH197" s="10" t="n">
        <v>23775</v>
      </c>
      <c r="AI197" s="10" t="n">
        <v>15612</v>
      </c>
      <c r="AJ197" s="11" t="n">
        <v>879224</v>
      </c>
      <c r="AK197" s="12" t="n">
        <v>20442</v>
      </c>
      <c r="AL197" s="12" t="n">
        <v>-112386</v>
      </c>
      <c r="AM197" s="13" t="n">
        <v>-0.8</v>
      </c>
      <c r="AN197" s="13" t="n">
        <v>2.2</v>
      </c>
      <c r="AO197" s="13" t="n">
        <v>-14</v>
      </c>
      <c r="AP197" s="13" t="n">
        <v>-35.4</v>
      </c>
    </row>
    <row r="198">
      <c r="A198" s="5" t="inlineStr">
        <is>
          <t>매드업</t>
        </is>
      </c>
      <c r="B198" s="6" t="inlineStr">
        <is>
          <t>0039P0</t>
        </is>
      </c>
      <c r="C198" s="6" t="inlineStr">
        <is>
          <t>연결</t>
        </is>
      </c>
      <c r="D198" s="6" t="inlineStr">
        <is>
          <t>2026Q2</t>
        </is>
      </c>
      <c r="E198" s="6" t="inlineStr"/>
      <c r="F198" s="7" t="inlineStr"/>
      <c r="G198" s="8" t="inlineStr"/>
      <c r="H198" s="8" t="inlineStr"/>
      <c r="I198" s="9" t="inlineStr"/>
      <c r="J198" s="10" t="inlineStr"/>
      <c r="K198" s="10" t="inlineStr"/>
      <c r="L198" s="7" t="inlineStr"/>
      <c r="M198" s="8" t="inlineStr"/>
      <c r="N198" s="8" t="inlineStr"/>
      <c r="O198" s="9" t="inlineStr"/>
      <c r="P198" s="10" t="inlineStr"/>
      <c r="Q198" s="10" t="inlineStr"/>
      <c r="R198" s="7" t="inlineStr"/>
      <c r="S198" s="8" t="inlineStr"/>
      <c r="T198" s="8" t="inlineStr"/>
      <c r="U198" s="9" t="inlineStr"/>
      <c r="V198" s="10" t="inlineStr"/>
      <c r="W198" s="10" t="inlineStr"/>
      <c r="X198" s="7" t="inlineStr"/>
      <c r="Y198" s="8" t="inlineStr"/>
      <c r="Z198" s="8" t="inlineStr"/>
      <c r="AA198" s="9" t="inlineStr"/>
      <c r="AB198" s="10" t="inlineStr"/>
      <c r="AC198" s="10" t="inlineStr"/>
      <c r="AD198" s="7" t="inlineStr"/>
      <c r="AE198" s="8" t="inlineStr"/>
      <c r="AF198" s="8" t="inlineStr"/>
      <c r="AG198" s="9" t="inlineStr"/>
      <c r="AH198" s="10" t="inlineStr"/>
      <c r="AI198" s="10" t="inlineStr"/>
      <c r="AJ198" s="11" t="n">
        <v>18262</v>
      </c>
      <c r="AK198" s="12" t="n">
        <v>3790</v>
      </c>
      <c r="AL198" s="12" t="n">
        <v>4239</v>
      </c>
      <c r="AM198" s="13" t="inlineStr"/>
      <c r="AN198" s="13" t="inlineStr"/>
      <c r="AO198" s="13" t="inlineStr"/>
      <c r="AP198" s="13" t="inlineStr"/>
    </row>
    <row r="199">
      <c r="A199" s="5" t="inlineStr">
        <is>
          <t>롯데정밀화학</t>
        </is>
      </c>
      <c r="B199" s="6" t="inlineStr">
        <is>
          <t>004000</t>
        </is>
      </c>
      <c r="C199" s="6" t="inlineStr">
        <is>
          <t>연결</t>
        </is>
      </c>
      <c r="D199" s="6" t="inlineStr">
        <is>
          <t>2026Q2</t>
        </is>
      </c>
      <c r="E199" s="6" t="inlineStr">
        <is>
          <t>2023Q4</t>
        </is>
      </c>
      <c r="F199" s="14" t="n">
        <v>411300</v>
      </c>
      <c r="G199" s="15" t="n">
        <v>8500</v>
      </c>
      <c r="H199" s="15" t="n">
        <v>9700</v>
      </c>
      <c r="I199" s="9" t="n">
        <v>399444</v>
      </c>
      <c r="J199" s="10" t="n">
        <v>10772</v>
      </c>
      <c r="K199" s="10" t="n">
        <v>83424</v>
      </c>
      <c r="L199" s="7" t="n">
        <v>422072</v>
      </c>
      <c r="M199" s="8" t="n">
        <v>17108</v>
      </c>
      <c r="N199" s="8" t="n">
        <v>43266</v>
      </c>
      <c r="O199" s="9" t="n">
        <v>420415</v>
      </c>
      <c r="P199" s="10" t="n">
        <v>10327</v>
      </c>
      <c r="Q199" s="10" t="n">
        <v>-71559</v>
      </c>
      <c r="R199" s="7" t="n">
        <v>428614</v>
      </c>
      <c r="S199" s="8" t="n">
        <v>12166</v>
      </c>
      <c r="T199" s="8" t="n">
        <v>-18750</v>
      </c>
      <c r="U199" s="9" t="n">
        <v>445590</v>
      </c>
      <c r="V199" s="10" t="n">
        <v>18779</v>
      </c>
      <c r="W199" s="10" t="n">
        <v>28386</v>
      </c>
      <c r="X199" s="7" t="n">
        <v>424674</v>
      </c>
      <c r="Y199" s="8" t="n">
        <v>8712</v>
      </c>
      <c r="Z199" s="8" t="n">
        <v>15524</v>
      </c>
      <c r="AA199" s="9" t="n">
        <v>443363</v>
      </c>
      <c r="AB199" s="10" t="n">
        <v>27572</v>
      </c>
      <c r="AC199" s="10" t="n">
        <v>35217</v>
      </c>
      <c r="AD199" s="7" t="n">
        <v>439056</v>
      </c>
      <c r="AE199" s="8" t="n">
        <v>19298</v>
      </c>
      <c r="AF199" s="8" t="n">
        <v>26966</v>
      </c>
      <c r="AG199" s="9" t="n">
        <v>510654</v>
      </c>
      <c r="AH199" s="10" t="n">
        <v>32665</v>
      </c>
      <c r="AI199" s="10" t="n">
        <v>44691</v>
      </c>
      <c r="AJ199" s="11" t="n">
        <v>586275</v>
      </c>
      <c r="AK199" s="12" t="n">
        <v>61908</v>
      </c>
      <c r="AL199" s="12" t="n">
        <v>94165</v>
      </c>
      <c r="AM199" s="13" t="n">
        <v>14.8</v>
      </c>
      <c r="AN199" s="13" t="n">
        <v>38.1</v>
      </c>
      <c r="AO199" s="13" t="n">
        <v>89.5</v>
      </c>
      <c r="AP199" s="13" t="n">
        <v>610.6</v>
      </c>
    </row>
    <row r="200">
      <c r="A200" s="5" t="inlineStr">
        <is>
          <t>현대제철</t>
        </is>
      </c>
      <c r="B200" s="6" t="inlineStr">
        <is>
          <t>004020</t>
        </is>
      </c>
      <c r="C200" s="6" t="inlineStr">
        <is>
          <t>연결</t>
        </is>
      </c>
      <c r="D200" s="6" t="inlineStr">
        <is>
          <t>2026Q2</t>
        </is>
      </c>
      <c r="E200" s="6" t="inlineStr">
        <is>
          <t>2023Q4</t>
        </is>
      </c>
      <c r="F200" s="14" t="n">
        <v>6104200</v>
      </c>
      <c r="G200" s="15" t="n">
        <v>-220100</v>
      </c>
      <c r="H200" s="15" t="n">
        <v>-190900</v>
      </c>
      <c r="I200" s="9" t="n">
        <v>5947782</v>
      </c>
      <c r="J200" s="10" t="n">
        <v>55803</v>
      </c>
      <c r="K200" s="10" t="n">
        <v>32222</v>
      </c>
      <c r="L200" s="7" t="n">
        <v>6041380</v>
      </c>
      <c r="M200" s="8" t="n">
        <v>97966</v>
      </c>
      <c r="N200" s="8" t="n">
        <v>1353</v>
      </c>
      <c r="O200" s="9" t="n">
        <v>5624299</v>
      </c>
      <c r="P200" s="10" t="n">
        <v>51542</v>
      </c>
      <c r="Q200" s="10" t="n">
        <v>-16200</v>
      </c>
      <c r="R200" s="7" t="n">
        <v>5612680</v>
      </c>
      <c r="S200" s="8" t="n">
        <v>-45819</v>
      </c>
      <c r="T200" s="8" t="n">
        <v>-8561</v>
      </c>
      <c r="U200" s="9" t="n">
        <v>5563465</v>
      </c>
      <c r="V200" s="10" t="n">
        <v>-19028</v>
      </c>
      <c r="W200" s="10" t="n">
        <v>-54393</v>
      </c>
      <c r="X200" s="7" t="n">
        <v>5945555</v>
      </c>
      <c r="Y200" s="8" t="n">
        <v>101768</v>
      </c>
      <c r="Z200" s="8" t="n">
        <v>37399</v>
      </c>
      <c r="AA200" s="9" t="n">
        <v>5734389</v>
      </c>
      <c r="AB200" s="10" t="n">
        <v>93240</v>
      </c>
      <c r="AC200" s="10" t="n">
        <v>17815</v>
      </c>
      <c r="AD200" s="7" t="n">
        <v>5489828</v>
      </c>
      <c r="AE200" s="8" t="n">
        <v>43255</v>
      </c>
      <c r="AF200" s="8" t="n">
        <v>568</v>
      </c>
      <c r="AG200" s="9" t="n">
        <v>5739685</v>
      </c>
      <c r="AH200" s="10" t="n">
        <v>15689</v>
      </c>
      <c r="AI200" s="10" t="n">
        <v>-39319</v>
      </c>
      <c r="AJ200" s="11" t="n">
        <v>6107305</v>
      </c>
      <c r="AK200" s="12" t="n">
        <v>57719</v>
      </c>
      <c r="AL200" s="12" t="n">
        <v>12115</v>
      </c>
      <c r="AM200" s="13" t="n">
        <v>6.4</v>
      </c>
      <c r="AN200" s="13" t="n">
        <v>2.7</v>
      </c>
      <c r="AO200" s="13" t="n">
        <v>267.9</v>
      </c>
      <c r="AP200" s="13" t="n">
        <v>-43.3</v>
      </c>
    </row>
    <row r="201">
      <c r="A201" s="5" t="inlineStr">
        <is>
          <t>SG세계물산</t>
        </is>
      </c>
      <c r="B201" s="6" t="inlineStr">
        <is>
          <t>004060</t>
        </is>
      </c>
      <c r="C201" s="6" t="inlineStr">
        <is>
          <t>연결</t>
        </is>
      </c>
      <c r="D201" s="6" t="inlineStr">
        <is>
          <t>2026Q2</t>
        </is>
      </c>
      <c r="E201" s="6" t="inlineStr"/>
      <c r="F201" s="7" t="inlineStr"/>
      <c r="G201" s="8" t="inlineStr"/>
      <c r="H201" s="8" t="inlineStr"/>
      <c r="I201" s="9" t="n">
        <v>36482</v>
      </c>
      <c r="J201" s="10" t="n">
        <v>-717</v>
      </c>
      <c r="K201" s="10" t="n">
        <v>-28</v>
      </c>
      <c r="L201" s="7" t="n">
        <v>31784</v>
      </c>
      <c r="M201" s="8" t="n">
        <v>-808</v>
      </c>
      <c r="N201" s="8" t="n">
        <v>6404</v>
      </c>
      <c r="O201" s="9" t="n">
        <v>35538</v>
      </c>
      <c r="P201" s="10" t="n">
        <v>-706</v>
      </c>
      <c r="Q201" s="10" t="n">
        <v>4671</v>
      </c>
      <c r="R201" s="7" t="n">
        <v>34998</v>
      </c>
      <c r="S201" s="8" t="n">
        <v>-526</v>
      </c>
      <c r="T201" s="8" t="n">
        <v>-5689</v>
      </c>
      <c r="U201" s="9" t="n">
        <v>33745</v>
      </c>
      <c r="V201" s="10" t="n">
        <v>-821</v>
      </c>
      <c r="W201" s="10" t="n">
        <v>229</v>
      </c>
      <c r="X201" s="7" t="n">
        <v>28788</v>
      </c>
      <c r="Y201" s="8" t="n">
        <v>-426</v>
      </c>
      <c r="Z201" s="8" t="n">
        <v>1075</v>
      </c>
      <c r="AA201" s="9" t="n">
        <v>35248</v>
      </c>
      <c r="AB201" s="10" t="n">
        <v>-617</v>
      </c>
      <c r="AC201" s="10" t="n">
        <v>323</v>
      </c>
      <c r="AD201" s="7" t="n">
        <v>34567</v>
      </c>
      <c r="AE201" s="8" t="n">
        <v>348</v>
      </c>
      <c r="AF201" s="8" t="n">
        <v>-743</v>
      </c>
      <c r="AG201" s="9" t="n">
        <v>27747</v>
      </c>
      <c r="AH201" s="10" t="n">
        <v>-1874</v>
      </c>
      <c r="AI201" s="10" t="n">
        <v>3008</v>
      </c>
      <c r="AJ201" s="11" t="n">
        <v>27284</v>
      </c>
      <c r="AK201" s="12" t="n">
        <v>-464</v>
      </c>
      <c r="AL201" s="12" t="n">
        <v>1346</v>
      </c>
      <c r="AM201" s="13" t="n">
        <v>-1.7</v>
      </c>
      <c r="AN201" s="13" t="n">
        <v>-5.2</v>
      </c>
      <c r="AO201" s="13" t="n">
        <v>75.2</v>
      </c>
      <c r="AP201" s="13" t="n">
        <v>-8.9</v>
      </c>
    </row>
    <row r="202">
      <c r="A202" s="5" t="inlineStr">
        <is>
          <t>신흥</t>
        </is>
      </c>
      <c r="B202" s="6" t="inlineStr">
        <is>
          <t>004080</t>
        </is>
      </c>
      <c r="C202" s="6" t="inlineStr">
        <is>
          <t>연결</t>
        </is>
      </c>
      <c r="D202" s="6" t="inlineStr">
        <is>
          <t>2026Q2</t>
        </is>
      </c>
      <c r="E202" s="6" t="inlineStr"/>
      <c r="F202" s="7" t="inlineStr"/>
      <c r="G202" s="8" t="inlineStr"/>
      <c r="H202" s="8" t="inlineStr"/>
      <c r="I202" s="9" t="n">
        <v>26251</v>
      </c>
      <c r="J202" s="10" t="n">
        <v>1419</v>
      </c>
      <c r="K202" s="10" t="n">
        <v>1223</v>
      </c>
      <c r="L202" s="7" t="n">
        <v>24981</v>
      </c>
      <c r="M202" s="8" t="n">
        <v>1899</v>
      </c>
      <c r="N202" s="8" t="n">
        <v>1515</v>
      </c>
      <c r="O202" s="9" t="n">
        <v>23837</v>
      </c>
      <c r="P202" s="10" t="n">
        <v>898</v>
      </c>
      <c r="Q202" s="10" t="n">
        <v>1052</v>
      </c>
      <c r="R202" s="7" t="n">
        <v>26687</v>
      </c>
      <c r="S202" s="8" t="n">
        <v>2062</v>
      </c>
      <c r="T202" s="8" t="n">
        <v>1430</v>
      </c>
      <c r="U202" s="9" t="n">
        <v>23616</v>
      </c>
      <c r="V202" s="10" t="n">
        <v>728</v>
      </c>
      <c r="W202" s="10" t="n">
        <v>279</v>
      </c>
      <c r="X202" s="7" t="n">
        <v>24542</v>
      </c>
      <c r="Y202" s="8" t="n">
        <v>1699</v>
      </c>
      <c r="Z202" s="8" t="n">
        <v>1936</v>
      </c>
      <c r="AA202" s="9" t="n">
        <v>24099</v>
      </c>
      <c r="AB202" s="10" t="n">
        <v>1490</v>
      </c>
      <c r="AC202" s="10" t="n">
        <v>991</v>
      </c>
      <c r="AD202" s="7" t="n">
        <v>30350</v>
      </c>
      <c r="AE202" s="8" t="n">
        <v>3174</v>
      </c>
      <c r="AF202" s="8" t="n">
        <v>-273</v>
      </c>
      <c r="AG202" s="9" t="n">
        <v>25155</v>
      </c>
      <c r="AH202" s="10" t="n">
        <v>806</v>
      </c>
      <c r="AI202" s="10" t="n">
        <v>824</v>
      </c>
      <c r="AJ202" s="11" t="n">
        <v>26282</v>
      </c>
      <c r="AK202" s="12" t="n">
        <v>3644</v>
      </c>
      <c r="AL202" s="12" t="n">
        <v>3952</v>
      </c>
      <c r="AM202" s="13" t="n">
        <v>4.5</v>
      </c>
      <c r="AN202" s="13" t="n">
        <v>7.1</v>
      </c>
      <c r="AO202" s="13" t="n">
        <v>352.1</v>
      </c>
      <c r="AP202" s="13" t="n">
        <v>114.5</v>
      </c>
    </row>
    <row r="203">
      <c r="A203" s="5" t="inlineStr">
        <is>
          <t>한국석유공업</t>
        </is>
      </c>
      <c r="B203" s="6" t="inlineStr">
        <is>
          <t>004090</t>
        </is>
      </c>
      <c r="C203" s="6" t="inlineStr">
        <is>
          <t>연결</t>
        </is>
      </c>
      <c r="D203" s="6" t="inlineStr">
        <is>
          <t>2026Q2</t>
        </is>
      </c>
      <c r="E203" s="6" t="inlineStr">
        <is>
          <t>2023Q4</t>
        </is>
      </c>
      <c r="F203" s="14" t="n">
        <v>172372</v>
      </c>
      <c r="G203" s="15" t="n">
        <v>3053</v>
      </c>
      <c r="H203" s="15" t="n">
        <v>5876</v>
      </c>
      <c r="I203" s="9" t="n">
        <v>165907</v>
      </c>
      <c r="J203" s="10" t="n">
        <v>2069</v>
      </c>
      <c r="K203" s="10" t="n">
        <v>808</v>
      </c>
      <c r="L203" s="7" t="n">
        <v>192006</v>
      </c>
      <c r="M203" s="8" t="n">
        <v>6110</v>
      </c>
      <c r="N203" s="8" t="n">
        <v>3149</v>
      </c>
      <c r="O203" s="9" t="n">
        <v>174521</v>
      </c>
      <c r="P203" s="10" t="n">
        <v>2528</v>
      </c>
      <c r="Q203" s="10" t="n">
        <v>5981</v>
      </c>
      <c r="R203" s="7" t="n">
        <v>188742</v>
      </c>
      <c r="S203" s="8" t="n">
        <v>3210</v>
      </c>
      <c r="T203" s="8" t="n">
        <v>2953</v>
      </c>
      <c r="U203" s="9" t="n">
        <v>158696</v>
      </c>
      <c r="V203" s="10" t="n">
        <v>589</v>
      </c>
      <c r="W203" s="10" t="n">
        <v>-563</v>
      </c>
      <c r="X203" s="7" t="n">
        <v>192310</v>
      </c>
      <c r="Y203" s="8" t="n">
        <v>3528</v>
      </c>
      <c r="Z203" s="8" t="n">
        <v>4196</v>
      </c>
      <c r="AA203" s="9" t="n">
        <v>171552</v>
      </c>
      <c r="AB203" s="10" t="n">
        <v>3317</v>
      </c>
      <c r="AC203" s="10" t="n">
        <v>1092</v>
      </c>
      <c r="AD203" s="7" t="n">
        <v>174368</v>
      </c>
      <c r="AE203" s="8" t="n">
        <v>4410</v>
      </c>
      <c r="AF203" s="8" t="n">
        <v>348</v>
      </c>
      <c r="AG203" s="9" t="n">
        <v>171246</v>
      </c>
      <c r="AH203" s="10" t="n">
        <v>4143</v>
      </c>
      <c r="AI203" s="10" t="n">
        <v>1527</v>
      </c>
      <c r="AJ203" s="11" t="n">
        <v>231631</v>
      </c>
      <c r="AK203" s="12" t="n">
        <v>13791</v>
      </c>
      <c r="AL203" s="12" t="n">
        <v>12036</v>
      </c>
      <c r="AM203" s="13" t="n">
        <v>35.3</v>
      </c>
      <c r="AN203" s="13" t="n">
        <v>20.4</v>
      </c>
      <c r="AO203" s="13" t="n">
        <v>232.9</v>
      </c>
      <c r="AP203" s="13" t="n">
        <v>290.9</v>
      </c>
    </row>
    <row r="204">
      <c r="A204" s="5" t="inlineStr">
        <is>
          <t>태양금속공업</t>
        </is>
      </c>
      <c r="B204" s="6" t="inlineStr">
        <is>
          <t>004100</t>
        </is>
      </c>
      <c r="C204" s="6" t="inlineStr">
        <is>
          <t>연결</t>
        </is>
      </c>
      <c r="D204" s="6" t="inlineStr">
        <is>
          <t>2026Q2</t>
        </is>
      </c>
      <c r="E204" s="6" t="inlineStr"/>
      <c r="F204" s="7" t="inlineStr"/>
      <c r="G204" s="8" t="inlineStr"/>
      <c r="H204" s="8" t="inlineStr"/>
      <c r="I204" s="9" t="n">
        <v>161357</v>
      </c>
      <c r="J204" s="10" t="n">
        <v>5650</v>
      </c>
      <c r="K204" s="10" t="n">
        <v>5529</v>
      </c>
      <c r="L204" s="7" t="n">
        <v>164626</v>
      </c>
      <c r="M204" s="8" t="n">
        <v>4575</v>
      </c>
      <c r="N204" s="8" t="n">
        <v>729</v>
      </c>
      <c r="O204" s="9" t="n">
        <v>142940</v>
      </c>
      <c r="P204" s="10" t="n">
        <v>4675</v>
      </c>
      <c r="Q204" s="10" t="n">
        <v>-2272</v>
      </c>
      <c r="R204" s="7" t="n">
        <v>151098</v>
      </c>
      <c r="S204" s="8" t="n">
        <v>1153</v>
      </c>
      <c r="T204" s="8" t="n">
        <v>-1604</v>
      </c>
      <c r="U204" s="9" t="n">
        <v>154516</v>
      </c>
      <c r="V204" s="10" t="n">
        <v>7577</v>
      </c>
      <c r="W204" s="10" t="n">
        <v>3450</v>
      </c>
      <c r="X204" s="7" t="n">
        <v>156862</v>
      </c>
      <c r="Y204" s="8" t="n">
        <v>1221</v>
      </c>
      <c r="Z204" s="8" t="n">
        <v>-8480</v>
      </c>
      <c r="AA204" s="9" t="n">
        <v>153749</v>
      </c>
      <c r="AB204" s="10" t="n">
        <v>2501</v>
      </c>
      <c r="AC204" s="10" t="n">
        <v>440</v>
      </c>
      <c r="AD204" s="7" t="n">
        <v>155042</v>
      </c>
      <c r="AE204" s="8" t="n">
        <v>11120</v>
      </c>
      <c r="AF204" s="8" t="n">
        <v>7641</v>
      </c>
      <c r="AG204" s="9" t="n">
        <v>151109</v>
      </c>
      <c r="AH204" s="10" t="n">
        <v>6130</v>
      </c>
      <c r="AI204" s="10" t="n">
        <v>3824</v>
      </c>
      <c r="AJ204" s="11" t="n">
        <v>159274</v>
      </c>
      <c r="AK204" s="12" t="n">
        <v>3892</v>
      </c>
      <c r="AL204" s="12" t="n">
        <v>5501</v>
      </c>
      <c r="AM204" s="13" t="n">
        <v>5.4</v>
      </c>
      <c r="AN204" s="13" t="n">
        <v>1.5</v>
      </c>
      <c r="AO204" s="13" t="n">
        <v>-36.5</v>
      </c>
      <c r="AP204" s="13" t="n">
        <v>218.8</v>
      </c>
    </row>
    <row r="205">
      <c r="A205" s="5" t="inlineStr">
        <is>
          <t>동방</t>
        </is>
      </c>
      <c r="B205" s="6" t="inlineStr">
        <is>
          <t>004140</t>
        </is>
      </c>
      <c r="C205" s="6" t="inlineStr">
        <is>
          <t>연결</t>
        </is>
      </c>
      <c r="D205" s="6" t="inlineStr">
        <is>
          <t>2026Q2</t>
        </is>
      </c>
      <c r="E205" s="6" t="inlineStr"/>
      <c r="F205" s="7" t="inlineStr"/>
      <c r="G205" s="8" t="inlineStr"/>
      <c r="H205" s="8" t="inlineStr"/>
      <c r="I205" s="9" t="n">
        <v>210556</v>
      </c>
      <c r="J205" s="10" t="n">
        <v>9489</v>
      </c>
      <c r="K205" s="10" t="n">
        <v>10493</v>
      </c>
      <c r="L205" s="7" t="n">
        <v>220135</v>
      </c>
      <c r="M205" s="8" t="n">
        <v>8350</v>
      </c>
      <c r="N205" s="8" t="n">
        <v>11464</v>
      </c>
      <c r="O205" s="9" t="n">
        <v>215823</v>
      </c>
      <c r="P205" s="10" t="n">
        <v>12062</v>
      </c>
      <c r="Q205" s="10" t="n">
        <v>1350</v>
      </c>
      <c r="R205" s="7" t="n">
        <v>225136</v>
      </c>
      <c r="S205" s="8" t="n">
        <v>9138</v>
      </c>
      <c r="T205" s="8" t="n">
        <v>-2525</v>
      </c>
      <c r="U205" s="9" t="n">
        <v>205078</v>
      </c>
      <c r="V205" s="10" t="n">
        <v>8714</v>
      </c>
      <c r="W205" s="10" t="n">
        <v>6195</v>
      </c>
      <c r="X205" s="7" t="n">
        <v>220501</v>
      </c>
      <c r="Y205" s="8" t="n">
        <v>7144</v>
      </c>
      <c r="Z205" s="8" t="n">
        <v>7739</v>
      </c>
      <c r="AA205" s="9" t="n">
        <v>237822</v>
      </c>
      <c r="AB205" s="10" t="n">
        <v>11786</v>
      </c>
      <c r="AC205" s="10" t="n">
        <v>4135</v>
      </c>
      <c r="AD205" s="7" t="n">
        <v>252152</v>
      </c>
      <c r="AE205" s="8" t="n">
        <v>4313</v>
      </c>
      <c r="AF205" s="8" t="n">
        <v>-666</v>
      </c>
      <c r="AG205" s="9" t="n">
        <v>241478</v>
      </c>
      <c r="AH205" s="10" t="n">
        <v>6535</v>
      </c>
      <c r="AI205" s="10" t="n">
        <v>2136</v>
      </c>
      <c r="AJ205" s="11" t="n">
        <v>242037</v>
      </c>
      <c r="AK205" s="12" t="n">
        <v>5285</v>
      </c>
      <c r="AL205" s="12" t="n">
        <v>1368</v>
      </c>
      <c r="AM205" s="13" t="n">
        <v>0.2</v>
      </c>
      <c r="AN205" s="13" t="n">
        <v>9.800000000000001</v>
      </c>
      <c r="AO205" s="13" t="n">
        <v>-19.1</v>
      </c>
      <c r="AP205" s="13" t="n">
        <v>-26</v>
      </c>
    </row>
    <row r="206">
      <c r="A206" s="5" t="inlineStr">
        <is>
          <t>한솔홀딩스</t>
        </is>
      </c>
      <c r="B206" s="6" t="inlineStr">
        <is>
          <t>004150</t>
        </is>
      </c>
      <c r="C206" s="6" t="inlineStr">
        <is>
          <t>연결</t>
        </is>
      </c>
      <c r="D206" s="6" t="inlineStr">
        <is>
          <t>2026Q2</t>
        </is>
      </c>
      <c r="E206" s="6" t="inlineStr"/>
      <c r="F206" s="7" t="inlineStr"/>
      <c r="G206" s="8" t="inlineStr"/>
      <c r="H206" s="8" t="inlineStr"/>
      <c r="I206" s="9" t="n">
        <v>104518</v>
      </c>
      <c r="J206" s="10" t="n">
        <v>-1327</v>
      </c>
      <c r="K206" s="10" t="n">
        <v>3727</v>
      </c>
      <c r="L206" s="7" t="n">
        <v>104060</v>
      </c>
      <c r="M206" s="8" t="n">
        <v>542</v>
      </c>
      <c r="N206" s="8" t="n">
        <v>9363</v>
      </c>
      <c r="O206" s="9" t="n">
        <v>286927</v>
      </c>
      <c r="P206" s="10" t="n">
        <v>6679</v>
      </c>
      <c r="Q206" s="10" t="n">
        <v>2753</v>
      </c>
      <c r="R206" s="7" t="n">
        <v>296135</v>
      </c>
      <c r="S206" s="8" t="n">
        <v>1585</v>
      </c>
      <c r="T206" s="8" t="n">
        <v>-14259</v>
      </c>
      <c r="U206" s="9" t="n">
        <v>276620</v>
      </c>
      <c r="V206" s="10" t="n">
        <v>8324</v>
      </c>
      <c r="W206" s="10" t="n">
        <v>6732</v>
      </c>
      <c r="X206" s="7" t="n">
        <v>278566</v>
      </c>
      <c r="Y206" s="8" t="n">
        <v>7398</v>
      </c>
      <c r="Z206" s="8" t="n">
        <v>16637</v>
      </c>
      <c r="AA206" s="9" t="n">
        <v>277015</v>
      </c>
      <c r="AB206" s="10" t="n">
        <v>7335</v>
      </c>
      <c r="AC206" s="10" t="n">
        <v>4911</v>
      </c>
      <c r="AD206" s="7" t="n">
        <v>266106</v>
      </c>
      <c r="AE206" s="8" t="n">
        <v>-448</v>
      </c>
      <c r="AF206" s="8" t="n">
        <v>-19383</v>
      </c>
      <c r="AG206" s="9" t="n">
        <v>269571</v>
      </c>
      <c r="AH206" s="10" t="n">
        <v>7940</v>
      </c>
      <c r="AI206" s="10" t="n">
        <v>11634</v>
      </c>
      <c r="AJ206" s="11" t="n">
        <v>416705</v>
      </c>
      <c r="AK206" s="12" t="n">
        <v>19853</v>
      </c>
      <c r="AL206" s="12" t="n">
        <v>55267</v>
      </c>
      <c r="AM206" s="13" t="n">
        <v>54.6</v>
      </c>
      <c r="AN206" s="13" t="n">
        <v>49.6</v>
      </c>
      <c r="AO206" s="13" t="n">
        <v>150</v>
      </c>
      <c r="AP206" s="13" t="n">
        <v>168.4</v>
      </c>
    </row>
    <row r="207">
      <c r="A207" s="5" t="inlineStr">
        <is>
          <t>신세계</t>
        </is>
      </c>
      <c r="B207" s="6" t="inlineStr">
        <is>
          <t>004170</t>
        </is>
      </c>
      <c r="C207" s="6" t="inlineStr">
        <is>
          <t>연결</t>
        </is>
      </c>
      <c r="D207" s="6" t="inlineStr">
        <is>
          <t>2026Q2</t>
        </is>
      </c>
      <c r="E207" s="6" t="inlineStr">
        <is>
          <t>2023Q4</t>
        </is>
      </c>
      <c r="F207" s="14" t="n">
        <v>1720282</v>
      </c>
      <c r="G207" s="15" t="n">
        <v>205984</v>
      </c>
      <c r="H207" s="15" t="n">
        <v>33445</v>
      </c>
      <c r="I207" s="9" t="n">
        <v>1604739</v>
      </c>
      <c r="J207" s="10" t="n">
        <v>163000</v>
      </c>
      <c r="K207" s="10" t="n">
        <v>129608</v>
      </c>
      <c r="L207" s="7" t="n">
        <v>1604388</v>
      </c>
      <c r="M207" s="8" t="n">
        <v>117465</v>
      </c>
      <c r="N207" s="8" t="n">
        <v>58075</v>
      </c>
      <c r="O207" s="9" t="n">
        <v>1540093</v>
      </c>
      <c r="P207" s="10" t="n">
        <v>92950</v>
      </c>
      <c r="Q207" s="10" t="n">
        <v>36609</v>
      </c>
      <c r="R207" s="7" t="n">
        <v>1821193</v>
      </c>
      <c r="S207" s="8" t="n">
        <v>103609</v>
      </c>
      <c r="T207" s="8" t="n">
        <v>-37683</v>
      </c>
      <c r="U207" s="9" t="n">
        <v>1665840</v>
      </c>
      <c r="V207" s="10" t="n">
        <v>132333</v>
      </c>
      <c r="W207" s="10" t="n">
        <v>77096</v>
      </c>
      <c r="X207" s="7" t="n">
        <v>1693824</v>
      </c>
      <c r="Y207" s="8" t="n">
        <v>75340</v>
      </c>
      <c r="Z207" s="8" t="n">
        <v>8315</v>
      </c>
      <c r="AA207" s="9" t="n">
        <v>1636132</v>
      </c>
      <c r="AB207" s="10" t="n">
        <v>99753</v>
      </c>
      <c r="AC207" s="10" t="n">
        <v>48283</v>
      </c>
      <c r="AD207" s="7" t="n">
        <v>1933703</v>
      </c>
      <c r="AE207" s="8" t="n">
        <v>172536</v>
      </c>
      <c r="AF207" s="8" t="n">
        <v>-69090</v>
      </c>
      <c r="AG207" s="9" t="n">
        <v>1847145</v>
      </c>
      <c r="AH207" s="10" t="n">
        <v>197825</v>
      </c>
      <c r="AI207" s="10" t="n">
        <v>145357</v>
      </c>
      <c r="AJ207" s="11" t="n">
        <v>1780382</v>
      </c>
      <c r="AK207" s="12" t="n">
        <v>167133</v>
      </c>
      <c r="AL207" s="12" t="n">
        <v>106987</v>
      </c>
      <c r="AM207" s="13" t="n">
        <v>-3.6</v>
      </c>
      <c r="AN207" s="13" t="n">
        <v>5.1</v>
      </c>
      <c r="AO207" s="13" t="n">
        <v>-15.5</v>
      </c>
      <c r="AP207" s="13" t="n">
        <v>121.8</v>
      </c>
    </row>
    <row r="208">
      <c r="A208" s="5" t="inlineStr">
        <is>
          <t>교보18호스팩</t>
        </is>
      </c>
      <c r="B208" s="6" t="inlineStr">
        <is>
          <t>0041B0</t>
        </is>
      </c>
      <c r="C208" s="6" t="inlineStr">
        <is>
          <t>별도</t>
        </is>
      </c>
      <c r="D208" s="6" t="inlineStr">
        <is>
          <t>2026Q2</t>
        </is>
      </c>
      <c r="E208" s="6" t="inlineStr"/>
      <c r="F208" s="7" t="inlineStr"/>
      <c r="G208" s="8" t="inlineStr"/>
      <c r="H208" s="8" t="inlineStr"/>
      <c r="I208" s="9" t="inlineStr"/>
      <c r="J208" s="10" t="inlineStr"/>
      <c r="K208" s="10" t="inlineStr"/>
      <c r="L208" s="7" t="inlineStr"/>
      <c r="M208" s="8" t="inlineStr"/>
      <c r="N208" s="8" t="inlineStr"/>
      <c r="O208" s="9" t="inlineStr"/>
      <c r="P208" s="10" t="inlineStr"/>
      <c r="Q208" s="10" t="inlineStr"/>
      <c r="R208" s="7" t="inlineStr"/>
      <c r="S208" s="8" t="inlineStr"/>
      <c r="T208" s="8" t="inlineStr"/>
      <c r="U208" s="9" t="inlineStr"/>
      <c r="V208" s="10" t="inlineStr"/>
      <c r="W208" s="10" t="inlineStr"/>
      <c r="X208" s="7" t="n">
        <v>0</v>
      </c>
      <c r="Y208" s="8" t="n">
        <v>-31</v>
      </c>
      <c r="Z208" s="8" t="n">
        <v>-35</v>
      </c>
      <c r="AA208" s="9" t="n">
        <v>0</v>
      </c>
      <c r="AB208" s="10" t="n">
        <v>-30</v>
      </c>
      <c r="AC208" s="10" t="n">
        <v>-35</v>
      </c>
      <c r="AD208" s="7" t="inlineStr"/>
      <c r="AE208" s="8" t="inlineStr"/>
      <c r="AF208" s="8" t="inlineStr"/>
      <c r="AG208" s="9" t="inlineStr"/>
      <c r="AH208" s="10" t="n">
        <v>-28</v>
      </c>
      <c r="AI208" s="10" t="n">
        <v>-33</v>
      </c>
      <c r="AJ208" s="11" t="n">
        <v>0</v>
      </c>
      <c r="AK208" s="12" t="n">
        <v>-9</v>
      </c>
      <c r="AL208" s="12" t="n">
        <v>62</v>
      </c>
      <c r="AM208" s="13" t="inlineStr"/>
      <c r="AN208" s="13" t="inlineStr"/>
      <c r="AO208" s="13" t="n">
        <v>67.90000000000001</v>
      </c>
      <c r="AP208" s="13" t="n">
        <v>71</v>
      </c>
    </row>
    <row r="209">
      <c r="A209" s="5" t="inlineStr">
        <is>
          <t>엘에스스팩1호</t>
        </is>
      </c>
      <c r="B209" s="6" t="inlineStr">
        <is>
          <t>0041J0</t>
        </is>
      </c>
      <c r="C209" s="6" t="inlineStr">
        <is>
          <t>별도</t>
        </is>
      </c>
      <c r="D209" s="6" t="inlineStr">
        <is>
          <t>2026Q2</t>
        </is>
      </c>
      <c r="E209" s="6" t="inlineStr"/>
      <c r="F209" s="7" t="inlineStr"/>
      <c r="G209" s="8" t="inlineStr"/>
      <c r="H209" s="8" t="inlineStr"/>
      <c r="I209" s="9" t="inlineStr"/>
      <c r="J209" s="10" t="inlineStr"/>
      <c r="K209" s="10" t="inlineStr"/>
      <c r="L209" s="7" t="inlineStr"/>
      <c r="M209" s="8" t="inlineStr"/>
      <c r="N209" s="8" t="inlineStr"/>
      <c r="O209" s="9" t="inlineStr"/>
      <c r="P209" s="10" t="inlineStr"/>
      <c r="Q209" s="10" t="inlineStr"/>
      <c r="R209" s="7" t="inlineStr"/>
      <c r="S209" s="8" t="inlineStr"/>
      <c r="T209" s="8" t="inlineStr"/>
      <c r="U209" s="9" t="inlineStr"/>
      <c r="V209" s="10" t="inlineStr"/>
      <c r="W209" s="10" t="inlineStr"/>
      <c r="X209" s="7" t="inlineStr"/>
      <c r="Y209" s="8" t="inlineStr"/>
      <c r="Z209" s="8" t="inlineStr"/>
      <c r="AA209" s="9" t="n">
        <v>0</v>
      </c>
      <c r="AB209" s="10" t="n">
        <v>-14</v>
      </c>
      <c r="AC209" s="10" t="n">
        <v>8</v>
      </c>
      <c r="AD209" s="7" t="inlineStr"/>
      <c r="AE209" s="8" t="inlineStr"/>
      <c r="AF209" s="8" t="inlineStr"/>
      <c r="AG209" s="9" t="n">
        <v>0</v>
      </c>
      <c r="AH209" s="10" t="n">
        <v>-12</v>
      </c>
      <c r="AI209" s="10" t="n">
        <v>14</v>
      </c>
      <c r="AJ209" s="11" t="n">
        <v>0</v>
      </c>
      <c r="AK209" s="12" t="n">
        <v>-10</v>
      </c>
      <c r="AL209" s="12" t="n">
        <v>17</v>
      </c>
      <c r="AM209" s="13" t="inlineStr"/>
      <c r="AN209" s="13" t="inlineStr"/>
      <c r="AO209" s="13" t="n">
        <v>16.7</v>
      </c>
      <c r="AP209" s="13" t="inlineStr"/>
    </row>
    <row r="210">
      <c r="A210" s="5" t="inlineStr">
        <is>
          <t>하나35호스팩</t>
        </is>
      </c>
      <c r="B210" s="6" t="inlineStr">
        <is>
          <t>0041L0</t>
        </is>
      </c>
      <c r="C210" s="6" t="inlineStr">
        <is>
          <t>별도</t>
        </is>
      </c>
      <c r="D210" s="6" t="inlineStr">
        <is>
          <t>2026Q2</t>
        </is>
      </c>
      <c r="E210" s="6" t="inlineStr"/>
      <c r="F210" s="7" t="inlineStr"/>
      <c r="G210" s="8" t="inlineStr"/>
      <c r="H210" s="8" t="inlineStr"/>
      <c r="I210" s="9" t="inlineStr"/>
      <c r="J210" s="10" t="inlineStr"/>
      <c r="K210" s="10" t="inlineStr"/>
      <c r="L210" s="7" t="inlineStr"/>
      <c r="M210" s="8" t="inlineStr"/>
      <c r="N210" s="8" t="inlineStr"/>
      <c r="O210" s="9" t="inlineStr"/>
      <c r="P210" s="10" t="inlineStr"/>
      <c r="Q210" s="10" t="inlineStr"/>
      <c r="R210" s="7" t="inlineStr"/>
      <c r="S210" s="8" t="inlineStr"/>
      <c r="T210" s="8" t="inlineStr"/>
      <c r="U210" s="9" t="inlineStr"/>
      <c r="V210" s="10" t="inlineStr"/>
      <c r="W210" s="10" t="inlineStr"/>
      <c r="X210" s="7" t="n">
        <v>0</v>
      </c>
      <c r="Y210" s="8" t="n">
        <v>-9</v>
      </c>
      <c r="Z210" s="8" t="n">
        <v>-17</v>
      </c>
      <c r="AA210" s="9" t="inlineStr"/>
      <c r="AB210" s="10" t="n">
        <v>-21</v>
      </c>
      <c r="AC210" s="10" t="n">
        <v>-28</v>
      </c>
      <c r="AD210" s="7" t="inlineStr"/>
      <c r="AE210" s="8" t="inlineStr"/>
      <c r="AF210" s="8" t="inlineStr"/>
      <c r="AG210" s="9" t="n">
        <v>0</v>
      </c>
      <c r="AH210" s="10" t="n">
        <v>-9</v>
      </c>
      <c r="AI210" s="10" t="n">
        <v>38</v>
      </c>
      <c r="AJ210" s="11" t="inlineStr"/>
      <c r="AK210" s="12" t="n">
        <v>-4</v>
      </c>
      <c r="AL210" s="12" t="n">
        <v>42</v>
      </c>
      <c r="AM210" s="13" t="inlineStr"/>
      <c r="AN210" s="13" t="inlineStr"/>
      <c r="AO210" s="13" t="n">
        <v>55.6</v>
      </c>
      <c r="AP210" s="13" t="n">
        <v>55.6</v>
      </c>
    </row>
    <row r="211">
      <c r="A211" s="5" t="inlineStr">
        <is>
          <t>엔피씨</t>
        </is>
      </c>
      <c r="B211" s="6" t="inlineStr">
        <is>
          <t>004250</t>
        </is>
      </c>
      <c r="C211" s="6" t="inlineStr">
        <is>
          <t>연결</t>
        </is>
      </c>
      <c r="D211" s="6" t="inlineStr">
        <is>
          <t>2026Q2</t>
        </is>
      </c>
      <c r="E211" s="6" t="inlineStr"/>
      <c r="F211" s="7" t="inlineStr"/>
      <c r="G211" s="8" t="inlineStr"/>
      <c r="H211" s="8" t="inlineStr"/>
      <c r="I211" s="9" t="n">
        <v>109805</v>
      </c>
      <c r="J211" s="10" t="n">
        <v>6200</v>
      </c>
      <c r="K211" s="10" t="n">
        <v>5161</v>
      </c>
      <c r="L211" s="7" t="n">
        <v>128084</v>
      </c>
      <c r="M211" s="8" t="n">
        <v>9078</v>
      </c>
      <c r="N211" s="8" t="n">
        <v>7023</v>
      </c>
      <c r="O211" s="9" t="n">
        <v>115529</v>
      </c>
      <c r="P211" s="10" t="n">
        <v>7175</v>
      </c>
      <c r="Q211" s="10" t="n">
        <v>84958</v>
      </c>
      <c r="R211" s="7" t="n">
        <v>104847</v>
      </c>
      <c r="S211" s="8" t="n">
        <v>-11958</v>
      </c>
      <c r="T211" s="8" t="n">
        <v>-21330</v>
      </c>
      <c r="U211" s="9" t="n">
        <v>99863</v>
      </c>
      <c r="V211" s="10" t="n">
        <v>3679</v>
      </c>
      <c r="W211" s="10" t="n">
        <v>2046</v>
      </c>
      <c r="X211" s="7" t="n">
        <v>112367</v>
      </c>
      <c r="Y211" s="8" t="n">
        <v>9794</v>
      </c>
      <c r="Z211" s="8" t="n">
        <v>6479</v>
      </c>
      <c r="AA211" s="9" t="n">
        <v>115608</v>
      </c>
      <c r="AB211" s="10" t="n">
        <v>7521</v>
      </c>
      <c r="AC211" s="10" t="n">
        <v>3936</v>
      </c>
      <c r="AD211" s="7" t="n">
        <v>122482</v>
      </c>
      <c r="AE211" s="8" t="n">
        <v>2580</v>
      </c>
      <c r="AF211" s="8" t="n">
        <v>478</v>
      </c>
      <c r="AG211" s="9" t="n">
        <v>110047</v>
      </c>
      <c r="AH211" s="10" t="n">
        <v>6226</v>
      </c>
      <c r="AI211" s="10" t="n">
        <v>4582</v>
      </c>
      <c r="AJ211" s="11" t="n">
        <v>115249</v>
      </c>
      <c r="AK211" s="12" t="n">
        <v>7989</v>
      </c>
      <c r="AL211" s="12" t="n">
        <v>6762</v>
      </c>
      <c r="AM211" s="13" t="n">
        <v>4.7</v>
      </c>
      <c r="AN211" s="13" t="n">
        <v>2.6</v>
      </c>
      <c r="AO211" s="13" t="n">
        <v>28.3</v>
      </c>
      <c r="AP211" s="13" t="n">
        <v>-18.4</v>
      </c>
    </row>
    <row r="212">
      <c r="A212" s="5" t="inlineStr">
        <is>
          <t>남성</t>
        </is>
      </c>
      <c r="B212" s="6" t="inlineStr">
        <is>
          <t>004270</t>
        </is>
      </c>
      <c r="C212" s="6" t="inlineStr">
        <is>
          <t>연결</t>
        </is>
      </c>
      <c r="D212" s="6" t="inlineStr">
        <is>
          <t>2026Q2</t>
        </is>
      </c>
      <c r="E212" s="6" t="inlineStr"/>
      <c r="F212" s="7" t="inlineStr"/>
      <c r="G212" s="8" t="inlineStr"/>
      <c r="H212" s="8" t="inlineStr"/>
      <c r="I212" s="9" t="n">
        <v>17461</v>
      </c>
      <c r="J212" s="10" t="n">
        <v>544</v>
      </c>
      <c r="K212" s="10" t="n">
        <v>283</v>
      </c>
      <c r="L212" s="7" t="n">
        <v>19714</v>
      </c>
      <c r="M212" s="8" t="n">
        <v>557</v>
      </c>
      <c r="N212" s="8" t="n">
        <v>-430</v>
      </c>
      <c r="O212" s="9" t="n">
        <v>18517</v>
      </c>
      <c r="P212" s="10" t="n">
        <v>-649</v>
      </c>
      <c r="Q212" s="10" t="n">
        <v>-3038</v>
      </c>
      <c r="R212" s="7" t="n">
        <v>18886</v>
      </c>
      <c r="S212" s="8" t="n">
        <v>-2262</v>
      </c>
      <c r="T212" s="8" t="n">
        <v>7602</v>
      </c>
      <c r="U212" s="9" t="n">
        <v>19892</v>
      </c>
      <c r="V212" s="10" t="n">
        <v>1582</v>
      </c>
      <c r="W212" s="10" t="n">
        <v>46</v>
      </c>
      <c r="X212" s="7" t="n">
        <v>18721</v>
      </c>
      <c r="Y212" s="8" t="n">
        <v>401</v>
      </c>
      <c r="Z212" s="8" t="n">
        <v>-1527</v>
      </c>
      <c r="AA212" s="9" t="n">
        <v>17775</v>
      </c>
      <c r="AB212" s="10" t="n">
        <v>-1235</v>
      </c>
      <c r="AC212" s="10" t="n">
        <v>-1646</v>
      </c>
      <c r="AD212" s="7" t="n">
        <v>21153</v>
      </c>
      <c r="AE212" s="8" t="n">
        <v>-560</v>
      </c>
      <c r="AF212" s="8" t="n">
        <v>-612</v>
      </c>
      <c r="AG212" s="9" t="n">
        <v>18490</v>
      </c>
      <c r="AH212" s="10" t="n">
        <v>1148</v>
      </c>
      <c r="AI212" s="10" t="n">
        <v>4376</v>
      </c>
      <c r="AJ212" s="11" t="n">
        <v>21617</v>
      </c>
      <c r="AK212" s="12" t="n">
        <v>3290</v>
      </c>
      <c r="AL212" s="12" t="n">
        <v>3084</v>
      </c>
      <c r="AM212" s="13" t="n">
        <v>16.9</v>
      </c>
      <c r="AN212" s="13" t="n">
        <v>15.5</v>
      </c>
      <c r="AO212" s="13" t="n">
        <v>186.6</v>
      </c>
      <c r="AP212" s="13" t="n">
        <v>720.4</v>
      </c>
    </row>
    <row r="213">
      <c r="A213" s="5" t="inlineStr">
        <is>
          <t>현대약품</t>
        </is>
      </c>
      <c r="B213" s="6" t="inlineStr">
        <is>
          <t>004310</t>
        </is>
      </c>
      <c r="C213" s="6" t="inlineStr">
        <is>
          <t>별도</t>
        </is>
      </c>
      <c r="D213" s="6" t="inlineStr">
        <is>
          <t>2026Q2</t>
        </is>
      </c>
      <c r="E213" s="6" t="inlineStr"/>
      <c r="F213" s="7" t="inlineStr"/>
      <c r="G213" s="8" t="inlineStr"/>
      <c r="H213" s="8" t="inlineStr"/>
      <c r="I213" s="9" t="n">
        <v>42772</v>
      </c>
      <c r="J213" s="10" t="n">
        <v>1163</v>
      </c>
      <c r="K213" s="10" t="n">
        <v>309</v>
      </c>
      <c r="L213" s="7" t="n">
        <v>43881</v>
      </c>
      <c r="M213" s="8" t="n">
        <v>1428</v>
      </c>
      <c r="N213" s="8" t="n">
        <v>1082</v>
      </c>
      <c r="O213" s="9" t="n">
        <v>46221</v>
      </c>
      <c r="P213" s="10" t="n">
        <v>-408</v>
      </c>
      <c r="Q213" s="10" t="n">
        <v>-487</v>
      </c>
      <c r="R213" s="7" t="n">
        <v>42861</v>
      </c>
      <c r="S213" s="8" t="n">
        <v>-2002</v>
      </c>
      <c r="T213" s="8" t="n">
        <v>-1479</v>
      </c>
      <c r="U213" s="9" t="n">
        <v>43087</v>
      </c>
      <c r="V213" s="10" t="n">
        <v>-415</v>
      </c>
      <c r="W213" s="10" t="n">
        <v>-985</v>
      </c>
      <c r="X213" s="7" t="n">
        <v>48414</v>
      </c>
      <c r="Y213" s="8" t="n">
        <v>1078</v>
      </c>
      <c r="Z213" s="8" t="n">
        <v>956</v>
      </c>
      <c r="AA213" s="9" t="n">
        <v>51566</v>
      </c>
      <c r="AB213" s="10" t="n">
        <v>3455</v>
      </c>
      <c r="AC213" s="10" t="n">
        <v>2544</v>
      </c>
      <c r="AD213" s="7" t="n">
        <v>48723</v>
      </c>
      <c r="AE213" s="8" t="n">
        <v>43</v>
      </c>
      <c r="AF213" s="8" t="n">
        <v>1</v>
      </c>
      <c r="AG213" s="9" t="n">
        <v>46454</v>
      </c>
      <c r="AH213" s="10" t="n">
        <v>2521</v>
      </c>
      <c r="AI213" s="10" t="n">
        <v>420</v>
      </c>
      <c r="AJ213" s="11" t="n">
        <v>55585</v>
      </c>
      <c r="AK213" s="12" t="n">
        <v>976</v>
      </c>
      <c r="AL213" s="12" t="n">
        <v>1212</v>
      </c>
      <c r="AM213" s="13" t="n">
        <v>19.7</v>
      </c>
      <c r="AN213" s="13" t="n">
        <v>14.8</v>
      </c>
      <c r="AO213" s="13" t="n">
        <v>-61.3</v>
      </c>
      <c r="AP213" s="13" t="n">
        <v>-9.5</v>
      </c>
    </row>
    <row r="214">
      <c r="A214" s="5" t="inlineStr">
        <is>
          <t>세방</t>
        </is>
      </c>
      <c r="B214" s="6" t="inlineStr">
        <is>
          <t>004360</t>
        </is>
      </c>
      <c r="C214" s="6" t="inlineStr">
        <is>
          <t>연결</t>
        </is>
      </c>
      <c r="D214" s="6" t="inlineStr">
        <is>
          <t>2026Q2</t>
        </is>
      </c>
      <c r="E214" s="6" t="inlineStr"/>
      <c r="F214" s="7" t="inlineStr"/>
      <c r="G214" s="8" t="inlineStr"/>
      <c r="H214" s="8" t="inlineStr"/>
      <c r="I214" s="9" t="n">
        <v>334767</v>
      </c>
      <c r="J214" s="10" t="n">
        <v>10772</v>
      </c>
      <c r="K214" s="10" t="n">
        <v>38671</v>
      </c>
      <c r="L214" s="7" t="n">
        <v>363822</v>
      </c>
      <c r="M214" s="8" t="n">
        <v>11557</v>
      </c>
      <c r="N214" s="8" t="n">
        <v>29939</v>
      </c>
      <c r="O214" s="9" t="n">
        <v>335053</v>
      </c>
      <c r="P214" s="10" t="n">
        <v>5355</v>
      </c>
      <c r="Q214" s="10" t="n">
        <v>15010</v>
      </c>
      <c r="R214" s="7" t="n">
        <v>339747</v>
      </c>
      <c r="S214" s="8" t="n">
        <v>-3188</v>
      </c>
      <c r="T214" s="8" t="n">
        <v>1851</v>
      </c>
      <c r="U214" s="9" t="n">
        <v>325443</v>
      </c>
      <c r="V214" s="10" t="n">
        <v>10665</v>
      </c>
      <c r="W214" s="10" t="n">
        <v>27993</v>
      </c>
      <c r="X214" s="7" t="n">
        <v>326619</v>
      </c>
      <c r="Y214" s="8" t="n">
        <v>11614</v>
      </c>
      <c r="Z214" s="8" t="n">
        <v>17410</v>
      </c>
      <c r="AA214" s="9" t="n">
        <v>315507</v>
      </c>
      <c r="AB214" s="10" t="n">
        <v>7332</v>
      </c>
      <c r="AC214" s="10" t="n">
        <v>11558</v>
      </c>
      <c r="AD214" s="7" t="n">
        <v>274218</v>
      </c>
      <c r="AE214" s="8" t="n">
        <v>-2310</v>
      </c>
      <c r="AF214" s="8" t="n">
        <v>8642</v>
      </c>
      <c r="AG214" s="9" t="n">
        <v>299759</v>
      </c>
      <c r="AH214" s="10" t="n">
        <v>6884</v>
      </c>
      <c r="AI214" s="10" t="n">
        <v>19382</v>
      </c>
      <c r="AJ214" s="11" t="n">
        <v>307315</v>
      </c>
      <c r="AK214" s="12" t="n">
        <v>8458</v>
      </c>
      <c r="AL214" s="12" t="n">
        <v>22428</v>
      </c>
      <c r="AM214" s="13" t="n">
        <v>2.5</v>
      </c>
      <c r="AN214" s="13" t="n">
        <v>-5.9</v>
      </c>
      <c r="AO214" s="13" t="n">
        <v>22.9</v>
      </c>
      <c r="AP214" s="13" t="n">
        <v>-27.2</v>
      </c>
    </row>
    <row r="215">
      <c r="A215" s="5" t="inlineStr">
        <is>
          <t>농심</t>
        </is>
      </c>
      <c r="B215" s="6" t="inlineStr">
        <is>
          <t>004370</t>
        </is>
      </c>
      <c r="C215" s="6" t="inlineStr">
        <is>
          <t>연결</t>
        </is>
      </c>
      <c r="D215" s="6" t="inlineStr">
        <is>
          <t>2026Q2</t>
        </is>
      </c>
      <c r="E215" s="6" t="inlineStr"/>
      <c r="F215" s="7" t="inlineStr"/>
      <c r="G215" s="8" t="inlineStr"/>
      <c r="H215" s="8" t="inlineStr"/>
      <c r="I215" s="9" t="n">
        <v>872535</v>
      </c>
      <c r="J215" s="10" t="n">
        <v>61382</v>
      </c>
      <c r="K215" s="10" t="n">
        <v>53140</v>
      </c>
      <c r="L215" s="7" t="n">
        <v>860699</v>
      </c>
      <c r="M215" s="8" t="n">
        <v>43678</v>
      </c>
      <c r="N215" s="8" t="n">
        <v>42820</v>
      </c>
      <c r="O215" s="9" t="n">
        <v>850391</v>
      </c>
      <c r="P215" s="10" t="n">
        <v>37602</v>
      </c>
      <c r="Q215" s="10" t="n">
        <v>36935</v>
      </c>
      <c r="R215" s="7" t="n">
        <v>855106</v>
      </c>
      <c r="S215" s="8" t="n">
        <v>20412</v>
      </c>
      <c r="T215" s="8" t="n">
        <v>24735</v>
      </c>
      <c r="U215" s="9" t="n">
        <v>893036</v>
      </c>
      <c r="V215" s="10" t="n">
        <v>56052</v>
      </c>
      <c r="W215" s="10" t="n">
        <v>52159</v>
      </c>
      <c r="X215" s="7" t="n">
        <v>867725</v>
      </c>
      <c r="Y215" s="8" t="n">
        <v>40152</v>
      </c>
      <c r="Z215" s="8" t="n">
        <v>36413</v>
      </c>
      <c r="AA215" s="9" t="n">
        <v>871156</v>
      </c>
      <c r="AB215" s="10" t="n">
        <v>54376</v>
      </c>
      <c r="AC215" s="10" t="n">
        <v>50614</v>
      </c>
      <c r="AD215" s="7" t="n">
        <v>882399</v>
      </c>
      <c r="AE215" s="8" t="n">
        <v>33353</v>
      </c>
      <c r="AF215" s="8" t="n">
        <v>30868</v>
      </c>
      <c r="AG215" s="9" t="n">
        <v>934029</v>
      </c>
      <c r="AH215" s="10" t="n">
        <v>67425</v>
      </c>
      <c r="AI215" s="10" t="n">
        <v>60676</v>
      </c>
      <c r="AJ215" s="11" t="n">
        <v>956063</v>
      </c>
      <c r="AK215" s="12" t="n">
        <v>59252</v>
      </c>
      <c r="AL215" s="12" t="n">
        <v>54666</v>
      </c>
      <c r="AM215" s="13" t="n">
        <v>2.4</v>
      </c>
      <c r="AN215" s="13" t="n">
        <v>10.2</v>
      </c>
      <c r="AO215" s="13" t="n">
        <v>-12.1</v>
      </c>
      <c r="AP215" s="13" t="n">
        <v>47.6</v>
      </c>
    </row>
    <row r="216">
      <c r="A216" s="5" t="inlineStr">
        <is>
          <t>삼익THK</t>
        </is>
      </c>
      <c r="B216" s="6" t="inlineStr">
        <is>
          <t>004380</t>
        </is>
      </c>
      <c r="C216" s="6" t="inlineStr">
        <is>
          <t>연결</t>
        </is>
      </c>
      <c r="D216" s="6" t="inlineStr">
        <is>
          <t>2026Q2</t>
        </is>
      </c>
      <c r="E216" s="6" t="inlineStr"/>
      <c r="F216" s="7" t="inlineStr"/>
      <c r="G216" s="8" t="inlineStr"/>
      <c r="H216" s="8" t="inlineStr"/>
      <c r="I216" s="9" t="n">
        <v>82497</v>
      </c>
      <c r="J216" s="10" t="n">
        <v>1367</v>
      </c>
      <c r="K216" s="10" t="n">
        <v>144</v>
      </c>
      <c r="L216" s="7" t="n">
        <v>72450</v>
      </c>
      <c r="M216" s="8" t="n">
        <v>1389</v>
      </c>
      <c r="N216" s="8" t="n">
        <v>585</v>
      </c>
      <c r="O216" s="9" t="n">
        <v>79968</v>
      </c>
      <c r="P216" s="10" t="n">
        <v>385</v>
      </c>
      <c r="Q216" s="10" t="n">
        <v>2031</v>
      </c>
      <c r="R216" s="7" t="n">
        <v>69511</v>
      </c>
      <c r="S216" s="8" t="n">
        <v>-2576</v>
      </c>
      <c r="T216" s="8" t="n">
        <v>-1227</v>
      </c>
      <c r="U216" s="9" t="n">
        <v>59373</v>
      </c>
      <c r="V216" s="10" t="n">
        <v>-6216</v>
      </c>
      <c r="W216" s="10" t="n">
        <v>-6830</v>
      </c>
      <c r="X216" s="7" t="n">
        <v>52865</v>
      </c>
      <c r="Y216" s="8" t="n">
        <v>-6852</v>
      </c>
      <c r="Z216" s="8" t="n">
        <v>-27053</v>
      </c>
      <c r="AA216" s="9" t="n">
        <v>53576</v>
      </c>
      <c r="AB216" s="10" t="n">
        <v>-10989</v>
      </c>
      <c r="AC216" s="10" t="n">
        <v>-7343</v>
      </c>
      <c r="AD216" s="7" t="n">
        <v>56361</v>
      </c>
      <c r="AE216" s="8" t="n">
        <v>-11403</v>
      </c>
      <c r="AF216" s="8" t="n">
        <v>-3771</v>
      </c>
      <c r="AG216" s="9" t="n">
        <v>65424</v>
      </c>
      <c r="AH216" s="10" t="n">
        <v>-3812</v>
      </c>
      <c r="AI216" s="10" t="n">
        <v>-4187</v>
      </c>
      <c r="AJ216" s="11" t="n">
        <v>77684</v>
      </c>
      <c r="AK216" s="12" t="n">
        <v>1692</v>
      </c>
      <c r="AL216" s="12" t="n">
        <v>-18</v>
      </c>
      <c r="AM216" s="13" t="n">
        <v>18.7</v>
      </c>
      <c r="AN216" s="13" t="n">
        <v>46.9</v>
      </c>
      <c r="AO216" s="13" t="n">
        <v>144.4</v>
      </c>
      <c r="AP216" s="13" t="n">
        <v>124.7</v>
      </c>
    </row>
    <row r="217">
      <c r="A217" s="5" t="inlineStr">
        <is>
          <t>서울식품공업</t>
        </is>
      </c>
      <c r="B217" s="6" t="inlineStr">
        <is>
          <t>004410</t>
        </is>
      </c>
      <c r="C217" s="6" t="inlineStr">
        <is>
          <t>별도</t>
        </is>
      </c>
      <c r="D217" s="6" t="inlineStr">
        <is>
          <t>2026Q2</t>
        </is>
      </c>
      <c r="E217" s="6" t="inlineStr"/>
      <c r="F217" s="7" t="inlineStr"/>
      <c r="G217" s="8" t="inlineStr"/>
      <c r="H217" s="8" t="inlineStr"/>
      <c r="I217" s="9" t="n">
        <v>14969</v>
      </c>
      <c r="J217" s="10" t="n">
        <v>-376</v>
      </c>
      <c r="K217" s="10" t="n">
        <v>-571</v>
      </c>
      <c r="L217" s="7" t="n">
        <v>14944</v>
      </c>
      <c r="M217" s="8" t="n">
        <v>-306</v>
      </c>
      <c r="N217" s="8" t="n">
        <v>-520</v>
      </c>
      <c r="O217" s="9" t="n">
        <v>13655</v>
      </c>
      <c r="P217" s="10" t="n">
        <v>-622</v>
      </c>
      <c r="Q217" s="10" t="n">
        <v>-816</v>
      </c>
      <c r="R217" s="7" t="n">
        <v>15021</v>
      </c>
      <c r="S217" s="8" t="n">
        <v>-928</v>
      </c>
      <c r="T217" s="8" t="n">
        <v>-1080</v>
      </c>
      <c r="U217" s="9" t="n">
        <v>16310</v>
      </c>
      <c r="V217" s="10" t="n">
        <v>-477</v>
      </c>
      <c r="W217" s="10" t="n">
        <v>-805</v>
      </c>
      <c r="X217" s="7" t="n">
        <v>18312</v>
      </c>
      <c r="Y217" s="8" t="n">
        <v>-5</v>
      </c>
      <c r="Z217" s="8" t="n">
        <v>-333</v>
      </c>
      <c r="AA217" s="9" t="n">
        <v>17144</v>
      </c>
      <c r="AB217" s="10" t="n">
        <v>8</v>
      </c>
      <c r="AC217" s="10" t="n">
        <v>-422</v>
      </c>
      <c r="AD217" s="7" t="n">
        <v>16837</v>
      </c>
      <c r="AE217" s="8" t="n">
        <v>14</v>
      </c>
      <c r="AF217" s="8" t="n">
        <v>-43</v>
      </c>
      <c r="AG217" s="9" t="n">
        <v>15049</v>
      </c>
      <c r="AH217" s="10" t="n">
        <v>-122</v>
      </c>
      <c r="AI217" s="10" t="n">
        <v>-485</v>
      </c>
      <c r="AJ217" s="11" t="n">
        <v>16843</v>
      </c>
      <c r="AK217" s="12" t="n">
        <v>224</v>
      </c>
      <c r="AL217" s="12" t="n">
        <v>63</v>
      </c>
      <c r="AM217" s="13" t="n">
        <v>11.9</v>
      </c>
      <c r="AN217" s="13" t="n">
        <v>-8</v>
      </c>
      <c r="AO217" s="13" t="n">
        <v>283.6</v>
      </c>
      <c r="AP217" s="13" t="n">
        <v>4580</v>
      </c>
    </row>
    <row r="218">
      <c r="A218" s="5" t="inlineStr">
        <is>
          <t>송원산업</t>
        </is>
      </c>
      <c r="B218" s="6" t="inlineStr">
        <is>
          <t>004430</t>
        </is>
      </c>
      <c r="C218" s="6" t="inlineStr">
        <is>
          <t>연결</t>
        </is>
      </c>
      <c r="D218" s="6" t="inlineStr">
        <is>
          <t>2026Q2</t>
        </is>
      </c>
      <c r="E218" s="6" t="inlineStr">
        <is>
          <t>2023Q4</t>
        </is>
      </c>
      <c r="F218" s="14" t="n">
        <v>245709</v>
      </c>
      <c r="G218" s="15" t="n">
        <v>3547</v>
      </c>
      <c r="H218" s="15" t="n">
        <v>2893</v>
      </c>
      <c r="I218" s="9" t="n">
        <v>255752</v>
      </c>
      <c r="J218" s="10" t="n">
        <v>12130</v>
      </c>
      <c r="K218" s="10" t="n">
        <v>6662</v>
      </c>
      <c r="L218" s="7" t="n">
        <v>273521</v>
      </c>
      <c r="M218" s="8" t="n">
        <v>16417</v>
      </c>
      <c r="N218" s="8" t="n">
        <v>10575</v>
      </c>
      <c r="O218" s="9" t="n">
        <v>285779</v>
      </c>
      <c r="P218" s="10" t="n">
        <v>22163</v>
      </c>
      <c r="Q218" s="10" t="n">
        <v>11492</v>
      </c>
      <c r="R218" s="7" t="n">
        <v>255148</v>
      </c>
      <c r="S218" s="8" t="n">
        <v>12104</v>
      </c>
      <c r="T218" s="8" t="n">
        <v>16359</v>
      </c>
      <c r="U218" s="9" t="n">
        <v>275753</v>
      </c>
      <c r="V218" s="10" t="n">
        <v>10937</v>
      </c>
      <c r="W218" s="10" t="n">
        <v>4857</v>
      </c>
      <c r="X218" s="7" t="n">
        <v>265408</v>
      </c>
      <c r="Y218" s="8" t="n">
        <v>8592</v>
      </c>
      <c r="Z218" s="8" t="n">
        <v>-1481</v>
      </c>
      <c r="AA218" s="9" t="n">
        <v>258616</v>
      </c>
      <c r="AB218" s="10" t="n">
        <v>5391</v>
      </c>
      <c r="AC218" s="10" t="n">
        <v>1697</v>
      </c>
      <c r="AD218" s="7" t="n">
        <v>239385</v>
      </c>
      <c r="AE218" s="8" t="n">
        <v>-3075</v>
      </c>
      <c r="AF218" s="8" t="n">
        <v>-2736</v>
      </c>
      <c r="AG218" s="9" t="n">
        <v>269204</v>
      </c>
      <c r="AH218" s="10" t="n">
        <v>26558</v>
      </c>
      <c r="AI218" s="10" t="n">
        <v>18091</v>
      </c>
      <c r="AJ218" s="11" t="n">
        <v>328509</v>
      </c>
      <c r="AK218" s="12" t="n">
        <v>39811</v>
      </c>
      <c r="AL218" s="12" t="n">
        <v>29619</v>
      </c>
      <c r="AM218" s="13" t="n">
        <v>22</v>
      </c>
      <c r="AN218" s="13" t="n">
        <v>23.8</v>
      </c>
      <c r="AO218" s="13" t="n">
        <v>49.9</v>
      </c>
      <c r="AP218" s="13" t="n">
        <v>363.3</v>
      </c>
    </row>
    <row r="219">
      <c r="A219" s="5" t="inlineStr">
        <is>
          <t>삼일씨엔에스</t>
        </is>
      </c>
      <c r="B219" s="6" t="inlineStr">
        <is>
          <t>004440</t>
        </is>
      </c>
      <c r="C219" s="6" t="inlineStr">
        <is>
          <t>별도</t>
        </is>
      </c>
      <c r="D219" s="6" t="inlineStr">
        <is>
          <t>2026Q2</t>
        </is>
      </c>
      <c r="E219" s="6" t="inlineStr"/>
      <c r="F219" s="7" t="inlineStr"/>
      <c r="G219" s="8" t="inlineStr"/>
      <c r="H219" s="8" t="inlineStr"/>
      <c r="I219" s="9" t="n">
        <v>50681</v>
      </c>
      <c r="J219" s="10" t="n">
        <v>1229</v>
      </c>
      <c r="K219" s="10" t="n">
        <v>405</v>
      </c>
      <c r="L219" s="7" t="n">
        <v>57509</v>
      </c>
      <c r="M219" s="8" t="n">
        <v>1233</v>
      </c>
      <c r="N219" s="8" t="n">
        <v>-237</v>
      </c>
      <c r="O219" s="9" t="n">
        <v>47856</v>
      </c>
      <c r="P219" s="10" t="n">
        <v>-2274</v>
      </c>
      <c r="Q219" s="10" t="n">
        <v>-1993</v>
      </c>
      <c r="R219" s="7" t="n">
        <v>65250</v>
      </c>
      <c r="S219" s="8" t="n">
        <v>-1863</v>
      </c>
      <c r="T219" s="8" t="n">
        <v>-189</v>
      </c>
      <c r="U219" s="9" t="n">
        <v>57427</v>
      </c>
      <c r="V219" s="10" t="n">
        <v>-1294</v>
      </c>
      <c r="W219" s="10" t="n">
        <v>-1434</v>
      </c>
      <c r="X219" s="7" t="n">
        <v>58012</v>
      </c>
      <c r="Y219" s="8" t="n">
        <v>2331</v>
      </c>
      <c r="Z219" s="8" t="n">
        <v>1225</v>
      </c>
      <c r="AA219" s="9" t="n">
        <v>48356</v>
      </c>
      <c r="AB219" s="10" t="n">
        <v>539</v>
      </c>
      <c r="AC219" s="10" t="n">
        <v>-233</v>
      </c>
      <c r="AD219" s="7" t="n">
        <v>59334</v>
      </c>
      <c r="AE219" s="8" t="n">
        <v>3420</v>
      </c>
      <c r="AF219" s="8" t="n">
        <v>1936</v>
      </c>
      <c r="AG219" s="9" t="n">
        <v>39953</v>
      </c>
      <c r="AH219" s="10" t="n">
        <v>1306</v>
      </c>
      <c r="AI219" s="10" t="n">
        <v>541</v>
      </c>
      <c r="AJ219" s="11" t="n">
        <v>79596</v>
      </c>
      <c r="AK219" s="12" t="n">
        <v>2471</v>
      </c>
      <c r="AL219" s="12" t="n">
        <v>1782</v>
      </c>
      <c r="AM219" s="13" t="n">
        <v>99.2</v>
      </c>
      <c r="AN219" s="13" t="n">
        <v>37.2</v>
      </c>
      <c r="AO219" s="13" t="n">
        <v>89.2</v>
      </c>
      <c r="AP219" s="13" t="n">
        <v>6</v>
      </c>
    </row>
    <row r="220">
      <c r="A220" s="5" t="inlineStr">
        <is>
          <t>삼화왕관</t>
        </is>
      </c>
      <c r="B220" s="6" t="inlineStr">
        <is>
          <t>004450</t>
        </is>
      </c>
      <c r="C220" s="6" t="inlineStr">
        <is>
          <t>연결</t>
        </is>
      </c>
      <c r="D220" s="6" t="inlineStr">
        <is>
          <t>2026Q2</t>
        </is>
      </c>
      <c r="E220" s="6" t="inlineStr"/>
      <c r="F220" s="7" t="inlineStr"/>
      <c r="G220" s="8" t="inlineStr"/>
      <c r="H220" s="8" t="inlineStr"/>
      <c r="I220" s="9" t="n">
        <v>37743</v>
      </c>
      <c r="J220" s="10" t="n">
        <v>2296</v>
      </c>
      <c r="K220" s="10" t="n">
        <v>2167</v>
      </c>
      <c r="L220" s="7" t="n">
        <v>45625</v>
      </c>
      <c r="M220" s="8" t="n">
        <v>4400</v>
      </c>
      <c r="N220" s="8" t="n">
        <v>3387</v>
      </c>
      <c r="O220" s="9" t="n">
        <v>43575</v>
      </c>
      <c r="P220" s="10" t="n">
        <v>3177</v>
      </c>
      <c r="Q220" s="10" t="n">
        <v>1893</v>
      </c>
      <c r="R220" s="7" t="n">
        <v>40199</v>
      </c>
      <c r="S220" s="8" t="n">
        <v>755</v>
      </c>
      <c r="T220" s="8" t="n">
        <v>570</v>
      </c>
      <c r="U220" s="9" t="n">
        <v>41801</v>
      </c>
      <c r="V220" s="10" t="n">
        <v>1647</v>
      </c>
      <c r="W220" s="10" t="n">
        <v>1954</v>
      </c>
      <c r="X220" s="7" t="n">
        <v>43008</v>
      </c>
      <c r="Y220" s="8" t="n">
        <v>2066</v>
      </c>
      <c r="Z220" s="8" t="n">
        <v>897</v>
      </c>
      <c r="AA220" s="9" t="n">
        <v>40896</v>
      </c>
      <c r="AB220" s="10" t="n">
        <v>1710</v>
      </c>
      <c r="AC220" s="10" t="n">
        <v>1023</v>
      </c>
      <c r="AD220" s="7" t="n">
        <v>37193</v>
      </c>
      <c r="AE220" s="8" t="n">
        <v>1334</v>
      </c>
      <c r="AF220" s="8" t="n">
        <v>415</v>
      </c>
      <c r="AG220" s="9" t="n">
        <v>39334</v>
      </c>
      <c r="AH220" s="10" t="n">
        <v>1769</v>
      </c>
      <c r="AI220" s="10" t="n">
        <v>2746</v>
      </c>
      <c r="AJ220" s="11" t="n">
        <v>48382</v>
      </c>
      <c r="AK220" s="12" t="n">
        <v>1077</v>
      </c>
      <c r="AL220" s="12" t="n">
        <v>778</v>
      </c>
      <c r="AM220" s="13" t="n">
        <v>23</v>
      </c>
      <c r="AN220" s="13" t="n">
        <v>12.5</v>
      </c>
      <c r="AO220" s="13" t="n">
        <v>-39.1</v>
      </c>
      <c r="AP220" s="13" t="n">
        <v>-47.9</v>
      </c>
    </row>
    <row r="221">
      <c r="A221" s="5" t="inlineStr">
        <is>
          <t>세방전지</t>
        </is>
      </c>
      <c r="B221" s="6" t="inlineStr">
        <is>
          <t>004490</t>
        </is>
      </c>
      <c r="C221" s="6" t="inlineStr">
        <is>
          <t>연결</t>
        </is>
      </c>
      <c r="D221" s="6" t="inlineStr">
        <is>
          <t>2026Q2</t>
        </is>
      </c>
      <c r="E221" s="6" t="inlineStr"/>
      <c r="F221" s="7" t="inlineStr"/>
      <c r="G221" s="8" t="inlineStr"/>
      <c r="H221" s="8" t="inlineStr"/>
      <c r="I221" s="9" t="n">
        <v>466620</v>
      </c>
      <c r="J221" s="10" t="n">
        <v>46065</v>
      </c>
      <c r="K221" s="10" t="n">
        <v>43017</v>
      </c>
      <c r="L221" s="7" t="n">
        <v>519591</v>
      </c>
      <c r="M221" s="8" t="n">
        <v>59017</v>
      </c>
      <c r="N221" s="8" t="n">
        <v>56617</v>
      </c>
      <c r="O221" s="9" t="n">
        <v>505185</v>
      </c>
      <c r="P221" s="10" t="n">
        <v>35112</v>
      </c>
      <c r="Q221" s="10" t="n">
        <v>40953</v>
      </c>
      <c r="R221" s="7" t="n">
        <v>568147</v>
      </c>
      <c r="S221" s="8" t="n">
        <v>39474</v>
      </c>
      <c r="T221" s="8" t="n">
        <v>31734</v>
      </c>
      <c r="U221" s="9" t="n">
        <v>527133</v>
      </c>
      <c r="V221" s="10" t="n">
        <v>50568</v>
      </c>
      <c r="W221" s="10" t="n">
        <v>48467</v>
      </c>
      <c r="X221" s="7" t="n">
        <v>551615</v>
      </c>
      <c r="Y221" s="8" t="n">
        <v>36194</v>
      </c>
      <c r="Z221" s="8" t="n">
        <v>23444</v>
      </c>
      <c r="AA221" s="9" t="n">
        <v>527885</v>
      </c>
      <c r="AB221" s="10" t="n">
        <v>26782</v>
      </c>
      <c r="AC221" s="10" t="n">
        <v>29714</v>
      </c>
      <c r="AD221" s="7" t="n">
        <v>535435</v>
      </c>
      <c r="AE221" s="8" t="n">
        <v>40220</v>
      </c>
      <c r="AF221" s="8" t="n">
        <v>39805</v>
      </c>
      <c r="AG221" s="9" t="n">
        <v>525449</v>
      </c>
      <c r="AH221" s="10" t="n">
        <v>33254</v>
      </c>
      <c r="AI221" s="10" t="n">
        <v>36332</v>
      </c>
      <c r="AJ221" s="11" t="n">
        <v>530187</v>
      </c>
      <c r="AK221" s="12" t="n">
        <v>35323</v>
      </c>
      <c r="AL221" s="12" t="n">
        <v>36267</v>
      </c>
      <c r="AM221" s="13" t="n">
        <v>0.9</v>
      </c>
      <c r="AN221" s="13" t="n">
        <v>-3.9</v>
      </c>
      <c r="AO221" s="13" t="n">
        <v>6.2</v>
      </c>
      <c r="AP221" s="13" t="n">
        <v>-2.4</v>
      </c>
    </row>
    <row r="222">
      <c r="A222" s="5" t="inlineStr">
        <is>
          <t>삼성스팩10호</t>
        </is>
      </c>
      <c r="B222" s="6" t="inlineStr">
        <is>
          <t>0044K0</t>
        </is>
      </c>
      <c r="C222" s="6" t="inlineStr">
        <is>
          <t>별도</t>
        </is>
      </c>
      <c r="D222" s="6" t="inlineStr">
        <is>
          <t>2026Q2</t>
        </is>
      </c>
      <c r="E222" s="6" t="inlineStr"/>
      <c r="F222" s="7" t="inlineStr"/>
      <c r="G222" s="8" t="inlineStr"/>
      <c r="H222" s="8" t="inlineStr"/>
      <c r="I222" s="9" t="inlineStr"/>
      <c r="J222" s="10" t="inlineStr"/>
      <c r="K222" s="10" t="inlineStr"/>
      <c r="L222" s="7" t="inlineStr"/>
      <c r="M222" s="8" t="inlineStr"/>
      <c r="N222" s="8" t="inlineStr"/>
      <c r="O222" s="9" t="inlineStr"/>
      <c r="P222" s="10" t="inlineStr"/>
      <c r="Q222" s="10" t="inlineStr"/>
      <c r="R222" s="7" t="inlineStr"/>
      <c r="S222" s="8" t="inlineStr"/>
      <c r="T222" s="8" t="inlineStr"/>
      <c r="U222" s="9" t="inlineStr"/>
      <c r="V222" s="10" t="inlineStr"/>
      <c r="W222" s="10" t="inlineStr"/>
      <c r="X222" s="7" t="inlineStr"/>
      <c r="Y222" s="8" t="n">
        <v>-6</v>
      </c>
      <c r="Z222" s="8" t="n">
        <v>-20</v>
      </c>
      <c r="AA222" s="9" t="inlineStr"/>
      <c r="AB222" s="10" t="n">
        <v>-222</v>
      </c>
      <c r="AC222" s="10" t="n">
        <v>-240</v>
      </c>
      <c r="AD222" s="7" t="inlineStr"/>
      <c r="AE222" s="8" t="inlineStr"/>
      <c r="AF222" s="8" t="inlineStr"/>
      <c r="AG222" s="9" t="inlineStr"/>
      <c r="AH222" s="10" t="n">
        <v>-28</v>
      </c>
      <c r="AI222" s="10" t="n">
        <v>37</v>
      </c>
      <c r="AJ222" s="11" t="inlineStr"/>
      <c r="AK222" s="12" t="n">
        <v>-3</v>
      </c>
      <c r="AL222" s="12" t="n">
        <v>35</v>
      </c>
      <c r="AM222" s="13" t="inlineStr"/>
      <c r="AN222" s="13" t="inlineStr"/>
      <c r="AO222" s="13" t="n">
        <v>89.3</v>
      </c>
      <c r="AP222" s="13" t="n">
        <v>50</v>
      </c>
    </row>
    <row r="223">
      <c r="A223" s="5" t="inlineStr">
        <is>
          <t>깨끗한나라</t>
        </is>
      </c>
      <c r="B223" s="6" t="inlineStr">
        <is>
          <t>004540</t>
        </is>
      </c>
      <c r="C223" s="6" t="inlineStr">
        <is>
          <t>연결</t>
        </is>
      </c>
      <c r="D223" s="6" t="inlineStr">
        <is>
          <t>2026Q2</t>
        </is>
      </c>
      <c r="E223" s="6" t="inlineStr"/>
      <c r="F223" s="7" t="inlineStr"/>
      <c r="G223" s="8" t="inlineStr"/>
      <c r="H223" s="8" t="inlineStr"/>
      <c r="I223" s="9" t="n">
        <v>132779</v>
      </c>
      <c r="J223" s="10" t="n">
        <v>208</v>
      </c>
      <c r="K223" s="10" t="n">
        <v>-3059</v>
      </c>
      <c r="L223" s="7" t="n">
        <v>129688</v>
      </c>
      <c r="M223" s="8" t="n">
        <v>1087</v>
      </c>
      <c r="N223" s="8" t="n">
        <v>-2844</v>
      </c>
      <c r="O223" s="9" t="n">
        <v>139433</v>
      </c>
      <c r="P223" s="10" t="n">
        <v>-998</v>
      </c>
      <c r="Q223" s="10" t="n">
        <v>-13502</v>
      </c>
      <c r="R223" s="7" t="n">
        <v>135150</v>
      </c>
      <c r="S223" s="8" t="n">
        <v>-1199</v>
      </c>
      <c r="T223" s="8" t="n">
        <v>-2738</v>
      </c>
      <c r="U223" s="9" t="n">
        <v>130759</v>
      </c>
      <c r="V223" s="10" t="n">
        <v>-3863</v>
      </c>
      <c r="W223" s="10" t="n">
        <v>-8316</v>
      </c>
      <c r="X223" s="7" t="n">
        <v>123537</v>
      </c>
      <c r="Y223" s="8" t="n">
        <v>-6186</v>
      </c>
      <c r="Z223" s="8" t="n">
        <v>-11310</v>
      </c>
      <c r="AA223" s="9" t="n">
        <v>131350</v>
      </c>
      <c r="AB223" s="10" t="n">
        <v>-3251</v>
      </c>
      <c r="AC223" s="10" t="n">
        <v>-7516</v>
      </c>
      <c r="AD223" s="7" t="n">
        <v>122555</v>
      </c>
      <c r="AE223" s="8" t="n">
        <v>-9338</v>
      </c>
      <c r="AF223" s="8" t="n">
        <v>-20371</v>
      </c>
      <c r="AG223" s="9" t="n">
        <v>125054</v>
      </c>
      <c r="AH223" s="10" t="n">
        <v>-3971</v>
      </c>
      <c r="AI223" s="10" t="n">
        <v>-7151</v>
      </c>
      <c r="AJ223" s="11" t="n">
        <v>136309</v>
      </c>
      <c r="AK223" s="12" t="n">
        <v>620</v>
      </c>
      <c r="AL223" s="12" t="n">
        <v>-2993</v>
      </c>
      <c r="AM223" s="13" t="n">
        <v>9</v>
      </c>
      <c r="AN223" s="13" t="n">
        <v>10.3</v>
      </c>
      <c r="AO223" s="13" t="n">
        <v>115.6</v>
      </c>
      <c r="AP223" s="13" t="n">
        <v>110</v>
      </c>
    </row>
    <row r="224">
      <c r="A224" s="5" t="inlineStr">
        <is>
          <t>현대비앤지스틸</t>
        </is>
      </c>
      <c r="B224" s="6" t="inlineStr">
        <is>
          <t>004560</t>
        </is>
      </c>
      <c r="C224" s="6" t="inlineStr">
        <is>
          <t>연결</t>
        </is>
      </c>
      <c r="D224" s="6" t="inlineStr">
        <is>
          <t>2026Q2</t>
        </is>
      </c>
      <c r="E224" s="6" t="inlineStr"/>
      <c r="F224" s="7" t="inlineStr"/>
      <c r="G224" s="8" t="inlineStr"/>
      <c r="H224" s="8" t="inlineStr"/>
      <c r="I224" s="9" t="n">
        <v>191604</v>
      </c>
      <c r="J224" s="10" t="n">
        <v>-348</v>
      </c>
      <c r="K224" s="10" t="n">
        <v>1986</v>
      </c>
      <c r="L224" s="7" t="n">
        <v>231313</v>
      </c>
      <c r="M224" s="8" t="n">
        <v>19019</v>
      </c>
      <c r="N224" s="8" t="n">
        <v>14480</v>
      </c>
      <c r="O224" s="9" t="n">
        <v>188355</v>
      </c>
      <c r="P224" s="10" t="n">
        <v>6814</v>
      </c>
      <c r="Q224" s="10" t="n">
        <v>3909</v>
      </c>
      <c r="R224" s="7" t="n">
        <v>184104</v>
      </c>
      <c r="S224" s="8" t="n">
        <v>5142</v>
      </c>
      <c r="T224" s="8" t="n">
        <v>4595</v>
      </c>
      <c r="U224" s="9" t="n">
        <v>187469</v>
      </c>
      <c r="V224" s="10" t="n">
        <v>2475</v>
      </c>
      <c r="W224" s="10" t="n">
        <v>1020</v>
      </c>
      <c r="X224" s="7" t="n">
        <v>188493</v>
      </c>
      <c r="Y224" s="8" t="n">
        <v>9807</v>
      </c>
      <c r="Z224" s="8" t="n">
        <v>2636</v>
      </c>
      <c r="AA224" s="9" t="n">
        <v>193111</v>
      </c>
      <c r="AB224" s="10" t="n">
        <v>7792</v>
      </c>
      <c r="AC224" s="10" t="n">
        <v>4050</v>
      </c>
      <c r="AD224" s="7" t="n">
        <v>172177</v>
      </c>
      <c r="AE224" s="8" t="n">
        <v>5819</v>
      </c>
      <c r="AF224" s="8" t="n">
        <v>7118</v>
      </c>
      <c r="AG224" s="9" t="n">
        <v>199736</v>
      </c>
      <c r="AH224" s="10" t="n">
        <v>8386</v>
      </c>
      <c r="AI224" s="10" t="n">
        <v>4353</v>
      </c>
      <c r="AJ224" s="11" t="n">
        <v>202787</v>
      </c>
      <c r="AK224" s="12" t="n">
        <v>9532</v>
      </c>
      <c r="AL224" s="12" t="n">
        <v>5300</v>
      </c>
      <c r="AM224" s="13" t="n">
        <v>1.5</v>
      </c>
      <c r="AN224" s="13" t="n">
        <v>7.6</v>
      </c>
      <c r="AO224" s="13" t="n">
        <v>13.7</v>
      </c>
      <c r="AP224" s="13" t="n">
        <v>-2.8</v>
      </c>
    </row>
    <row r="225">
      <c r="A225" s="5" t="inlineStr">
        <is>
          <t>한국가구</t>
        </is>
      </c>
      <c r="B225" s="6" t="inlineStr">
        <is>
          <t>004590</t>
        </is>
      </c>
      <c r="C225" s="6" t="inlineStr">
        <is>
          <t>연결</t>
        </is>
      </c>
      <c r="D225" s="6" t="inlineStr">
        <is>
          <t>2026Q2</t>
        </is>
      </c>
      <c r="E225" s="6" t="inlineStr"/>
      <c r="F225" s="7" t="inlineStr"/>
      <c r="G225" s="8" t="inlineStr"/>
      <c r="H225" s="8" t="inlineStr"/>
      <c r="I225" s="9" t="n">
        <v>27046</v>
      </c>
      <c r="J225" s="10" t="n">
        <v>2562</v>
      </c>
      <c r="K225" s="10" t="n">
        <v>2183</v>
      </c>
      <c r="L225" s="7" t="n">
        <v>29696</v>
      </c>
      <c r="M225" s="8" t="n">
        <v>3628</v>
      </c>
      <c r="N225" s="8" t="n">
        <v>2736</v>
      </c>
      <c r="O225" s="9" t="n">
        <v>33949</v>
      </c>
      <c r="P225" s="10" t="n">
        <v>5725</v>
      </c>
      <c r="Q225" s="10" t="n">
        <v>4593</v>
      </c>
      <c r="R225" s="7" t="n">
        <v>38028</v>
      </c>
      <c r="S225" s="8" t="n">
        <v>5908</v>
      </c>
      <c r="T225" s="8" t="n">
        <v>6474</v>
      </c>
      <c r="U225" s="9" t="n">
        <v>34690</v>
      </c>
      <c r="V225" s="10" t="n">
        <v>5829</v>
      </c>
      <c r="W225" s="10" t="n">
        <v>4621</v>
      </c>
      <c r="X225" s="7" t="n">
        <v>33854</v>
      </c>
      <c r="Y225" s="8" t="n">
        <v>4077</v>
      </c>
      <c r="Z225" s="8" t="n">
        <v>3196</v>
      </c>
      <c r="AA225" s="9" t="n">
        <v>32646</v>
      </c>
      <c r="AB225" s="10" t="n">
        <v>3644</v>
      </c>
      <c r="AC225" s="10" t="n">
        <v>2699</v>
      </c>
      <c r="AD225" s="7" t="n">
        <v>40427</v>
      </c>
      <c r="AE225" s="8" t="n">
        <v>3985</v>
      </c>
      <c r="AF225" s="8" t="n">
        <v>3749</v>
      </c>
      <c r="AG225" s="9" t="n">
        <v>44275</v>
      </c>
      <c r="AH225" s="10" t="n">
        <v>6042</v>
      </c>
      <c r="AI225" s="10" t="n">
        <v>4699</v>
      </c>
      <c r="AJ225" s="11" t="n">
        <v>37041</v>
      </c>
      <c r="AK225" s="12" t="n">
        <v>3669</v>
      </c>
      <c r="AL225" s="12" t="n">
        <v>2806</v>
      </c>
      <c r="AM225" s="13" t="n">
        <v>-16.3</v>
      </c>
      <c r="AN225" s="13" t="n">
        <v>9.4</v>
      </c>
      <c r="AO225" s="13" t="n">
        <v>-39.3</v>
      </c>
      <c r="AP225" s="13" t="n">
        <v>-10</v>
      </c>
    </row>
    <row r="226">
      <c r="A226" s="5" t="inlineStr">
        <is>
          <t>창해에탄올</t>
        </is>
      </c>
      <c r="B226" s="6" t="inlineStr">
        <is>
          <t>004650</t>
        </is>
      </c>
      <c r="C226" s="6" t="inlineStr">
        <is>
          <t>연결</t>
        </is>
      </c>
      <c r="D226" s="6" t="inlineStr">
        <is>
          <t>2026Q2</t>
        </is>
      </c>
      <c r="E226" s="6" t="inlineStr"/>
      <c r="F226" s="7" t="inlineStr"/>
      <c r="G226" s="8" t="inlineStr"/>
      <c r="H226" s="8" t="inlineStr"/>
      <c r="I226" s="9" t="n">
        <v>29116</v>
      </c>
      <c r="J226" s="10" t="n">
        <v>3961</v>
      </c>
      <c r="K226" s="10" t="n">
        <v>2767</v>
      </c>
      <c r="L226" s="7" t="n">
        <v>43360</v>
      </c>
      <c r="M226" s="8" t="n">
        <v>6808</v>
      </c>
      <c r="N226" s="8" t="n">
        <v>4511</v>
      </c>
      <c r="O226" s="9" t="n">
        <v>34362</v>
      </c>
      <c r="P226" s="10" t="n">
        <v>5333</v>
      </c>
      <c r="Q226" s="10" t="n">
        <v>4302</v>
      </c>
      <c r="R226" s="7" t="n">
        <v>30614</v>
      </c>
      <c r="S226" s="8" t="n">
        <v>1279</v>
      </c>
      <c r="T226" s="8" t="n">
        <v>863</v>
      </c>
      <c r="U226" s="9" t="n">
        <v>30019</v>
      </c>
      <c r="V226" s="10" t="n">
        <v>4139</v>
      </c>
      <c r="W226" s="10" t="n">
        <v>3497</v>
      </c>
      <c r="X226" s="7" t="n">
        <v>31983</v>
      </c>
      <c r="Y226" s="8" t="n">
        <v>5254</v>
      </c>
      <c r="Z226" s="8" t="n">
        <v>3938</v>
      </c>
      <c r="AA226" s="9" t="n">
        <v>27958</v>
      </c>
      <c r="AB226" s="10" t="n">
        <v>3986</v>
      </c>
      <c r="AC226" s="10" t="n">
        <v>2701</v>
      </c>
      <c r="AD226" s="7" t="n">
        <v>32384</v>
      </c>
      <c r="AE226" s="8" t="n">
        <v>2514</v>
      </c>
      <c r="AF226" s="8" t="n">
        <v>2954</v>
      </c>
      <c r="AG226" s="9" t="n">
        <v>28307</v>
      </c>
      <c r="AH226" s="10" t="n">
        <v>4258</v>
      </c>
      <c r="AI226" s="10" t="n">
        <v>3385</v>
      </c>
      <c r="AJ226" s="11" t="n">
        <v>31100</v>
      </c>
      <c r="AK226" s="12" t="n">
        <v>4426</v>
      </c>
      <c r="AL226" s="12" t="n">
        <v>3464</v>
      </c>
      <c r="AM226" s="13" t="n">
        <v>9.9</v>
      </c>
      <c r="AN226" s="13" t="n">
        <v>-2.8</v>
      </c>
      <c r="AO226" s="13" t="n">
        <v>3.9</v>
      </c>
      <c r="AP226" s="13" t="n">
        <v>-15.8</v>
      </c>
    </row>
    <row r="227">
      <c r="A227" s="5" t="inlineStr">
        <is>
          <t>삼천리</t>
        </is>
      </c>
      <c r="B227" s="6" t="inlineStr">
        <is>
          <t>004690</t>
        </is>
      </c>
      <c r="C227" s="6" t="inlineStr">
        <is>
          <t>연결</t>
        </is>
      </c>
      <c r="D227" s="6" t="inlineStr">
        <is>
          <t>2026Q2</t>
        </is>
      </c>
      <c r="E227" s="6" t="inlineStr">
        <is>
          <t>2023Q4</t>
        </is>
      </c>
      <c r="F227" s="14" t="n">
        <v>3880118</v>
      </c>
      <c r="G227" s="15" t="n">
        <v>78464</v>
      </c>
      <c r="H227" s="15" t="n">
        <v>70769</v>
      </c>
      <c r="I227" s="9" t="n">
        <v>1755609</v>
      </c>
      <c r="J227" s="10" t="n">
        <v>88001</v>
      </c>
      <c r="K227" s="10" t="n">
        <v>84759</v>
      </c>
      <c r="L227" s="7" t="n">
        <v>990843</v>
      </c>
      <c r="M227" s="8" t="n">
        <v>17145</v>
      </c>
      <c r="N227" s="8" t="n">
        <v>19482</v>
      </c>
      <c r="O227" s="9" t="n">
        <v>956863</v>
      </c>
      <c r="P227" s="10" t="n">
        <v>30926</v>
      </c>
      <c r="Q227" s="10" t="n">
        <v>25423</v>
      </c>
      <c r="R227" s="7" t="n">
        <v>1417212</v>
      </c>
      <c r="S227" s="8" t="n">
        <v>-21769</v>
      </c>
      <c r="T227" s="8" t="n">
        <v>-8005</v>
      </c>
      <c r="U227" s="9" t="n">
        <v>1814087</v>
      </c>
      <c r="V227" s="10" t="n">
        <v>96886</v>
      </c>
      <c r="W227" s="10" t="n">
        <v>89580</v>
      </c>
      <c r="X227" s="7" t="n">
        <v>1100197</v>
      </c>
      <c r="Y227" s="8" t="n">
        <v>29228</v>
      </c>
      <c r="Z227" s="8" t="n">
        <v>22807</v>
      </c>
      <c r="AA227" s="9" t="n">
        <v>914848</v>
      </c>
      <c r="AB227" s="10" t="n">
        <v>22777</v>
      </c>
      <c r="AC227" s="10" t="n">
        <v>16031</v>
      </c>
      <c r="AD227" s="7" t="n">
        <v>1446329</v>
      </c>
      <c r="AE227" s="8" t="n">
        <v>10740</v>
      </c>
      <c r="AF227" s="8" t="n">
        <v>2908</v>
      </c>
      <c r="AG227" s="9" t="n">
        <v>1809516</v>
      </c>
      <c r="AH227" s="10" t="n">
        <v>110153</v>
      </c>
      <c r="AI227" s="10" t="n">
        <v>102110</v>
      </c>
      <c r="AJ227" s="11" t="n">
        <v>1157298</v>
      </c>
      <c r="AK227" s="12" t="n">
        <v>28066</v>
      </c>
      <c r="AL227" s="12" t="n">
        <v>32195</v>
      </c>
      <c r="AM227" s="13" t="n">
        <v>-36</v>
      </c>
      <c r="AN227" s="13" t="n">
        <v>5.2</v>
      </c>
      <c r="AO227" s="13" t="n">
        <v>-74.5</v>
      </c>
      <c r="AP227" s="13" t="n">
        <v>-4</v>
      </c>
    </row>
    <row r="228">
      <c r="A228" s="5" t="inlineStr">
        <is>
          <t>조광피혁</t>
        </is>
      </c>
      <c r="B228" s="6" t="inlineStr">
        <is>
          <t>004700</t>
        </is>
      </c>
      <c r="C228" s="6" t="inlineStr">
        <is>
          <t>별도</t>
        </is>
      </c>
      <c r="D228" s="6" t="inlineStr">
        <is>
          <t>2026Q2</t>
        </is>
      </c>
      <c r="E228" s="6" t="inlineStr"/>
      <c r="F228" s="7" t="inlineStr"/>
      <c r="G228" s="8" t="inlineStr"/>
      <c r="H228" s="8" t="inlineStr"/>
      <c r="I228" s="9" t="n">
        <v>25080</v>
      </c>
      <c r="J228" s="10" t="n">
        <v>2999</v>
      </c>
      <c r="K228" s="10" t="n">
        <v>4057</v>
      </c>
      <c r="L228" s="7" t="n">
        <v>23076</v>
      </c>
      <c r="M228" s="8" t="n">
        <v>1764</v>
      </c>
      <c r="N228" s="8" t="n">
        <v>3620</v>
      </c>
      <c r="O228" s="9" t="n">
        <v>18276</v>
      </c>
      <c r="P228" s="10" t="n">
        <v>91</v>
      </c>
      <c r="Q228" s="10" t="n">
        <v>761</v>
      </c>
      <c r="R228" s="7" t="n">
        <v>23816</v>
      </c>
      <c r="S228" s="8" t="n">
        <v>2372</v>
      </c>
      <c r="T228" s="8" t="n">
        <v>4167</v>
      </c>
      <c r="U228" s="9" t="n">
        <v>25750</v>
      </c>
      <c r="V228" s="10" t="n">
        <v>2475</v>
      </c>
      <c r="W228" s="10" t="n">
        <v>3090</v>
      </c>
      <c r="X228" s="7" t="n">
        <v>26433</v>
      </c>
      <c r="Y228" s="8" t="n">
        <v>1381</v>
      </c>
      <c r="Z228" s="8" t="n">
        <v>2421</v>
      </c>
      <c r="AA228" s="9" t="n">
        <v>25420</v>
      </c>
      <c r="AB228" s="10" t="n">
        <v>2321</v>
      </c>
      <c r="AC228" s="10" t="n">
        <v>3065</v>
      </c>
      <c r="AD228" s="7" t="n">
        <v>20277</v>
      </c>
      <c r="AE228" s="8" t="n">
        <v>2613</v>
      </c>
      <c r="AF228" s="8" t="n">
        <v>2966</v>
      </c>
      <c r="AG228" s="9" t="n">
        <v>20874</v>
      </c>
      <c r="AH228" s="10" t="n">
        <v>1604</v>
      </c>
      <c r="AI228" s="10" t="n">
        <v>3353</v>
      </c>
      <c r="AJ228" s="11" t="n">
        <v>21301</v>
      </c>
      <c r="AK228" s="12" t="n">
        <v>-1446</v>
      </c>
      <c r="AL228" s="12" t="n">
        <v>587</v>
      </c>
      <c r="AM228" s="13" t="n">
        <v>2</v>
      </c>
      <c r="AN228" s="13" t="n">
        <v>-19.4</v>
      </c>
      <c r="AO228" s="13" t="n">
        <v>-190.1</v>
      </c>
      <c r="AP228" s="13" t="n">
        <v>-204.7</v>
      </c>
    </row>
    <row r="229">
      <c r="A229" s="5" t="inlineStr">
        <is>
          <t>한솔테크닉스</t>
        </is>
      </c>
      <c r="B229" s="6" t="inlineStr">
        <is>
          <t>004710</t>
        </is>
      </c>
      <c r="C229" s="6" t="inlineStr">
        <is>
          <t>연결</t>
        </is>
      </c>
      <c r="D229" s="6" t="inlineStr">
        <is>
          <t>2026Q2</t>
        </is>
      </c>
      <c r="E229" s="6" t="inlineStr"/>
      <c r="F229" s="7" t="inlineStr"/>
      <c r="G229" s="8" t="inlineStr"/>
      <c r="H229" s="8" t="inlineStr"/>
      <c r="I229" s="9" t="n">
        <v>268095</v>
      </c>
      <c r="J229" s="10" t="n">
        <v>12495</v>
      </c>
      <c r="K229" s="10" t="n">
        <v>11599</v>
      </c>
      <c r="L229" s="7" t="n">
        <v>282466</v>
      </c>
      <c r="M229" s="8" t="n">
        <v>9976</v>
      </c>
      <c r="N229" s="8" t="n">
        <v>12322</v>
      </c>
      <c r="O229" s="9" t="n">
        <v>324468</v>
      </c>
      <c r="P229" s="10" t="n">
        <v>9810</v>
      </c>
      <c r="Q229" s="10" t="n">
        <v>5892</v>
      </c>
      <c r="R229" s="7" t="n">
        <v>324454</v>
      </c>
      <c r="S229" s="8" t="n">
        <v>1074</v>
      </c>
      <c r="T229" s="8" t="n">
        <v>-6636</v>
      </c>
      <c r="U229" s="9" t="n">
        <v>337753</v>
      </c>
      <c r="V229" s="10" t="n">
        <v>19301</v>
      </c>
      <c r="W229" s="10" t="n">
        <v>16317</v>
      </c>
      <c r="X229" s="7" t="n">
        <v>293574</v>
      </c>
      <c r="Y229" s="8" t="n">
        <v>12791</v>
      </c>
      <c r="Z229" s="8" t="n">
        <v>8497</v>
      </c>
      <c r="AA229" s="9" t="n">
        <v>331629</v>
      </c>
      <c r="AB229" s="10" t="n">
        <v>17667</v>
      </c>
      <c r="AC229" s="10" t="n">
        <v>12817</v>
      </c>
      <c r="AD229" s="7" t="n">
        <v>289469</v>
      </c>
      <c r="AE229" s="8" t="n">
        <v>-29343</v>
      </c>
      <c r="AF229" s="8" t="n">
        <v>-37077</v>
      </c>
      <c r="AG229" s="9" t="n">
        <v>315955</v>
      </c>
      <c r="AH229" s="10" t="n">
        <v>14107</v>
      </c>
      <c r="AI229" s="10" t="n">
        <v>11723</v>
      </c>
      <c r="AJ229" s="11" t="n">
        <v>335111</v>
      </c>
      <c r="AK229" s="12" t="n">
        <v>14233</v>
      </c>
      <c r="AL229" s="12" t="n">
        <v>10676</v>
      </c>
      <c r="AM229" s="13" t="n">
        <v>6.1</v>
      </c>
      <c r="AN229" s="13" t="n">
        <v>14.1</v>
      </c>
      <c r="AO229" s="13" t="n">
        <v>0.9</v>
      </c>
      <c r="AP229" s="13" t="n">
        <v>11.3</v>
      </c>
    </row>
    <row r="230">
      <c r="A230" s="5" t="inlineStr">
        <is>
          <t>팜젠사이언스</t>
        </is>
      </c>
      <c r="B230" s="6" t="inlineStr">
        <is>
          <t>004720</t>
        </is>
      </c>
      <c r="C230" s="6" t="inlineStr">
        <is>
          <t>별도</t>
        </is>
      </c>
      <c r="D230" s="6" t="inlineStr">
        <is>
          <t>2026Q2</t>
        </is>
      </c>
      <c r="E230" s="6" t="inlineStr"/>
      <c r="F230" s="7" t="inlineStr"/>
      <c r="G230" s="8" t="inlineStr"/>
      <c r="H230" s="8" t="inlineStr"/>
      <c r="I230" s="9" t="n">
        <v>42506</v>
      </c>
      <c r="J230" s="10" t="n">
        <v>3012</v>
      </c>
      <c r="K230" s="10" t="n">
        <v>1948</v>
      </c>
      <c r="L230" s="7" t="n">
        <v>42901</v>
      </c>
      <c r="M230" s="8" t="n">
        <v>2719</v>
      </c>
      <c r="N230" s="8" t="n">
        <v>1050</v>
      </c>
      <c r="O230" s="9" t="n">
        <v>41653</v>
      </c>
      <c r="P230" s="10" t="n">
        <v>3059</v>
      </c>
      <c r="Q230" s="10" t="n">
        <v>-3913</v>
      </c>
      <c r="R230" s="7" t="n">
        <v>44227</v>
      </c>
      <c r="S230" s="8" t="n">
        <v>1853</v>
      </c>
      <c r="T230" s="8" t="n">
        <v>3705</v>
      </c>
      <c r="U230" s="9" t="n">
        <v>42877</v>
      </c>
      <c r="V230" s="10" t="n">
        <v>2044</v>
      </c>
      <c r="W230" s="10" t="n">
        <v>-710</v>
      </c>
      <c r="X230" s="7" t="n">
        <v>45874</v>
      </c>
      <c r="Y230" s="8" t="n">
        <v>3322</v>
      </c>
      <c r="Z230" s="8" t="n">
        <v>3861</v>
      </c>
      <c r="AA230" s="9" t="n">
        <v>41505</v>
      </c>
      <c r="AB230" s="10" t="n">
        <v>1374</v>
      </c>
      <c r="AC230" s="10" t="n">
        <v>-2278</v>
      </c>
      <c r="AD230" s="7" t="n">
        <v>42817</v>
      </c>
      <c r="AE230" s="8" t="n">
        <v>-753</v>
      </c>
      <c r="AF230" s="8" t="n">
        <v>-117514</v>
      </c>
      <c r="AG230" s="9" t="n">
        <v>43323</v>
      </c>
      <c r="AH230" s="10" t="n">
        <v>1768</v>
      </c>
      <c r="AI230" s="10" t="n">
        <v>-988</v>
      </c>
      <c r="AJ230" s="11" t="n">
        <v>47717</v>
      </c>
      <c r="AK230" s="12" t="n">
        <v>1798</v>
      </c>
      <c r="AL230" s="12" t="n">
        <v>-13583</v>
      </c>
      <c r="AM230" s="13" t="n">
        <v>10.1</v>
      </c>
      <c r="AN230" s="13" t="n">
        <v>4</v>
      </c>
      <c r="AO230" s="13" t="n">
        <v>1.7</v>
      </c>
      <c r="AP230" s="13" t="n">
        <v>-45.9</v>
      </c>
    </row>
    <row r="231">
      <c r="A231" s="5" t="inlineStr">
        <is>
          <t>써니전자</t>
        </is>
      </c>
      <c r="B231" s="6" t="inlineStr">
        <is>
          <t>004770</t>
        </is>
      </c>
      <c r="C231" s="6" t="inlineStr">
        <is>
          <t>별도</t>
        </is>
      </c>
      <c r="D231" s="6" t="inlineStr">
        <is>
          <t>2026Q2</t>
        </is>
      </c>
      <c r="E231" s="6" t="inlineStr"/>
      <c r="F231" s="7" t="inlineStr"/>
      <c r="G231" s="8" t="inlineStr"/>
      <c r="H231" s="8" t="inlineStr"/>
      <c r="I231" s="9" t="n">
        <v>3002</v>
      </c>
      <c r="J231" s="10" t="n">
        <v>457</v>
      </c>
      <c r="K231" s="10" t="n">
        <v>1362</v>
      </c>
      <c r="L231" s="7" t="n">
        <v>3066</v>
      </c>
      <c r="M231" s="8" t="n">
        <v>561</v>
      </c>
      <c r="N231" s="8" t="n">
        <v>589</v>
      </c>
      <c r="O231" s="9" t="n">
        <v>3213</v>
      </c>
      <c r="P231" s="10" t="n">
        <v>696</v>
      </c>
      <c r="Q231" s="10" t="n">
        <v>1328</v>
      </c>
      <c r="R231" s="7" t="n">
        <v>3529</v>
      </c>
      <c r="S231" s="8" t="n">
        <v>862</v>
      </c>
      <c r="T231" s="8" t="n">
        <v>1119</v>
      </c>
      <c r="U231" s="9" t="n">
        <v>3156</v>
      </c>
      <c r="V231" s="10" t="n">
        <v>611</v>
      </c>
      <c r="W231" s="10" t="n">
        <v>1331</v>
      </c>
      <c r="X231" s="7" t="n">
        <v>3208</v>
      </c>
      <c r="Y231" s="8" t="n">
        <v>539</v>
      </c>
      <c r="Z231" s="8" t="n">
        <v>605</v>
      </c>
      <c r="AA231" s="9" t="n">
        <v>3020</v>
      </c>
      <c r="AB231" s="10" t="n">
        <v>515</v>
      </c>
      <c r="AC231" s="10" t="n">
        <v>1106</v>
      </c>
      <c r="AD231" s="7" t="n">
        <v>2977</v>
      </c>
      <c r="AE231" s="8" t="n">
        <v>536</v>
      </c>
      <c r="AF231" s="8" t="n">
        <v>586</v>
      </c>
      <c r="AG231" s="9" t="n">
        <v>3067</v>
      </c>
      <c r="AH231" s="10" t="n">
        <v>446</v>
      </c>
      <c r="AI231" s="10" t="n">
        <v>1162</v>
      </c>
      <c r="AJ231" s="11" t="n">
        <v>3545</v>
      </c>
      <c r="AK231" s="12" t="n">
        <v>245</v>
      </c>
      <c r="AL231" s="12" t="n">
        <v>334</v>
      </c>
      <c r="AM231" s="13" t="n">
        <v>15.6</v>
      </c>
      <c r="AN231" s="13" t="n">
        <v>10.5</v>
      </c>
      <c r="AO231" s="13" t="n">
        <v>-45.1</v>
      </c>
      <c r="AP231" s="13" t="n">
        <v>-54.5</v>
      </c>
    </row>
    <row r="232">
      <c r="A232" s="5" t="inlineStr">
        <is>
          <t>대륙제관</t>
        </is>
      </c>
      <c r="B232" s="6" t="inlineStr">
        <is>
          <t>004780</t>
        </is>
      </c>
      <c r="C232" s="6" t="inlineStr">
        <is>
          <t>별도</t>
        </is>
      </c>
      <c r="D232" s="6" t="inlineStr">
        <is>
          <t>2026Q2</t>
        </is>
      </c>
      <c r="E232" s="6" t="inlineStr"/>
      <c r="F232" s="7" t="inlineStr"/>
      <c r="G232" s="8" t="inlineStr"/>
      <c r="H232" s="8" t="inlineStr"/>
      <c r="I232" s="9" t="n">
        <v>66557</v>
      </c>
      <c r="J232" s="10" t="n">
        <v>3371</v>
      </c>
      <c r="K232" s="10" t="n">
        <v>2287</v>
      </c>
      <c r="L232" s="7" t="n">
        <v>71688</v>
      </c>
      <c r="M232" s="8" t="n">
        <v>6054</v>
      </c>
      <c r="N232" s="8" t="n">
        <v>4214</v>
      </c>
      <c r="O232" s="9" t="n">
        <v>63571</v>
      </c>
      <c r="P232" s="10" t="n">
        <v>3246</v>
      </c>
      <c r="Q232" s="10" t="n">
        <v>2465</v>
      </c>
      <c r="R232" s="7" t="n">
        <v>72843</v>
      </c>
      <c r="S232" s="8" t="n">
        <v>3146</v>
      </c>
      <c r="T232" s="8" t="n">
        <v>2549</v>
      </c>
      <c r="U232" s="9" t="n">
        <v>66395</v>
      </c>
      <c r="V232" s="10" t="n">
        <v>1323</v>
      </c>
      <c r="W232" s="10" t="n">
        <v>1302</v>
      </c>
      <c r="X232" s="7" t="n">
        <v>71099</v>
      </c>
      <c r="Y232" s="8" t="n">
        <v>2915</v>
      </c>
      <c r="Z232" s="8" t="n">
        <v>1988</v>
      </c>
      <c r="AA232" s="9" t="n">
        <v>64194</v>
      </c>
      <c r="AB232" s="10" t="n">
        <v>3294</v>
      </c>
      <c r="AC232" s="10" t="n">
        <v>3111</v>
      </c>
      <c r="AD232" s="7" t="n">
        <v>64874</v>
      </c>
      <c r="AE232" s="8" t="n">
        <v>2770</v>
      </c>
      <c r="AF232" s="8" t="n">
        <v>2781</v>
      </c>
      <c r="AG232" s="9" t="n">
        <v>69169</v>
      </c>
      <c r="AH232" s="10" t="n">
        <v>3503</v>
      </c>
      <c r="AI232" s="10" t="n">
        <v>3208</v>
      </c>
      <c r="AJ232" s="11" t="n">
        <v>78190</v>
      </c>
      <c r="AK232" s="12" t="n">
        <v>2342</v>
      </c>
      <c r="AL232" s="12" t="n">
        <v>1904</v>
      </c>
      <c r="AM232" s="13" t="n">
        <v>13</v>
      </c>
      <c r="AN232" s="13" t="n">
        <v>10</v>
      </c>
      <c r="AO232" s="13" t="n">
        <v>-33.1</v>
      </c>
      <c r="AP232" s="13" t="n">
        <v>-19.7</v>
      </c>
    </row>
    <row r="233">
      <c r="A233" s="5" t="inlineStr">
        <is>
          <t>효성</t>
        </is>
      </c>
      <c r="B233" s="6" t="inlineStr">
        <is>
          <t>004800</t>
        </is>
      </c>
      <c r="C233" s="6" t="inlineStr">
        <is>
          <t>연결</t>
        </is>
      </c>
      <c r="D233" s="6" t="inlineStr">
        <is>
          <t>2026Q2</t>
        </is>
      </c>
      <c r="E233" s="6" t="inlineStr">
        <is>
          <t>2023Q4</t>
        </is>
      </c>
      <c r="F233" s="14" t="n">
        <v>924765</v>
      </c>
      <c r="G233" s="15" t="n">
        <v>19504</v>
      </c>
      <c r="H233" s="15" t="n">
        <v>-8865</v>
      </c>
      <c r="I233" s="9" t="n">
        <v>836823</v>
      </c>
      <c r="J233" s="10" t="n">
        <v>25511</v>
      </c>
      <c r="K233" s="10" t="n">
        <v>3401</v>
      </c>
      <c r="L233" s="7" t="n">
        <v>564294</v>
      </c>
      <c r="M233" s="8" t="n">
        <v>38200</v>
      </c>
      <c r="N233" s="8" t="n">
        <v>15140</v>
      </c>
      <c r="O233" s="9" t="n">
        <v>577697</v>
      </c>
      <c r="P233" s="10" t="n">
        <v>47436</v>
      </c>
      <c r="Q233" s="10" t="n">
        <v>339586</v>
      </c>
      <c r="R233" s="7" t="n">
        <v>293942</v>
      </c>
      <c r="S233" s="8" t="n">
        <v>109986</v>
      </c>
      <c r="T233" s="8" t="n">
        <v>126131</v>
      </c>
      <c r="U233" s="9" t="n">
        <v>553898</v>
      </c>
      <c r="V233" s="10" t="n">
        <v>81821</v>
      </c>
      <c r="W233" s="10" t="n">
        <v>72166</v>
      </c>
      <c r="X233" s="7" t="n">
        <v>601914</v>
      </c>
      <c r="Y233" s="8" t="n">
        <v>99138</v>
      </c>
      <c r="Z233" s="8" t="n">
        <v>89738</v>
      </c>
      <c r="AA233" s="9" t="n">
        <v>612172</v>
      </c>
      <c r="AB233" s="10" t="n">
        <v>121853</v>
      </c>
      <c r="AC233" s="10" t="n">
        <v>84998</v>
      </c>
      <c r="AD233" s="7" t="n">
        <v>663725</v>
      </c>
      <c r="AE233" s="8" t="n">
        <v>90209</v>
      </c>
      <c r="AF233" s="8" t="n">
        <v>175219</v>
      </c>
      <c r="AG233" s="9" t="n">
        <v>530185</v>
      </c>
      <c r="AH233" s="10" t="n">
        <v>94601</v>
      </c>
      <c r="AI233" s="10" t="n">
        <v>86505</v>
      </c>
      <c r="AJ233" s="11" t="n">
        <v>733637</v>
      </c>
      <c r="AK233" s="12" t="n">
        <v>231639</v>
      </c>
      <c r="AL233" s="12" t="n">
        <v>226319</v>
      </c>
      <c r="AM233" s="13" t="n">
        <v>38.4</v>
      </c>
      <c r="AN233" s="13" t="n">
        <v>21.9</v>
      </c>
      <c r="AO233" s="13" t="n">
        <v>144.9</v>
      </c>
      <c r="AP233" s="13" t="n">
        <v>133.7</v>
      </c>
    </row>
    <row r="234">
      <c r="A234" s="5" t="inlineStr">
        <is>
          <t>덕성</t>
        </is>
      </c>
      <c r="B234" s="6" t="inlineStr">
        <is>
          <t>004830</t>
        </is>
      </c>
      <c r="C234" s="6" t="inlineStr">
        <is>
          <t>연결</t>
        </is>
      </c>
      <c r="D234" s="6" t="inlineStr">
        <is>
          <t>2026Q2</t>
        </is>
      </c>
      <c r="E234" s="6" t="inlineStr"/>
      <c r="F234" s="7" t="inlineStr"/>
      <c r="G234" s="8" t="inlineStr"/>
      <c r="H234" s="8" t="inlineStr"/>
      <c r="I234" s="9" t="n">
        <v>28545</v>
      </c>
      <c r="J234" s="10" t="n">
        <v>1525</v>
      </c>
      <c r="K234" s="10" t="n">
        <v>1487</v>
      </c>
      <c r="L234" s="7" t="n">
        <v>27165</v>
      </c>
      <c r="M234" s="8" t="n">
        <v>2096</v>
      </c>
      <c r="N234" s="8" t="n">
        <v>2010</v>
      </c>
      <c r="O234" s="9" t="n">
        <v>37061</v>
      </c>
      <c r="P234" s="10" t="n">
        <v>3413</v>
      </c>
      <c r="Q234" s="10" t="n">
        <v>1492</v>
      </c>
      <c r="R234" s="7" t="n">
        <v>32682</v>
      </c>
      <c r="S234" s="8" t="n">
        <v>1877</v>
      </c>
      <c r="T234" s="8" t="n">
        <v>1811</v>
      </c>
      <c r="U234" s="9" t="n">
        <v>38516</v>
      </c>
      <c r="V234" s="10" t="n">
        <v>2858</v>
      </c>
      <c r="W234" s="10" t="n">
        <v>2246</v>
      </c>
      <c r="X234" s="7" t="n">
        <v>35387</v>
      </c>
      <c r="Y234" s="8" t="n">
        <v>2186</v>
      </c>
      <c r="Z234" s="8" t="n">
        <v>894</v>
      </c>
      <c r="AA234" s="9" t="n">
        <v>41997</v>
      </c>
      <c r="AB234" s="10" t="n">
        <v>2409</v>
      </c>
      <c r="AC234" s="10" t="n">
        <v>2864</v>
      </c>
      <c r="AD234" s="7" t="n">
        <v>30576</v>
      </c>
      <c r="AE234" s="8" t="n">
        <v>-1217</v>
      </c>
      <c r="AF234" s="8" t="n">
        <v>-514</v>
      </c>
      <c r="AG234" s="9" t="n">
        <v>34273</v>
      </c>
      <c r="AH234" s="10" t="n">
        <v>910</v>
      </c>
      <c r="AI234" s="10" t="n">
        <v>447</v>
      </c>
      <c r="AJ234" s="11" t="n">
        <v>32843</v>
      </c>
      <c r="AK234" s="12" t="n">
        <v>809</v>
      </c>
      <c r="AL234" s="12" t="n">
        <v>820</v>
      </c>
      <c r="AM234" s="13" t="n">
        <v>-4.2</v>
      </c>
      <c r="AN234" s="13" t="n">
        <v>-7.2</v>
      </c>
      <c r="AO234" s="13" t="n">
        <v>-11.1</v>
      </c>
      <c r="AP234" s="13" t="n">
        <v>-63</v>
      </c>
    </row>
    <row r="235">
      <c r="A235" s="5" t="inlineStr">
        <is>
          <t>DRB동일</t>
        </is>
      </c>
      <c r="B235" s="6" t="inlineStr">
        <is>
          <t>004840</t>
        </is>
      </c>
      <c r="C235" s="6" t="inlineStr">
        <is>
          <t>연결</t>
        </is>
      </c>
      <c r="D235" s="6" t="inlineStr">
        <is>
          <t>2026Q2</t>
        </is>
      </c>
      <c r="E235" s="6" t="inlineStr"/>
      <c r="F235" s="7" t="inlineStr"/>
      <c r="G235" s="8" t="inlineStr"/>
      <c r="H235" s="8" t="inlineStr"/>
      <c r="I235" s="9" t="n">
        <v>179784</v>
      </c>
      <c r="J235" s="10" t="n">
        <v>8246</v>
      </c>
      <c r="K235" s="10" t="n">
        <v>4646</v>
      </c>
      <c r="L235" s="7" t="n">
        <v>208308</v>
      </c>
      <c r="M235" s="8" t="n">
        <v>11658</v>
      </c>
      <c r="N235" s="8" t="n">
        <v>6871</v>
      </c>
      <c r="O235" s="9" t="n">
        <v>181823</v>
      </c>
      <c r="P235" s="10" t="n">
        <v>3147</v>
      </c>
      <c r="Q235" s="10" t="n">
        <v>-2562</v>
      </c>
      <c r="R235" s="7" t="n">
        <v>182773</v>
      </c>
      <c r="S235" s="8" t="n">
        <v>-1181</v>
      </c>
      <c r="T235" s="8" t="n">
        <v>4255</v>
      </c>
      <c r="U235" s="9" t="n">
        <v>184693</v>
      </c>
      <c r="V235" s="10" t="n">
        <v>4976</v>
      </c>
      <c r="W235" s="10" t="n">
        <v>4574</v>
      </c>
      <c r="X235" s="7" t="n">
        <v>205321</v>
      </c>
      <c r="Y235" s="8" t="n">
        <v>4368</v>
      </c>
      <c r="Z235" s="8" t="n">
        <v>-4015</v>
      </c>
      <c r="AA235" s="9" t="n">
        <v>209195</v>
      </c>
      <c r="AB235" s="10" t="n">
        <v>13135</v>
      </c>
      <c r="AC235" s="10" t="n">
        <v>11363</v>
      </c>
      <c r="AD235" s="7" t="n">
        <v>203537</v>
      </c>
      <c r="AE235" s="8" t="n">
        <v>2415</v>
      </c>
      <c r="AF235" s="8" t="n">
        <v>-2932</v>
      </c>
      <c r="AG235" s="9" t="n">
        <v>200027</v>
      </c>
      <c r="AH235" s="10" t="n">
        <v>5867</v>
      </c>
      <c r="AI235" s="10" t="n">
        <v>7334</v>
      </c>
      <c r="AJ235" s="11" t="n">
        <v>218500</v>
      </c>
      <c r="AK235" s="12" t="n">
        <v>11181</v>
      </c>
      <c r="AL235" s="12" t="n">
        <v>8588</v>
      </c>
      <c r="AM235" s="13" t="n">
        <v>9.199999999999999</v>
      </c>
      <c r="AN235" s="13" t="n">
        <v>6.4</v>
      </c>
      <c r="AO235" s="13" t="n">
        <v>90.59999999999999</v>
      </c>
      <c r="AP235" s="13" t="n">
        <v>156</v>
      </c>
    </row>
    <row r="236">
      <c r="A236" s="5" t="inlineStr">
        <is>
          <t>티웨이홀딩스</t>
        </is>
      </c>
      <c r="B236" s="6" t="inlineStr">
        <is>
          <t>004870</t>
        </is>
      </c>
      <c r="C236" s="6" t="inlineStr">
        <is>
          <t>별도</t>
        </is>
      </c>
      <c r="D236" s="6" t="inlineStr">
        <is>
          <t>2026Q2</t>
        </is>
      </c>
      <c r="E236" s="6" t="inlineStr"/>
      <c r="F236" s="7" t="inlineStr"/>
      <c r="G236" s="8" t="inlineStr"/>
      <c r="H236" s="8" t="inlineStr"/>
      <c r="I236" s="9" t="n">
        <v>689</v>
      </c>
      <c r="J236" s="10" t="n">
        <v>-1242</v>
      </c>
      <c r="K236" s="10" t="n">
        <v>5910</v>
      </c>
      <c r="L236" s="7" t="n">
        <v>1096</v>
      </c>
      <c r="M236" s="8" t="n">
        <v>-1315</v>
      </c>
      <c r="N236" s="8" t="n">
        <v>1736</v>
      </c>
      <c r="O236" s="9" t="n">
        <v>1655</v>
      </c>
      <c r="P236" s="10" t="n">
        <v>-1285</v>
      </c>
      <c r="Q236" s="10" t="n">
        <v>-2145</v>
      </c>
      <c r="R236" s="7" t="n">
        <v>1803</v>
      </c>
      <c r="S236" s="8" t="n">
        <v>-1378</v>
      </c>
      <c r="T236" s="8" t="n">
        <v>-26252</v>
      </c>
      <c r="U236" s="9" t="n">
        <v>1096</v>
      </c>
      <c r="V236" s="10" t="n">
        <v>-1446</v>
      </c>
      <c r="W236" s="10" t="n">
        <v>-14071</v>
      </c>
      <c r="X236" s="7" t="n">
        <v>2328</v>
      </c>
      <c r="Y236" s="8" t="n">
        <v>-1045</v>
      </c>
      <c r="Z236" s="8" t="n">
        <v>-15676</v>
      </c>
      <c r="AA236" s="9" t="n">
        <v>1050</v>
      </c>
      <c r="AB236" s="10" t="n">
        <v>-624</v>
      </c>
      <c r="AC236" s="10" t="n">
        <v>-28408</v>
      </c>
      <c r="AD236" s="7" t="n">
        <v>561</v>
      </c>
      <c r="AE236" s="8" t="n">
        <v>-491</v>
      </c>
      <c r="AF236" s="8" t="n">
        <v>2422</v>
      </c>
      <c r="AG236" s="9" t="n">
        <v>1091</v>
      </c>
      <c r="AH236" s="10" t="n">
        <v>-329</v>
      </c>
      <c r="AI236" s="10" t="n">
        <v>-36422</v>
      </c>
      <c r="AJ236" s="11" t="n">
        <v>1283</v>
      </c>
      <c r="AK236" s="12" t="n">
        <v>-341</v>
      </c>
      <c r="AL236" s="12" t="n">
        <v>2739</v>
      </c>
      <c r="AM236" s="13" t="n">
        <v>17.6</v>
      </c>
      <c r="AN236" s="13" t="n">
        <v>-44.9</v>
      </c>
      <c r="AO236" s="13" t="n">
        <v>-3.6</v>
      </c>
      <c r="AP236" s="13" t="n">
        <v>67.40000000000001</v>
      </c>
    </row>
    <row r="237">
      <c r="A237" s="5" t="inlineStr">
        <is>
          <t>동일산업</t>
        </is>
      </c>
      <c r="B237" s="6" t="inlineStr">
        <is>
          <t>004890</t>
        </is>
      </c>
      <c r="C237" s="6" t="inlineStr">
        <is>
          <t>연결</t>
        </is>
      </c>
      <c r="D237" s="6" t="inlineStr">
        <is>
          <t>2026Q2</t>
        </is>
      </c>
      <c r="E237" s="6" t="inlineStr"/>
      <c r="F237" s="7" t="inlineStr"/>
      <c r="G237" s="8" t="inlineStr"/>
      <c r="H237" s="8" t="inlineStr"/>
      <c r="I237" s="9" t="n">
        <v>115974</v>
      </c>
      <c r="J237" s="10" t="n">
        <v>-1843</v>
      </c>
      <c r="K237" s="10" t="n">
        <v>186</v>
      </c>
      <c r="L237" s="7" t="n">
        <v>108319</v>
      </c>
      <c r="M237" s="8" t="n">
        <v>3853</v>
      </c>
      <c r="N237" s="8" t="n">
        <v>5981</v>
      </c>
      <c r="O237" s="9" t="n">
        <v>98131</v>
      </c>
      <c r="P237" s="10" t="n">
        <v>1827</v>
      </c>
      <c r="Q237" s="10" t="n">
        <v>5246</v>
      </c>
      <c r="R237" s="7" t="n">
        <v>93373</v>
      </c>
      <c r="S237" s="8" t="n">
        <v>-7996</v>
      </c>
      <c r="T237" s="8" t="n">
        <v>3154</v>
      </c>
      <c r="U237" s="9" t="n">
        <v>90863</v>
      </c>
      <c r="V237" s="10" t="n">
        <v>1436</v>
      </c>
      <c r="W237" s="10" t="n">
        <v>814</v>
      </c>
      <c r="X237" s="7" t="n">
        <v>88258</v>
      </c>
      <c r="Y237" s="8" t="n">
        <v>-982</v>
      </c>
      <c r="Z237" s="8" t="n">
        <v>2493</v>
      </c>
      <c r="AA237" s="9" t="n">
        <v>90353</v>
      </c>
      <c r="AB237" s="10" t="n">
        <v>-2499</v>
      </c>
      <c r="AC237" s="10" t="n">
        <v>-1344</v>
      </c>
      <c r="AD237" s="7" t="n">
        <v>78448</v>
      </c>
      <c r="AE237" s="8" t="n">
        <v>-705</v>
      </c>
      <c r="AF237" s="8" t="n">
        <v>-14869</v>
      </c>
      <c r="AG237" s="9" t="n">
        <v>82942</v>
      </c>
      <c r="AH237" s="10" t="n">
        <v>2894</v>
      </c>
      <c r="AI237" s="10" t="n">
        <v>8756</v>
      </c>
      <c r="AJ237" s="11" t="n">
        <v>103121</v>
      </c>
      <c r="AK237" s="12" t="n">
        <v>8050</v>
      </c>
      <c r="AL237" s="12" t="n">
        <v>10999</v>
      </c>
      <c r="AM237" s="13" t="n">
        <v>24.3</v>
      </c>
      <c r="AN237" s="13" t="n">
        <v>16.8</v>
      </c>
      <c r="AO237" s="13" t="n">
        <v>178.2</v>
      </c>
      <c r="AP237" s="13" t="n">
        <v>919.8</v>
      </c>
    </row>
    <row r="238">
      <c r="A238" s="5" t="inlineStr">
        <is>
          <t>조광페인트</t>
        </is>
      </c>
      <c r="B238" s="6" t="inlineStr">
        <is>
          <t>004910</t>
        </is>
      </c>
      <c r="C238" s="6" t="inlineStr">
        <is>
          <t>연결</t>
        </is>
      </c>
      <c r="D238" s="6" t="inlineStr">
        <is>
          <t>2026Q2</t>
        </is>
      </c>
      <c r="E238" s="6" t="inlineStr"/>
      <c r="F238" s="7" t="inlineStr"/>
      <c r="G238" s="8" t="inlineStr"/>
      <c r="H238" s="8" t="inlineStr"/>
      <c r="I238" s="9" t="n">
        <v>58595</v>
      </c>
      <c r="J238" s="10" t="n">
        <v>-592</v>
      </c>
      <c r="K238" s="10" t="n">
        <v>3910</v>
      </c>
      <c r="L238" s="7" t="n">
        <v>68721</v>
      </c>
      <c r="M238" s="8" t="n">
        <v>3084</v>
      </c>
      <c r="N238" s="8" t="n">
        <v>3954</v>
      </c>
      <c r="O238" s="9" t="n">
        <v>60195</v>
      </c>
      <c r="P238" s="10" t="n">
        <v>652</v>
      </c>
      <c r="Q238" s="10" t="n">
        <v>1759</v>
      </c>
      <c r="R238" s="7" t="n">
        <v>60509</v>
      </c>
      <c r="S238" s="8" t="n">
        <v>-739</v>
      </c>
      <c r="T238" s="8" t="n">
        <v>6360</v>
      </c>
      <c r="U238" s="9" t="n">
        <v>49051</v>
      </c>
      <c r="V238" s="10" t="n">
        <v>-3026</v>
      </c>
      <c r="W238" s="10" t="n">
        <v>1119</v>
      </c>
      <c r="X238" s="7" t="n">
        <v>53726</v>
      </c>
      <c r="Y238" s="8" t="n">
        <v>-4659</v>
      </c>
      <c r="Z238" s="8" t="n">
        <v>-5523</v>
      </c>
      <c r="AA238" s="9" t="n">
        <v>50755</v>
      </c>
      <c r="AB238" s="10" t="n">
        <v>-4277</v>
      </c>
      <c r="AC238" s="10" t="n">
        <v>-1949</v>
      </c>
      <c r="AD238" s="7" t="n">
        <v>49136</v>
      </c>
      <c r="AE238" s="8" t="n">
        <v>-7536</v>
      </c>
      <c r="AF238" s="8" t="n">
        <v>-3986</v>
      </c>
      <c r="AG238" s="9" t="n">
        <v>46409</v>
      </c>
      <c r="AH238" s="10" t="n">
        <v>-6206</v>
      </c>
      <c r="AI238" s="10" t="n">
        <v>-4586</v>
      </c>
      <c r="AJ238" s="11" t="n">
        <v>59471</v>
      </c>
      <c r="AK238" s="12" t="n">
        <v>-2887</v>
      </c>
      <c r="AL238" s="12" t="n">
        <v>-2888</v>
      </c>
      <c r="AM238" s="13" t="n">
        <v>28.1</v>
      </c>
      <c r="AN238" s="13" t="n">
        <v>10.7</v>
      </c>
      <c r="AO238" s="13" t="n">
        <v>53.5</v>
      </c>
      <c r="AP238" s="13" t="n">
        <v>38</v>
      </c>
    </row>
    <row r="239">
      <c r="A239" s="5" t="inlineStr">
        <is>
          <t>씨아이테크</t>
        </is>
      </c>
      <c r="B239" s="6" t="inlineStr">
        <is>
          <t>004920</t>
        </is>
      </c>
      <c r="C239" s="6" t="inlineStr">
        <is>
          <t>연결</t>
        </is>
      </c>
      <c r="D239" s="6" t="inlineStr">
        <is>
          <t>2026Q2</t>
        </is>
      </c>
      <c r="E239" s="6" t="inlineStr"/>
      <c r="F239" s="7" t="inlineStr"/>
      <c r="G239" s="8" t="inlineStr"/>
      <c r="H239" s="8" t="inlineStr"/>
      <c r="I239" s="9" t="n">
        <v>10444</v>
      </c>
      <c r="J239" s="10" t="n">
        <v>-945</v>
      </c>
      <c r="K239" s="10" t="n">
        <v>-926</v>
      </c>
      <c r="L239" s="7" t="n">
        <v>11600</v>
      </c>
      <c r="M239" s="8" t="n">
        <v>-941</v>
      </c>
      <c r="N239" s="8" t="n">
        <v>-1694</v>
      </c>
      <c r="O239" s="9" t="n">
        <v>11207</v>
      </c>
      <c r="P239" s="10" t="n">
        <v>-111</v>
      </c>
      <c r="Q239" s="10" t="n">
        <v>2626</v>
      </c>
      <c r="R239" s="7" t="n">
        <v>14186</v>
      </c>
      <c r="S239" s="8" t="n">
        <v>-52</v>
      </c>
      <c r="T239" s="8" t="n">
        <v>-95</v>
      </c>
      <c r="U239" s="9" t="n">
        <v>13393</v>
      </c>
      <c r="V239" s="10" t="n">
        <v>-73</v>
      </c>
      <c r="W239" s="10" t="n">
        <v>282</v>
      </c>
      <c r="X239" s="7" t="n">
        <v>15961</v>
      </c>
      <c r="Y239" s="8" t="n">
        <v>963</v>
      </c>
      <c r="Z239" s="8" t="n">
        <v>935</v>
      </c>
      <c r="AA239" s="9" t="n">
        <v>12054</v>
      </c>
      <c r="AB239" s="10" t="n">
        <v>-509</v>
      </c>
      <c r="AC239" s="10" t="n">
        <v>-692</v>
      </c>
      <c r="AD239" s="7" t="n">
        <v>42</v>
      </c>
      <c r="AE239" s="8" t="n">
        <v>1621</v>
      </c>
      <c r="AF239" s="8" t="n">
        <v>14094</v>
      </c>
      <c r="AG239" s="9" t="n">
        <v>6585</v>
      </c>
      <c r="AH239" s="10" t="n">
        <v>-1548</v>
      </c>
      <c r="AI239" s="10" t="n">
        <v>6921</v>
      </c>
      <c r="AJ239" s="11" t="n">
        <v>5095</v>
      </c>
      <c r="AK239" s="12" t="n">
        <v>-1699</v>
      </c>
      <c r="AL239" s="12" t="n">
        <v>-3090</v>
      </c>
      <c r="AM239" s="13" t="n">
        <v>-22.6</v>
      </c>
      <c r="AN239" s="13" t="n">
        <v>-68.09999999999999</v>
      </c>
      <c r="AO239" s="13" t="n">
        <v>-9.800000000000001</v>
      </c>
      <c r="AP239" s="13" t="n">
        <v>-276.4</v>
      </c>
    </row>
    <row r="240">
      <c r="A240" s="5" t="inlineStr">
        <is>
          <t>한신공영</t>
        </is>
      </c>
      <c r="B240" s="6" t="inlineStr">
        <is>
          <t>004960</t>
        </is>
      </c>
      <c r="C240" s="6" t="inlineStr">
        <is>
          <t>연결</t>
        </is>
      </c>
      <c r="D240" s="6" t="inlineStr">
        <is>
          <t>2026Q2</t>
        </is>
      </c>
      <c r="E240" s="6" t="inlineStr"/>
      <c r="F240" s="7" t="inlineStr"/>
      <c r="G240" s="8" t="inlineStr"/>
      <c r="H240" s="8" t="inlineStr"/>
      <c r="I240" s="9" t="n">
        <v>289285</v>
      </c>
      <c r="J240" s="10" t="n">
        <v>8505</v>
      </c>
      <c r="K240" s="10" t="n">
        <v>1045</v>
      </c>
      <c r="L240" s="7" t="n">
        <v>350147</v>
      </c>
      <c r="M240" s="8" t="n">
        <v>5810</v>
      </c>
      <c r="N240" s="8" t="n">
        <v>13658</v>
      </c>
      <c r="O240" s="9" t="n">
        <v>370181</v>
      </c>
      <c r="P240" s="10" t="n">
        <v>25638</v>
      </c>
      <c r="Q240" s="10" t="n">
        <v>1276</v>
      </c>
      <c r="R240" s="7" t="n">
        <v>480835</v>
      </c>
      <c r="S240" s="8" t="n">
        <v>-2698</v>
      </c>
      <c r="T240" s="8" t="n">
        <v>-1214</v>
      </c>
      <c r="U240" s="9" t="n">
        <v>304475</v>
      </c>
      <c r="V240" s="10" t="n">
        <v>16458</v>
      </c>
      <c r="W240" s="10" t="n">
        <v>4029</v>
      </c>
      <c r="X240" s="7" t="n">
        <v>300192</v>
      </c>
      <c r="Y240" s="8" t="n">
        <v>17693</v>
      </c>
      <c r="Z240" s="8" t="n">
        <v>3615</v>
      </c>
      <c r="AA240" s="9" t="n">
        <v>285948</v>
      </c>
      <c r="AB240" s="10" t="n">
        <v>22316</v>
      </c>
      <c r="AC240" s="10" t="n">
        <v>25623</v>
      </c>
      <c r="AD240" s="7" t="n">
        <v>258576</v>
      </c>
      <c r="AE240" s="8" t="n">
        <v>8054</v>
      </c>
      <c r="AF240" s="8" t="n">
        <v>24597</v>
      </c>
      <c r="AG240" s="9" t="n">
        <v>252385</v>
      </c>
      <c r="AH240" s="10" t="n">
        <v>19338</v>
      </c>
      <c r="AI240" s="10" t="n">
        <v>12323</v>
      </c>
      <c r="AJ240" s="11" t="n">
        <v>258893</v>
      </c>
      <c r="AK240" s="12" t="n">
        <v>20477</v>
      </c>
      <c r="AL240" s="12" t="n">
        <v>18897</v>
      </c>
      <c r="AM240" s="13" t="n">
        <v>2.6</v>
      </c>
      <c r="AN240" s="13" t="n">
        <v>-13.8</v>
      </c>
      <c r="AO240" s="13" t="n">
        <v>5.9</v>
      </c>
      <c r="AP240" s="13" t="n">
        <v>15.7</v>
      </c>
    </row>
    <row r="241">
      <c r="A241" s="5" t="inlineStr">
        <is>
          <t>신라교역</t>
        </is>
      </c>
      <c r="B241" s="6" t="inlineStr">
        <is>
          <t>004970</t>
        </is>
      </c>
      <c r="C241" s="6" t="inlineStr">
        <is>
          <t>연결</t>
        </is>
      </c>
      <c r="D241" s="6" t="inlineStr">
        <is>
          <t>2026Q2</t>
        </is>
      </c>
      <c r="E241" s="6" t="inlineStr"/>
      <c r="F241" s="7" t="inlineStr"/>
      <c r="G241" s="8" t="inlineStr"/>
      <c r="H241" s="8" t="inlineStr"/>
      <c r="I241" s="9" t="n">
        <v>138116</v>
      </c>
      <c r="J241" s="10" t="n">
        <v>12949</v>
      </c>
      <c r="K241" s="10" t="n">
        <v>23573</v>
      </c>
      <c r="L241" s="7" t="n">
        <v>134754</v>
      </c>
      <c r="M241" s="8" t="n">
        <v>1280</v>
      </c>
      <c r="N241" s="8" t="n">
        <v>8504</v>
      </c>
      <c r="O241" s="9" t="n">
        <v>107438</v>
      </c>
      <c r="P241" s="10" t="n">
        <v>905</v>
      </c>
      <c r="Q241" s="10" t="n">
        <v>-14169</v>
      </c>
      <c r="R241" s="7" t="n">
        <v>115813</v>
      </c>
      <c r="S241" s="8" t="n">
        <v>1305</v>
      </c>
      <c r="T241" s="8" t="n">
        <v>22261</v>
      </c>
      <c r="U241" s="9" t="n">
        <v>117706</v>
      </c>
      <c r="V241" s="10" t="n">
        <v>2369</v>
      </c>
      <c r="W241" s="10" t="n">
        <v>1288</v>
      </c>
      <c r="X241" s="7" t="n">
        <v>103711</v>
      </c>
      <c r="Y241" s="8" t="n">
        <v>-1556</v>
      </c>
      <c r="Z241" s="8" t="n">
        <v>-11774</v>
      </c>
      <c r="AA241" s="9" t="n">
        <v>105287</v>
      </c>
      <c r="AB241" s="10" t="n">
        <v>-3157</v>
      </c>
      <c r="AC241" s="10" t="n">
        <v>3007</v>
      </c>
      <c r="AD241" s="7" t="n">
        <v>128037</v>
      </c>
      <c r="AE241" s="8" t="n">
        <v>778</v>
      </c>
      <c r="AF241" s="8" t="n">
        <v>12784</v>
      </c>
      <c r="AG241" s="9" t="n">
        <v>85919</v>
      </c>
      <c r="AH241" s="10" t="n">
        <v>4474</v>
      </c>
      <c r="AI241" s="10" t="n">
        <v>11791</v>
      </c>
      <c r="AJ241" s="11" t="n">
        <v>128967</v>
      </c>
      <c r="AK241" s="12" t="n">
        <v>506</v>
      </c>
      <c r="AL241" s="12" t="n">
        <v>20300</v>
      </c>
      <c r="AM241" s="13" t="n">
        <v>50.1</v>
      </c>
      <c r="AN241" s="13" t="n">
        <v>24.4</v>
      </c>
      <c r="AO241" s="13" t="n">
        <v>-88.7</v>
      </c>
      <c r="AP241" s="13" t="n">
        <v>132.5</v>
      </c>
    </row>
    <row r="242">
      <c r="A242" s="5" t="inlineStr">
        <is>
          <t>성신양회</t>
        </is>
      </c>
      <c r="B242" s="6" t="inlineStr">
        <is>
          <t>004980</t>
        </is>
      </c>
      <c r="C242" s="6" t="inlineStr">
        <is>
          <t>연결</t>
        </is>
      </c>
      <c r="D242" s="6" t="inlineStr">
        <is>
          <t>2026Q2</t>
        </is>
      </c>
      <c r="E242" s="6" t="inlineStr"/>
      <c r="F242" s="7" t="inlineStr"/>
      <c r="G242" s="8" t="inlineStr"/>
      <c r="H242" s="8" t="inlineStr"/>
      <c r="I242" s="9" t="n">
        <v>282741</v>
      </c>
      <c r="J242" s="10" t="n">
        <v>16367</v>
      </c>
      <c r="K242" s="10" t="n">
        <v>7080</v>
      </c>
      <c r="L242" s="7" t="n">
        <v>320509</v>
      </c>
      <c r="M242" s="8" t="n">
        <v>35302</v>
      </c>
      <c r="N242" s="8" t="n">
        <v>24001</v>
      </c>
      <c r="O242" s="9" t="n">
        <v>261823</v>
      </c>
      <c r="P242" s="10" t="n">
        <v>6393</v>
      </c>
      <c r="Q242" s="10" t="n">
        <v>9426</v>
      </c>
      <c r="R242" s="7" t="n">
        <v>297560</v>
      </c>
      <c r="S242" s="8" t="n">
        <v>-4823</v>
      </c>
      <c r="T242" s="8" t="n">
        <v>4867</v>
      </c>
      <c r="U242" s="9" t="n">
        <v>228602</v>
      </c>
      <c r="V242" s="10" t="n">
        <v>-6261</v>
      </c>
      <c r="W242" s="10" t="n">
        <v>-9423</v>
      </c>
      <c r="X242" s="7" t="n">
        <v>335361</v>
      </c>
      <c r="Y242" s="8" t="n">
        <v>22446</v>
      </c>
      <c r="Z242" s="8" t="n">
        <v>17573</v>
      </c>
      <c r="AA242" s="9" t="n">
        <v>318146</v>
      </c>
      <c r="AB242" s="10" t="n">
        <v>12586</v>
      </c>
      <c r="AC242" s="10" t="n">
        <v>5916</v>
      </c>
      <c r="AD242" s="7" t="n">
        <v>334157</v>
      </c>
      <c r="AE242" s="8" t="n">
        <v>14885</v>
      </c>
      <c r="AF242" s="8" t="n">
        <v>11949</v>
      </c>
      <c r="AG242" s="9" t="n">
        <v>285025</v>
      </c>
      <c r="AH242" s="10" t="n">
        <v>792</v>
      </c>
      <c r="AI242" s="10" t="n">
        <v>-5876</v>
      </c>
      <c r="AJ242" s="11" t="n">
        <v>503229</v>
      </c>
      <c r="AK242" s="12" t="n">
        <v>18935</v>
      </c>
      <c r="AL242" s="12" t="n">
        <v>19366</v>
      </c>
      <c r="AM242" s="13" t="n">
        <v>76.59999999999999</v>
      </c>
      <c r="AN242" s="13" t="n">
        <v>50.1</v>
      </c>
      <c r="AO242" s="13" t="n">
        <v>2290.8</v>
      </c>
      <c r="AP242" s="13" t="n">
        <v>-15.6</v>
      </c>
    </row>
    <row r="243">
      <c r="A243" s="5" t="inlineStr">
        <is>
          <t>롯데지주</t>
        </is>
      </c>
      <c r="B243" s="6" t="inlineStr">
        <is>
          <t>004990</t>
        </is>
      </c>
      <c r="C243" s="6" t="inlineStr">
        <is>
          <t>연결</t>
        </is>
      </c>
      <c r="D243" s="6" t="inlineStr">
        <is>
          <t>2026Q2</t>
        </is>
      </c>
      <c r="E243" s="6" t="inlineStr"/>
      <c r="F243" s="7" t="inlineStr"/>
      <c r="G243" s="8" t="inlineStr"/>
      <c r="H243" s="8" t="inlineStr"/>
      <c r="I243" s="9" t="n">
        <v>3737751</v>
      </c>
      <c r="J243" s="10" t="n">
        <v>69341</v>
      </c>
      <c r="K243" s="10" t="n">
        <v>-18632</v>
      </c>
      <c r="L243" s="7" t="n">
        <v>4107852</v>
      </c>
      <c r="M243" s="8" t="n">
        <v>165113</v>
      </c>
      <c r="N243" s="8" t="n">
        <v>-146908</v>
      </c>
      <c r="O243" s="9" t="n">
        <v>4143043</v>
      </c>
      <c r="P243" s="10" t="n">
        <v>179003</v>
      </c>
      <c r="Q243" s="10" t="n">
        <v>-21565</v>
      </c>
      <c r="R243" s="7" t="n">
        <v>3768330</v>
      </c>
      <c r="S243" s="8" t="n">
        <v>-72988</v>
      </c>
      <c r="T243" s="8" t="n">
        <v>-758973</v>
      </c>
      <c r="U243" s="9" t="n">
        <v>3585252</v>
      </c>
      <c r="V243" s="10" t="n">
        <v>17955</v>
      </c>
      <c r="W243" s="10" t="n">
        <v>-91865</v>
      </c>
      <c r="X243" s="7" t="n">
        <v>4043187</v>
      </c>
      <c r="Y243" s="8" t="n">
        <v>142199</v>
      </c>
      <c r="Z243" s="8" t="n">
        <v>-68541</v>
      </c>
      <c r="AA243" s="9" t="n">
        <v>4154307</v>
      </c>
      <c r="AB243" s="10" t="n">
        <v>185068</v>
      </c>
      <c r="AC243" s="10" t="n">
        <v>-15659</v>
      </c>
      <c r="AD243" s="7" t="n">
        <v>3756881</v>
      </c>
      <c r="AE243" s="8" t="n">
        <v>-105783</v>
      </c>
      <c r="AF243" s="8" t="n">
        <v>-418938</v>
      </c>
      <c r="AG243" s="9" t="n">
        <v>3622150</v>
      </c>
      <c r="AH243" s="10" t="n">
        <v>46076</v>
      </c>
      <c r="AI243" s="10" t="n">
        <v>14481</v>
      </c>
      <c r="AJ243" s="11" t="n">
        <v>4093074</v>
      </c>
      <c r="AK243" s="12" t="n">
        <v>128979</v>
      </c>
      <c r="AL243" s="12" t="n">
        <v>64352</v>
      </c>
      <c r="AM243" s="13" t="n">
        <v>13</v>
      </c>
      <c r="AN243" s="13" t="n">
        <v>1.2</v>
      </c>
      <c r="AO243" s="13" t="n">
        <v>179.9</v>
      </c>
      <c r="AP243" s="13" t="n">
        <v>-9.300000000000001</v>
      </c>
    </row>
    <row r="244">
      <c r="A244" s="5" t="inlineStr">
        <is>
          <t>휴스틸</t>
        </is>
      </c>
      <c r="B244" s="6" t="inlineStr">
        <is>
          <t>005010</t>
        </is>
      </c>
      <c r="C244" s="6" t="inlineStr">
        <is>
          <t>연결</t>
        </is>
      </c>
      <c r="D244" s="6" t="inlineStr">
        <is>
          <t>2026Q2</t>
        </is>
      </c>
      <c r="E244" s="6" t="inlineStr"/>
      <c r="F244" s="7" t="inlineStr"/>
      <c r="G244" s="8" t="inlineStr"/>
      <c r="H244" s="8" t="inlineStr"/>
      <c r="I244" s="9" t="n">
        <v>169973</v>
      </c>
      <c r="J244" s="10" t="n">
        <v>18301</v>
      </c>
      <c r="K244" s="10" t="n">
        <v>21542</v>
      </c>
      <c r="L244" s="7" t="n">
        <v>214760</v>
      </c>
      <c r="M244" s="8" t="n">
        <v>-1801</v>
      </c>
      <c r="N244" s="8" t="n">
        <v>6681</v>
      </c>
      <c r="O244" s="9" t="n">
        <v>186670</v>
      </c>
      <c r="P244" s="10" t="n">
        <v>-714</v>
      </c>
      <c r="Q244" s="10" t="n">
        <v>-3293</v>
      </c>
      <c r="R244" s="7" t="n">
        <v>151665</v>
      </c>
      <c r="S244" s="8" t="n">
        <v>1294</v>
      </c>
      <c r="T244" s="8" t="n">
        <v>-2618</v>
      </c>
      <c r="U244" s="9" t="n">
        <v>154010</v>
      </c>
      <c r="V244" s="10" t="n">
        <v>-467</v>
      </c>
      <c r="W244" s="10" t="n">
        <v>-2407</v>
      </c>
      <c r="X244" s="7" t="n">
        <v>155500</v>
      </c>
      <c r="Y244" s="8" t="n">
        <v>-2742</v>
      </c>
      <c r="Z244" s="8" t="n">
        <v>3566</v>
      </c>
      <c r="AA244" s="9" t="n">
        <v>162093</v>
      </c>
      <c r="AB244" s="10" t="n">
        <v>11481</v>
      </c>
      <c r="AC244" s="10" t="n">
        <v>30366</v>
      </c>
      <c r="AD244" s="7" t="n">
        <v>140887</v>
      </c>
      <c r="AE244" s="8" t="n">
        <v>-4782</v>
      </c>
      <c r="AF244" s="8" t="n">
        <v>-46557</v>
      </c>
      <c r="AG244" s="9" t="n">
        <v>147929</v>
      </c>
      <c r="AH244" s="10" t="n">
        <v>-5252</v>
      </c>
      <c r="AI244" s="10" t="n">
        <v>-4282</v>
      </c>
      <c r="AJ244" s="11" t="n">
        <v>242023</v>
      </c>
      <c r="AK244" s="12" t="n">
        <v>-806</v>
      </c>
      <c r="AL244" s="12" t="n">
        <v>-14251</v>
      </c>
      <c r="AM244" s="13" t="n">
        <v>63.6</v>
      </c>
      <c r="AN244" s="13" t="n">
        <v>55.6</v>
      </c>
      <c r="AO244" s="13" t="n">
        <v>84.7</v>
      </c>
      <c r="AP244" s="13" t="n">
        <v>70.59999999999999</v>
      </c>
    </row>
    <row r="245">
      <c r="A245" s="5" t="inlineStr">
        <is>
          <t>부산주공</t>
        </is>
      </c>
      <c r="B245" s="6" t="inlineStr">
        <is>
          <t>005030</t>
        </is>
      </c>
      <c r="C245" s="6" t="inlineStr">
        <is>
          <t>별도</t>
        </is>
      </c>
      <c r="D245" s="6" t="inlineStr">
        <is>
          <t>2026Q2</t>
        </is>
      </c>
      <c r="E245" s="6" t="inlineStr"/>
      <c r="F245" s="7" t="inlineStr"/>
      <c r="G245" s="8" t="inlineStr"/>
      <c r="H245" s="8" t="inlineStr"/>
      <c r="I245" s="9" t="n">
        <v>55660</v>
      </c>
      <c r="J245" s="10" t="n">
        <v>942</v>
      </c>
      <c r="K245" s="10" t="n">
        <v>120</v>
      </c>
      <c r="L245" s="7" t="n">
        <v>60809</v>
      </c>
      <c r="M245" s="8" t="n">
        <v>1150</v>
      </c>
      <c r="N245" s="8" t="n">
        <v>149</v>
      </c>
      <c r="O245" s="9" t="n">
        <v>45555</v>
      </c>
      <c r="P245" s="10" t="n">
        <v>165</v>
      </c>
      <c r="Q245" s="10" t="n">
        <v>-1193</v>
      </c>
      <c r="R245" s="7" t="n">
        <v>51006</v>
      </c>
      <c r="S245" s="8" t="n">
        <v>5077</v>
      </c>
      <c r="T245" s="8" t="n">
        <v>351</v>
      </c>
      <c r="U245" s="9" t="n">
        <v>54874</v>
      </c>
      <c r="V245" s="10" t="n">
        <v>250</v>
      </c>
      <c r="W245" s="10" t="n">
        <v>-1607</v>
      </c>
      <c r="X245" s="7" t="n">
        <v>52278</v>
      </c>
      <c r="Y245" s="8" t="n">
        <v>755</v>
      </c>
      <c r="Z245" s="8" t="n">
        <v>-759</v>
      </c>
      <c r="AA245" s="9" t="n">
        <v>46522</v>
      </c>
      <c r="AB245" s="10" t="n">
        <v>128</v>
      </c>
      <c r="AC245" s="10" t="n">
        <v>-2242</v>
      </c>
      <c r="AD245" s="7" t="n">
        <v>41732</v>
      </c>
      <c r="AE245" s="8" t="n">
        <v>-555</v>
      </c>
      <c r="AF245" s="8" t="n">
        <v>6328</v>
      </c>
      <c r="AG245" s="9" t="n">
        <v>50882</v>
      </c>
      <c r="AH245" s="10" t="n">
        <v>-78</v>
      </c>
      <c r="AI245" s="10" t="n">
        <v>-2409</v>
      </c>
      <c r="AJ245" s="11" t="n">
        <v>53280</v>
      </c>
      <c r="AK245" s="12" t="n">
        <v>-1272</v>
      </c>
      <c r="AL245" s="12" t="n">
        <v>-2192</v>
      </c>
      <c r="AM245" s="13" t="n">
        <v>4.7</v>
      </c>
      <c r="AN245" s="13" t="n">
        <v>1.9</v>
      </c>
      <c r="AO245" s="13" t="n">
        <v>-1530.8</v>
      </c>
      <c r="AP245" s="13" t="n">
        <v>-268.5</v>
      </c>
    </row>
    <row r="246">
      <c r="A246" s="5" t="inlineStr">
        <is>
          <t>코스모신소재</t>
        </is>
      </c>
      <c r="B246" s="6" t="inlineStr">
        <is>
          <t>005070</t>
        </is>
      </c>
      <c r="C246" s="6" t="inlineStr">
        <is>
          <t>별도</t>
        </is>
      </c>
      <c r="D246" s="6" t="inlineStr">
        <is>
          <t>2026Q2</t>
        </is>
      </c>
      <c r="E246" s="6" t="inlineStr">
        <is>
          <t>2023Q4</t>
        </is>
      </c>
      <c r="F246" s="14" t="n">
        <v>88755</v>
      </c>
      <c r="G246" s="15" t="n">
        <v>7876</v>
      </c>
      <c r="H246" s="15" t="n">
        <v>9340</v>
      </c>
      <c r="I246" s="9" t="n">
        <v>122100</v>
      </c>
      <c r="J246" s="10" t="n">
        <v>5288</v>
      </c>
      <c r="K246" s="10" t="n">
        <v>4617</v>
      </c>
      <c r="L246" s="7" t="n">
        <v>185391</v>
      </c>
      <c r="M246" s="8" t="n">
        <v>6929</v>
      </c>
      <c r="N246" s="8" t="n">
        <v>4290</v>
      </c>
      <c r="O246" s="9" t="n">
        <v>119338</v>
      </c>
      <c r="P246" s="10" t="n">
        <v>6532</v>
      </c>
      <c r="Q246" s="10" t="n">
        <v>7635</v>
      </c>
      <c r="R246" s="7" t="n">
        <v>142900</v>
      </c>
      <c r="S246" s="8" t="n">
        <v>6253</v>
      </c>
      <c r="T246" s="8" t="n">
        <v>1106</v>
      </c>
      <c r="U246" s="9" t="n">
        <v>113877</v>
      </c>
      <c r="V246" s="10" t="n">
        <v>1044</v>
      </c>
      <c r="W246" s="10" t="n">
        <v>1923</v>
      </c>
      <c r="X246" s="7" t="n">
        <v>120131</v>
      </c>
      <c r="Y246" s="8" t="n">
        <v>529</v>
      </c>
      <c r="Z246" s="8" t="n">
        <v>2282</v>
      </c>
      <c r="AA246" s="9" t="n">
        <v>105252</v>
      </c>
      <c r="AB246" s="10" t="n">
        <v>135</v>
      </c>
      <c r="AC246" s="10" t="n">
        <v>-2603</v>
      </c>
      <c r="AD246" s="7" t="n">
        <v>117036</v>
      </c>
      <c r="AE246" s="8" t="n">
        <v>670</v>
      </c>
      <c r="AF246" s="8" t="n">
        <v>-2125</v>
      </c>
      <c r="AG246" s="9" t="n">
        <v>122720</v>
      </c>
      <c r="AH246" s="10" t="n">
        <v>874</v>
      </c>
      <c r="AI246" s="10" t="n">
        <v>-3568</v>
      </c>
      <c r="AJ246" s="11" t="n">
        <v>137684</v>
      </c>
      <c r="AK246" s="12" t="n">
        <v>4653</v>
      </c>
      <c r="AL246" s="12" t="n">
        <v>1236</v>
      </c>
      <c r="AM246" s="13" t="n">
        <v>12.2</v>
      </c>
      <c r="AN246" s="13" t="n">
        <v>14.6</v>
      </c>
      <c r="AO246" s="13" t="n">
        <v>432.4</v>
      </c>
      <c r="AP246" s="13" t="n">
        <v>779.6</v>
      </c>
    </row>
    <row r="247">
      <c r="A247" s="5" t="inlineStr">
        <is>
          <t>SGC에너지</t>
        </is>
      </c>
      <c r="B247" s="6" t="inlineStr">
        <is>
          <t>005090</t>
        </is>
      </c>
      <c r="C247" s="6" t="inlineStr">
        <is>
          <t>연결</t>
        </is>
      </c>
      <c r="D247" s="6" t="inlineStr">
        <is>
          <t>2026Q2</t>
        </is>
      </c>
      <c r="E247" s="6" t="inlineStr"/>
      <c r="F247" s="7" t="inlineStr"/>
      <c r="G247" s="8" t="inlineStr"/>
      <c r="H247" s="8" t="inlineStr"/>
      <c r="I247" s="9" t="n">
        <v>558741</v>
      </c>
      <c r="J247" s="10" t="n">
        <v>51174</v>
      </c>
      <c r="K247" s="10" t="n">
        <v>22770</v>
      </c>
      <c r="L247" s="7" t="n">
        <v>606811</v>
      </c>
      <c r="M247" s="8" t="n">
        <v>68055</v>
      </c>
      <c r="N247" s="8" t="n">
        <v>30096</v>
      </c>
      <c r="O247" s="9" t="n">
        <v>541436</v>
      </c>
      <c r="P247" s="10" t="n">
        <v>44185</v>
      </c>
      <c r="Q247" s="10" t="n">
        <v>11249</v>
      </c>
      <c r="R247" s="7" t="n">
        <v>648005</v>
      </c>
      <c r="S247" s="8" t="n">
        <v>26198</v>
      </c>
      <c r="T247" s="8" t="n">
        <v>-28220</v>
      </c>
      <c r="U247" s="9" t="n">
        <v>618478</v>
      </c>
      <c r="V247" s="10" t="n">
        <v>17550</v>
      </c>
      <c r="W247" s="10" t="n">
        <v>-2308</v>
      </c>
      <c r="X247" s="7" t="n">
        <v>618460</v>
      </c>
      <c r="Y247" s="8" t="n">
        <v>34011</v>
      </c>
      <c r="Z247" s="8" t="n">
        <v>-5176</v>
      </c>
      <c r="AA247" s="9" t="n">
        <v>598943</v>
      </c>
      <c r="AB247" s="10" t="n">
        <v>25431</v>
      </c>
      <c r="AC247" s="10" t="n">
        <v>-18467</v>
      </c>
      <c r="AD247" s="7" t="n">
        <v>624807</v>
      </c>
      <c r="AE247" s="8" t="n">
        <v>18828</v>
      </c>
      <c r="AF247" s="8" t="n">
        <v>-68859</v>
      </c>
      <c r="AG247" s="9" t="n">
        <v>611481</v>
      </c>
      <c r="AH247" s="10" t="n">
        <v>35738</v>
      </c>
      <c r="AI247" s="10" t="n">
        <v>6166</v>
      </c>
      <c r="AJ247" s="11" t="n">
        <v>576960</v>
      </c>
      <c r="AK247" s="12" t="n">
        <v>44881</v>
      </c>
      <c r="AL247" s="12" t="n">
        <v>7694</v>
      </c>
      <c r="AM247" s="13" t="n">
        <v>-5.6</v>
      </c>
      <c r="AN247" s="13" t="n">
        <v>-6.7</v>
      </c>
      <c r="AO247" s="13" t="n">
        <v>25.6</v>
      </c>
      <c r="AP247" s="13" t="n">
        <v>32</v>
      </c>
    </row>
    <row r="248">
      <c r="A248" s="5" t="inlineStr">
        <is>
          <t>한창</t>
        </is>
      </c>
      <c r="B248" s="6" t="inlineStr">
        <is>
          <t>005110</t>
        </is>
      </c>
      <c r="C248" s="6" t="inlineStr">
        <is>
          <t>연결</t>
        </is>
      </c>
      <c r="D248" s="6" t="inlineStr">
        <is>
          <t>2026Q2</t>
        </is>
      </c>
      <c r="E248" s="6" t="inlineStr"/>
      <c r="F248" s="7" t="inlineStr"/>
      <c r="G248" s="8" t="inlineStr"/>
      <c r="H248" s="8" t="inlineStr"/>
      <c r="I248" s="9" t="n">
        <v>16448</v>
      </c>
      <c r="J248" s="10" t="n">
        <v>1655</v>
      </c>
      <c r="K248" s="10" t="n">
        <v>1417</v>
      </c>
      <c r="L248" s="7" t="n">
        <v>9457</v>
      </c>
      <c r="M248" s="8" t="n">
        <v>-1655</v>
      </c>
      <c r="N248" s="8" t="n">
        <v>-4131</v>
      </c>
      <c r="O248" s="9" t="n">
        <v>6812</v>
      </c>
      <c r="P248" s="10" t="n">
        <v>-620</v>
      </c>
      <c r="Q248" s="10" t="n">
        <v>-1678</v>
      </c>
      <c r="R248" s="7" t="n">
        <v>-29628</v>
      </c>
      <c r="S248" s="8" t="n">
        <v>-8824</v>
      </c>
      <c r="T248" s="8" t="n">
        <v>-14092</v>
      </c>
      <c r="U248" s="9" t="n">
        <v>314</v>
      </c>
      <c r="V248" s="10" t="n">
        <v>-1184</v>
      </c>
      <c r="W248" s="10" t="n">
        <v>2280</v>
      </c>
      <c r="X248" s="7" t="n">
        <v>2299</v>
      </c>
      <c r="Y248" s="8" t="n">
        <v>-4162</v>
      </c>
      <c r="Z248" s="8" t="n">
        <v>64339</v>
      </c>
      <c r="AA248" s="9" t="n">
        <v>2174</v>
      </c>
      <c r="AB248" s="10" t="n">
        <v>-1171</v>
      </c>
      <c r="AC248" s="10" t="n">
        <v>-932</v>
      </c>
      <c r="AD248" s="7" t="n">
        <v>3258</v>
      </c>
      <c r="AE248" s="8" t="n">
        <v>-1259</v>
      </c>
      <c r="AF248" s="8" t="n">
        <v>-3360</v>
      </c>
      <c r="AG248" s="9" t="n">
        <v>837</v>
      </c>
      <c r="AH248" s="10" t="n">
        <v>-1922</v>
      </c>
      <c r="AI248" s="10" t="n">
        <v>-7108</v>
      </c>
      <c r="AJ248" s="11" t="n">
        <v>2038</v>
      </c>
      <c r="AK248" s="12" t="n">
        <v>-1202</v>
      </c>
      <c r="AL248" s="12" t="n">
        <v>-159</v>
      </c>
      <c r="AM248" s="13" t="n">
        <v>143.5</v>
      </c>
      <c r="AN248" s="13" t="n">
        <v>-11.4</v>
      </c>
      <c r="AO248" s="13" t="n">
        <v>37.5</v>
      </c>
      <c r="AP248" s="13" t="n">
        <v>71.09999999999999</v>
      </c>
    </row>
    <row r="249">
      <c r="A249" s="5" t="inlineStr">
        <is>
          <t>동국산업</t>
        </is>
      </c>
      <c r="B249" s="6" t="inlineStr">
        <is>
          <t>005160</t>
        </is>
      </c>
      <c r="C249" s="6" t="inlineStr">
        <is>
          <t>연결</t>
        </is>
      </c>
      <c r="D249" s="6" t="inlineStr">
        <is>
          <t>2026Q2</t>
        </is>
      </c>
      <c r="E249" s="6" t="inlineStr"/>
      <c r="F249" s="7" t="inlineStr"/>
      <c r="G249" s="8" t="inlineStr"/>
      <c r="H249" s="8" t="inlineStr"/>
      <c r="I249" s="9" t="n">
        <v>176331</v>
      </c>
      <c r="J249" s="10" t="n">
        <v>3722</v>
      </c>
      <c r="K249" s="10" t="n">
        <v>574</v>
      </c>
      <c r="L249" s="7" t="n">
        <v>231399</v>
      </c>
      <c r="M249" s="8" t="n">
        <v>16256</v>
      </c>
      <c r="N249" s="8" t="n">
        <v>7614</v>
      </c>
      <c r="O249" s="9" t="n">
        <v>205900</v>
      </c>
      <c r="P249" s="10" t="n">
        <v>6617</v>
      </c>
      <c r="Q249" s="10" t="n">
        <v>3579</v>
      </c>
      <c r="R249" s="7" t="n">
        <v>176658</v>
      </c>
      <c r="S249" s="8" t="n">
        <v>-14613</v>
      </c>
      <c r="T249" s="8" t="n">
        <v>-41400</v>
      </c>
      <c r="U249" s="9" t="n">
        <v>204574</v>
      </c>
      <c r="V249" s="10" t="n">
        <v>9742</v>
      </c>
      <c r="W249" s="10" t="n">
        <v>5469</v>
      </c>
      <c r="X249" s="7" t="n">
        <v>195452</v>
      </c>
      <c r="Y249" s="8" t="n">
        <v>5592</v>
      </c>
      <c r="Z249" s="8" t="n">
        <v>-7712</v>
      </c>
      <c r="AA249" s="9" t="n">
        <v>175908</v>
      </c>
      <c r="AB249" s="10" t="n">
        <v>-4989</v>
      </c>
      <c r="AC249" s="10" t="n">
        <v>-4096</v>
      </c>
      <c r="AD249" s="7" t="n">
        <v>151830</v>
      </c>
      <c r="AE249" s="8" t="n">
        <v>-3320</v>
      </c>
      <c r="AF249" s="8" t="n">
        <v>-4721</v>
      </c>
      <c r="AG249" s="9" t="n">
        <v>166995</v>
      </c>
      <c r="AH249" s="10" t="n">
        <v>-4567</v>
      </c>
      <c r="AI249" s="10" t="n">
        <v>-10695</v>
      </c>
      <c r="AJ249" s="11" t="n">
        <v>163391</v>
      </c>
      <c r="AK249" s="12" t="n">
        <v>-855</v>
      </c>
      <c r="AL249" s="12" t="n">
        <v>-10568</v>
      </c>
      <c r="AM249" s="13" t="n">
        <v>-2.2</v>
      </c>
      <c r="AN249" s="13" t="n">
        <v>-16.4</v>
      </c>
      <c r="AO249" s="13" t="n">
        <v>81.3</v>
      </c>
      <c r="AP249" s="13" t="n">
        <v>-115.3</v>
      </c>
    </row>
    <row r="250">
      <c r="A250" s="5" t="inlineStr">
        <is>
          <t>빙그레</t>
        </is>
      </c>
      <c r="B250" s="6" t="inlineStr">
        <is>
          <t>005180</t>
        </is>
      </c>
      <c r="C250" s="6" t="inlineStr">
        <is>
          <t>연결</t>
        </is>
      </c>
      <c r="D250" s="6" t="inlineStr">
        <is>
          <t>2026Q2</t>
        </is>
      </c>
      <c r="E250" s="6" t="inlineStr"/>
      <c r="F250" s="7" t="inlineStr"/>
      <c r="G250" s="8" t="inlineStr"/>
      <c r="H250" s="8" t="inlineStr"/>
      <c r="I250" s="9" t="n">
        <v>300866</v>
      </c>
      <c r="J250" s="10" t="n">
        <v>21054</v>
      </c>
      <c r="K250" s="10" t="n">
        <v>18320</v>
      </c>
      <c r="L250" s="7" t="n">
        <v>407453</v>
      </c>
      <c r="M250" s="8" t="n">
        <v>44914</v>
      </c>
      <c r="N250" s="8" t="n">
        <v>36335</v>
      </c>
      <c r="O250" s="9" t="n">
        <v>463797</v>
      </c>
      <c r="P250" s="10" t="n">
        <v>64678</v>
      </c>
      <c r="Q250" s="10" t="n">
        <v>49423</v>
      </c>
      <c r="R250" s="7" t="n">
        <v>290925</v>
      </c>
      <c r="S250" s="8" t="n">
        <v>630</v>
      </c>
      <c r="T250" s="8" t="n">
        <v>-851</v>
      </c>
      <c r="U250" s="9" t="n">
        <v>308502</v>
      </c>
      <c r="V250" s="10" t="n">
        <v>13452</v>
      </c>
      <c r="W250" s="10" t="n">
        <v>11578</v>
      </c>
      <c r="X250" s="7" t="n">
        <v>409607</v>
      </c>
      <c r="Y250" s="8" t="n">
        <v>26831</v>
      </c>
      <c r="Z250" s="8" t="n">
        <v>24259</v>
      </c>
      <c r="AA250" s="9" t="n">
        <v>479232</v>
      </c>
      <c r="AB250" s="10" t="n">
        <v>58928</v>
      </c>
      <c r="AC250" s="10" t="n">
        <v>45384</v>
      </c>
      <c r="AD250" s="7" t="n">
        <v>292246</v>
      </c>
      <c r="AE250" s="8" t="n">
        <v>-10854</v>
      </c>
      <c r="AF250" s="8" t="n">
        <v>-25656</v>
      </c>
      <c r="AG250" s="9" t="n">
        <v>312376</v>
      </c>
      <c r="AH250" s="10" t="n">
        <v>13759</v>
      </c>
      <c r="AI250" s="10" t="n">
        <v>11013</v>
      </c>
      <c r="AJ250" s="11" t="n">
        <v>442070</v>
      </c>
      <c r="AK250" s="12" t="n">
        <v>69725</v>
      </c>
      <c r="AL250" s="12" t="n">
        <v>56412</v>
      </c>
      <c r="AM250" s="13" t="n">
        <v>41.5</v>
      </c>
      <c r="AN250" s="13" t="n">
        <v>7.9</v>
      </c>
      <c r="AO250" s="13" t="n">
        <v>406.8</v>
      </c>
      <c r="AP250" s="13" t="n">
        <v>159.9</v>
      </c>
    </row>
    <row r="251">
      <c r="A251" s="5" t="inlineStr">
        <is>
          <t>녹십자홀딩스</t>
        </is>
      </c>
      <c r="B251" s="6" t="inlineStr">
        <is>
          <t>005250</t>
        </is>
      </c>
      <c r="C251" s="6" t="inlineStr">
        <is>
          <t>연결</t>
        </is>
      </c>
      <c r="D251" s="6" t="inlineStr">
        <is>
          <t>2026Q2</t>
        </is>
      </c>
      <c r="E251" s="6" t="inlineStr"/>
      <c r="F251" s="7" t="inlineStr"/>
      <c r="G251" s="8" t="inlineStr"/>
      <c r="H251" s="8" t="inlineStr"/>
      <c r="I251" s="9" t="n">
        <v>469999</v>
      </c>
      <c r="J251" s="10" t="n">
        <v>-31098</v>
      </c>
      <c r="K251" s="10" t="n">
        <v>-61907</v>
      </c>
      <c r="L251" s="7" t="n">
        <v>559774</v>
      </c>
      <c r="M251" s="8" t="n">
        <v>10623</v>
      </c>
      <c r="N251" s="8" t="n">
        <v>-25021</v>
      </c>
      <c r="O251" s="9" t="n">
        <v>609984</v>
      </c>
      <c r="P251" s="10" t="n">
        <v>34473</v>
      </c>
      <c r="Q251" s="10" t="n">
        <v>6487</v>
      </c>
      <c r="R251" s="7" t="n">
        <v>565098</v>
      </c>
      <c r="S251" s="8" t="n">
        <v>-24714</v>
      </c>
      <c r="T251" s="8" t="n">
        <v>69351</v>
      </c>
      <c r="U251" s="9" t="n">
        <v>494577</v>
      </c>
      <c r="V251" s="10" t="n">
        <v>-4753</v>
      </c>
      <c r="W251" s="10" t="n">
        <v>18161</v>
      </c>
      <c r="X251" s="7" t="n">
        <v>600552</v>
      </c>
      <c r="Y251" s="8" t="n">
        <v>21683</v>
      </c>
      <c r="Z251" s="8" t="n">
        <v>62871</v>
      </c>
      <c r="AA251" s="9" t="n">
        <v>736861</v>
      </c>
      <c r="AB251" s="10" t="n">
        <v>26028</v>
      </c>
      <c r="AC251" s="10" t="n">
        <v>19022</v>
      </c>
      <c r="AD251" s="7" t="n">
        <v>619486</v>
      </c>
      <c r="AE251" s="8" t="n">
        <v>-6731</v>
      </c>
      <c r="AF251" s="8" t="n">
        <v>-141874</v>
      </c>
      <c r="AG251" s="9" t="n">
        <v>534771</v>
      </c>
      <c r="AH251" s="10" t="n">
        <v>3062</v>
      </c>
      <c r="AI251" s="10" t="n">
        <v>-29581</v>
      </c>
      <c r="AJ251" s="11" t="n">
        <v>596272</v>
      </c>
      <c r="AK251" s="12" t="n">
        <v>6624</v>
      </c>
      <c r="AL251" s="12" t="n">
        <v>1307</v>
      </c>
      <c r="AM251" s="13" t="n">
        <v>11.5</v>
      </c>
      <c r="AN251" s="13" t="n">
        <v>-0.7</v>
      </c>
      <c r="AO251" s="13" t="n">
        <v>116.3</v>
      </c>
      <c r="AP251" s="13" t="n">
        <v>-69.5</v>
      </c>
    </row>
    <row r="252">
      <c r="A252" s="5" t="inlineStr">
        <is>
          <t>동진쎄미켐</t>
        </is>
      </c>
      <c r="B252" s="6" t="inlineStr">
        <is>
          <t>005290</t>
        </is>
      </c>
      <c r="C252" s="6" t="inlineStr">
        <is>
          <t>연결</t>
        </is>
      </c>
      <c r="D252" s="6" t="inlineStr">
        <is>
          <t>2026Q2</t>
        </is>
      </c>
      <c r="E252" s="6" t="inlineStr">
        <is>
          <t>2023Q4</t>
        </is>
      </c>
      <c r="F252" s="14" t="n">
        <v>322523</v>
      </c>
      <c r="G252" s="15" t="n">
        <v>36565</v>
      </c>
      <c r="H252" s="15" t="n">
        <v>24179</v>
      </c>
      <c r="I252" s="9" t="n">
        <v>332994</v>
      </c>
      <c r="J252" s="10" t="n">
        <v>47060</v>
      </c>
      <c r="K252" s="10" t="n">
        <v>36569</v>
      </c>
      <c r="L252" s="7" t="n">
        <v>355414</v>
      </c>
      <c r="M252" s="8" t="n">
        <v>49972</v>
      </c>
      <c r="N252" s="8" t="n">
        <v>43151</v>
      </c>
      <c r="O252" s="9" t="n">
        <v>359409</v>
      </c>
      <c r="P252" s="10" t="n">
        <v>61868</v>
      </c>
      <c r="Q252" s="10" t="n">
        <v>33295</v>
      </c>
      <c r="R252" s="7" t="n">
        <v>360327</v>
      </c>
      <c r="S252" s="8" t="n">
        <v>49326</v>
      </c>
      <c r="T252" s="8" t="n">
        <v>30470</v>
      </c>
      <c r="U252" s="9" t="n">
        <v>368108</v>
      </c>
      <c r="V252" s="10" t="n">
        <v>58461</v>
      </c>
      <c r="W252" s="10" t="n">
        <v>36113</v>
      </c>
      <c r="X252" s="7" t="n">
        <v>376841</v>
      </c>
      <c r="Y252" s="8" t="n">
        <v>53838</v>
      </c>
      <c r="Z252" s="8" t="n">
        <v>5481</v>
      </c>
      <c r="AA252" s="9" t="n">
        <v>299908</v>
      </c>
      <c r="AB252" s="10" t="n">
        <v>40372</v>
      </c>
      <c r="AC252" s="10" t="n">
        <v>23179</v>
      </c>
      <c r="AD252" s="7" t="n">
        <v>149288</v>
      </c>
      <c r="AE252" s="8" t="n">
        <v>19778</v>
      </c>
      <c r="AF252" s="8" t="n">
        <v>29319</v>
      </c>
      <c r="AG252" s="9" t="n">
        <v>328086</v>
      </c>
      <c r="AH252" s="10" t="n">
        <v>66593</v>
      </c>
      <c r="AI252" s="10" t="n">
        <v>66899</v>
      </c>
      <c r="AJ252" s="11" t="n">
        <v>346874</v>
      </c>
      <c r="AK252" s="12" t="n">
        <v>59291</v>
      </c>
      <c r="AL252" s="12" t="n">
        <v>84972</v>
      </c>
      <c r="AM252" s="13" t="n">
        <v>5.7</v>
      </c>
      <c r="AN252" s="13" t="n">
        <v>-8</v>
      </c>
      <c r="AO252" s="13" t="n">
        <v>-11</v>
      </c>
      <c r="AP252" s="13" t="n">
        <v>10.1</v>
      </c>
    </row>
    <row r="253">
      <c r="A253" s="5" t="inlineStr">
        <is>
          <t>롯데칠성음료</t>
        </is>
      </c>
      <c r="B253" s="6" t="inlineStr">
        <is>
          <t>005300</t>
        </is>
      </c>
      <c r="C253" s="6" t="inlineStr">
        <is>
          <t>연결</t>
        </is>
      </c>
      <c r="D253" s="6" t="inlineStr">
        <is>
          <t>2026Q2</t>
        </is>
      </c>
      <c r="E253" s="6" t="inlineStr">
        <is>
          <t>2023Q4</t>
        </is>
      </c>
      <c r="F253" s="14" t="n">
        <v>918360</v>
      </c>
      <c r="G253" s="15" t="n">
        <v>7959</v>
      </c>
      <c r="H253" s="15" t="n">
        <v>35293</v>
      </c>
      <c r="I253" s="9" t="n">
        <v>936891</v>
      </c>
      <c r="J253" s="10" t="n">
        <v>36760</v>
      </c>
      <c r="K253" s="10" t="n">
        <v>16132</v>
      </c>
      <c r="L253" s="7" t="n">
        <v>1099250</v>
      </c>
      <c r="M253" s="8" t="n">
        <v>60243</v>
      </c>
      <c r="N253" s="8" t="n">
        <v>21081</v>
      </c>
      <c r="O253" s="9" t="n">
        <v>1065041</v>
      </c>
      <c r="P253" s="10" t="n">
        <v>78719</v>
      </c>
      <c r="Q253" s="10" t="n">
        <v>44484</v>
      </c>
      <c r="R253" s="7" t="n">
        <v>923321</v>
      </c>
      <c r="S253" s="8" t="n">
        <v>9205</v>
      </c>
      <c r="T253" s="8" t="n">
        <v>-21684</v>
      </c>
      <c r="U253" s="9" t="n">
        <v>910343</v>
      </c>
      <c r="V253" s="10" t="n">
        <v>25032</v>
      </c>
      <c r="W253" s="10" t="n">
        <v>5426</v>
      </c>
      <c r="X253" s="7" t="n">
        <v>1087294</v>
      </c>
      <c r="Y253" s="8" t="n">
        <v>62356</v>
      </c>
      <c r="Z253" s="8" t="n">
        <v>27734</v>
      </c>
      <c r="AA253" s="9" t="n">
        <v>1079170</v>
      </c>
      <c r="AB253" s="10" t="n">
        <v>91807</v>
      </c>
      <c r="AC253" s="10" t="n">
        <v>61979</v>
      </c>
      <c r="AD253" s="7" t="n">
        <v>894337</v>
      </c>
      <c r="AE253" s="8" t="n">
        <v>-12035</v>
      </c>
      <c r="AF253" s="8" t="n">
        <v>-43941</v>
      </c>
      <c r="AG253" s="9" t="n">
        <v>952537</v>
      </c>
      <c r="AH253" s="10" t="n">
        <v>47801</v>
      </c>
      <c r="AI253" s="10" t="n">
        <v>25318</v>
      </c>
      <c r="AJ253" s="11" t="n">
        <v>1112890</v>
      </c>
      <c r="AK253" s="12" t="n">
        <v>55845</v>
      </c>
      <c r="AL253" s="12" t="n">
        <v>28202</v>
      </c>
      <c r="AM253" s="13" t="n">
        <v>16.8</v>
      </c>
      <c r="AN253" s="13" t="n">
        <v>2.4</v>
      </c>
      <c r="AO253" s="13" t="n">
        <v>16.8</v>
      </c>
      <c r="AP253" s="13" t="n">
        <v>-10.4</v>
      </c>
    </row>
    <row r="254">
      <c r="A254" s="5" t="inlineStr">
        <is>
          <t>온타이드</t>
        </is>
      </c>
      <c r="B254" s="6" t="inlineStr">
        <is>
          <t>005320</t>
        </is>
      </c>
      <c r="C254" s="6" t="inlineStr">
        <is>
          <t>연결</t>
        </is>
      </c>
      <c r="D254" s="6" t="inlineStr">
        <is>
          <t>2026Q2</t>
        </is>
      </c>
      <c r="E254" s="6" t="inlineStr"/>
      <c r="F254" s="7" t="inlineStr"/>
      <c r="G254" s="8" t="inlineStr"/>
      <c r="H254" s="8" t="inlineStr"/>
      <c r="I254" s="9" t="n">
        <v>54109</v>
      </c>
      <c r="J254" s="10" t="n">
        <v>-3958</v>
      </c>
      <c r="K254" s="10" t="n">
        <v>-4383</v>
      </c>
      <c r="L254" s="7" t="n">
        <v>59450</v>
      </c>
      <c r="M254" s="8" t="n">
        <v>-3067</v>
      </c>
      <c r="N254" s="8" t="n">
        <v>-3231</v>
      </c>
      <c r="O254" s="9" t="n">
        <v>75414</v>
      </c>
      <c r="P254" s="10" t="n">
        <v>3002</v>
      </c>
      <c r="Q254" s="10" t="n">
        <v>1274</v>
      </c>
      <c r="R254" s="7" t="n">
        <v>76942</v>
      </c>
      <c r="S254" s="8" t="n">
        <v>-323</v>
      </c>
      <c r="T254" s="8" t="n">
        <v>2546</v>
      </c>
      <c r="U254" s="9" t="n">
        <v>61692</v>
      </c>
      <c r="V254" s="10" t="n">
        <v>3571</v>
      </c>
      <c r="W254" s="10" t="n">
        <v>285</v>
      </c>
      <c r="X254" s="7" t="n">
        <v>57802</v>
      </c>
      <c r="Y254" s="8" t="n">
        <v>-4417</v>
      </c>
      <c r="Z254" s="8" t="n">
        <v>-5706</v>
      </c>
      <c r="AA254" s="9" t="n">
        <v>51408</v>
      </c>
      <c r="AB254" s="10" t="n">
        <v>-781</v>
      </c>
      <c r="AC254" s="10" t="n">
        <v>-931</v>
      </c>
      <c r="AD254" s="7" t="n">
        <v>60592</v>
      </c>
      <c r="AE254" s="8" t="n">
        <v>-229</v>
      </c>
      <c r="AF254" s="8" t="n">
        <v>-4359</v>
      </c>
      <c r="AG254" s="9" t="n">
        <v>56709</v>
      </c>
      <c r="AH254" s="10" t="n">
        <v>-5520</v>
      </c>
      <c r="AI254" s="10" t="n">
        <v>-5166</v>
      </c>
      <c r="AJ254" s="11" t="n">
        <v>69996</v>
      </c>
      <c r="AK254" s="12" t="n">
        <v>6556</v>
      </c>
      <c r="AL254" s="12" t="n">
        <v>4666</v>
      </c>
      <c r="AM254" s="13" t="n">
        <v>23.4</v>
      </c>
      <c r="AN254" s="13" t="n">
        <v>21.1</v>
      </c>
      <c r="AO254" s="13" t="n">
        <v>218.8</v>
      </c>
      <c r="AP254" s="13" t="n">
        <v>248.4</v>
      </c>
    </row>
    <row r="255">
      <c r="A255" s="5" t="inlineStr">
        <is>
          <t>모나미</t>
        </is>
      </c>
      <c r="B255" s="6" t="inlineStr">
        <is>
          <t>005360</t>
        </is>
      </c>
      <c r="C255" s="6" t="inlineStr">
        <is>
          <t>연결</t>
        </is>
      </c>
      <c r="D255" s="6" t="inlineStr">
        <is>
          <t>2026Q2</t>
        </is>
      </c>
      <c r="E255" s="6" t="inlineStr"/>
      <c r="F255" s="7" t="inlineStr"/>
      <c r="G255" s="8" t="inlineStr"/>
      <c r="H255" s="8" t="inlineStr"/>
      <c r="I255" s="9" t="n">
        <v>38560</v>
      </c>
      <c r="J255" s="10" t="n">
        <v>726</v>
      </c>
      <c r="K255" s="10" t="n">
        <v>1</v>
      </c>
      <c r="L255" s="7" t="n">
        <v>28001</v>
      </c>
      <c r="M255" s="8" t="n">
        <v>-2566</v>
      </c>
      <c r="N255" s="8" t="n">
        <v>-3692</v>
      </c>
      <c r="O255" s="9" t="n">
        <v>32236</v>
      </c>
      <c r="P255" s="10" t="n">
        <v>-1343</v>
      </c>
      <c r="Q255" s="10" t="n">
        <v>-2490</v>
      </c>
      <c r="R255" s="7" t="n">
        <v>34283</v>
      </c>
      <c r="S255" s="8" t="n">
        <v>-630</v>
      </c>
      <c r="T255" s="8" t="n">
        <v>848</v>
      </c>
      <c r="U255" s="9" t="n">
        <v>33487</v>
      </c>
      <c r="V255" s="10" t="n">
        <v>-729</v>
      </c>
      <c r="W255" s="10" t="n">
        <v>-2428</v>
      </c>
      <c r="X255" s="7" t="n">
        <v>31844</v>
      </c>
      <c r="Y255" s="8" t="n">
        <v>-1624</v>
      </c>
      <c r="Z255" s="8" t="n">
        <v>-2585</v>
      </c>
      <c r="AA255" s="9" t="n">
        <v>32602</v>
      </c>
      <c r="AB255" s="10" t="n">
        <v>-2143</v>
      </c>
      <c r="AC255" s="10" t="n">
        <v>-2397</v>
      </c>
      <c r="AD255" s="7" t="n">
        <v>33091</v>
      </c>
      <c r="AE255" s="8" t="n">
        <v>-1358</v>
      </c>
      <c r="AF255" s="8" t="n">
        <v>-3251</v>
      </c>
      <c r="AG255" s="9" t="n">
        <v>32840</v>
      </c>
      <c r="AH255" s="10" t="n">
        <v>-2719</v>
      </c>
      <c r="AI255" s="10" t="n">
        <v>-2815</v>
      </c>
      <c r="AJ255" s="11" t="n">
        <v>28816</v>
      </c>
      <c r="AK255" s="12" t="n">
        <v>-1253</v>
      </c>
      <c r="AL255" s="12" t="n">
        <v>-2494</v>
      </c>
      <c r="AM255" s="13" t="n">
        <v>-12.3</v>
      </c>
      <c r="AN255" s="13" t="n">
        <v>-9.5</v>
      </c>
      <c r="AO255" s="13" t="n">
        <v>53.9</v>
      </c>
      <c r="AP255" s="13" t="n">
        <v>22.8</v>
      </c>
    </row>
    <row r="256">
      <c r="A256" s="5" t="inlineStr">
        <is>
          <t>현대자동차</t>
        </is>
      </c>
      <c r="B256" s="6" t="inlineStr">
        <is>
          <t>005380</t>
        </is>
      </c>
      <c r="C256" s="6" t="inlineStr">
        <is>
          <t>연결</t>
        </is>
      </c>
      <c r="D256" s="6" t="inlineStr">
        <is>
          <t>2026Q2</t>
        </is>
      </c>
      <c r="E256" s="6" t="inlineStr">
        <is>
          <t>2023Q4</t>
        </is>
      </c>
      <c r="F256" s="14" t="n">
        <v>41669232</v>
      </c>
      <c r="G256" s="15" t="n">
        <v>3407792</v>
      </c>
      <c r="H256" s="15" t="n">
        <v>2202634</v>
      </c>
      <c r="I256" s="9" t="n">
        <v>40658539</v>
      </c>
      <c r="J256" s="10" t="n">
        <v>3557362</v>
      </c>
      <c r="K256" s="10" t="n">
        <v>3376001</v>
      </c>
      <c r="L256" s="7" t="n">
        <v>45020581</v>
      </c>
      <c r="M256" s="8" t="n">
        <v>4279136</v>
      </c>
      <c r="N256" s="8" t="n">
        <v>4173900</v>
      </c>
      <c r="O256" s="9" t="n">
        <v>42928332</v>
      </c>
      <c r="P256" s="10" t="n">
        <v>3580900</v>
      </c>
      <c r="Q256" s="10" t="n">
        <v>3205850</v>
      </c>
      <c r="R256" s="7" t="n">
        <v>46623701</v>
      </c>
      <c r="S256" s="8" t="n">
        <v>2822194</v>
      </c>
      <c r="T256" s="8" t="n">
        <v>2474157</v>
      </c>
      <c r="U256" s="9" t="n">
        <v>44407761</v>
      </c>
      <c r="V256" s="10" t="n">
        <v>3633609</v>
      </c>
      <c r="W256" s="10" t="n">
        <v>3382174</v>
      </c>
      <c r="X256" s="7" t="n">
        <v>48286677</v>
      </c>
      <c r="Y256" s="8" t="n">
        <v>3601597</v>
      </c>
      <c r="Z256" s="8" t="n">
        <v>3250390</v>
      </c>
      <c r="AA256" s="9" t="n">
        <v>46721448</v>
      </c>
      <c r="AB256" s="10" t="n">
        <v>2537266</v>
      </c>
      <c r="AC256" s="10" t="n">
        <v>2548183</v>
      </c>
      <c r="AD256" s="7" t="n">
        <v>46838586</v>
      </c>
      <c r="AE256" s="8" t="n">
        <v>1695379</v>
      </c>
      <c r="AF256" s="8" t="n">
        <v>1184028</v>
      </c>
      <c r="AG256" s="9" t="n">
        <v>45938886</v>
      </c>
      <c r="AH256" s="10" t="n">
        <v>2514686</v>
      </c>
      <c r="AI256" s="10" t="n">
        <v>2584926</v>
      </c>
      <c r="AJ256" s="11" t="n">
        <v>49215328</v>
      </c>
      <c r="AK256" s="12" t="n">
        <v>2850888</v>
      </c>
      <c r="AL256" s="12" t="n">
        <v>2887962</v>
      </c>
      <c r="AM256" s="13" t="n">
        <v>7.1</v>
      </c>
      <c r="AN256" s="13" t="n">
        <v>1.9</v>
      </c>
      <c r="AO256" s="13" t="n">
        <v>13.4</v>
      </c>
      <c r="AP256" s="13" t="n">
        <v>-20.8</v>
      </c>
    </row>
    <row r="257">
      <c r="A257" s="5" t="inlineStr">
        <is>
          <t>코스모화학</t>
        </is>
      </c>
      <c r="B257" s="6" t="inlineStr">
        <is>
          <t>005420</t>
        </is>
      </c>
      <c r="C257" s="6" t="inlineStr">
        <is>
          <t>연결</t>
        </is>
      </c>
      <c r="D257" s="6" t="inlineStr">
        <is>
          <t>2026Q2</t>
        </is>
      </c>
      <c r="E257" s="6" t="inlineStr"/>
      <c r="F257" s="7" t="inlineStr"/>
      <c r="G257" s="8" t="inlineStr"/>
      <c r="H257" s="8" t="inlineStr"/>
      <c r="I257" s="9" t="n">
        <v>159733</v>
      </c>
      <c r="J257" s="10" t="n">
        <v>-430</v>
      </c>
      <c r="K257" s="10" t="n">
        <v>-3450</v>
      </c>
      <c r="L257" s="7" t="n">
        <v>233533</v>
      </c>
      <c r="M257" s="8" t="n">
        <v>4236</v>
      </c>
      <c r="N257" s="8" t="n">
        <v>-2350</v>
      </c>
      <c r="O257" s="9" t="n">
        <v>166684</v>
      </c>
      <c r="P257" s="10" t="n">
        <v>1158</v>
      </c>
      <c r="Q257" s="10" t="n">
        <v>-210</v>
      </c>
      <c r="R257" s="7" t="n">
        <v>189331</v>
      </c>
      <c r="S257" s="8" t="n">
        <v>-6965</v>
      </c>
      <c r="T257" s="8" t="n">
        <v>-46274</v>
      </c>
      <c r="U257" s="9" t="n">
        <v>161598</v>
      </c>
      <c r="V257" s="10" t="n">
        <v>953</v>
      </c>
      <c r="W257" s="10" t="n">
        <v>-634</v>
      </c>
      <c r="X257" s="7" t="n">
        <v>177063</v>
      </c>
      <c r="Y257" s="8" t="n">
        <v>-4724</v>
      </c>
      <c r="Z257" s="8" t="n">
        <v>-4112</v>
      </c>
      <c r="AA257" s="9" t="n">
        <v>152000</v>
      </c>
      <c r="AB257" s="10" t="n">
        <v>-4916</v>
      </c>
      <c r="AC257" s="10" t="n">
        <v>-10561</v>
      </c>
      <c r="AD257" s="7" t="n">
        <v>173494</v>
      </c>
      <c r="AE257" s="8" t="n">
        <v>-7299</v>
      </c>
      <c r="AF257" s="8" t="n">
        <v>-15654</v>
      </c>
      <c r="AG257" s="9" t="n">
        <v>183502</v>
      </c>
      <c r="AH257" s="10" t="n">
        <v>5992</v>
      </c>
      <c r="AI257" s="10" t="n">
        <v>-212</v>
      </c>
      <c r="AJ257" s="11" t="n">
        <v>206139</v>
      </c>
      <c r="AK257" s="12" t="n">
        <v>7636</v>
      </c>
      <c r="AL257" s="12" t="n">
        <v>1549</v>
      </c>
      <c r="AM257" s="13" t="n">
        <v>12.3</v>
      </c>
      <c r="AN257" s="13" t="n">
        <v>16.4</v>
      </c>
      <c r="AO257" s="13" t="n">
        <v>27.4</v>
      </c>
      <c r="AP257" s="13" t="n">
        <v>261.6</v>
      </c>
    </row>
    <row r="258">
      <c r="A258" s="5" t="inlineStr">
        <is>
          <t>한국공항</t>
        </is>
      </c>
      <c r="B258" s="6" t="inlineStr">
        <is>
          <t>005430</t>
        </is>
      </c>
      <c r="C258" s="6" t="inlineStr">
        <is>
          <t>연결</t>
        </is>
      </c>
      <c r="D258" s="6" t="inlineStr">
        <is>
          <t>2026Q2</t>
        </is>
      </c>
      <c r="E258" s="6" t="inlineStr"/>
      <c r="F258" s="7" t="inlineStr"/>
      <c r="G258" s="8" t="inlineStr"/>
      <c r="H258" s="8" t="inlineStr"/>
      <c r="I258" s="9" t="n">
        <v>149940</v>
      </c>
      <c r="J258" s="10" t="n">
        <v>14974</v>
      </c>
      <c r="K258" s="10" t="n">
        <v>13018</v>
      </c>
      <c r="L258" s="7" t="n">
        <v>150005</v>
      </c>
      <c r="M258" s="8" t="n">
        <v>14253</v>
      </c>
      <c r="N258" s="8" t="n">
        <v>11406</v>
      </c>
      <c r="O258" s="9" t="n">
        <v>157268</v>
      </c>
      <c r="P258" s="10" t="n">
        <v>16242</v>
      </c>
      <c r="Q258" s="10" t="n">
        <v>13279</v>
      </c>
      <c r="R258" s="7" t="n">
        <v>169324</v>
      </c>
      <c r="S258" s="8" t="n">
        <v>-459</v>
      </c>
      <c r="T258" s="8" t="n">
        <v>2903</v>
      </c>
      <c r="U258" s="9" t="n">
        <v>156868</v>
      </c>
      <c r="V258" s="10" t="n">
        <v>14527</v>
      </c>
      <c r="W258" s="10" t="n">
        <v>11446</v>
      </c>
      <c r="X258" s="7" t="n">
        <v>160297</v>
      </c>
      <c r="Y258" s="8" t="n">
        <v>11469</v>
      </c>
      <c r="Z258" s="8" t="n">
        <v>9474</v>
      </c>
      <c r="AA258" s="9" t="n">
        <v>166971</v>
      </c>
      <c r="AB258" s="10" t="n">
        <v>14468</v>
      </c>
      <c r="AC258" s="10" t="n">
        <v>11577</v>
      </c>
      <c r="AD258" s="7" t="n">
        <v>179057</v>
      </c>
      <c r="AE258" s="8" t="n">
        <v>6551</v>
      </c>
      <c r="AF258" s="8" t="n">
        <v>8049</v>
      </c>
      <c r="AG258" s="9" t="n">
        <v>177976</v>
      </c>
      <c r="AH258" s="10" t="n">
        <v>19686</v>
      </c>
      <c r="AI258" s="10" t="n">
        <v>15912</v>
      </c>
      <c r="AJ258" s="11" t="n">
        <v>173874</v>
      </c>
      <c r="AK258" s="12" t="n">
        <v>12924</v>
      </c>
      <c r="AL258" s="12" t="n">
        <v>10333</v>
      </c>
      <c r="AM258" s="13" t="n">
        <v>-2.3</v>
      </c>
      <c r="AN258" s="13" t="n">
        <v>8.5</v>
      </c>
      <c r="AO258" s="13" t="n">
        <v>-34.3</v>
      </c>
      <c r="AP258" s="13" t="n">
        <v>12.7</v>
      </c>
    </row>
    <row r="259">
      <c r="A259" s="5" t="inlineStr">
        <is>
          <t>현대지에프홀딩스</t>
        </is>
      </c>
      <c r="B259" s="6" t="inlineStr">
        <is>
          <t>005440</t>
        </is>
      </c>
      <c r="C259" s="6" t="inlineStr">
        <is>
          <t>연결</t>
        </is>
      </c>
      <c r="D259" s="6" t="inlineStr">
        <is>
          <t>2026Q2</t>
        </is>
      </c>
      <c r="E259" s="6" t="inlineStr">
        <is>
          <t>2023Q4</t>
        </is>
      </c>
      <c r="F259" s="14" t="n">
        <v>1097400</v>
      </c>
      <c r="G259" s="15" t="n">
        <v>-22400</v>
      </c>
      <c r="H259" s="15" t="n">
        <v>143100</v>
      </c>
      <c r="I259" s="9" t="n">
        <v>1168316</v>
      </c>
      <c r="J259" s="10" t="n">
        <v>36780</v>
      </c>
      <c r="K259" s="10" t="n">
        <v>71871</v>
      </c>
      <c r="L259" s="7" t="n">
        <v>2081580</v>
      </c>
      <c r="M259" s="8" t="n">
        <v>74368</v>
      </c>
      <c r="N259" s="8" t="n">
        <v>492150</v>
      </c>
      <c r="O259" s="9" t="n">
        <v>2011374</v>
      </c>
      <c r="P259" s="10" t="n">
        <v>66614</v>
      </c>
      <c r="Q259" s="10" t="n">
        <v>66171</v>
      </c>
      <c r="R259" s="7" t="n">
        <v>2148007</v>
      </c>
      <c r="S259" s="8" t="n">
        <v>20338</v>
      </c>
      <c r="T259" s="8" t="n">
        <v>161768</v>
      </c>
      <c r="U259" s="9" t="n">
        <v>2072112</v>
      </c>
      <c r="V259" s="10" t="n">
        <v>95569</v>
      </c>
      <c r="W259" s="10" t="n">
        <v>203832</v>
      </c>
      <c r="X259" s="7" t="n">
        <v>1998795</v>
      </c>
      <c r="Y259" s="8" t="n">
        <v>74481</v>
      </c>
      <c r="Z259" s="8" t="n">
        <v>103266</v>
      </c>
      <c r="AA259" s="9" t="n">
        <v>1925169</v>
      </c>
      <c r="AB259" s="10" t="n">
        <v>74759</v>
      </c>
      <c r="AC259" s="10" t="n">
        <v>163834</v>
      </c>
      <c r="AD259" s="7" t="n">
        <v>2095529</v>
      </c>
      <c r="AE259" s="8" t="n">
        <v>29265</v>
      </c>
      <c r="AF259" s="8" t="n">
        <v>47730</v>
      </c>
      <c r="AG259" s="9" t="n">
        <v>2083695</v>
      </c>
      <c r="AH259" s="10" t="n">
        <v>117589</v>
      </c>
      <c r="AI259" s="10" t="n">
        <v>147232</v>
      </c>
      <c r="AJ259" s="11" t="n">
        <v>2055729</v>
      </c>
      <c r="AK259" s="12" t="n">
        <v>85337</v>
      </c>
      <c r="AL259" s="12" t="n">
        <v>132150</v>
      </c>
      <c r="AM259" s="13" t="n">
        <v>-1.3</v>
      </c>
      <c r="AN259" s="13" t="n">
        <v>2.8</v>
      </c>
      <c r="AO259" s="13" t="n">
        <v>-27.4</v>
      </c>
      <c r="AP259" s="13" t="n">
        <v>14.6</v>
      </c>
    </row>
    <row r="260">
      <c r="A260" s="5" t="inlineStr">
        <is>
          <t>POSCO홀딩스</t>
        </is>
      </c>
      <c r="B260" s="6" t="inlineStr">
        <is>
          <t>005490</t>
        </is>
      </c>
      <c r="C260" s="6" t="inlineStr">
        <is>
          <t>연결</t>
        </is>
      </c>
      <c r="D260" s="6" t="inlineStr">
        <is>
          <t>2026Q2</t>
        </is>
      </c>
      <c r="E260" s="6" t="inlineStr">
        <is>
          <t>2023Q4</t>
        </is>
      </c>
      <c r="F260" s="14" t="n">
        <v>77100000</v>
      </c>
      <c r="G260" s="15" t="n">
        <v>3500000</v>
      </c>
      <c r="H260" s="15" t="n">
        <v>1800000</v>
      </c>
      <c r="I260" s="9" t="n">
        <v>18051950</v>
      </c>
      <c r="J260" s="10" t="n">
        <v>583022</v>
      </c>
      <c r="K260" s="10" t="n">
        <v>607815</v>
      </c>
      <c r="L260" s="7" t="n">
        <v>18509681</v>
      </c>
      <c r="M260" s="8" t="n">
        <v>752000</v>
      </c>
      <c r="N260" s="8" t="n">
        <v>546220</v>
      </c>
      <c r="O260" s="9" t="n">
        <v>18321368</v>
      </c>
      <c r="P260" s="10" t="n">
        <v>743167</v>
      </c>
      <c r="Q260" s="10" t="n">
        <v>496819</v>
      </c>
      <c r="R260" s="7" t="n">
        <v>17805144</v>
      </c>
      <c r="S260" s="8" t="n">
        <v>95384</v>
      </c>
      <c r="T260" s="8" t="n">
        <v>-703274</v>
      </c>
      <c r="U260" s="9" t="n">
        <v>17436776</v>
      </c>
      <c r="V260" s="10" t="n">
        <v>568441</v>
      </c>
      <c r="W260" s="10" t="n">
        <v>344235</v>
      </c>
      <c r="X260" s="7" t="n">
        <v>17555587</v>
      </c>
      <c r="Y260" s="8" t="n">
        <v>607172</v>
      </c>
      <c r="Z260" s="8" t="n">
        <v>83846</v>
      </c>
      <c r="AA260" s="9" t="n">
        <v>17261041</v>
      </c>
      <c r="AB260" s="10" t="n">
        <v>638767</v>
      </c>
      <c r="AC260" s="10" t="n">
        <v>386914</v>
      </c>
      <c r="AD260" s="7" t="n">
        <v>16841482</v>
      </c>
      <c r="AE260" s="8" t="n">
        <v>12683</v>
      </c>
      <c r="AF260" s="8" t="n">
        <v>-310592</v>
      </c>
      <c r="AG260" s="9" t="n">
        <v>17876106</v>
      </c>
      <c r="AH260" s="10" t="n">
        <v>706832</v>
      </c>
      <c r="AI260" s="10" t="n">
        <v>543390</v>
      </c>
      <c r="AJ260" s="11" t="n">
        <v>19258684</v>
      </c>
      <c r="AK260" s="12" t="n">
        <v>819014</v>
      </c>
      <c r="AL260" s="12" t="n">
        <v>761314</v>
      </c>
      <c r="AM260" s="13" t="n">
        <v>7.7</v>
      </c>
      <c r="AN260" s="13" t="n">
        <v>9.699999999999999</v>
      </c>
      <c r="AO260" s="13" t="n">
        <v>15.9</v>
      </c>
      <c r="AP260" s="13" t="n">
        <v>34.9</v>
      </c>
    </row>
    <row r="261">
      <c r="A261" s="5" t="inlineStr">
        <is>
          <t>엔에이치스팩32호</t>
        </is>
      </c>
      <c r="B261" s="6" t="inlineStr">
        <is>
          <t>0054V0</t>
        </is>
      </c>
      <c r="C261" s="6" t="inlineStr">
        <is>
          <t>별도</t>
        </is>
      </c>
      <c r="D261" s="6" t="inlineStr">
        <is>
          <t>2026Q2</t>
        </is>
      </c>
      <c r="E261" s="6" t="inlineStr"/>
      <c r="F261" s="7" t="inlineStr"/>
      <c r="G261" s="8" t="inlineStr"/>
      <c r="H261" s="8" t="inlineStr"/>
      <c r="I261" s="9" t="inlineStr"/>
      <c r="J261" s="10" t="inlineStr"/>
      <c r="K261" s="10" t="inlineStr"/>
      <c r="L261" s="7" t="inlineStr"/>
      <c r="M261" s="8" t="inlineStr"/>
      <c r="N261" s="8" t="inlineStr"/>
      <c r="O261" s="9" t="inlineStr"/>
      <c r="P261" s="10" t="inlineStr"/>
      <c r="Q261" s="10" t="inlineStr"/>
      <c r="R261" s="7" t="inlineStr"/>
      <c r="S261" s="8" t="inlineStr"/>
      <c r="T261" s="8" t="inlineStr"/>
      <c r="U261" s="9" t="inlineStr"/>
      <c r="V261" s="10" t="inlineStr"/>
      <c r="W261" s="10" t="inlineStr"/>
      <c r="X261" s="7" t="inlineStr"/>
      <c r="Y261" s="8" t="inlineStr"/>
      <c r="Z261" s="8" t="inlineStr"/>
      <c r="AA261" s="9" t="inlineStr"/>
      <c r="AB261" s="10" t="inlineStr"/>
      <c r="AC261" s="10" t="inlineStr"/>
      <c r="AD261" s="7" t="inlineStr"/>
      <c r="AE261" s="8" t="inlineStr"/>
      <c r="AF261" s="8" t="inlineStr"/>
      <c r="AG261" s="9" t="n">
        <v>0</v>
      </c>
      <c r="AH261" s="10" t="n">
        <v>-15</v>
      </c>
      <c r="AI261" s="10" t="n">
        <v>37</v>
      </c>
      <c r="AJ261" s="11" t="inlineStr"/>
      <c r="AK261" s="12" t="n">
        <v>-14</v>
      </c>
      <c r="AL261" s="12" t="n">
        <v>38</v>
      </c>
      <c r="AM261" s="13" t="inlineStr"/>
      <c r="AN261" s="13" t="inlineStr"/>
      <c r="AO261" s="13" t="n">
        <v>6.7</v>
      </c>
      <c r="AP261" s="13" t="inlineStr"/>
    </row>
    <row r="262">
      <c r="A262" s="5" t="inlineStr">
        <is>
          <t>삼진제약</t>
        </is>
      </c>
      <c r="B262" s="6" t="inlineStr">
        <is>
          <t>005500</t>
        </is>
      </c>
      <c r="C262" s="6" t="inlineStr">
        <is>
          <t>별도</t>
        </is>
      </c>
      <c r="D262" s="6" t="inlineStr">
        <is>
          <t>2026Q2</t>
        </is>
      </c>
      <c r="E262" s="6" t="inlineStr"/>
      <c r="F262" s="7" t="inlineStr"/>
      <c r="G262" s="8" t="inlineStr"/>
      <c r="H262" s="8" t="inlineStr"/>
      <c r="I262" s="9" t="n">
        <v>72559</v>
      </c>
      <c r="J262" s="10" t="n">
        <v>5502</v>
      </c>
      <c r="K262" s="10" t="n">
        <v>3099</v>
      </c>
      <c r="L262" s="7" t="n">
        <v>70754</v>
      </c>
      <c r="M262" s="8" t="n">
        <v>7762</v>
      </c>
      <c r="N262" s="8" t="n">
        <v>24792</v>
      </c>
      <c r="O262" s="9" t="n">
        <v>80547</v>
      </c>
      <c r="P262" s="10" t="n">
        <v>9192</v>
      </c>
      <c r="Q262" s="10" t="n">
        <v>4492</v>
      </c>
      <c r="R262" s="7" t="n">
        <v>84490</v>
      </c>
      <c r="S262" s="8" t="n">
        <v>9182</v>
      </c>
      <c r="T262" s="8" t="n">
        <v>6850</v>
      </c>
      <c r="U262" s="9" t="n">
        <v>70859</v>
      </c>
      <c r="V262" s="10" t="n">
        <v>4839</v>
      </c>
      <c r="W262" s="10" t="n">
        <v>3722</v>
      </c>
      <c r="X262" s="7" t="n">
        <v>74612</v>
      </c>
      <c r="Y262" s="8" t="n">
        <v>7951</v>
      </c>
      <c r="Z262" s="8" t="n">
        <v>4679</v>
      </c>
      <c r="AA262" s="9" t="n">
        <v>83133</v>
      </c>
      <c r="AB262" s="10" t="n">
        <v>9775</v>
      </c>
      <c r="AC262" s="10" t="n">
        <v>6837</v>
      </c>
      <c r="AD262" s="7" t="n">
        <v>80530</v>
      </c>
      <c r="AE262" s="8" t="n">
        <v>4219</v>
      </c>
      <c r="AF262" s="8" t="n">
        <v>8932</v>
      </c>
      <c r="AG262" s="9" t="n">
        <v>68074</v>
      </c>
      <c r="AH262" s="10" t="n">
        <v>3590</v>
      </c>
      <c r="AI262" s="10" t="n">
        <v>1394</v>
      </c>
      <c r="AJ262" s="11" t="n">
        <v>79630</v>
      </c>
      <c r="AK262" s="12" t="n">
        <v>7151</v>
      </c>
      <c r="AL262" s="12" t="n">
        <v>6099</v>
      </c>
      <c r="AM262" s="13" t="n">
        <v>17</v>
      </c>
      <c r="AN262" s="13" t="n">
        <v>6.7</v>
      </c>
      <c r="AO262" s="13" t="n">
        <v>99.2</v>
      </c>
      <c r="AP262" s="13" t="n">
        <v>-10.1</v>
      </c>
    </row>
    <row r="263">
      <c r="A263" s="5" t="inlineStr">
        <is>
          <t>삼립</t>
        </is>
      </c>
      <c r="B263" s="6" t="inlineStr">
        <is>
          <t>005610</t>
        </is>
      </c>
      <c r="C263" s="6" t="inlineStr">
        <is>
          <t>연결</t>
        </is>
      </c>
      <c r="D263" s="6" t="inlineStr">
        <is>
          <t>2026Q2</t>
        </is>
      </c>
      <c r="E263" s="6" t="inlineStr"/>
      <c r="F263" s="7" t="inlineStr"/>
      <c r="G263" s="8" t="inlineStr"/>
      <c r="H263" s="8" t="inlineStr"/>
      <c r="I263" s="9" t="n">
        <v>830636</v>
      </c>
      <c r="J263" s="10" t="n">
        <v>17306</v>
      </c>
      <c r="K263" s="10" t="n">
        <v>9256</v>
      </c>
      <c r="L263" s="7" t="n">
        <v>849427</v>
      </c>
      <c r="M263" s="8" t="n">
        <v>27004</v>
      </c>
      <c r="N263" s="8" t="n">
        <v>46981</v>
      </c>
      <c r="O263" s="9" t="n">
        <v>845201</v>
      </c>
      <c r="P263" s="10" t="n">
        <v>21885</v>
      </c>
      <c r="Q263" s="10" t="n">
        <v>12133</v>
      </c>
      <c r="R263" s="7" t="n">
        <v>902656</v>
      </c>
      <c r="S263" s="8" t="n">
        <v>28774</v>
      </c>
      <c r="T263" s="8" t="n">
        <v>18122</v>
      </c>
      <c r="U263" s="9" t="n">
        <v>814849</v>
      </c>
      <c r="V263" s="10" t="n">
        <v>16061</v>
      </c>
      <c r="W263" s="10" t="n">
        <v>9711</v>
      </c>
      <c r="X263" s="7" t="n">
        <v>823542</v>
      </c>
      <c r="Y263" s="8" t="n">
        <v>8784</v>
      </c>
      <c r="Z263" s="8" t="n">
        <v>3794</v>
      </c>
      <c r="AA263" s="9" t="n">
        <v>863078</v>
      </c>
      <c r="AB263" s="10" t="n">
        <v>9149</v>
      </c>
      <c r="AC263" s="10" t="n">
        <v>655</v>
      </c>
      <c r="AD263" s="7" t="n">
        <v>869012</v>
      </c>
      <c r="AE263" s="8" t="n">
        <v>4745</v>
      </c>
      <c r="AF263" s="8" t="n">
        <v>-125</v>
      </c>
      <c r="AG263" s="9" t="n">
        <v>812276</v>
      </c>
      <c r="AH263" s="10" t="n">
        <v>-4298</v>
      </c>
      <c r="AI263" s="10" t="n">
        <v>-6814</v>
      </c>
      <c r="AJ263" s="11" t="n">
        <v>847831</v>
      </c>
      <c r="AK263" s="12" t="n">
        <v>110</v>
      </c>
      <c r="AL263" s="12" t="n">
        <v>-3052</v>
      </c>
      <c r="AM263" s="13" t="n">
        <v>4.4</v>
      </c>
      <c r="AN263" s="13" t="n">
        <v>2.9</v>
      </c>
      <c r="AO263" s="13" t="n">
        <v>102.6</v>
      </c>
      <c r="AP263" s="13" t="n">
        <v>-98.7</v>
      </c>
    </row>
    <row r="264">
      <c r="A264" s="5" t="inlineStr">
        <is>
          <t>푸드웰</t>
        </is>
      </c>
      <c r="B264" s="6" t="inlineStr">
        <is>
          <t>005670</t>
        </is>
      </c>
      <c r="C264" s="6" t="inlineStr">
        <is>
          <t>연결</t>
        </is>
      </c>
      <c r="D264" s="6" t="inlineStr">
        <is>
          <t>2026Q2</t>
        </is>
      </c>
      <c r="E264" s="6" t="inlineStr"/>
      <c r="F264" s="7" t="inlineStr"/>
      <c r="G264" s="8" t="inlineStr"/>
      <c r="H264" s="8" t="inlineStr"/>
      <c r="I264" s="9" t="n">
        <v>64787</v>
      </c>
      <c r="J264" s="10" t="n">
        <v>3125</v>
      </c>
      <c r="K264" s="10" t="n">
        <v>3714</v>
      </c>
      <c r="L264" s="7" t="n">
        <v>77006</v>
      </c>
      <c r="M264" s="8" t="n">
        <v>3816</v>
      </c>
      <c r="N264" s="8" t="n">
        <v>2564</v>
      </c>
      <c r="O264" s="9" t="n">
        <v>71768</v>
      </c>
      <c r="P264" s="10" t="n">
        <v>5771</v>
      </c>
      <c r="Q264" s="10" t="n">
        <v>4235</v>
      </c>
      <c r="R264" s="7" t="n">
        <v>59430</v>
      </c>
      <c r="S264" s="8" t="n">
        <v>1214</v>
      </c>
      <c r="T264" s="8" t="n">
        <v>432</v>
      </c>
      <c r="U264" s="9" t="n">
        <v>69816</v>
      </c>
      <c r="V264" s="10" t="n">
        <v>3409</v>
      </c>
      <c r="W264" s="10" t="n">
        <v>2002</v>
      </c>
      <c r="X264" s="7" t="n">
        <v>89809</v>
      </c>
      <c r="Y264" s="8" t="n">
        <v>7565</v>
      </c>
      <c r="Z264" s="8" t="n">
        <v>4669</v>
      </c>
      <c r="AA264" s="9" t="n">
        <v>81714</v>
      </c>
      <c r="AB264" s="10" t="n">
        <v>5657</v>
      </c>
      <c r="AC264" s="10" t="n">
        <v>3482</v>
      </c>
      <c r="AD264" s="7" t="n">
        <v>78989</v>
      </c>
      <c r="AE264" s="8" t="n">
        <v>1722</v>
      </c>
      <c r="AF264" s="8" t="n">
        <v>1841</v>
      </c>
      <c r="AG264" s="9" t="n">
        <v>85110</v>
      </c>
      <c r="AH264" s="10" t="n">
        <v>5846</v>
      </c>
      <c r="AI264" s="10" t="n">
        <v>4057</v>
      </c>
      <c r="AJ264" s="11" t="n">
        <v>94181</v>
      </c>
      <c r="AK264" s="12" t="n">
        <v>8885</v>
      </c>
      <c r="AL264" s="12" t="n">
        <v>6035</v>
      </c>
      <c r="AM264" s="13" t="n">
        <v>10.7</v>
      </c>
      <c r="AN264" s="13" t="n">
        <v>4.9</v>
      </c>
      <c r="AO264" s="13" t="n">
        <v>52</v>
      </c>
      <c r="AP264" s="13" t="n">
        <v>17.4</v>
      </c>
    </row>
    <row r="265">
      <c r="A265" s="5" t="inlineStr">
        <is>
          <t>삼영전자공업</t>
        </is>
      </c>
      <c r="B265" s="6" t="inlineStr">
        <is>
          <t>005680</t>
        </is>
      </c>
      <c r="C265" s="6" t="inlineStr">
        <is>
          <t>연결</t>
        </is>
      </c>
      <c r="D265" s="6" t="inlineStr">
        <is>
          <t>2026Q2</t>
        </is>
      </c>
      <c r="E265" s="6" t="inlineStr"/>
      <c r="F265" s="7" t="inlineStr"/>
      <c r="G265" s="8" t="inlineStr"/>
      <c r="H265" s="8" t="inlineStr"/>
      <c r="I265" s="9" t="n">
        <v>41280</v>
      </c>
      <c r="J265" s="10" t="n">
        <v>958</v>
      </c>
      <c r="K265" s="10" t="n">
        <v>3486</v>
      </c>
      <c r="L265" s="7" t="n">
        <v>44186</v>
      </c>
      <c r="M265" s="8" t="n">
        <v>3975</v>
      </c>
      <c r="N265" s="8" t="n">
        <v>5766</v>
      </c>
      <c r="O265" s="9" t="n">
        <v>39342</v>
      </c>
      <c r="P265" s="10" t="n">
        <v>1912</v>
      </c>
      <c r="Q265" s="10" t="n">
        <v>2892</v>
      </c>
      <c r="R265" s="7" t="n">
        <v>38170</v>
      </c>
      <c r="S265" s="8" t="n">
        <v>455</v>
      </c>
      <c r="T265" s="8" t="n">
        <v>-1032</v>
      </c>
      <c r="U265" s="9" t="n">
        <v>40378</v>
      </c>
      <c r="V265" s="10" t="n">
        <v>3324</v>
      </c>
      <c r="W265" s="10" t="n">
        <v>4600</v>
      </c>
      <c r="X265" s="7" t="n">
        <v>39468</v>
      </c>
      <c r="Y265" s="8" t="n">
        <v>4253</v>
      </c>
      <c r="Z265" s="8" t="n">
        <v>5235</v>
      </c>
      <c r="AA265" s="9" t="n">
        <v>35391</v>
      </c>
      <c r="AB265" s="10" t="n">
        <v>1073</v>
      </c>
      <c r="AC265" s="10" t="n">
        <v>2668</v>
      </c>
      <c r="AD265" s="7" t="n">
        <v>34492</v>
      </c>
      <c r="AE265" s="8" t="n">
        <v>590</v>
      </c>
      <c r="AF265" s="8" t="n">
        <v>-7351</v>
      </c>
      <c r="AG265" s="9" t="n">
        <v>39192</v>
      </c>
      <c r="AH265" s="10" t="n">
        <v>2140</v>
      </c>
      <c r="AI265" s="10" t="n">
        <v>3494</v>
      </c>
      <c r="AJ265" s="11" t="n">
        <v>41685</v>
      </c>
      <c r="AK265" s="12" t="n">
        <v>3112</v>
      </c>
      <c r="AL265" s="12" t="n">
        <v>5487</v>
      </c>
      <c r="AM265" s="13" t="n">
        <v>6.4</v>
      </c>
      <c r="AN265" s="13" t="n">
        <v>5.6</v>
      </c>
      <c r="AO265" s="13" t="n">
        <v>45.4</v>
      </c>
      <c r="AP265" s="13" t="n">
        <v>-26.8</v>
      </c>
    </row>
    <row r="266">
      <c r="A266" s="5" t="inlineStr">
        <is>
          <t>파미셀</t>
        </is>
      </c>
      <c r="B266" s="6" t="inlineStr">
        <is>
          <t>005690</t>
        </is>
      </c>
      <c r="C266" s="6" t="inlineStr">
        <is>
          <t>별도</t>
        </is>
      </c>
      <c r="D266" s="6" t="inlineStr">
        <is>
          <t>2026Q2</t>
        </is>
      </c>
      <c r="E266" s="6" t="inlineStr"/>
      <c r="F266" s="7" t="inlineStr"/>
      <c r="G266" s="8" t="inlineStr"/>
      <c r="H266" s="8" t="inlineStr"/>
      <c r="I266" s="9" t="n">
        <v>10973</v>
      </c>
      <c r="J266" s="10" t="n">
        <v>-2005</v>
      </c>
      <c r="K266" s="10" t="n">
        <v>-1365</v>
      </c>
      <c r="L266" s="7" t="n">
        <v>17811</v>
      </c>
      <c r="M266" s="8" t="n">
        <v>2234</v>
      </c>
      <c r="N266" s="8" t="n">
        <v>2828</v>
      </c>
      <c r="O266" s="9" t="n">
        <v>14595</v>
      </c>
      <c r="P266" s="10" t="n">
        <v>1284</v>
      </c>
      <c r="Q266" s="10" t="n">
        <v>714</v>
      </c>
      <c r="R266" s="7" t="n">
        <v>21472</v>
      </c>
      <c r="S266" s="8" t="n">
        <v>3143</v>
      </c>
      <c r="T266" s="8" t="n">
        <v>4154</v>
      </c>
      <c r="U266" s="9" t="n">
        <v>27030</v>
      </c>
      <c r="V266" s="10" t="n">
        <v>8380</v>
      </c>
      <c r="W266" s="10" t="n">
        <v>8456</v>
      </c>
      <c r="X266" s="7" t="n">
        <v>26763</v>
      </c>
      <c r="Y266" s="8" t="n">
        <v>8165</v>
      </c>
      <c r="Z266" s="8" t="n">
        <v>7385</v>
      </c>
      <c r="AA266" s="9" t="n">
        <v>25647</v>
      </c>
      <c r="AB266" s="10" t="n">
        <v>8141</v>
      </c>
      <c r="AC266" s="10" t="n">
        <v>8776</v>
      </c>
      <c r="AD266" s="7" t="n">
        <v>34622</v>
      </c>
      <c r="AE266" s="8" t="n">
        <v>9618</v>
      </c>
      <c r="AF266" s="8" t="n">
        <v>15672</v>
      </c>
      <c r="AG266" s="9" t="n">
        <v>36692</v>
      </c>
      <c r="AH266" s="10" t="n">
        <v>13079</v>
      </c>
      <c r="AI266" s="10" t="n">
        <v>11707</v>
      </c>
      <c r="AJ266" s="11" t="n">
        <v>38980</v>
      </c>
      <c r="AK266" s="12" t="n">
        <v>13229</v>
      </c>
      <c r="AL266" s="12" t="n">
        <v>10378</v>
      </c>
      <c r="AM266" s="13" t="n">
        <v>6.2</v>
      </c>
      <c r="AN266" s="13" t="n">
        <v>45.6</v>
      </c>
      <c r="AO266" s="13" t="n">
        <v>1.1</v>
      </c>
      <c r="AP266" s="13" t="n">
        <v>62</v>
      </c>
    </row>
    <row r="267">
      <c r="A267" s="5" t="inlineStr">
        <is>
          <t>대원산업</t>
        </is>
      </c>
      <c r="B267" s="6" t="inlineStr">
        <is>
          <t>005710</t>
        </is>
      </c>
      <c r="C267" s="6" t="inlineStr">
        <is>
          <t>연결</t>
        </is>
      </c>
      <c r="D267" s="6" t="inlineStr">
        <is>
          <t>2026Q2</t>
        </is>
      </c>
      <c r="E267" s="6" t="inlineStr"/>
      <c r="F267" s="7" t="inlineStr"/>
      <c r="G267" s="8" t="inlineStr"/>
      <c r="H267" s="8" t="inlineStr"/>
      <c r="I267" s="9" t="n">
        <v>194588</v>
      </c>
      <c r="J267" s="10" t="n">
        <v>4907</v>
      </c>
      <c r="K267" s="10" t="n">
        <v>8909</v>
      </c>
      <c r="L267" s="7" t="n">
        <v>227348</v>
      </c>
      <c r="M267" s="8" t="n">
        <v>324</v>
      </c>
      <c r="N267" s="8" t="n">
        <v>9692</v>
      </c>
      <c r="O267" s="9" t="n">
        <v>238273</v>
      </c>
      <c r="P267" s="10" t="n">
        <v>22900</v>
      </c>
      <c r="Q267" s="10" t="n">
        <v>13149</v>
      </c>
      <c r="R267" s="7" t="n">
        <v>271264</v>
      </c>
      <c r="S267" s="8" t="n">
        <v>46851</v>
      </c>
      <c r="T267" s="8" t="n">
        <v>40869</v>
      </c>
      <c r="U267" s="9" t="n">
        <v>259796</v>
      </c>
      <c r="V267" s="10" t="n">
        <v>20663</v>
      </c>
      <c r="W267" s="10" t="n">
        <v>25048</v>
      </c>
      <c r="X267" s="7" t="n">
        <v>289567</v>
      </c>
      <c r="Y267" s="8" t="n">
        <v>27513</v>
      </c>
      <c r="Z267" s="8" t="n">
        <v>21077</v>
      </c>
      <c r="AA267" s="9" t="n">
        <v>274304</v>
      </c>
      <c r="AB267" s="10" t="n">
        <v>26871</v>
      </c>
      <c r="AC267" s="10" t="n">
        <v>25264</v>
      </c>
      <c r="AD267" s="7" t="n">
        <v>235259</v>
      </c>
      <c r="AE267" s="8" t="n">
        <v>-4293</v>
      </c>
      <c r="AF267" s="8" t="n">
        <v>5475</v>
      </c>
      <c r="AG267" s="9" t="n">
        <v>235762</v>
      </c>
      <c r="AH267" s="10" t="n">
        <v>11117</v>
      </c>
      <c r="AI267" s="10" t="n">
        <v>19051</v>
      </c>
      <c r="AJ267" s="11" t="n">
        <v>258547</v>
      </c>
      <c r="AK267" s="12" t="n">
        <v>13127</v>
      </c>
      <c r="AL267" s="12" t="n">
        <v>20031</v>
      </c>
      <c r="AM267" s="13" t="n">
        <v>9.699999999999999</v>
      </c>
      <c r="AN267" s="13" t="n">
        <v>-10.7</v>
      </c>
      <c r="AO267" s="13" t="n">
        <v>18.1</v>
      </c>
      <c r="AP267" s="13" t="n">
        <v>-52.3</v>
      </c>
    </row>
    <row r="268">
      <c r="A268" s="5" t="inlineStr">
        <is>
          <t>넥센</t>
        </is>
      </c>
      <c r="B268" s="6" t="inlineStr">
        <is>
          <t>005720</t>
        </is>
      </c>
      <c r="C268" s="6" t="inlineStr">
        <is>
          <t>연결</t>
        </is>
      </c>
      <c r="D268" s="6" t="inlineStr">
        <is>
          <t>2026Q2</t>
        </is>
      </c>
      <c r="E268" s="6" t="inlineStr"/>
      <c r="F268" s="7" t="inlineStr"/>
      <c r="G268" s="8" t="inlineStr"/>
      <c r="H268" s="8" t="inlineStr"/>
      <c r="I268" s="9" t="n">
        <v>763658</v>
      </c>
      <c r="J268" s="10" t="n">
        <v>52674</v>
      </c>
      <c r="K268" s="10" t="n">
        <v>49373</v>
      </c>
      <c r="L268" s="7" t="n">
        <v>852202</v>
      </c>
      <c r="M268" s="8" t="n">
        <v>72094</v>
      </c>
      <c r="N268" s="8" t="n">
        <v>53787</v>
      </c>
      <c r="O268" s="9" t="n">
        <v>810021</v>
      </c>
      <c r="P268" s="10" t="n">
        <v>62416</v>
      </c>
      <c r="Q268" s="10" t="n">
        <v>699</v>
      </c>
      <c r="R268" s="7" t="n">
        <v>788423</v>
      </c>
      <c r="S268" s="8" t="n">
        <v>22480</v>
      </c>
      <c r="T268" s="8" t="n">
        <v>54582</v>
      </c>
      <c r="U268" s="9" t="n">
        <v>867367</v>
      </c>
      <c r="V268" s="10" t="n">
        <v>48875</v>
      </c>
      <c r="W268" s="10" t="n">
        <v>46214</v>
      </c>
      <c r="X268" s="7" t="n">
        <v>904714</v>
      </c>
      <c r="Y268" s="8" t="n">
        <v>50253</v>
      </c>
      <c r="Z268" s="8" t="n">
        <v>23676</v>
      </c>
      <c r="AA268" s="9" t="n">
        <v>886620</v>
      </c>
      <c r="AB268" s="10" t="n">
        <v>55348</v>
      </c>
      <c r="AC268" s="10" t="n">
        <v>62229</v>
      </c>
      <c r="AD268" s="7" t="n">
        <v>927817</v>
      </c>
      <c r="AE268" s="8" t="n">
        <v>49734</v>
      </c>
      <c r="AF268" s="8" t="n">
        <v>45751</v>
      </c>
      <c r="AG268" s="9" t="n">
        <v>937483</v>
      </c>
      <c r="AH268" s="10" t="n">
        <v>67617</v>
      </c>
      <c r="AI268" s="10" t="n">
        <v>73096</v>
      </c>
      <c r="AJ268" s="11" t="n">
        <v>1008642</v>
      </c>
      <c r="AK268" s="12" t="n">
        <v>49075</v>
      </c>
      <c r="AL268" s="12" t="n">
        <v>22868</v>
      </c>
      <c r="AM268" s="13" t="n">
        <v>7.6</v>
      </c>
      <c r="AN268" s="13" t="n">
        <v>11.5</v>
      </c>
      <c r="AO268" s="13" t="n">
        <v>-27.4</v>
      </c>
      <c r="AP268" s="13" t="n">
        <v>-2.3</v>
      </c>
    </row>
    <row r="269">
      <c r="A269" s="5" t="inlineStr">
        <is>
          <t>크라운해태홀딩스</t>
        </is>
      </c>
      <c r="B269" s="6" t="inlineStr">
        <is>
          <t>005740</t>
        </is>
      </c>
      <c r="C269" s="6" t="inlineStr">
        <is>
          <t>연결</t>
        </is>
      </c>
      <c r="D269" s="6" t="inlineStr">
        <is>
          <t>2026Q2</t>
        </is>
      </c>
      <c r="E269" s="6" t="inlineStr"/>
      <c r="F269" s="7" t="inlineStr"/>
      <c r="G269" s="8" t="inlineStr"/>
      <c r="H269" s="8" t="inlineStr"/>
      <c r="I269" s="9" t="n">
        <v>259415</v>
      </c>
      <c r="J269" s="10" t="n">
        <v>21533</v>
      </c>
      <c r="K269" s="10" t="n">
        <v>14364</v>
      </c>
      <c r="L269" s="7" t="n">
        <v>262603</v>
      </c>
      <c r="M269" s="8" t="n">
        <v>18599</v>
      </c>
      <c r="N269" s="8" t="n">
        <v>12799</v>
      </c>
      <c r="O269" s="9" t="n">
        <v>258030</v>
      </c>
      <c r="P269" s="10" t="n">
        <v>16142</v>
      </c>
      <c r="Q269" s="10" t="n">
        <v>8246</v>
      </c>
      <c r="R269" s="7" t="n">
        <v>266848</v>
      </c>
      <c r="S269" s="8" t="n">
        <v>11305</v>
      </c>
      <c r="T269" s="8" t="n">
        <v>8239</v>
      </c>
      <c r="U269" s="9" t="n">
        <v>263779</v>
      </c>
      <c r="V269" s="10" t="n">
        <v>20423</v>
      </c>
      <c r="W269" s="10" t="n">
        <v>12494</v>
      </c>
      <c r="X269" s="7" t="n">
        <v>273415</v>
      </c>
      <c r="Y269" s="8" t="n">
        <v>14587</v>
      </c>
      <c r="Z269" s="8" t="n">
        <v>8070</v>
      </c>
      <c r="AA269" s="9" t="n">
        <v>263799</v>
      </c>
      <c r="AB269" s="10" t="n">
        <v>10848</v>
      </c>
      <c r="AC269" s="10" t="n">
        <v>5567</v>
      </c>
      <c r="AD269" s="7" t="n">
        <v>268889</v>
      </c>
      <c r="AE269" s="8" t="n">
        <v>11393</v>
      </c>
      <c r="AF269" s="8" t="n">
        <v>7509</v>
      </c>
      <c r="AG269" s="9" t="n">
        <v>261614</v>
      </c>
      <c r="AH269" s="10" t="n">
        <v>14909</v>
      </c>
      <c r="AI269" s="10" t="n">
        <v>9976</v>
      </c>
      <c r="AJ269" s="11" t="n">
        <v>264738</v>
      </c>
      <c r="AK269" s="12" t="n">
        <v>12585</v>
      </c>
      <c r="AL269" s="12" t="n">
        <v>7934</v>
      </c>
      <c r="AM269" s="13" t="n">
        <v>1.2</v>
      </c>
      <c r="AN269" s="13" t="n">
        <v>-3.2</v>
      </c>
      <c r="AO269" s="13" t="n">
        <v>-15.6</v>
      </c>
      <c r="AP269" s="13" t="n">
        <v>-13.7</v>
      </c>
    </row>
    <row r="270">
      <c r="A270" s="5" t="inlineStr">
        <is>
          <t>대림바스</t>
        </is>
      </c>
      <c r="B270" s="6" t="inlineStr">
        <is>
          <t>005750</t>
        </is>
      </c>
      <c r="C270" s="6" t="inlineStr">
        <is>
          <t>연결</t>
        </is>
      </c>
      <c r="D270" s="6" t="inlineStr">
        <is>
          <t>2026Q2</t>
        </is>
      </c>
      <c r="E270" s="6" t="inlineStr"/>
      <c r="F270" s="7" t="inlineStr"/>
      <c r="G270" s="8" t="inlineStr"/>
      <c r="H270" s="8" t="inlineStr"/>
      <c r="I270" s="9" t="n">
        <v>63036</v>
      </c>
      <c r="J270" s="10" t="n">
        <v>2089</v>
      </c>
      <c r="K270" s="10" t="n">
        <v>1236</v>
      </c>
      <c r="L270" s="7" t="n">
        <v>70930</v>
      </c>
      <c r="M270" s="8" t="n">
        <v>4446</v>
      </c>
      <c r="N270" s="8" t="n">
        <v>3237</v>
      </c>
      <c r="O270" s="9" t="n">
        <v>72993</v>
      </c>
      <c r="P270" s="10" t="n">
        <v>3162</v>
      </c>
      <c r="Q270" s="10" t="n">
        <v>1767</v>
      </c>
      <c r="R270" s="7" t="n">
        <v>74096</v>
      </c>
      <c r="S270" s="8" t="n">
        <v>400</v>
      </c>
      <c r="T270" s="8" t="n">
        <v>-531</v>
      </c>
      <c r="U270" s="9" t="n">
        <v>74201</v>
      </c>
      <c r="V270" s="10" t="n">
        <v>4037</v>
      </c>
      <c r="W270" s="10" t="n">
        <v>2989</v>
      </c>
      <c r="X270" s="7" t="n">
        <v>77235</v>
      </c>
      <c r="Y270" s="8" t="n">
        <v>4420</v>
      </c>
      <c r="Z270" s="8" t="n">
        <v>2997</v>
      </c>
      <c r="AA270" s="9" t="n">
        <v>74250</v>
      </c>
      <c r="AB270" s="10" t="n">
        <v>7530</v>
      </c>
      <c r="AC270" s="10" t="n">
        <v>5951</v>
      </c>
      <c r="AD270" s="7" t="n">
        <v>74882</v>
      </c>
      <c r="AE270" s="8" t="n">
        <v>2630</v>
      </c>
      <c r="AF270" s="8" t="n">
        <v>1568</v>
      </c>
      <c r="AG270" s="9" t="n">
        <v>75804</v>
      </c>
      <c r="AH270" s="10" t="n">
        <v>5584</v>
      </c>
      <c r="AI270" s="10" t="n">
        <v>4090</v>
      </c>
      <c r="AJ270" s="11" t="n">
        <v>80255</v>
      </c>
      <c r="AK270" s="12" t="n">
        <v>6571</v>
      </c>
      <c r="AL270" s="12" t="n">
        <v>4313</v>
      </c>
      <c r="AM270" s="13" t="n">
        <v>5.9</v>
      </c>
      <c r="AN270" s="13" t="n">
        <v>3.9</v>
      </c>
      <c r="AO270" s="13" t="n">
        <v>17.7</v>
      </c>
      <c r="AP270" s="13" t="n">
        <v>48.7</v>
      </c>
    </row>
    <row r="271">
      <c r="A271" s="5" t="inlineStr">
        <is>
          <t>신영와코루</t>
        </is>
      </c>
      <c r="B271" s="6" t="inlineStr">
        <is>
          <t>005800</t>
        </is>
      </c>
      <c r="C271" s="6" t="inlineStr">
        <is>
          <t>연결</t>
        </is>
      </c>
      <c r="D271" s="6" t="inlineStr">
        <is>
          <t>2026Q2</t>
        </is>
      </c>
      <c r="E271" s="6" t="inlineStr"/>
      <c r="F271" s="7" t="inlineStr"/>
      <c r="G271" s="8" t="inlineStr"/>
      <c r="H271" s="8" t="inlineStr"/>
      <c r="I271" s="9" t="n">
        <v>48479</v>
      </c>
      <c r="J271" s="10" t="n">
        <v>1421</v>
      </c>
      <c r="K271" s="10" t="n">
        <v>1905</v>
      </c>
      <c r="L271" s="7" t="n">
        <v>59514</v>
      </c>
      <c r="M271" s="8" t="n">
        <v>1627</v>
      </c>
      <c r="N271" s="8" t="n">
        <v>1791</v>
      </c>
      <c r="O271" s="9" t="n">
        <v>52461</v>
      </c>
      <c r="P271" s="10" t="n">
        <v>2666</v>
      </c>
      <c r="Q271" s="10" t="n">
        <v>1608</v>
      </c>
      <c r="R271" s="7" t="n">
        <v>36224</v>
      </c>
      <c r="S271" s="8" t="n">
        <v>-2958</v>
      </c>
      <c r="T271" s="8" t="n">
        <v>-1402</v>
      </c>
      <c r="U271" s="9" t="n">
        <v>46198</v>
      </c>
      <c r="V271" s="10" t="n">
        <v>1976</v>
      </c>
      <c r="W271" s="10" t="n">
        <v>1994</v>
      </c>
      <c r="X271" s="7" t="n">
        <v>57892</v>
      </c>
      <c r="Y271" s="8" t="n">
        <v>-126</v>
      </c>
      <c r="Z271" s="8" t="n">
        <v>3038</v>
      </c>
      <c r="AA271" s="9" t="n">
        <v>47540</v>
      </c>
      <c r="AB271" s="10" t="n">
        <v>2778</v>
      </c>
      <c r="AC271" s="10" t="n">
        <v>4645</v>
      </c>
      <c r="AD271" s="7" t="n">
        <v>33525</v>
      </c>
      <c r="AE271" s="8" t="n">
        <v>-3339</v>
      </c>
      <c r="AF271" s="8" t="n">
        <v>-3403</v>
      </c>
      <c r="AG271" s="9" t="n">
        <v>44196</v>
      </c>
      <c r="AH271" s="10" t="n">
        <v>180</v>
      </c>
      <c r="AI271" s="10" t="n">
        <v>181</v>
      </c>
      <c r="AJ271" s="11" t="n">
        <v>59372</v>
      </c>
      <c r="AK271" s="12" t="n">
        <v>-45</v>
      </c>
      <c r="AL271" s="12" t="n">
        <v>206</v>
      </c>
      <c r="AM271" s="13" t="n">
        <v>34.3</v>
      </c>
      <c r="AN271" s="13" t="n">
        <v>2.6</v>
      </c>
      <c r="AO271" s="13" t="n">
        <v>-125</v>
      </c>
      <c r="AP271" s="13" t="n">
        <v>64.3</v>
      </c>
    </row>
    <row r="272">
      <c r="A272" s="5" t="inlineStr">
        <is>
          <t>풍산홀딩스</t>
        </is>
      </c>
      <c r="B272" s="6" t="inlineStr">
        <is>
          <t>005810</t>
        </is>
      </c>
      <c r="C272" s="6" t="inlineStr">
        <is>
          <t>연결</t>
        </is>
      </c>
      <c r="D272" s="6" t="inlineStr">
        <is>
          <t>2026Q2</t>
        </is>
      </c>
      <c r="E272" s="6" t="inlineStr">
        <is>
          <t>2023Q4</t>
        </is>
      </c>
      <c r="F272" s="14" t="n">
        <v>108426</v>
      </c>
      <c r="G272" s="15" t="n">
        <v>14332</v>
      </c>
      <c r="H272" s="15" t="n">
        <v>13162</v>
      </c>
      <c r="I272" s="9" t="n">
        <v>92233</v>
      </c>
      <c r="J272" s="10" t="n">
        <v>15427</v>
      </c>
      <c r="K272" s="10" t="n">
        <v>14281</v>
      </c>
      <c r="L272" s="7" t="n">
        <v>126120</v>
      </c>
      <c r="M272" s="8" t="n">
        <v>49050</v>
      </c>
      <c r="N272" s="8" t="n">
        <v>46090</v>
      </c>
      <c r="O272" s="9" t="n">
        <v>109494</v>
      </c>
      <c r="P272" s="10" t="n">
        <v>23884</v>
      </c>
      <c r="Q272" s="10" t="n">
        <v>21780</v>
      </c>
      <c r="R272" s="7" t="n">
        <v>121547</v>
      </c>
      <c r="S272" s="8" t="n">
        <v>16389</v>
      </c>
      <c r="T272" s="8" t="n">
        <v>17801</v>
      </c>
      <c r="U272" s="9" t="n">
        <v>97860</v>
      </c>
      <c r="V272" s="10" t="n">
        <v>17019</v>
      </c>
      <c r="W272" s="10" t="n">
        <v>16406</v>
      </c>
      <c r="X272" s="7" t="n">
        <v>123055</v>
      </c>
      <c r="Y272" s="8" t="n">
        <v>29681</v>
      </c>
      <c r="Z272" s="8" t="n">
        <v>25282</v>
      </c>
      <c r="AA272" s="9" t="n">
        <v>102844</v>
      </c>
      <c r="AB272" s="10" t="n">
        <v>17677</v>
      </c>
      <c r="AC272" s="10" t="n">
        <v>16358</v>
      </c>
      <c r="AD272" s="7" t="n">
        <v>108771</v>
      </c>
      <c r="AE272" s="8" t="n">
        <v>2424</v>
      </c>
      <c r="AF272" s="8" t="n">
        <v>16317</v>
      </c>
      <c r="AG272" s="9" t="n">
        <v>120982</v>
      </c>
      <c r="AH272" s="10" t="n">
        <v>35261</v>
      </c>
      <c r="AI272" s="10" t="n">
        <v>33408</v>
      </c>
      <c r="AJ272" s="11" t="n">
        <v>162813</v>
      </c>
      <c r="AK272" s="12" t="n">
        <v>41325</v>
      </c>
      <c r="AL272" s="12" t="n">
        <v>38114</v>
      </c>
      <c r="AM272" s="13" t="n">
        <v>34.6</v>
      </c>
      <c r="AN272" s="13" t="n">
        <v>32.3</v>
      </c>
      <c r="AO272" s="13" t="n">
        <v>17.2</v>
      </c>
      <c r="AP272" s="13" t="n">
        <v>39.2</v>
      </c>
    </row>
    <row r="273">
      <c r="A273" s="5" t="inlineStr">
        <is>
          <t>원림</t>
        </is>
      </c>
      <c r="B273" s="6" t="inlineStr">
        <is>
          <t>005820</t>
        </is>
      </c>
      <c r="C273" s="6" t="inlineStr">
        <is>
          <t>연결</t>
        </is>
      </c>
      <c r="D273" s="6" t="inlineStr">
        <is>
          <t>2026Q2</t>
        </is>
      </c>
      <c r="E273" s="6" t="inlineStr"/>
      <c r="F273" s="7" t="inlineStr"/>
      <c r="G273" s="8" t="inlineStr"/>
      <c r="H273" s="8" t="inlineStr"/>
      <c r="I273" s="9" t="n">
        <v>20464</v>
      </c>
      <c r="J273" s="10" t="n">
        <v>671</v>
      </c>
      <c r="K273" s="10" t="n">
        <v>2876</v>
      </c>
      <c r="L273" s="7" t="n">
        <v>19861</v>
      </c>
      <c r="M273" s="8" t="n">
        <v>554</v>
      </c>
      <c r="N273" s="8" t="n">
        <v>801</v>
      </c>
      <c r="O273" s="9" t="n">
        <v>18778</v>
      </c>
      <c r="P273" s="10" t="n">
        <v>180</v>
      </c>
      <c r="Q273" s="10" t="n">
        <v>-125</v>
      </c>
      <c r="R273" s="7" t="n">
        <v>23284</v>
      </c>
      <c r="S273" s="8" t="n">
        <v>329</v>
      </c>
      <c r="T273" s="8" t="n">
        <v>1286</v>
      </c>
      <c r="U273" s="9" t="n">
        <v>20950</v>
      </c>
      <c r="V273" s="10" t="n">
        <v>1558</v>
      </c>
      <c r="W273" s="10" t="n">
        <v>1340</v>
      </c>
      <c r="X273" s="7" t="n">
        <v>20261</v>
      </c>
      <c r="Y273" s="8" t="n">
        <v>35</v>
      </c>
      <c r="Z273" s="8" t="n">
        <v>393</v>
      </c>
      <c r="AA273" s="9" t="n">
        <v>20972</v>
      </c>
      <c r="AB273" s="10" t="n">
        <v>1425</v>
      </c>
      <c r="AC273" s="10" t="n">
        <v>1768</v>
      </c>
      <c r="AD273" s="7" t="n">
        <v>27499</v>
      </c>
      <c r="AE273" s="8" t="n">
        <v>1408</v>
      </c>
      <c r="AF273" s="8" t="n">
        <v>1680</v>
      </c>
      <c r="AG273" s="9" t="n">
        <v>20742</v>
      </c>
      <c r="AH273" s="10" t="n">
        <v>1224</v>
      </c>
      <c r="AI273" s="10" t="n">
        <v>1220</v>
      </c>
      <c r="AJ273" s="11" t="n">
        <v>22256</v>
      </c>
      <c r="AK273" s="12" t="n">
        <v>789</v>
      </c>
      <c r="AL273" s="12" t="n">
        <v>1860</v>
      </c>
      <c r="AM273" s="13" t="n">
        <v>7.3</v>
      </c>
      <c r="AN273" s="13" t="n">
        <v>9.800000000000001</v>
      </c>
      <c r="AO273" s="13" t="n">
        <v>-35.5</v>
      </c>
      <c r="AP273" s="13" t="n">
        <v>2154.3</v>
      </c>
    </row>
    <row r="274">
      <c r="A274" s="5" t="inlineStr">
        <is>
          <t>DB손해보험</t>
        </is>
      </c>
      <c r="B274" s="6" t="inlineStr">
        <is>
          <t>005830</t>
        </is>
      </c>
      <c r="C274" s="6" t="inlineStr">
        <is>
          <t>연결</t>
        </is>
      </c>
      <c r="D274" s="6" t="inlineStr">
        <is>
          <t>2026Q2</t>
        </is>
      </c>
      <c r="E274" s="6" t="inlineStr">
        <is>
          <t>2023Q4</t>
        </is>
      </c>
      <c r="F274" s="14" t="n">
        <v>4265818</v>
      </c>
      <c r="G274" s="15" t="n">
        <v>334764</v>
      </c>
      <c r="H274" s="15" t="n">
        <v>261044</v>
      </c>
      <c r="I274" s="14" t="n">
        <v>4631559</v>
      </c>
      <c r="J274" s="10" t="n">
        <v>759199</v>
      </c>
      <c r="K274" s="10" t="n">
        <v>580514</v>
      </c>
      <c r="L274" s="14" t="n">
        <v>4686976</v>
      </c>
      <c r="M274" s="8" t="n">
        <v>786799</v>
      </c>
      <c r="N274" s="8" t="n">
        <v>611872</v>
      </c>
      <c r="O274" s="14" t="n">
        <v>4366329</v>
      </c>
      <c r="P274" s="10" t="n">
        <v>629041</v>
      </c>
      <c r="Q274" s="10" t="n">
        <v>474092</v>
      </c>
      <c r="R274" s="14" t="n">
        <v>5145974</v>
      </c>
      <c r="S274" s="8" t="n">
        <v>249887</v>
      </c>
      <c r="T274" s="8" t="n">
        <v>186739</v>
      </c>
      <c r="U274" s="14" t="n">
        <v>4974160</v>
      </c>
      <c r="V274" s="10" t="n">
        <v>619784</v>
      </c>
      <c r="W274" s="10" t="n">
        <v>431364</v>
      </c>
      <c r="X274" s="14" t="n">
        <v>5517013</v>
      </c>
      <c r="Y274" s="8" t="n">
        <v>798484</v>
      </c>
      <c r="Z274" s="8" t="n">
        <v>652305</v>
      </c>
      <c r="AA274" s="14" t="n">
        <v>4700146</v>
      </c>
      <c r="AB274" s="10" t="n">
        <v>441307</v>
      </c>
      <c r="AC274" s="10" t="n">
        <v>328107</v>
      </c>
      <c r="AD274" s="14" t="n">
        <v>4875030</v>
      </c>
      <c r="AE274" s="8" t="n">
        <v>524375</v>
      </c>
      <c r="AF274" s="8" t="n">
        <v>378805</v>
      </c>
      <c r="AG274" s="14" t="n">
        <v>5778221</v>
      </c>
      <c r="AH274" s="10" t="n">
        <v>413033</v>
      </c>
      <c r="AI274" s="10" t="n">
        <v>239580</v>
      </c>
      <c r="AJ274" s="14" t="n">
        <v>5313432</v>
      </c>
      <c r="AK274" s="12" t="n">
        <v>1173878</v>
      </c>
      <c r="AL274" s="12" t="n">
        <v>876864</v>
      </c>
      <c r="AM274" s="13" t="n">
        <v>-8</v>
      </c>
      <c r="AN274" s="13" t="n">
        <v>-3.7</v>
      </c>
      <c r="AO274" s="13" t="n">
        <v>184.2</v>
      </c>
      <c r="AP274" s="13" t="n">
        <v>47</v>
      </c>
    </row>
    <row r="275">
      <c r="A275" s="5" t="inlineStr">
        <is>
          <t>에스엘</t>
        </is>
      </c>
      <c r="B275" s="6" t="inlineStr">
        <is>
          <t>005850</t>
        </is>
      </c>
      <c r="C275" s="6" t="inlineStr">
        <is>
          <t>연결</t>
        </is>
      </c>
      <c r="D275" s="6" t="inlineStr">
        <is>
          <t>2026Q2</t>
        </is>
      </c>
      <c r="E275" s="6" t="inlineStr"/>
      <c r="F275" s="7" t="inlineStr"/>
      <c r="G275" s="8" t="inlineStr"/>
      <c r="H275" s="8" t="inlineStr"/>
      <c r="I275" s="9" t="n">
        <v>1245804</v>
      </c>
      <c r="J275" s="10" t="n">
        <v>138815</v>
      </c>
      <c r="K275" s="10" t="n">
        <v>121325</v>
      </c>
      <c r="L275" s="7" t="n">
        <v>1298411</v>
      </c>
      <c r="M275" s="8" t="n">
        <v>147786</v>
      </c>
      <c r="N275" s="8" t="n">
        <v>123699</v>
      </c>
      <c r="O275" s="9" t="n">
        <v>1191739</v>
      </c>
      <c r="P275" s="10" t="n">
        <v>67723</v>
      </c>
      <c r="Q275" s="10" t="n">
        <v>57709</v>
      </c>
      <c r="R275" s="7" t="n">
        <v>1237320</v>
      </c>
      <c r="S275" s="8" t="n">
        <v>40840</v>
      </c>
      <c r="T275" s="8" t="n">
        <v>79231</v>
      </c>
      <c r="U275" s="9" t="n">
        <v>1233720</v>
      </c>
      <c r="V275" s="10" t="n">
        <v>119306</v>
      </c>
      <c r="W275" s="10" t="n">
        <v>104014</v>
      </c>
      <c r="X275" s="7" t="n">
        <v>1294710</v>
      </c>
      <c r="Y275" s="8" t="n">
        <v>105898</v>
      </c>
      <c r="Z275" s="8" t="n">
        <v>70189</v>
      </c>
      <c r="AA275" s="9" t="n">
        <v>1302608</v>
      </c>
      <c r="AB275" s="10" t="n">
        <v>68355</v>
      </c>
      <c r="AC275" s="10" t="n">
        <v>70014</v>
      </c>
      <c r="AD275" s="7" t="n">
        <v>1408901</v>
      </c>
      <c r="AE275" s="8" t="n">
        <v>113540</v>
      </c>
      <c r="AF275" s="8" t="n">
        <v>76573</v>
      </c>
      <c r="AG275" s="9" t="n">
        <v>1388037</v>
      </c>
      <c r="AH275" s="10" t="n">
        <v>143817</v>
      </c>
      <c r="AI275" s="10" t="n">
        <v>135847</v>
      </c>
      <c r="AJ275" s="11" t="n">
        <v>1367310</v>
      </c>
      <c r="AK275" s="12" t="n">
        <v>125755</v>
      </c>
      <c r="AL275" s="12" t="n">
        <v>112152</v>
      </c>
      <c r="AM275" s="13" t="n">
        <v>-1.5</v>
      </c>
      <c r="AN275" s="13" t="n">
        <v>5.6</v>
      </c>
      <c r="AO275" s="13" t="n">
        <v>-12.6</v>
      </c>
      <c r="AP275" s="13" t="n">
        <v>18.8</v>
      </c>
    </row>
    <row r="276">
      <c r="A276" s="5" t="inlineStr">
        <is>
          <t>한일사료</t>
        </is>
      </c>
      <c r="B276" s="6" t="inlineStr">
        <is>
          <t>005860</t>
        </is>
      </c>
      <c r="C276" s="6" t="inlineStr">
        <is>
          <t>연결</t>
        </is>
      </c>
      <c r="D276" s="6" t="inlineStr">
        <is>
          <t>2026Q2</t>
        </is>
      </c>
      <c r="E276" s="6" t="inlineStr"/>
      <c r="F276" s="7" t="inlineStr"/>
      <c r="G276" s="8" t="inlineStr"/>
      <c r="H276" s="8" t="inlineStr"/>
      <c r="I276" s="9" t="n">
        <v>110429</v>
      </c>
      <c r="J276" s="10" t="n">
        <v>1499</v>
      </c>
      <c r="K276" s="10" t="n">
        <v>777</v>
      </c>
      <c r="L276" s="7" t="n">
        <v>99598</v>
      </c>
      <c r="M276" s="8" t="n">
        <v>1357</v>
      </c>
      <c r="N276" s="8" t="n">
        <v>353</v>
      </c>
      <c r="O276" s="9" t="n">
        <v>106189</v>
      </c>
      <c r="P276" s="10" t="n">
        <v>524</v>
      </c>
      <c r="Q276" s="10" t="n">
        <v>2046</v>
      </c>
      <c r="R276" s="7" t="n">
        <v>114762</v>
      </c>
      <c r="S276" s="8" t="n">
        <v>316</v>
      </c>
      <c r="T276" s="8" t="n">
        <v>491</v>
      </c>
      <c r="U276" s="9" t="n">
        <v>108360</v>
      </c>
      <c r="V276" s="10" t="n">
        <v>423</v>
      </c>
      <c r="W276" s="10" t="n">
        <v>642</v>
      </c>
      <c r="X276" s="7" t="n">
        <v>107899</v>
      </c>
      <c r="Y276" s="8" t="n">
        <v>1039</v>
      </c>
      <c r="Z276" s="8" t="n">
        <v>1746</v>
      </c>
      <c r="AA276" s="9" t="n">
        <v>124541</v>
      </c>
      <c r="AB276" s="10" t="n">
        <v>2546</v>
      </c>
      <c r="AC276" s="10" t="n">
        <v>2115</v>
      </c>
      <c r="AD276" s="7" t="n">
        <v>114052</v>
      </c>
      <c r="AE276" s="8" t="n">
        <v>1853</v>
      </c>
      <c r="AF276" s="8" t="n">
        <v>1743</v>
      </c>
      <c r="AG276" s="9" t="n">
        <v>125478</v>
      </c>
      <c r="AH276" s="10" t="n">
        <v>1483</v>
      </c>
      <c r="AI276" s="10" t="n">
        <v>1797</v>
      </c>
      <c r="AJ276" s="11" t="n">
        <v>119773</v>
      </c>
      <c r="AK276" s="12" t="n">
        <v>-377</v>
      </c>
      <c r="AL276" s="12" t="n">
        <v>-229</v>
      </c>
      <c r="AM276" s="13" t="n">
        <v>-4.5</v>
      </c>
      <c r="AN276" s="13" t="n">
        <v>11</v>
      </c>
      <c r="AO276" s="13" t="n">
        <v>-125.4</v>
      </c>
      <c r="AP276" s="13" t="n">
        <v>-136.3</v>
      </c>
    </row>
    <row r="277">
      <c r="A277" s="5" t="inlineStr">
        <is>
          <t>휴니드테크놀러지스</t>
        </is>
      </c>
      <c r="B277" s="6" t="inlineStr">
        <is>
          <t>005870</t>
        </is>
      </c>
      <c r="C277" s="6" t="inlineStr">
        <is>
          <t>별도</t>
        </is>
      </c>
      <c r="D277" s="6" t="inlineStr">
        <is>
          <t>2026Q2</t>
        </is>
      </c>
      <c r="E277" s="6" t="inlineStr"/>
      <c r="F277" s="7" t="inlineStr"/>
      <c r="G277" s="8" t="inlineStr"/>
      <c r="H277" s="8" t="inlineStr"/>
      <c r="I277" s="9" t="n">
        <v>29535</v>
      </c>
      <c r="J277" s="10" t="n">
        <v>-1411</v>
      </c>
      <c r="K277" s="10" t="n">
        <v>12</v>
      </c>
      <c r="L277" s="7" t="n">
        <v>65672</v>
      </c>
      <c r="M277" s="8" t="n">
        <v>5543</v>
      </c>
      <c r="N277" s="8" t="n">
        <v>4958</v>
      </c>
      <c r="O277" s="9" t="n">
        <v>74535</v>
      </c>
      <c r="P277" s="10" t="n">
        <v>5025</v>
      </c>
      <c r="Q277" s="10" t="n">
        <v>4229</v>
      </c>
      <c r="R277" s="7" t="n">
        <v>61059</v>
      </c>
      <c r="S277" s="8" t="n">
        <v>-23</v>
      </c>
      <c r="T277" s="8" t="n">
        <v>1545</v>
      </c>
      <c r="U277" s="9" t="n">
        <v>35164</v>
      </c>
      <c r="V277" s="10" t="n">
        <v>-3606</v>
      </c>
      <c r="W277" s="10" t="n">
        <v>-4427</v>
      </c>
      <c r="X277" s="7" t="n">
        <v>31284</v>
      </c>
      <c r="Y277" s="8" t="n">
        <v>-1980</v>
      </c>
      <c r="Z277" s="8" t="n">
        <v>-2400</v>
      </c>
      <c r="AA277" s="9" t="n">
        <v>37998</v>
      </c>
      <c r="AB277" s="10" t="n">
        <v>-1021</v>
      </c>
      <c r="AC277" s="10" t="n">
        <v>-335</v>
      </c>
      <c r="AD277" s="7" t="n">
        <v>32740</v>
      </c>
      <c r="AE277" s="8" t="n">
        <v>-5426</v>
      </c>
      <c r="AF277" s="8" t="n">
        <v>-2823</v>
      </c>
      <c r="AG277" s="9" t="n">
        <v>21631</v>
      </c>
      <c r="AH277" s="10" t="n">
        <v>-3271</v>
      </c>
      <c r="AI277" s="10" t="n">
        <v>-2423</v>
      </c>
      <c r="AJ277" s="11" t="n">
        <v>29260</v>
      </c>
      <c r="AK277" s="12" t="n">
        <v>-428</v>
      </c>
      <c r="AL277" s="12" t="n">
        <v>243</v>
      </c>
      <c r="AM277" s="13" t="n">
        <v>35.3</v>
      </c>
      <c r="AN277" s="13" t="n">
        <v>-6.5</v>
      </c>
      <c r="AO277" s="13" t="n">
        <v>86.90000000000001</v>
      </c>
      <c r="AP277" s="13" t="n">
        <v>78.40000000000001</v>
      </c>
    </row>
    <row r="278">
      <c r="A278" s="5" t="inlineStr">
        <is>
          <t>대한해운</t>
        </is>
      </c>
      <c r="B278" s="6" t="inlineStr">
        <is>
          <t>005880</t>
        </is>
      </c>
      <c r="C278" s="6" t="inlineStr">
        <is>
          <t>연결</t>
        </is>
      </c>
      <c r="D278" s="6" t="inlineStr">
        <is>
          <t>2026Q2</t>
        </is>
      </c>
      <c r="E278" s="6" t="inlineStr"/>
      <c r="F278" s="7" t="inlineStr"/>
      <c r="G278" s="8" t="inlineStr"/>
      <c r="H278" s="8" t="inlineStr"/>
      <c r="I278" s="9" t="n">
        <v>515213</v>
      </c>
      <c r="J278" s="10" t="n">
        <v>126747</v>
      </c>
      <c r="K278" s="10" t="n">
        <v>82393</v>
      </c>
      <c r="L278" s="7" t="n">
        <v>408453</v>
      </c>
      <c r="M278" s="8" t="n">
        <v>72173</v>
      </c>
      <c r="N278" s="8" t="n">
        <v>51927</v>
      </c>
      <c r="O278" s="9" t="n">
        <v>418878</v>
      </c>
      <c r="P278" s="10" t="n">
        <v>67769</v>
      </c>
      <c r="Q278" s="10" t="n">
        <v>49510</v>
      </c>
      <c r="R278" s="7" t="n">
        <v>404643</v>
      </c>
      <c r="S278" s="8" t="n">
        <v>61946</v>
      </c>
      <c r="T278" s="8" t="n">
        <v>-19006</v>
      </c>
      <c r="U278" s="9" t="n">
        <v>330519</v>
      </c>
      <c r="V278" s="10" t="n">
        <v>63907</v>
      </c>
      <c r="W278" s="10" t="n">
        <v>62115</v>
      </c>
      <c r="X278" s="7" t="n">
        <v>332214</v>
      </c>
      <c r="Y278" s="8" t="n">
        <v>33036</v>
      </c>
      <c r="Z278" s="8" t="n">
        <v>49376</v>
      </c>
      <c r="AA278" s="9" t="n">
        <v>317993</v>
      </c>
      <c r="AB278" s="10" t="n">
        <v>59309</v>
      </c>
      <c r="AC278" s="10" t="n">
        <v>43061</v>
      </c>
      <c r="AD278" s="7" t="n">
        <v>296242</v>
      </c>
      <c r="AE278" s="8" t="n">
        <v>50912</v>
      </c>
      <c r="AF278" s="8" t="n">
        <v>18708</v>
      </c>
      <c r="AG278" s="9" t="n">
        <v>277802</v>
      </c>
      <c r="AH278" s="10" t="n">
        <v>74446</v>
      </c>
      <c r="AI278" s="10" t="n">
        <v>62971</v>
      </c>
      <c r="AJ278" s="11" t="n">
        <v>312833</v>
      </c>
      <c r="AK278" s="12" t="n">
        <v>62927</v>
      </c>
      <c r="AL278" s="12" t="n">
        <v>57478</v>
      </c>
      <c r="AM278" s="13" t="n">
        <v>12.6</v>
      </c>
      <c r="AN278" s="13" t="n">
        <v>-5.8</v>
      </c>
      <c r="AO278" s="13" t="n">
        <v>-15.5</v>
      </c>
      <c r="AP278" s="13" t="n">
        <v>90.5</v>
      </c>
    </row>
    <row r="279">
      <c r="A279" s="5" t="inlineStr">
        <is>
          <t>삼성전자</t>
        </is>
      </c>
      <c r="B279" s="6" t="inlineStr">
        <is>
          <t>005930</t>
        </is>
      </c>
      <c r="C279" s="6" t="inlineStr">
        <is>
          <t>연결</t>
        </is>
      </c>
      <c r="D279" s="6" t="inlineStr">
        <is>
          <t>2026Q2</t>
        </is>
      </c>
      <c r="E279" s="6" t="inlineStr">
        <is>
          <t>2023Q4</t>
        </is>
      </c>
      <c r="F279" s="14" t="n">
        <v>67779900</v>
      </c>
      <c r="G279" s="15" t="n">
        <v>2824700</v>
      </c>
      <c r="H279" s="15" t="n">
        <v>6344800</v>
      </c>
      <c r="I279" s="9" t="n">
        <v>71915601</v>
      </c>
      <c r="J279" s="10" t="n">
        <v>6606009</v>
      </c>
      <c r="K279" s="10" t="n">
        <v>6754708</v>
      </c>
      <c r="L279" s="7" t="n">
        <v>74068302</v>
      </c>
      <c r="M279" s="8" t="n">
        <v>10443878</v>
      </c>
      <c r="N279" s="8" t="n">
        <v>9841345</v>
      </c>
      <c r="O279" s="9" t="n">
        <v>79098731</v>
      </c>
      <c r="P279" s="10" t="n">
        <v>9183371</v>
      </c>
      <c r="Q279" s="10" t="n">
        <v>10100904</v>
      </c>
      <c r="R279" s="7" t="n">
        <v>75788269</v>
      </c>
      <c r="S279" s="8" t="n">
        <v>6492703</v>
      </c>
      <c r="T279" s="8" t="n">
        <v>7754394</v>
      </c>
      <c r="U279" s="9" t="n">
        <v>79140503</v>
      </c>
      <c r="V279" s="10" t="n">
        <v>6685272</v>
      </c>
      <c r="W279" s="10" t="n">
        <v>8222878</v>
      </c>
      <c r="X279" s="7" t="n">
        <v>74566317</v>
      </c>
      <c r="Y279" s="8" t="n">
        <v>4676057</v>
      </c>
      <c r="Z279" s="8" t="n">
        <v>5116435</v>
      </c>
      <c r="AA279" s="9" t="n">
        <v>86061747</v>
      </c>
      <c r="AB279" s="10" t="n">
        <v>12166062</v>
      </c>
      <c r="AC279" s="10" t="n">
        <v>12225747</v>
      </c>
      <c r="AD279" s="7" t="n">
        <v>93837371</v>
      </c>
      <c r="AE279" s="8" t="n">
        <v>20073660</v>
      </c>
      <c r="AF279" s="8" t="n">
        <v>19641745</v>
      </c>
      <c r="AG279" s="9" t="n">
        <v>133873444</v>
      </c>
      <c r="AH279" s="10" t="n">
        <v>57232797</v>
      </c>
      <c r="AI279" s="10" t="n">
        <v>47225272</v>
      </c>
      <c r="AJ279" s="11" t="n">
        <v>171499470</v>
      </c>
      <c r="AK279" s="12" t="n">
        <v>89492412</v>
      </c>
      <c r="AL279" s="12" t="n">
        <v>71624461</v>
      </c>
      <c r="AM279" s="13" t="n">
        <v>28.1</v>
      </c>
      <c r="AN279" s="13" t="n">
        <v>130</v>
      </c>
      <c r="AO279" s="13" t="n">
        <v>56.4</v>
      </c>
      <c r="AP279" s="13" t="n">
        <v>1813.8</v>
      </c>
    </row>
    <row r="280">
      <c r="A280" s="5" t="inlineStr">
        <is>
          <t>NH투자증권</t>
        </is>
      </c>
      <c r="B280" s="6" t="inlineStr">
        <is>
          <t>005940</t>
        </is>
      </c>
      <c r="C280" s="6" t="inlineStr">
        <is>
          <t>연결</t>
        </is>
      </c>
      <c r="D280" s="6" t="inlineStr">
        <is>
          <t>2026Q2</t>
        </is>
      </c>
      <c r="E280" s="6" t="inlineStr"/>
      <c r="F280" s="7" t="inlineStr"/>
      <c r="G280" s="8" t="inlineStr"/>
      <c r="H280" s="8" t="inlineStr"/>
      <c r="I280" s="14" t="n">
        <v>3153984</v>
      </c>
      <c r="J280" s="10" t="n">
        <v>276869</v>
      </c>
      <c r="K280" s="10" t="n">
        <v>225452</v>
      </c>
      <c r="L280" s="14" t="n">
        <v>2410383</v>
      </c>
      <c r="M280" s="8" t="n">
        <v>268834</v>
      </c>
      <c r="N280" s="8" t="n">
        <v>197203</v>
      </c>
      <c r="O280" s="14" t="n">
        <v>2366006</v>
      </c>
      <c r="P280" s="10" t="n">
        <v>188193</v>
      </c>
      <c r="Q280" s="10" t="n">
        <v>153980</v>
      </c>
      <c r="R280" s="7" t="inlineStr"/>
      <c r="S280" s="8" t="n">
        <v>167173</v>
      </c>
      <c r="T280" s="8" t="n">
        <v>110003</v>
      </c>
      <c r="U280" s="14" t="n">
        <v>3356634</v>
      </c>
      <c r="V280" s="10" t="n">
        <v>289044</v>
      </c>
      <c r="W280" s="10" t="n">
        <v>208172</v>
      </c>
      <c r="X280" s="14" t="n">
        <v>4174260</v>
      </c>
      <c r="Y280" s="8" t="n">
        <v>321926</v>
      </c>
      <c r="Z280" s="8" t="n">
        <v>256890</v>
      </c>
      <c r="AA280" s="14" t="n">
        <v>2719912</v>
      </c>
      <c r="AB280" s="10" t="n">
        <v>391345</v>
      </c>
      <c r="AC280" s="10" t="n">
        <v>283083</v>
      </c>
      <c r="AD280" s="7" t="inlineStr"/>
      <c r="AE280" s="8" t="n">
        <v>418265</v>
      </c>
      <c r="AF280" s="8" t="n">
        <v>283356</v>
      </c>
      <c r="AG280" s="14" t="n">
        <v>8897678</v>
      </c>
      <c r="AH280" s="10" t="n">
        <v>636689</v>
      </c>
      <c r="AI280" s="10" t="n">
        <v>475686</v>
      </c>
      <c r="AJ280" s="14" t="n">
        <v>12848152</v>
      </c>
      <c r="AK280" s="12" t="n">
        <v>681245</v>
      </c>
      <c r="AL280" s="12" t="n">
        <v>489437</v>
      </c>
      <c r="AM280" s="13" t="n">
        <v>44.4</v>
      </c>
      <c r="AN280" s="13" t="n">
        <v>207.8</v>
      </c>
      <c r="AO280" s="13" t="n">
        <v>7</v>
      </c>
      <c r="AP280" s="13" t="n">
        <v>111.6</v>
      </c>
    </row>
    <row r="281">
      <c r="A281" s="5" t="inlineStr">
        <is>
          <t>이수화학</t>
        </is>
      </c>
      <c r="B281" s="6" t="inlineStr">
        <is>
          <t>005950</t>
        </is>
      </c>
      <c r="C281" s="6" t="inlineStr">
        <is>
          <t>연결</t>
        </is>
      </c>
      <c r="D281" s="6" t="inlineStr">
        <is>
          <t>2026Q2</t>
        </is>
      </c>
      <c r="E281" s="6" t="inlineStr"/>
      <c r="F281" s="7" t="inlineStr"/>
      <c r="G281" s="8" t="inlineStr"/>
      <c r="H281" s="8" t="inlineStr"/>
      <c r="I281" s="9" t="n">
        <v>506589</v>
      </c>
      <c r="J281" s="10" t="n">
        <v>-2754</v>
      </c>
      <c r="K281" s="10" t="n">
        <v>-913</v>
      </c>
      <c r="L281" s="7" t="n">
        <v>475945</v>
      </c>
      <c r="M281" s="8" t="n">
        <v>-7280</v>
      </c>
      <c r="N281" s="8" t="n">
        <v>-12420</v>
      </c>
      <c r="O281" s="9" t="n">
        <v>476686</v>
      </c>
      <c r="P281" s="10" t="n">
        <v>-17315</v>
      </c>
      <c r="Q281" s="10" t="n">
        <v>-26372</v>
      </c>
      <c r="R281" s="7" t="n">
        <v>457011</v>
      </c>
      <c r="S281" s="8" t="n">
        <v>-24096</v>
      </c>
      <c r="T281" s="8" t="n">
        <v>1496</v>
      </c>
      <c r="U281" s="9" t="n">
        <v>400628</v>
      </c>
      <c r="V281" s="10" t="n">
        <v>16</v>
      </c>
      <c r="W281" s="10" t="n">
        <v>-13816</v>
      </c>
      <c r="X281" s="7" t="n">
        <v>339854</v>
      </c>
      <c r="Y281" s="8" t="n">
        <v>3909</v>
      </c>
      <c r="Z281" s="8" t="n">
        <v>-4690</v>
      </c>
      <c r="AA281" s="9" t="n">
        <v>441785</v>
      </c>
      <c r="AB281" s="10" t="n">
        <v>6369</v>
      </c>
      <c r="AC281" s="10" t="n">
        <v>300</v>
      </c>
      <c r="AD281" s="7" t="n">
        <v>477210</v>
      </c>
      <c r="AE281" s="8" t="n">
        <v>-3410</v>
      </c>
      <c r="AF281" s="8" t="n">
        <v>-22317</v>
      </c>
      <c r="AG281" s="9" t="n">
        <v>635860</v>
      </c>
      <c r="AH281" s="10" t="n">
        <v>25428</v>
      </c>
      <c r="AI281" s="10" t="n">
        <v>20847</v>
      </c>
      <c r="AJ281" s="11" t="n">
        <v>743435</v>
      </c>
      <c r="AK281" s="12" t="n">
        <v>96559</v>
      </c>
      <c r="AL281" s="12" t="n">
        <v>77842</v>
      </c>
      <c r="AM281" s="13" t="n">
        <v>16.9</v>
      </c>
      <c r="AN281" s="13" t="n">
        <v>118.8</v>
      </c>
      <c r="AO281" s="13" t="n">
        <v>279.7</v>
      </c>
      <c r="AP281" s="13" t="n">
        <v>2370.2</v>
      </c>
    </row>
    <row r="282">
      <c r="A282" s="5" t="inlineStr">
        <is>
          <t>동부건설</t>
        </is>
      </c>
      <c r="B282" s="6" t="inlineStr">
        <is>
          <t>005960</t>
        </is>
      </c>
      <c r="C282" s="6" t="inlineStr">
        <is>
          <t>연결</t>
        </is>
      </c>
      <c r="D282" s="6" t="inlineStr">
        <is>
          <t>2026Q2</t>
        </is>
      </c>
      <c r="E282" s="6" t="inlineStr"/>
      <c r="F282" s="7" t="inlineStr"/>
      <c r="G282" s="8" t="inlineStr"/>
      <c r="H282" s="8" t="inlineStr"/>
      <c r="I282" s="9" t="n">
        <v>419721</v>
      </c>
      <c r="J282" s="10" t="n">
        <v>-18631</v>
      </c>
      <c r="K282" s="10" t="n">
        <v>-17268</v>
      </c>
      <c r="L282" s="7" t="n">
        <v>444565</v>
      </c>
      <c r="M282" s="8" t="n">
        <v>-40300</v>
      </c>
      <c r="N282" s="8" t="n">
        <v>-62869</v>
      </c>
      <c r="O282" s="9" t="n">
        <v>407781</v>
      </c>
      <c r="P282" s="10" t="n">
        <v>-21884</v>
      </c>
      <c r="Q282" s="10" t="n">
        <v>-4967</v>
      </c>
      <c r="R282" s="7" t="n">
        <v>416302</v>
      </c>
      <c r="S282" s="8" t="n">
        <v>-16125</v>
      </c>
      <c r="T282" s="8" t="n">
        <v>-22403</v>
      </c>
      <c r="U282" s="9" t="n">
        <v>416202</v>
      </c>
      <c r="V282" s="10" t="n">
        <v>15028</v>
      </c>
      <c r="W282" s="10" t="n">
        <v>16747</v>
      </c>
      <c r="X282" s="7" t="n">
        <v>413185</v>
      </c>
      <c r="Y282" s="8" t="n">
        <v>1618</v>
      </c>
      <c r="Z282" s="8" t="n">
        <v>-6085</v>
      </c>
      <c r="AA282" s="9" t="n">
        <v>405527</v>
      </c>
      <c r="AB282" s="10" t="n">
        <v>674</v>
      </c>
      <c r="AC282" s="10" t="n">
        <v>11623</v>
      </c>
      <c r="AD282" s="7" t="n">
        <v>523712</v>
      </c>
      <c r="AE282" s="8" t="n">
        <v>25308</v>
      </c>
      <c r="AF282" s="8" t="n">
        <v>22228</v>
      </c>
      <c r="AG282" s="9" t="n">
        <v>434558</v>
      </c>
      <c r="AH282" s="10" t="n">
        <v>10124</v>
      </c>
      <c r="AI282" s="10" t="n">
        <v>15977</v>
      </c>
      <c r="AJ282" s="11" t="n">
        <v>596121</v>
      </c>
      <c r="AK282" s="12" t="n">
        <v>18035</v>
      </c>
      <c r="AL282" s="12" t="n">
        <v>23101</v>
      </c>
      <c r="AM282" s="13" t="n">
        <v>37.2</v>
      </c>
      <c r="AN282" s="13" t="n">
        <v>44.3</v>
      </c>
      <c r="AO282" s="13" t="n">
        <v>78.09999999999999</v>
      </c>
      <c r="AP282" s="13" t="n">
        <v>1014.6</v>
      </c>
    </row>
    <row r="283">
      <c r="A283" s="5" t="inlineStr">
        <is>
          <t>매일홀딩스</t>
        </is>
      </c>
      <c r="B283" s="6" t="inlineStr">
        <is>
          <t>005990</t>
        </is>
      </c>
      <c r="C283" s="6" t="inlineStr">
        <is>
          <t>연결</t>
        </is>
      </c>
      <c r="D283" s="6" t="inlineStr">
        <is>
          <t>2026Q2</t>
        </is>
      </c>
      <c r="E283" s="6" t="inlineStr"/>
      <c r="F283" s="7" t="inlineStr"/>
      <c r="G283" s="8" t="inlineStr"/>
      <c r="H283" s="8" t="inlineStr"/>
      <c r="I283" s="9" t="n">
        <v>534176</v>
      </c>
      <c r="J283" s="10" t="n">
        <v>22265</v>
      </c>
      <c r="K283" s="10" t="n">
        <v>19721</v>
      </c>
      <c r="L283" s="7" t="n">
        <v>541353</v>
      </c>
      <c r="M283" s="8" t="n">
        <v>20323</v>
      </c>
      <c r="N283" s="8" t="n">
        <v>11863</v>
      </c>
      <c r="O283" s="9" t="n">
        <v>561203</v>
      </c>
      <c r="P283" s="10" t="n">
        <v>19802</v>
      </c>
      <c r="Q283" s="10" t="n">
        <v>15425</v>
      </c>
      <c r="R283" s="7" t="n">
        <v>553439</v>
      </c>
      <c r="S283" s="8" t="n">
        <v>15887</v>
      </c>
      <c r="T283" s="8" t="n">
        <v>7677</v>
      </c>
      <c r="U283" s="9" t="n">
        <v>534864</v>
      </c>
      <c r="V283" s="10" t="n">
        <v>11811</v>
      </c>
      <c r="W283" s="10" t="n">
        <v>9891</v>
      </c>
      <c r="X283" s="7" t="n">
        <v>550688</v>
      </c>
      <c r="Y283" s="8" t="n">
        <v>14481</v>
      </c>
      <c r="Z283" s="8" t="n">
        <v>16662</v>
      </c>
      <c r="AA283" s="9" t="n">
        <v>564501</v>
      </c>
      <c r="AB283" s="10" t="n">
        <v>23493</v>
      </c>
      <c r="AC283" s="10" t="n">
        <v>20291</v>
      </c>
      <c r="AD283" s="7" t="n">
        <v>546158</v>
      </c>
      <c r="AE283" s="8" t="n">
        <v>14188</v>
      </c>
      <c r="AF283" s="8" t="n">
        <v>23374</v>
      </c>
      <c r="AG283" s="9" t="n">
        <v>557574</v>
      </c>
      <c r="AH283" s="10" t="n">
        <v>18002</v>
      </c>
      <c r="AI283" s="10" t="n">
        <v>19217</v>
      </c>
      <c r="AJ283" s="11" t="n">
        <v>575687</v>
      </c>
      <c r="AK283" s="12" t="n">
        <v>22721</v>
      </c>
      <c r="AL283" s="12" t="n">
        <v>19717</v>
      </c>
      <c r="AM283" s="13" t="n">
        <v>3.2</v>
      </c>
      <c r="AN283" s="13" t="n">
        <v>4.5</v>
      </c>
      <c r="AO283" s="13" t="n">
        <v>26.2</v>
      </c>
      <c r="AP283" s="13" t="n">
        <v>56.9</v>
      </c>
    </row>
    <row r="284">
      <c r="A284" s="5" t="inlineStr">
        <is>
          <t>동원산업</t>
        </is>
      </c>
      <c r="B284" s="6" t="inlineStr">
        <is>
          <t>006040</t>
        </is>
      </c>
      <c r="C284" s="6" t="inlineStr">
        <is>
          <t>연결</t>
        </is>
      </c>
      <c r="D284" s="6" t="inlineStr">
        <is>
          <t>2026Q2</t>
        </is>
      </c>
      <c r="E284" s="6" t="inlineStr">
        <is>
          <t>2023Q4</t>
        </is>
      </c>
      <c r="F284" s="14" t="n">
        <v>2102090</v>
      </c>
      <c r="G284" s="15" t="n">
        <v>90448</v>
      </c>
      <c r="H284" s="15" t="n">
        <v>42501</v>
      </c>
      <c r="I284" s="9" t="n">
        <v>2241875</v>
      </c>
      <c r="J284" s="10" t="n">
        <v>110016</v>
      </c>
      <c r="K284" s="10" t="n">
        <v>82401</v>
      </c>
      <c r="L284" s="7" t="n">
        <v>2142855</v>
      </c>
      <c r="M284" s="8" t="n">
        <v>84767</v>
      </c>
      <c r="N284" s="8" t="n">
        <v>45635</v>
      </c>
      <c r="O284" s="9" t="n">
        <v>2339103</v>
      </c>
      <c r="P284" s="10" t="n">
        <v>174405</v>
      </c>
      <c r="Q284" s="10" t="n">
        <v>-75130</v>
      </c>
      <c r="R284" s="7" t="n">
        <v>2220399</v>
      </c>
      <c r="S284" s="8" t="n">
        <v>132132</v>
      </c>
      <c r="T284" s="8" t="n">
        <v>60658</v>
      </c>
      <c r="U284" s="9" t="n">
        <v>2319312</v>
      </c>
      <c r="V284" s="10" t="n">
        <v>124843</v>
      </c>
      <c r="W284" s="10" t="n">
        <v>74783</v>
      </c>
      <c r="X284" s="7" t="n">
        <v>2358613</v>
      </c>
      <c r="Y284" s="8" t="n">
        <v>133642</v>
      </c>
      <c r="Z284" s="8" t="n">
        <v>88031</v>
      </c>
      <c r="AA284" s="9" t="n">
        <v>2586518</v>
      </c>
      <c r="AB284" s="10" t="n">
        <v>148104</v>
      </c>
      <c r="AC284" s="10" t="n">
        <v>101490</v>
      </c>
      <c r="AD284" s="7" t="n">
        <v>2319231</v>
      </c>
      <c r="AE284" s="8" t="n">
        <v>109545</v>
      </c>
      <c r="AF284" s="8" t="n">
        <v>122845</v>
      </c>
      <c r="AG284" s="9" t="n">
        <v>2530019</v>
      </c>
      <c r="AH284" s="10" t="n">
        <v>146157</v>
      </c>
      <c r="AI284" s="10" t="n">
        <v>112900</v>
      </c>
      <c r="AJ284" s="11" t="n">
        <v>2571954</v>
      </c>
      <c r="AK284" s="12" t="n">
        <v>151458</v>
      </c>
      <c r="AL284" s="12" t="n">
        <v>104623</v>
      </c>
      <c r="AM284" s="13" t="n">
        <v>1.7</v>
      </c>
      <c r="AN284" s="13" t="n">
        <v>9</v>
      </c>
      <c r="AO284" s="13" t="n">
        <v>3.6</v>
      </c>
      <c r="AP284" s="13" t="n">
        <v>13.3</v>
      </c>
    </row>
    <row r="285">
      <c r="A285" s="5" t="inlineStr">
        <is>
          <t>국영지앤엠</t>
        </is>
      </c>
      <c r="B285" s="6" t="inlineStr">
        <is>
          <t>006050</t>
        </is>
      </c>
      <c r="C285" s="6" t="inlineStr">
        <is>
          <t>별도</t>
        </is>
      </c>
      <c r="D285" s="6" t="inlineStr">
        <is>
          <t>2026Q2</t>
        </is>
      </c>
      <c r="E285" s="6" t="inlineStr"/>
      <c r="F285" s="7" t="inlineStr"/>
      <c r="G285" s="8" t="inlineStr"/>
      <c r="H285" s="8" t="inlineStr"/>
      <c r="I285" s="9" t="n">
        <v>17965</v>
      </c>
      <c r="J285" s="10" t="n">
        <v>-783</v>
      </c>
      <c r="K285" s="10" t="n">
        <v>-564</v>
      </c>
      <c r="L285" s="7" t="n">
        <v>20664</v>
      </c>
      <c r="M285" s="8" t="n">
        <v>738</v>
      </c>
      <c r="N285" s="8" t="n">
        <v>1036</v>
      </c>
      <c r="O285" s="9" t="n">
        <v>18939</v>
      </c>
      <c r="P285" s="10" t="n">
        <v>-36</v>
      </c>
      <c r="Q285" s="10" t="n">
        <v>98</v>
      </c>
      <c r="R285" s="7" t="n">
        <v>17843</v>
      </c>
      <c r="S285" s="8" t="n">
        <v>984</v>
      </c>
      <c r="T285" s="8" t="n">
        <v>2010</v>
      </c>
      <c r="U285" s="9" t="n">
        <v>13601</v>
      </c>
      <c r="V285" s="10" t="n">
        <v>176</v>
      </c>
      <c r="W285" s="10" t="n">
        <v>318</v>
      </c>
      <c r="X285" s="7" t="n">
        <v>15498</v>
      </c>
      <c r="Y285" s="8" t="n">
        <v>146</v>
      </c>
      <c r="Z285" s="8" t="n">
        <v>261</v>
      </c>
      <c r="AA285" s="9" t="n">
        <v>15691</v>
      </c>
      <c r="AB285" s="10" t="n">
        <v>-111</v>
      </c>
      <c r="AC285" s="10" t="n">
        <v>94</v>
      </c>
      <c r="AD285" s="7" t="n">
        <v>15409</v>
      </c>
      <c r="AE285" s="8" t="n">
        <v>718</v>
      </c>
      <c r="AF285" s="8" t="n">
        <v>1022</v>
      </c>
      <c r="AG285" s="9" t="n">
        <v>10981</v>
      </c>
      <c r="AH285" s="10" t="n">
        <v>-1756</v>
      </c>
      <c r="AI285" s="10" t="n">
        <v>-586</v>
      </c>
      <c r="AJ285" s="11" t="n">
        <v>13184</v>
      </c>
      <c r="AK285" s="12" t="n">
        <v>-483</v>
      </c>
      <c r="AL285" s="12" t="n">
        <v>-826</v>
      </c>
      <c r="AM285" s="13" t="n">
        <v>20.1</v>
      </c>
      <c r="AN285" s="13" t="n">
        <v>-14.9</v>
      </c>
      <c r="AO285" s="13" t="n">
        <v>72.5</v>
      </c>
      <c r="AP285" s="13" t="n">
        <v>-430.8</v>
      </c>
    </row>
    <row r="286">
      <c r="A286" s="5" t="inlineStr">
        <is>
          <t>화승인더스트리</t>
        </is>
      </c>
      <c r="B286" s="6" t="inlineStr">
        <is>
          <t>006060</t>
        </is>
      </c>
      <c r="C286" s="6" t="inlineStr">
        <is>
          <t>연결</t>
        </is>
      </c>
      <c r="D286" s="6" t="inlineStr">
        <is>
          <t>2026Q2</t>
        </is>
      </c>
      <c r="E286" s="6" t="inlineStr"/>
      <c r="F286" s="7" t="inlineStr"/>
      <c r="G286" s="8" t="inlineStr"/>
      <c r="H286" s="8" t="inlineStr"/>
      <c r="I286" s="9" t="n">
        <v>412912</v>
      </c>
      <c r="J286" s="10" t="n">
        <v>12043</v>
      </c>
      <c r="K286" s="10" t="n">
        <v>1102</v>
      </c>
      <c r="L286" s="7" t="n">
        <v>461101</v>
      </c>
      <c r="M286" s="8" t="n">
        <v>29359</v>
      </c>
      <c r="N286" s="8" t="n">
        <v>8126</v>
      </c>
      <c r="O286" s="9" t="n">
        <v>450230</v>
      </c>
      <c r="P286" s="10" t="n">
        <v>25207</v>
      </c>
      <c r="Q286" s="10" t="n">
        <v>8789</v>
      </c>
      <c r="R286" s="7" t="n">
        <v>543491</v>
      </c>
      <c r="S286" s="8" t="n">
        <v>51616</v>
      </c>
      <c r="T286" s="8" t="n">
        <v>28892</v>
      </c>
      <c r="U286" s="9" t="n">
        <v>485530</v>
      </c>
      <c r="V286" s="10" t="n">
        <v>23733</v>
      </c>
      <c r="W286" s="10" t="n">
        <v>5672</v>
      </c>
      <c r="X286" s="7" t="n">
        <v>443451</v>
      </c>
      <c r="Y286" s="8" t="n">
        <v>19460</v>
      </c>
      <c r="Z286" s="8" t="n">
        <v>-8027</v>
      </c>
      <c r="AA286" s="9" t="n">
        <v>405055</v>
      </c>
      <c r="AB286" s="10" t="n">
        <v>9075</v>
      </c>
      <c r="AC286" s="10" t="n">
        <v>-519</v>
      </c>
      <c r="AD286" s="7" t="n">
        <v>447005</v>
      </c>
      <c r="AE286" s="8" t="n">
        <v>24312</v>
      </c>
      <c r="AF286" s="8" t="n">
        <v>12570</v>
      </c>
      <c r="AG286" s="9" t="n">
        <v>408175</v>
      </c>
      <c r="AH286" s="10" t="n">
        <v>8534</v>
      </c>
      <c r="AI286" s="10" t="n">
        <v>393</v>
      </c>
      <c r="AJ286" s="11" t="n">
        <v>458189</v>
      </c>
      <c r="AK286" s="12" t="n">
        <v>21686</v>
      </c>
      <c r="AL286" s="12" t="n">
        <v>8128</v>
      </c>
      <c r="AM286" s="13" t="n">
        <v>12.3</v>
      </c>
      <c r="AN286" s="13" t="n">
        <v>3.3</v>
      </c>
      <c r="AO286" s="13" t="n">
        <v>154.1</v>
      </c>
      <c r="AP286" s="13" t="n">
        <v>11.4</v>
      </c>
    </row>
    <row r="287">
      <c r="A287" s="5" t="inlineStr">
        <is>
          <t>사조오양</t>
        </is>
      </c>
      <c r="B287" s="6" t="inlineStr">
        <is>
          <t>006090</t>
        </is>
      </c>
      <c r="C287" s="6" t="inlineStr">
        <is>
          <t>별도</t>
        </is>
      </c>
      <c r="D287" s="6" t="inlineStr">
        <is>
          <t>2026Q2</t>
        </is>
      </c>
      <c r="E287" s="6" t="inlineStr"/>
      <c r="F287" s="7" t="inlineStr"/>
      <c r="G287" s="8" t="inlineStr"/>
      <c r="H287" s="8" t="inlineStr"/>
      <c r="I287" s="9" t="n">
        <v>96893</v>
      </c>
      <c r="J287" s="10" t="n">
        <v>7562</v>
      </c>
      <c r="K287" s="10" t="n">
        <v>6485</v>
      </c>
      <c r="L287" s="7" t="n">
        <v>93496</v>
      </c>
      <c r="M287" s="8" t="n">
        <v>2394</v>
      </c>
      <c r="N287" s="8" t="n">
        <v>1555</v>
      </c>
      <c r="O287" s="9" t="n">
        <v>104501</v>
      </c>
      <c r="P287" s="10" t="n">
        <v>11731</v>
      </c>
      <c r="Q287" s="10" t="n">
        <v>9339</v>
      </c>
      <c r="R287" s="7" t="n">
        <v>105807</v>
      </c>
      <c r="S287" s="8" t="n">
        <v>-788</v>
      </c>
      <c r="T287" s="8" t="n">
        <v>-4731</v>
      </c>
      <c r="U287" s="9" t="n">
        <v>102962</v>
      </c>
      <c r="V287" s="10" t="n">
        <v>3745</v>
      </c>
      <c r="W287" s="10" t="n">
        <v>253</v>
      </c>
      <c r="X287" s="7" t="n">
        <v>100747</v>
      </c>
      <c r="Y287" s="8" t="n">
        <v>5910</v>
      </c>
      <c r="Z287" s="8" t="n">
        <v>7060</v>
      </c>
      <c r="AA287" s="9" t="n">
        <v>109612</v>
      </c>
      <c r="AB287" s="10" t="n">
        <v>3649</v>
      </c>
      <c r="AC287" s="10" t="n">
        <v>1473</v>
      </c>
      <c r="AD287" s="7" t="n">
        <v>104043</v>
      </c>
      <c r="AE287" s="8" t="n">
        <v>213</v>
      </c>
      <c r="AF287" s="8" t="n">
        <v>1796</v>
      </c>
      <c r="AG287" s="9" t="n">
        <v>105228</v>
      </c>
      <c r="AH287" s="10" t="n">
        <v>6948</v>
      </c>
      <c r="AI287" s="10" t="n">
        <v>4701</v>
      </c>
      <c r="AJ287" s="11" t="n">
        <v>92117</v>
      </c>
      <c r="AK287" s="12" t="n">
        <v>476</v>
      </c>
      <c r="AL287" s="12" t="n">
        <v>2150</v>
      </c>
      <c r="AM287" s="13" t="n">
        <v>-12.5</v>
      </c>
      <c r="AN287" s="13" t="n">
        <v>-8.6</v>
      </c>
      <c r="AO287" s="13" t="n">
        <v>-93.09999999999999</v>
      </c>
      <c r="AP287" s="13" t="n">
        <v>-91.90000000000001</v>
      </c>
    </row>
    <row r="288">
      <c r="A288" s="5" t="inlineStr">
        <is>
          <t>삼아알미늄</t>
        </is>
      </c>
      <c r="B288" s="6" t="inlineStr">
        <is>
          <t>006110</t>
        </is>
      </c>
      <c r="C288" s="6" t="inlineStr">
        <is>
          <t>연결</t>
        </is>
      </c>
      <c r="D288" s="6" t="inlineStr">
        <is>
          <t>2026Q2</t>
        </is>
      </c>
      <c r="E288" s="6" t="inlineStr"/>
      <c r="F288" s="7" t="inlineStr"/>
      <c r="G288" s="8" t="inlineStr"/>
      <c r="H288" s="8" t="inlineStr"/>
      <c r="I288" s="9" t="n">
        <v>63319</v>
      </c>
      <c r="J288" s="10" t="n">
        <v>-1633</v>
      </c>
      <c r="K288" s="10" t="n">
        <v>-484</v>
      </c>
      <c r="L288" s="7" t="n">
        <v>68545</v>
      </c>
      <c r="M288" s="8" t="n">
        <v>400</v>
      </c>
      <c r="N288" s="8" t="n">
        <v>192</v>
      </c>
      <c r="O288" s="9" t="n">
        <v>55286</v>
      </c>
      <c r="P288" s="10" t="n">
        <v>-4321</v>
      </c>
      <c r="Q288" s="10" t="n">
        <v>-6054</v>
      </c>
      <c r="R288" s="7" t="n">
        <v>64583</v>
      </c>
      <c r="S288" s="8" t="n">
        <v>-4037</v>
      </c>
      <c r="T288" s="8" t="n">
        <v>-3009</v>
      </c>
      <c r="U288" s="9" t="n">
        <v>66096</v>
      </c>
      <c r="V288" s="10" t="n">
        <v>-2502</v>
      </c>
      <c r="W288" s="10" t="n">
        <v>-3909</v>
      </c>
      <c r="X288" s="7" t="n">
        <v>67414</v>
      </c>
      <c r="Y288" s="8" t="n">
        <v>-3270</v>
      </c>
      <c r="Z288" s="8" t="n">
        <v>-3660</v>
      </c>
      <c r="AA288" s="9" t="n">
        <v>66703</v>
      </c>
      <c r="AB288" s="10" t="n">
        <v>-4386</v>
      </c>
      <c r="AC288" s="10" t="n">
        <v>-5635</v>
      </c>
      <c r="AD288" s="7" t="n">
        <v>71246</v>
      </c>
      <c r="AE288" s="8" t="n">
        <v>-7489</v>
      </c>
      <c r="AF288" s="8" t="n">
        <v>-11685</v>
      </c>
      <c r="AG288" s="9" t="n">
        <v>67434</v>
      </c>
      <c r="AH288" s="10" t="n">
        <v>-4386</v>
      </c>
      <c r="AI288" s="10" t="n">
        <v>-5496</v>
      </c>
      <c r="AJ288" s="11" t="n">
        <v>96925</v>
      </c>
      <c r="AK288" s="12" t="n">
        <v>1745</v>
      </c>
      <c r="AL288" s="12" t="n">
        <v>261</v>
      </c>
      <c r="AM288" s="13" t="n">
        <v>43.7</v>
      </c>
      <c r="AN288" s="13" t="n">
        <v>43.8</v>
      </c>
      <c r="AO288" s="13" t="n">
        <v>139.8</v>
      </c>
      <c r="AP288" s="13" t="n">
        <v>153.4</v>
      </c>
    </row>
    <row r="289">
      <c r="A289" s="5" t="inlineStr">
        <is>
          <t>SK디스커버리</t>
        </is>
      </c>
      <c r="B289" s="6" t="inlineStr">
        <is>
          <t>006120</t>
        </is>
      </c>
      <c r="C289" s="6" t="inlineStr">
        <is>
          <t>연결</t>
        </is>
      </c>
      <c r="D289" s="6" t="inlineStr">
        <is>
          <t>2026Q2</t>
        </is>
      </c>
      <c r="E289" s="6" t="inlineStr"/>
      <c r="F289" s="7" t="inlineStr"/>
      <c r="G289" s="8" t="inlineStr"/>
      <c r="H289" s="8" t="inlineStr"/>
      <c r="I289" s="9" t="n">
        <v>2158527</v>
      </c>
      <c r="J289" s="10" t="n">
        <v>39469</v>
      </c>
      <c r="K289" s="10" t="n">
        <v>-21905</v>
      </c>
      <c r="L289" s="7" t="n">
        <v>2119448</v>
      </c>
      <c r="M289" s="8" t="n">
        <v>39556</v>
      </c>
      <c r="N289" s="8" t="n">
        <v>16275</v>
      </c>
      <c r="O289" s="9" t="n">
        <v>2189579</v>
      </c>
      <c r="P289" s="10" t="n">
        <v>21044</v>
      </c>
      <c r="Q289" s="10" t="n">
        <v>38223</v>
      </c>
      <c r="R289" s="7" t="n">
        <v>2572049</v>
      </c>
      <c r="S289" s="8" t="n">
        <v>72489</v>
      </c>
      <c r="T289" s="8" t="n">
        <v>-674</v>
      </c>
      <c r="U289" s="9" t="n">
        <v>2406122</v>
      </c>
      <c r="V289" s="10" t="n">
        <v>110687</v>
      </c>
      <c r="W289" s="10" t="n">
        <v>73473</v>
      </c>
      <c r="X289" s="7" t="n">
        <v>2497785</v>
      </c>
      <c r="Y289" s="8" t="n">
        <v>87996</v>
      </c>
      <c r="Z289" s="8" t="n">
        <v>22020</v>
      </c>
      <c r="AA289" s="9" t="n">
        <v>2601280</v>
      </c>
      <c r="AB289" s="10" t="n">
        <v>168141</v>
      </c>
      <c r="AC289" s="10" t="n">
        <v>61284</v>
      </c>
      <c r="AD289" s="7" t="n">
        <v>2658827</v>
      </c>
      <c r="AE289" s="8" t="n">
        <v>-5470</v>
      </c>
      <c r="AF289" s="8" t="n">
        <v>-12150</v>
      </c>
      <c r="AG289" s="9" t="n">
        <v>3289250</v>
      </c>
      <c r="AH289" s="10" t="n">
        <v>189763</v>
      </c>
      <c r="AI289" s="10" t="n">
        <v>212280</v>
      </c>
      <c r="AJ289" s="11" t="n">
        <v>3055582</v>
      </c>
      <c r="AK289" s="12" t="n">
        <v>-30355</v>
      </c>
      <c r="AL289" s="12" t="n">
        <v>-58555</v>
      </c>
      <c r="AM289" s="13" t="n">
        <v>-7.1</v>
      </c>
      <c r="AN289" s="13" t="n">
        <v>22.3</v>
      </c>
      <c r="AO289" s="13" t="n">
        <v>-116</v>
      </c>
      <c r="AP289" s="13" t="n">
        <v>-134.5</v>
      </c>
    </row>
    <row r="290">
      <c r="A290" s="5" t="inlineStr">
        <is>
          <t>피제이전자</t>
        </is>
      </c>
      <c r="B290" s="6" t="inlineStr">
        <is>
          <t>006140</t>
        </is>
      </c>
      <c r="C290" s="6" t="inlineStr">
        <is>
          <t>별도</t>
        </is>
      </c>
      <c r="D290" s="6" t="inlineStr">
        <is>
          <t>2026Q2</t>
        </is>
      </c>
      <c r="E290" s="6" t="inlineStr"/>
      <c r="F290" s="7" t="inlineStr"/>
      <c r="G290" s="8" t="inlineStr"/>
      <c r="H290" s="8" t="inlineStr"/>
      <c r="I290" s="9" t="n">
        <v>42220</v>
      </c>
      <c r="J290" s="10" t="n">
        <v>3060</v>
      </c>
      <c r="K290" s="10" t="n">
        <v>2582</v>
      </c>
      <c r="L290" s="7" t="n">
        <v>40178</v>
      </c>
      <c r="M290" s="8" t="n">
        <v>1894</v>
      </c>
      <c r="N290" s="8" t="n">
        <v>1722</v>
      </c>
      <c r="O290" s="9" t="n">
        <v>39203</v>
      </c>
      <c r="P290" s="10" t="n">
        <v>1942</v>
      </c>
      <c r="Q290" s="10" t="n">
        <v>1179</v>
      </c>
      <c r="R290" s="7" t="n">
        <v>47698</v>
      </c>
      <c r="S290" s="8" t="n">
        <v>3885</v>
      </c>
      <c r="T290" s="8" t="n">
        <v>3738</v>
      </c>
      <c r="U290" s="9" t="n">
        <v>44867</v>
      </c>
      <c r="V290" s="10" t="n">
        <v>4273</v>
      </c>
      <c r="W290" s="10" t="n">
        <v>3446</v>
      </c>
      <c r="X290" s="7" t="n">
        <v>39709</v>
      </c>
      <c r="Y290" s="8" t="n">
        <v>1482</v>
      </c>
      <c r="Z290" s="8" t="n">
        <v>-130</v>
      </c>
      <c r="AA290" s="9" t="n">
        <v>45385</v>
      </c>
      <c r="AB290" s="10" t="n">
        <v>2439</v>
      </c>
      <c r="AC290" s="10" t="n">
        <v>2459</v>
      </c>
      <c r="AD290" s="7" t="n">
        <v>48591</v>
      </c>
      <c r="AE290" s="8" t="n">
        <v>2766</v>
      </c>
      <c r="AF290" s="8" t="n">
        <v>3579</v>
      </c>
      <c r="AG290" s="9" t="n">
        <v>51094</v>
      </c>
      <c r="AH290" s="10" t="n">
        <v>1823</v>
      </c>
      <c r="AI290" s="10" t="n">
        <v>3838</v>
      </c>
      <c r="AJ290" s="11" t="n">
        <v>50658</v>
      </c>
      <c r="AK290" s="12" t="n">
        <v>1756</v>
      </c>
      <c r="AL290" s="12" t="n">
        <v>1841</v>
      </c>
      <c r="AM290" s="13" t="n">
        <v>-0.9</v>
      </c>
      <c r="AN290" s="13" t="n">
        <v>27.6</v>
      </c>
      <c r="AO290" s="13" t="n">
        <v>-3.7</v>
      </c>
      <c r="AP290" s="13" t="n">
        <v>18.5</v>
      </c>
    </row>
    <row r="291">
      <c r="A291" s="5" t="inlineStr">
        <is>
          <t>한국전자홀딩스</t>
        </is>
      </c>
      <c r="B291" s="6" t="inlineStr">
        <is>
          <t>006200</t>
        </is>
      </c>
      <c r="C291" s="6" t="inlineStr">
        <is>
          <t>연결</t>
        </is>
      </c>
      <c r="D291" s="6" t="inlineStr">
        <is>
          <t>2026Q2</t>
        </is>
      </c>
      <c r="E291" s="6" t="inlineStr"/>
      <c r="F291" s="7" t="inlineStr"/>
      <c r="G291" s="8" t="inlineStr"/>
      <c r="H291" s="8" t="inlineStr"/>
      <c r="I291" s="9" t="n">
        <v>72433</v>
      </c>
      <c r="J291" s="10" t="n">
        <v>463</v>
      </c>
      <c r="K291" s="10" t="n">
        <v>1421</v>
      </c>
      <c r="L291" s="7" t="n">
        <v>80712</v>
      </c>
      <c r="M291" s="8" t="n">
        <v>2067</v>
      </c>
      <c r="N291" s="8" t="n">
        <v>2228</v>
      </c>
      <c r="O291" s="9" t="n">
        <v>75140</v>
      </c>
      <c r="P291" s="10" t="n">
        <v>-2396</v>
      </c>
      <c r="Q291" s="10" t="n">
        <v>-2229</v>
      </c>
      <c r="R291" s="7" t="n">
        <v>66019</v>
      </c>
      <c r="S291" s="8" t="n">
        <v>-4260</v>
      </c>
      <c r="T291" s="8" t="n">
        <v>-4791</v>
      </c>
      <c r="U291" s="9" t="n">
        <v>75304</v>
      </c>
      <c r="V291" s="10" t="n">
        <v>-313</v>
      </c>
      <c r="W291" s="10" t="n">
        <v>689</v>
      </c>
      <c r="X291" s="7" t="n">
        <v>70274</v>
      </c>
      <c r="Y291" s="8" t="n">
        <v>-3487</v>
      </c>
      <c r="Z291" s="8" t="n">
        <v>-2283</v>
      </c>
      <c r="AA291" s="9" t="n">
        <v>63265</v>
      </c>
      <c r="AB291" s="10" t="n">
        <v>-5387</v>
      </c>
      <c r="AC291" s="10" t="n">
        <v>-5460</v>
      </c>
      <c r="AD291" s="7" t="n">
        <v>67044</v>
      </c>
      <c r="AE291" s="8" t="n">
        <v>-4864</v>
      </c>
      <c r="AF291" s="8" t="n">
        <v>-12726</v>
      </c>
      <c r="AG291" s="9" t="n">
        <v>77685</v>
      </c>
      <c r="AH291" s="10" t="n">
        <v>-2864</v>
      </c>
      <c r="AI291" s="10" t="n">
        <v>-2908</v>
      </c>
      <c r="AJ291" s="11" t="n">
        <v>80624</v>
      </c>
      <c r="AK291" s="12" t="n">
        <v>-2370</v>
      </c>
      <c r="AL291" s="12" t="n">
        <v>-2108</v>
      </c>
      <c r="AM291" s="13" t="n">
        <v>3.8</v>
      </c>
      <c r="AN291" s="13" t="n">
        <v>14.7</v>
      </c>
      <c r="AO291" s="13" t="n">
        <v>17.2</v>
      </c>
      <c r="AP291" s="13" t="n">
        <v>32</v>
      </c>
    </row>
    <row r="292">
      <c r="A292" s="5" t="inlineStr">
        <is>
          <t>제주은행</t>
        </is>
      </c>
      <c r="B292" s="6" t="inlineStr">
        <is>
          <t>006220</t>
        </is>
      </c>
      <c r="C292" s="6" t="inlineStr">
        <is>
          <t>연결</t>
        </is>
      </c>
      <c r="D292" s="6" t="inlineStr">
        <is>
          <t>2026Q2</t>
        </is>
      </c>
      <c r="E292" s="6" t="inlineStr">
        <is>
          <t>2023Q4</t>
        </is>
      </c>
      <c r="F292" s="14" t="n">
        <v>97943</v>
      </c>
      <c r="G292" s="15" t="n">
        <v>-9405</v>
      </c>
      <c r="H292" s="15" t="n">
        <v>-8014</v>
      </c>
      <c r="I292" s="14" t="n">
        <v>95669</v>
      </c>
      <c r="J292" s="10" t="n">
        <v>5291</v>
      </c>
      <c r="K292" s="10" t="n">
        <v>4349</v>
      </c>
      <c r="L292" s="14" t="n">
        <v>92444</v>
      </c>
      <c r="M292" s="8" t="n">
        <v>1857</v>
      </c>
      <c r="N292" s="8" t="n">
        <v>1840</v>
      </c>
      <c r="O292" s="14" t="n">
        <v>99635</v>
      </c>
      <c r="P292" s="10" t="n">
        <v>3248</v>
      </c>
      <c r="Q292" s="10" t="n">
        <v>3190</v>
      </c>
      <c r="R292" s="14" t="n">
        <v>94373</v>
      </c>
      <c r="S292" s="8" t="n">
        <v>1026</v>
      </c>
      <c r="T292" s="8" t="n">
        <v>1037</v>
      </c>
      <c r="U292" s="14" t="n">
        <v>91129</v>
      </c>
      <c r="V292" s="10" t="n">
        <v>1267</v>
      </c>
      <c r="W292" s="10" t="n">
        <v>2904</v>
      </c>
      <c r="X292" s="14" t="n">
        <v>92246</v>
      </c>
      <c r="Y292" s="8" t="n">
        <v>2166</v>
      </c>
      <c r="Z292" s="8" t="n">
        <v>5151</v>
      </c>
      <c r="AA292" s="14" t="n">
        <v>95084</v>
      </c>
      <c r="AB292" s="10" t="n">
        <v>4880</v>
      </c>
      <c r="AC292" s="10" t="n">
        <v>4218</v>
      </c>
      <c r="AD292" s="14" t="n">
        <v>91102</v>
      </c>
      <c r="AE292" s="8" t="n">
        <v>1621</v>
      </c>
      <c r="AF292" s="8" t="n">
        <v>1657</v>
      </c>
      <c r="AG292" s="14" t="n">
        <v>94629</v>
      </c>
      <c r="AH292" s="10" t="n">
        <v>947</v>
      </c>
      <c r="AI292" s="10" t="n">
        <v>4210</v>
      </c>
      <c r="AJ292" s="14" t="n">
        <v>103916</v>
      </c>
      <c r="AK292" s="12" t="n">
        <v>4998</v>
      </c>
      <c r="AL292" s="12" t="n">
        <v>4763</v>
      </c>
      <c r="AM292" s="13" t="n">
        <v>9.800000000000001</v>
      </c>
      <c r="AN292" s="13" t="n">
        <v>12.7</v>
      </c>
      <c r="AO292" s="13" t="n">
        <v>427.8</v>
      </c>
      <c r="AP292" s="13" t="n">
        <v>130.7</v>
      </c>
    </row>
    <row r="293">
      <c r="A293" s="5" t="inlineStr">
        <is>
          <t>LS</t>
        </is>
      </c>
      <c r="B293" s="6" t="inlineStr">
        <is>
          <t>006260</t>
        </is>
      </c>
      <c r="C293" s="6" t="inlineStr">
        <is>
          <t>연결</t>
        </is>
      </c>
      <c r="D293" s="6" t="inlineStr">
        <is>
          <t>2026Q2</t>
        </is>
      </c>
      <c r="E293" s="6" t="inlineStr">
        <is>
          <t>2023Q4</t>
        </is>
      </c>
      <c r="F293" s="14" t="n">
        <v>5852400</v>
      </c>
      <c r="G293" s="15" t="n">
        <v>153700</v>
      </c>
      <c r="H293" s="15" t="n">
        <v>238200</v>
      </c>
      <c r="I293" s="9" t="n">
        <v>5945027</v>
      </c>
      <c r="J293" s="10" t="n">
        <v>243669</v>
      </c>
      <c r="K293" s="10" t="n">
        <v>90202</v>
      </c>
      <c r="L293" s="7" t="n">
        <v>7414274</v>
      </c>
      <c r="M293" s="8" t="n">
        <v>374383</v>
      </c>
      <c r="N293" s="8" t="n">
        <v>232245</v>
      </c>
      <c r="O293" s="9" t="n">
        <v>7085497</v>
      </c>
      <c r="P293" s="10" t="n">
        <v>157098</v>
      </c>
      <c r="Q293" s="10" t="n">
        <v>71845</v>
      </c>
      <c r="R293" s="7" t="n">
        <v>7099865</v>
      </c>
      <c r="S293" s="8" t="n">
        <v>297793</v>
      </c>
      <c r="T293" s="8" t="n">
        <v>-2777</v>
      </c>
      <c r="U293" s="9" t="n">
        <v>6913573</v>
      </c>
      <c r="V293" s="10" t="n">
        <v>304505</v>
      </c>
      <c r="W293" s="10" t="n">
        <v>141111</v>
      </c>
      <c r="X293" s="7" t="n">
        <v>7854425</v>
      </c>
      <c r="Y293" s="8" t="n">
        <v>235640</v>
      </c>
      <c r="Z293" s="8" t="n">
        <v>163359</v>
      </c>
      <c r="AA293" s="9" t="n">
        <v>8072773</v>
      </c>
      <c r="AB293" s="10" t="n">
        <v>257128</v>
      </c>
      <c r="AC293" s="10" t="n">
        <v>104602</v>
      </c>
      <c r="AD293" s="7" t="n">
        <v>9029260</v>
      </c>
      <c r="AE293" s="8" t="n">
        <v>255281</v>
      </c>
      <c r="AF293" s="8" t="n">
        <v>76073</v>
      </c>
      <c r="AG293" s="9" t="n">
        <v>9504447</v>
      </c>
      <c r="AH293" s="10" t="n">
        <v>476090</v>
      </c>
      <c r="AI293" s="10" t="n">
        <v>241907</v>
      </c>
      <c r="AJ293" s="11" t="n">
        <v>11023562</v>
      </c>
      <c r="AK293" s="12" t="n">
        <v>595567</v>
      </c>
      <c r="AL293" s="12" t="n">
        <v>296680</v>
      </c>
      <c r="AM293" s="13" t="n">
        <v>16</v>
      </c>
      <c r="AN293" s="13" t="n">
        <v>40.3</v>
      </c>
      <c r="AO293" s="13" t="n">
        <v>25.1</v>
      </c>
      <c r="AP293" s="13" t="n">
        <v>152.7</v>
      </c>
    </row>
    <row r="294">
      <c r="A294" s="5" t="inlineStr">
        <is>
          <t>녹십자</t>
        </is>
      </c>
      <c r="B294" s="6" t="inlineStr">
        <is>
          <t>006280</t>
        </is>
      </c>
      <c r="C294" s="6" t="inlineStr">
        <is>
          <t>연결</t>
        </is>
      </c>
      <c r="D294" s="6" t="inlineStr">
        <is>
          <t>2026Q2</t>
        </is>
      </c>
      <c r="E294" s="6" t="inlineStr"/>
      <c r="F294" s="7" t="inlineStr"/>
      <c r="G294" s="8" t="inlineStr"/>
      <c r="H294" s="8" t="inlineStr"/>
      <c r="I294" s="9" t="n">
        <v>356810</v>
      </c>
      <c r="J294" s="10" t="n">
        <v>-15015</v>
      </c>
      <c r="K294" s="10" t="n">
        <v>-30690</v>
      </c>
      <c r="L294" s="7" t="n">
        <v>417363</v>
      </c>
      <c r="M294" s="8" t="n">
        <v>17650</v>
      </c>
      <c r="N294" s="8" t="n">
        <v>-9055</v>
      </c>
      <c r="O294" s="9" t="n">
        <v>464866</v>
      </c>
      <c r="P294" s="10" t="n">
        <v>39574</v>
      </c>
      <c r="Q294" s="10" t="n">
        <v>35822</v>
      </c>
      <c r="R294" s="7" t="n">
        <v>440853</v>
      </c>
      <c r="S294" s="8" t="n">
        <v>-10102</v>
      </c>
      <c r="T294" s="8" t="n">
        <v>-38714</v>
      </c>
      <c r="U294" s="9" t="n">
        <v>383779</v>
      </c>
      <c r="V294" s="10" t="n">
        <v>7960</v>
      </c>
      <c r="W294" s="10" t="n">
        <v>22276</v>
      </c>
      <c r="X294" s="7" t="n">
        <v>500260</v>
      </c>
      <c r="Y294" s="8" t="n">
        <v>27372</v>
      </c>
      <c r="Z294" s="8" t="n">
        <v>32683</v>
      </c>
      <c r="AA294" s="9" t="n">
        <v>609486</v>
      </c>
      <c r="AB294" s="10" t="n">
        <v>29217</v>
      </c>
      <c r="AC294" s="10" t="n">
        <v>18149</v>
      </c>
      <c r="AD294" s="7" t="n">
        <v>497754</v>
      </c>
      <c r="AE294" s="8" t="n">
        <v>4601</v>
      </c>
      <c r="AF294" s="8" t="n">
        <v>-102793</v>
      </c>
      <c r="AG294" s="9" t="n">
        <v>435532</v>
      </c>
      <c r="AH294" s="10" t="n">
        <v>11730</v>
      </c>
      <c r="AI294" s="10" t="n">
        <v>20142</v>
      </c>
      <c r="AJ294" s="11" t="n">
        <v>421180</v>
      </c>
      <c r="AK294" s="12" t="n">
        <v>1730</v>
      </c>
      <c r="AL294" s="12" t="n">
        <v>1050</v>
      </c>
      <c r="AM294" s="13" t="n">
        <v>-3.3</v>
      </c>
      <c r="AN294" s="13" t="n">
        <v>-15.8</v>
      </c>
      <c r="AO294" s="13" t="n">
        <v>-85.3</v>
      </c>
      <c r="AP294" s="13" t="n">
        <v>-93.7</v>
      </c>
    </row>
    <row r="295">
      <c r="A295" s="5" t="inlineStr">
        <is>
          <t>대원전선</t>
        </is>
      </c>
      <c r="B295" s="6" t="inlineStr">
        <is>
          <t>006340</t>
        </is>
      </c>
      <c r="C295" s="6" t="inlineStr">
        <is>
          <t>연결</t>
        </is>
      </c>
      <c r="D295" s="6" t="inlineStr">
        <is>
          <t>2026Q2</t>
        </is>
      </c>
      <c r="E295" s="6" t="inlineStr"/>
      <c r="F295" s="7" t="inlineStr"/>
      <c r="G295" s="8" t="inlineStr"/>
      <c r="H295" s="8" t="inlineStr"/>
      <c r="I295" s="9" t="n">
        <v>130512</v>
      </c>
      <c r="J295" s="10" t="n">
        <v>3027</v>
      </c>
      <c r="K295" s="10" t="n">
        <v>2247</v>
      </c>
      <c r="L295" s="7" t="n">
        <v>151795</v>
      </c>
      <c r="M295" s="8" t="n">
        <v>4004</v>
      </c>
      <c r="N295" s="8" t="n">
        <v>-565</v>
      </c>
      <c r="O295" s="9" t="n">
        <v>133194</v>
      </c>
      <c r="P295" s="10" t="n">
        <v>5289</v>
      </c>
      <c r="Q295" s="10" t="n">
        <v>3976</v>
      </c>
      <c r="R295" s="7" t="n">
        <v>137276</v>
      </c>
      <c r="S295" s="8" t="n">
        <v>2019</v>
      </c>
      <c r="T295" s="8" t="n">
        <v>1136</v>
      </c>
      <c r="U295" s="9" t="n">
        <v>151267</v>
      </c>
      <c r="V295" s="10" t="n">
        <v>8326</v>
      </c>
      <c r="W295" s="10" t="n">
        <v>8452</v>
      </c>
      <c r="X295" s="7" t="n">
        <v>151420</v>
      </c>
      <c r="Y295" s="8" t="n">
        <v>5396</v>
      </c>
      <c r="Z295" s="8" t="n">
        <v>3198</v>
      </c>
      <c r="AA295" s="9" t="n">
        <v>154792</v>
      </c>
      <c r="AB295" s="10" t="n">
        <v>1107</v>
      </c>
      <c r="AC295" s="10" t="n">
        <v>769</v>
      </c>
      <c r="AD295" s="7" t="n">
        <v>167063</v>
      </c>
      <c r="AE295" s="8" t="n">
        <v>-5478</v>
      </c>
      <c r="AF295" s="8" t="n">
        <v>497</v>
      </c>
      <c r="AG295" s="9" t="n">
        <v>189242</v>
      </c>
      <c r="AH295" s="10" t="n">
        <v>14669</v>
      </c>
      <c r="AI295" s="10" t="n">
        <v>11210</v>
      </c>
      <c r="AJ295" s="11" t="n">
        <v>278068</v>
      </c>
      <c r="AK295" s="12" t="n">
        <v>3727</v>
      </c>
      <c r="AL295" s="12" t="n">
        <v>3514</v>
      </c>
      <c r="AM295" s="13" t="n">
        <v>46.9</v>
      </c>
      <c r="AN295" s="13" t="n">
        <v>83.59999999999999</v>
      </c>
      <c r="AO295" s="13" t="n">
        <v>-74.59999999999999</v>
      </c>
      <c r="AP295" s="13" t="n">
        <v>-30.9</v>
      </c>
    </row>
    <row r="296">
      <c r="A296" s="5" t="inlineStr">
        <is>
          <t>GS건설</t>
        </is>
      </c>
      <c r="B296" s="6" t="inlineStr">
        <is>
          <t>006360</t>
        </is>
      </c>
      <c r="C296" s="6" t="inlineStr">
        <is>
          <t>연결</t>
        </is>
      </c>
      <c r="D296" s="6" t="inlineStr">
        <is>
          <t>2026Q2</t>
        </is>
      </c>
      <c r="E296" s="6" t="inlineStr">
        <is>
          <t>2023Q4</t>
        </is>
      </c>
      <c r="F296" s="14" t="n">
        <v>3321371</v>
      </c>
      <c r="G296" s="15" t="n">
        <v>-193749</v>
      </c>
      <c r="H296" s="15" t="n">
        <v>-313664</v>
      </c>
      <c r="I296" s="9" t="n">
        <v>3070914</v>
      </c>
      <c r="J296" s="10" t="n">
        <v>70520</v>
      </c>
      <c r="K296" s="10" t="n">
        <v>139367</v>
      </c>
      <c r="L296" s="7" t="n">
        <v>3297188</v>
      </c>
      <c r="M296" s="8" t="n">
        <v>93432</v>
      </c>
      <c r="N296" s="8" t="n">
        <v>35210</v>
      </c>
      <c r="O296" s="9" t="n">
        <v>3109249</v>
      </c>
      <c r="P296" s="10" t="n">
        <v>81790</v>
      </c>
      <c r="Q296" s="10" t="n">
        <v>120825</v>
      </c>
      <c r="R296" s="7" t="n">
        <v>3386460</v>
      </c>
      <c r="S296" s="8" t="n">
        <v>40212</v>
      </c>
      <c r="T296" s="8" t="n">
        <v>-31478</v>
      </c>
      <c r="U296" s="9" t="n">
        <v>3062935</v>
      </c>
      <c r="V296" s="10" t="n">
        <v>70377</v>
      </c>
      <c r="W296" s="10" t="n">
        <v>13735</v>
      </c>
      <c r="X296" s="7" t="n">
        <v>3196053</v>
      </c>
      <c r="Y296" s="8" t="n">
        <v>162061</v>
      </c>
      <c r="Z296" s="8" t="n">
        <v>-87061</v>
      </c>
      <c r="AA296" s="9" t="n">
        <v>3207972</v>
      </c>
      <c r="AB296" s="10" t="n">
        <v>148473</v>
      </c>
      <c r="AC296" s="10" t="n">
        <v>122058</v>
      </c>
      <c r="AD296" s="7" t="n">
        <v>2983387</v>
      </c>
      <c r="AE296" s="8" t="n">
        <v>56898</v>
      </c>
      <c r="AF296" s="8" t="n">
        <v>44691</v>
      </c>
      <c r="AG296" s="9" t="n">
        <v>2400539</v>
      </c>
      <c r="AH296" s="10" t="n">
        <v>73468</v>
      </c>
      <c r="AI296" s="10" t="n">
        <v>10707</v>
      </c>
      <c r="AJ296" s="11" t="n">
        <v>2779365</v>
      </c>
      <c r="AK296" s="12" t="n">
        <v>91354</v>
      </c>
      <c r="AL296" s="12" t="n">
        <v>14371</v>
      </c>
      <c r="AM296" s="13" t="n">
        <v>15.8</v>
      </c>
      <c r="AN296" s="13" t="n">
        <v>-13</v>
      </c>
      <c r="AO296" s="13" t="n">
        <v>24.3</v>
      </c>
      <c r="AP296" s="13" t="n">
        <v>-43.6</v>
      </c>
    </row>
    <row r="297">
      <c r="A297" s="5" t="inlineStr">
        <is>
          <t>대구백화점</t>
        </is>
      </c>
      <c r="B297" s="6" t="inlineStr">
        <is>
          <t>006370</t>
        </is>
      </c>
      <c r="C297" s="6" t="inlineStr">
        <is>
          <t>연결</t>
        </is>
      </c>
      <c r="D297" s="6" t="inlineStr">
        <is>
          <t>2026Q2</t>
        </is>
      </c>
      <c r="E297" s="6" t="inlineStr"/>
      <c r="F297" s="7" t="inlineStr"/>
      <c r="G297" s="8" t="inlineStr"/>
      <c r="H297" s="8" t="inlineStr"/>
      <c r="I297" s="9" t="n">
        <v>16111</v>
      </c>
      <c r="J297" s="10" t="n">
        <v>-3209</v>
      </c>
      <c r="K297" s="10" t="n">
        <v>-6694</v>
      </c>
      <c r="L297" s="7" t="n">
        <v>14915</v>
      </c>
      <c r="M297" s="8" t="n">
        <v>-2961</v>
      </c>
      <c r="N297" s="8" t="n">
        <v>-6630</v>
      </c>
      <c r="O297" s="9" t="n">
        <v>15330</v>
      </c>
      <c r="P297" s="10" t="n">
        <v>-3614</v>
      </c>
      <c r="Q297" s="10" t="n">
        <v>-11711</v>
      </c>
      <c r="R297" s="7" t="n">
        <v>7676</v>
      </c>
      <c r="S297" s="8" t="n">
        <v>-5212</v>
      </c>
      <c r="T297" s="8" t="n">
        <v>-6223</v>
      </c>
      <c r="U297" s="9" t="n">
        <v>14136</v>
      </c>
      <c r="V297" s="10" t="n">
        <v>-3819</v>
      </c>
      <c r="W297" s="10" t="n">
        <v>-8302</v>
      </c>
      <c r="X297" s="7" t="n">
        <v>12546</v>
      </c>
      <c r="Y297" s="8" t="n">
        <v>-2498</v>
      </c>
      <c r="Z297" s="8" t="n">
        <v>-6978</v>
      </c>
      <c r="AA297" s="9" t="n">
        <v>13387</v>
      </c>
      <c r="AB297" s="10" t="n">
        <v>-4029</v>
      </c>
      <c r="AC297" s="10" t="n">
        <v>-8487</v>
      </c>
      <c r="AD297" s="7" t="n">
        <v>7179</v>
      </c>
      <c r="AE297" s="8" t="n">
        <v>-4627</v>
      </c>
      <c r="AF297" s="8" t="n">
        <v>-8719</v>
      </c>
      <c r="AG297" s="9" t="n">
        <v>11185</v>
      </c>
      <c r="AH297" s="10" t="n">
        <v>-3768</v>
      </c>
      <c r="AI297" s="10" t="n">
        <v>-7168</v>
      </c>
      <c r="AJ297" s="11" t="n">
        <v>11641</v>
      </c>
      <c r="AK297" s="12" t="n">
        <v>-3891</v>
      </c>
      <c r="AL297" s="12" t="n">
        <v>-8574</v>
      </c>
      <c r="AM297" s="13" t="n">
        <v>4.1</v>
      </c>
      <c r="AN297" s="13" t="n">
        <v>-7.2</v>
      </c>
      <c r="AO297" s="13" t="n">
        <v>-3.3</v>
      </c>
      <c r="AP297" s="13" t="n">
        <v>-55.8</v>
      </c>
    </row>
    <row r="298">
      <c r="A298" s="5" t="inlineStr">
        <is>
          <t>카프로</t>
        </is>
      </c>
      <c r="B298" s="6" t="inlineStr">
        <is>
          <t>006380</t>
        </is>
      </c>
      <c r="C298" s="6" t="inlineStr">
        <is>
          <t>별도</t>
        </is>
      </c>
      <c r="D298" s="6" t="inlineStr">
        <is>
          <t>2026Q2</t>
        </is>
      </c>
      <c r="E298" s="6" t="inlineStr"/>
      <c r="F298" s="7" t="inlineStr"/>
      <c r="G298" s="8" t="inlineStr"/>
      <c r="H298" s="8" t="inlineStr"/>
      <c r="I298" s="9" t="n">
        <v>2529</v>
      </c>
      <c r="J298" s="10" t="n">
        <v>-6404</v>
      </c>
      <c r="K298" s="10" t="n">
        <v>-8210</v>
      </c>
      <c r="L298" s="7" t="n">
        <v>1619</v>
      </c>
      <c r="M298" s="8" t="n">
        <v>-7244</v>
      </c>
      <c r="N298" s="8" t="n">
        <v>64677</v>
      </c>
      <c r="O298" s="9" t="n">
        <v>1540</v>
      </c>
      <c r="P298" s="10" t="n">
        <v>-6422</v>
      </c>
      <c r="Q298" s="10" t="n">
        <v>-8280</v>
      </c>
      <c r="R298" s="7" t="n">
        <v>1385</v>
      </c>
      <c r="S298" s="8" t="n">
        <v>-12316</v>
      </c>
      <c r="T298" s="8" t="n">
        <v>-14999</v>
      </c>
      <c r="U298" s="9" t="n">
        <v>2335</v>
      </c>
      <c r="V298" s="10" t="n">
        <v>-6089</v>
      </c>
      <c r="W298" s="10" t="n">
        <v>-8616</v>
      </c>
      <c r="X298" s="7" t="n">
        <v>12306</v>
      </c>
      <c r="Y298" s="8" t="n">
        <v>9405</v>
      </c>
      <c r="Z298" s="8" t="n">
        <v>-11738</v>
      </c>
      <c r="AA298" s="9" t="n">
        <v>5681</v>
      </c>
      <c r="AB298" s="10" t="n">
        <v>4842</v>
      </c>
      <c r="AC298" s="10" t="n">
        <v>-8178</v>
      </c>
      <c r="AD298" s="7" t="n">
        <v>4316</v>
      </c>
      <c r="AE298" s="8" t="n">
        <v>-29278</v>
      </c>
      <c r="AF298" s="8" t="n">
        <v>-3828</v>
      </c>
      <c r="AG298" s="9" t="n">
        <v>7422</v>
      </c>
      <c r="AH298" s="10" t="n">
        <v>-3426</v>
      </c>
      <c r="AI298" s="10" t="n">
        <v>-6488</v>
      </c>
      <c r="AJ298" s="11" t="n">
        <v>12364</v>
      </c>
      <c r="AK298" s="12" t="n">
        <v>-273</v>
      </c>
      <c r="AL298" s="12" t="n">
        <v>-3519</v>
      </c>
      <c r="AM298" s="13" t="n">
        <v>66.59999999999999</v>
      </c>
      <c r="AN298" s="13" t="n">
        <v>0.5</v>
      </c>
      <c r="AO298" s="13" t="n">
        <v>92</v>
      </c>
      <c r="AP298" s="13" t="n">
        <v>-102.9</v>
      </c>
    </row>
    <row r="299">
      <c r="A299" s="5" t="inlineStr">
        <is>
          <t>삼성SDI</t>
        </is>
      </c>
      <c r="B299" s="6" t="inlineStr">
        <is>
          <t>006400</t>
        </is>
      </c>
      <c r="C299" s="6" t="inlineStr">
        <is>
          <t>연결</t>
        </is>
      </c>
      <c r="D299" s="6" t="inlineStr">
        <is>
          <t>2026Q2</t>
        </is>
      </c>
      <c r="E299" s="6" t="inlineStr">
        <is>
          <t>2023Q4</t>
        </is>
      </c>
      <c r="F299" s="14" t="n">
        <v>5564765</v>
      </c>
      <c r="G299" s="15" t="n">
        <v>311788</v>
      </c>
      <c r="H299" s="15" t="n">
        <v>493345</v>
      </c>
      <c r="I299" s="9" t="n">
        <v>5130893</v>
      </c>
      <c r="J299" s="10" t="n">
        <v>267381</v>
      </c>
      <c r="K299" s="10" t="n">
        <v>286689</v>
      </c>
      <c r="L299" s="7" t="n">
        <v>4450134</v>
      </c>
      <c r="M299" s="8" t="n">
        <v>280220</v>
      </c>
      <c r="N299" s="8" t="n">
        <v>301157</v>
      </c>
      <c r="O299" s="9" t="n">
        <v>3935667</v>
      </c>
      <c r="P299" s="10" t="n">
        <v>129909</v>
      </c>
      <c r="Q299" s="10" t="n">
        <v>230401</v>
      </c>
      <c r="R299" s="7" t="n">
        <v>3075555</v>
      </c>
      <c r="S299" s="8" t="n">
        <v>-314206</v>
      </c>
      <c r="T299" s="8" t="n">
        <v>-242735</v>
      </c>
      <c r="U299" s="9" t="n">
        <v>3176818</v>
      </c>
      <c r="V299" s="10" t="n">
        <v>-434069</v>
      </c>
      <c r="W299" s="10" t="n">
        <v>-215955</v>
      </c>
      <c r="X299" s="7" t="n">
        <v>3179406</v>
      </c>
      <c r="Y299" s="8" t="n">
        <v>-397837</v>
      </c>
      <c r="Z299" s="8" t="n">
        <v>-166735</v>
      </c>
      <c r="AA299" s="9" t="n">
        <v>3051821</v>
      </c>
      <c r="AB299" s="10" t="n">
        <v>-591289</v>
      </c>
      <c r="AC299" s="10" t="n">
        <v>5664</v>
      </c>
      <c r="AD299" s="7" t="n">
        <v>3858686</v>
      </c>
      <c r="AE299" s="8" t="n">
        <v>-299166</v>
      </c>
      <c r="AF299" s="8" t="n">
        <v>-207849</v>
      </c>
      <c r="AG299" s="9" t="n">
        <v>3576353</v>
      </c>
      <c r="AH299" s="10" t="n">
        <v>-155581</v>
      </c>
      <c r="AI299" s="10" t="n">
        <v>56111</v>
      </c>
      <c r="AJ299" s="11" t="n">
        <v>3768808</v>
      </c>
      <c r="AK299" s="12" t="n">
        <v>203775</v>
      </c>
      <c r="AL299" s="12" t="n">
        <v>471626</v>
      </c>
      <c r="AM299" s="13" t="n">
        <v>5.4</v>
      </c>
      <c r="AN299" s="13" t="n">
        <v>18.5</v>
      </c>
      <c r="AO299" s="13" t="n">
        <v>231</v>
      </c>
      <c r="AP299" s="13" t="n">
        <v>151.2</v>
      </c>
    </row>
    <row r="300">
      <c r="A300" s="5" t="inlineStr">
        <is>
          <t>프리티</t>
        </is>
      </c>
      <c r="B300" s="6" t="inlineStr">
        <is>
          <t>006490</t>
        </is>
      </c>
      <c r="C300" s="6" t="inlineStr">
        <is>
          <t>연결</t>
        </is>
      </c>
      <c r="D300" s="6" t="inlineStr">
        <is>
          <t>2026Q2</t>
        </is>
      </c>
      <c r="E300" s="6" t="inlineStr"/>
      <c r="F300" s="7" t="inlineStr"/>
      <c r="G300" s="8" t="inlineStr"/>
      <c r="H300" s="8" t="inlineStr"/>
      <c r="I300" s="9" t="n">
        <v>24102</v>
      </c>
      <c r="J300" s="10" t="n">
        <v>-1491</v>
      </c>
      <c r="K300" s="10" t="n">
        <v>-5833</v>
      </c>
      <c r="L300" s="7" t="n">
        <v>24656</v>
      </c>
      <c r="M300" s="8" t="n">
        <v>-1988</v>
      </c>
      <c r="N300" s="8" t="n">
        <v>-9081</v>
      </c>
      <c r="O300" s="9" t="n">
        <v>26726</v>
      </c>
      <c r="P300" s="10" t="n">
        <v>-181</v>
      </c>
      <c r="Q300" s="10" t="n">
        <v>20472</v>
      </c>
      <c r="R300" s="7" t="n">
        <v>25050</v>
      </c>
      <c r="S300" s="8" t="n">
        <v>-126</v>
      </c>
      <c r="T300" s="8" t="n">
        <v>-2694</v>
      </c>
      <c r="U300" s="9" t="n">
        <v>24307</v>
      </c>
      <c r="V300" s="10" t="n">
        <v>-208</v>
      </c>
      <c r="W300" s="10" t="n">
        <v>-19895</v>
      </c>
      <c r="X300" s="7" t="n">
        <v>28639</v>
      </c>
      <c r="Y300" s="8" t="n">
        <v>621</v>
      </c>
      <c r="Z300" s="8" t="n">
        <v>-6013</v>
      </c>
      <c r="AA300" s="9" t="n">
        <v>26132</v>
      </c>
      <c r="AB300" s="10" t="n">
        <v>2723</v>
      </c>
      <c r="AC300" s="10" t="n">
        <v>-4388</v>
      </c>
      <c r="AD300" s="7" t="n">
        <v>26480</v>
      </c>
      <c r="AE300" s="8" t="n">
        <v>943</v>
      </c>
      <c r="AF300" s="8" t="n">
        <v>-11387</v>
      </c>
      <c r="AG300" s="9" t="n">
        <v>24221</v>
      </c>
      <c r="AH300" s="10" t="n">
        <v>-1507</v>
      </c>
      <c r="AI300" s="10" t="n">
        <v>1083</v>
      </c>
      <c r="AJ300" s="11" t="n">
        <v>24780</v>
      </c>
      <c r="AK300" s="12" t="n">
        <v>-1312</v>
      </c>
      <c r="AL300" s="12" t="n">
        <v>-5799</v>
      </c>
      <c r="AM300" s="13" t="n">
        <v>2.3</v>
      </c>
      <c r="AN300" s="13" t="n">
        <v>-13.5</v>
      </c>
      <c r="AO300" s="13" t="n">
        <v>12.9</v>
      </c>
      <c r="AP300" s="13" t="n">
        <v>-311.3</v>
      </c>
    </row>
    <row r="301">
      <c r="A301" s="5" t="inlineStr">
        <is>
          <t>대림통상</t>
        </is>
      </c>
      <c r="B301" s="6" t="inlineStr">
        <is>
          <t>006570</t>
        </is>
      </c>
      <c r="C301" s="6" t="inlineStr">
        <is>
          <t>연결</t>
        </is>
      </c>
      <c r="D301" s="6" t="inlineStr">
        <is>
          <t>2026Q2</t>
        </is>
      </c>
      <c r="E301" s="6" t="inlineStr"/>
      <c r="F301" s="7" t="inlineStr"/>
      <c r="G301" s="8" t="inlineStr"/>
      <c r="H301" s="8" t="inlineStr"/>
      <c r="I301" s="9" t="n">
        <v>36141</v>
      </c>
      <c r="J301" s="10" t="n">
        <v>-663</v>
      </c>
      <c r="K301" s="10" t="n">
        <v>-1268</v>
      </c>
      <c r="L301" s="7" t="n">
        <v>34864</v>
      </c>
      <c r="M301" s="8" t="n">
        <v>-125</v>
      </c>
      <c r="N301" s="8" t="n">
        <v>-1205</v>
      </c>
      <c r="O301" s="9" t="n">
        <v>32268</v>
      </c>
      <c r="P301" s="10" t="n">
        <v>-1054</v>
      </c>
      <c r="Q301" s="10" t="n">
        <v>-3157</v>
      </c>
      <c r="R301" s="7" t="n">
        <v>33693</v>
      </c>
      <c r="S301" s="8" t="n">
        <v>-1573</v>
      </c>
      <c r="T301" s="8" t="n">
        <v>-5256</v>
      </c>
      <c r="U301" s="9" t="n">
        <v>28819</v>
      </c>
      <c r="V301" s="10" t="n">
        <v>-1241</v>
      </c>
      <c r="W301" s="10" t="n">
        <v>-2613</v>
      </c>
      <c r="X301" s="7" t="n">
        <v>30539</v>
      </c>
      <c r="Y301" s="8" t="n">
        <v>-2618</v>
      </c>
      <c r="Z301" s="8" t="n">
        <v>-4323</v>
      </c>
      <c r="AA301" s="9" t="n">
        <v>31460</v>
      </c>
      <c r="AB301" s="10" t="n">
        <v>-3684</v>
      </c>
      <c r="AC301" s="10" t="n">
        <v>-4020</v>
      </c>
      <c r="AD301" s="7" t="n">
        <v>35353</v>
      </c>
      <c r="AE301" s="8" t="n">
        <v>-2023</v>
      </c>
      <c r="AF301" s="8" t="n">
        <v>-6005</v>
      </c>
      <c r="AG301" s="9" t="n">
        <v>34360</v>
      </c>
      <c r="AH301" s="10" t="n">
        <v>-612</v>
      </c>
      <c r="AI301" s="10" t="n">
        <v>-1308</v>
      </c>
      <c r="AJ301" s="11" t="n">
        <v>34014</v>
      </c>
      <c r="AK301" s="12" t="n">
        <v>-1944</v>
      </c>
      <c r="AL301" s="12" t="n">
        <v>-1969</v>
      </c>
      <c r="AM301" s="13" t="n">
        <v>-1</v>
      </c>
      <c r="AN301" s="13" t="n">
        <v>11.4</v>
      </c>
      <c r="AO301" s="13" t="n">
        <v>-217.6</v>
      </c>
      <c r="AP301" s="13" t="n">
        <v>25.7</v>
      </c>
    </row>
    <row r="302">
      <c r="A302" s="5" t="inlineStr">
        <is>
          <t>동구바이오제약</t>
        </is>
      </c>
      <c r="B302" s="6" t="inlineStr">
        <is>
          <t>006620</t>
        </is>
      </c>
      <c r="C302" s="6" t="inlineStr">
        <is>
          <t>연결</t>
        </is>
      </c>
      <c r="D302" s="6" t="inlineStr">
        <is>
          <t>2026Q2</t>
        </is>
      </c>
      <c r="E302" s="6" t="inlineStr"/>
      <c r="F302" s="7" t="inlineStr"/>
      <c r="G302" s="8" t="inlineStr"/>
      <c r="H302" s="8" t="inlineStr"/>
      <c r="I302" s="9" t="n">
        <v>64208</v>
      </c>
      <c r="J302" s="10" t="n">
        <v>4682</v>
      </c>
      <c r="K302" s="10" t="n">
        <v>4393</v>
      </c>
      <c r="L302" s="7" t="n">
        <v>61308</v>
      </c>
      <c r="M302" s="8" t="n">
        <v>1456</v>
      </c>
      <c r="N302" s="8" t="n">
        <v>2275</v>
      </c>
      <c r="O302" s="9" t="n">
        <v>66185</v>
      </c>
      <c r="P302" s="10" t="n">
        <v>7034</v>
      </c>
      <c r="Q302" s="10" t="n">
        <v>3566</v>
      </c>
      <c r="R302" s="7" t="n">
        <v>57574</v>
      </c>
      <c r="S302" s="8" t="n">
        <v>-481</v>
      </c>
      <c r="T302" s="8" t="n">
        <v>-8243</v>
      </c>
      <c r="U302" s="9" t="n">
        <v>58676</v>
      </c>
      <c r="V302" s="10" t="n">
        <v>2334</v>
      </c>
      <c r="W302" s="10" t="n">
        <v>-721</v>
      </c>
      <c r="X302" s="7" t="n">
        <v>60117</v>
      </c>
      <c r="Y302" s="8" t="n">
        <v>1930</v>
      </c>
      <c r="Z302" s="8" t="n">
        <v>11293</v>
      </c>
      <c r="AA302" s="9" t="n">
        <v>62020</v>
      </c>
      <c r="AB302" s="10" t="n">
        <v>2189</v>
      </c>
      <c r="AC302" s="10" t="n">
        <v>-1623</v>
      </c>
      <c r="AD302" s="7" t="n">
        <v>61875</v>
      </c>
      <c r="AE302" s="8" t="n">
        <v>2795</v>
      </c>
      <c r="AF302" s="8" t="n">
        <v>41223</v>
      </c>
      <c r="AG302" s="9" t="n">
        <v>58064</v>
      </c>
      <c r="AH302" s="10" t="n">
        <v>1809</v>
      </c>
      <c r="AI302" s="10" t="n">
        <v>-578</v>
      </c>
      <c r="AJ302" s="11" t="n">
        <v>59475</v>
      </c>
      <c r="AK302" s="12" t="n">
        <v>-6454</v>
      </c>
      <c r="AL302" s="12" t="n">
        <v>-6141</v>
      </c>
      <c r="AM302" s="13" t="n">
        <v>2.4</v>
      </c>
      <c r="AN302" s="13" t="n">
        <v>-1.1</v>
      </c>
      <c r="AO302" s="13" t="n">
        <v>-456.8</v>
      </c>
      <c r="AP302" s="13" t="n">
        <v>-434.4</v>
      </c>
    </row>
    <row r="303">
      <c r="A303" s="5" t="inlineStr">
        <is>
          <t>대한유화</t>
        </is>
      </c>
      <c r="B303" s="6" t="inlineStr">
        <is>
          <t>006650</t>
        </is>
      </c>
      <c r="C303" s="6" t="inlineStr">
        <is>
          <t>연결</t>
        </is>
      </c>
      <c r="D303" s="6" t="inlineStr">
        <is>
          <t>2026Q2</t>
        </is>
      </c>
      <c r="E303" s="6" t="inlineStr"/>
      <c r="F303" s="7" t="inlineStr"/>
      <c r="G303" s="8" t="inlineStr"/>
      <c r="H303" s="8" t="inlineStr"/>
      <c r="I303" s="9" t="n">
        <v>663587</v>
      </c>
      <c r="J303" s="10" t="n">
        <v>-15651</v>
      </c>
      <c r="K303" s="10" t="n">
        <v>-6586</v>
      </c>
      <c r="L303" s="7" t="n">
        <v>741622</v>
      </c>
      <c r="M303" s="8" t="n">
        <v>-6315</v>
      </c>
      <c r="N303" s="8" t="n">
        <v>-1783</v>
      </c>
      <c r="O303" s="9" t="n">
        <v>682775</v>
      </c>
      <c r="P303" s="10" t="n">
        <v>-28599</v>
      </c>
      <c r="Q303" s="10" t="n">
        <v>-20286</v>
      </c>
      <c r="R303" s="7" t="n">
        <v>712119</v>
      </c>
      <c r="S303" s="8" t="n">
        <v>-9328</v>
      </c>
      <c r="T303" s="8" t="n">
        <v>20126</v>
      </c>
      <c r="U303" s="9" t="n">
        <v>741634</v>
      </c>
      <c r="V303" s="10" t="n">
        <v>-9875</v>
      </c>
      <c r="W303" s="10" t="n">
        <v>2971</v>
      </c>
      <c r="X303" s="7" t="n">
        <v>846772</v>
      </c>
      <c r="Y303" s="8" t="n">
        <v>-4595</v>
      </c>
      <c r="Z303" s="8" t="n">
        <v>7868</v>
      </c>
      <c r="AA303" s="9" t="n">
        <v>909919</v>
      </c>
      <c r="AB303" s="10" t="n">
        <v>42849</v>
      </c>
      <c r="AC303" s="10" t="n">
        <v>42352</v>
      </c>
      <c r="AD303" s="7" t="n">
        <v>849497</v>
      </c>
      <c r="AE303" s="8" t="n">
        <v>24290</v>
      </c>
      <c r="AF303" s="8" t="n">
        <v>2705</v>
      </c>
      <c r="AG303" s="9" t="n">
        <v>847106</v>
      </c>
      <c r="AH303" s="10" t="n">
        <v>73563</v>
      </c>
      <c r="AI303" s="10" t="n">
        <v>67269</v>
      </c>
      <c r="AJ303" s="11" t="n">
        <v>956254</v>
      </c>
      <c r="AK303" s="12" t="n">
        <v>-3877</v>
      </c>
      <c r="AL303" s="12" t="n">
        <v>-1466</v>
      </c>
      <c r="AM303" s="13" t="n">
        <v>12.9</v>
      </c>
      <c r="AN303" s="13" t="n">
        <v>12.9</v>
      </c>
      <c r="AO303" s="13" t="n">
        <v>-105.3</v>
      </c>
      <c r="AP303" s="13" t="n">
        <v>15.6</v>
      </c>
    </row>
    <row r="304">
      <c r="A304" s="5" t="inlineStr">
        <is>
          <t>삼성공조</t>
        </is>
      </c>
      <c r="B304" s="6" t="inlineStr">
        <is>
          <t>006660</t>
        </is>
      </c>
      <c r="C304" s="6" t="inlineStr">
        <is>
          <t>연결</t>
        </is>
      </c>
      <c r="D304" s="6" t="inlineStr">
        <is>
          <t>2026Q2</t>
        </is>
      </c>
      <c r="E304" s="6" t="inlineStr"/>
      <c r="F304" s="7" t="inlineStr"/>
      <c r="G304" s="8" t="inlineStr"/>
      <c r="H304" s="8" t="inlineStr"/>
      <c r="I304" s="9" t="n">
        <v>29456</v>
      </c>
      <c r="J304" s="10" t="n">
        <v>1731</v>
      </c>
      <c r="K304" s="10" t="n">
        <v>3867</v>
      </c>
      <c r="L304" s="7" t="n">
        <v>30550</v>
      </c>
      <c r="M304" s="8" t="n">
        <v>2631</v>
      </c>
      <c r="N304" s="8" t="n">
        <v>4011</v>
      </c>
      <c r="O304" s="9" t="n">
        <v>27416</v>
      </c>
      <c r="P304" s="10" t="n">
        <v>1</v>
      </c>
      <c r="Q304" s="10" t="n">
        <v>2076</v>
      </c>
      <c r="R304" s="7" t="n">
        <v>28351</v>
      </c>
      <c r="S304" s="8" t="n">
        <v>2118</v>
      </c>
      <c r="T304" s="8" t="n">
        <v>4932</v>
      </c>
      <c r="U304" s="9" t="n">
        <v>29442</v>
      </c>
      <c r="V304" s="10" t="n">
        <v>1315</v>
      </c>
      <c r="W304" s="10" t="n">
        <v>804</v>
      </c>
      <c r="X304" s="7" t="n">
        <v>32739</v>
      </c>
      <c r="Y304" s="8" t="n">
        <v>2312</v>
      </c>
      <c r="Z304" s="8" t="n">
        <v>3899</v>
      </c>
      <c r="AA304" s="9" t="n">
        <v>30634</v>
      </c>
      <c r="AB304" s="10" t="n">
        <v>1023</v>
      </c>
      <c r="AC304" s="10" t="n">
        <v>2811</v>
      </c>
      <c r="AD304" s="7" t="n">
        <v>24921</v>
      </c>
      <c r="AE304" s="8" t="n">
        <v>-1405</v>
      </c>
      <c r="AF304" s="8" t="n">
        <v>-274</v>
      </c>
      <c r="AG304" s="9" t="n">
        <v>26668</v>
      </c>
      <c r="AH304" s="10" t="n">
        <v>1605</v>
      </c>
      <c r="AI304" s="10" t="n">
        <v>3009</v>
      </c>
      <c r="AJ304" s="11" t="n">
        <v>31892</v>
      </c>
      <c r="AK304" s="12" t="n">
        <v>2498</v>
      </c>
      <c r="AL304" s="12" t="n">
        <v>6313</v>
      </c>
      <c r="AM304" s="13" t="n">
        <v>19.6</v>
      </c>
      <c r="AN304" s="13" t="n">
        <v>-2.6</v>
      </c>
      <c r="AO304" s="13" t="n">
        <v>55.6</v>
      </c>
      <c r="AP304" s="13" t="n">
        <v>8</v>
      </c>
    </row>
    <row r="305">
      <c r="A305" s="5" t="inlineStr">
        <is>
          <t>서부T&amp;D</t>
        </is>
      </c>
      <c r="B305" s="6" t="inlineStr">
        <is>
          <t>006730</t>
        </is>
      </c>
      <c r="C305" s="6" t="inlineStr">
        <is>
          <t>연결</t>
        </is>
      </c>
      <c r="D305" s="6" t="inlineStr">
        <is>
          <t>2026Q2</t>
        </is>
      </c>
      <c r="E305" s="6" t="inlineStr"/>
      <c r="F305" s="7" t="inlineStr"/>
      <c r="G305" s="8" t="inlineStr"/>
      <c r="H305" s="8" t="inlineStr"/>
      <c r="I305" s="9" t="n">
        <v>41377</v>
      </c>
      <c r="J305" s="10" t="n">
        <v>10774</v>
      </c>
      <c r="K305" s="10" t="n">
        <v>-1339</v>
      </c>
      <c r="L305" s="7" t="n">
        <v>46938</v>
      </c>
      <c r="M305" s="8" t="n">
        <v>8920</v>
      </c>
      <c r="N305" s="8" t="n">
        <v>-4768</v>
      </c>
      <c r="O305" s="9" t="n">
        <v>46599</v>
      </c>
      <c r="P305" s="10" t="n">
        <v>12405</v>
      </c>
      <c r="Q305" s="10" t="n">
        <v>-1669</v>
      </c>
      <c r="R305" s="7" t="n">
        <v>52565</v>
      </c>
      <c r="S305" s="8" t="n">
        <v>15887</v>
      </c>
      <c r="T305" s="8" t="n">
        <v>72430</v>
      </c>
      <c r="U305" s="9" t="n">
        <v>46132</v>
      </c>
      <c r="V305" s="10" t="n">
        <v>12925</v>
      </c>
      <c r="W305" s="10" t="n">
        <v>-513</v>
      </c>
      <c r="X305" s="7" t="n">
        <v>54613</v>
      </c>
      <c r="Y305" s="8" t="n">
        <v>11208</v>
      </c>
      <c r="Z305" s="8" t="n">
        <v>-3764</v>
      </c>
      <c r="AA305" s="9" t="n">
        <v>70051</v>
      </c>
      <c r="AB305" s="10" t="n">
        <v>21243</v>
      </c>
      <c r="AC305" s="10" t="n">
        <v>34005</v>
      </c>
      <c r="AD305" s="7" t="n">
        <v>77534</v>
      </c>
      <c r="AE305" s="8" t="n">
        <v>24961</v>
      </c>
      <c r="AF305" s="8" t="n">
        <v>86469</v>
      </c>
      <c r="AG305" s="9" t="n">
        <v>66086</v>
      </c>
      <c r="AH305" s="10" t="n">
        <v>17787</v>
      </c>
      <c r="AI305" s="10" t="n">
        <v>5967</v>
      </c>
      <c r="AJ305" s="11" t="n">
        <v>87676</v>
      </c>
      <c r="AK305" s="12" t="n">
        <v>18272</v>
      </c>
      <c r="AL305" s="12" t="n">
        <v>6154</v>
      </c>
      <c r="AM305" s="13" t="n">
        <v>32.7</v>
      </c>
      <c r="AN305" s="13" t="n">
        <v>60.5</v>
      </c>
      <c r="AO305" s="13" t="n">
        <v>2.7</v>
      </c>
      <c r="AP305" s="13" t="n">
        <v>63</v>
      </c>
    </row>
    <row r="306">
      <c r="A306" s="5" t="inlineStr">
        <is>
          <t>블루산업개발</t>
        </is>
      </c>
      <c r="B306" s="6" t="inlineStr">
        <is>
          <t>006740</t>
        </is>
      </c>
      <c r="C306" s="6" t="inlineStr">
        <is>
          <t>연결</t>
        </is>
      </c>
      <c r="D306" s="6" t="inlineStr">
        <is>
          <t>2026Q2</t>
        </is>
      </c>
      <c r="E306" s="6" t="inlineStr"/>
      <c r="F306" s="7" t="inlineStr"/>
      <c r="G306" s="8" t="inlineStr"/>
      <c r="H306" s="8" t="inlineStr"/>
      <c r="I306" s="9" t="n">
        <v>20838</v>
      </c>
      <c r="J306" s="10" t="n">
        <v>-2736</v>
      </c>
      <c r="K306" s="10" t="n">
        <v>-2969</v>
      </c>
      <c r="L306" s="7" t="n">
        <v>23159</v>
      </c>
      <c r="M306" s="8" t="n">
        <v>-2906</v>
      </c>
      <c r="N306" s="8" t="n">
        <v>-3111</v>
      </c>
      <c r="O306" s="9" t="n">
        <v>23276</v>
      </c>
      <c r="P306" s="10" t="n">
        <v>-4274</v>
      </c>
      <c r="Q306" s="10" t="n">
        <v>-4229</v>
      </c>
      <c r="R306" s="7" t="n">
        <v>20840</v>
      </c>
      <c r="S306" s="8" t="n">
        <v>-3947</v>
      </c>
      <c r="T306" s="8" t="n">
        <v>-11620</v>
      </c>
      <c r="U306" s="9" t="n">
        <v>21323</v>
      </c>
      <c r="V306" s="10" t="n">
        <v>-3730</v>
      </c>
      <c r="W306" s="10" t="n">
        <v>-4909</v>
      </c>
      <c r="X306" s="7" t="n">
        <v>22801</v>
      </c>
      <c r="Y306" s="8" t="n">
        <v>-2820</v>
      </c>
      <c r="Z306" s="8" t="n">
        <v>-2365</v>
      </c>
      <c r="AA306" s="9" t="n">
        <v>24914</v>
      </c>
      <c r="AB306" s="10" t="n">
        <v>-3914</v>
      </c>
      <c r="AC306" s="10" t="n">
        <v>-3421</v>
      </c>
      <c r="AD306" s="7" t="n">
        <v>24214</v>
      </c>
      <c r="AE306" s="8" t="n">
        <v>-5342</v>
      </c>
      <c r="AF306" s="8" t="n">
        <v>-13793</v>
      </c>
      <c r="AG306" s="9" t="n">
        <v>24474</v>
      </c>
      <c r="AH306" s="10" t="n">
        <v>-498</v>
      </c>
      <c r="AI306" s="10" t="n">
        <v>-1748</v>
      </c>
      <c r="AJ306" s="11" t="n">
        <v>28216</v>
      </c>
      <c r="AK306" s="12" t="n">
        <v>760</v>
      </c>
      <c r="AL306" s="12" t="n">
        <v>-1236</v>
      </c>
      <c r="AM306" s="13" t="n">
        <v>15.3</v>
      </c>
      <c r="AN306" s="13" t="n">
        <v>23.7</v>
      </c>
      <c r="AO306" s="13" t="n">
        <v>252.6</v>
      </c>
      <c r="AP306" s="13" t="n">
        <v>127</v>
      </c>
    </row>
    <row r="307">
      <c r="A307" s="5" t="inlineStr">
        <is>
          <t>미래에셋증권</t>
        </is>
      </c>
      <c r="B307" s="6" t="inlineStr">
        <is>
          <t>006800</t>
        </is>
      </c>
      <c r="C307" s="6" t="inlineStr">
        <is>
          <t>연결</t>
        </is>
      </c>
      <c r="D307" s="6" t="inlineStr">
        <is>
          <t>2026Q2</t>
        </is>
      </c>
      <c r="E307" s="6" t="inlineStr"/>
      <c r="F307" s="7" t="inlineStr"/>
      <c r="G307" s="8" t="inlineStr"/>
      <c r="H307" s="8" t="inlineStr"/>
      <c r="I307" s="9" t="n">
        <v>6278996</v>
      </c>
      <c r="J307" s="10" t="n">
        <v>270473</v>
      </c>
      <c r="K307" s="10" t="n">
        <v>170523</v>
      </c>
      <c r="L307" s="7" t="n">
        <v>4724691</v>
      </c>
      <c r="M307" s="8" t="n">
        <v>273289</v>
      </c>
      <c r="N307" s="8" t="n">
        <v>201179</v>
      </c>
      <c r="O307" s="9" t="n">
        <v>5448856</v>
      </c>
      <c r="P307" s="10" t="n">
        <v>370763</v>
      </c>
      <c r="Q307" s="10" t="n">
        <v>290097</v>
      </c>
      <c r="R307" s="7" t="n">
        <v>5789785</v>
      </c>
      <c r="S307" s="8" t="n">
        <v>273551</v>
      </c>
      <c r="T307" s="8" t="n">
        <v>263671</v>
      </c>
      <c r="U307" s="9" t="n">
        <v>6052641</v>
      </c>
      <c r="V307" s="10" t="n">
        <v>346185</v>
      </c>
      <c r="W307" s="10" t="n">
        <v>258225</v>
      </c>
      <c r="X307" s="7" t="n">
        <v>7694877</v>
      </c>
      <c r="Y307" s="8" t="n">
        <v>500444</v>
      </c>
      <c r="Z307" s="8" t="n">
        <v>405857</v>
      </c>
      <c r="AA307" s="9" t="n">
        <v>6672431</v>
      </c>
      <c r="AB307" s="10" t="n">
        <v>222796</v>
      </c>
      <c r="AC307" s="10" t="n">
        <v>343773</v>
      </c>
      <c r="AD307" s="7" t="n">
        <v>8863079</v>
      </c>
      <c r="AE307" s="8" t="n">
        <v>845679</v>
      </c>
      <c r="AF307" s="8" t="n">
        <v>575061</v>
      </c>
      <c r="AG307" s="9" t="n">
        <v>14428703</v>
      </c>
      <c r="AH307" s="10" t="n">
        <v>1375040</v>
      </c>
      <c r="AI307" s="10" t="n">
        <v>1001943</v>
      </c>
      <c r="AJ307" s="11" t="n">
        <v>21631395</v>
      </c>
      <c r="AK307" s="12" t="n">
        <v>2489873</v>
      </c>
      <c r="AL307" s="12" t="n">
        <v>1905216</v>
      </c>
      <c r="AM307" s="13" t="n">
        <v>49.9</v>
      </c>
      <c r="AN307" s="13" t="n">
        <v>181.1</v>
      </c>
      <c r="AO307" s="13" t="n">
        <v>81.09999999999999</v>
      </c>
      <c r="AP307" s="13" t="n">
        <v>397.5</v>
      </c>
    </row>
    <row r="308">
      <c r="A308" s="5" t="inlineStr">
        <is>
          <t>AK홀딩스</t>
        </is>
      </c>
      <c r="B308" s="6" t="inlineStr">
        <is>
          <t>006840</t>
        </is>
      </c>
      <c r="C308" s="6" t="inlineStr">
        <is>
          <t>연결</t>
        </is>
      </c>
      <c r="D308" s="6" t="inlineStr">
        <is>
          <t>2026Q2</t>
        </is>
      </c>
      <c r="E308" s="6" t="inlineStr"/>
      <c r="F308" s="7" t="inlineStr"/>
      <c r="G308" s="8" t="inlineStr"/>
      <c r="H308" s="8" t="inlineStr"/>
      <c r="I308" s="9" t="n">
        <v>1193398</v>
      </c>
      <c r="J308" s="10" t="n">
        <v>96456</v>
      </c>
      <c r="K308" s="10" t="n">
        <v>42464</v>
      </c>
      <c r="L308" s="7" t="n">
        <v>1132392</v>
      </c>
      <c r="M308" s="8" t="n">
        <v>22944</v>
      </c>
      <c r="N308" s="8" t="n">
        <v>-14198</v>
      </c>
      <c r="O308" s="9" t="n">
        <v>1124705</v>
      </c>
      <c r="P308" s="10" t="n">
        <v>56860</v>
      </c>
      <c r="Q308" s="10" t="n">
        <v>29527</v>
      </c>
      <c r="R308" s="7" t="n">
        <v>1037786</v>
      </c>
      <c r="S308" s="8" t="n">
        <v>-45940</v>
      </c>
      <c r="T308" s="8" t="n">
        <v>-74379</v>
      </c>
      <c r="U308" s="9" t="n">
        <v>950949</v>
      </c>
      <c r="V308" s="10" t="n">
        <v>-24406</v>
      </c>
      <c r="W308" s="10" t="n">
        <v>-5047</v>
      </c>
      <c r="X308" s="7" t="n">
        <v>931919</v>
      </c>
      <c r="Y308" s="8" t="n">
        <v>-27357</v>
      </c>
      <c r="Z308" s="8" t="n">
        <v>-21862</v>
      </c>
      <c r="AA308" s="9" t="n">
        <v>963434</v>
      </c>
      <c r="AB308" s="10" t="n">
        <v>-55756</v>
      </c>
      <c r="AC308" s="10" t="n">
        <v>-91705</v>
      </c>
      <c r="AD308" s="7" t="n">
        <v>389419</v>
      </c>
      <c r="AE308" s="8" t="n">
        <v>-40335</v>
      </c>
      <c r="AF308" s="8" t="n">
        <v>-56052</v>
      </c>
      <c r="AG308" s="9" t="n">
        <v>937687</v>
      </c>
      <c r="AH308" s="10" t="n">
        <v>67231</v>
      </c>
      <c r="AI308" s="10" t="n">
        <v>121022</v>
      </c>
      <c r="AJ308" s="11" t="n">
        <v>1025544</v>
      </c>
      <c r="AK308" s="12" t="n">
        <v>-931</v>
      </c>
      <c r="AL308" s="12" t="n">
        <v>-4823</v>
      </c>
      <c r="AM308" s="13" t="n">
        <v>9.4</v>
      </c>
      <c r="AN308" s="13" t="n">
        <v>10</v>
      </c>
      <c r="AO308" s="13" t="n">
        <v>-101.4</v>
      </c>
      <c r="AP308" s="13" t="n">
        <v>96.59999999999999</v>
      </c>
    </row>
    <row r="309">
      <c r="A309" s="5" t="inlineStr">
        <is>
          <t>신송홀딩스</t>
        </is>
      </c>
      <c r="B309" s="6" t="inlineStr">
        <is>
          <t>006880</t>
        </is>
      </c>
      <c r="C309" s="6" t="inlineStr">
        <is>
          <t>연결</t>
        </is>
      </c>
      <c r="D309" s="6" t="inlineStr">
        <is>
          <t>2026Q2</t>
        </is>
      </c>
      <c r="E309" s="6" t="inlineStr"/>
      <c r="F309" s="7" t="inlineStr"/>
      <c r="G309" s="8" t="inlineStr"/>
      <c r="H309" s="8" t="inlineStr"/>
      <c r="I309" s="9" t="n">
        <v>40923</v>
      </c>
      <c r="J309" s="10" t="n">
        <v>1150</v>
      </c>
      <c r="K309" s="10" t="n">
        <v>2355</v>
      </c>
      <c r="L309" s="7" t="n">
        <v>25532</v>
      </c>
      <c r="M309" s="8" t="n">
        <v>1168</v>
      </c>
      <c r="N309" s="8" t="n">
        <v>649</v>
      </c>
      <c r="O309" s="9" t="n">
        <v>32787</v>
      </c>
      <c r="P309" s="10" t="n">
        <v>2101</v>
      </c>
      <c r="Q309" s="10" t="n">
        <v>-777</v>
      </c>
      <c r="R309" s="7" t="n">
        <v>65339</v>
      </c>
      <c r="S309" s="8" t="n">
        <v>3983</v>
      </c>
      <c r="T309" s="8" t="n">
        <v>3268</v>
      </c>
      <c r="U309" s="9" t="n">
        <v>43105</v>
      </c>
      <c r="V309" s="10" t="n">
        <v>2470</v>
      </c>
      <c r="W309" s="10" t="n">
        <v>892</v>
      </c>
      <c r="X309" s="7" t="n">
        <v>42981</v>
      </c>
      <c r="Y309" s="8" t="n">
        <v>773</v>
      </c>
      <c r="Z309" s="8" t="n">
        <v>-1739</v>
      </c>
      <c r="AA309" s="9" t="n">
        <v>38775</v>
      </c>
      <c r="AB309" s="10" t="n">
        <v>3111</v>
      </c>
      <c r="AC309" s="10" t="n">
        <v>2029</v>
      </c>
      <c r="AD309" s="7" t="n">
        <v>62898</v>
      </c>
      <c r="AE309" s="8" t="n">
        <v>3957</v>
      </c>
      <c r="AF309" s="8" t="n">
        <v>2357</v>
      </c>
      <c r="AG309" s="9" t="n">
        <v>45605</v>
      </c>
      <c r="AH309" s="10" t="n">
        <v>2745</v>
      </c>
      <c r="AI309" s="10" t="n">
        <v>2733</v>
      </c>
      <c r="AJ309" s="11" t="n">
        <v>46179</v>
      </c>
      <c r="AK309" s="12" t="n">
        <v>1516</v>
      </c>
      <c r="AL309" s="12" t="n">
        <v>109</v>
      </c>
      <c r="AM309" s="13" t="n">
        <v>1.3</v>
      </c>
      <c r="AN309" s="13" t="n">
        <v>7.4</v>
      </c>
      <c r="AO309" s="13" t="n">
        <v>-44.8</v>
      </c>
      <c r="AP309" s="13" t="n">
        <v>96.09999999999999</v>
      </c>
    </row>
    <row r="310">
      <c r="A310" s="5" t="inlineStr">
        <is>
          <t>태경케미컬</t>
        </is>
      </c>
      <c r="B310" s="6" t="inlineStr">
        <is>
          <t>006890</t>
        </is>
      </c>
      <c r="C310" s="6" t="inlineStr">
        <is>
          <t>연결</t>
        </is>
      </c>
      <c r="D310" s="6" t="inlineStr">
        <is>
          <t>2026Q2</t>
        </is>
      </c>
      <c r="E310" s="6" t="inlineStr"/>
      <c r="F310" s="7" t="inlineStr"/>
      <c r="G310" s="8" t="inlineStr"/>
      <c r="H310" s="8" t="inlineStr"/>
      <c r="I310" s="9" t="n">
        <v>16490</v>
      </c>
      <c r="J310" s="10" t="n">
        <v>3401</v>
      </c>
      <c r="K310" s="10" t="n">
        <v>3931</v>
      </c>
      <c r="L310" s="7" t="n">
        <v>17974</v>
      </c>
      <c r="M310" s="8" t="n">
        <v>3723</v>
      </c>
      <c r="N310" s="8" t="n">
        <v>3867</v>
      </c>
      <c r="O310" s="9" t="n">
        <v>20534</v>
      </c>
      <c r="P310" s="10" t="n">
        <v>4459</v>
      </c>
      <c r="Q310" s="10" t="n">
        <v>3499</v>
      </c>
      <c r="R310" s="7" t="n">
        <v>16118</v>
      </c>
      <c r="S310" s="8" t="n">
        <v>2123</v>
      </c>
      <c r="T310" s="8" t="n">
        <v>1334</v>
      </c>
      <c r="U310" s="9" t="n">
        <v>15770</v>
      </c>
      <c r="V310" s="10" t="n">
        <v>1052</v>
      </c>
      <c r="W310" s="10" t="n">
        <v>2242</v>
      </c>
      <c r="X310" s="7" t="n">
        <v>14718</v>
      </c>
      <c r="Y310" s="8" t="n">
        <v>767</v>
      </c>
      <c r="Z310" s="8" t="n">
        <v>1445</v>
      </c>
      <c r="AA310" s="9" t="n">
        <v>16344</v>
      </c>
      <c r="AB310" s="10" t="n">
        <v>950</v>
      </c>
      <c r="AC310" s="10" t="n">
        <v>1909</v>
      </c>
      <c r="AD310" s="7" t="n">
        <v>14516</v>
      </c>
      <c r="AE310" s="8" t="n">
        <v>-706</v>
      </c>
      <c r="AF310" s="8" t="n">
        <v>3151</v>
      </c>
      <c r="AG310" s="9" t="n">
        <v>13963</v>
      </c>
      <c r="AH310" s="10" t="n">
        <v>-653</v>
      </c>
      <c r="AI310" s="10" t="n">
        <v>1732</v>
      </c>
      <c r="AJ310" s="11" t="n">
        <v>12165</v>
      </c>
      <c r="AK310" s="12" t="n">
        <v>-1813</v>
      </c>
      <c r="AL310" s="12" t="n">
        <v>343</v>
      </c>
      <c r="AM310" s="13" t="n">
        <v>-12.9</v>
      </c>
      <c r="AN310" s="13" t="n">
        <v>-17.3</v>
      </c>
      <c r="AO310" s="13" t="n">
        <v>-177.6</v>
      </c>
      <c r="AP310" s="13" t="n">
        <v>-336.4</v>
      </c>
    </row>
    <row r="311">
      <c r="A311" s="5" t="inlineStr">
        <is>
          <t>비엔케이제3호스팩</t>
        </is>
      </c>
      <c r="B311" s="6" t="inlineStr">
        <is>
          <t>0068Y0</t>
        </is>
      </c>
      <c r="C311" s="6" t="inlineStr">
        <is>
          <t>별도</t>
        </is>
      </c>
      <c r="D311" s="6" t="inlineStr">
        <is>
          <t>2026Q2</t>
        </is>
      </c>
      <c r="E311" s="6" t="inlineStr"/>
      <c r="F311" s="7" t="inlineStr"/>
      <c r="G311" s="8" t="inlineStr"/>
      <c r="H311" s="8" t="inlineStr"/>
      <c r="I311" s="9" t="inlineStr"/>
      <c r="J311" s="10" t="inlineStr"/>
      <c r="K311" s="10" t="inlineStr"/>
      <c r="L311" s="7" t="inlineStr"/>
      <c r="M311" s="8" t="inlineStr"/>
      <c r="N311" s="8" t="inlineStr"/>
      <c r="O311" s="9" t="inlineStr"/>
      <c r="P311" s="10" t="inlineStr"/>
      <c r="Q311" s="10" t="inlineStr"/>
      <c r="R311" s="7" t="inlineStr"/>
      <c r="S311" s="8" t="inlineStr"/>
      <c r="T311" s="8" t="inlineStr"/>
      <c r="U311" s="9" t="inlineStr"/>
      <c r="V311" s="10" t="inlineStr"/>
      <c r="W311" s="10" t="inlineStr"/>
      <c r="X311" s="7" t="inlineStr"/>
      <c r="Y311" s="8" t="inlineStr"/>
      <c r="Z311" s="8" t="inlineStr"/>
      <c r="AA311" s="9" t="inlineStr"/>
      <c r="AB311" s="10" t="inlineStr"/>
      <c r="AC311" s="10" t="inlineStr"/>
      <c r="AD311" s="7" t="inlineStr"/>
      <c r="AE311" s="8" t="inlineStr"/>
      <c r="AF311" s="8" t="inlineStr"/>
      <c r="AG311" s="9" t="inlineStr"/>
      <c r="AH311" s="10" t="n">
        <v>-18</v>
      </c>
      <c r="AI311" s="10" t="n">
        <v>32</v>
      </c>
      <c r="AJ311" s="11" t="inlineStr"/>
      <c r="AK311" s="12" t="n">
        <v>-9</v>
      </c>
      <c r="AL311" s="12" t="n">
        <v>40</v>
      </c>
      <c r="AM311" s="13" t="inlineStr"/>
      <c r="AN311" s="13" t="inlineStr"/>
      <c r="AO311" s="13" t="n">
        <v>50</v>
      </c>
      <c r="AP311" s="13" t="inlineStr"/>
    </row>
    <row r="312">
      <c r="A312" s="5" t="inlineStr">
        <is>
          <t>보성파워텍</t>
        </is>
      </c>
      <c r="B312" s="6" t="inlineStr">
        <is>
          <t>006910</t>
        </is>
      </c>
      <c r="C312" s="6" t="inlineStr">
        <is>
          <t>별도</t>
        </is>
      </c>
      <c r="D312" s="6" t="inlineStr">
        <is>
          <t>2026Q2</t>
        </is>
      </c>
      <c r="E312" s="6" t="inlineStr"/>
      <c r="F312" s="7" t="inlineStr"/>
      <c r="G312" s="8" t="inlineStr"/>
      <c r="H312" s="8" t="inlineStr"/>
      <c r="I312" s="9" t="n">
        <v>16996</v>
      </c>
      <c r="J312" s="10" t="n">
        <v>899</v>
      </c>
      <c r="K312" s="10" t="n">
        <v>1165</v>
      </c>
      <c r="L312" s="7" t="n">
        <v>13044</v>
      </c>
      <c r="M312" s="8" t="n">
        <v>774</v>
      </c>
      <c r="N312" s="8" t="n">
        <v>1087</v>
      </c>
      <c r="O312" s="9" t="n">
        <v>12655</v>
      </c>
      <c r="P312" s="10" t="n">
        <v>-411</v>
      </c>
      <c r="Q312" s="10" t="n">
        <v>-686</v>
      </c>
      <c r="R312" s="7" t="n">
        <v>34367</v>
      </c>
      <c r="S312" s="8" t="n">
        <v>3562</v>
      </c>
      <c r="T312" s="8" t="n">
        <v>4386</v>
      </c>
      <c r="U312" s="9" t="n">
        <v>17455</v>
      </c>
      <c r="V312" s="10" t="n">
        <v>1547</v>
      </c>
      <c r="W312" s="10" t="n">
        <v>1121</v>
      </c>
      <c r="X312" s="7" t="n">
        <v>55832</v>
      </c>
      <c r="Y312" s="8" t="n">
        <v>13664</v>
      </c>
      <c r="Z312" s="8" t="n">
        <v>11007</v>
      </c>
      <c r="AA312" s="9" t="n">
        <v>36811</v>
      </c>
      <c r="AB312" s="10" t="n">
        <v>6175</v>
      </c>
      <c r="AC312" s="10" t="n">
        <v>4366</v>
      </c>
      <c r="AD312" s="7" t="n">
        <v>37388</v>
      </c>
      <c r="AE312" s="8" t="n">
        <v>5420</v>
      </c>
      <c r="AF312" s="8" t="n">
        <v>3820</v>
      </c>
      <c r="AG312" s="9" t="n">
        <v>40864</v>
      </c>
      <c r="AH312" s="10" t="n">
        <v>5953</v>
      </c>
      <c r="AI312" s="10" t="n">
        <v>4920</v>
      </c>
      <c r="AJ312" s="11" t="n">
        <v>24391</v>
      </c>
      <c r="AK312" s="12" t="n">
        <v>4726</v>
      </c>
      <c r="AL312" s="12" t="n">
        <v>4161</v>
      </c>
      <c r="AM312" s="13" t="n">
        <v>-40.3</v>
      </c>
      <c r="AN312" s="13" t="n">
        <v>-56.3</v>
      </c>
      <c r="AO312" s="13" t="n">
        <v>-20.6</v>
      </c>
      <c r="AP312" s="13" t="n">
        <v>-65.40000000000001</v>
      </c>
    </row>
    <row r="313">
      <c r="A313" s="5" t="inlineStr">
        <is>
          <t>모헨즈</t>
        </is>
      </c>
      <c r="B313" s="6" t="inlineStr">
        <is>
          <t>006920</t>
        </is>
      </c>
      <c r="C313" s="6" t="inlineStr">
        <is>
          <t>연결</t>
        </is>
      </c>
      <c r="D313" s="6" t="inlineStr">
        <is>
          <t>2026Q2</t>
        </is>
      </c>
      <c r="E313" s="6" t="inlineStr"/>
      <c r="F313" s="7" t="inlineStr"/>
      <c r="G313" s="8" t="inlineStr"/>
      <c r="H313" s="8" t="inlineStr"/>
      <c r="I313" s="9" t="n">
        <v>21721</v>
      </c>
      <c r="J313" s="10" t="n">
        <v>712</v>
      </c>
      <c r="K313" s="10" t="n">
        <v>729</v>
      </c>
      <c r="L313" s="7" t="n">
        <v>29974</v>
      </c>
      <c r="M313" s="8" t="n">
        <v>545</v>
      </c>
      <c r="N313" s="8" t="n">
        <v>52</v>
      </c>
      <c r="O313" s="9" t="n">
        <v>22653</v>
      </c>
      <c r="P313" s="10" t="n">
        <v>978</v>
      </c>
      <c r="Q313" s="10" t="n">
        <v>906</v>
      </c>
      <c r="R313" s="7" t="n">
        <v>26130</v>
      </c>
      <c r="S313" s="8" t="n">
        <v>495</v>
      </c>
      <c r="T313" s="8" t="n">
        <v>361</v>
      </c>
      <c r="U313" s="9" t="n">
        <v>15946</v>
      </c>
      <c r="V313" s="10" t="n">
        <v>-1372</v>
      </c>
      <c r="W313" s="10" t="n">
        <v>-1363</v>
      </c>
      <c r="X313" s="7" t="n">
        <v>22984</v>
      </c>
      <c r="Y313" s="8" t="n">
        <v>443</v>
      </c>
      <c r="Z313" s="8" t="n">
        <v>448</v>
      </c>
      <c r="AA313" s="9" t="n">
        <v>20420</v>
      </c>
      <c r="AB313" s="10" t="n">
        <v>-270</v>
      </c>
      <c r="AC313" s="10" t="n">
        <v>-178</v>
      </c>
      <c r="AD313" s="7" t="n">
        <v>21811</v>
      </c>
      <c r="AE313" s="8" t="n">
        <v>-1760</v>
      </c>
      <c r="AF313" s="8" t="n">
        <v>-2412</v>
      </c>
      <c r="AG313" s="9" t="n">
        <v>17768</v>
      </c>
      <c r="AH313" s="10" t="n">
        <v>-747</v>
      </c>
      <c r="AI313" s="10" t="n">
        <v>-747</v>
      </c>
      <c r="AJ313" s="11" t="n">
        <v>22149</v>
      </c>
      <c r="AK313" s="12" t="n">
        <v>1173</v>
      </c>
      <c r="AL313" s="12" t="n">
        <v>1103</v>
      </c>
      <c r="AM313" s="13" t="n">
        <v>24.7</v>
      </c>
      <c r="AN313" s="13" t="n">
        <v>-3.6</v>
      </c>
      <c r="AO313" s="13" t="n">
        <v>257</v>
      </c>
      <c r="AP313" s="13" t="n">
        <v>164.8</v>
      </c>
    </row>
    <row r="314">
      <c r="A314" s="5" t="inlineStr">
        <is>
          <t>우성</t>
        </is>
      </c>
      <c r="B314" s="6" t="inlineStr">
        <is>
          <t>006980</t>
        </is>
      </c>
      <c r="C314" s="6" t="inlineStr">
        <is>
          <t>연결</t>
        </is>
      </c>
      <c r="D314" s="6" t="inlineStr">
        <is>
          <t>2026Q2</t>
        </is>
      </c>
      <c r="E314" s="6" t="inlineStr"/>
      <c r="F314" s="7" t="inlineStr"/>
      <c r="G314" s="8" t="inlineStr"/>
      <c r="H314" s="8" t="inlineStr"/>
      <c r="I314" s="9" t="n">
        <v>151768</v>
      </c>
      <c r="J314" s="10" t="n">
        <v>2701</v>
      </c>
      <c r="K314" s="10" t="n">
        <v>-2238</v>
      </c>
      <c r="L314" s="7" t="n">
        <v>152209</v>
      </c>
      <c r="M314" s="8" t="n">
        <v>1555</v>
      </c>
      <c r="N314" s="8" t="n">
        <v>228</v>
      </c>
      <c r="O314" s="9" t="n">
        <v>152498</v>
      </c>
      <c r="P314" s="10" t="n">
        <v>2067</v>
      </c>
      <c r="Q314" s="10" t="n">
        <v>4877</v>
      </c>
      <c r="R314" s="7" t="n">
        <v>149724</v>
      </c>
      <c r="S314" s="8" t="n">
        <v>2269</v>
      </c>
      <c r="T314" s="8" t="n">
        <v>16824</v>
      </c>
      <c r="U314" s="9" t="n">
        <v>139253</v>
      </c>
      <c r="V314" s="10" t="n">
        <v>3455</v>
      </c>
      <c r="W314" s="10" t="n">
        <v>845</v>
      </c>
      <c r="X314" s="7" t="n">
        <v>148454</v>
      </c>
      <c r="Y314" s="8" t="n">
        <v>4510</v>
      </c>
      <c r="Z314" s="8" t="n">
        <v>4388</v>
      </c>
      <c r="AA314" s="9" t="n">
        <v>162271</v>
      </c>
      <c r="AB314" s="10" t="n">
        <v>5678</v>
      </c>
      <c r="AC314" s="10" t="n">
        <v>4028</v>
      </c>
      <c r="AD314" s="7" t="n">
        <v>163046</v>
      </c>
      <c r="AE314" s="8" t="n">
        <v>5730</v>
      </c>
      <c r="AF314" s="8" t="n">
        <v>3673</v>
      </c>
      <c r="AG314" s="9" t="n">
        <v>148572</v>
      </c>
      <c r="AH314" s="10" t="n">
        <v>1225</v>
      </c>
      <c r="AI314" s="10" t="n">
        <v>-3299</v>
      </c>
      <c r="AJ314" s="11" t="n">
        <v>163998</v>
      </c>
      <c r="AK314" s="12" t="n">
        <v>334</v>
      </c>
      <c r="AL314" s="12" t="n">
        <v>-3001</v>
      </c>
      <c r="AM314" s="13" t="n">
        <v>10.4</v>
      </c>
      <c r="AN314" s="13" t="n">
        <v>10.5</v>
      </c>
      <c r="AO314" s="13" t="n">
        <v>-72.7</v>
      </c>
      <c r="AP314" s="13" t="n">
        <v>-92.59999999999999</v>
      </c>
    </row>
    <row r="315">
      <c r="A315" s="5" t="inlineStr">
        <is>
          <t>GS리테일</t>
        </is>
      </c>
      <c r="B315" s="6" t="inlineStr">
        <is>
          <t>007070</t>
        </is>
      </c>
      <c r="C315" s="6" t="inlineStr">
        <is>
          <t>연결</t>
        </is>
      </c>
      <c r="D315" s="6" t="inlineStr">
        <is>
          <t>2026Q2</t>
        </is>
      </c>
      <c r="E315" s="6" t="inlineStr">
        <is>
          <t>2023Q4</t>
        </is>
      </c>
      <c r="F315" s="14" t="n">
        <v>2931677</v>
      </c>
      <c r="G315" s="15" t="n">
        <v>80358</v>
      </c>
      <c r="H315" s="15" t="n">
        <v>-121170</v>
      </c>
      <c r="I315" s="9" t="n">
        <v>2810377</v>
      </c>
      <c r="J315" s="10" t="n">
        <v>73885</v>
      </c>
      <c r="K315" s="10" t="n">
        <v>38800</v>
      </c>
      <c r="L315" s="7" t="n">
        <v>2937050</v>
      </c>
      <c r="M315" s="8" t="n">
        <v>81012</v>
      </c>
      <c r="N315" s="8" t="n">
        <v>63852</v>
      </c>
      <c r="O315" s="9" t="n">
        <v>3054711</v>
      </c>
      <c r="P315" s="10" t="n">
        <v>80640</v>
      </c>
      <c r="Q315" s="10" t="n">
        <v>-63082</v>
      </c>
      <c r="R315" s="7" t="n">
        <v>2824782</v>
      </c>
      <c r="S315" s="8" t="n">
        <v>3568</v>
      </c>
      <c r="T315" s="8" t="n">
        <v>-29778</v>
      </c>
      <c r="U315" s="9" t="n">
        <v>2761297</v>
      </c>
      <c r="V315" s="10" t="n">
        <v>38668</v>
      </c>
      <c r="W315" s="10" t="n">
        <v>4810</v>
      </c>
      <c r="X315" s="7" t="n">
        <v>2980562</v>
      </c>
      <c r="Y315" s="8" t="n">
        <v>84499</v>
      </c>
      <c r="Z315" s="8" t="n">
        <v>14223</v>
      </c>
      <c r="AA315" s="9" t="n">
        <v>3205418</v>
      </c>
      <c r="AB315" s="10" t="n">
        <v>111149</v>
      </c>
      <c r="AC315" s="10" t="n">
        <v>90291</v>
      </c>
      <c r="AD315" s="7" t="n">
        <v>3010145</v>
      </c>
      <c r="AE315" s="8" t="n">
        <v>57804</v>
      </c>
      <c r="AF315" s="8" t="n">
        <v>-59085</v>
      </c>
      <c r="AG315" s="9" t="n">
        <v>2854876</v>
      </c>
      <c r="AH315" s="10" t="n">
        <v>58274</v>
      </c>
      <c r="AI315" s="10" t="n">
        <v>42503</v>
      </c>
      <c r="AJ315" s="11" t="n">
        <v>3175143</v>
      </c>
      <c r="AK315" s="12" t="n">
        <v>109407</v>
      </c>
      <c r="AL315" s="12" t="n">
        <v>64649</v>
      </c>
      <c r="AM315" s="13" t="n">
        <v>11.2</v>
      </c>
      <c r="AN315" s="13" t="n">
        <v>6.5</v>
      </c>
      <c r="AO315" s="13" t="n">
        <v>87.7</v>
      </c>
      <c r="AP315" s="13" t="n">
        <v>29.5</v>
      </c>
    </row>
    <row r="316">
      <c r="A316" s="5" t="inlineStr">
        <is>
          <t>일신석재</t>
        </is>
      </c>
      <c r="B316" s="6" t="inlineStr">
        <is>
          <t>007110</t>
        </is>
      </c>
      <c r="C316" s="6" t="inlineStr">
        <is>
          <t>별도</t>
        </is>
      </c>
      <c r="D316" s="6" t="inlineStr">
        <is>
          <t>2026Q2</t>
        </is>
      </c>
      <c r="E316" s="6" t="inlineStr"/>
      <c r="F316" s="7" t="inlineStr"/>
      <c r="G316" s="8" t="inlineStr"/>
      <c r="H316" s="8" t="inlineStr"/>
      <c r="I316" s="9" t="n">
        <v>15719</v>
      </c>
      <c r="J316" s="10" t="n">
        <v>-883</v>
      </c>
      <c r="K316" s="10" t="n">
        <v>-1525</v>
      </c>
      <c r="L316" s="7" t="n">
        <v>23599</v>
      </c>
      <c r="M316" s="8" t="n">
        <v>3653</v>
      </c>
      <c r="N316" s="8" t="n">
        <v>3026</v>
      </c>
      <c r="O316" s="9" t="n">
        <v>18524</v>
      </c>
      <c r="P316" s="10" t="n">
        <v>-151</v>
      </c>
      <c r="Q316" s="10" t="n">
        <v>-1214</v>
      </c>
      <c r="R316" s="7" t="n">
        <v>20885</v>
      </c>
      <c r="S316" s="8" t="n">
        <v>1184</v>
      </c>
      <c r="T316" s="8" t="n">
        <v>1132</v>
      </c>
      <c r="U316" s="9" t="n">
        <v>15284</v>
      </c>
      <c r="V316" s="10" t="n">
        <v>180</v>
      </c>
      <c r="W316" s="10" t="n">
        <v>-414</v>
      </c>
      <c r="X316" s="7" t="n">
        <v>15368</v>
      </c>
      <c r="Y316" s="8" t="n">
        <v>773</v>
      </c>
      <c r="Z316" s="8" t="n">
        <v>542</v>
      </c>
      <c r="AA316" s="9" t="n">
        <v>10637</v>
      </c>
      <c r="AB316" s="10" t="n">
        <v>-876</v>
      </c>
      <c r="AC316" s="10" t="n">
        <v>-1136</v>
      </c>
      <c r="AD316" s="7" t="n">
        <v>13214</v>
      </c>
      <c r="AE316" s="8" t="n">
        <v>604</v>
      </c>
      <c r="AF316" s="8" t="n">
        <v>322</v>
      </c>
      <c r="AG316" s="9" t="n">
        <v>12400</v>
      </c>
      <c r="AH316" s="10" t="n">
        <v>101</v>
      </c>
      <c r="AI316" s="10" t="n">
        <v>32</v>
      </c>
      <c r="AJ316" s="11" t="inlineStr"/>
      <c r="AK316" s="12" t="n">
        <v>380</v>
      </c>
      <c r="AL316" s="12" t="n">
        <v>99</v>
      </c>
      <c r="AM316" s="13" t="inlineStr"/>
      <c r="AN316" s="13" t="inlineStr"/>
      <c r="AO316" s="13" t="n">
        <v>276.2</v>
      </c>
      <c r="AP316" s="13" t="n">
        <v>-50.8</v>
      </c>
    </row>
    <row r="317">
      <c r="A317" s="5" t="inlineStr">
        <is>
          <t>미래아이앤지</t>
        </is>
      </c>
      <c r="B317" s="6" t="inlineStr">
        <is>
          <t>007120</t>
        </is>
      </c>
      <c r="C317" s="6" t="inlineStr">
        <is>
          <t>별도</t>
        </is>
      </c>
      <c r="D317" s="6" t="inlineStr">
        <is>
          <t>2026Q2</t>
        </is>
      </c>
      <c r="E317" s="6" t="inlineStr"/>
      <c r="F317" s="7" t="inlineStr"/>
      <c r="G317" s="8" t="inlineStr"/>
      <c r="H317" s="8" t="inlineStr"/>
      <c r="I317" s="9" t="n">
        <v>2913</v>
      </c>
      <c r="J317" s="10" t="n">
        <v>332</v>
      </c>
      <c r="K317" s="10" t="n">
        <v>223</v>
      </c>
      <c r="L317" s="7" t="n">
        <v>2995</v>
      </c>
      <c r="M317" s="8" t="n">
        <v>755</v>
      </c>
      <c r="N317" s="8" t="n">
        <v>1328</v>
      </c>
      <c r="O317" s="9" t="n">
        <v>2299</v>
      </c>
      <c r="P317" s="10" t="n">
        <v>27</v>
      </c>
      <c r="Q317" s="10" t="n">
        <v>339</v>
      </c>
      <c r="R317" s="7" t="n">
        <v>3496</v>
      </c>
      <c r="S317" s="8" t="n">
        <v>899</v>
      </c>
      <c r="T317" s="8" t="n">
        <v>-9928</v>
      </c>
      <c r="U317" s="9" t="n">
        <v>2320</v>
      </c>
      <c r="V317" s="10" t="n">
        <v>-74</v>
      </c>
      <c r="W317" s="10" t="n">
        <v>-427</v>
      </c>
      <c r="X317" s="7" t="n">
        <v>3624</v>
      </c>
      <c r="Y317" s="8" t="n">
        <v>1218</v>
      </c>
      <c r="Z317" s="8" t="n">
        <v>-784</v>
      </c>
      <c r="AA317" s="9" t="n">
        <v>3877</v>
      </c>
      <c r="AB317" s="10" t="n">
        <v>1198</v>
      </c>
      <c r="AC317" s="10" t="n">
        <v>-1416</v>
      </c>
      <c r="AD317" s="7" t="n">
        <v>4308</v>
      </c>
      <c r="AE317" s="8" t="n">
        <v>1457</v>
      </c>
      <c r="AF317" s="8" t="n">
        <v>27</v>
      </c>
      <c r="AG317" s="9" t="n">
        <v>3678</v>
      </c>
      <c r="AH317" s="10" t="n">
        <v>801</v>
      </c>
      <c r="AI317" s="10" t="n">
        <v>822</v>
      </c>
      <c r="AJ317" s="11" t="n">
        <v>2548</v>
      </c>
      <c r="AK317" s="12" t="n">
        <v>127</v>
      </c>
      <c r="AL317" s="12" t="n">
        <v>-2436</v>
      </c>
      <c r="AM317" s="13" t="n">
        <v>-30.7</v>
      </c>
      <c r="AN317" s="13" t="n">
        <v>-29.7</v>
      </c>
      <c r="AO317" s="13" t="n">
        <v>-84.09999999999999</v>
      </c>
      <c r="AP317" s="13" t="n">
        <v>-89.59999999999999</v>
      </c>
    </row>
    <row r="318">
      <c r="A318" s="5" t="inlineStr">
        <is>
          <t>사조산업</t>
        </is>
      </c>
      <c r="B318" s="6" t="inlineStr">
        <is>
          <t>007160</t>
        </is>
      </c>
      <c r="C318" s="6" t="inlineStr">
        <is>
          <t>연결</t>
        </is>
      </c>
      <c r="D318" s="6" t="inlineStr">
        <is>
          <t>2026Q2</t>
        </is>
      </c>
      <c r="E318" s="6" t="inlineStr"/>
      <c r="F318" s="7" t="inlineStr"/>
      <c r="G318" s="8" t="inlineStr"/>
      <c r="H318" s="8" t="inlineStr"/>
      <c r="I318" s="9" t="n">
        <v>144705</v>
      </c>
      <c r="J318" s="10" t="n">
        <v>469</v>
      </c>
      <c r="K318" s="10" t="n">
        <v>14623</v>
      </c>
      <c r="L318" s="7" t="n">
        <v>162614</v>
      </c>
      <c r="M318" s="8" t="n">
        <v>8702</v>
      </c>
      <c r="N318" s="8" t="n">
        <v>18225</v>
      </c>
      <c r="O318" s="9" t="n">
        <v>173283</v>
      </c>
      <c r="P318" s="10" t="n">
        <v>3984</v>
      </c>
      <c r="Q318" s="10" t="n">
        <v>7213</v>
      </c>
      <c r="R318" s="7" t="n">
        <v>154599</v>
      </c>
      <c r="S318" s="8" t="n">
        <v>-22533</v>
      </c>
      <c r="T318" s="8" t="n">
        <v>-24769</v>
      </c>
      <c r="U318" s="9" t="n">
        <v>155039</v>
      </c>
      <c r="V318" s="10" t="n">
        <v>10897</v>
      </c>
      <c r="W318" s="10" t="n">
        <v>14428</v>
      </c>
      <c r="X318" s="7" t="n">
        <v>176444</v>
      </c>
      <c r="Y318" s="8" t="n">
        <v>16181</v>
      </c>
      <c r="Z318" s="8" t="n">
        <v>20947</v>
      </c>
      <c r="AA318" s="9" t="n">
        <v>185472</v>
      </c>
      <c r="AB318" s="10" t="n">
        <v>11863</v>
      </c>
      <c r="AC318" s="10" t="n">
        <v>18452</v>
      </c>
      <c r="AD318" s="7" t="n">
        <v>189255</v>
      </c>
      <c r="AE318" s="8" t="n">
        <v>-5789</v>
      </c>
      <c r="AF318" s="8" t="n">
        <v>-96635</v>
      </c>
      <c r="AG318" s="9" t="n">
        <v>143321</v>
      </c>
      <c r="AH318" s="10" t="n">
        <v>4666</v>
      </c>
      <c r="AI318" s="10" t="n">
        <v>-4007</v>
      </c>
      <c r="AJ318" s="11" t="n">
        <v>186669</v>
      </c>
      <c r="AK318" s="12" t="n">
        <v>16382</v>
      </c>
      <c r="AL318" s="12" t="n">
        <v>-44108</v>
      </c>
      <c r="AM318" s="13" t="n">
        <v>30.2</v>
      </c>
      <c r="AN318" s="13" t="n">
        <v>5.8</v>
      </c>
      <c r="AO318" s="13" t="n">
        <v>251.1</v>
      </c>
      <c r="AP318" s="13" t="n">
        <v>1.2</v>
      </c>
    </row>
    <row r="319">
      <c r="A319" s="5" t="inlineStr">
        <is>
          <t>삼성스팩11호</t>
        </is>
      </c>
      <c r="B319" s="6" t="inlineStr">
        <is>
          <t>0071M0</t>
        </is>
      </c>
      <c r="C319" s="6" t="inlineStr">
        <is>
          <t>별도</t>
        </is>
      </c>
      <c r="D319" s="6" t="inlineStr">
        <is>
          <t>2026Q2</t>
        </is>
      </c>
      <c r="E319" s="6" t="inlineStr"/>
      <c r="F319" s="7" t="inlineStr"/>
      <c r="G319" s="8" t="inlineStr"/>
      <c r="H319" s="8" t="inlineStr"/>
      <c r="I319" s="9" t="inlineStr"/>
      <c r="J319" s="10" t="inlineStr"/>
      <c r="K319" s="10" t="inlineStr"/>
      <c r="L319" s="7" t="inlineStr"/>
      <c r="M319" s="8" t="inlineStr"/>
      <c r="N319" s="8" t="inlineStr"/>
      <c r="O319" s="9" t="inlineStr"/>
      <c r="P319" s="10" t="inlineStr"/>
      <c r="Q319" s="10" t="inlineStr"/>
      <c r="R319" s="7" t="inlineStr"/>
      <c r="S319" s="8" t="inlineStr"/>
      <c r="T319" s="8" t="inlineStr"/>
      <c r="U319" s="9" t="inlineStr"/>
      <c r="V319" s="10" t="inlineStr"/>
      <c r="W319" s="10" t="inlineStr"/>
      <c r="X319" s="7" t="inlineStr"/>
      <c r="Y319" s="8" t="inlineStr"/>
      <c r="Z319" s="8" t="inlineStr"/>
      <c r="AA319" s="9" t="inlineStr"/>
      <c r="AB319" s="10" t="n">
        <v>-6</v>
      </c>
      <c r="AC319" s="10" t="n">
        <v>-5</v>
      </c>
      <c r="AD319" s="7" t="inlineStr"/>
      <c r="AE319" s="8" t="inlineStr"/>
      <c r="AF319" s="8" t="inlineStr"/>
      <c r="AG319" s="9" t="n">
        <v>0</v>
      </c>
      <c r="AH319" s="10" t="n">
        <v>-26</v>
      </c>
      <c r="AI319" s="10" t="n">
        <v>24</v>
      </c>
      <c r="AJ319" s="11" t="inlineStr"/>
      <c r="AK319" s="12" t="n">
        <v>-5</v>
      </c>
      <c r="AL319" s="12" t="n">
        <v>41</v>
      </c>
      <c r="AM319" s="13" t="inlineStr"/>
      <c r="AN319" s="13" t="inlineStr"/>
      <c r="AO319" s="13" t="n">
        <v>80.8</v>
      </c>
      <c r="AP319" s="13" t="inlineStr"/>
    </row>
    <row r="320">
      <c r="A320" s="5" t="inlineStr">
        <is>
          <t>벽산</t>
        </is>
      </c>
      <c r="B320" s="6" t="inlineStr">
        <is>
          <t>007210</t>
        </is>
      </c>
      <c r="C320" s="6" t="inlineStr">
        <is>
          <t>연결</t>
        </is>
      </c>
      <c r="D320" s="6" t="inlineStr">
        <is>
          <t>2026Q2</t>
        </is>
      </c>
      <c r="E320" s="6" t="inlineStr"/>
      <c r="F320" s="7" t="inlineStr"/>
      <c r="G320" s="8" t="inlineStr"/>
      <c r="H320" s="8" t="inlineStr"/>
      <c r="I320" s="9" t="n">
        <v>151226</v>
      </c>
      <c r="J320" s="10" t="n">
        <v>4843</v>
      </c>
      <c r="K320" s="10" t="n">
        <v>2720</v>
      </c>
      <c r="L320" s="7" t="n">
        <v>174249</v>
      </c>
      <c r="M320" s="8" t="n">
        <v>15122</v>
      </c>
      <c r="N320" s="8" t="n">
        <v>16121</v>
      </c>
      <c r="O320" s="9" t="n">
        <v>152322</v>
      </c>
      <c r="P320" s="10" t="n">
        <v>8458</v>
      </c>
      <c r="Q320" s="10" t="n">
        <v>5216</v>
      </c>
      <c r="R320" s="7" t="n">
        <v>165296</v>
      </c>
      <c r="S320" s="8" t="n">
        <v>-2700</v>
      </c>
      <c r="T320" s="8" t="n">
        <v>-3496</v>
      </c>
      <c r="U320" s="9" t="n">
        <v>134839</v>
      </c>
      <c r="V320" s="10" t="n">
        <v>1699</v>
      </c>
      <c r="W320" s="10" t="n">
        <v>-1092</v>
      </c>
      <c r="X320" s="7" t="n">
        <v>155183</v>
      </c>
      <c r="Y320" s="8" t="n">
        <v>8290</v>
      </c>
      <c r="Z320" s="8" t="n">
        <v>19803</v>
      </c>
      <c r="AA320" s="9" t="n">
        <v>158897</v>
      </c>
      <c r="AB320" s="10" t="n">
        <v>7056</v>
      </c>
      <c r="AC320" s="10" t="n">
        <v>5826</v>
      </c>
      <c r="AD320" s="7" t="n">
        <v>161769</v>
      </c>
      <c r="AE320" s="8" t="n">
        <v>6228</v>
      </c>
      <c r="AF320" s="8" t="n">
        <v>2823</v>
      </c>
      <c r="AG320" s="9" t="n">
        <v>139224</v>
      </c>
      <c r="AH320" s="10" t="n">
        <v>4675</v>
      </c>
      <c r="AI320" s="10" t="n">
        <v>1536</v>
      </c>
      <c r="AJ320" s="11" t="n">
        <v>162600</v>
      </c>
      <c r="AK320" s="12" t="n">
        <v>9825</v>
      </c>
      <c r="AL320" s="12" t="n">
        <v>7628</v>
      </c>
      <c r="AM320" s="13" t="n">
        <v>16.8</v>
      </c>
      <c r="AN320" s="13" t="n">
        <v>4.8</v>
      </c>
      <c r="AO320" s="13" t="n">
        <v>110.2</v>
      </c>
      <c r="AP320" s="13" t="n">
        <v>18.5</v>
      </c>
    </row>
    <row r="321">
      <c r="A321" s="5" t="inlineStr">
        <is>
          <t>한국특강</t>
        </is>
      </c>
      <c r="B321" s="6" t="inlineStr">
        <is>
          <t>007280</t>
        </is>
      </c>
      <c r="C321" s="6" t="inlineStr">
        <is>
          <t>별도</t>
        </is>
      </c>
      <c r="D321" s="6" t="inlineStr">
        <is>
          <t>2026Q2</t>
        </is>
      </c>
      <c r="E321" s="6" t="inlineStr"/>
      <c r="F321" s="7" t="inlineStr"/>
      <c r="G321" s="8" t="inlineStr"/>
      <c r="H321" s="8" t="inlineStr"/>
      <c r="I321" s="9" t="n">
        <v>188359</v>
      </c>
      <c r="J321" s="10" t="n">
        <v>1398</v>
      </c>
      <c r="K321" s="10" t="n">
        <v>-1391</v>
      </c>
      <c r="L321" s="7" t="n">
        <v>184437</v>
      </c>
      <c r="M321" s="8" t="n">
        <v>1579</v>
      </c>
      <c r="N321" s="8" t="n">
        <v>-1519</v>
      </c>
      <c r="O321" s="9" t="n">
        <v>181863</v>
      </c>
      <c r="P321" s="10" t="n">
        <v>468</v>
      </c>
      <c r="Q321" s="10" t="n">
        <v>-1149</v>
      </c>
      <c r="R321" s="7" t="n">
        <v>214119</v>
      </c>
      <c r="S321" s="8" t="n">
        <v>7167</v>
      </c>
      <c r="T321" s="8" t="n">
        <v>1142</v>
      </c>
      <c r="U321" s="9" t="n">
        <v>186257</v>
      </c>
      <c r="V321" s="10" t="n">
        <v>2265</v>
      </c>
      <c r="W321" s="10" t="n">
        <v>-1700</v>
      </c>
      <c r="X321" s="7" t="n">
        <v>214185</v>
      </c>
      <c r="Y321" s="8" t="n">
        <v>9812</v>
      </c>
      <c r="Z321" s="8" t="n">
        <v>6091</v>
      </c>
      <c r="AA321" s="9" t="n">
        <v>188338</v>
      </c>
      <c r="AB321" s="10" t="n">
        <v>387</v>
      </c>
      <c r="AC321" s="10" t="n">
        <v>61</v>
      </c>
      <c r="AD321" s="7" t="n">
        <v>178361</v>
      </c>
      <c r="AE321" s="8" t="n">
        <v>-724</v>
      </c>
      <c r="AF321" s="8" t="n">
        <v>-1462</v>
      </c>
      <c r="AG321" s="9" t="n">
        <v>210066</v>
      </c>
      <c r="AH321" s="10" t="n">
        <v>-3608</v>
      </c>
      <c r="AI321" s="10" t="n">
        <v>-2747</v>
      </c>
      <c r="AJ321" s="11" t="n">
        <v>255230</v>
      </c>
      <c r="AK321" s="12" t="n">
        <v>473</v>
      </c>
      <c r="AL321" s="12" t="n">
        <v>142</v>
      </c>
      <c r="AM321" s="13" t="n">
        <v>21.5</v>
      </c>
      <c r="AN321" s="13" t="n">
        <v>19.2</v>
      </c>
      <c r="AO321" s="13" t="n">
        <v>113.1</v>
      </c>
      <c r="AP321" s="13" t="n">
        <v>-95.2</v>
      </c>
    </row>
    <row r="322">
      <c r="A322" s="5" t="inlineStr">
        <is>
          <t>KB제33호스팩</t>
        </is>
      </c>
      <c r="B322" s="6" t="inlineStr">
        <is>
          <t>0072Z0</t>
        </is>
      </c>
      <c r="C322" s="6" t="inlineStr">
        <is>
          <t>별도</t>
        </is>
      </c>
      <c r="D322" s="6" t="inlineStr">
        <is>
          <t>2026Q2</t>
        </is>
      </c>
      <c r="E322" s="6" t="inlineStr"/>
      <c r="F322" s="7" t="inlineStr"/>
      <c r="G322" s="8" t="inlineStr"/>
      <c r="H322" s="8" t="inlineStr"/>
      <c r="I322" s="9" t="inlineStr"/>
      <c r="J322" s="10" t="inlineStr"/>
      <c r="K322" s="10" t="inlineStr"/>
      <c r="L322" s="7" t="inlineStr"/>
      <c r="M322" s="8" t="inlineStr"/>
      <c r="N322" s="8" t="inlineStr"/>
      <c r="O322" s="9" t="inlineStr"/>
      <c r="P322" s="10" t="inlineStr"/>
      <c r="Q322" s="10" t="inlineStr"/>
      <c r="R322" s="7" t="inlineStr"/>
      <c r="S322" s="8" t="inlineStr"/>
      <c r="T322" s="8" t="inlineStr"/>
      <c r="U322" s="9" t="inlineStr"/>
      <c r="V322" s="10" t="inlineStr"/>
      <c r="W322" s="10" t="inlineStr"/>
      <c r="X322" s="7" t="inlineStr"/>
      <c r="Y322" s="8" t="inlineStr"/>
      <c r="Z322" s="8" t="inlineStr"/>
      <c r="AA322" s="9" t="n">
        <v>0</v>
      </c>
      <c r="AB322" s="10" t="n">
        <v>-8</v>
      </c>
      <c r="AC322" s="10" t="n">
        <v>-8</v>
      </c>
      <c r="AD322" s="7" t="inlineStr"/>
      <c r="AE322" s="8" t="inlineStr"/>
      <c r="AF322" s="8" t="inlineStr"/>
      <c r="AG322" s="9" t="n">
        <v>0</v>
      </c>
      <c r="AH322" s="10" t="n">
        <v>-8</v>
      </c>
      <c r="AI322" s="10" t="n">
        <v>54</v>
      </c>
      <c r="AJ322" s="11" t="n">
        <v>0</v>
      </c>
      <c r="AK322" s="12" t="n">
        <v>-13</v>
      </c>
      <c r="AL322" s="12" t="n">
        <v>52</v>
      </c>
      <c r="AM322" s="13" t="inlineStr"/>
      <c r="AN322" s="13" t="inlineStr"/>
      <c r="AO322" s="13" t="n">
        <v>-62.5</v>
      </c>
      <c r="AP322" s="13" t="inlineStr"/>
    </row>
    <row r="323">
      <c r="A323" s="5" t="inlineStr">
        <is>
          <t>오뚜기</t>
        </is>
      </c>
      <c r="B323" s="6" t="inlineStr">
        <is>
          <t>007310</t>
        </is>
      </c>
      <c r="C323" s="6" t="inlineStr">
        <is>
          <t>연결</t>
        </is>
      </c>
      <c r="D323" s="6" t="inlineStr">
        <is>
          <t>2026Q2</t>
        </is>
      </c>
      <c r="E323" s="6" t="inlineStr"/>
      <c r="F323" s="7" t="inlineStr"/>
      <c r="G323" s="8" t="inlineStr"/>
      <c r="H323" s="8" t="inlineStr"/>
      <c r="I323" s="9" t="n">
        <v>883576</v>
      </c>
      <c r="J323" s="10" t="n">
        <v>73204</v>
      </c>
      <c r="K323" s="10" t="n">
        <v>48518</v>
      </c>
      <c r="L323" s="7" t="n">
        <v>859213</v>
      </c>
      <c r="M323" s="8" t="n">
        <v>61608</v>
      </c>
      <c r="N323" s="8" t="n">
        <v>42297</v>
      </c>
      <c r="O323" s="9" t="n">
        <v>904130</v>
      </c>
      <c r="P323" s="10" t="n">
        <v>63564</v>
      </c>
      <c r="Q323" s="10" t="n">
        <v>46869</v>
      </c>
      <c r="R323" s="7" t="n">
        <v>892202</v>
      </c>
      <c r="S323" s="8" t="n">
        <v>23639</v>
      </c>
      <c r="T323" s="8" t="n">
        <v>-84</v>
      </c>
      <c r="U323" s="9" t="n">
        <v>920765</v>
      </c>
      <c r="V323" s="10" t="n">
        <v>57494</v>
      </c>
      <c r="W323" s="10" t="n">
        <v>33233</v>
      </c>
      <c r="X323" s="7" t="n">
        <v>902002</v>
      </c>
      <c r="Y323" s="8" t="n">
        <v>45105</v>
      </c>
      <c r="Z323" s="8" t="n">
        <v>34127</v>
      </c>
      <c r="AA323" s="9" t="n">
        <v>955538</v>
      </c>
      <c r="AB323" s="10" t="n">
        <v>55338</v>
      </c>
      <c r="AC323" s="10" t="n">
        <v>31988</v>
      </c>
      <c r="AD323" s="7" t="n">
        <v>896240</v>
      </c>
      <c r="AE323" s="8" t="n">
        <v>19314</v>
      </c>
      <c r="AF323" s="8" t="n">
        <v>-27212</v>
      </c>
      <c r="AG323" s="9" t="n">
        <v>955200</v>
      </c>
      <c r="AH323" s="10" t="n">
        <v>59382</v>
      </c>
      <c r="AI323" s="10" t="n">
        <v>35046</v>
      </c>
      <c r="AJ323" s="11" t="n">
        <v>943802</v>
      </c>
      <c r="AK323" s="12" t="n">
        <v>45258</v>
      </c>
      <c r="AL323" s="12" t="n">
        <v>33205</v>
      </c>
      <c r="AM323" s="13" t="n">
        <v>-1.2</v>
      </c>
      <c r="AN323" s="13" t="n">
        <v>4.6</v>
      </c>
      <c r="AO323" s="13" t="n">
        <v>-23.8</v>
      </c>
      <c r="AP323" s="13" t="n">
        <v>0.3</v>
      </c>
    </row>
    <row r="324">
      <c r="A324" s="5" t="inlineStr">
        <is>
          <t>푸른저축은행</t>
        </is>
      </c>
      <c r="B324" s="6" t="inlineStr">
        <is>
          <t>007330</t>
        </is>
      </c>
      <c r="C324" s="6" t="inlineStr">
        <is>
          <t>별도</t>
        </is>
      </c>
      <c r="D324" s="6" t="inlineStr">
        <is>
          <t>2026Q2</t>
        </is>
      </c>
      <c r="E324" s="6" t="inlineStr"/>
      <c r="F324" s="7" t="inlineStr"/>
      <c r="G324" s="8" t="inlineStr"/>
      <c r="H324" s="8" t="inlineStr"/>
      <c r="I324" s="9" t="inlineStr"/>
      <c r="J324" s="10" t="n">
        <v>-837</v>
      </c>
      <c r="K324" s="10" t="n">
        <v>849</v>
      </c>
      <c r="L324" s="7" t="inlineStr"/>
      <c r="M324" s="8" t="n">
        <v>8084</v>
      </c>
      <c r="N324" s="8" t="n">
        <v>7069</v>
      </c>
      <c r="O324" s="9" t="inlineStr"/>
      <c r="P324" s="10" t="n">
        <v>-1490</v>
      </c>
      <c r="Q324" s="10" t="n">
        <v>-1086</v>
      </c>
      <c r="R324" s="7" t="inlineStr"/>
      <c r="S324" s="8" t="n">
        <v>1091</v>
      </c>
      <c r="T324" s="8" t="n">
        <v>182</v>
      </c>
      <c r="U324" s="9" t="inlineStr"/>
      <c r="V324" s="10" t="n">
        <v>-2477</v>
      </c>
      <c r="W324" s="10" t="n">
        <v>-2137</v>
      </c>
      <c r="X324" s="7" t="inlineStr"/>
      <c r="Y324" s="8" t="n">
        <v>13178</v>
      </c>
      <c r="Z324" s="8" t="n">
        <v>12233</v>
      </c>
      <c r="AA324" s="9" t="inlineStr"/>
      <c r="AB324" s="10" t="n">
        <v>5380</v>
      </c>
      <c r="AC324" s="10" t="n">
        <v>6376</v>
      </c>
      <c r="AD324" s="7" t="inlineStr"/>
      <c r="AE324" s="8" t="n">
        <v>867</v>
      </c>
      <c r="AF324" s="8" t="n">
        <v>3400</v>
      </c>
      <c r="AG324" s="9" t="inlineStr"/>
      <c r="AH324" s="10" t="n">
        <v>-3989</v>
      </c>
      <c r="AI324" s="10" t="n">
        <v>-834</v>
      </c>
      <c r="AJ324" s="11" t="inlineStr"/>
      <c r="AK324" s="12" t="n">
        <v>1312</v>
      </c>
      <c r="AL324" s="12" t="n">
        <v>4869</v>
      </c>
      <c r="AM324" s="13" t="inlineStr"/>
      <c r="AN324" s="13" t="inlineStr"/>
      <c r="AO324" s="13" t="n">
        <v>132.9</v>
      </c>
      <c r="AP324" s="13" t="n">
        <v>-90</v>
      </c>
    </row>
    <row r="325">
      <c r="A325" s="5" t="inlineStr">
        <is>
          <t>DN오토모티브</t>
        </is>
      </c>
      <c r="B325" s="6" t="inlineStr">
        <is>
          <t>007340</t>
        </is>
      </c>
      <c r="C325" s="6" t="inlineStr">
        <is>
          <t>연결</t>
        </is>
      </c>
      <c r="D325" s="6" t="inlineStr">
        <is>
          <t>2026Q2</t>
        </is>
      </c>
      <c r="E325" s="6" t="inlineStr"/>
      <c r="F325" s="7" t="inlineStr"/>
      <c r="G325" s="8" t="inlineStr"/>
      <c r="H325" s="8" t="inlineStr"/>
      <c r="I325" s="9" t="n">
        <v>780920</v>
      </c>
      <c r="J325" s="10" t="n">
        <v>123659</v>
      </c>
      <c r="K325" s="10" t="n">
        <v>76873</v>
      </c>
      <c r="L325" s="7" t="n">
        <v>885167</v>
      </c>
      <c r="M325" s="8" t="n">
        <v>148595</v>
      </c>
      <c r="N325" s="8" t="n">
        <v>110106</v>
      </c>
      <c r="O325" s="9" t="n">
        <v>848561</v>
      </c>
      <c r="P325" s="10" t="n">
        <v>129942</v>
      </c>
      <c r="Q325" s="10" t="n">
        <v>61199</v>
      </c>
      <c r="R325" s="7" t="n">
        <v>919894</v>
      </c>
      <c r="S325" s="8" t="n">
        <v>120721</v>
      </c>
      <c r="T325" s="8" t="n">
        <v>70051</v>
      </c>
      <c r="U325" s="9" t="n">
        <v>878713</v>
      </c>
      <c r="V325" s="10" t="n">
        <v>137676</v>
      </c>
      <c r="W325" s="10" t="n">
        <v>86829</v>
      </c>
      <c r="X325" s="7" t="n">
        <v>909635</v>
      </c>
      <c r="Y325" s="8" t="n">
        <v>121590</v>
      </c>
      <c r="Z325" s="8" t="n">
        <v>53461</v>
      </c>
      <c r="AA325" s="9" t="n">
        <v>918734</v>
      </c>
      <c r="AB325" s="10" t="n">
        <v>118686</v>
      </c>
      <c r="AC325" s="10" t="n">
        <v>78481</v>
      </c>
      <c r="AD325" s="7" t="n">
        <v>968622</v>
      </c>
      <c r="AE325" s="8" t="n">
        <v>149956</v>
      </c>
      <c r="AF325" s="8" t="n">
        <v>106214</v>
      </c>
      <c r="AG325" s="9" t="n">
        <v>1017654</v>
      </c>
      <c r="AH325" s="10" t="n">
        <v>144620</v>
      </c>
      <c r="AI325" s="10" t="n">
        <v>99178</v>
      </c>
      <c r="AJ325" s="11" t="n">
        <v>1249320</v>
      </c>
      <c r="AK325" s="12" t="n">
        <v>205436</v>
      </c>
      <c r="AL325" s="12" t="n">
        <v>157872</v>
      </c>
      <c r="AM325" s="13" t="n">
        <v>22.8</v>
      </c>
      <c r="AN325" s="13" t="n">
        <v>37.3</v>
      </c>
      <c r="AO325" s="13" t="n">
        <v>42.1</v>
      </c>
      <c r="AP325" s="13" t="n">
        <v>69</v>
      </c>
    </row>
    <row r="326">
      <c r="A326" s="5" t="inlineStr">
        <is>
          <t>진양제약</t>
        </is>
      </c>
      <c r="B326" s="6" t="inlineStr">
        <is>
          <t>007370</t>
        </is>
      </c>
      <c r="C326" s="6" t="inlineStr">
        <is>
          <t>별도</t>
        </is>
      </c>
      <c r="D326" s="6" t="inlineStr">
        <is>
          <t>2026Q2</t>
        </is>
      </c>
      <c r="E326" s="6" t="inlineStr"/>
      <c r="F326" s="7" t="inlineStr"/>
      <c r="G326" s="8" t="inlineStr"/>
      <c r="H326" s="8" t="inlineStr"/>
      <c r="I326" s="9" t="n">
        <v>27298</v>
      </c>
      <c r="J326" s="10" t="n">
        <v>2206</v>
      </c>
      <c r="K326" s="10" t="n">
        <v>1867</v>
      </c>
      <c r="L326" s="7" t="n">
        <v>27600</v>
      </c>
      <c r="M326" s="8" t="n">
        <v>2058</v>
      </c>
      <c r="N326" s="8" t="n">
        <v>3039</v>
      </c>
      <c r="O326" s="9" t="n">
        <v>31616</v>
      </c>
      <c r="P326" s="10" t="n">
        <v>4355</v>
      </c>
      <c r="Q326" s="10" t="n">
        <v>22241</v>
      </c>
      <c r="R326" s="7" t="n">
        <v>26818</v>
      </c>
      <c r="S326" s="8" t="n">
        <v>3089</v>
      </c>
      <c r="T326" s="8" t="n">
        <v>2547</v>
      </c>
      <c r="U326" s="9" t="n">
        <v>30940</v>
      </c>
      <c r="V326" s="10" t="n">
        <v>3845</v>
      </c>
      <c r="W326" s="10" t="n">
        <v>2267</v>
      </c>
      <c r="X326" s="7" t="n">
        <v>30182</v>
      </c>
      <c r="Y326" s="8" t="n">
        <v>2476</v>
      </c>
      <c r="Z326" s="8" t="n">
        <v>1685</v>
      </c>
      <c r="AA326" s="9" t="n">
        <v>29247</v>
      </c>
      <c r="AB326" s="10" t="n">
        <v>-940</v>
      </c>
      <c r="AC326" s="10" t="n">
        <v>-991</v>
      </c>
      <c r="AD326" s="7" t="n">
        <v>30317</v>
      </c>
      <c r="AE326" s="8" t="n">
        <v>-2855</v>
      </c>
      <c r="AF326" s="8" t="n">
        <v>19326</v>
      </c>
      <c r="AG326" s="9" t="n">
        <v>32401</v>
      </c>
      <c r="AH326" s="10" t="n">
        <v>3369</v>
      </c>
      <c r="AI326" s="10" t="n">
        <v>2268</v>
      </c>
      <c r="AJ326" s="11" t="n">
        <v>32646</v>
      </c>
      <c r="AK326" s="12" t="n">
        <v>4215</v>
      </c>
      <c r="AL326" s="12" t="n">
        <v>2201</v>
      </c>
      <c r="AM326" s="13" t="n">
        <v>0.8</v>
      </c>
      <c r="AN326" s="13" t="n">
        <v>8.199999999999999</v>
      </c>
      <c r="AO326" s="13" t="n">
        <v>25.1</v>
      </c>
      <c r="AP326" s="13" t="n">
        <v>70.2</v>
      </c>
    </row>
    <row r="327">
      <c r="A327" s="5" t="inlineStr">
        <is>
          <t>네이처셀</t>
        </is>
      </c>
      <c r="B327" s="6" t="inlineStr">
        <is>
          <t>007390</t>
        </is>
      </c>
      <c r="C327" s="6" t="inlineStr">
        <is>
          <t>연결</t>
        </is>
      </c>
      <c r="D327" s="6" t="inlineStr">
        <is>
          <t>2026Q2</t>
        </is>
      </c>
      <c r="E327" s="6" t="inlineStr"/>
      <c r="F327" s="7" t="inlineStr"/>
      <c r="G327" s="8" t="inlineStr"/>
      <c r="H327" s="8" t="inlineStr"/>
      <c r="I327" s="9" t="n">
        <v>9088</v>
      </c>
      <c r="J327" s="10" t="n">
        <v>73</v>
      </c>
      <c r="K327" s="10" t="n">
        <v>167</v>
      </c>
      <c r="L327" s="7" t="n">
        <v>9624</v>
      </c>
      <c r="M327" s="8" t="n">
        <v>1251</v>
      </c>
      <c r="N327" s="8" t="n">
        <v>1287</v>
      </c>
      <c r="O327" s="9" t="n">
        <v>5818</v>
      </c>
      <c r="P327" s="10" t="n">
        <v>-986</v>
      </c>
      <c r="Q327" s="10" t="n">
        <v>-539</v>
      </c>
      <c r="R327" s="7" t="n">
        <v>7804</v>
      </c>
      <c r="S327" s="8" t="n">
        <v>260</v>
      </c>
      <c r="T327" s="8" t="n">
        <v>311</v>
      </c>
      <c r="U327" s="9" t="n">
        <v>4078</v>
      </c>
      <c r="V327" s="10" t="n">
        <v>-1706</v>
      </c>
      <c r="W327" s="10" t="n">
        <v>-1240</v>
      </c>
      <c r="X327" s="7" t="n">
        <v>6404</v>
      </c>
      <c r="Y327" s="8" t="n">
        <v>-287</v>
      </c>
      <c r="Z327" s="8" t="n">
        <v>-668</v>
      </c>
      <c r="AA327" s="9" t="n">
        <v>3900</v>
      </c>
      <c r="AB327" s="10" t="n">
        <v>-1393</v>
      </c>
      <c r="AC327" s="10" t="n">
        <v>-1270</v>
      </c>
      <c r="AD327" s="7" t="n">
        <v>6353</v>
      </c>
      <c r="AE327" s="8" t="n">
        <v>-260</v>
      </c>
      <c r="AF327" s="8" t="n">
        <v>340</v>
      </c>
      <c r="AG327" s="9" t="n">
        <v>4060</v>
      </c>
      <c r="AH327" s="10" t="n">
        <v>-1323</v>
      </c>
      <c r="AI327" s="10" t="n">
        <v>-1142</v>
      </c>
      <c r="AJ327" s="11" t="n">
        <v>6196</v>
      </c>
      <c r="AK327" s="12" t="n">
        <v>-702</v>
      </c>
      <c r="AL327" s="12" t="n">
        <v>-637</v>
      </c>
      <c r="AM327" s="13" t="n">
        <v>52.6</v>
      </c>
      <c r="AN327" s="13" t="n">
        <v>-3.2</v>
      </c>
      <c r="AO327" s="13" t="n">
        <v>46.9</v>
      </c>
      <c r="AP327" s="13" t="n">
        <v>-144.6</v>
      </c>
    </row>
    <row r="328">
      <c r="A328" s="5" t="inlineStr">
        <is>
          <t>에이프로젠</t>
        </is>
      </c>
      <c r="B328" s="6" t="inlineStr">
        <is>
          <t>007460</t>
        </is>
      </c>
      <c r="C328" s="6" t="inlineStr">
        <is>
          <t>연결</t>
        </is>
      </c>
      <c r="D328" s="6" t="inlineStr">
        <is>
          <t>2026Q2</t>
        </is>
      </c>
      <c r="E328" s="6" t="inlineStr"/>
      <c r="F328" s="7" t="inlineStr"/>
      <c r="G328" s="8" t="inlineStr"/>
      <c r="H328" s="8" t="inlineStr"/>
      <c r="I328" s="9" t="n">
        <v>38081</v>
      </c>
      <c r="J328" s="10" t="n">
        <v>-17979</v>
      </c>
      <c r="K328" s="10" t="n">
        <v>-18254</v>
      </c>
      <c r="L328" s="7" t="n">
        <v>35592</v>
      </c>
      <c r="M328" s="8" t="n">
        <v>-17664</v>
      </c>
      <c r="N328" s="8" t="n">
        <v>-18777</v>
      </c>
      <c r="O328" s="9" t="n">
        <v>36793</v>
      </c>
      <c r="P328" s="10" t="n">
        <v>-22044</v>
      </c>
      <c r="Q328" s="10" t="n">
        <v>-21940</v>
      </c>
      <c r="R328" s="7" t="n">
        <v>39648</v>
      </c>
      <c r="S328" s="8" t="n">
        <v>-29120</v>
      </c>
      <c r="T328" s="8" t="n">
        <v>-41405</v>
      </c>
      <c r="U328" s="9" t="n">
        <v>26727</v>
      </c>
      <c r="V328" s="10" t="n">
        <v>-22476</v>
      </c>
      <c r="W328" s="10" t="n">
        <v>-30133</v>
      </c>
      <c r="X328" s="7" t="n">
        <v>24165</v>
      </c>
      <c r="Y328" s="8" t="n">
        <v>-23891</v>
      </c>
      <c r="Z328" s="8" t="n">
        <v>-42229</v>
      </c>
      <c r="AA328" s="9" t="n">
        <v>35554</v>
      </c>
      <c r="AB328" s="10" t="n">
        <v>-22293</v>
      </c>
      <c r="AC328" s="10" t="n">
        <v>-33721</v>
      </c>
      <c r="AD328" s="7" t="n">
        <v>31528</v>
      </c>
      <c r="AE328" s="8" t="n">
        <v>-26911</v>
      </c>
      <c r="AF328" s="8" t="n">
        <v>-34488</v>
      </c>
      <c r="AG328" s="9" t="n">
        <v>36292</v>
      </c>
      <c r="AH328" s="10" t="n">
        <v>-20604</v>
      </c>
      <c r="AI328" s="10" t="n">
        <v>-28123</v>
      </c>
      <c r="AJ328" s="11" t="n">
        <v>35526</v>
      </c>
      <c r="AK328" s="12" t="n">
        <v>-22445</v>
      </c>
      <c r="AL328" s="12" t="n">
        <v>-42306</v>
      </c>
      <c r="AM328" s="13" t="n">
        <v>-2.1</v>
      </c>
      <c r="AN328" s="13" t="n">
        <v>47</v>
      </c>
      <c r="AO328" s="13" t="n">
        <v>-8.9</v>
      </c>
      <c r="AP328" s="13" t="n">
        <v>6.1</v>
      </c>
    </row>
    <row r="329">
      <c r="A329" s="5" t="inlineStr">
        <is>
          <t>와이엠</t>
        </is>
      </c>
      <c r="B329" s="6" t="inlineStr">
        <is>
          <t>007530</t>
        </is>
      </c>
      <c r="C329" s="6" t="inlineStr">
        <is>
          <t>연결</t>
        </is>
      </c>
      <c r="D329" s="6" t="inlineStr">
        <is>
          <t>2026Q2</t>
        </is>
      </c>
      <c r="E329" s="6" t="inlineStr"/>
      <c r="F329" s="7" t="inlineStr"/>
      <c r="G329" s="8" t="inlineStr"/>
      <c r="H329" s="8" t="inlineStr"/>
      <c r="I329" s="9" t="n">
        <v>42847</v>
      </c>
      <c r="J329" s="10" t="n">
        <v>2522</v>
      </c>
      <c r="K329" s="10" t="n">
        <v>1571</v>
      </c>
      <c r="L329" s="7" t="n">
        <v>43858</v>
      </c>
      <c r="M329" s="8" t="n">
        <v>1378</v>
      </c>
      <c r="N329" s="8" t="n">
        <v>36</v>
      </c>
      <c r="O329" s="9" t="n">
        <v>40679</v>
      </c>
      <c r="P329" s="10" t="n">
        <v>1252</v>
      </c>
      <c r="Q329" s="10" t="n">
        <v>881</v>
      </c>
      <c r="R329" s="7" t="n">
        <v>44817</v>
      </c>
      <c r="S329" s="8" t="n">
        <v>956</v>
      </c>
      <c r="T329" s="8" t="n">
        <v>2707</v>
      </c>
      <c r="U329" s="9" t="n">
        <v>43667</v>
      </c>
      <c r="V329" s="10" t="n">
        <v>990</v>
      </c>
      <c r="W329" s="10" t="n">
        <v>668</v>
      </c>
      <c r="X329" s="7" t="n">
        <v>46022</v>
      </c>
      <c r="Y329" s="8" t="n">
        <v>535</v>
      </c>
      <c r="Z329" s="8" t="n">
        <v>-447</v>
      </c>
      <c r="AA329" s="9" t="n">
        <v>44476</v>
      </c>
      <c r="AB329" s="10" t="n">
        <v>1937</v>
      </c>
      <c r="AC329" s="10" t="n">
        <v>2388</v>
      </c>
      <c r="AD329" s="7" t="n">
        <v>42981</v>
      </c>
      <c r="AE329" s="8" t="n">
        <v>524</v>
      </c>
      <c r="AF329" s="8" t="n">
        <v>-108</v>
      </c>
      <c r="AG329" s="9" t="n">
        <v>42726</v>
      </c>
      <c r="AH329" s="10" t="n">
        <v>1437</v>
      </c>
      <c r="AI329" s="10" t="n">
        <v>1142</v>
      </c>
      <c r="AJ329" s="11" t="n">
        <v>45794</v>
      </c>
      <c r="AK329" s="12" t="n">
        <v>279</v>
      </c>
      <c r="AL329" s="12" t="n">
        <v>-526</v>
      </c>
      <c r="AM329" s="13" t="n">
        <v>7.2</v>
      </c>
      <c r="AN329" s="13" t="n">
        <v>-0.5</v>
      </c>
      <c r="AO329" s="13" t="n">
        <v>-80.59999999999999</v>
      </c>
      <c r="AP329" s="13" t="n">
        <v>-47.9</v>
      </c>
    </row>
    <row r="330">
      <c r="A330" s="5" t="inlineStr">
        <is>
          <t>샘표</t>
        </is>
      </c>
      <c r="B330" s="6" t="inlineStr">
        <is>
          <t>007540</t>
        </is>
      </c>
      <c r="C330" s="6" t="inlineStr">
        <is>
          <t>연결</t>
        </is>
      </c>
      <c r="D330" s="6" t="inlineStr">
        <is>
          <t>2026Q2</t>
        </is>
      </c>
      <c r="E330" s="6" t="inlineStr"/>
      <c r="F330" s="7" t="inlineStr"/>
      <c r="G330" s="8" t="inlineStr"/>
      <c r="H330" s="8" t="inlineStr"/>
      <c r="I330" s="9" t="n">
        <v>98687</v>
      </c>
      <c r="J330" s="10" t="n">
        <v>3473</v>
      </c>
      <c r="K330" s="10" t="n">
        <v>4543</v>
      </c>
      <c r="L330" s="7" t="n">
        <v>101898</v>
      </c>
      <c r="M330" s="8" t="n">
        <v>-3809</v>
      </c>
      <c r="N330" s="8" t="n">
        <v>-1518</v>
      </c>
      <c r="O330" s="9" t="n">
        <v>104191</v>
      </c>
      <c r="P330" s="10" t="n">
        <v>4460</v>
      </c>
      <c r="Q330" s="10" t="n">
        <v>2460</v>
      </c>
      <c r="R330" s="7" t="n">
        <v>100180</v>
      </c>
      <c r="S330" s="8" t="n">
        <v>1751</v>
      </c>
      <c r="T330" s="8" t="n">
        <v>5247</v>
      </c>
      <c r="U330" s="9" t="n">
        <v>100587</v>
      </c>
      <c r="V330" s="10" t="n">
        <v>1204</v>
      </c>
      <c r="W330" s="10" t="n">
        <v>1494</v>
      </c>
      <c r="X330" s="7" t="n">
        <v>99243</v>
      </c>
      <c r="Y330" s="8" t="n">
        <v>7412</v>
      </c>
      <c r="Z330" s="8" t="n">
        <v>6850</v>
      </c>
      <c r="AA330" s="9" t="n">
        <v>108687</v>
      </c>
      <c r="AB330" s="10" t="n">
        <v>12814</v>
      </c>
      <c r="AC330" s="10" t="n">
        <v>9749</v>
      </c>
      <c r="AD330" s="7" t="n">
        <v>100447</v>
      </c>
      <c r="AE330" s="8" t="n">
        <v>2713</v>
      </c>
      <c r="AF330" s="8" t="n">
        <v>713</v>
      </c>
      <c r="AG330" s="9" t="n">
        <v>103462</v>
      </c>
      <c r="AH330" s="10" t="n">
        <v>6558</v>
      </c>
      <c r="AI330" s="10" t="n">
        <v>9144</v>
      </c>
      <c r="AJ330" s="11" t="n">
        <v>100345</v>
      </c>
      <c r="AK330" s="12" t="n">
        <v>4401</v>
      </c>
      <c r="AL330" s="12" t="n">
        <v>1569</v>
      </c>
      <c r="AM330" s="13" t="n">
        <v>-3</v>
      </c>
      <c r="AN330" s="13" t="n">
        <v>1.1</v>
      </c>
      <c r="AO330" s="13" t="n">
        <v>-32.9</v>
      </c>
      <c r="AP330" s="13" t="n">
        <v>-40.6</v>
      </c>
    </row>
    <row r="331">
      <c r="A331" s="5" t="inlineStr">
        <is>
          <t>일양약품</t>
        </is>
      </c>
      <c r="B331" s="6" t="inlineStr">
        <is>
          <t>007570</t>
        </is>
      </c>
      <c r="C331" s="6" t="inlineStr">
        <is>
          <t>연결</t>
        </is>
      </c>
      <c r="D331" s="6" t="inlineStr">
        <is>
          <t>2026Q2</t>
        </is>
      </c>
      <c r="E331" s="6" t="inlineStr"/>
      <c r="F331" s="7" t="inlineStr"/>
      <c r="G331" s="8" t="inlineStr"/>
      <c r="H331" s="8" t="inlineStr"/>
      <c r="I331" s="9" t="n">
        <v>78492</v>
      </c>
      <c r="J331" s="10" t="n">
        <v>2856</v>
      </c>
      <c r="K331" s="10" t="n">
        <v>2740</v>
      </c>
      <c r="L331" s="7" t="n">
        <v>82704</v>
      </c>
      <c r="M331" s="8" t="n">
        <v>2688</v>
      </c>
      <c r="N331" s="8" t="n">
        <v>1775</v>
      </c>
      <c r="O331" s="9" t="n">
        <v>99140</v>
      </c>
      <c r="P331" s="10" t="n">
        <v>5500</v>
      </c>
      <c r="Q331" s="10" t="n">
        <v>3799</v>
      </c>
      <c r="R331" s="7" t="n">
        <v>8525</v>
      </c>
      <c r="S331" s="8" t="n">
        <v>-44</v>
      </c>
      <c r="T331" s="8" t="n">
        <v>2194</v>
      </c>
      <c r="U331" s="9" t="n">
        <v>61983</v>
      </c>
      <c r="V331" s="10" t="n">
        <v>3384</v>
      </c>
      <c r="W331" s="10" t="n">
        <v>3777</v>
      </c>
      <c r="X331" s="7" t="n">
        <v>62701</v>
      </c>
      <c r="Y331" s="8" t="n">
        <v>1170</v>
      </c>
      <c r="Z331" s="8" t="n">
        <v>613</v>
      </c>
      <c r="AA331" s="9" t="n">
        <v>68827</v>
      </c>
      <c r="AB331" s="10" t="n">
        <v>-158</v>
      </c>
      <c r="AC331" s="10" t="n">
        <v>8384</v>
      </c>
      <c r="AD331" s="7" t="n">
        <v>78911</v>
      </c>
      <c r="AE331" s="8" t="n">
        <v>567</v>
      </c>
      <c r="AF331" s="8" t="n">
        <v>-5641</v>
      </c>
      <c r="AG331" s="9" t="n">
        <v>65074</v>
      </c>
      <c r="AH331" s="10" t="n">
        <v>-7369</v>
      </c>
      <c r="AI331" s="10" t="n">
        <v>16962</v>
      </c>
      <c r="AJ331" s="11" t="n">
        <v>65144</v>
      </c>
      <c r="AK331" s="12" t="n">
        <v>-6767</v>
      </c>
      <c r="AL331" s="12" t="n">
        <v>-2344</v>
      </c>
      <c r="AM331" s="13" t="n">
        <v>0.1</v>
      </c>
      <c r="AN331" s="13" t="n">
        <v>3.9</v>
      </c>
      <c r="AO331" s="13" t="n">
        <v>8.199999999999999</v>
      </c>
      <c r="AP331" s="13" t="n">
        <v>-678.4</v>
      </c>
    </row>
    <row r="332">
      <c r="A332" s="5" t="inlineStr">
        <is>
          <t>동방아그로</t>
        </is>
      </c>
      <c r="B332" s="6" t="inlineStr">
        <is>
          <t>007590</t>
        </is>
      </c>
      <c r="C332" s="6" t="inlineStr">
        <is>
          <t>연결</t>
        </is>
      </c>
      <c r="D332" s="6" t="inlineStr">
        <is>
          <t>2026Q2</t>
        </is>
      </c>
      <c r="E332" s="6" t="inlineStr"/>
      <c r="F332" s="7" t="inlineStr"/>
      <c r="G332" s="8" t="inlineStr"/>
      <c r="H332" s="8" t="inlineStr"/>
      <c r="I332" s="9" t="n">
        <v>97476</v>
      </c>
      <c r="J332" s="10" t="n">
        <v>20199</v>
      </c>
      <c r="K332" s="10" t="n">
        <v>15277</v>
      </c>
      <c r="L332" s="7" t="n">
        <v>41539</v>
      </c>
      <c r="M332" s="8" t="n">
        <v>2346</v>
      </c>
      <c r="N332" s="8" t="n">
        <v>1388</v>
      </c>
      <c r="O332" s="9" t="n">
        <v>18932</v>
      </c>
      <c r="P332" s="10" t="n">
        <v>-4023</v>
      </c>
      <c r="Q332" s="10" t="n">
        <v>-2258</v>
      </c>
      <c r="R332" s="7" t="n">
        <v>12301</v>
      </c>
      <c r="S332" s="8" t="n">
        <v>-3911</v>
      </c>
      <c r="T332" s="8" t="n">
        <v>-4621</v>
      </c>
      <c r="U332" s="9" t="n">
        <v>104058</v>
      </c>
      <c r="V332" s="10" t="n">
        <v>19177</v>
      </c>
      <c r="W332" s="10" t="n">
        <v>15245</v>
      </c>
      <c r="X332" s="7" t="n">
        <v>40865</v>
      </c>
      <c r="Y332" s="8" t="n">
        <v>1467</v>
      </c>
      <c r="Z332" s="8" t="n">
        <v>-83</v>
      </c>
      <c r="AA332" s="9" t="n">
        <v>18942</v>
      </c>
      <c r="AB332" s="10" t="n">
        <v>-5589</v>
      </c>
      <c r="AC332" s="10" t="n">
        <v>-3689</v>
      </c>
      <c r="AD332" s="7" t="n">
        <v>15132</v>
      </c>
      <c r="AE332" s="8" t="n">
        <v>-2403</v>
      </c>
      <c r="AF332" s="8" t="n">
        <v>-1706</v>
      </c>
      <c r="AG332" s="9" t="n">
        <v>104397</v>
      </c>
      <c r="AH332" s="10" t="n">
        <v>17167</v>
      </c>
      <c r="AI332" s="10" t="n">
        <v>12721</v>
      </c>
      <c r="AJ332" s="11" t="n">
        <v>48896</v>
      </c>
      <c r="AK332" s="12" t="n">
        <v>2135</v>
      </c>
      <c r="AL332" s="12" t="n">
        <v>1816</v>
      </c>
      <c r="AM332" s="13" t="n">
        <v>-53.2</v>
      </c>
      <c r="AN332" s="13" t="n">
        <v>19.7</v>
      </c>
      <c r="AO332" s="13" t="n">
        <v>-87.59999999999999</v>
      </c>
      <c r="AP332" s="13" t="n">
        <v>45.5</v>
      </c>
    </row>
    <row r="333">
      <c r="A333" s="5" t="inlineStr">
        <is>
          <t>선도전기</t>
        </is>
      </c>
      <c r="B333" s="6" t="inlineStr">
        <is>
          <t>007610</t>
        </is>
      </c>
      <c r="C333" s="6" t="inlineStr">
        <is>
          <t>연결</t>
        </is>
      </c>
      <c r="D333" s="6" t="inlineStr">
        <is>
          <t>2026Q2</t>
        </is>
      </c>
      <c r="E333" s="6" t="inlineStr"/>
      <c r="F333" s="7" t="inlineStr"/>
      <c r="G333" s="8" t="inlineStr"/>
      <c r="H333" s="8" t="inlineStr"/>
      <c r="I333" s="9" t="n">
        <v>4896</v>
      </c>
      <c r="J333" s="10" t="n">
        <v>-2924</v>
      </c>
      <c r="K333" s="10" t="n">
        <v>6997</v>
      </c>
      <c r="L333" s="7" t="n">
        <v>7980</v>
      </c>
      <c r="M333" s="8" t="n">
        <v>-791</v>
      </c>
      <c r="N333" s="8" t="n">
        <v>4531</v>
      </c>
      <c r="O333" s="9" t="n">
        <v>3724</v>
      </c>
      <c r="P333" s="10" t="n">
        <v>-1916</v>
      </c>
      <c r="Q333" s="10" t="n">
        <v>-2198</v>
      </c>
      <c r="R333" s="7" t="n">
        <v>7384</v>
      </c>
      <c r="S333" s="8" t="n">
        <v>-117</v>
      </c>
      <c r="T333" s="8" t="n">
        <v>445</v>
      </c>
      <c r="U333" s="9" t="n">
        <v>7336</v>
      </c>
      <c r="V333" s="10" t="n">
        <v>-1171</v>
      </c>
      <c r="W333" s="10" t="n">
        <v>-3012</v>
      </c>
      <c r="X333" s="7" t="n">
        <v>7836</v>
      </c>
      <c r="Y333" s="8" t="n">
        <v>117</v>
      </c>
      <c r="Z333" s="8" t="n">
        <v>7436</v>
      </c>
      <c r="AA333" s="9" t="n">
        <v>4148</v>
      </c>
      <c r="AB333" s="10" t="n">
        <v>-16</v>
      </c>
      <c r="AC333" s="10" t="n">
        <v>-1506</v>
      </c>
      <c r="AD333" s="7" t="n">
        <v>18851</v>
      </c>
      <c r="AE333" s="8" t="n">
        <v>2319</v>
      </c>
      <c r="AF333" s="8" t="n">
        <v>2359</v>
      </c>
      <c r="AG333" s="9" t="n">
        <v>5056</v>
      </c>
      <c r="AH333" s="10" t="n">
        <v>-496</v>
      </c>
      <c r="AI333" s="10" t="n">
        <v>-907</v>
      </c>
      <c r="AJ333" s="11" t="n">
        <v>3013</v>
      </c>
      <c r="AK333" s="12" t="n">
        <v>-1026</v>
      </c>
      <c r="AL333" s="12" t="n">
        <v>-1335</v>
      </c>
      <c r="AM333" s="13" t="n">
        <v>-40.4</v>
      </c>
      <c r="AN333" s="13" t="n">
        <v>-61.5</v>
      </c>
      <c r="AO333" s="13" t="n">
        <v>-106.9</v>
      </c>
      <c r="AP333" s="13" t="n">
        <v>-976.9</v>
      </c>
    </row>
    <row r="334">
      <c r="A334" s="5" t="inlineStr">
        <is>
          <t>이수페타시스</t>
        </is>
      </c>
      <c r="B334" s="6" t="inlineStr">
        <is>
          <t>007660</t>
        </is>
      </c>
      <c r="C334" s="6" t="inlineStr">
        <is>
          <t>연결</t>
        </is>
      </c>
      <c r="D334" s="6" t="inlineStr">
        <is>
          <t>2026Q2</t>
        </is>
      </c>
      <c r="E334" s="6" t="inlineStr"/>
      <c r="F334" s="7" t="inlineStr"/>
      <c r="G334" s="8" t="inlineStr"/>
      <c r="H334" s="8" t="inlineStr"/>
      <c r="I334" s="9" t="n">
        <v>199610</v>
      </c>
      <c r="J334" s="10" t="n">
        <v>22989</v>
      </c>
      <c r="K334" s="10" t="n">
        <v>17543</v>
      </c>
      <c r="L334" s="7" t="n">
        <v>204740</v>
      </c>
      <c r="M334" s="8" t="n">
        <v>27502</v>
      </c>
      <c r="N334" s="8" t="n">
        <v>22044</v>
      </c>
      <c r="O334" s="9" t="n">
        <v>206412</v>
      </c>
      <c r="P334" s="10" t="n">
        <v>25914</v>
      </c>
      <c r="Q334" s="10" t="n">
        <v>14548</v>
      </c>
      <c r="R334" s="7" t="n">
        <v>226105</v>
      </c>
      <c r="S334" s="8" t="n">
        <v>25474</v>
      </c>
      <c r="T334" s="8" t="n">
        <v>19899</v>
      </c>
      <c r="U334" s="9" t="n">
        <v>252490</v>
      </c>
      <c r="V334" s="10" t="n">
        <v>47684</v>
      </c>
      <c r="W334" s="10" t="n">
        <v>38304</v>
      </c>
      <c r="X334" s="7" t="n">
        <v>241419</v>
      </c>
      <c r="Y334" s="8" t="n">
        <v>42070</v>
      </c>
      <c r="Z334" s="8" t="n">
        <v>31366</v>
      </c>
      <c r="AA334" s="9" t="n">
        <v>296133</v>
      </c>
      <c r="AB334" s="10" t="n">
        <v>58430</v>
      </c>
      <c r="AC334" s="10" t="n">
        <v>47215</v>
      </c>
      <c r="AD334" s="7" t="n">
        <v>297983</v>
      </c>
      <c r="AE334" s="8" t="n">
        <v>56541</v>
      </c>
      <c r="AF334" s="8" t="n">
        <v>43598</v>
      </c>
      <c r="AG334" s="9" t="n">
        <v>340282</v>
      </c>
      <c r="AH334" s="10" t="n">
        <v>67221</v>
      </c>
      <c r="AI334" s="10" t="n">
        <v>50443</v>
      </c>
      <c r="AJ334" s="11" t="n">
        <v>379888</v>
      </c>
      <c r="AK334" s="12" t="n">
        <v>77064</v>
      </c>
      <c r="AL334" s="12" t="n">
        <v>59709</v>
      </c>
      <c r="AM334" s="13" t="n">
        <v>11.6</v>
      </c>
      <c r="AN334" s="13" t="n">
        <v>57.4</v>
      </c>
      <c r="AO334" s="13" t="n">
        <v>14.6</v>
      </c>
      <c r="AP334" s="13" t="n">
        <v>83.2</v>
      </c>
    </row>
    <row r="335">
      <c r="A335" s="5" t="inlineStr">
        <is>
          <t>대원</t>
        </is>
      </c>
      <c r="B335" s="6" t="inlineStr">
        <is>
          <t>007680</t>
        </is>
      </c>
      <c r="C335" s="6" t="inlineStr">
        <is>
          <t>연결</t>
        </is>
      </c>
      <c r="D335" s="6" t="inlineStr">
        <is>
          <t>2026Q2</t>
        </is>
      </c>
      <c r="E335" s="6" t="inlineStr"/>
      <c r="F335" s="7" t="inlineStr"/>
      <c r="G335" s="8" t="inlineStr"/>
      <c r="H335" s="8" t="inlineStr"/>
      <c r="I335" s="9" t="n">
        <v>85350</v>
      </c>
      <c r="J335" s="10" t="n">
        <v>27</v>
      </c>
      <c r="K335" s="10" t="n">
        <v>-396</v>
      </c>
      <c r="L335" s="7" t="n">
        <v>71974</v>
      </c>
      <c r="M335" s="8" t="n">
        <v>-876</v>
      </c>
      <c r="N335" s="8" t="n">
        <v>2285</v>
      </c>
      <c r="O335" s="9" t="n">
        <v>60144</v>
      </c>
      <c r="P335" s="10" t="n">
        <v>4020</v>
      </c>
      <c r="Q335" s="10" t="n">
        <v>3276</v>
      </c>
      <c r="R335" s="7" t="n">
        <v>59713</v>
      </c>
      <c r="S335" s="8" t="n">
        <v>-2976</v>
      </c>
      <c r="T335" s="8" t="n">
        <v>-2534</v>
      </c>
      <c r="U335" s="9" t="n">
        <v>36595</v>
      </c>
      <c r="V335" s="10" t="n">
        <v>1359</v>
      </c>
      <c r="W335" s="10" t="n">
        <v>453</v>
      </c>
      <c r="X335" s="7" t="n">
        <v>24308</v>
      </c>
      <c r="Y335" s="8" t="n">
        <v>-5755</v>
      </c>
      <c r="Z335" s="8" t="n">
        <v>-3127</v>
      </c>
      <c r="AA335" s="9" t="n">
        <v>22733</v>
      </c>
      <c r="AB335" s="10" t="n">
        <v>-7769</v>
      </c>
      <c r="AC335" s="10" t="n">
        <v>-5036</v>
      </c>
      <c r="AD335" s="7" t="n">
        <v>28486</v>
      </c>
      <c r="AE335" s="8" t="n">
        <v>-1589</v>
      </c>
      <c r="AF335" s="8" t="n">
        <v>-788</v>
      </c>
      <c r="AG335" s="9" t="n">
        <v>28988</v>
      </c>
      <c r="AH335" s="10" t="n">
        <v>41</v>
      </c>
      <c r="AI335" s="10" t="n">
        <v>2492</v>
      </c>
      <c r="AJ335" s="11" t="n">
        <v>27066</v>
      </c>
      <c r="AK335" s="12" t="n">
        <v>-12</v>
      </c>
      <c r="AL335" s="12" t="n">
        <v>1346</v>
      </c>
      <c r="AM335" s="13" t="n">
        <v>-6.6</v>
      </c>
      <c r="AN335" s="13" t="n">
        <v>11.3</v>
      </c>
      <c r="AO335" s="13" t="n">
        <v>-129.3</v>
      </c>
      <c r="AP335" s="13" t="n">
        <v>99.8</v>
      </c>
    </row>
    <row r="336">
      <c r="A336" s="5" t="inlineStr">
        <is>
          <t>국도화학</t>
        </is>
      </c>
      <c r="B336" s="6" t="inlineStr">
        <is>
          <t>007690</t>
        </is>
      </c>
      <c r="C336" s="6" t="inlineStr">
        <is>
          <t>연결</t>
        </is>
      </c>
      <c r="D336" s="6" t="inlineStr">
        <is>
          <t>2026Q2</t>
        </is>
      </c>
      <c r="E336" s="6" t="inlineStr">
        <is>
          <t>2023Q4</t>
        </is>
      </c>
      <c r="F336" s="14" t="n">
        <v>305801</v>
      </c>
      <c r="G336" s="15" t="n">
        <v>-797</v>
      </c>
      <c r="H336" s="15" t="n">
        <v>-4212</v>
      </c>
      <c r="I336" s="9" t="n">
        <v>296146</v>
      </c>
      <c r="J336" s="10" t="n">
        <v>1737</v>
      </c>
      <c r="K336" s="10" t="n">
        <v>-958</v>
      </c>
      <c r="L336" s="7" t="n">
        <v>343033</v>
      </c>
      <c r="M336" s="8" t="n">
        <v>9918</v>
      </c>
      <c r="N336" s="8" t="n">
        <v>4926</v>
      </c>
      <c r="O336" s="9" t="n">
        <v>340119</v>
      </c>
      <c r="P336" s="10" t="n">
        <v>7146</v>
      </c>
      <c r="Q336" s="10" t="n">
        <v>-532</v>
      </c>
      <c r="R336" s="7" t="n">
        <v>326477</v>
      </c>
      <c r="S336" s="8" t="n">
        <v>6533</v>
      </c>
      <c r="T336" s="8" t="n">
        <v>5505</v>
      </c>
      <c r="U336" s="9" t="n">
        <v>319114</v>
      </c>
      <c r="V336" s="10" t="n">
        <v>12902</v>
      </c>
      <c r="W336" s="10" t="n">
        <v>5752</v>
      </c>
      <c r="X336" s="7" t="n">
        <v>348704</v>
      </c>
      <c r="Y336" s="8" t="n">
        <v>16839</v>
      </c>
      <c r="Z336" s="8" t="n">
        <v>8571</v>
      </c>
      <c r="AA336" s="9" t="n">
        <v>354481</v>
      </c>
      <c r="AB336" s="10" t="n">
        <v>10765</v>
      </c>
      <c r="AC336" s="10" t="n">
        <v>5949</v>
      </c>
      <c r="AD336" s="7" t="n">
        <v>373257</v>
      </c>
      <c r="AE336" s="8" t="n">
        <v>12664</v>
      </c>
      <c r="AF336" s="8" t="n">
        <v>1627</v>
      </c>
      <c r="AG336" s="9" t="n">
        <v>413929</v>
      </c>
      <c r="AH336" s="10" t="n">
        <v>10302</v>
      </c>
      <c r="AI336" s="10" t="n">
        <v>1541</v>
      </c>
      <c r="AJ336" s="11" t="n">
        <v>534254</v>
      </c>
      <c r="AK336" s="12" t="n">
        <v>47954</v>
      </c>
      <c r="AL336" s="12" t="n">
        <v>43893</v>
      </c>
      <c r="AM336" s="13" t="n">
        <v>29.1</v>
      </c>
      <c r="AN336" s="13" t="n">
        <v>53.2</v>
      </c>
      <c r="AO336" s="13" t="n">
        <v>365.5</v>
      </c>
      <c r="AP336" s="13" t="n">
        <v>184.8</v>
      </c>
    </row>
    <row r="337">
      <c r="A337" s="5" t="inlineStr">
        <is>
          <t>F&amp;F 홀딩스</t>
        </is>
      </c>
      <c r="B337" s="6" t="inlineStr">
        <is>
          <t>007700</t>
        </is>
      </c>
      <c r="C337" s="6" t="inlineStr">
        <is>
          <t>연결</t>
        </is>
      </c>
      <c r="D337" s="6" t="inlineStr">
        <is>
          <t>2026Q2</t>
        </is>
      </c>
      <c r="E337" s="6" t="inlineStr"/>
      <c r="F337" s="7" t="inlineStr"/>
      <c r="G337" s="8" t="inlineStr"/>
      <c r="H337" s="8" t="inlineStr"/>
      <c r="I337" s="9" t="n">
        <v>508175</v>
      </c>
      <c r="J337" s="10" t="n">
        <v>124968</v>
      </c>
      <c r="K337" s="10" t="n">
        <v>91645</v>
      </c>
      <c r="L337" s="7" t="n">
        <v>391623</v>
      </c>
      <c r="M337" s="8" t="n">
        <v>81150</v>
      </c>
      <c r="N337" s="8" t="n">
        <v>64500</v>
      </c>
      <c r="O337" s="9" t="n">
        <v>451215</v>
      </c>
      <c r="P337" s="10" t="n">
        <v>98831</v>
      </c>
      <c r="Q337" s="10" t="n">
        <v>71289</v>
      </c>
      <c r="R337" s="7" t="n">
        <v>547289</v>
      </c>
      <c r="S337" s="8" t="n">
        <v>111418</v>
      </c>
      <c r="T337" s="8" t="n">
        <v>94555</v>
      </c>
      <c r="U337" s="9" t="n">
        <v>505723</v>
      </c>
      <c r="V337" s="10" t="n">
        <v>115599</v>
      </c>
      <c r="W337" s="10" t="n">
        <v>75638</v>
      </c>
      <c r="X337" s="7" t="n">
        <v>378708</v>
      </c>
      <c r="Y337" s="8" t="n">
        <v>74493</v>
      </c>
      <c r="Z337" s="8" t="n">
        <v>52139</v>
      </c>
      <c r="AA337" s="9" t="n">
        <v>474183</v>
      </c>
      <c r="AB337" s="10" t="n">
        <v>119773</v>
      </c>
      <c r="AC337" s="10" t="n">
        <v>98278</v>
      </c>
      <c r="AD337" s="7" t="n">
        <v>575187</v>
      </c>
      <c r="AE337" s="8" t="n">
        <v>124330</v>
      </c>
      <c r="AF337" s="8" t="n">
        <v>141851</v>
      </c>
      <c r="AG337" s="9" t="n">
        <v>560909</v>
      </c>
      <c r="AH337" s="10" t="n">
        <v>145730</v>
      </c>
      <c r="AI337" s="10" t="n">
        <v>165833</v>
      </c>
      <c r="AJ337" s="11" t="n">
        <v>399770</v>
      </c>
      <c r="AK337" s="12" t="n">
        <v>77213</v>
      </c>
      <c r="AL337" s="12" t="n">
        <v>59656</v>
      </c>
      <c r="AM337" s="13" t="n">
        <v>-28.7</v>
      </c>
      <c r="AN337" s="13" t="n">
        <v>5.6</v>
      </c>
      <c r="AO337" s="13" t="n">
        <v>-47</v>
      </c>
      <c r="AP337" s="13" t="n">
        <v>3.7</v>
      </c>
    </row>
    <row r="338">
      <c r="A338" s="5" t="inlineStr">
        <is>
          <t>소노스퀘어</t>
        </is>
      </c>
      <c r="B338" s="6" t="inlineStr">
        <is>
          <t>007720</t>
        </is>
      </c>
      <c r="C338" s="6" t="inlineStr">
        <is>
          <t>연결</t>
        </is>
      </c>
      <c r="D338" s="6" t="inlineStr">
        <is>
          <t>2026Q2</t>
        </is>
      </c>
      <c r="E338" s="6" t="inlineStr"/>
      <c r="F338" s="7" t="inlineStr"/>
      <c r="G338" s="8" t="inlineStr"/>
      <c r="H338" s="8" t="inlineStr"/>
      <c r="I338" s="9" t="n">
        <v>28468</v>
      </c>
      <c r="J338" s="10" t="n">
        <v>-1348</v>
      </c>
      <c r="K338" s="10" t="n">
        <v>-985</v>
      </c>
      <c r="L338" s="7" t="n">
        <v>34985</v>
      </c>
      <c r="M338" s="8" t="n">
        <v>495</v>
      </c>
      <c r="N338" s="8" t="n">
        <v>2173</v>
      </c>
      <c r="O338" s="9" t="n">
        <v>36975890328</v>
      </c>
      <c r="P338" s="10" t="n">
        <v>1058469818</v>
      </c>
      <c r="Q338" s="10" t="n">
        <v>374241407</v>
      </c>
      <c r="R338" s="7" t="n">
        <v>-36975820323</v>
      </c>
      <c r="S338" s="8" t="n">
        <v>-1058468309</v>
      </c>
      <c r="T338" s="8" t="n">
        <v>-374252953</v>
      </c>
      <c r="U338" s="9" t="n">
        <v>29974</v>
      </c>
      <c r="V338" s="10" t="n">
        <v>-1181</v>
      </c>
      <c r="W338" s="10" t="n">
        <v>-1605</v>
      </c>
      <c r="X338" s="7" t="n">
        <v>45790</v>
      </c>
      <c r="Y338" s="8" t="n">
        <v>1286</v>
      </c>
      <c r="Z338" s="8" t="n">
        <v>947</v>
      </c>
      <c r="AA338" s="9" t="n">
        <v>49149</v>
      </c>
      <c r="AB338" s="10" t="n">
        <v>1753</v>
      </c>
      <c r="AC338" s="10" t="n">
        <v>452</v>
      </c>
      <c r="AD338" s="7" t="n">
        <v>37958</v>
      </c>
      <c r="AE338" s="8" t="n">
        <v>-461</v>
      </c>
      <c r="AF338" s="8" t="n">
        <v>-2495</v>
      </c>
      <c r="AG338" s="9" t="n">
        <v>34200</v>
      </c>
      <c r="AH338" s="10" t="n">
        <v>-775</v>
      </c>
      <c r="AI338" s="10" t="n">
        <v>-629</v>
      </c>
      <c r="AJ338" s="11" t="n">
        <v>39130</v>
      </c>
      <c r="AK338" s="12" t="n">
        <v>-2053</v>
      </c>
      <c r="AL338" s="12" t="n">
        <v>-1693</v>
      </c>
      <c r="AM338" s="13" t="n">
        <v>14.4</v>
      </c>
      <c r="AN338" s="13" t="n">
        <v>-14.5</v>
      </c>
      <c r="AO338" s="13" t="n">
        <v>-164.9</v>
      </c>
      <c r="AP338" s="13" t="n">
        <v>-259.6</v>
      </c>
    </row>
    <row r="339">
      <c r="A339" s="5" t="inlineStr">
        <is>
          <t>한일화학</t>
        </is>
      </c>
      <c r="B339" s="6" t="inlineStr">
        <is>
          <t>007770</t>
        </is>
      </c>
      <c r="C339" s="6" t="inlineStr">
        <is>
          <t>연결</t>
        </is>
      </c>
      <c r="D339" s="6" t="inlineStr">
        <is>
          <t>2026Q2</t>
        </is>
      </c>
      <c r="E339" s="6" t="inlineStr"/>
      <c r="F339" s="7" t="inlineStr"/>
      <c r="G339" s="8" t="inlineStr"/>
      <c r="H339" s="8" t="inlineStr"/>
      <c r="I339" s="9" t="n">
        <v>28535</v>
      </c>
      <c r="J339" s="10" t="n">
        <v>-2297</v>
      </c>
      <c r="K339" s="10" t="n">
        <v>5389</v>
      </c>
      <c r="L339" s="7" t="n">
        <v>31507</v>
      </c>
      <c r="M339" s="8" t="n">
        <v>-1335</v>
      </c>
      <c r="N339" s="8" t="n">
        <v>-1371</v>
      </c>
      <c r="O339" s="9" t="n">
        <v>31892</v>
      </c>
      <c r="P339" s="10" t="n">
        <v>-2194</v>
      </c>
      <c r="Q339" s="10" t="n">
        <v>-2702</v>
      </c>
      <c r="R339" s="7" t="n">
        <v>33348</v>
      </c>
      <c r="S339" s="8" t="n">
        <v>-745</v>
      </c>
      <c r="T339" s="8" t="n">
        <v>2818</v>
      </c>
      <c r="U339" s="9" t="n">
        <v>32120</v>
      </c>
      <c r="V339" s="10" t="n">
        <v>-2372</v>
      </c>
      <c r="W339" s="10" t="n">
        <v>-1792</v>
      </c>
      <c r="X339" s="7" t="n">
        <v>31276</v>
      </c>
      <c r="Y339" s="8" t="n">
        <v>-2813</v>
      </c>
      <c r="Z339" s="8" t="n">
        <v>-4035</v>
      </c>
      <c r="AA339" s="9" t="n">
        <v>30153</v>
      </c>
      <c r="AB339" s="10" t="n">
        <v>-4687</v>
      </c>
      <c r="AC339" s="10" t="n">
        <v>-4275</v>
      </c>
      <c r="AD339" s="7" t="n">
        <v>30861</v>
      </c>
      <c r="AE339" s="8" t="n">
        <v>-2123</v>
      </c>
      <c r="AF339" s="8" t="n">
        <v>-10188</v>
      </c>
      <c r="AG339" s="9" t="n">
        <v>35159</v>
      </c>
      <c r="AH339" s="10" t="n">
        <v>-816</v>
      </c>
      <c r="AI339" s="10" t="n">
        <v>-539</v>
      </c>
      <c r="AJ339" s="11" t="n">
        <v>38340</v>
      </c>
      <c r="AK339" s="12" t="n">
        <v>1513</v>
      </c>
      <c r="AL339" s="12" t="n">
        <v>769</v>
      </c>
      <c r="AM339" s="13" t="n">
        <v>9</v>
      </c>
      <c r="AN339" s="13" t="n">
        <v>22.6</v>
      </c>
      <c r="AO339" s="13" t="n">
        <v>285.4</v>
      </c>
      <c r="AP339" s="13" t="n">
        <v>153.8</v>
      </c>
    </row>
    <row r="340">
      <c r="A340" s="5" t="inlineStr">
        <is>
          <t>코리아써키트</t>
        </is>
      </c>
      <c r="B340" s="6" t="inlineStr">
        <is>
          <t>007810</t>
        </is>
      </c>
      <c r="C340" s="6" t="inlineStr">
        <is>
          <t>연결</t>
        </is>
      </c>
      <c r="D340" s="6" t="inlineStr">
        <is>
          <t>2026Q2</t>
        </is>
      </c>
      <c r="E340" s="6" t="inlineStr"/>
      <c r="F340" s="7" t="inlineStr"/>
      <c r="G340" s="8" t="inlineStr"/>
      <c r="H340" s="8" t="inlineStr"/>
      <c r="I340" s="9" t="n">
        <v>354863</v>
      </c>
      <c r="J340" s="10" t="n">
        <v>-9066</v>
      </c>
      <c r="K340" s="10" t="n">
        <v>-4189</v>
      </c>
      <c r="L340" s="7" t="n">
        <v>375451</v>
      </c>
      <c r="M340" s="8" t="n">
        <v>-4597</v>
      </c>
      <c r="N340" s="8" t="n">
        <v>2012</v>
      </c>
      <c r="O340" s="9" t="n">
        <v>341348</v>
      </c>
      <c r="P340" s="10" t="n">
        <v>-9632</v>
      </c>
      <c r="Q340" s="10" t="n">
        <v>-12240</v>
      </c>
      <c r="R340" s="7" t="n">
        <v>335295</v>
      </c>
      <c r="S340" s="8" t="n">
        <v>-9859</v>
      </c>
      <c r="T340" s="8" t="n">
        <v>-114597</v>
      </c>
      <c r="U340" s="9" t="n">
        <v>354588</v>
      </c>
      <c r="V340" s="10" t="n">
        <v>-1667</v>
      </c>
      <c r="W340" s="10" t="n">
        <v>-2178</v>
      </c>
      <c r="X340" s="7" t="n">
        <v>331348</v>
      </c>
      <c r="Y340" s="8" t="n">
        <v>6156</v>
      </c>
      <c r="Z340" s="8" t="n">
        <v>4079</v>
      </c>
      <c r="AA340" s="9" t="n">
        <v>375652</v>
      </c>
      <c r="AB340" s="10" t="n">
        <v>13265</v>
      </c>
      <c r="AC340" s="10" t="n">
        <v>13629</v>
      </c>
      <c r="AD340" s="7" t="n">
        <v>448137</v>
      </c>
      <c r="AE340" s="8" t="n">
        <v>36062</v>
      </c>
      <c r="AF340" s="8" t="n">
        <v>38265</v>
      </c>
      <c r="AG340" s="9" t="n">
        <v>419901</v>
      </c>
      <c r="AH340" s="10" t="n">
        <v>26443</v>
      </c>
      <c r="AI340" s="10" t="n">
        <v>30138</v>
      </c>
      <c r="AJ340" s="11" t="n">
        <v>407180</v>
      </c>
      <c r="AK340" s="12" t="n">
        <v>19290</v>
      </c>
      <c r="AL340" s="12" t="n">
        <v>17622</v>
      </c>
      <c r="AM340" s="13" t="n">
        <v>-3</v>
      </c>
      <c r="AN340" s="13" t="n">
        <v>22.9</v>
      </c>
      <c r="AO340" s="13" t="n">
        <v>-27.1</v>
      </c>
      <c r="AP340" s="13" t="n">
        <v>213.4</v>
      </c>
    </row>
    <row r="341">
      <c r="A341" s="5" t="inlineStr">
        <is>
          <t>엠엑스로보틱스</t>
        </is>
      </c>
      <c r="B341" s="6" t="inlineStr">
        <is>
          <t>007820</t>
        </is>
      </c>
      <c r="C341" s="6" t="inlineStr">
        <is>
          <t>연결</t>
        </is>
      </c>
      <c r="D341" s="6" t="inlineStr">
        <is>
          <t>2026Q2</t>
        </is>
      </c>
      <c r="E341" s="6" t="inlineStr"/>
      <c r="F341" s="7" t="inlineStr"/>
      <c r="G341" s="8" t="inlineStr"/>
      <c r="H341" s="8" t="inlineStr"/>
      <c r="I341" s="9" t="n">
        <v>25474</v>
      </c>
      <c r="J341" s="10" t="n">
        <v>1205</v>
      </c>
      <c r="K341" s="10" t="n">
        <v>2890</v>
      </c>
      <c r="L341" s="7" t="n">
        <v>32346</v>
      </c>
      <c r="M341" s="8" t="n">
        <v>2090</v>
      </c>
      <c r="N341" s="8" t="n">
        <v>2982</v>
      </c>
      <c r="O341" s="9" t="n">
        <v>49496</v>
      </c>
      <c r="P341" s="10" t="n">
        <v>2140</v>
      </c>
      <c r="Q341" s="10" t="n">
        <v>141</v>
      </c>
      <c r="R341" s="7" t="n">
        <v>55912</v>
      </c>
      <c r="S341" s="8" t="n">
        <v>1621</v>
      </c>
      <c r="T341" s="8" t="n">
        <v>5402</v>
      </c>
      <c r="U341" s="9" t="n">
        <v>48107</v>
      </c>
      <c r="V341" s="10" t="n">
        <v>1985</v>
      </c>
      <c r="W341" s="10" t="n">
        <v>1865</v>
      </c>
      <c r="X341" s="7" t="n">
        <v>37842</v>
      </c>
      <c r="Y341" s="8" t="n">
        <v>268</v>
      </c>
      <c r="Z341" s="8" t="n">
        <v>-1472</v>
      </c>
      <c r="AA341" s="9" t="n">
        <v>33434</v>
      </c>
      <c r="AB341" s="10" t="n">
        <v>-3210</v>
      </c>
      <c r="AC341" s="10" t="n">
        <v>-2840</v>
      </c>
      <c r="AD341" s="7" t="n">
        <v>29711</v>
      </c>
      <c r="AE341" s="8" t="n">
        <v>-6994</v>
      </c>
      <c r="AF341" s="8" t="n">
        <v>-5724</v>
      </c>
      <c r="AG341" s="9" t="n">
        <v>25814</v>
      </c>
      <c r="AH341" s="10" t="n">
        <v>-1144</v>
      </c>
      <c r="AI341" s="10" t="n">
        <v>194</v>
      </c>
      <c r="AJ341" s="11" t="n">
        <v>28733</v>
      </c>
      <c r="AK341" s="12" t="n">
        <v>-1474</v>
      </c>
      <c r="AL341" s="12" t="n">
        <v>-848</v>
      </c>
      <c r="AM341" s="13" t="n">
        <v>11.3</v>
      </c>
      <c r="AN341" s="13" t="n">
        <v>-24.1</v>
      </c>
      <c r="AO341" s="13" t="n">
        <v>-28.8</v>
      </c>
      <c r="AP341" s="13" t="n">
        <v>-650</v>
      </c>
    </row>
    <row r="342">
      <c r="A342" s="5" t="inlineStr">
        <is>
          <t>서연</t>
        </is>
      </c>
      <c r="B342" s="6" t="inlineStr">
        <is>
          <t>007860</t>
        </is>
      </c>
      <c r="C342" s="6" t="inlineStr">
        <is>
          <t>연결</t>
        </is>
      </c>
      <c r="D342" s="6" t="inlineStr">
        <is>
          <t>2026Q2</t>
        </is>
      </c>
      <c r="E342" s="6" t="inlineStr"/>
      <c r="F342" s="7" t="inlineStr"/>
      <c r="G342" s="8" t="inlineStr"/>
      <c r="H342" s="8" t="inlineStr"/>
      <c r="I342" s="9" t="n">
        <v>1046721</v>
      </c>
      <c r="J342" s="10" t="n">
        <v>61094</v>
      </c>
      <c r="K342" s="10" t="n">
        <v>66116</v>
      </c>
      <c r="L342" s="7" t="n">
        <v>1147918</v>
      </c>
      <c r="M342" s="8" t="n">
        <v>70112</v>
      </c>
      <c r="N342" s="8" t="n">
        <v>53643</v>
      </c>
      <c r="O342" s="9" t="n">
        <v>1117781</v>
      </c>
      <c r="P342" s="10" t="n">
        <v>80555</v>
      </c>
      <c r="Q342" s="10" t="n">
        <v>41628</v>
      </c>
      <c r="R342" s="7" t="n">
        <v>1186360</v>
      </c>
      <c r="S342" s="8" t="n">
        <v>30177</v>
      </c>
      <c r="T342" s="8" t="n">
        <v>64343</v>
      </c>
      <c r="U342" s="9" t="n">
        <v>1166474</v>
      </c>
      <c r="V342" s="10" t="n">
        <v>53623</v>
      </c>
      <c r="W342" s="10" t="n">
        <v>25241</v>
      </c>
      <c r="X342" s="7" t="n">
        <v>1336692</v>
      </c>
      <c r="Y342" s="8" t="n">
        <v>62618</v>
      </c>
      <c r="Z342" s="8" t="n">
        <v>1826</v>
      </c>
      <c r="AA342" s="9" t="n">
        <v>1180576</v>
      </c>
      <c r="AB342" s="10" t="n">
        <v>68149</v>
      </c>
      <c r="AC342" s="10" t="n">
        <v>70309</v>
      </c>
      <c r="AD342" s="7" t="n">
        <v>1232331</v>
      </c>
      <c r="AE342" s="8" t="n">
        <v>15200</v>
      </c>
      <c r="AF342" s="8" t="n">
        <v>-3579</v>
      </c>
      <c r="AG342" s="9" t="n">
        <v>1283882</v>
      </c>
      <c r="AH342" s="10" t="n">
        <v>52474</v>
      </c>
      <c r="AI342" s="10" t="n">
        <v>53158</v>
      </c>
      <c r="AJ342" s="11" t="n">
        <v>1356857</v>
      </c>
      <c r="AK342" s="12" t="n">
        <v>66974</v>
      </c>
      <c r="AL342" s="12" t="n">
        <v>46812</v>
      </c>
      <c r="AM342" s="13" t="n">
        <v>5.7</v>
      </c>
      <c r="AN342" s="13" t="n">
        <v>1.5</v>
      </c>
      <c r="AO342" s="13" t="n">
        <v>27.6</v>
      </c>
      <c r="AP342" s="13" t="n">
        <v>7</v>
      </c>
    </row>
    <row r="343">
      <c r="A343" s="5" t="inlineStr">
        <is>
          <t>TP</t>
        </is>
      </c>
      <c r="B343" s="6" t="inlineStr">
        <is>
          <t>007980</t>
        </is>
      </c>
      <c r="C343" s="6" t="inlineStr">
        <is>
          <t>연결</t>
        </is>
      </c>
      <c r="D343" s="6" t="inlineStr">
        <is>
          <t>2026Q2</t>
        </is>
      </c>
      <c r="E343" s="6" t="inlineStr"/>
      <c r="F343" s="7" t="inlineStr"/>
      <c r="G343" s="8" t="inlineStr"/>
      <c r="H343" s="8" t="inlineStr"/>
      <c r="I343" s="9" t="n">
        <v>226650</v>
      </c>
      <c r="J343" s="10" t="n">
        <v>11642</v>
      </c>
      <c r="K343" s="10" t="n">
        <v>2982</v>
      </c>
      <c r="L343" s="7" t="n">
        <v>234236</v>
      </c>
      <c r="M343" s="8" t="n">
        <v>9312</v>
      </c>
      <c r="N343" s="8" t="n">
        <v>-1841</v>
      </c>
      <c r="O343" s="9" t="n">
        <v>361481</v>
      </c>
      <c r="P343" s="10" t="n">
        <v>28789</v>
      </c>
      <c r="Q343" s="10" t="n">
        <v>26693</v>
      </c>
      <c r="R343" s="7" t="n">
        <v>241784</v>
      </c>
      <c r="S343" s="8" t="n">
        <v>-811</v>
      </c>
      <c r="T343" s="8" t="n">
        <v>-5480</v>
      </c>
      <c r="U343" s="9" t="n">
        <v>257199</v>
      </c>
      <c r="V343" s="10" t="n">
        <v>15247</v>
      </c>
      <c r="W343" s="10" t="n">
        <v>8646</v>
      </c>
      <c r="X343" s="7" t="n">
        <v>258119</v>
      </c>
      <c r="Y343" s="8" t="n">
        <v>11355</v>
      </c>
      <c r="Z343" s="8" t="n">
        <v>9918</v>
      </c>
      <c r="AA343" s="9" t="n">
        <v>303447</v>
      </c>
      <c r="AB343" s="10" t="n">
        <v>25542</v>
      </c>
      <c r="AC343" s="10" t="n">
        <v>19072</v>
      </c>
      <c r="AD343" s="7" t="n">
        <v>210224</v>
      </c>
      <c r="AE343" s="8" t="n">
        <v>9862</v>
      </c>
      <c r="AF343" s="8" t="n">
        <v>334</v>
      </c>
      <c r="AG343" s="9" t="n">
        <v>248894</v>
      </c>
      <c r="AH343" s="10" t="n">
        <v>14665</v>
      </c>
      <c r="AI343" s="10" t="n">
        <v>12455</v>
      </c>
      <c r="AJ343" s="11" t="n">
        <v>274359</v>
      </c>
      <c r="AK343" s="12" t="n">
        <v>14010</v>
      </c>
      <c r="AL343" s="12" t="n">
        <v>4109</v>
      </c>
      <c r="AM343" s="13" t="n">
        <v>10.2</v>
      </c>
      <c r="AN343" s="13" t="n">
        <v>6.3</v>
      </c>
      <c r="AO343" s="13" t="n">
        <v>-4.5</v>
      </c>
      <c r="AP343" s="13" t="n">
        <v>23.4</v>
      </c>
    </row>
    <row r="344">
      <c r="A344" s="5" t="inlineStr">
        <is>
          <t>사조동아원</t>
        </is>
      </c>
      <c r="B344" s="6" t="inlineStr">
        <is>
          <t>008040</t>
        </is>
      </c>
      <c r="C344" s="6" t="inlineStr">
        <is>
          <t>별도</t>
        </is>
      </c>
      <c r="D344" s="6" t="inlineStr">
        <is>
          <t>2026Q2</t>
        </is>
      </c>
      <c r="E344" s="6" t="inlineStr"/>
      <c r="F344" s="7" t="inlineStr"/>
      <c r="G344" s="8" t="inlineStr"/>
      <c r="H344" s="8" t="inlineStr"/>
      <c r="I344" s="9" t="n">
        <v>164656</v>
      </c>
      <c r="J344" s="10" t="n">
        <v>14677</v>
      </c>
      <c r="K344" s="10" t="n">
        <v>9361</v>
      </c>
      <c r="L344" s="7" t="n">
        <v>177332</v>
      </c>
      <c r="M344" s="8" t="n">
        <v>13655</v>
      </c>
      <c r="N344" s="8" t="n">
        <v>9114</v>
      </c>
      <c r="O344" s="9" t="n">
        <v>174081</v>
      </c>
      <c r="P344" s="10" t="n">
        <v>12259</v>
      </c>
      <c r="Q344" s="10" t="n">
        <v>7834</v>
      </c>
      <c r="R344" s="7" t="n">
        <v>162080</v>
      </c>
      <c r="S344" s="8" t="n">
        <v>9430</v>
      </c>
      <c r="T344" s="8" t="n">
        <v>-2047</v>
      </c>
      <c r="U344" s="9" t="n">
        <v>160369</v>
      </c>
      <c r="V344" s="10" t="n">
        <v>10210</v>
      </c>
      <c r="W344" s="10" t="n">
        <v>7455</v>
      </c>
      <c r="X344" s="7" t="n">
        <v>170988</v>
      </c>
      <c r="Y344" s="8" t="n">
        <v>11133</v>
      </c>
      <c r="Z344" s="8" t="n">
        <v>11404</v>
      </c>
      <c r="AA344" s="9" t="n">
        <v>181954</v>
      </c>
      <c r="AB344" s="10" t="n">
        <v>11731</v>
      </c>
      <c r="AC344" s="10" t="n">
        <v>8094</v>
      </c>
      <c r="AD344" s="7" t="n">
        <v>160953</v>
      </c>
      <c r="AE344" s="8" t="n">
        <v>9395</v>
      </c>
      <c r="AF344" s="8" t="n">
        <v>-164216</v>
      </c>
      <c r="AG344" s="9" t="n">
        <v>155441</v>
      </c>
      <c r="AH344" s="10" t="n">
        <v>6159</v>
      </c>
      <c r="AI344" s="10" t="n">
        <v>4908</v>
      </c>
      <c r="AJ344" s="11" t="n">
        <v>168496</v>
      </c>
      <c r="AK344" s="12" t="n">
        <v>4786</v>
      </c>
      <c r="AL344" s="12" t="n">
        <v>-13061</v>
      </c>
      <c r="AM344" s="13" t="n">
        <v>8.4</v>
      </c>
      <c r="AN344" s="13" t="n">
        <v>-1.5</v>
      </c>
      <c r="AO344" s="13" t="n">
        <v>-22.3</v>
      </c>
      <c r="AP344" s="13" t="n">
        <v>-57</v>
      </c>
    </row>
    <row r="345">
      <c r="A345" s="5" t="inlineStr">
        <is>
          <t>대덕</t>
        </is>
      </c>
      <c r="B345" s="6" t="inlineStr">
        <is>
          <t>008060</t>
        </is>
      </c>
      <c r="C345" s="6" t="inlineStr">
        <is>
          <t>연결</t>
        </is>
      </c>
      <c r="D345" s="6" t="inlineStr">
        <is>
          <t>2026Q2</t>
        </is>
      </c>
      <c r="E345" s="6" t="inlineStr"/>
      <c r="F345" s="7" t="inlineStr"/>
      <c r="G345" s="8" t="inlineStr"/>
      <c r="H345" s="8" t="inlineStr"/>
      <c r="I345" s="9" t="n">
        <v>325641</v>
      </c>
      <c r="J345" s="10" t="n">
        <v>2766</v>
      </c>
      <c r="K345" s="10" t="n">
        <v>10339</v>
      </c>
      <c r="L345" s="7" t="n">
        <v>331184</v>
      </c>
      <c r="M345" s="8" t="n">
        <v>11315</v>
      </c>
      <c r="N345" s="8" t="n">
        <v>19478</v>
      </c>
      <c r="O345" s="9" t="n">
        <v>318718</v>
      </c>
      <c r="P345" s="10" t="n">
        <v>4314</v>
      </c>
      <c r="Q345" s="10" t="n">
        <v>2350</v>
      </c>
      <c r="R345" s="7" t="n">
        <v>291652</v>
      </c>
      <c r="S345" s="8" t="n">
        <v>-9978</v>
      </c>
      <c r="T345" s="8" t="n">
        <v>10798</v>
      </c>
      <c r="U345" s="9" t="n">
        <v>300769</v>
      </c>
      <c r="V345" s="10" t="n">
        <v>-17591</v>
      </c>
      <c r="W345" s="10" t="n">
        <v>-11154</v>
      </c>
      <c r="X345" s="7" t="n">
        <v>323844</v>
      </c>
      <c r="Y345" s="8" t="n">
        <v>-19751</v>
      </c>
      <c r="Z345" s="8" t="n">
        <v>-8496</v>
      </c>
      <c r="AA345" s="9" t="n">
        <v>367283</v>
      </c>
      <c r="AB345" s="10" t="n">
        <v>20967</v>
      </c>
      <c r="AC345" s="10" t="n">
        <v>22431</v>
      </c>
      <c r="AD345" s="7" t="n">
        <v>393094</v>
      </c>
      <c r="AE345" s="8" t="n">
        <v>27688</v>
      </c>
      <c r="AF345" s="8" t="n">
        <v>3445</v>
      </c>
      <c r="AG345" s="9" t="n">
        <v>442600</v>
      </c>
      <c r="AH345" s="10" t="n">
        <v>53262</v>
      </c>
      <c r="AI345" s="10" t="n">
        <v>50895</v>
      </c>
      <c r="AJ345" s="11" t="n">
        <v>481519</v>
      </c>
      <c r="AK345" s="12" t="n">
        <v>67413</v>
      </c>
      <c r="AL345" s="12" t="n">
        <v>58252</v>
      </c>
      <c r="AM345" s="13" t="n">
        <v>8.800000000000001</v>
      </c>
      <c r="AN345" s="13" t="n">
        <v>48.7</v>
      </c>
      <c r="AO345" s="13" t="n">
        <v>26.6</v>
      </c>
      <c r="AP345" s="13" t="n">
        <v>441.3</v>
      </c>
    </row>
    <row r="346">
      <c r="A346" s="5" t="inlineStr">
        <is>
          <t>이건산업</t>
        </is>
      </c>
      <c r="B346" s="6" t="inlineStr">
        <is>
          <t>008250</t>
        </is>
      </c>
      <c r="C346" s="6" t="inlineStr">
        <is>
          <t>연결</t>
        </is>
      </c>
      <c r="D346" s="6" t="inlineStr">
        <is>
          <t>2026Q2</t>
        </is>
      </c>
      <c r="E346" s="6" t="inlineStr"/>
      <c r="F346" s="7" t="inlineStr"/>
      <c r="G346" s="8" t="inlineStr"/>
      <c r="H346" s="8" t="inlineStr"/>
      <c r="I346" s="9" t="n">
        <v>75730</v>
      </c>
      <c r="J346" s="10" t="n">
        <v>1680</v>
      </c>
      <c r="K346" s="10" t="n">
        <v>-740</v>
      </c>
      <c r="L346" s="7" t="n">
        <v>79031</v>
      </c>
      <c r="M346" s="8" t="n">
        <v>3430</v>
      </c>
      <c r="N346" s="8" t="n">
        <v>420</v>
      </c>
      <c r="O346" s="9" t="n">
        <v>79556</v>
      </c>
      <c r="P346" s="10" t="n">
        <v>2734</v>
      </c>
      <c r="Q346" s="10" t="n">
        <v>144</v>
      </c>
      <c r="R346" s="7" t="n">
        <v>92656</v>
      </c>
      <c r="S346" s="8" t="n">
        <v>5947</v>
      </c>
      <c r="T346" s="8" t="n">
        <v>-1750</v>
      </c>
      <c r="U346" s="9" t="n">
        <v>77537</v>
      </c>
      <c r="V346" s="10" t="n">
        <v>881</v>
      </c>
      <c r="W346" s="10" t="n">
        <v>-1154</v>
      </c>
      <c r="X346" s="7" t="n">
        <v>75598</v>
      </c>
      <c r="Y346" s="8" t="n">
        <v>1450</v>
      </c>
      <c r="Z346" s="8" t="n">
        <v>-760</v>
      </c>
      <c r="AA346" s="9" t="n">
        <v>76971</v>
      </c>
      <c r="AB346" s="10" t="n">
        <v>30</v>
      </c>
      <c r="AC346" s="10" t="n">
        <v>-2398</v>
      </c>
      <c r="AD346" s="7" t="n">
        <v>67204</v>
      </c>
      <c r="AE346" s="8" t="n">
        <v>-6190</v>
      </c>
      <c r="AF346" s="8" t="n">
        <v>-9867</v>
      </c>
      <c r="AG346" s="9" t="n">
        <v>65138</v>
      </c>
      <c r="AH346" s="10" t="n">
        <v>1148</v>
      </c>
      <c r="AI346" s="10" t="n">
        <v>-511</v>
      </c>
      <c r="AJ346" s="11" t="n">
        <v>64635</v>
      </c>
      <c r="AK346" s="12" t="n">
        <v>1411</v>
      </c>
      <c r="AL346" s="12" t="n">
        <v>-8</v>
      </c>
      <c r="AM346" s="13" t="n">
        <v>-0.8</v>
      </c>
      <c r="AN346" s="13" t="n">
        <v>-14.5</v>
      </c>
      <c r="AO346" s="13" t="n">
        <v>22.9</v>
      </c>
      <c r="AP346" s="13" t="n">
        <v>-2.7</v>
      </c>
    </row>
    <row r="347">
      <c r="A347" s="5" t="inlineStr">
        <is>
          <t>NI스틸</t>
        </is>
      </c>
      <c r="B347" s="6" t="inlineStr">
        <is>
          <t>008260</t>
        </is>
      </c>
      <c r="C347" s="6" t="inlineStr">
        <is>
          <t>별도</t>
        </is>
      </c>
      <c r="D347" s="6" t="inlineStr">
        <is>
          <t>2026Q2</t>
        </is>
      </c>
      <c r="E347" s="6" t="inlineStr">
        <is>
          <t>2023Q4</t>
        </is>
      </c>
      <c r="F347" s="14" t="n">
        <v>382911</v>
      </c>
      <c r="G347" s="15" t="n">
        <v>70585</v>
      </c>
      <c r="H347" s="15" t="n">
        <v>50149</v>
      </c>
      <c r="I347" s="9" t="n">
        <v>76712</v>
      </c>
      <c r="J347" s="10" t="n">
        <v>13440</v>
      </c>
      <c r="K347" s="10" t="n">
        <v>9728</v>
      </c>
      <c r="L347" s="7" t="n">
        <v>79826</v>
      </c>
      <c r="M347" s="8" t="n">
        <v>11819</v>
      </c>
      <c r="N347" s="8" t="n">
        <v>9463</v>
      </c>
      <c r="O347" s="9" t="n">
        <v>56348</v>
      </c>
      <c r="P347" s="10" t="n">
        <v>6066</v>
      </c>
      <c r="Q347" s="10" t="n">
        <v>3012</v>
      </c>
      <c r="R347" s="7" t="n">
        <v>62388</v>
      </c>
      <c r="S347" s="8" t="n">
        <v>5808</v>
      </c>
      <c r="T347" s="8" t="n">
        <v>3519</v>
      </c>
      <c r="U347" s="9" t="n">
        <v>53889</v>
      </c>
      <c r="V347" s="10" t="n">
        <v>6690</v>
      </c>
      <c r="W347" s="10" t="n">
        <v>3925</v>
      </c>
      <c r="X347" s="7" t="n">
        <v>63016</v>
      </c>
      <c r="Y347" s="8" t="n">
        <v>7522</v>
      </c>
      <c r="Z347" s="8" t="n">
        <v>5142</v>
      </c>
      <c r="AA347" s="9" t="n">
        <v>65196</v>
      </c>
      <c r="AB347" s="10" t="n">
        <v>8195</v>
      </c>
      <c r="AC347" s="10" t="n">
        <v>5252</v>
      </c>
      <c r="AD347" s="7" t="n">
        <v>65842</v>
      </c>
      <c r="AE347" s="8" t="n">
        <v>7708</v>
      </c>
      <c r="AF347" s="8" t="n">
        <v>4652</v>
      </c>
      <c r="AG347" s="9" t="n">
        <v>56623</v>
      </c>
      <c r="AH347" s="10" t="n">
        <v>6499</v>
      </c>
      <c r="AI347" s="10" t="n">
        <v>3846</v>
      </c>
      <c r="AJ347" s="11" t="n">
        <v>76243</v>
      </c>
      <c r="AK347" s="12" t="n">
        <v>7911</v>
      </c>
      <c r="AL347" s="12" t="n">
        <v>4732</v>
      </c>
      <c r="AM347" s="13" t="n">
        <v>34.7</v>
      </c>
      <c r="AN347" s="13" t="n">
        <v>21</v>
      </c>
      <c r="AO347" s="13" t="n">
        <v>21.7</v>
      </c>
      <c r="AP347" s="13" t="n">
        <v>5.2</v>
      </c>
    </row>
    <row r="348">
      <c r="A348" s="5" t="inlineStr">
        <is>
          <t>원풍물산</t>
        </is>
      </c>
      <c r="B348" s="6" t="inlineStr">
        <is>
          <t>008290</t>
        </is>
      </c>
      <c r="C348" s="6" t="inlineStr">
        <is>
          <t>별도</t>
        </is>
      </c>
      <c r="D348" s="6" t="inlineStr">
        <is>
          <t>2026Q2</t>
        </is>
      </c>
      <c r="E348" s="6" t="inlineStr"/>
      <c r="F348" s="7" t="inlineStr"/>
      <c r="G348" s="8" t="inlineStr"/>
      <c r="H348" s="8" t="inlineStr"/>
      <c r="I348" s="9" t="n">
        <v>7243</v>
      </c>
      <c r="J348" s="10" t="n">
        <v>72</v>
      </c>
      <c r="K348" s="10" t="n">
        <v>-137</v>
      </c>
      <c r="L348" s="7" t="n">
        <v>6031</v>
      </c>
      <c r="M348" s="8" t="n">
        <v>-1231</v>
      </c>
      <c r="N348" s="8" t="n">
        <v>-1629</v>
      </c>
      <c r="O348" s="9" t="n">
        <v>3555</v>
      </c>
      <c r="P348" s="10" t="n">
        <v>-1136</v>
      </c>
      <c r="Q348" s="10" t="n">
        <v>-1292</v>
      </c>
      <c r="R348" s="7" t="n">
        <v>5893</v>
      </c>
      <c r="S348" s="8" t="n">
        <v>-2404</v>
      </c>
      <c r="T348" s="8" t="n">
        <v>904</v>
      </c>
      <c r="U348" s="9" t="n">
        <v>5262</v>
      </c>
      <c r="V348" s="10" t="n">
        <v>-926</v>
      </c>
      <c r="W348" s="10" t="n">
        <v>-1110</v>
      </c>
      <c r="X348" s="7" t="n">
        <v>4040</v>
      </c>
      <c r="Y348" s="8" t="n">
        <v>-1381</v>
      </c>
      <c r="Z348" s="8" t="n">
        <v>-1576</v>
      </c>
      <c r="AA348" s="9" t="n">
        <v>2381</v>
      </c>
      <c r="AB348" s="10" t="n">
        <v>-1415</v>
      </c>
      <c r="AC348" s="10" t="n">
        <v>-1382</v>
      </c>
      <c r="AD348" s="7" t="n">
        <v>5252</v>
      </c>
      <c r="AE348" s="8" t="n">
        <v>-3477</v>
      </c>
      <c r="AF348" s="8" t="n">
        <v>-3507</v>
      </c>
      <c r="AG348" s="9" t="n">
        <v>4437</v>
      </c>
      <c r="AH348" s="10" t="n">
        <v>-775</v>
      </c>
      <c r="AI348" s="10" t="n">
        <v>-760</v>
      </c>
      <c r="AJ348" s="11" t="n">
        <v>3197</v>
      </c>
      <c r="AK348" s="12" t="n">
        <v>-670</v>
      </c>
      <c r="AL348" s="12" t="n">
        <v>-662</v>
      </c>
      <c r="AM348" s="13" t="n">
        <v>-27.9</v>
      </c>
      <c r="AN348" s="13" t="n">
        <v>-20.9</v>
      </c>
      <c r="AO348" s="13" t="n">
        <v>13.5</v>
      </c>
      <c r="AP348" s="13" t="n">
        <v>51.5</v>
      </c>
    </row>
    <row r="349">
      <c r="A349" s="5" t="inlineStr">
        <is>
          <t>카나프테라퓨틱스</t>
        </is>
      </c>
      <c r="B349" s="6" t="inlineStr">
        <is>
          <t>0082N0</t>
        </is>
      </c>
      <c r="C349" s="6" t="inlineStr">
        <is>
          <t>별도</t>
        </is>
      </c>
      <c r="D349" s="6" t="inlineStr">
        <is>
          <t>2026Q2</t>
        </is>
      </c>
      <c r="E349" s="6" t="inlineStr"/>
      <c r="F349" s="7" t="inlineStr"/>
      <c r="G349" s="8" t="inlineStr"/>
      <c r="H349" s="8" t="inlineStr"/>
      <c r="I349" s="9" t="inlineStr"/>
      <c r="J349" s="10" t="inlineStr"/>
      <c r="K349" s="10" t="inlineStr"/>
      <c r="L349" s="7" t="inlineStr"/>
      <c r="M349" s="8" t="inlineStr"/>
      <c r="N349" s="8" t="inlineStr"/>
      <c r="O349" s="9" t="inlineStr"/>
      <c r="P349" s="10" t="inlineStr"/>
      <c r="Q349" s="10" t="inlineStr"/>
      <c r="R349" s="7" t="inlineStr"/>
      <c r="S349" s="8" t="inlineStr"/>
      <c r="T349" s="8" t="inlineStr"/>
      <c r="U349" s="9" t="inlineStr"/>
      <c r="V349" s="10" t="inlineStr"/>
      <c r="W349" s="10" t="inlineStr"/>
      <c r="X349" s="7" t="inlineStr"/>
      <c r="Y349" s="8" t="inlineStr"/>
      <c r="Z349" s="8" t="inlineStr"/>
      <c r="AA349" s="9" t="inlineStr"/>
      <c r="AB349" s="10" t="inlineStr"/>
      <c r="AC349" s="10" t="inlineStr"/>
      <c r="AD349" s="7" t="inlineStr"/>
      <c r="AE349" s="8" t="inlineStr"/>
      <c r="AF349" s="8" t="inlineStr"/>
      <c r="AG349" s="9" t="n">
        <v>78</v>
      </c>
      <c r="AH349" s="10" t="n">
        <v>-5422</v>
      </c>
      <c r="AI349" s="10" t="n">
        <v>-5322</v>
      </c>
      <c r="AJ349" s="11" t="n">
        <v>75</v>
      </c>
      <c r="AK349" s="12" t="n">
        <v>-4696</v>
      </c>
      <c r="AL349" s="12" t="n">
        <v>-4343</v>
      </c>
      <c r="AM349" s="13" t="n">
        <v>-3.8</v>
      </c>
      <c r="AN349" s="13" t="inlineStr"/>
      <c r="AO349" s="13" t="n">
        <v>13.4</v>
      </c>
      <c r="AP349" s="13" t="inlineStr"/>
    </row>
    <row r="350">
      <c r="A350" s="5" t="inlineStr">
        <is>
          <t>남선알미늄</t>
        </is>
      </c>
      <c r="B350" s="6" t="inlineStr">
        <is>
          <t>008350</t>
        </is>
      </c>
      <c r="C350" s="6" t="inlineStr">
        <is>
          <t>연결</t>
        </is>
      </c>
      <c r="D350" s="6" t="inlineStr">
        <is>
          <t>2026Q2</t>
        </is>
      </c>
      <c r="E350" s="6" t="inlineStr"/>
      <c r="F350" s="7" t="inlineStr"/>
      <c r="G350" s="8" t="inlineStr"/>
      <c r="H350" s="8" t="inlineStr"/>
      <c r="I350" s="9" t="n">
        <v>73185</v>
      </c>
      <c r="J350" s="10" t="n">
        <v>2125</v>
      </c>
      <c r="K350" s="10" t="n">
        <v>206</v>
      </c>
      <c r="L350" s="7" t="n">
        <v>78142</v>
      </c>
      <c r="M350" s="8" t="n">
        <v>2350</v>
      </c>
      <c r="N350" s="8" t="n">
        <v>8051</v>
      </c>
      <c r="O350" s="9" t="n">
        <v>60683</v>
      </c>
      <c r="P350" s="10" t="n">
        <v>-656</v>
      </c>
      <c r="Q350" s="10" t="n">
        <v>8503</v>
      </c>
      <c r="R350" s="7" t="n">
        <v>77529</v>
      </c>
      <c r="S350" s="8" t="n">
        <v>1006</v>
      </c>
      <c r="T350" s="8" t="n">
        <v>-43485</v>
      </c>
      <c r="U350" s="9" t="n">
        <v>63683</v>
      </c>
      <c r="V350" s="10" t="n">
        <v>542</v>
      </c>
      <c r="W350" s="10" t="n">
        <v>6565</v>
      </c>
      <c r="X350" s="7" t="n">
        <v>73700</v>
      </c>
      <c r="Y350" s="8" t="n">
        <v>1182</v>
      </c>
      <c r="Z350" s="8" t="n">
        <v>6178</v>
      </c>
      <c r="AA350" s="9" t="n">
        <v>53555</v>
      </c>
      <c r="AB350" s="10" t="n">
        <v>-4306</v>
      </c>
      <c r="AC350" s="10" t="n">
        <v>-3862</v>
      </c>
      <c r="AD350" s="7" t="n">
        <v>67984</v>
      </c>
      <c r="AE350" s="8" t="n">
        <v>-684</v>
      </c>
      <c r="AF350" s="8" t="n">
        <v>-5246</v>
      </c>
      <c r="AG350" s="9" t="n">
        <v>63121</v>
      </c>
      <c r="AH350" s="10" t="n">
        <v>-1720</v>
      </c>
      <c r="AI350" s="10" t="n">
        <v>-1080</v>
      </c>
      <c r="AJ350" s="11" t="n">
        <v>82818</v>
      </c>
      <c r="AK350" s="12" t="n">
        <v>-930</v>
      </c>
      <c r="AL350" s="12" t="n">
        <v>-783</v>
      </c>
      <c r="AM350" s="13" t="n">
        <v>31.2</v>
      </c>
      <c r="AN350" s="13" t="n">
        <v>12.4</v>
      </c>
      <c r="AO350" s="13" t="n">
        <v>45.9</v>
      </c>
      <c r="AP350" s="13" t="n">
        <v>-178.7</v>
      </c>
    </row>
    <row r="351">
      <c r="A351" s="5" t="inlineStr">
        <is>
          <t>원풍</t>
        </is>
      </c>
      <c r="B351" s="6" t="inlineStr">
        <is>
          <t>008370</t>
        </is>
      </c>
      <c r="C351" s="6" t="inlineStr">
        <is>
          <t>별도</t>
        </is>
      </c>
      <c r="D351" s="6" t="inlineStr">
        <is>
          <t>2026Q2</t>
        </is>
      </c>
      <c r="E351" s="6" t="inlineStr"/>
      <c r="F351" s="7" t="inlineStr"/>
      <c r="G351" s="8" t="inlineStr"/>
      <c r="H351" s="8" t="inlineStr"/>
      <c r="I351" s="9" t="n">
        <v>21503</v>
      </c>
      <c r="J351" s="10" t="n">
        <v>2261</v>
      </c>
      <c r="K351" s="10" t="n">
        <v>2673</v>
      </c>
      <c r="L351" s="7" t="n">
        <v>21859</v>
      </c>
      <c r="M351" s="8" t="n">
        <v>2245</v>
      </c>
      <c r="N351" s="8" t="n">
        <v>2560</v>
      </c>
      <c r="O351" s="9" t="n">
        <v>19403</v>
      </c>
      <c r="P351" s="10" t="n">
        <v>974</v>
      </c>
      <c r="Q351" s="10" t="n">
        <v>678</v>
      </c>
      <c r="R351" s="7" t="n">
        <v>16844</v>
      </c>
      <c r="S351" s="8" t="n">
        <v>-932</v>
      </c>
      <c r="T351" s="8" t="n">
        <v>1195</v>
      </c>
      <c r="U351" s="9" t="n">
        <v>23788</v>
      </c>
      <c r="V351" s="10" t="n">
        <v>3074</v>
      </c>
      <c r="W351" s="10" t="n">
        <v>2744</v>
      </c>
      <c r="X351" s="7" t="n">
        <v>24084</v>
      </c>
      <c r="Y351" s="8" t="n">
        <v>2079</v>
      </c>
      <c r="Z351" s="8" t="n">
        <v>1558</v>
      </c>
      <c r="AA351" s="9" t="n">
        <v>20863</v>
      </c>
      <c r="AB351" s="10" t="n">
        <v>979</v>
      </c>
      <c r="AC351" s="10" t="n">
        <v>1349</v>
      </c>
      <c r="AD351" s="7" t="n">
        <v>18900</v>
      </c>
      <c r="AE351" s="8" t="n">
        <v>464</v>
      </c>
      <c r="AF351" s="8" t="n">
        <v>1391</v>
      </c>
      <c r="AG351" s="9" t="n">
        <v>23301</v>
      </c>
      <c r="AH351" s="10" t="n">
        <v>3224</v>
      </c>
      <c r="AI351" s="10" t="n">
        <v>3772</v>
      </c>
      <c r="AJ351" s="11" t="n">
        <v>23484</v>
      </c>
      <c r="AK351" s="12" t="n">
        <v>2359</v>
      </c>
      <c r="AL351" s="12" t="n">
        <v>2919</v>
      </c>
      <c r="AM351" s="13" t="n">
        <v>0.8</v>
      </c>
      <c r="AN351" s="13" t="n">
        <v>-2.5</v>
      </c>
      <c r="AO351" s="13" t="n">
        <v>-26.8</v>
      </c>
      <c r="AP351" s="13" t="n">
        <v>13.5</v>
      </c>
    </row>
    <row r="352">
      <c r="A352" s="5" t="inlineStr">
        <is>
          <t>문배철강</t>
        </is>
      </c>
      <c r="B352" s="6" t="inlineStr">
        <is>
          <t>008420</t>
        </is>
      </c>
      <c r="C352" s="6" t="inlineStr">
        <is>
          <t>별도</t>
        </is>
      </c>
      <c r="D352" s="6" t="inlineStr">
        <is>
          <t>2026Q2</t>
        </is>
      </c>
      <c r="E352" s="6" t="inlineStr"/>
      <c r="F352" s="7" t="inlineStr"/>
      <c r="G352" s="8" t="inlineStr"/>
      <c r="H352" s="8" t="inlineStr"/>
      <c r="I352" s="9" t="n">
        <v>36004</v>
      </c>
      <c r="J352" s="10" t="n">
        <v>70</v>
      </c>
      <c r="K352" s="10" t="n">
        <v>4428</v>
      </c>
      <c r="L352" s="7" t="n">
        <v>33516</v>
      </c>
      <c r="M352" s="8" t="n">
        <v>-1618</v>
      </c>
      <c r="N352" s="8" t="n">
        <v>2947</v>
      </c>
      <c r="O352" s="9" t="n">
        <v>32576</v>
      </c>
      <c r="P352" s="10" t="n">
        <v>-1126</v>
      </c>
      <c r="Q352" s="10" t="n">
        <v>-123</v>
      </c>
      <c r="R352" s="7" t="n">
        <v>38111</v>
      </c>
      <c r="S352" s="8" t="n">
        <v>543</v>
      </c>
      <c r="T352" s="8" t="n">
        <v>-635</v>
      </c>
      <c r="U352" s="9" t="n">
        <v>33165</v>
      </c>
      <c r="V352" s="10" t="n">
        <v>-528</v>
      </c>
      <c r="W352" s="10" t="n">
        <v>442</v>
      </c>
      <c r="X352" s="7" t="n">
        <v>32002</v>
      </c>
      <c r="Y352" s="8" t="n">
        <v>-383</v>
      </c>
      <c r="Z352" s="8" t="n">
        <v>2345</v>
      </c>
      <c r="AA352" s="9" t="n">
        <v>35396</v>
      </c>
      <c r="AB352" s="10" t="n">
        <v>341</v>
      </c>
      <c r="AC352" s="10" t="n">
        <v>1834</v>
      </c>
      <c r="AD352" s="7" t="n">
        <v>37312</v>
      </c>
      <c r="AE352" s="8" t="n">
        <v>-389</v>
      </c>
      <c r="AF352" s="8" t="n">
        <v>1244</v>
      </c>
      <c r="AG352" s="9" t="n">
        <v>38414</v>
      </c>
      <c r="AH352" s="10" t="n">
        <v>171</v>
      </c>
      <c r="AI352" s="10" t="n">
        <v>1264</v>
      </c>
      <c r="AJ352" s="11" t="n">
        <v>40573</v>
      </c>
      <c r="AK352" s="12" t="n">
        <v>2044</v>
      </c>
      <c r="AL352" s="12" t="n">
        <v>3559</v>
      </c>
      <c r="AM352" s="13" t="n">
        <v>5.6</v>
      </c>
      <c r="AN352" s="13" t="n">
        <v>26.8</v>
      </c>
      <c r="AO352" s="13" t="n">
        <v>1095.3</v>
      </c>
      <c r="AP352" s="13" t="n">
        <v>633.7</v>
      </c>
    </row>
    <row r="353">
      <c r="A353" s="5" t="inlineStr">
        <is>
          <t>부스타</t>
        </is>
      </c>
      <c r="B353" s="6" t="inlineStr">
        <is>
          <t>008470</t>
        </is>
      </c>
      <c r="C353" s="6" t="inlineStr">
        <is>
          <t>연결</t>
        </is>
      </c>
      <c r="D353" s="6" t="inlineStr">
        <is>
          <t>2026Q2</t>
        </is>
      </c>
      <c r="E353" s="6" t="inlineStr"/>
      <c r="F353" s="7" t="inlineStr"/>
      <c r="G353" s="8" t="inlineStr"/>
      <c r="H353" s="8" t="inlineStr"/>
      <c r="I353" s="9" t="n">
        <v>19844</v>
      </c>
      <c r="J353" s="10" t="n">
        <v>-2139</v>
      </c>
      <c r="K353" s="10" t="n">
        <v>-1740</v>
      </c>
      <c r="L353" s="7" t="n">
        <v>25565</v>
      </c>
      <c r="M353" s="8" t="n">
        <v>961</v>
      </c>
      <c r="N353" s="8" t="n">
        <v>1036</v>
      </c>
      <c r="O353" s="9" t="n">
        <v>29043</v>
      </c>
      <c r="P353" s="10" t="n">
        <v>1019</v>
      </c>
      <c r="Q353" s="10" t="n">
        <v>909</v>
      </c>
      <c r="R353" s="7" t="n">
        <v>31731</v>
      </c>
      <c r="S353" s="8" t="n">
        <v>391</v>
      </c>
      <c r="T353" s="8" t="n">
        <v>1485</v>
      </c>
      <c r="U353" s="9" t="n">
        <v>28845</v>
      </c>
      <c r="V353" s="10" t="n">
        <v>-57</v>
      </c>
      <c r="W353" s="10" t="n">
        <v>415</v>
      </c>
      <c r="X353" s="7" t="n">
        <v>31781</v>
      </c>
      <c r="Y353" s="8" t="n">
        <v>1327</v>
      </c>
      <c r="Z353" s="8" t="n">
        <v>-193</v>
      </c>
      <c r="AA353" s="9" t="n">
        <v>31660</v>
      </c>
      <c r="AB353" s="10" t="n">
        <v>995</v>
      </c>
      <c r="AC353" s="10" t="n">
        <v>1285</v>
      </c>
      <c r="AD353" s="7" t="n">
        <v>28475</v>
      </c>
      <c r="AE353" s="8" t="n">
        <v>-452</v>
      </c>
      <c r="AF353" s="8" t="n">
        <v>53</v>
      </c>
      <c r="AG353" s="9" t="n">
        <v>25328</v>
      </c>
      <c r="AH353" s="10" t="n">
        <v>-1029</v>
      </c>
      <c r="AI353" s="10" t="n">
        <v>-97</v>
      </c>
      <c r="AJ353" s="11" t="n">
        <v>26874</v>
      </c>
      <c r="AK353" s="12" t="n">
        <v>-425</v>
      </c>
      <c r="AL353" s="12" t="n">
        <v>-1608</v>
      </c>
      <c r="AM353" s="13" t="n">
        <v>6.1</v>
      </c>
      <c r="AN353" s="13" t="n">
        <v>-15.4</v>
      </c>
      <c r="AO353" s="13" t="n">
        <v>58.7</v>
      </c>
      <c r="AP353" s="13" t="n">
        <v>-132</v>
      </c>
    </row>
    <row r="354">
      <c r="A354" s="5" t="inlineStr">
        <is>
          <t>서흥</t>
        </is>
      </c>
      <c r="B354" s="6" t="inlineStr">
        <is>
          <t>008490</t>
        </is>
      </c>
      <c r="C354" s="6" t="inlineStr">
        <is>
          <t>연결</t>
        </is>
      </c>
      <c r="D354" s="6" t="inlineStr">
        <is>
          <t>2026Q2</t>
        </is>
      </c>
      <c r="E354" s="6" t="inlineStr"/>
      <c r="F354" s="7" t="inlineStr"/>
      <c r="G354" s="8" t="inlineStr"/>
      <c r="H354" s="8" t="inlineStr"/>
      <c r="I354" s="9" t="n">
        <v>165340</v>
      </c>
      <c r="J354" s="10" t="n">
        <v>12087</v>
      </c>
      <c r="K354" s="10" t="n">
        <v>6407</v>
      </c>
      <c r="L354" s="7" t="n">
        <v>172765</v>
      </c>
      <c r="M354" s="8" t="n">
        <v>10958</v>
      </c>
      <c r="N354" s="8" t="n">
        <v>3011</v>
      </c>
      <c r="O354" s="9" t="n">
        <v>166593</v>
      </c>
      <c r="P354" s="10" t="n">
        <v>7429</v>
      </c>
      <c r="Q354" s="10" t="n">
        <v>10689</v>
      </c>
      <c r="R354" s="7" t="n">
        <v>148566</v>
      </c>
      <c r="S354" s="8" t="n">
        <v>3369</v>
      </c>
      <c r="T354" s="8" t="n">
        <v>1446</v>
      </c>
      <c r="U354" s="9" t="n">
        <v>180841</v>
      </c>
      <c r="V354" s="10" t="n">
        <v>11554</v>
      </c>
      <c r="W354" s="10" t="n">
        <v>6633</v>
      </c>
      <c r="X354" s="7" t="n">
        <v>190021</v>
      </c>
      <c r="Y354" s="8" t="n">
        <v>20123</v>
      </c>
      <c r="Z354" s="8" t="n">
        <v>23943</v>
      </c>
      <c r="AA354" s="9" t="n">
        <v>185046</v>
      </c>
      <c r="AB354" s="10" t="n">
        <v>13709</v>
      </c>
      <c r="AC354" s="10" t="n">
        <v>10407</v>
      </c>
      <c r="AD354" s="7" t="n">
        <v>166401</v>
      </c>
      <c r="AE354" s="8" t="n">
        <v>4820</v>
      </c>
      <c r="AF354" s="8" t="n">
        <v>6159</v>
      </c>
      <c r="AG354" s="9" t="n">
        <v>201552</v>
      </c>
      <c r="AH354" s="10" t="n">
        <v>21235</v>
      </c>
      <c r="AI354" s="10" t="n">
        <v>14521</v>
      </c>
      <c r="AJ354" s="11" t="n">
        <v>212900</v>
      </c>
      <c r="AK354" s="12" t="n">
        <v>22492</v>
      </c>
      <c r="AL354" s="12" t="n">
        <v>16566</v>
      </c>
      <c r="AM354" s="13" t="n">
        <v>5.6</v>
      </c>
      <c r="AN354" s="13" t="n">
        <v>12</v>
      </c>
      <c r="AO354" s="13" t="n">
        <v>5.9</v>
      </c>
      <c r="AP354" s="13" t="n">
        <v>11.8</v>
      </c>
    </row>
    <row r="355">
      <c r="A355" s="5" t="inlineStr">
        <is>
          <t>일정실업</t>
        </is>
      </c>
      <c r="B355" s="6" t="inlineStr">
        <is>
          <t>008500</t>
        </is>
      </c>
      <c r="C355" s="6" t="inlineStr">
        <is>
          <t>별도</t>
        </is>
      </c>
      <c r="D355" s="6" t="inlineStr">
        <is>
          <t>2026Q2</t>
        </is>
      </c>
      <c r="E355" s="6" t="inlineStr"/>
      <c r="F355" s="7" t="inlineStr"/>
      <c r="G355" s="8" t="inlineStr"/>
      <c r="H355" s="8" t="inlineStr"/>
      <c r="I355" s="9" t="n">
        <v>11464</v>
      </c>
      <c r="J355" s="10" t="n">
        <v>601</v>
      </c>
      <c r="K355" s="10" t="n">
        <v>640</v>
      </c>
      <c r="L355" s="7" t="n">
        <v>11625</v>
      </c>
      <c r="M355" s="8" t="n">
        <v>1569</v>
      </c>
      <c r="N355" s="8" t="n">
        <v>1658</v>
      </c>
      <c r="O355" s="9" t="n">
        <v>10547</v>
      </c>
      <c r="P355" s="10" t="n">
        <v>817</v>
      </c>
      <c r="Q355" s="10" t="n">
        <v>661</v>
      </c>
      <c r="R355" s="7" t="n">
        <v>9867</v>
      </c>
      <c r="S355" s="8" t="n">
        <v>337</v>
      </c>
      <c r="T355" s="8" t="n">
        <v>453</v>
      </c>
      <c r="U355" s="9" t="n">
        <v>10005</v>
      </c>
      <c r="V355" s="10" t="n">
        <v>1152</v>
      </c>
      <c r="W355" s="10" t="n">
        <v>12122</v>
      </c>
      <c r="X355" s="7" t="n">
        <v>8826</v>
      </c>
      <c r="Y355" s="8" t="n">
        <v>276</v>
      </c>
      <c r="Z355" s="8" t="n">
        <v>-531</v>
      </c>
      <c r="AA355" s="9" t="n">
        <v>8419</v>
      </c>
      <c r="AB355" s="10" t="n">
        <v>-135</v>
      </c>
      <c r="AC355" s="10" t="n">
        <v>-209</v>
      </c>
      <c r="AD355" s="7" t="n">
        <v>9367</v>
      </c>
      <c r="AE355" s="8" t="n">
        <v>165</v>
      </c>
      <c r="AF355" s="8" t="n">
        <v>5124</v>
      </c>
      <c r="AG355" s="9" t="n">
        <v>10760</v>
      </c>
      <c r="AH355" s="10" t="n">
        <v>353</v>
      </c>
      <c r="AI355" s="10" t="n">
        <v>646</v>
      </c>
      <c r="AJ355" s="11" t="n">
        <v>9903</v>
      </c>
      <c r="AK355" s="12" t="n">
        <v>-767</v>
      </c>
      <c r="AL355" s="12" t="n">
        <v>-582</v>
      </c>
      <c r="AM355" s="13" t="n">
        <v>-8</v>
      </c>
      <c r="AN355" s="13" t="n">
        <v>12.2</v>
      </c>
      <c r="AO355" s="13" t="n">
        <v>-317.3</v>
      </c>
      <c r="AP355" s="13" t="n">
        <v>-377.9</v>
      </c>
    </row>
    <row r="356">
      <c r="A356" s="5" t="inlineStr">
        <is>
          <t>윌비스</t>
        </is>
      </c>
      <c r="B356" s="6" t="inlineStr">
        <is>
          <t>008600</t>
        </is>
      </c>
      <c r="C356" s="6" t="inlineStr">
        <is>
          <t>연결</t>
        </is>
      </c>
      <c r="D356" s="6" t="inlineStr">
        <is>
          <t>2026Q2</t>
        </is>
      </c>
      <c r="E356" s="6" t="inlineStr"/>
      <c r="F356" s="7" t="inlineStr"/>
      <c r="G356" s="8" t="inlineStr"/>
      <c r="H356" s="8" t="inlineStr"/>
      <c r="I356" s="9" t="n">
        <v>45763</v>
      </c>
      <c r="J356" s="10" t="n">
        <v>-774</v>
      </c>
      <c r="K356" s="10" t="n">
        <v>-3957</v>
      </c>
      <c r="L356" s="7" t="n">
        <v>69799</v>
      </c>
      <c r="M356" s="8" t="n">
        <v>1222</v>
      </c>
      <c r="N356" s="8" t="n">
        <v>-2098</v>
      </c>
      <c r="O356" s="9" t="n">
        <v>51397</v>
      </c>
      <c r="P356" s="10" t="n">
        <v>-2725</v>
      </c>
      <c r="Q356" s="10" t="n">
        <v>-5581</v>
      </c>
      <c r="R356" s="7" t="n">
        <v>50418</v>
      </c>
      <c r="S356" s="8" t="n">
        <v>-10261</v>
      </c>
      <c r="T356" s="8" t="n">
        <v>-15780</v>
      </c>
      <c r="U356" s="9" t="n">
        <v>48696</v>
      </c>
      <c r="V356" s="10" t="n">
        <v>-602</v>
      </c>
      <c r="W356" s="10" t="n">
        <v>-3611</v>
      </c>
      <c r="X356" s="7" t="n">
        <v>53811</v>
      </c>
      <c r="Y356" s="8" t="n">
        <v>299</v>
      </c>
      <c r="Z356" s="8" t="n">
        <v>-2031</v>
      </c>
      <c r="AA356" s="9" t="n">
        <v>44904</v>
      </c>
      <c r="AB356" s="10" t="n">
        <v>-2305</v>
      </c>
      <c r="AC356" s="10" t="n">
        <v>-5796</v>
      </c>
      <c r="AD356" s="7" t="n">
        <v>40912</v>
      </c>
      <c r="AE356" s="8" t="n">
        <v>-18396</v>
      </c>
      <c r="AF356" s="8" t="n">
        <v>-25000</v>
      </c>
      <c r="AG356" s="9" t="n">
        <v>44840</v>
      </c>
      <c r="AH356" s="10" t="n">
        <v>-3329</v>
      </c>
      <c r="AI356" s="10" t="n">
        <v>-6593</v>
      </c>
      <c r="AJ356" s="11" t="n">
        <v>41295</v>
      </c>
      <c r="AK356" s="12" t="n">
        <v>-27945</v>
      </c>
      <c r="AL356" s="12" t="n">
        <v>-32462</v>
      </c>
      <c r="AM356" s="13" t="n">
        <v>-7.9</v>
      </c>
      <c r="AN356" s="13" t="n">
        <v>-23.3</v>
      </c>
      <c r="AO356" s="13" t="n">
        <v>-739.4</v>
      </c>
      <c r="AP356" s="13" t="n">
        <v>-9446.200000000001</v>
      </c>
    </row>
    <row r="357">
      <c r="A357" s="5" t="inlineStr">
        <is>
          <t>아남전자</t>
        </is>
      </c>
      <c r="B357" s="6" t="inlineStr">
        <is>
          <t>008700</t>
        </is>
      </c>
      <c r="C357" s="6" t="inlineStr">
        <is>
          <t>연결</t>
        </is>
      </c>
      <c r="D357" s="6" t="inlineStr">
        <is>
          <t>2026Q2</t>
        </is>
      </c>
      <c r="E357" s="6" t="inlineStr"/>
      <c r="F357" s="7" t="inlineStr"/>
      <c r="G357" s="8" t="inlineStr"/>
      <c r="H357" s="8" t="inlineStr"/>
      <c r="I357" s="9" t="n">
        <v>43</v>
      </c>
      <c r="J357" s="10" t="n">
        <v>1</v>
      </c>
      <c r="K357" s="10" t="n">
        <v>0</v>
      </c>
      <c r="L357" s="7" t="n">
        <v>46</v>
      </c>
      <c r="M357" s="8" t="n">
        <v>1</v>
      </c>
      <c r="N357" s="8" t="n">
        <v>2</v>
      </c>
      <c r="O357" s="9" t="n">
        <v>65</v>
      </c>
      <c r="P357" s="10" t="n">
        <v>5</v>
      </c>
      <c r="Q357" s="10" t="n">
        <v>4</v>
      </c>
      <c r="R357" s="7" t="n">
        <v>35</v>
      </c>
      <c r="S357" s="8" t="n">
        <v>0</v>
      </c>
      <c r="T357" s="8" t="n">
        <v>1</v>
      </c>
      <c r="U357" s="9" t="n">
        <v>35</v>
      </c>
      <c r="V357" s="10" t="n">
        <v>1</v>
      </c>
      <c r="W357" s="10" t="n">
        <v>1</v>
      </c>
      <c r="X357" s="7" t="n">
        <v>40</v>
      </c>
      <c r="Y357" s="8" t="n">
        <v>1</v>
      </c>
      <c r="Z357" s="8" t="n">
        <v>1</v>
      </c>
      <c r="AA357" s="9" t="n">
        <v>45</v>
      </c>
      <c r="AB357" s="10" t="n">
        <v>1</v>
      </c>
      <c r="AC357" s="10" t="n">
        <v>1</v>
      </c>
      <c r="AD357" s="7" t="n">
        <v>31</v>
      </c>
      <c r="AE357" s="8" t="n">
        <v>0</v>
      </c>
      <c r="AF357" s="8" t="n">
        <v>1</v>
      </c>
      <c r="AG357" s="9" t="n">
        <v>20</v>
      </c>
      <c r="AH357" s="10" t="n">
        <v>-3</v>
      </c>
      <c r="AI357" s="10" t="n">
        <v>-3</v>
      </c>
      <c r="AJ357" s="11" t="n">
        <v>45</v>
      </c>
      <c r="AK357" s="12" t="n">
        <v>1</v>
      </c>
      <c r="AL357" s="12" t="n">
        <v>1</v>
      </c>
      <c r="AM357" s="13" t="n">
        <v>125</v>
      </c>
      <c r="AN357" s="13" t="n">
        <v>12.5</v>
      </c>
      <c r="AO357" s="13" t="n">
        <v>133.3</v>
      </c>
      <c r="AP357" s="13" t="n">
        <v>0</v>
      </c>
    </row>
    <row r="358">
      <c r="A358" s="5" t="inlineStr">
        <is>
          <t>율촌화학</t>
        </is>
      </c>
      <c r="B358" s="6" t="inlineStr">
        <is>
          <t>008730</t>
        </is>
      </c>
      <c r="C358" s="6" t="inlineStr">
        <is>
          <t>연결</t>
        </is>
      </c>
      <c r="D358" s="6" t="inlineStr">
        <is>
          <t>2026Q2</t>
        </is>
      </c>
      <c r="E358" s="6" t="inlineStr"/>
      <c r="F358" s="7" t="inlineStr"/>
      <c r="G358" s="8" t="inlineStr"/>
      <c r="H358" s="8" t="inlineStr"/>
      <c r="I358" s="9" t="n">
        <v>114281</v>
      </c>
      <c r="J358" s="10" t="n">
        <v>-5613</v>
      </c>
      <c r="K358" s="10" t="n">
        <v>21319</v>
      </c>
      <c r="L358" s="7" t="n">
        <v>119549</v>
      </c>
      <c r="M358" s="8" t="n">
        <v>1290</v>
      </c>
      <c r="N358" s="8" t="n">
        <v>1361</v>
      </c>
      <c r="O358" s="9" t="n">
        <v>106802</v>
      </c>
      <c r="P358" s="10" t="n">
        <v>-5595</v>
      </c>
      <c r="Q358" s="10" t="n">
        <v>-5831</v>
      </c>
      <c r="R358" s="7" t="n">
        <v>116446</v>
      </c>
      <c r="S358" s="8" t="n">
        <v>-8437</v>
      </c>
      <c r="T358" s="8" t="n">
        <v>-25379</v>
      </c>
      <c r="U358" s="9" t="n">
        <v>132831</v>
      </c>
      <c r="V358" s="10" t="n">
        <v>10209</v>
      </c>
      <c r="W358" s="10" t="n">
        <v>8620</v>
      </c>
      <c r="X358" s="7" t="n">
        <v>119651</v>
      </c>
      <c r="Y358" s="8" t="n">
        <v>1127</v>
      </c>
      <c r="Z358" s="8" t="n">
        <v>-2170</v>
      </c>
      <c r="AA358" s="9" t="n">
        <v>116793</v>
      </c>
      <c r="AB358" s="10" t="n">
        <v>-2317</v>
      </c>
      <c r="AC358" s="10" t="n">
        <v>-1308</v>
      </c>
      <c r="AD358" s="7" t="n">
        <v>116108</v>
      </c>
      <c r="AE358" s="8" t="n">
        <v>-505</v>
      </c>
      <c r="AF358" s="8" t="n">
        <v>-977</v>
      </c>
      <c r="AG358" s="9" t="n">
        <v>127218</v>
      </c>
      <c r="AH358" s="10" t="n">
        <v>561</v>
      </c>
      <c r="AI358" s="10" t="n">
        <v>1501</v>
      </c>
      <c r="AJ358" s="11" t="n">
        <v>156111</v>
      </c>
      <c r="AK358" s="12" t="n">
        <v>9540</v>
      </c>
      <c r="AL358" s="12" t="n">
        <v>5790</v>
      </c>
      <c r="AM358" s="13" t="n">
        <v>22.7</v>
      </c>
      <c r="AN358" s="13" t="n">
        <v>30.5</v>
      </c>
      <c r="AO358" s="13" t="n">
        <v>1600.5</v>
      </c>
      <c r="AP358" s="13" t="n">
        <v>746.5</v>
      </c>
    </row>
    <row r="359">
      <c r="A359" s="5" t="inlineStr">
        <is>
          <t>호텔신라</t>
        </is>
      </c>
      <c r="B359" s="6" t="inlineStr">
        <is>
          <t>008770</t>
        </is>
      </c>
      <c r="C359" s="6" t="inlineStr">
        <is>
          <t>연결</t>
        </is>
      </c>
      <c r="D359" s="6" t="inlineStr">
        <is>
          <t>2026Q2</t>
        </is>
      </c>
      <c r="E359" s="6" t="inlineStr">
        <is>
          <t>2023Q4</t>
        </is>
      </c>
      <c r="F359" s="14" t="n">
        <v>937620</v>
      </c>
      <c r="G359" s="15" t="n">
        <v>-18261</v>
      </c>
      <c r="H359" s="15" t="n">
        <v>-36315</v>
      </c>
      <c r="I359" s="9" t="n">
        <v>980826</v>
      </c>
      <c r="J359" s="10" t="n">
        <v>12123</v>
      </c>
      <c r="K359" s="10" t="n">
        <v>-1609</v>
      </c>
      <c r="L359" s="7" t="n">
        <v>1002686</v>
      </c>
      <c r="M359" s="8" t="n">
        <v>27628</v>
      </c>
      <c r="N359" s="8" t="n">
        <v>27431</v>
      </c>
      <c r="O359" s="9" t="n">
        <v>1016230</v>
      </c>
      <c r="P359" s="10" t="n">
        <v>-16986</v>
      </c>
      <c r="Q359" s="10" t="n">
        <v>-23336</v>
      </c>
      <c r="R359" s="7" t="n">
        <v>947810</v>
      </c>
      <c r="S359" s="8" t="n">
        <v>-27949</v>
      </c>
      <c r="T359" s="8" t="n">
        <v>-63987</v>
      </c>
      <c r="U359" s="9" t="n">
        <v>971789</v>
      </c>
      <c r="V359" s="10" t="n">
        <v>-2470</v>
      </c>
      <c r="W359" s="10" t="n">
        <v>-6180</v>
      </c>
      <c r="X359" s="7" t="n">
        <v>1025447</v>
      </c>
      <c r="Y359" s="8" t="n">
        <v>8660</v>
      </c>
      <c r="Z359" s="8" t="n">
        <v>-883</v>
      </c>
      <c r="AA359" s="9" t="n">
        <v>1025691</v>
      </c>
      <c r="AB359" s="10" t="n">
        <v>11440</v>
      </c>
      <c r="AC359" s="10" t="n">
        <v>-149159</v>
      </c>
      <c r="AD359" s="7" t="n">
        <v>1045379</v>
      </c>
      <c r="AE359" s="8" t="n">
        <v>-4117</v>
      </c>
      <c r="AF359" s="8" t="n">
        <v>-16627</v>
      </c>
      <c r="AG359" s="9" t="n">
        <v>1053492</v>
      </c>
      <c r="AH359" s="10" t="n">
        <v>20415</v>
      </c>
      <c r="AI359" s="10" t="n">
        <v>5998</v>
      </c>
      <c r="AJ359" s="11" t="n">
        <v>971830</v>
      </c>
      <c r="AK359" s="12" t="n">
        <v>61142</v>
      </c>
      <c r="AL359" s="12" t="n">
        <v>21449</v>
      </c>
      <c r="AM359" s="13" t="n">
        <v>-7.8</v>
      </c>
      <c r="AN359" s="13" t="n">
        <v>-5.2</v>
      </c>
      <c r="AO359" s="13" t="n">
        <v>199.5</v>
      </c>
      <c r="AP359" s="13" t="n">
        <v>606</v>
      </c>
    </row>
    <row r="360">
      <c r="A360" s="5" t="inlineStr">
        <is>
          <t>대동기어</t>
        </is>
      </c>
      <c r="B360" s="6" t="inlineStr">
        <is>
          <t>008830</t>
        </is>
      </c>
      <c r="C360" s="6" t="inlineStr">
        <is>
          <t>별도</t>
        </is>
      </c>
      <c r="D360" s="6" t="inlineStr">
        <is>
          <t>2026Q2</t>
        </is>
      </c>
      <c r="E360" s="6" t="inlineStr"/>
      <c r="F360" s="7" t="inlineStr"/>
      <c r="G360" s="8" t="inlineStr"/>
      <c r="H360" s="8" t="inlineStr"/>
      <c r="I360" s="9" t="n">
        <v>72196</v>
      </c>
      <c r="J360" s="10" t="n">
        <v>2609</v>
      </c>
      <c r="K360" s="10" t="n">
        <v>1137</v>
      </c>
      <c r="L360" s="7" t="n">
        <v>78865</v>
      </c>
      <c r="M360" s="8" t="n">
        <v>2742</v>
      </c>
      <c r="N360" s="8" t="n">
        <v>1340</v>
      </c>
      <c r="O360" s="9" t="n">
        <v>47451</v>
      </c>
      <c r="P360" s="10" t="n">
        <v>-2184</v>
      </c>
      <c r="Q360" s="10" t="n">
        <v>-2593</v>
      </c>
      <c r="R360" s="7" t="n">
        <v>58545</v>
      </c>
      <c r="S360" s="8" t="n">
        <v>1297</v>
      </c>
      <c r="T360" s="8" t="n">
        <v>1284</v>
      </c>
      <c r="U360" s="9" t="n">
        <v>60667</v>
      </c>
      <c r="V360" s="10" t="n">
        <v>520</v>
      </c>
      <c r="W360" s="10" t="n">
        <v>-2520</v>
      </c>
      <c r="X360" s="7" t="n">
        <v>59139</v>
      </c>
      <c r="Y360" s="8" t="n">
        <v>357</v>
      </c>
      <c r="Z360" s="8" t="n">
        <v>-1204</v>
      </c>
      <c r="AA360" s="9" t="n">
        <v>50047</v>
      </c>
      <c r="AB360" s="10" t="n">
        <v>-518</v>
      </c>
      <c r="AC360" s="10" t="n">
        <v>-1616</v>
      </c>
      <c r="AD360" s="7" t="n">
        <v>51086</v>
      </c>
      <c r="AE360" s="8" t="n">
        <v>-197</v>
      </c>
      <c r="AF360" s="8" t="n">
        <v>600</v>
      </c>
      <c r="AG360" s="9" t="n">
        <v>59325</v>
      </c>
      <c r="AH360" s="10" t="n">
        <v>-1407</v>
      </c>
      <c r="AI360" s="10" t="n">
        <v>-2021</v>
      </c>
      <c r="AJ360" s="11" t="n">
        <v>67034</v>
      </c>
      <c r="AK360" s="12" t="n">
        <v>1646</v>
      </c>
      <c r="AL360" s="12" t="n">
        <v>572</v>
      </c>
      <c r="AM360" s="13" t="n">
        <v>13</v>
      </c>
      <c r="AN360" s="13" t="n">
        <v>13.3</v>
      </c>
      <c r="AO360" s="13" t="n">
        <v>217</v>
      </c>
      <c r="AP360" s="13" t="n">
        <v>361.1</v>
      </c>
    </row>
    <row r="361">
      <c r="A361" s="5" t="inlineStr">
        <is>
          <t>금비</t>
        </is>
      </c>
      <c r="B361" s="6" t="inlineStr">
        <is>
          <t>008870</t>
        </is>
      </c>
      <c r="C361" s="6" t="inlineStr">
        <is>
          <t>연결</t>
        </is>
      </c>
      <c r="D361" s="6" t="inlineStr">
        <is>
          <t>2026Q2</t>
        </is>
      </c>
      <c r="E361" s="6" t="inlineStr"/>
      <c r="F361" s="7" t="inlineStr"/>
      <c r="G361" s="8" t="inlineStr"/>
      <c r="H361" s="8" t="inlineStr"/>
      <c r="I361" s="9" t="n">
        <v>63618</v>
      </c>
      <c r="J361" s="10" t="n">
        <v>1489</v>
      </c>
      <c r="K361" s="10" t="n">
        <v>1913</v>
      </c>
      <c r="L361" s="7" t="n">
        <v>61113</v>
      </c>
      <c r="M361" s="8" t="n">
        <v>2222</v>
      </c>
      <c r="N361" s="8" t="n">
        <v>1617</v>
      </c>
      <c r="O361" s="9" t="n">
        <v>69043</v>
      </c>
      <c r="P361" s="10" t="n">
        <v>5480</v>
      </c>
      <c r="Q361" s="10" t="n">
        <v>3504</v>
      </c>
      <c r="R361" s="7" t="n">
        <v>65683</v>
      </c>
      <c r="S361" s="8" t="n">
        <v>3171</v>
      </c>
      <c r="T361" s="8" t="n">
        <v>-1064</v>
      </c>
      <c r="U361" s="9" t="n">
        <v>58005</v>
      </c>
      <c r="V361" s="10" t="n">
        <v>-111</v>
      </c>
      <c r="W361" s="10" t="n">
        <v>-944</v>
      </c>
      <c r="X361" s="7" t="n">
        <v>62619</v>
      </c>
      <c r="Y361" s="8" t="n">
        <v>-623</v>
      </c>
      <c r="Z361" s="8" t="n">
        <v>-608</v>
      </c>
      <c r="AA361" s="9" t="n">
        <v>64913</v>
      </c>
      <c r="AB361" s="10" t="n">
        <v>2735</v>
      </c>
      <c r="AC361" s="10" t="n">
        <v>767</v>
      </c>
      <c r="AD361" s="7" t="n">
        <v>66867</v>
      </c>
      <c r="AE361" s="8" t="n">
        <v>1368</v>
      </c>
      <c r="AF361" s="8" t="n">
        <v>4614</v>
      </c>
      <c r="AG361" s="9" t="inlineStr"/>
      <c r="AH361" s="10" t="inlineStr"/>
      <c r="AI361" s="10" t="inlineStr"/>
      <c r="AJ361" s="11" t="n">
        <v>58509</v>
      </c>
      <c r="AK361" s="12" t="n">
        <v>640</v>
      </c>
      <c r="AL361" s="12" t="n">
        <v>1455</v>
      </c>
      <c r="AM361" s="13" t="inlineStr"/>
      <c r="AN361" s="13" t="n">
        <v>-6.6</v>
      </c>
      <c r="AO361" s="13" t="inlineStr"/>
      <c r="AP361" s="13" t="n">
        <v>202.7</v>
      </c>
    </row>
    <row r="362">
      <c r="A362" s="5" t="inlineStr">
        <is>
          <t>메리츠제1호스팩</t>
        </is>
      </c>
      <c r="B362" s="6" t="inlineStr">
        <is>
          <t>0088D0</t>
        </is>
      </c>
      <c r="C362" s="6" t="inlineStr">
        <is>
          <t>별도</t>
        </is>
      </c>
      <c r="D362" s="6" t="inlineStr">
        <is>
          <t>2026Q2</t>
        </is>
      </c>
      <c r="E362" s="6" t="inlineStr"/>
      <c r="F362" s="7" t="inlineStr"/>
      <c r="G362" s="8" t="inlineStr"/>
      <c r="H362" s="8" t="inlineStr"/>
      <c r="I362" s="9" t="inlineStr"/>
      <c r="J362" s="10" t="inlineStr"/>
      <c r="K362" s="10" t="inlineStr"/>
      <c r="L362" s="7" t="inlineStr"/>
      <c r="M362" s="8" t="inlineStr"/>
      <c r="N362" s="8" t="inlineStr"/>
      <c r="O362" s="9" t="inlineStr"/>
      <c r="P362" s="10" t="inlineStr"/>
      <c r="Q362" s="10" t="inlineStr"/>
      <c r="R362" s="7" t="inlineStr"/>
      <c r="S362" s="8" t="inlineStr"/>
      <c r="T362" s="8" t="inlineStr"/>
      <c r="U362" s="9" t="inlineStr"/>
      <c r="V362" s="10" t="inlineStr"/>
      <c r="W362" s="10" t="inlineStr"/>
      <c r="X362" s="7" t="inlineStr"/>
      <c r="Y362" s="8" t="inlineStr"/>
      <c r="Z362" s="8" t="inlineStr"/>
      <c r="AA362" s="9" t="inlineStr"/>
      <c r="AB362" s="10" t="inlineStr"/>
      <c r="AC362" s="10" t="inlineStr"/>
      <c r="AD362" s="7" t="inlineStr"/>
      <c r="AE362" s="8" t="inlineStr"/>
      <c r="AF362" s="8" t="inlineStr"/>
      <c r="AG362" s="9" t="inlineStr"/>
      <c r="AH362" s="10" t="n">
        <v>-13</v>
      </c>
      <c r="AI362" s="10" t="n">
        <v>41</v>
      </c>
      <c r="AJ362" s="11" t="inlineStr"/>
      <c r="AK362" s="12" t="n">
        <v>-4</v>
      </c>
      <c r="AL362" s="12" t="n">
        <v>49</v>
      </c>
      <c r="AM362" s="13" t="inlineStr"/>
      <c r="AN362" s="13" t="inlineStr"/>
      <c r="AO362" s="13" t="n">
        <v>69.2</v>
      </c>
      <c r="AP362" s="13" t="inlineStr"/>
    </row>
    <row r="363">
      <c r="A363" s="5" t="inlineStr">
        <is>
          <t>메쥬</t>
        </is>
      </c>
      <c r="B363" s="6" t="inlineStr">
        <is>
          <t>0088M0</t>
        </is>
      </c>
      <c r="C363" s="6" t="inlineStr">
        <is>
          <t>별도</t>
        </is>
      </c>
      <c r="D363" s="6" t="inlineStr">
        <is>
          <t>2026Q2</t>
        </is>
      </c>
      <c r="E363" s="6" t="inlineStr"/>
      <c r="F363" s="7" t="inlineStr"/>
      <c r="G363" s="8" t="inlineStr"/>
      <c r="H363" s="8" t="inlineStr"/>
      <c r="I363" s="9" t="inlineStr"/>
      <c r="J363" s="10" t="inlineStr"/>
      <c r="K363" s="10" t="inlineStr"/>
      <c r="L363" s="7" t="inlineStr"/>
      <c r="M363" s="8" t="inlineStr"/>
      <c r="N363" s="8" t="inlineStr"/>
      <c r="O363" s="9" t="inlineStr"/>
      <c r="P363" s="10" t="inlineStr"/>
      <c r="Q363" s="10" t="inlineStr"/>
      <c r="R363" s="7" t="inlineStr"/>
      <c r="S363" s="8" t="inlineStr"/>
      <c r="T363" s="8" t="inlineStr"/>
      <c r="U363" s="9" t="inlineStr"/>
      <c r="V363" s="10" t="inlineStr"/>
      <c r="W363" s="10" t="inlineStr"/>
      <c r="X363" s="7" t="inlineStr"/>
      <c r="Y363" s="8" t="inlineStr"/>
      <c r="Z363" s="8" t="inlineStr"/>
      <c r="AA363" s="9" t="inlineStr"/>
      <c r="AB363" s="10" t="inlineStr"/>
      <c r="AC363" s="10" t="inlineStr"/>
      <c r="AD363" s="7" t="inlineStr"/>
      <c r="AE363" s="8" t="inlineStr"/>
      <c r="AF363" s="8" t="inlineStr"/>
      <c r="AG363" s="9" t="n">
        <v>3908</v>
      </c>
      <c r="AH363" s="10" t="n">
        <v>957</v>
      </c>
      <c r="AI363" s="10" t="n">
        <v>955</v>
      </c>
      <c r="AJ363" s="11" t="n">
        <v>5668</v>
      </c>
      <c r="AK363" s="12" t="n">
        <v>875</v>
      </c>
      <c r="AL363" s="12" t="n">
        <v>1098</v>
      </c>
      <c r="AM363" s="13" t="n">
        <v>45</v>
      </c>
      <c r="AN363" s="13" t="inlineStr"/>
      <c r="AO363" s="13" t="n">
        <v>-8.6</v>
      </c>
      <c r="AP363" s="13" t="inlineStr"/>
    </row>
    <row r="364">
      <c r="A364" s="5" t="inlineStr">
        <is>
          <t>한미사이언스</t>
        </is>
      </c>
      <c r="B364" s="6" t="inlineStr">
        <is>
          <t>008930</t>
        </is>
      </c>
      <c r="C364" s="6" t="inlineStr">
        <is>
          <t>연결</t>
        </is>
      </c>
      <c r="D364" s="6" t="inlineStr">
        <is>
          <t>2026Q2</t>
        </is>
      </c>
      <c r="E364" s="6" t="inlineStr"/>
      <c r="F364" s="7" t="inlineStr"/>
      <c r="G364" s="8" t="inlineStr"/>
      <c r="H364" s="8" t="inlineStr"/>
      <c r="I364" s="9" t="n">
        <v>320152</v>
      </c>
      <c r="J364" s="10" t="n">
        <v>37303</v>
      </c>
      <c r="K364" s="10" t="n">
        <v>31092</v>
      </c>
      <c r="L364" s="7" t="n">
        <v>309096</v>
      </c>
      <c r="M364" s="8" t="n">
        <v>26489</v>
      </c>
      <c r="N364" s="8" t="n">
        <v>20349</v>
      </c>
      <c r="O364" s="9" t="n">
        <v>322474</v>
      </c>
      <c r="P364" s="10" t="n">
        <v>22435</v>
      </c>
      <c r="Q364" s="10" t="n">
        <v>17253</v>
      </c>
      <c r="R364" s="7" t="n">
        <v>331710</v>
      </c>
      <c r="S364" s="8" t="n">
        <v>12641</v>
      </c>
      <c r="T364" s="8" t="n">
        <v>-12001</v>
      </c>
      <c r="U364" s="9" t="n">
        <v>332150</v>
      </c>
      <c r="V364" s="10" t="n">
        <v>27067</v>
      </c>
      <c r="W364" s="10" t="n">
        <v>24450</v>
      </c>
      <c r="X364" s="7" t="n">
        <v>338269</v>
      </c>
      <c r="Y364" s="8" t="n">
        <v>34612</v>
      </c>
      <c r="Z364" s="8" t="n">
        <v>28325</v>
      </c>
      <c r="AA364" s="9" t="n">
        <v>342512</v>
      </c>
      <c r="AB364" s="10" t="n">
        <v>39302</v>
      </c>
      <c r="AC364" s="10" t="n">
        <v>31876</v>
      </c>
      <c r="AD364" s="7" t="n">
        <v>344027</v>
      </c>
      <c r="AE364" s="8" t="n">
        <v>37746</v>
      </c>
      <c r="AF364" s="8" t="n">
        <v>33058</v>
      </c>
      <c r="AG364" s="9" t="n">
        <v>353703</v>
      </c>
      <c r="AH364" s="10" t="n">
        <v>33562</v>
      </c>
      <c r="AI364" s="10" t="n">
        <v>42287</v>
      </c>
      <c r="AJ364" s="11" t="n">
        <v>367856</v>
      </c>
      <c r="AK364" s="12" t="n">
        <v>59138</v>
      </c>
      <c r="AL364" s="12" t="n">
        <v>43667</v>
      </c>
      <c r="AM364" s="13" t="n">
        <v>4</v>
      </c>
      <c r="AN364" s="13" t="n">
        <v>8.699999999999999</v>
      </c>
      <c r="AO364" s="13" t="n">
        <v>76.2</v>
      </c>
      <c r="AP364" s="13" t="n">
        <v>70.90000000000001</v>
      </c>
    </row>
    <row r="365">
      <c r="A365" s="5" t="inlineStr">
        <is>
          <t>KBI동양철관</t>
        </is>
      </c>
      <c r="B365" s="6" t="inlineStr">
        <is>
          <t>008970</t>
        </is>
      </c>
      <c r="C365" s="6" t="inlineStr">
        <is>
          <t>연결</t>
        </is>
      </c>
      <c r="D365" s="6" t="inlineStr">
        <is>
          <t>2026Q2</t>
        </is>
      </c>
      <c r="E365" s="6" t="inlineStr"/>
      <c r="F365" s="7" t="inlineStr"/>
      <c r="G365" s="8" t="inlineStr"/>
      <c r="H365" s="8" t="inlineStr"/>
      <c r="I365" s="9" t="n">
        <v>68260</v>
      </c>
      <c r="J365" s="10" t="n">
        <v>1557</v>
      </c>
      <c r="K365" s="10" t="n">
        <v>452</v>
      </c>
      <c r="L365" s="7" t="n">
        <v>65492</v>
      </c>
      <c r="M365" s="8" t="n">
        <v>2413</v>
      </c>
      <c r="N365" s="8" t="n">
        <v>-21365</v>
      </c>
      <c r="O365" s="9" t="n">
        <v>49691</v>
      </c>
      <c r="P365" s="10" t="n">
        <v>1588</v>
      </c>
      <c r="Q365" s="10" t="n">
        <v>1021</v>
      </c>
      <c r="R365" s="7" t="n">
        <v>66854</v>
      </c>
      <c r="S365" s="8" t="n">
        <v>1119</v>
      </c>
      <c r="T365" s="8" t="n">
        <v>248</v>
      </c>
      <c r="U365" s="9" t="n">
        <v>43658</v>
      </c>
      <c r="V365" s="10" t="n">
        <v>-29</v>
      </c>
      <c r="W365" s="10" t="n">
        <v>-1207</v>
      </c>
      <c r="X365" s="7" t="n">
        <v>54855</v>
      </c>
      <c r="Y365" s="8" t="n">
        <v>-166</v>
      </c>
      <c r="Z365" s="8" t="n">
        <v>1902</v>
      </c>
      <c r="AA365" s="9" t="n">
        <v>47206</v>
      </c>
      <c r="AB365" s="10" t="n">
        <v>-723</v>
      </c>
      <c r="AC365" s="10" t="n">
        <v>-1710</v>
      </c>
      <c r="AD365" s="7" t="n">
        <v>89065</v>
      </c>
      <c r="AE365" s="8" t="n">
        <v>-704</v>
      </c>
      <c r="AF365" s="8" t="n">
        <v>-2084</v>
      </c>
      <c r="AG365" s="9" t="n">
        <v>67030</v>
      </c>
      <c r="AH365" s="10" t="n">
        <v>4185</v>
      </c>
      <c r="AI365" s="10" t="n">
        <v>1708</v>
      </c>
      <c r="AJ365" s="11" t="n">
        <v>60305</v>
      </c>
      <c r="AK365" s="12" t="n">
        <v>-83</v>
      </c>
      <c r="AL365" s="12" t="n">
        <v>-2306</v>
      </c>
      <c r="AM365" s="13" t="n">
        <v>-10</v>
      </c>
      <c r="AN365" s="13" t="n">
        <v>9.9</v>
      </c>
      <c r="AO365" s="13" t="n">
        <v>-102</v>
      </c>
      <c r="AP365" s="13" t="n">
        <v>50</v>
      </c>
    </row>
    <row r="366">
      <c r="A366" s="5" t="inlineStr">
        <is>
          <t>케이씨티시</t>
        </is>
      </c>
      <c r="B366" s="6" t="inlineStr">
        <is>
          <t>009070</t>
        </is>
      </c>
      <c r="C366" s="6" t="inlineStr">
        <is>
          <t>연결</t>
        </is>
      </c>
      <c r="D366" s="6" t="inlineStr">
        <is>
          <t>2026Q2</t>
        </is>
      </c>
      <c r="E366" s="6" t="inlineStr"/>
      <c r="F366" s="7" t="inlineStr"/>
      <c r="G366" s="8" t="inlineStr"/>
      <c r="H366" s="8" t="inlineStr"/>
      <c r="I366" s="9" t="n">
        <v>204285</v>
      </c>
      <c r="J366" s="10" t="n">
        <v>11502</v>
      </c>
      <c r="K366" s="10" t="n">
        <v>9101</v>
      </c>
      <c r="L366" s="7" t="n">
        <v>231624</v>
      </c>
      <c r="M366" s="8" t="n">
        <v>11357</v>
      </c>
      <c r="N366" s="8" t="n">
        <v>7203</v>
      </c>
      <c r="O366" s="9" t="n">
        <v>217851</v>
      </c>
      <c r="P366" s="10" t="n">
        <v>9551</v>
      </c>
      <c r="Q366" s="10" t="n">
        <v>8737</v>
      </c>
      <c r="R366" s="7" t="n">
        <v>228388</v>
      </c>
      <c r="S366" s="8" t="n">
        <v>6581</v>
      </c>
      <c r="T366" s="8" t="n">
        <v>2593</v>
      </c>
      <c r="U366" s="9" t="n">
        <v>221908</v>
      </c>
      <c r="V366" s="10" t="n">
        <v>6667</v>
      </c>
      <c r="W366" s="10" t="n">
        <v>3631</v>
      </c>
      <c r="X366" s="7" t="n">
        <v>262830</v>
      </c>
      <c r="Y366" s="8" t="n">
        <v>14824</v>
      </c>
      <c r="Z366" s="8" t="n">
        <v>8070</v>
      </c>
      <c r="AA366" s="9" t="n">
        <v>257375</v>
      </c>
      <c r="AB366" s="10" t="n">
        <v>12939</v>
      </c>
      <c r="AC366" s="10" t="n">
        <v>10353</v>
      </c>
      <c r="AD366" s="7" t="n">
        <v>244592</v>
      </c>
      <c r="AE366" s="8" t="n">
        <v>4388</v>
      </c>
      <c r="AF366" s="8" t="n">
        <v>1255</v>
      </c>
      <c r="AG366" s="9" t="n">
        <v>265693</v>
      </c>
      <c r="AH366" s="10" t="n">
        <v>11685</v>
      </c>
      <c r="AI366" s="10" t="n">
        <v>8216</v>
      </c>
      <c r="AJ366" s="11" t="n">
        <v>290935</v>
      </c>
      <c r="AK366" s="12" t="n">
        <v>15627</v>
      </c>
      <c r="AL366" s="12" t="n">
        <v>10632</v>
      </c>
      <c r="AM366" s="13" t="n">
        <v>9.5</v>
      </c>
      <c r="AN366" s="13" t="n">
        <v>10.7</v>
      </c>
      <c r="AO366" s="13" t="n">
        <v>33.7</v>
      </c>
      <c r="AP366" s="13" t="n">
        <v>5.4</v>
      </c>
    </row>
    <row r="367">
      <c r="A367" s="5" t="inlineStr">
        <is>
          <t>경인전자</t>
        </is>
      </c>
      <c r="B367" s="6" t="inlineStr">
        <is>
          <t>009140</t>
        </is>
      </c>
      <c r="C367" s="6" t="inlineStr">
        <is>
          <t>연결</t>
        </is>
      </c>
      <c r="D367" s="6" t="inlineStr">
        <is>
          <t>2026Q2</t>
        </is>
      </c>
      <c r="E367" s="6" t="inlineStr"/>
      <c r="F367" s="7" t="inlineStr"/>
      <c r="G367" s="8" t="inlineStr"/>
      <c r="H367" s="8" t="inlineStr"/>
      <c r="I367" s="9" t="n">
        <v>5567</v>
      </c>
      <c r="J367" s="10" t="n">
        <v>-147</v>
      </c>
      <c r="K367" s="10" t="n">
        <v>613</v>
      </c>
      <c r="L367" s="7" t="n">
        <v>5566</v>
      </c>
      <c r="M367" s="8" t="n">
        <v>-130</v>
      </c>
      <c r="N367" s="8" t="n">
        <v>1362</v>
      </c>
      <c r="O367" s="9" t="n">
        <v>5934</v>
      </c>
      <c r="P367" s="10" t="n">
        <v>-82</v>
      </c>
      <c r="Q367" s="10" t="n">
        <v>-240</v>
      </c>
      <c r="R367" s="7" t="n">
        <v>5875</v>
      </c>
      <c r="S367" s="8" t="n">
        <v>-912</v>
      </c>
      <c r="T367" s="8" t="n">
        <v>825</v>
      </c>
      <c r="U367" s="9" t="n">
        <v>7530</v>
      </c>
      <c r="V367" s="10" t="n">
        <v>53</v>
      </c>
      <c r="W367" s="10" t="n">
        <v>-616</v>
      </c>
      <c r="X367" s="7" t="n">
        <v>9061</v>
      </c>
      <c r="Y367" s="8" t="n">
        <v>298</v>
      </c>
      <c r="Z367" s="8" t="n">
        <v>1891</v>
      </c>
      <c r="AA367" s="9" t="n">
        <v>10353</v>
      </c>
      <c r="AB367" s="10" t="n">
        <v>548</v>
      </c>
      <c r="AC367" s="10" t="n">
        <v>2251</v>
      </c>
      <c r="AD367" s="7" t="n">
        <v>9130</v>
      </c>
      <c r="AE367" s="8" t="n">
        <v>125</v>
      </c>
      <c r="AF367" s="8" t="n">
        <v>302</v>
      </c>
      <c r="AG367" s="9" t="n">
        <v>11068</v>
      </c>
      <c r="AH367" s="10" t="n">
        <v>619</v>
      </c>
      <c r="AI367" s="10" t="n">
        <v>1193</v>
      </c>
      <c r="AJ367" s="11" t="n">
        <v>11694</v>
      </c>
      <c r="AK367" s="12" t="n">
        <v>729</v>
      </c>
      <c r="AL367" s="12" t="n">
        <v>2981</v>
      </c>
      <c r="AM367" s="13" t="n">
        <v>5.7</v>
      </c>
      <c r="AN367" s="13" t="n">
        <v>29.1</v>
      </c>
      <c r="AO367" s="13" t="n">
        <v>17.8</v>
      </c>
      <c r="AP367" s="13" t="n">
        <v>144.6</v>
      </c>
    </row>
    <row r="368">
      <c r="A368" s="5" t="inlineStr">
        <is>
          <t>삼성전기</t>
        </is>
      </c>
      <c r="B368" s="6" t="inlineStr">
        <is>
          <t>009150</t>
        </is>
      </c>
      <c r="C368" s="6" t="inlineStr">
        <is>
          <t>연결</t>
        </is>
      </c>
      <c r="D368" s="6" t="inlineStr">
        <is>
          <t>2026Q2</t>
        </is>
      </c>
      <c r="E368" s="6" t="inlineStr">
        <is>
          <t>2023Q4</t>
        </is>
      </c>
      <c r="F368" s="14" t="n">
        <v>2306222</v>
      </c>
      <c r="G368" s="15" t="n">
        <v>110412</v>
      </c>
      <c r="H368" s="15" t="n">
        <v>48050</v>
      </c>
      <c r="I368" s="9" t="n">
        <v>2624289</v>
      </c>
      <c r="J368" s="10" t="n">
        <v>180317</v>
      </c>
      <c r="K368" s="10" t="n">
        <v>186451</v>
      </c>
      <c r="L368" s="7" t="n">
        <v>2580132</v>
      </c>
      <c r="M368" s="8" t="n">
        <v>208100</v>
      </c>
      <c r="N368" s="8" t="n">
        <v>181376</v>
      </c>
      <c r="O368" s="9" t="n">
        <v>2615317</v>
      </c>
      <c r="P368" s="10" t="n">
        <v>224875</v>
      </c>
      <c r="Q368" s="10" t="n">
        <v>124206</v>
      </c>
      <c r="R368" s="7" t="n">
        <v>2474365</v>
      </c>
      <c r="S368" s="8" t="n">
        <v>121714</v>
      </c>
      <c r="T368" s="8" t="n">
        <v>211183</v>
      </c>
      <c r="U368" s="9" t="n">
        <v>2738649</v>
      </c>
      <c r="V368" s="10" t="n">
        <v>200550</v>
      </c>
      <c r="W368" s="10" t="n">
        <v>141602</v>
      </c>
      <c r="X368" s="7" t="n">
        <v>2784629</v>
      </c>
      <c r="Y368" s="8" t="n">
        <v>213008</v>
      </c>
      <c r="Z368" s="8" t="n">
        <v>137236</v>
      </c>
      <c r="AA368" s="9" t="n">
        <v>2889036</v>
      </c>
      <c r="AB368" s="10" t="n">
        <v>260277</v>
      </c>
      <c r="AC368" s="10" t="n">
        <v>224852</v>
      </c>
      <c r="AD368" s="7" t="n">
        <v>2902145</v>
      </c>
      <c r="AE368" s="8" t="n">
        <v>239496</v>
      </c>
      <c r="AF368" s="8" t="n">
        <v>227300</v>
      </c>
      <c r="AG368" s="9" t="n">
        <v>3209113</v>
      </c>
      <c r="AH368" s="10" t="n">
        <v>280573</v>
      </c>
      <c r="AI368" s="10" t="n">
        <v>252688</v>
      </c>
      <c r="AJ368" s="11" t="n">
        <v>3457205</v>
      </c>
      <c r="AK368" s="12" t="n">
        <v>440369</v>
      </c>
      <c r="AL368" s="12" t="n">
        <v>328301</v>
      </c>
      <c r="AM368" s="13" t="n">
        <v>7.7</v>
      </c>
      <c r="AN368" s="13" t="n">
        <v>24.2</v>
      </c>
      <c r="AO368" s="13" t="n">
        <v>57</v>
      </c>
      <c r="AP368" s="13" t="n">
        <v>106.7</v>
      </c>
    </row>
    <row r="369">
      <c r="A369" s="5" t="inlineStr">
        <is>
          <t>SIMPAC</t>
        </is>
      </c>
      <c r="B369" s="6" t="inlineStr">
        <is>
          <t>009160</t>
        </is>
      </c>
      <c r="C369" s="6" t="inlineStr">
        <is>
          <t>연결</t>
        </is>
      </c>
      <c r="D369" s="6" t="inlineStr">
        <is>
          <t>2026Q2</t>
        </is>
      </c>
      <c r="E369" s="6" t="inlineStr"/>
      <c r="F369" s="7" t="inlineStr"/>
      <c r="G369" s="8" t="inlineStr"/>
      <c r="H369" s="8" t="inlineStr"/>
      <c r="I369" s="9" t="n">
        <v>136102</v>
      </c>
      <c r="J369" s="10" t="n">
        <v>-3922</v>
      </c>
      <c r="K369" s="10" t="n">
        <v>-5798</v>
      </c>
      <c r="L369" s="7" t="n">
        <v>213236</v>
      </c>
      <c r="M369" s="8" t="n">
        <v>19811</v>
      </c>
      <c r="N369" s="8" t="n">
        <v>16434</v>
      </c>
      <c r="O369" s="9" t="n">
        <v>188538</v>
      </c>
      <c r="P369" s="10" t="n">
        <v>491</v>
      </c>
      <c r="Q369" s="10" t="n">
        <v>21752</v>
      </c>
      <c r="R369" s="7" t="n">
        <v>247186</v>
      </c>
      <c r="S369" s="8" t="n">
        <v>8073</v>
      </c>
      <c r="T369" s="8" t="n">
        <v>-4933</v>
      </c>
      <c r="U369" s="9" t="n">
        <v>230243</v>
      </c>
      <c r="V369" s="10" t="n">
        <v>7605</v>
      </c>
      <c r="W369" s="10" t="n">
        <v>3861</v>
      </c>
      <c r="X369" s="7" t="n">
        <v>301476</v>
      </c>
      <c r="Y369" s="8" t="n">
        <v>5153</v>
      </c>
      <c r="Z369" s="8" t="n">
        <v>10688</v>
      </c>
      <c r="AA369" s="9" t="n">
        <v>301270</v>
      </c>
      <c r="AB369" s="10" t="n">
        <v>9564</v>
      </c>
      <c r="AC369" s="10" t="n">
        <v>1447</v>
      </c>
      <c r="AD369" s="7" t="n">
        <v>346052</v>
      </c>
      <c r="AE369" s="8" t="n">
        <v>23634</v>
      </c>
      <c r="AF369" s="8" t="n">
        <v>6357</v>
      </c>
      <c r="AG369" s="9" t="n">
        <v>315345</v>
      </c>
      <c r="AH369" s="10" t="n">
        <v>21630</v>
      </c>
      <c r="AI369" s="10" t="n">
        <v>1745</v>
      </c>
      <c r="AJ369" s="11" t="n">
        <v>461112</v>
      </c>
      <c r="AK369" s="12" t="n">
        <v>26834</v>
      </c>
      <c r="AL369" s="12" t="n">
        <v>17083</v>
      </c>
      <c r="AM369" s="13" t="n">
        <v>46.2</v>
      </c>
      <c r="AN369" s="13" t="n">
        <v>53</v>
      </c>
      <c r="AO369" s="13" t="n">
        <v>24.1</v>
      </c>
      <c r="AP369" s="13" t="n">
        <v>420.7</v>
      </c>
    </row>
    <row r="370">
      <c r="A370" s="5" t="inlineStr">
        <is>
          <t>한솔로지스틱스</t>
        </is>
      </c>
      <c r="B370" s="6" t="inlineStr">
        <is>
          <t>009180</t>
        </is>
      </c>
      <c r="C370" s="6" t="inlineStr">
        <is>
          <t>연결</t>
        </is>
      </c>
      <c r="D370" s="6" t="inlineStr">
        <is>
          <t>2026Q2</t>
        </is>
      </c>
      <c r="E370" s="6" t="inlineStr"/>
      <c r="F370" s="7" t="inlineStr"/>
      <c r="G370" s="8" t="inlineStr"/>
      <c r="H370" s="8" t="inlineStr"/>
      <c r="I370" s="9" t="n">
        <v>168022</v>
      </c>
      <c r="J370" s="10" t="n">
        <v>6819</v>
      </c>
      <c r="K370" s="10" t="n">
        <v>5774</v>
      </c>
      <c r="L370" s="7" t="n">
        <v>172313</v>
      </c>
      <c r="M370" s="8" t="n">
        <v>6626</v>
      </c>
      <c r="N370" s="8" t="n">
        <v>3054</v>
      </c>
      <c r="O370" s="9" t="n">
        <v>175797</v>
      </c>
      <c r="P370" s="10" t="n">
        <v>5258</v>
      </c>
      <c r="Q370" s="10" t="n">
        <v>3057</v>
      </c>
      <c r="R370" s="7" t="n">
        <v>170899</v>
      </c>
      <c r="S370" s="8" t="n">
        <v>-1925</v>
      </c>
      <c r="T370" s="8" t="n">
        <v>-3213</v>
      </c>
      <c r="U370" s="9" t="n">
        <v>174127</v>
      </c>
      <c r="V370" s="10" t="n">
        <v>5694</v>
      </c>
      <c r="W370" s="10" t="n">
        <v>4322</v>
      </c>
      <c r="X370" s="7" t="n">
        <v>178076</v>
      </c>
      <c r="Y370" s="8" t="n">
        <v>6405</v>
      </c>
      <c r="Z370" s="8" t="n">
        <v>7352</v>
      </c>
      <c r="AA370" s="9" t="n">
        <v>169472</v>
      </c>
      <c r="AB370" s="10" t="n">
        <v>6114</v>
      </c>
      <c r="AC370" s="10" t="n">
        <v>3553</v>
      </c>
      <c r="AD370" s="7" t="n">
        <v>152887</v>
      </c>
      <c r="AE370" s="8" t="n">
        <v>2480</v>
      </c>
      <c r="AF370" s="8" t="n">
        <v>615</v>
      </c>
      <c r="AG370" s="9" t="n">
        <v>164911</v>
      </c>
      <c r="AH370" s="10" t="n">
        <v>4496</v>
      </c>
      <c r="AI370" s="10" t="n">
        <v>3635</v>
      </c>
      <c r="AJ370" s="11" t="n">
        <v>182813</v>
      </c>
      <c r="AK370" s="12" t="n">
        <v>6118</v>
      </c>
      <c r="AL370" s="12" t="n">
        <v>3936</v>
      </c>
      <c r="AM370" s="13" t="n">
        <v>10.9</v>
      </c>
      <c r="AN370" s="13" t="n">
        <v>2.7</v>
      </c>
      <c r="AO370" s="13" t="n">
        <v>36.1</v>
      </c>
      <c r="AP370" s="13" t="n">
        <v>-4.5</v>
      </c>
    </row>
    <row r="371">
      <c r="A371" s="5" t="inlineStr">
        <is>
          <t>대양금속</t>
        </is>
      </c>
      <c r="B371" s="6" t="inlineStr">
        <is>
          <t>009190</t>
        </is>
      </c>
      <c r="C371" s="6" t="inlineStr">
        <is>
          <t>연결</t>
        </is>
      </c>
      <c r="D371" s="6" t="inlineStr">
        <is>
          <t>2026Q2</t>
        </is>
      </c>
      <c r="E371" s="6" t="inlineStr"/>
      <c r="F371" s="7" t="inlineStr"/>
      <c r="G371" s="8" t="inlineStr"/>
      <c r="H371" s="8" t="inlineStr"/>
      <c r="I371" s="9" t="n">
        <v>52678</v>
      </c>
      <c r="J371" s="10" t="n">
        <v>108</v>
      </c>
      <c r="K371" s="10" t="n">
        <v>-198</v>
      </c>
      <c r="L371" s="7" t="n">
        <v>55319</v>
      </c>
      <c r="M371" s="8" t="n">
        <v>2907</v>
      </c>
      <c r="N371" s="8" t="n">
        <v>2189</v>
      </c>
      <c r="O371" s="9" t="n">
        <v>54325</v>
      </c>
      <c r="P371" s="10" t="n">
        <v>-402</v>
      </c>
      <c r="Q371" s="10" t="n">
        <v>-2165</v>
      </c>
      <c r="R371" s="7" t="n">
        <v>53241</v>
      </c>
      <c r="S371" s="8" t="n">
        <v>-723</v>
      </c>
      <c r="T371" s="8" t="n">
        <v>-15110</v>
      </c>
      <c r="U371" s="9" t="n">
        <v>54468</v>
      </c>
      <c r="V371" s="10" t="n">
        <v>-374</v>
      </c>
      <c r="W371" s="10" t="n">
        <v>-1849</v>
      </c>
      <c r="X371" s="7" t="n">
        <v>56924</v>
      </c>
      <c r="Y371" s="8" t="n">
        <v>2971</v>
      </c>
      <c r="Z371" s="8" t="n">
        <v>4510</v>
      </c>
      <c r="AA371" s="9" t="n">
        <v>57235</v>
      </c>
      <c r="AB371" s="10" t="n">
        <v>1344</v>
      </c>
      <c r="AC371" s="10" t="n">
        <v>1071</v>
      </c>
      <c r="AD371" s="7" t="n">
        <v>54858</v>
      </c>
      <c r="AE371" s="8" t="n">
        <v>1680</v>
      </c>
      <c r="AF371" s="8" t="n">
        <v>5666</v>
      </c>
      <c r="AG371" s="9" t="n">
        <v>55174</v>
      </c>
      <c r="AH371" s="10" t="n">
        <v>1047</v>
      </c>
      <c r="AI371" s="10" t="n">
        <v>837</v>
      </c>
      <c r="AJ371" s="11" t="n">
        <v>52911</v>
      </c>
      <c r="AK371" s="12" t="n">
        <v>1935</v>
      </c>
      <c r="AL371" s="12" t="n">
        <v>-1232</v>
      </c>
      <c r="AM371" s="13" t="n">
        <v>-4.1</v>
      </c>
      <c r="AN371" s="13" t="n">
        <v>-7</v>
      </c>
      <c r="AO371" s="13" t="n">
        <v>84.8</v>
      </c>
      <c r="AP371" s="13" t="n">
        <v>-34.9</v>
      </c>
    </row>
    <row r="372">
      <c r="A372" s="5" t="inlineStr">
        <is>
          <t>신영스팩11호</t>
        </is>
      </c>
      <c r="B372" s="6" t="inlineStr">
        <is>
          <t>0091W0</t>
        </is>
      </c>
      <c r="C372" s="6" t="inlineStr">
        <is>
          <t>별도</t>
        </is>
      </c>
      <c r="D372" s="6" t="inlineStr">
        <is>
          <t>2026Q2</t>
        </is>
      </c>
      <c r="E372" s="6" t="inlineStr"/>
      <c r="F372" s="7" t="inlineStr"/>
      <c r="G372" s="8" t="inlineStr"/>
      <c r="H372" s="8" t="inlineStr"/>
      <c r="I372" s="9" t="inlineStr"/>
      <c r="J372" s="10" t="inlineStr"/>
      <c r="K372" s="10" t="inlineStr"/>
      <c r="L372" s="7" t="inlineStr"/>
      <c r="M372" s="8" t="inlineStr"/>
      <c r="N372" s="8" t="inlineStr"/>
      <c r="O372" s="9" t="inlineStr"/>
      <c r="P372" s="10" t="inlineStr"/>
      <c r="Q372" s="10" t="inlineStr"/>
      <c r="R372" s="7" t="inlineStr"/>
      <c r="S372" s="8" t="inlineStr"/>
      <c r="T372" s="8" t="inlineStr"/>
      <c r="U372" s="9" t="inlineStr"/>
      <c r="V372" s="10" t="inlineStr"/>
      <c r="W372" s="10" t="inlineStr"/>
      <c r="X372" s="7" t="inlineStr"/>
      <c r="Y372" s="8" t="inlineStr"/>
      <c r="Z372" s="8" t="inlineStr"/>
      <c r="AA372" s="9" t="inlineStr"/>
      <c r="AB372" s="10" t="inlineStr"/>
      <c r="AC372" s="10" t="inlineStr"/>
      <c r="AD372" s="7" t="inlineStr"/>
      <c r="AE372" s="8" t="inlineStr"/>
      <c r="AF372" s="8" t="inlineStr"/>
      <c r="AG372" s="9" t="n">
        <v>0</v>
      </c>
      <c r="AH372" s="10" t="n">
        <v>-11</v>
      </c>
      <c r="AI372" s="10" t="n">
        <v>43</v>
      </c>
      <c r="AJ372" s="11" t="n">
        <v>0</v>
      </c>
      <c r="AK372" s="12" t="n">
        <v>-15</v>
      </c>
      <c r="AL372" s="12" t="n">
        <v>42</v>
      </c>
      <c r="AM372" s="13" t="inlineStr"/>
      <c r="AN372" s="13" t="inlineStr"/>
      <c r="AO372" s="13" t="n">
        <v>-36.4</v>
      </c>
      <c r="AP372" s="13" t="inlineStr"/>
    </row>
    <row r="373">
      <c r="A373" s="5" t="inlineStr">
        <is>
          <t>무림페이퍼</t>
        </is>
      </c>
      <c r="B373" s="6" t="inlineStr">
        <is>
          <t>009200</t>
        </is>
      </c>
      <c r="C373" s="6" t="inlineStr">
        <is>
          <t>연결</t>
        </is>
      </c>
      <c r="D373" s="6" t="inlineStr">
        <is>
          <t>2026Q2</t>
        </is>
      </c>
      <c r="E373" s="6" t="inlineStr"/>
      <c r="F373" s="7" t="inlineStr"/>
      <c r="G373" s="8" t="inlineStr"/>
      <c r="H373" s="8" t="inlineStr"/>
      <c r="I373" s="9" t="n">
        <v>330796</v>
      </c>
      <c r="J373" s="10" t="n">
        <v>26101</v>
      </c>
      <c r="K373" s="10" t="n">
        <v>6456</v>
      </c>
      <c r="L373" s="7" t="n">
        <v>361530</v>
      </c>
      <c r="M373" s="8" t="n">
        <v>46874</v>
      </c>
      <c r="N373" s="8" t="n">
        <v>28602</v>
      </c>
      <c r="O373" s="9" t="n">
        <v>349928</v>
      </c>
      <c r="P373" s="10" t="n">
        <v>18014</v>
      </c>
      <c r="Q373" s="10" t="n">
        <v>9834</v>
      </c>
      <c r="R373" s="7" t="n">
        <v>342126</v>
      </c>
      <c r="S373" s="8" t="n">
        <v>-1595</v>
      </c>
      <c r="T373" s="8" t="n">
        <v>4454</v>
      </c>
      <c r="U373" s="9" t="n">
        <v>319075</v>
      </c>
      <c r="V373" s="10" t="n">
        <v>5129</v>
      </c>
      <c r="W373" s="10" t="n">
        <v>-1537</v>
      </c>
      <c r="X373" s="7" t="n">
        <v>300205</v>
      </c>
      <c r="Y373" s="8" t="n">
        <v>9845</v>
      </c>
      <c r="Z373" s="8" t="n">
        <v>4962</v>
      </c>
      <c r="AA373" s="9" t="n">
        <v>308146</v>
      </c>
      <c r="AB373" s="10" t="n">
        <v>-3541</v>
      </c>
      <c r="AC373" s="10" t="n">
        <v>-5195</v>
      </c>
      <c r="AD373" s="7" t="n">
        <v>337486</v>
      </c>
      <c r="AE373" s="8" t="n">
        <v>-5482</v>
      </c>
      <c r="AF373" s="8" t="n">
        <v>-21474</v>
      </c>
      <c r="AG373" s="9" t="n">
        <v>307390</v>
      </c>
      <c r="AH373" s="10" t="n">
        <v>159</v>
      </c>
      <c r="AI373" s="10" t="n">
        <v>-7767</v>
      </c>
      <c r="AJ373" s="11" t="n">
        <v>337689</v>
      </c>
      <c r="AK373" s="12" t="n">
        <v>28031</v>
      </c>
      <c r="AL373" s="12" t="n">
        <v>-58217</v>
      </c>
      <c r="AM373" s="13" t="n">
        <v>9.9</v>
      </c>
      <c r="AN373" s="13" t="n">
        <v>12.5</v>
      </c>
      <c r="AO373" s="13" t="n">
        <v>17529.6</v>
      </c>
      <c r="AP373" s="13" t="n">
        <v>184.7</v>
      </c>
    </row>
    <row r="374">
      <c r="A374" s="5" t="inlineStr">
        <is>
          <t>한샘</t>
        </is>
      </c>
      <c r="B374" s="6" t="inlineStr">
        <is>
          <t>009240</t>
        </is>
      </c>
      <c r="C374" s="6" t="inlineStr">
        <is>
          <t>연결</t>
        </is>
      </c>
      <c r="D374" s="6" t="inlineStr">
        <is>
          <t>2026Q2</t>
        </is>
      </c>
      <c r="E374" s="6" t="inlineStr">
        <is>
          <t>2023Q4</t>
        </is>
      </c>
      <c r="F374" s="14" t="n">
        <v>502013</v>
      </c>
      <c r="G374" s="15" t="n">
        <v>11539</v>
      </c>
      <c r="H374" s="15" t="n">
        <v>-34083</v>
      </c>
      <c r="I374" s="9" t="n">
        <v>485899</v>
      </c>
      <c r="J374" s="10" t="n">
        <v>12995</v>
      </c>
      <c r="K374" s="10" t="n">
        <v>48516</v>
      </c>
      <c r="L374" s="7" t="n">
        <v>477996</v>
      </c>
      <c r="M374" s="8" t="n">
        <v>7090</v>
      </c>
      <c r="N374" s="8" t="n">
        <v>13541</v>
      </c>
      <c r="O374" s="9" t="n">
        <v>454095</v>
      </c>
      <c r="P374" s="10" t="n">
        <v>7286</v>
      </c>
      <c r="Q374" s="10" t="n">
        <v>93045</v>
      </c>
      <c r="R374" s="7" t="n">
        <v>490401</v>
      </c>
      <c r="S374" s="8" t="n">
        <v>3858</v>
      </c>
      <c r="T374" s="8" t="n">
        <v>-3965</v>
      </c>
      <c r="U374" s="9" t="n">
        <v>443446</v>
      </c>
      <c r="V374" s="10" t="n">
        <v>6440</v>
      </c>
      <c r="W374" s="10" t="n">
        <v>9595</v>
      </c>
      <c r="X374" s="7" t="n">
        <v>459436</v>
      </c>
      <c r="Y374" s="8" t="n">
        <v>2256</v>
      </c>
      <c r="Z374" s="8" t="n">
        <v>32153</v>
      </c>
      <c r="AA374" s="9" t="n">
        <v>441392</v>
      </c>
      <c r="AB374" s="10" t="n">
        <v>6844</v>
      </c>
      <c r="AC374" s="10" t="n">
        <v>-54</v>
      </c>
      <c r="AD374" s="7" t="n">
        <v>400264</v>
      </c>
      <c r="AE374" s="8" t="n">
        <v>2951</v>
      </c>
      <c r="AF374" s="8" t="n">
        <v>4587</v>
      </c>
      <c r="AG374" s="9" t="n">
        <v>399418</v>
      </c>
      <c r="AH374" s="10" t="n">
        <v>10074</v>
      </c>
      <c r="AI374" s="10" t="n">
        <v>2625</v>
      </c>
      <c r="AJ374" s="11" t="n">
        <v>417233</v>
      </c>
      <c r="AK374" s="12" t="n">
        <v>11285</v>
      </c>
      <c r="AL374" s="12" t="n">
        <v>4769</v>
      </c>
      <c r="AM374" s="13" t="n">
        <v>4.5</v>
      </c>
      <c r="AN374" s="13" t="n">
        <v>-9.199999999999999</v>
      </c>
      <c r="AO374" s="13" t="n">
        <v>12</v>
      </c>
      <c r="AP374" s="13" t="n">
        <v>400.2</v>
      </c>
    </row>
    <row r="375">
      <c r="A375" s="5" t="inlineStr">
        <is>
          <t>신원</t>
        </is>
      </c>
      <c r="B375" s="6" t="inlineStr">
        <is>
          <t>009270</t>
        </is>
      </c>
      <c r="C375" s="6" t="inlineStr">
        <is>
          <t>연결</t>
        </is>
      </c>
      <c r="D375" s="6" t="inlineStr">
        <is>
          <t>2026Q2</t>
        </is>
      </c>
      <c r="E375" s="6" t="inlineStr"/>
      <c r="F375" s="7" t="inlineStr"/>
      <c r="G375" s="8" t="inlineStr"/>
      <c r="H375" s="8" t="inlineStr"/>
      <c r="I375" s="9" t="n">
        <v>215410</v>
      </c>
      <c r="J375" s="10" t="n">
        <v>9334</v>
      </c>
      <c r="K375" s="10" t="n">
        <v>3377</v>
      </c>
      <c r="L375" s="7" t="n">
        <v>218344</v>
      </c>
      <c r="M375" s="8" t="n">
        <v>5759</v>
      </c>
      <c r="N375" s="8" t="n">
        <v>-2029</v>
      </c>
      <c r="O375" s="9" t="n">
        <v>267476</v>
      </c>
      <c r="P375" s="10" t="n">
        <v>5203</v>
      </c>
      <c r="Q375" s="10" t="n">
        <v>-301</v>
      </c>
      <c r="R375" s="7" t="n">
        <v>238307</v>
      </c>
      <c r="S375" s="8" t="n">
        <v>5022</v>
      </c>
      <c r="T375" s="8" t="n">
        <v>4601</v>
      </c>
      <c r="U375" s="9" t="n">
        <v>259545</v>
      </c>
      <c r="V375" s="10" t="n">
        <v>6203</v>
      </c>
      <c r="W375" s="10" t="n">
        <v>-1573</v>
      </c>
      <c r="X375" s="7" t="n">
        <v>280172</v>
      </c>
      <c r="Y375" s="8" t="n">
        <v>1016</v>
      </c>
      <c r="Z375" s="8" t="n">
        <v>-3497</v>
      </c>
      <c r="AA375" s="9" t="n">
        <v>281142</v>
      </c>
      <c r="AB375" s="10" t="n">
        <v>1507</v>
      </c>
      <c r="AC375" s="10" t="n">
        <v>-1008</v>
      </c>
      <c r="AD375" s="7" t="n">
        <v>271395</v>
      </c>
      <c r="AE375" s="8" t="n">
        <v>10053</v>
      </c>
      <c r="AF375" s="8" t="n">
        <v>4447</v>
      </c>
      <c r="AG375" s="9" t="n">
        <v>280828</v>
      </c>
      <c r="AH375" s="10" t="n">
        <v>6280</v>
      </c>
      <c r="AI375" s="10" t="n">
        <v>1553</v>
      </c>
      <c r="AJ375" s="11" t="n">
        <v>309913</v>
      </c>
      <c r="AK375" s="12" t="n">
        <v>7558</v>
      </c>
      <c r="AL375" s="12" t="n">
        <v>-1045</v>
      </c>
      <c r="AM375" s="13" t="n">
        <v>10.4</v>
      </c>
      <c r="AN375" s="13" t="n">
        <v>10.6</v>
      </c>
      <c r="AO375" s="13" t="n">
        <v>20.4</v>
      </c>
      <c r="AP375" s="13" t="n">
        <v>643.9</v>
      </c>
    </row>
    <row r="376">
      <c r="A376" s="5" t="inlineStr">
        <is>
          <t>광동제약</t>
        </is>
      </c>
      <c r="B376" s="6" t="inlineStr">
        <is>
          <t>009290</t>
        </is>
      </c>
      <c r="C376" s="6" t="inlineStr">
        <is>
          <t>연결</t>
        </is>
      </c>
      <c r="D376" s="6" t="inlineStr">
        <is>
          <t>2026Q2</t>
        </is>
      </c>
      <c r="E376" s="6" t="inlineStr"/>
      <c r="F376" s="7" t="inlineStr"/>
      <c r="G376" s="8" t="inlineStr"/>
      <c r="H376" s="8" t="inlineStr"/>
      <c r="I376" s="9" t="n">
        <v>412486</v>
      </c>
      <c r="J376" s="10" t="n">
        <v>17030</v>
      </c>
      <c r="K376" s="10" t="n">
        <v>18360</v>
      </c>
      <c r="L376" s="7" t="n">
        <v>412813</v>
      </c>
      <c r="M376" s="8" t="n">
        <v>5042</v>
      </c>
      <c r="N376" s="8" t="n">
        <v>1698</v>
      </c>
      <c r="O376" s="9" t="n">
        <v>424589</v>
      </c>
      <c r="P376" s="10" t="n">
        <v>1372</v>
      </c>
      <c r="Q376" s="10" t="n">
        <v>8954</v>
      </c>
      <c r="R376" s="7" t="n">
        <v>390831</v>
      </c>
      <c r="S376" s="8" t="n">
        <v>6653</v>
      </c>
      <c r="T376" s="8" t="n">
        <v>12833</v>
      </c>
      <c r="U376" s="9" t="n">
        <v>377604</v>
      </c>
      <c r="V376" s="10" t="n">
        <v>3309</v>
      </c>
      <c r="W376" s="10" t="n">
        <v>4061</v>
      </c>
      <c r="X376" s="7" t="n">
        <v>425290</v>
      </c>
      <c r="Y376" s="8" t="n">
        <v>4541</v>
      </c>
      <c r="Z376" s="8" t="n">
        <v>2396</v>
      </c>
      <c r="AA376" s="9" t="n">
        <v>444517</v>
      </c>
      <c r="AB376" s="10" t="n">
        <v>10869</v>
      </c>
      <c r="AC376" s="10" t="n">
        <v>11106</v>
      </c>
      <c r="AD376" s="7" t="n">
        <v>412101</v>
      </c>
      <c r="AE376" s="8" t="n">
        <v>12327</v>
      </c>
      <c r="AF376" s="8" t="n">
        <v>3766</v>
      </c>
      <c r="AG376" s="9" t="n">
        <v>410854</v>
      </c>
      <c r="AH376" s="10" t="n">
        <v>7521</v>
      </c>
      <c r="AI376" s="10" t="n">
        <v>4900</v>
      </c>
      <c r="AJ376" s="11" t="n">
        <v>439816</v>
      </c>
      <c r="AK376" s="12" t="n">
        <v>2823</v>
      </c>
      <c r="AL376" s="12" t="n">
        <v>3164</v>
      </c>
      <c r="AM376" s="13" t="n">
        <v>7</v>
      </c>
      <c r="AN376" s="13" t="n">
        <v>3.4</v>
      </c>
      <c r="AO376" s="13" t="n">
        <v>-62.5</v>
      </c>
      <c r="AP376" s="13" t="n">
        <v>-37.8</v>
      </c>
    </row>
    <row r="377">
      <c r="A377" s="5" t="inlineStr">
        <is>
          <t>삼아제약</t>
        </is>
      </c>
      <c r="B377" s="6" t="inlineStr">
        <is>
          <t>009300</t>
        </is>
      </c>
      <c r="C377" s="6" t="inlineStr">
        <is>
          <t>연결</t>
        </is>
      </c>
      <c r="D377" s="6" t="inlineStr">
        <is>
          <t>2026Q2</t>
        </is>
      </c>
      <c r="E377" s="6" t="inlineStr"/>
      <c r="F377" s="7" t="inlineStr"/>
      <c r="G377" s="8" t="inlineStr"/>
      <c r="H377" s="8" t="inlineStr"/>
      <c r="I377" s="9" t="n">
        <v>29955</v>
      </c>
      <c r="J377" s="10" t="n">
        <v>11458</v>
      </c>
      <c r="K377" s="10" t="n">
        <v>9363</v>
      </c>
      <c r="L377" s="7" t="n">
        <v>25030</v>
      </c>
      <c r="M377" s="8" t="n">
        <v>7564</v>
      </c>
      <c r="N377" s="8" t="n">
        <v>6348</v>
      </c>
      <c r="O377" s="9" t="n">
        <v>20972</v>
      </c>
      <c r="P377" s="10" t="n">
        <v>1561</v>
      </c>
      <c r="Q377" s="10" t="n">
        <v>2103</v>
      </c>
      <c r="R377" s="7" t="n">
        <v>19624</v>
      </c>
      <c r="S377" s="8" t="n">
        <v>3883</v>
      </c>
      <c r="T377" s="8" t="n">
        <v>4266</v>
      </c>
      <c r="U377" s="9" t="n">
        <v>24500</v>
      </c>
      <c r="V377" s="10" t="n">
        <v>7437</v>
      </c>
      <c r="W377" s="10" t="n">
        <v>6283</v>
      </c>
      <c r="X377" s="7" t="n">
        <v>17422</v>
      </c>
      <c r="Y377" s="8" t="n">
        <v>2010</v>
      </c>
      <c r="Z377" s="8" t="n">
        <v>2693</v>
      </c>
      <c r="AA377" s="9" t="n">
        <v>15112</v>
      </c>
      <c r="AB377" s="10" t="n">
        <v>-1121</v>
      </c>
      <c r="AC377" s="10" t="n">
        <v>-54</v>
      </c>
      <c r="AD377" s="7" t="n">
        <v>20765</v>
      </c>
      <c r="AE377" s="8" t="n">
        <v>2653</v>
      </c>
      <c r="AF377" s="8" t="n">
        <v>4018</v>
      </c>
      <c r="AG377" s="9" t="n">
        <v>17629</v>
      </c>
      <c r="AH377" s="10" t="n">
        <v>2083</v>
      </c>
      <c r="AI377" s="10" t="n">
        <v>2230</v>
      </c>
      <c r="AJ377" s="11" t="n">
        <v>18779</v>
      </c>
      <c r="AK377" s="12" t="n">
        <v>1869</v>
      </c>
      <c r="AL377" s="12" t="n">
        <v>4351</v>
      </c>
      <c r="AM377" s="13" t="n">
        <v>6.5</v>
      </c>
      <c r="AN377" s="13" t="n">
        <v>7.8</v>
      </c>
      <c r="AO377" s="13" t="n">
        <v>-10.3</v>
      </c>
      <c r="AP377" s="13" t="n">
        <v>-7</v>
      </c>
    </row>
    <row r="378">
      <c r="A378" s="5" t="inlineStr">
        <is>
          <t>참엔지니어링</t>
        </is>
      </c>
      <c r="B378" s="6" t="inlineStr">
        <is>
          <t>009310</t>
        </is>
      </c>
      <c r="C378" s="6" t="inlineStr">
        <is>
          <t>연결</t>
        </is>
      </c>
      <c r="D378" s="6" t="inlineStr">
        <is>
          <t>2026Q2</t>
        </is>
      </c>
      <c r="E378" s="6" t="inlineStr"/>
      <c r="F378" s="7" t="inlineStr"/>
      <c r="G378" s="8" t="inlineStr"/>
      <c r="H378" s="8" t="inlineStr"/>
      <c r="I378" s="9" t="n">
        <v>19630</v>
      </c>
      <c r="J378" s="10" t="n">
        <v>-653</v>
      </c>
      <c r="K378" s="10" t="n">
        <v>633</v>
      </c>
      <c r="L378" s="7" t="n">
        <v>17345</v>
      </c>
      <c r="M378" s="8" t="n">
        <v>-8033</v>
      </c>
      <c r="N378" s="8" t="n">
        <v>-4564</v>
      </c>
      <c r="O378" s="9" t="n">
        <v>14456</v>
      </c>
      <c r="P378" s="10" t="n">
        <v>-11845</v>
      </c>
      <c r="Q378" s="10" t="n">
        <v>-10891</v>
      </c>
      <c r="R378" s="7" t="n">
        <v>13465</v>
      </c>
      <c r="S378" s="8" t="n">
        <v>-15307</v>
      </c>
      <c r="T378" s="8" t="n">
        <v>-10112</v>
      </c>
      <c r="U378" s="9" t="n">
        <v>10071</v>
      </c>
      <c r="V378" s="10" t="n">
        <v>-8768</v>
      </c>
      <c r="W378" s="10" t="n">
        <v>-7227</v>
      </c>
      <c r="X378" s="7" t="n">
        <v>18400</v>
      </c>
      <c r="Y378" s="8" t="n">
        <v>8688</v>
      </c>
      <c r="Z378" s="8" t="n">
        <v>2867</v>
      </c>
      <c r="AA378" s="9" t="n">
        <v>18195</v>
      </c>
      <c r="AB378" s="10" t="n">
        <v>-5995</v>
      </c>
      <c r="AC378" s="10" t="n">
        <v>-6165</v>
      </c>
      <c r="AD378" s="7" t="n">
        <v>13178</v>
      </c>
      <c r="AE378" s="8" t="n">
        <v>-1456</v>
      </c>
      <c r="AF378" s="8" t="n">
        <v>-3037</v>
      </c>
      <c r="AG378" s="9" t="n">
        <v>22568</v>
      </c>
      <c r="AH378" s="10" t="n">
        <v>5384</v>
      </c>
      <c r="AI378" s="10" t="n">
        <v>4189</v>
      </c>
      <c r="AJ378" s="11" t="n">
        <v>33819</v>
      </c>
      <c r="AK378" s="12" t="n">
        <v>-2462</v>
      </c>
      <c r="AL378" s="12" t="n">
        <v>-862</v>
      </c>
      <c r="AM378" s="13" t="n">
        <v>49.9</v>
      </c>
      <c r="AN378" s="13" t="n">
        <v>83.8</v>
      </c>
      <c r="AO378" s="13" t="n">
        <v>-145.7</v>
      </c>
      <c r="AP378" s="13" t="n">
        <v>-128.3</v>
      </c>
    </row>
    <row r="379">
      <c r="A379" s="5" t="inlineStr">
        <is>
          <t>아진전자부품</t>
        </is>
      </c>
      <c r="B379" s="6" t="inlineStr">
        <is>
          <t>009320</t>
        </is>
      </c>
      <c r="C379" s="6" t="inlineStr">
        <is>
          <t>연결</t>
        </is>
      </c>
      <c r="D379" s="6" t="inlineStr">
        <is>
          <t>2026Q2</t>
        </is>
      </c>
      <c r="E379" s="6" t="inlineStr"/>
      <c r="F379" s="7" t="inlineStr"/>
      <c r="G379" s="8" t="inlineStr"/>
      <c r="H379" s="8" t="inlineStr"/>
      <c r="I379" s="9" t="n">
        <v>29473</v>
      </c>
      <c r="J379" s="10" t="n">
        <v>305</v>
      </c>
      <c r="K379" s="10" t="n">
        <v>-813</v>
      </c>
      <c r="L379" s="7" t="n">
        <v>32203</v>
      </c>
      <c r="M379" s="8" t="n">
        <v>1257</v>
      </c>
      <c r="N379" s="8" t="n">
        <v>381</v>
      </c>
      <c r="O379" s="9" t="n">
        <v>37228</v>
      </c>
      <c r="P379" s="10" t="n">
        <v>1443</v>
      </c>
      <c r="Q379" s="10" t="n">
        <v>742</v>
      </c>
      <c r="R379" s="7" t="n">
        <v>44593</v>
      </c>
      <c r="S379" s="8" t="n">
        <v>2935</v>
      </c>
      <c r="T379" s="8" t="n">
        <v>609</v>
      </c>
      <c r="U379" s="9" t="n">
        <v>33418</v>
      </c>
      <c r="V379" s="10" t="n">
        <v>608</v>
      </c>
      <c r="W379" s="10" t="n">
        <v>588</v>
      </c>
      <c r="X379" s="7" t="n">
        <v>41423</v>
      </c>
      <c r="Y379" s="8" t="n">
        <v>2637</v>
      </c>
      <c r="Z379" s="8" t="n">
        <v>2593</v>
      </c>
      <c r="AA379" s="9" t="n">
        <v>41168</v>
      </c>
      <c r="AB379" s="10" t="n">
        <v>1962</v>
      </c>
      <c r="AC379" s="10" t="n">
        <v>1689</v>
      </c>
      <c r="AD379" s="7" t="n">
        <v>35823</v>
      </c>
      <c r="AE379" s="8" t="n">
        <v>1091</v>
      </c>
      <c r="AF379" s="8" t="n">
        <v>-519</v>
      </c>
      <c r="AG379" s="9" t="n">
        <v>36491</v>
      </c>
      <c r="AH379" s="10" t="n">
        <v>881</v>
      </c>
      <c r="AI379" s="10" t="n">
        <v>406</v>
      </c>
      <c r="AJ379" s="11" t="n">
        <v>38585</v>
      </c>
      <c r="AK379" s="12" t="n">
        <v>625</v>
      </c>
      <c r="AL379" s="12" t="n">
        <v>-113</v>
      </c>
      <c r="AM379" s="13" t="n">
        <v>5.7</v>
      </c>
      <c r="AN379" s="13" t="n">
        <v>-6.9</v>
      </c>
      <c r="AO379" s="13" t="n">
        <v>-29.1</v>
      </c>
      <c r="AP379" s="13" t="n">
        <v>-76.3</v>
      </c>
    </row>
    <row r="380">
      <c r="A380" s="5" t="inlineStr">
        <is>
          <t>미래에셋비전스팩8호</t>
        </is>
      </c>
      <c r="B380" s="6" t="inlineStr">
        <is>
          <t>0093G0</t>
        </is>
      </c>
      <c r="C380" s="6" t="inlineStr">
        <is>
          <t>별도</t>
        </is>
      </c>
      <c r="D380" s="6" t="inlineStr">
        <is>
          <t>2026Q2</t>
        </is>
      </c>
      <c r="E380" s="6" t="inlineStr"/>
      <c r="F380" s="7" t="inlineStr"/>
      <c r="G380" s="8" t="inlineStr"/>
      <c r="H380" s="8" t="inlineStr"/>
      <c r="I380" s="9" t="inlineStr"/>
      <c r="J380" s="10" t="inlineStr"/>
      <c r="K380" s="10" t="inlineStr"/>
      <c r="L380" s="7" t="inlineStr"/>
      <c r="M380" s="8" t="inlineStr"/>
      <c r="N380" s="8" t="inlineStr"/>
      <c r="O380" s="9" t="inlineStr"/>
      <c r="P380" s="10" t="inlineStr"/>
      <c r="Q380" s="10" t="inlineStr"/>
      <c r="R380" s="7" t="inlineStr"/>
      <c r="S380" s="8" t="inlineStr"/>
      <c r="T380" s="8" t="inlineStr"/>
      <c r="U380" s="9" t="inlineStr"/>
      <c r="V380" s="10" t="inlineStr"/>
      <c r="W380" s="10" t="inlineStr"/>
      <c r="X380" s="7" t="inlineStr"/>
      <c r="Y380" s="8" t="inlineStr"/>
      <c r="Z380" s="8" t="inlineStr"/>
      <c r="AA380" s="9" t="inlineStr"/>
      <c r="AB380" s="10" t="inlineStr"/>
      <c r="AC380" s="10" t="inlineStr"/>
      <c r="AD380" s="7" t="inlineStr"/>
      <c r="AE380" s="8" t="inlineStr"/>
      <c r="AF380" s="8" t="inlineStr"/>
      <c r="AG380" s="9" t="n">
        <v>0</v>
      </c>
      <c r="AH380" s="10" t="n">
        <v>-44</v>
      </c>
      <c r="AI380" s="10" t="n">
        <v>23</v>
      </c>
      <c r="AJ380" s="11" t="n">
        <v>0</v>
      </c>
      <c r="AK380" s="12" t="n">
        <v>-8</v>
      </c>
      <c r="AL380" s="12" t="n">
        <v>53</v>
      </c>
      <c r="AM380" s="13" t="inlineStr"/>
      <c r="AN380" s="13" t="inlineStr"/>
      <c r="AO380" s="13" t="n">
        <v>81.8</v>
      </c>
      <c r="AP380" s="13" t="inlineStr"/>
    </row>
    <row r="381">
      <c r="A381" s="5" t="inlineStr">
        <is>
          <t>태영건설</t>
        </is>
      </c>
      <c r="B381" s="6" t="inlineStr">
        <is>
          <t>009410</t>
        </is>
      </c>
      <c r="C381" s="6" t="inlineStr">
        <is>
          <t>연결</t>
        </is>
      </c>
      <c r="D381" s="6" t="inlineStr">
        <is>
          <t>2026Q2</t>
        </is>
      </c>
      <c r="E381" s="6" t="inlineStr"/>
      <c r="F381" s="7" t="inlineStr"/>
      <c r="G381" s="8" t="inlineStr"/>
      <c r="H381" s="8" t="inlineStr"/>
      <c r="I381" s="9" t="n">
        <v>721062</v>
      </c>
      <c r="J381" s="10" t="n">
        <v>37596</v>
      </c>
      <c r="K381" s="10" t="n">
        <v>-17788</v>
      </c>
      <c r="L381" s="7" t="n">
        <v>715596</v>
      </c>
      <c r="M381" s="8" t="n">
        <v>34446</v>
      </c>
      <c r="N381" s="8" t="n">
        <v>33364</v>
      </c>
      <c r="O381" s="9" t="n">
        <v>633046</v>
      </c>
      <c r="P381" s="10" t="n">
        <v>8552</v>
      </c>
      <c r="Q381" s="10" t="n">
        <v>12134</v>
      </c>
      <c r="R381" s="7" t="n">
        <v>616470</v>
      </c>
      <c r="S381" s="8" t="n">
        <v>-59952</v>
      </c>
      <c r="T381" s="8" t="n">
        <v>39094</v>
      </c>
      <c r="U381" s="9" t="n">
        <v>635416</v>
      </c>
      <c r="V381" s="10" t="n">
        <v>15516</v>
      </c>
      <c r="W381" s="10" t="n">
        <v>-38538</v>
      </c>
      <c r="X381" s="7" t="n">
        <v>563862</v>
      </c>
      <c r="Y381" s="8" t="n">
        <v>29880</v>
      </c>
      <c r="Z381" s="8" t="n">
        <v>-74788</v>
      </c>
      <c r="AA381" s="9" t="n">
        <v>507795</v>
      </c>
      <c r="AB381" s="10" t="n">
        <v>-5770</v>
      </c>
      <c r="AC381" s="10" t="n">
        <v>113849</v>
      </c>
      <c r="AD381" s="7" t="n">
        <v>467411</v>
      </c>
      <c r="AE381" s="8" t="n">
        <v>13163</v>
      </c>
      <c r="AF381" s="8" t="n">
        <v>95306</v>
      </c>
      <c r="AG381" s="9" t="n">
        <v>354852</v>
      </c>
      <c r="AH381" s="10" t="n">
        <v>17732</v>
      </c>
      <c r="AI381" s="10" t="n">
        <v>-2995</v>
      </c>
      <c r="AJ381" s="11" t="n">
        <v>320065</v>
      </c>
      <c r="AK381" s="12" t="n">
        <v>37171</v>
      </c>
      <c r="AL381" s="12" t="n">
        <v>-11466</v>
      </c>
      <c r="AM381" s="13" t="n">
        <v>-9.800000000000001</v>
      </c>
      <c r="AN381" s="13" t="n">
        <v>-43.2</v>
      </c>
      <c r="AO381" s="13" t="n">
        <v>109.6</v>
      </c>
      <c r="AP381" s="13" t="n">
        <v>24.4</v>
      </c>
    </row>
    <row r="382">
      <c r="A382" s="5" t="inlineStr">
        <is>
          <t>한올바이오파마</t>
        </is>
      </c>
      <c r="B382" s="6" t="inlineStr">
        <is>
          <t>009420</t>
        </is>
      </c>
      <c r="C382" s="6" t="inlineStr">
        <is>
          <t>연결</t>
        </is>
      </c>
      <c r="D382" s="6" t="inlineStr">
        <is>
          <t>2026Q2</t>
        </is>
      </c>
      <c r="E382" s="6" t="inlineStr">
        <is>
          <t>2023Q4</t>
        </is>
      </c>
      <c r="F382" s="14" t="n">
        <v>31718</v>
      </c>
      <c r="G382" s="15" t="n">
        <v>-3963</v>
      </c>
      <c r="H382" s="15" t="n">
        <v>-2524</v>
      </c>
      <c r="I382" s="9" t="n">
        <v>34094</v>
      </c>
      <c r="J382" s="10" t="n">
        <v>119</v>
      </c>
      <c r="K382" s="10" t="n">
        <v>-323</v>
      </c>
      <c r="L382" s="7" t="n">
        <v>31593</v>
      </c>
      <c r="M382" s="8" t="n">
        <v>-3057</v>
      </c>
      <c r="N382" s="8" t="n">
        <v>-3324</v>
      </c>
      <c r="O382" s="9" t="n">
        <v>36840</v>
      </c>
      <c r="P382" s="10" t="n">
        <v>430</v>
      </c>
      <c r="Q382" s="10" t="n">
        <v>222</v>
      </c>
      <c r="R382" s="7" t="n">
        <v>36417</v>
      </c>
      <c r="S382" s="8" t="n">
        <v>2738</v>
      </c>
      <c r="T382" s="8" t="n">
        <v>1620</v>
      </c>
      <c r="U382" s="9" t="n">
        <v>36150</v>
      </c>
      <c r="V382" s="10" t="n">
        <v>-394</v>
      </c>
      <c r="W382" s="10" t="n">
        <v>-208</v>
      </c>
      <c r="X382" s="7" t="n">
        <v>40682</v>
      </c>
      <c r="Y382" s="8" t="n">
        <v>1146</v>
      </c>
      <c r="Z382" s="8" t="n">
        <v>599</v>
      </c>
      <c r="AA382" s="9" t="n">
        <v>40804</v>
      </c>
      <c r="AB382" s="10" t="n">
        <v>349</v>
      </c>
      <c r="AC382" s="10" t="n">
        <v>299</v>
      </c>
      <c r="AD382" s="7" t="n">
        <v>37549</v>
      </c>
      <c r="AE382" s="8" t="n">
        <v>-2017</v>
      </c>
      <c r="AF382" s="8" t="n">
        <v>-6249</v>
      </c>
      <c r="AG382" s="9" t="n">
        <v>40031</v>
      </c>
      <c r="AH382" s="10" t="n">
        <v>839</v>
      </c>
      <c r="AI382" s="10" t="n">
        <v>275</v>
      </c>
      <c r="AJ382" s="11" t="n">
        <v>44276</v>
      </c>
      <c r="AK382" s="12" t="n">
        <v>5598</v>
      </c>
      <c r="AL382" s="12" t="n">
        <v>-19229</v>
      </c>
      <c r="AM382" s="13" t="n">
        <v>10.6</v>
      </c>
      <c r="AN382" s="13" t="n">
        <v>8.800000000000001</v>
      </c>
      <c r="AO382" s="13" t="n">
        <v>567.2</v>
      </c>
      <c r="AP382" s="13" t="n">
        <v>388.5</v>
      </c>
    </row>
    <row r="383">
      <c r="A383" s="5" t="inlineStr">
        <is>
          <t>KC그린홀딩스</t>
        </is>
      </c>
      <c r="B383" s="6" t="inlineStr">
        <is>
          <t>009440</t>
        </is>
      </c>
      <c r="C383" s="6" t="inlineStr">
        <is>
          <t>연결</t>
        </is>
      </c>
      <c r="D383" s="6" t="inlineStr">
        <is>
          <t>2026Q2</t>
        </is>
      </c>
      <c r="E383" s="6" t="inlineStr"/>
      <c r="F383" s="7" t="inlineStr"/>
      <c r="G383" s="8" t="inlineStr"/>
      <c r="H383" s="8" t="inlineStr"/>
      <c r="I383" s="9" t="n">
        <v>156509</v>
      </c>
      <c r="J383" s="10" t="n">
        <v>-7951</v>
      </c>
      <c r="K383" s="10" t="n">
        <v>96770</v>
      </c>
      <c r="L383" s="7" t="n">
        <v>120391</v>
      </c>
      <c r="M383" s="8" t="n">
        <v>-70279</v>
      </c>
      <c r="N383" s="8" t="n">
        <v>-49170</v>
      </c>
      <c r="O383" s="9" t="n">
        <v>126830</v>
      </c>
      <c r="P383" s="10" t="n">
        <v>-2673</v>
      </c>
      <c r="Q383" s="10" t="n">
        <v>21758</v>
      </c>
      <c r="R383" s="7" t="n">
        <v>17320</v>
      </c>
      <c r="S383" s="8" t="n">
        <v>15732</v>
      </c>
      <c r="T383" s="8" t="n">
        <v>-74343</v>
      </c>
      <c r="U383" s="9" t="n">
        <v>25829</v>
      </c>
      <c r="V383" s="10" t="n">
        <v>-1432</v>
      </c>
      <c r="W383" s="10" t="n">
        <v>-994</v>
      </c>
      <c r="X383" s="7" t="n">
        <v>26362</v>
      </c>
      <c r="Y383" s="8" t="n">
        <v>3607</v>
      </c>
      <c r="Z383" s="8" t="n">
        <v>6658</v>
      </c>
      <c r="AA383" s="9" t="n">
        <v>16038</v>
      </c>
      <c r="AB383" s="10" t="n">
        <v>43</v>
      </c>
      <c r="AC383" s="10" t="n">
        <v>-4935</v>
      </c>
      <c r="AD383" s="7" t="n">
        <v>17731</v>
      </c>
      <c r="AE383" s="8" t="n">
        <v>-3792</v>
      </c>
      <c r="AF383" s="8" t="n">
        <v>-41557</v>
      </c>
      <c r="AG383" s="9" t="n">
        <v>14921</v>
      </c>
      <c r="AH383" s="10" t="n">
        <v>-1073</v>
      </c>
      <c r="AI383" s="10" t="n">
        <v>82</v>
      </c>
      <c r="AJ383" s="11" t="n">
        <v>20390</v>
      </c>
      <c r="AK383" s="12" t="n">
        <v>2436</v>
      </c>
      <c r="AL383" s="12" t="n">
        <v>4045</v>
      </c>
      <c r="AM383" s="13" t="n">
        <v>36.7</v>
      </c>
      <c r="AN383" s="13" t="n">
        <v>-22.7</v>
      </c>
      <c r="AO383" s="13" t="n">
        <v>327</v>
      </c>
      <c r="AP383" s="13" t="n">
        <v>-32.5</v>
      </c>
    </row>
    <row r="384">
      <c r="A384" s="5" t="inlineStr">
        <is>
          <t>경동나비엔</t>
        </is>
      </c>
      <c r="B384" s="6" t="inlineStr">
        <is>
          <t>009450</t>
        </is>
      </c>
      <c r="C384" s="6" t="inlineStr">
        <is>
          <t>연결</t>
        </is>
      </c>
      <c r="D384" s="6" t="inlineStr">
        <is>
          <t>2026Q2</t>
        </is>
      </c>
      <c r="E384" s="6" t="inlineStr">
        <is>
          <t>2023Q4</t>
        </is>
      </c>
      <c r="F384" s="14" t="n">
        <v>375391</v>
      </c>
      <c r="G384" s="15" t="n">
        <v>35159</v>
      </c>
      <c r="H384" s="15" t="n">
        <v>22992</v>
      </c>
      <c r="I384" s="9" t="n">
        <v>323244</v>
      </c>
      <c r="J384" s="10" t="n">
        <v>32541</v>
      </c>
      <c r="K384" s="10" t="n">
        <v>31396</v>
      </c>
      <c r="L384" s="7" t="n">
        <v>307577</v>
      </c>
      <c r="M384" s="8" t="n">
        <v>29465</v>
      </c>
      <c r="N384" s="8" t="n">
        <v>28489</v>
      </c>
      <c r="O384" s="9" t="n">
        <v>322696</v>
      </c>
      <c r="P384" s="10" t="n">
        <v>36841</v>
      </c>
      <c r="Q384" s="10" t="n">
        <v>15750</v>
      </c>
      <c r="R384" s="7" t="n">
        <v>400362</v>
      </c>
      <c r="S384" s="8" t="n">
        <v>33729</v>
      </c>
      <c r="T384" s="8" t="n">
        <v>48706</v>
      </c>
      <c r="U384" s="9" t="n">
        <v>365181</v>
      </c>
      <c r="V384" s="10" t="n">
        <v>39450</v>
      </c>
      <c r="W384" s="10" t="n">
        <v>37706</v>
      </c>
      <c r="X384" s="7" t="n">
        <v>392277</v>
      </c>
      <c r="Y384" s="8" t="n">
        <v>51190</v>
      </c>
      <c r="Z384" s="8" t="n">
        <v>19335</v>
      </c>
      <c r="AA384" s="9" t="n">
        <v>306026</v>
      </c>
      <c r="AB384" s="10" t="n">
        <v>7993</v>
      </c>
      <c r="AC384" s="10" t="n">
        <v>13961</v>
      </c>
      <c r="AD384" s="7" t="n">
        <v>438756</v>
      </c>
      <c r="AE384" s="8" t="n">
        <v>44744</v>
      </c>
      <c r="AF384" s="8" t="n">
        <v>18697</v>
      </c>
      <c r="AG384" s="9" t="n">
        <v>425320</v>
      </c>
      <c r="AH384" s="10" t="n">
        <v>63810</v>
      </c>
      <c r="AI384" s="10" t="n">
        <v>58004</v>
      </c>
      <c r="AJ384" s="11" t="n">
        <v>388200</v>
      </c>
      <c r="AK384" s="12" t="n">
        <v>84261</v>
      </c>
      <c r="AL384" s="12" t="n">
        <v>68456</v>
      </c>
      <c r="AM384" s="13" t="n">
        <v>-8.699999999999999</v>
      </c>
      <c r="AN384" s="13" t="n">
        <v>-1</v>
      </c>
      <c r="AO384" s="13" t="n">
        <v>32</v>
      </c>
      <c r="AP384" s="13" t="n">
        <v>64.59999999999999</v>
      </c>
    </row>
    <row r="385">
      <c r="A385" s="5" t="inlineStr">
        <is>
          <t>한창제지</t>
        </is>
      </c>
      <c r="B385" s="6" t="inlineStr">
        <is>
          <t>009460</t>
        </is>
      </c>
      <c r="C385" s="6" t="inlineStr">
        <is>
          <t>별도</t>
        </is>
      </c>
      <c r="D385" s="6" t="inlineStr">
        <is>
          <t>2026Q2</t>
        </is>
      </c>
      <c r="E385" s="6" t="inlineStr"/>
      <c r="F385" s="7" t="inlineStr"/>
      <c r="G385" s="8" t="inlineStr"/>
      <c r="H385" s="8" t="inlineStr"/>
      <c r="I385" s="9" t="n">
        <v>73940</v>
      </c>
      <c r="J385" s="10" t="n">
        <v>2980</v>
      </c>
      <c r="K385" s="10" t="n">
        <v>731</v>
      </c>
      <c r="L385" s="7" t="n">
        <v>74145</v>
      </c>
      <c r="M385" s="8" t="n">
        <v>1200</v>
      </c>
      <c r="N385" s="8" t="n">
        <v>-508</v>
      </c>
      <c r="O385" s="9" t="n">
        <v>75863</v>
      </c>
      <c r="P385" s="10" t="n">
        <v>-220</v>
      </c>
      <c r="Q385" s="10" t="n">
        <v>-963</v>
      </c>
      <c r="R385" s="7" t="n">
        <v>70310</v>
      </c>
      <c r="S385" s="8" t="n">
        <v>-2818</v>
      </c>
      <c r="T385" s="8" t="n">
        <v>3380</v>
      </c>
      <c r="U385" s="9" t="n">
        <v>65618</v>
      </c>
      <c r="V385" s="10" t="n">
        <v>-1743</v>
      </c>
      <c r="W385" s="10" t="n">
        <v>-3143</v>
      </c>
      <c r="X385" s="7" t="n">
        <v>67412</v>
      </c>
      <c r="Y385" s="8" t="n">
        <v>-1727</v>
      </c>
      <c r="Z385" s="8" t="n">
        <v>-2570</v>
      </c>
      <c r="AA385" s="9" t="n">
        <v>68682</v>
      </c>
      <c r="AB385" s="10" t="n">
        <v>-386</v>
      </c>
      <c r="AC385" s="10" t="n">
        <v>-2149</v>
      </c>
      <c r="AD385" s="7" t="n">
        <v>65240</v>
      </c>
      <c r="AE385" s="8" t="n">
        <v>-1337</v>
      </c>
      <c r="AF385" s="8" t="n">
        <v>-5231</v>
      </c>
      <c r="AG385" s="9" t="n">
        <v>65647</v>
      </c>
      <c r="AH385" s="10" t="n">
        <v>1687</v>
      </c>
      <c r="AI385" s="10" t="n">
        <v>677</v>
      </c>
      <c r="AJ385" s="11" t="n">
        <v>71770</v>
      </c>
      <c r="AK385" s="12" t="n">
        <v>3960</v>
      </c>
      <c r="AL385" s="12" t="n">
        <v>941</v>
      </c>
      <c r="AM385" s="13" t="n">
        <v>9.300000000000001</v>
      </c>
      <c r="AN385" s="13" t="n">
        <v>6.5</v>
      </c>
      <c r="AO385" s="13" t="n">
        <v>134.7</v>
      </c>
      <c r="AP385" s="13" t="n">
        <v>329.3</v>
      </c>
    </row>
    <row r="386">
      <c r="A386" s="5" t="inlineStr">
        <is>
          <t>삼화전기</t>
        </is>
      </c>
      <c r="B386" s="6" t="inlineStr">
        <is>
          <t>009470</t>
        </is>
      </c>
      <c r="C386" s="6" t="inlineStr">
        <is>
          <t>연결</t>
        </is>
      </c>
      <c r="D386" s="6" t="inlineStr">
        <is>
          <t>2026Q2</t>
        </is>
      </c>
      <c r="E386" s="6" t="inlineStr"/>
      <c r="F386" s="7" t="inlineStr"/>
      <c r="G386" s="8" t="inlineStr"/>
      <c r="H386" s="8" t="inlineStr"/>
      <c r="I386" s="9" t="n">
        <v>58333</v>
      </c>
      <c r="J386" s="10" t="n">
        <v>7696</v>
      </c>
      <c r="K386" s="10" t="n">
        <v>6092</v>
      </c>
      <c r="L386" s="7" t="n">
        <v>61306</v>
      </c>
      <c r="M386" s="8" t="n">
        <v>9082</v>
      </c>
      <c r="N386" s="8" t="n">
        <v>7203</v>
      </c>
      <c r="O386" s="9" t="n">
        <v>58411</v>
      </c>
      <c r="P386" s="10" t="n">
        <v>6590</v>
      </c>
      <c r="Q386" s="10" t="n">
        <v>5309</v>
      </c>
      <c r="R386" s="7" t="n">
        <v>55066</v>
      </c>
      <c r="S386" s="8" t="n">
        <v>1421</v>
      </c>
      <c r="T386" s="8" t="n">
        <v>2070</v>
      </c>
      <c r="U386" s="9" t="n">
        <v>61704</v>
      </c>
      <c r="V386" s="10" t="n">
        <v>5738</v>
      </c>
      <c r="W386" s="10" t="n">
        <v>1154</v>
      </c>
      <c r="X386" s="7" t="n">
        <v>59227</v>
      </c>
      <c r="Y386" s="8" t="n">
        <v>5339</v>
      </c>
      <c r="Z386" s="8" t="n">
        <v>5798</v>
      </c>
      <c r="AA386" s="9" t="n">
        <v>54014</v>
      </c>
      <c r="AB386" s="10" t="n">
        <v>3089</v>
      </c>
      <c r="AC386" s="10" t="n">
        <v>1753</v>
      </c>
      <c r="AD386" s="7" t="n">
        <v>55123</v>
      </c>
      <c r="AE386" s="8" t="n">
        <v>-2129</v>
      </c>
      <c r="AF386" s="8" t="n">
        <v>2420</v>
      </c>
      <c r="AG386" s="9" t="n">
        <v>57447</v>
      </c>
      <c r="AH386" s="10" t="n">
        <v>3383</v>
      </c>
      <c r="AI386" s="10" t="n">
        <v>1832</v>
      </c>
      <c r="AJ386" s="11" t="n">
        <v>53622</v>
      </c>
      <c r="AK386" s="12" t="n">
        <v>1368</v>
      </c>
      <c r="AL386" s="12" t="n">
        <v>1015</v>
      </c>
      <c r="AM386" s="13" t="n">
        <v>-6.7</v>
      </c>
      <c r="AN386" s="13" t="n">
        <v>-9.5</v>
      </c>
      <c r="AO386" s="13" t="n">
        <v>-59.6</v>
      </c>
      <c r="AP386" s="13" t="n">
        <v>-74.40000000000001</v>
      </c>
    </row>
    <row r="387">
      <c r="A387" s="5" t="inlineStr">
        <is>
          <t>포스코엠텍</t>
        </is>
      </c>
      <c r="B387" s="6" t="inlineStr">
        <is>
          <t>009520</t>
        </is>
      </c>
      <c r="C387" s="6" t="inlineStr">
        <is>
          <t>별도</t>
        </is>
      </c>
      <c r="D387" s="6" t="inlineStr">
        <is>
          <t>2026Q2</t>
        </is>
      </c>
      <c r="E387" s="6" t="inlineStr">
        <is>
          <t>2023Q4</t>
        </is>
      </c>
      <c r="F387" s="14" t="n">
        <v>93898</v>
      </c>
      <c r="G387" s="15" t="n">
        <v>430</v>
      </c>
      <c r="H387" s="15" t="n">
        <v>679</v>
      </c>
      <c r="I387" s="9" t="n">
        <v>82152</v>
      </c>
      <c r="J387" s="10" t="n">
        <v>1512</v>
      </c>
      <c r="K387" s="10" t="n">
        <v>1564</v>
      </c>
      <c r="L387" s="7" t="n">
        <v>80569</v>
      </c>
      <c r="M387" s="8" t="n">
        <v>2006</v>
      </c>
      <c r="N387" s="8" t="n">
        <v>1862</v>
      </c>
      <c r="O387" s="9" t="n">
        <v>88180</v>
      </c>
      <c r="P387" s="10" t="n">
        <v>-3104</v>
      </c>
      <c r="Q387" s="10" t="n">
        <v>-2317</v>
      </c>
      <c r="R387" s="7" t="n">
        <v>95727</v>
      </c>
      <c r="S387" s="8" t="n">
        <v>1009</v>
      </c>
      <c r="T387" s="8" t="n">
        <v>-541</v>
      </c>
      <c r="U387" s="9" t="n">
        <v>86308</v>
      </c>
      <c r="V387" s="10" t="n">
        <v>-796</v>
      </c>
      <c r="W387" s="10" t="n">
        <v>-765</v>
      </c>
      <c r="X387" s="7" t="n">
        <v>89346</v>
      </c>
      <c r="Y387" s="8" t="n">
        <v>-3244</v>
      </c>
      <c r="Z387" s="8" t="n">
        <v>-3603</v>
      </c>
      <c r="AA387" s="9" t="n">
        <v>82878</v>
      </c>
      <c r="AB387" s="10" t="n">
        <v>1737</v>
      </c>
      <c r="AC387" s="10" t="n">
        <v>1332</v>
      </c>
      <c r="AD387" s="7" t="n">
        <v>98900</v>
      </c>
      <c r="AE387" s="8" t="n">
        <v>3337</v>
      </c>
      <c r="AF387" s="8" t="n">
        <v>4447</v>
      </c>
      <c r="AG387" s="9" t="n">
        <v>103340</v>
      </c>
      <c r="AH387" s="10" t="n">
        <v>2479</v>
      </c>
      <c r="AI387" s="10" t="n">
        <v>2238</v>
      </c>
      <c r="AJ387" s="11" t="n">
        <v>107196</v>
      </c>
      <c r="AK387" s="12" t="n">
        <v>9668</v>
      </c>
      <c r="AL387" s="12" t="n">
        <v>7733</v>
      </c>
      <c r="AM387" s="13" t="n">
        <v>3.7</v>
      </c>
      <c r="AN387" s="13" t="n">
        <v>20</v>
      </c>
      <c r="AO387" s="13" t="n">
        <v>290</v>
      </c>
      <c r="AP387" s="13" t="n">
        <v>398</v>
      </c>
    </row>
    <row r="388">
      <c r="A388" s="5" t="inlineStr">
        <is>
          <t>HD한국조선해양</t>
        </is>
      </c>
      <c r="B388" s="6" t="inlineStr">
        <is>
          <t>009540</t>
        </is>
      </c>
      <c r="C388" s="6" t="inlineStr">
        <is>
          <t>연결</t>
        </is>
      </c>
      <c r="D388" s="6" t="inlineStr">
        <is>
          <t>2026Q2</t>
        </is>
      </c>
      <c r="E388" s="6" t="inlineStr">
        <is>
          <t>2023Q4</t>
        </is>
      </c>
      <c r="F388" s="14" t="n">
        <v>5989000</v>
      </c>
      <c r="G388" s="15" t="n">
        <v>161100</v>
      </c>
      <c r="H388" s="15" t="n">
        <v>-88600</v>
      </c>
      <c r="I388" s="9" t="n">
        <v>5515626</v>
      </c>
      <c r="J388" s="10" t="n">
        <v>160163</v>
      </c>
      <c r="K388" s="10" t="n">
        <v>193346</v>
      </c>
      <c r="L388" s="7" t="n">
        <v>6615484</v>
      </c>
      <c r="M388" s="8" t="n">
        <v>376465</v>
      </c>
      <c r="N388" s="8" t="n">
        <v>357779</v>
      </c>
      <c r="O388" s="9" t="n">
        <v>6245756</v>
      </c>
      <c r="P388" s="10" t="n">
        <v>398408</v>
      </c>
      <c r="Q388" s="10" t="n">
        <v>176385</v>
      </c>
      <c r="R388" s="7" t="n">
        <v>7161711</v>
      </c>
      <c r="S388" s="8" t="n">
        <v>499054</v>
      </c>
      <c r="T388" s="8" t="n">
        <v>727070</v>
      </c>
      <c r="U388" s="9" t="n">
        <v>6771706</v>
      </c>
      <c r="V388" s="10" t="n">
        <v>859154</v>
      </c>
      <c r="W388" s="10" t="n">
        <v>611625</v>
      </c>
      <c r="X388" s="7" t="n">
        <v>7428417</v>
      </c>
      <c r="Y388" s="8" t="n">
        <v>953641</v>
      </c>
      <c r="Z388" s="8" t="n">
        <v>447073</v>
      </c>
      <c r="AA388" s="9" t="n">
        <v>7581436</v>
      </c>
      <c r="AB388" s="10" t="n">
        <v>1053775</v>
      </c>
      <c r="AC388" s="10" t="n">
        <v>876697</v>
      </c>
      <c r="AD388" s="7" t="n">
        <v>8151656</v>
      </c>
      <c r="AE388" s="8" t="n">
        <v>1037920</v>
      </c>
      <c r="AF388" s="8" t="n">
        <v>993000</v>
      </c>
      <c r="AG388" s="9" t="n">
        <v>8140890</v>
      </c>
      <c r="AH388" s="10" t="n">
        <v>1355970</v>
      </c>
      <c r="AI388" s="10" t="n">
        <v>1141412</v>
      </c>
      <c r="AJ388" s="11" t="n">
        <v>8927046</v>
      </c>
      <c r="AK388" s="12" t="n">
        <v>1645146</v>
      </c>
      <c r="AL388" s="12" t="n">
        <v>1594154</v>
      </c>
      <c r="AM388" s="13" t="n">
        <v>9.699999999999999</v>
      </c>
      <c r="AN388" s="13" t="n">
        <v>20.2</v>
      </c>
      <c r="AO388" s="13" t="n">
        <v>21.3</v>
      </c>
      <c r="AP388" s="13" t="n">
        <v>72.5</v>
      </c>
    </row>
    <row r="389">
      <c r="A389" s="5" t="inlineStr">
        <is>
          <t>무림P&amp;P</t>
        </is>
      </c>
      <c r="B389" s="6" t="inlineStr">
        <is>
          <t>009580</t>
        </is>
      </c>
      <c r="C389" s="6" t="inlineStr">
        <is>
          <t>연결</t>
        </is>
      </c>
      <c r="D389" s="6" t="inlineStr">
        <is>
          <t>2026Q2</t>
        </is>
      </c>
      <c r="E389" s="6" t="inlineStr"/>
      <c r="F389" s="7" t="inlineStr"/>
      <c r="G389" s="8" t="inlineStr"/>
      <c r="H389" s="8" t="inlineStr"/>
      <c r="I389" s="9" t="n">
        <v>188744</v>
      </c>
      <c r="J389" s="10" t="n">
        <v>6216</v>
      </c>
      <c r="K389" s="10" t="n">
        <v>-4602</v>
      </c>
      <c r="L389" s="7" t="n">
        <v>211408</v>
      </c>
      <c r="M389" s="8" t="n">
        <v>26500</v>
      </c>
      <c r="N389" s="8" t="n">
        <v>17075</v>
      </c>
      <c r="O389" s="9" t="n">
        <v>210234</v>
      </c>
      <c r="P389" s="10" t="n">
        <v>7320</v>
      </c>
      <c r="Q389" s="10" t="n">
        <v>6585</v>
      </c>
      <c r="R389" s="7" t="n">
        <v>201265</v>
      </c>
      <c r="S389" s="8" t="n">
        <v>-3564</v>
      </c>
      <c r="T389" s="8" t="n">
        <v>3539</v>
      </c>
      <c r="U389" s="9" t="n">
        <v>172965</v>
      </c>
      <c r="V389" s="10" t="n">
        <v>-8943</v>
      </c>
      <c r="W389" s="10" t="n">
        <v>-8731</v>
      </c>
      <c r="X389" s="7" t="n">
        <v>168350</v>
      </c>
      <c r="Y389" s="8" t="n">
        <v>-1361</v>
      </c>
      <c r="Z389" s="8" t="n">
        <v>1494</v>
      </c>
      <c r="AA389" s="9" t="n">
        <v>183843</v>
      </c>
      <c r="AB389" s="10" t="n">
        <v>-8564</v>
      </c>
      <c r="AC389" s="10" t="n">
        <v>-8654</v>
      </c>
      <c r="AD389" s="7" t="n">
        <v>206462</v>
      </c>
      <c r="AE389" s="8" t="n">
        <v>-5592</v>
      </c>
      <c r="AF389" s="8" t="n">
        <v>-17195</v>
      </c>
      <c r="AG389" s="9" t="n">
        <v>186182</v>
      </c>
      <c r="AH389" s="10" t="n">
        <v>-5830</v>
      </c>
      <c r="AI389" s="10" t="n">
        <v>-10058</v>
      </c>
      <c r="AJ389" s="11" t="n">
        <v>207911</v>
      </c>
      <c r="AK389" s="12" t="n">
        <v>-5059</v>
      </c>
      <c r="AL389" s="12" t="n">
        <v>-62577</v>
      </c>
      <c r="AM389" s="13" t="n">
        <v>11.7</v>
      </c>
      <c r="AN389" s="13" t="n">
        <v>23.5</v>
      </c>
      <c r="AO389" s="13" t="n">
        <v>13.2</v>
      </c>
      <c r="AP389" s="13" t="n">
        <v>-271.7</v>
      </c>
    </row>
    <row r="390">
      <c r="A390" s="5" t="inlineStr">
        <is>
          <t>삼보산업</t>
        </is>
      </c>
      <c r="B390" s="6" t="inlineStr">
        <is>
          <t>009620</t>
        </is>
      </c>
      <c r="C390" s="6" t="inlineStr">
        <is>
          <t>연결</t>
        </is>
      </c>
      <c r="D390" s="6" t="inlineStr">
        <is>
          <t>2026Q2</t>
        </is>
      </c>
      <c r="E390" s="6" t="inlineStr"/>
      <c r="F390" s="7" t="inlineStr"/>
      <c r="G390" s="8" t="inlineStr"/>
      <c r="H390" s="8" t="inlineStr"/>
      <c r="I390" s="9" t="n">
        <v>97380</v>
      </c>
      <c r="J390" s="10" t="n">
        <v>903</v>
      </c>
      <c r="K390" s="10" t="n">
        <v>-4436</v>
      </c>
      <c r="L390" s="7" t="n">
        <v>94745</v>
      </c>
      <c r="M390" s="8" t="n">
        <v>1403</v>
      </c>
      <c r="N390" s="8" t="n">
        <v>-4041</v>
      </c>
      <c r="O390" s="9" t="n">
        <v>75362</v>
      </c>
      <c r="P390" s="10" t="n">
        <v>-443</v>
      </c>
      <c r="Q390" s="10" t="n">
        <v>-3844</v>
      </c>
      <c r="R390" s="7" t="n">
        <v>73488</v>
      </c>
      <c r="S390" s="8" t="n">
        <v>-1234</v>
      </c>
      <c r="T390" s="8" t="n">
        <v>-10250</v>
      </c>
      <c r="U390" s="9" t="n">
        <v>67168</v>
      </c>
      <c r="V390" s="10" t="n">
        <v>3459</v>
      </c>
      <c r="W390" s="10" t="n">
        <v>896</v>
      </c>
      <c r="X390" s="7" t="n">
        <v>75652</v>
      </c>
      <c r="Y390" s="8" t="n">
        <v>4341</v>
      </c>
      <c r="Z390" s="8" t="n">
        <v>1913</v>
      </c>
      <c r="AA390" s="9" t="n">
        <v>72917</v>
      </c>
      <c r="AB390" s="10" t="n">
        <v>2736</v>
      </c>
      <c r="AC390" s="10" t="n">
        <v>-896</v>
      </c>
      <c r="AD390" s="7" t="n">
        <v>69919</v>
      </c>
      <c r="AE390" s="8" t="n">
        <v>-2648</v>
      </c>
      <c r="AF390" s="8" t="n">
        <v>-5165</v>
      </c>
      <c r="AG390" s="9" t="n">
        <v>77266</v>
      </c>
      <c r="AH390" s="10" t="n">
        <v>5387</v>
      </c>
      <c r="AI390" s="10" t="n">
        <v>343</v>
      </c>
      <c r="AJ390" s="11" t="n">
        <v>99496</v>
      </c>
      <c r="AK390" s="12" t="n">
        <v>7221</v>
      </c>
      <c r="AL390" s="12" t="n">
        <v>1917</v>
      </c>
      <c r="AM390" s="13" t="n">
        <v>28.8</v>
      </c>
      <c r="AN390" s="13" t="n">
        <v>31.5</v>
      </c>
      <c r="AO390" s="13" t="n">
        <v>34</v>
      </c>
      <c r="AP390" s="13" t="n">
        <v>66.3</v>
      </c>
    </row>
    <row r="391">
      <c r="A391" s="5" t="inlineStr">
        <is>
          <t>모토닉</t>
        </is>
      </c>
      <c r="B391" s="6" t="inlineStr">
        <is>
          <t>009680</t>
        </is>
      </c>
      <c r="C391" s="6" t="inlineStr">
        <is>
          <t>연결</t>
        </is>
      </c>
      <c r="D391" s="6" t="inlineStr">
        <is>
          <t>2026Q2</t>
        </is>
      </c>
      <c r="E391" s="6" t="inlineStr"/>
      <c r="F391" s="7" t="inlineStr"/>
      <c r="G391" s="8" t="inlineStr"/>
      <c r="H391" s="8" t="inlineStr"/>
      <c r="I391" s="9" t="n">
        <v>72073</v>
      </c>
      <c r="J391" s="10" t="n">
        <v>5013</v>
      </c>
      <c r="K391" s="10" t="n">
        <v>7247</v>
      </c>
      <c r="L391" s="7" t="n">
        <v>74441</v>
      </c>
      <c r="M391" s="8" t="n">
        <v>5304</v>
      </c>
      <c r="N391" s="8" t="n">
        <v>7618</v>
      </c>
      <c r="O391" s="9" t="n">
        <v>70656</v>
      </c>
      <c r="P391" s="10" t="n">
        <v>4516</v>
      </c>
      <c r="Q391" s="10" t="n">
        <v>6780</v>
      </c>
      <c r="R391" s="7" t="n">
        <v>73435</v>
      </c>
      <c r="S391" s="8" t="n">
        <v>8946</v>
      </c>
      <c r="T391" s="8" t="n">
        <v>10717</v>
      </c>
      <c r="U391" s="9" t="n">
        <v>71388</v>
      </c>
      <c r="V391" s="10" t="n">
        <v>4572</v>
      </c>
      <c r="W391" s="10" t="n">
        <v>7215</v>
      </c>
      <c r="X391" s="7" t="n">
        <v>71195</v>
      </c>
      <c r="Y391" s="8" t="n">
        <v>3867</v>
      </c>
      <c r="Z391" s="8" t="n">
        <v>5827</v>
      </c>
      <c r="AA391" s="9" t="n">
        <v>67782</v>
      </c>
      <c r="AB391" s="10" t="n">
        <v>4448</v>
      </c>
      <c r="AC391" s="10" t="n">
        <v>6643</v>
      </c>
      <c r="AD391" s="7" t="n">
        <v>69332</v>
      </c>
      <c r="AE391" s="8" t="n">
        <v>5648</v>
      </c>
      <c r="AF391" s="8" t="n">
        <v>7315</v>
      </c>
      <c r="AG391" s="9" t="n">
        <v>68316</v>
      </c>
      <c r="AH391" s="10" t="n">
        <v>4348</v>
      </c>
      <c r="AI391" s="10" t="n">
        <v>5730</v>
      </c>
      <c r="AJ391" s="11" t="n">
        <v>73662</v>
      </c>
      <c r="AK391" s="12" t="n">
        <v>5812</v>
      </c>
      <c r="AL391" s="12" t="n">
        <v>7032</v>
      </c>
      <c r="AM391" s="13" t="n">
        <v>7.8</v>
      </c>
      <c r="AN391" s="13" t="n">
        <v>3.5</v>
      </c>
      <c r="AO391" s="13" t="n">
        <v>33.7</v>
      </c>
      <c r="AP391" s="13" t="n">
        <v>50.3</v>
      </c>
    </row>
    <row r="392">
      <c r="A392" s="5" t="inlineStr">
        <is>
          <t>삼성스팩12호</t>
        </is>
      </c>
      <c r="B392" s="6" t="inlineStr">
        <is>
          <t>0096B0</t>
        </is>
      </c>
      <c r="C392" s="6" t="inlineStr">
        <is>
          <t>별도</t>
        </is>
      </c>
      <c r="D392" s="6" t="inlineStr">
        <is>
          <t>2026Q2</t>
        </is>
      </c>
      <c r="E392" s="6" t="inlineStr"/>
      <c r="F392" s="7" t="inlineStr"/>
      <c r="G392" s="8" t="inlineStr"/>
      <c r="H392" s="8" t="inlineStr"/>
      <c r="I392" s="9" t="inlineStr"/>
      <c r="J392" s="10" t="inlineStr"/>
      <c r="K392" s="10" t="inlineStr"/>
      <c r="L392" s="7" t="inlineStr"/>
      <c r="M392" s="8" t="inlineStr"/>
      <c r="N392" s="8" t="inlineStr"/>
      <c r="O392" s="9" t="inlineStr"/>
      <c r="P392" s="10" t="inlineStr"/>
      <c r="Q392" s="10" t="inlineStr"/>
      <c r="R392" s="7" t="inlineStr"/>
      <c r="S392" s="8" t="inlineStr"/>
      <c r="T392" s="8" t="inlineStr"/>
      <c r="U392" s="9" t="inlineStr"/>
      <c r="V392" s="10" t="inlineStr"/>
      <c r="W392" s="10" t="inlineStr"/>
      <c r="X392" s="7" t="inlineStr"/>
      <c r="Y392" s="8" t="inlineStr"/>
      <c r="Z392" s="8" t="inlineStr"/>
      <c r="AA392" s="9" t="inlineStr"/>
      <c r="AB392" s="10" t="inlineStr"/>
      <c r="AC392" s="10" t="inlineStr"/>
      <c r="AD392" s="7" t="inlineStr"/>
      <c r="AE392" s="8" t="inlineStr"/>
      <c r="AF392" s="8" t="inlineStr"/>
      <c r="AG392" s="9" t="n">
        <v>0</v>
      </c>
      <c r="AH392" s="10" t="n">
        <v>-20</v>
      </c>
      <c r="AI392" s="10" t="n">
        <v>49</v>
      </c>
      <c r="AJ392" s="11" t="n">
        <v>0</v>
      </c>
      <c r="AK392" s="12" t="n">
        <v>-16</v>
      </c>
      <c r="AL392" s="12" t="n">
        <v>52</v>
      </c>
      <c r="AM392" s="13" t="inlineStr"/>
      <c r="AN392" s="13" t="inlineStr"/>
      <c r="AO392" s="13" t="n">
        <v>20</v>
      </c>
      <c r="AP392" s="13" t="inlineStr"/>
    </row>
    <row r="393">
      <c r="A393" s="5" t="inlineStr">
        <is>
          <t>미래에셋비전스팩9호</t>
        </is>
      </c>
      <c r="B393" s="6" t="inlineStr">
        <is>
          <t>0096D0</t>
        </is>
      </c>
      <c r="C393" s="6" t="inlineStr">
        <is>
          <t>별도</t>
        </is>
      </c>
      <c r="D393" s="6" t="inlineStr">
        <is>
          <t>2026Q2</t>
        </is>
      </c>
      <c r="E393" s="6" t="inlineStr"/>
      <c r="F393" s="7" t="inlineStr"/>
      <c r="G393" s="8" t="inlineStr"/>
      <c r="H393" s="8" t="inlineStr"/>
      <c r="I393" s="9" t="inlineStr"/>
      <c r="J393" s="10" t="inlineStr"/>
      <c r="K393" s="10" t="inlineStr"/>
      <c r="L393" s="7" t="inlineStr"/>
      <c r="M393" s="8" t="inlineStr"/>
      <c r="N393" s="8" t="inlineStr"/>
      <c r="O393" s="9" t="inlineStr"/>
      <c r="P393" s="10" t="inlineStr"/>
      <c r="Q393" s="10" t="inlineStr"/>
      <c r="R393" s="7" t="inlineStr"/>
      <c r="S393" s="8" t="inlineStr"/>
      <c r="T393" s="8" t="inlineStr"/>
      <c r="U393" s="9" t="inlineStr"/>
      <c r="V393" s="10" t="inlineStr"/>
      <c r="W393" s="10" t="inlineStr"/>
      <c r="X393" s="7" t="inlineStr"/>
      <c r="Y393" s="8" t="inlineStr"/>
      <c r="Z393" s="8" t="inlineStr"/>
      <c r="AA393" s="9" t="inlineStr"/>
      <c r="AB393" s="10" t="inlineStr"/>
      <c r="AC393" s="10" t="inlineStr"/>
      <c r="AD393" s="7" t="inlineStr"/>
      <c r="AE393" s="8" t="inlineStr"/>
      <c r="AF393" s="8" t="inlineStr"/>
      <c r="AG393" s="9" t="inlineStr"/>
      <c r="AH393" s="10" t="n">
        <v>-21</v>
      </c>
      <c r="AI393" s="10" t="n">
        <v>31</v>
      </c>
      <c r="AJ393" s="11" t="n">
        <v>0</v>
      </c>
      <c r="AK393" s="12" t="n">
        <v>-9</v>
      </c>
      <c r="AL393" s="12" t="n">
        <v>41</v>
      </c>
      <c r="AM393" s="13" t="inlineStr"/>
      <c r="AN393" s="13" t="inlineStr"/>
      <c r="AO393" s="13" t="n">
        <v>57.1</v>
      </c>
      <c r="AP393" s="13" t="inlineStr"/>
    </row>
    <row r="394">
      <c r="A394" s="5" t="inlineStr">
        <is>
          <t>이렘</t>
        </is>
      </c>
      <c r="B394" s="6" t="inlineStr">
        <is>
          <t>009730</t>
        </is>
      </c>
      <c r="C394" s="6" t="inlineStr">
        <is>
          <t>별도</t>
        </is>
      </c>
      <c r="D394" s="6" t="inlineStr">
        <is>
          <t>2026Q2</t>
        </is>
      </c>
      <c r="E394" s="6" t="inlineStr"/>
      <c r="F394" s="7" t="inlineStr"/>
      <c r="G394" s="8" t="inlineStr"/>
      <c r="H394" s="8" t="inlineStr"/>
      <c r="I394" s="9" t="n">
        <v>28098</v>
      </c>
      <c r="J394" s="10" t="n">
        <v>241</v>
      </c>
      <c r="K394" s="10" t="n">
        <v>-220</v>
      </c>
      <c r="L394" s="7" t="n">
        <v>26617</v>
      </c>
      <c r="M394" s="8" t="n">
        <v>-692</v>
      </c>
      <c r="N394" s="8" t="n">
        <v>-2636</v>
      </c>
      <c r="O394" s="9" t="n">
        <v>25693</v>
      </c>
      <c r="P394" s="10" t="n">
        <v>-925</v>
      </c>
      <c r="Q394" s="10" t="n">
        <v>-2027</v>
      </c>
      <c r="R394" s="7" t="n">
        <v>29424</v>
      </c>
      <c r="S394" s="8" t="n">
        <v>-3347</v>
      </c>
      <c r="T394" s="8" t="n">
        <v>-10015</v>
      </c>
      <c r="U394" s="9" t="n">
        <v>26662</v>
      </c>
      <c r="V394" s="10" t="n">
        <v>-2886</v>
      </c>
      <c r="W394" s="10" t="n">
        <v>-3929</v>
      </c>
      <c r="X394" s="7" t="n">
        <v>23073</v>
      </c>
      <c r="Y394" s="8" t="n">
        <v>-3069</v>
      </c>
      <c r="Z394" s="8" t="n">
        <v>-1211</v>
      </c>
      <c r="AA394" s="9" t="n">
        <v>23841</v>
      </c>
      <c r="AB394" s="10" t="n">
        <v>-2801</v>
      </c>
      <c r="AC394" s="10" t="n">
        <v>-3600</v>
      </c>
      <c r="AD394" s="7" t="n">
        <v>18419</v>
      </c>
      <c r="AE394" s="8" t="n">
        <v>-5134</v>
      </c>
      <c r="AF394" s="8" t="n">
        <v>-8092</v>
      </c>
      <c r="AG394" s="9" t="n">
        <v>16992</v>
      </c>
      <c r="AH394" s="10" t="n">
        <v>-2365</v>
      </c>
      <c r="AI394" s="10" t="n">
        <v>-3010</v>
      </c>
      <c r="AJ394" s="11" t="n">
        <v>15754</v>
      </c>
      <c r="AK394" s="12" t="n">
        <v>-4420</v>
      </c>
      <c r="AL394" s="12" t="n">
        <v>-5393</v>
      </c>
      <c r="AM394" s="13" t="n">
        <v>-7.3</v>
      </c>
      <c r="AN394" s="13" t="n">
        <v>-31.7</v>
      </c>
      <c r="AO394" s="13" t="n">
        <v>-86.90000000000001</v>
      </c>
      <c r="AP394" s="13" t="n">
        <v>-44</v>
      </c>
    </row>
    <row r="395">
      <c r="A395" s="5" t="inlineStr">
        <is>
          <t>삼정펄프</t>
        </is>
      </c>
      <c r="B395" s="6" t="inlineStr">
        <is>
          <t>009770</t>
        </is>
      </c>
      <c r="C395" s="6" t="inlineStr">
        <is>
          <t>별도</t>
        </is>
      </c>
      <c r="D395" s="6" t="inlineStr">
        <is>
          <t>2026Q2</t>
        </is>
      </c>
      <c r="E395" s="6" t="inlineStr"/>
      <c r="F395" s="7" t="inlineStr"/>
      <c r="G395" s="8" t="inlineStr"/>
      <c r="H395" s="8" t="inlineStr"/>
      <c r="I395" s="9" t="n">
        <v>39563</v>
      </c>
      <c r="J395" s="10" t="n">
        <v>1396</v>
      </c>
      <c r="K395" s="10" t="n">
        <v>17630</v>
      </c>
      <c r="L395" s="7" t="n">
        <v>40913</v>
      </c>
      <c r="M395" s="8" t="n">
        <v>1691</v>
      </c>
      <c r="N395" s="8" t="n">
        <v>15987</v>
      </c>
      <c r="O395" s="9" t="n">
        <v>40265</v>
      </c>
      <c r="P395" s="10" t="n">
        <v>465</v>
      </c>
      <c r="Q395" s="10" t="n">
        <v>5985</v>
      </c>
      <c r="R395" s="7" t="n">
        <v>43143</v>
      </c>
      <c r="S395" s="8" t="n">
        <v>1316</v>
      </c>
      <c r="T395" s="8" t="n">
        <v>-1647</v>
      </c>
      <c r="U395" s="9" t="n">
        <v>39729</v>
      </c>
      <c r="V395" s="10" t="n">
        <v>417</v>
      </c>
      <c r="W395" s="10" t="n">
        <v>7178</v>
      </c>
      <c r="X395" s="7" t="n">
        <v>38889</v>
      </c>
      <c r="Y395" s="8" t="n">
        <v>1000</v>
      </c>
      <c r="Z395" s="8" t="n">
        <v>6591</v>
      </c>
      <c r="AA395" s="9" t="n">
        <v>38611</v>
      </c>
      <c r="AB395" s="10" t="n">
        <v>-192</v>
      </c>
      <c r="AC395" s="10" t="n">
        <v>14195</v>
      </c>
      <c r="AD395" s="7" t="n">
        <v>31337</v>
      </c>
      <c r="AE395" s="8" t="n">
        <v>-2665</v>
      </c>
      <c r="AF395" s="8" t="n">
        <v>3427</v>
      </c>
      <c r="AG395" s="9" t="n">
        <v>26941</v>
      </c>
      <c r="AH395" s="10" t="n">
        <v>-1058</v>
      </c>
      <c r="AI395" s="10" t="n">
        <v>-15971</v>
      </c>
      <c r="AJ395" s="11" t="n">
        <v>29637</v>
      </c>
      <c r="AK395" s="12" t="n">
        <v>-10</v>
      </c>
      <c r="AL395" s="12" t="n">
        <v>13542</v>
      </c>
      <c r="AM395" s="13" t="n">
        <v>10</v>
      </c>
      <c r="AN395" s="13" t="n">
        <v>-23.8</v>
      </c>
      <c r="AO395" s="13" t="n">
        <v>99.09999999999999</v>
      </c>
      <c r="AP395" s="13" t="n">
        <v>-101</v>
      </c>
    </row>
    <row r="396">
      <c r="A396" s="5" t="inlineStr">
        <is>
          <t>엠에스씨</t>
        </is>
      </c>
      <c r="B396" s="6" t="inlineStr">
        <is>
          <t>009780</t>
        </is>
      </c>
      <c r="C396" s="6" t="inlineStr">
        <is>
          <t>연결</t>
        </is>
      </c>
      <c r="D396" s="6" t="inlineStr">
        <is>
          <t>2026Q2</t>
        </is>
      </c>
      <c r="E396" s="6" t="inlineStr"/>
      <c r="F396" s="7" t="inlineStr"/>
      <c r="G396" s="8" t="inlineStr"/>
      <c r="H396" s="8" t="inlineStr"/>
      <c r="I396" s="9" t="n">
        <v>45588</v>
      </c>
      <c r="J396" s="10" t="n">
        <v>4822</v>
      </c>
      <c r="K396" s="10" t="n">
        <v>4087</v>
      </c>
      <c r="L396" s="7" t="n">
        <v>46397</v>
      </c>
      <c r="M396" s="8" t="n">
        <v>7563</v>
      </c>
      <c r="N396" s="8" t="n">
        <v>5673</v>
      </c>
      <c r="O396" s="9" t="n">
        <v>46988</v>
      </c>
      <c r="P396" s="10" t="n">
        <v>7526</v>
      </c>
      <c r="Q396" s="10" t="n">
        <v>5758</v>
      </c>
      <c r="R396" s="7" t="n">
        <v>50784</v>
      </c>
      <c r="S396" s="8" t="n">
        <v>7607</v>
      </c>
      <c r="T396" s="8" t="n">
        <v>6246</v>
      </c>
      <c r="U396" s="9" t="n">
        <v>48217</v>
      </c>
      <c r="V396" s="10" t="n">
        <v>8125</v>
      </c>
      <c r="W396" s="10" t="n">
        <v>6447</v>
      </c>
      <c r="X396" s="7" t="n">
        <v>50834</v>
      </c>
      <c r="Y396" s="8" t="n">
        <v>9196</v>
      </c>
      <c r="Z396" s="8" t="n">
        <v>6140</v>
      </c>
      <c r="AA396" s="9" t="n">
        <v>51820</v>
      </c>
      <c r="AB396" s="10" t="n">
        <v>7210</v>
      </c>
      <c r="AC396" s="10" t="n">
        <v>5366</v>
      </c>
      <c r="AD396" s="7" t="n">
        <v>46792</v>
      </c>
      <c r="AE396" s="8" t="n">
        <v>5123</v>
      </c>
      <c r="AF396" s="8" t="n">
        <v>5055</v>
      </c>
      <c r="AG396" s="9" t="n">
        <v>48175</v>
      </c>
      <c r="AH396" s="10" t="n">
        <v>8031</v>
      </c>
      <c r="AI396" s="10" t="n">
        <v>6712</v>
      </c>
      <c r="AJ396" s="11" t="n">
        <v>56262</v>
      </c>
      <c r="AK396" s="12" t="n">
        <v>11663</v>
      </c>
      <c r="AL396" s="12" t="n">
        <v>9692</v>
      </c>
      <c r="AM396" s="13" t="n">
        <v>16.8</v>
      </c>
      <c r="AN396" s="13" t="n">
        <v>10.7</v>
      </c>
      <c r="AO396" s="13" t="n">
        <v>45.2</v>
      </c>
      <c r="AP396" s="13" t="n">
        <v>26.8</v>
      </c>
    </row>
    <row r="397">
      <c r="A397" s="5" t="inlineStr">
        <is>
          <t>미래에셋비전스팩10호</t>
        </is>
      </c>
      <c r="B397" s="6" t="inlineStr">
        <is>
          <t>0097F0</t>
        </is>
      </c>
      <c r="C397" s="6" t="inlineStr">
        <is>
          <t>별도</t>
        </is>
      </c>
      <c r="D397" s="6" t="inlineStr">
        <is>
          <t>2026Q2</t>
        </is>
      </c>
      <c r="E397" s="6" t="inlineStr"/>
      <c r="F397" s="7" t="inlineStr"/>
      <c r="G397" s="8" t="inlineStr"/>
      <c r="H397" s="8" t="inlineStr"/>
      <c r="I397" s="9" t="inlineStr"/>
      <c r="J397" s="10" t="inlineStr"/>
      <c r="K397" s="10" t="inlineStr"/>
      <c r="L397" s="7" t="inlineStr"/>
      <c r="M397" s="8" t="inlineStr"/>
      <c r="N397" s="8" t="inlineStr"/>
      <c r="O397" s="9" t="inlineStr"/>
      <c r="P397" s="10" t="inlineStr"/>
      <c r="Q397" s="10" t="inlineStr"/>
      <c r="R397" s="7" t="inlineStr"/>
      <c r="S397" s="8" t="inlineStr"/>
      <c r="T397" s="8" t="inlineStr"/>
      <c r="U397" s="9" t="inlineStr"/>
      <c r="V397" s="10" t="inlineStr"/>
      <c r="W397" s="10" t="inlineStr"/>
      <c r="X397" s="7" t="inlineStr"/>
      <c r="Y397" s="8" t="inlineStr"/>
      <c r="Z397" s="8" t="inlineStr"/>
      <c r="AA397" s="9" t="inlineStr"/>
      <c r="AB397" s="10" t="inlineStr"/>
      <c r="AC397" s="10" t="inlineStr"/>
      <c r="AD397" s="7" t="inlineStr"/>
      <c r="AE397" s="8" t="inlineStr"/>
      <c r="AF397" s="8" t="inlineStr"/>
      <c r="AG397" s="9" t="n">
        <v>0</v>
      </c>
      <c r="AH397" s="10" t="n">
        <v>-14</v>
      </c>
      <c r="AI397" s="10" t="n">
        <v>45</v>
      </c>
      <c r="AJ397" s="11" t="n">
        <v>0</v>
      </c>
      <c r="AK397" s="12" t="n">
        <v>-22</v>
      </c>
      <c r="AL397" s="12" t="n">
        <v>40</v>
      </c>
      <c r="AM397" s="13" t="inlineStr"/>
      <c r="AN397" s="13" t="inlineStr"/>
      <c r="AO397" s="13" t="n">
        <v>-57.1</v>
      </c>
      <c r="AP397" s="13" t="inlineStr"/>
    </row>
    <row r="398">
      <c r="A398" s="5" t="inlineStr">
        <is>
          <t>플레이그램</t>
        </is>
      </c>
      <c r="B398" s="6" t="inlineStr">
        <is>
          <t>009810</t>
        </is>
      </c>
      <c r="C398" s="6" t="inlineStr">
        <is>
          <t>연결</t>
        </is>
      </c>
      <c r="D398" s="6" t="inlineStr">
        <is>
          <t>2026Q2</t>
        </is>
      </c>
      <c r="E398" s="6" t="inlineStr"/>
      <c r="F398" s="7" t="inlineStr"/>
      <c r="G398" s="8" t="inlineStr"/>
      <c r="H398" s="8" t="inlineStr"/>
      <c r="I398" s="9" t="n">
        <v>61397</v>
      </c>
      <c r="J398" s="10" t="n">
        <v>-600</v>
      </c>
      <c r="K398" s="10" t="n">
        <v>-1160</v>
      </c>
      <c r="L398" s="7" t="n">
        <v>74334</v>
      </c>
      <c r="M398" s="8" t="n">
        <v>-482</v>
      </c>
      <c r="N398" s="8" t="n">
        <v>-5716</v>
      </c>
      <c r="O398" s="9" t="n">
        <v>65764</v>
      </c>
      <c r="P398" s="10" t="n">
        <v>-342</v>
      </c>
      <c r="Q398" s="10" t="n">
        <v>-2974</v>
      </c>
      <c r="R398" s="7" t="n">
        <v>66849</v>
      </c>
      <c r="S398" s="8" t="n">
        <v>-3675</v>
      </c>
      <c r="T398" s="8" t="n">
        <v>7536</v>
      </c>
      <c r="U398" s="9" t="n">
        <v>67289</v>
      </c>
      <c r="V398" s="10" t="n">
        <v>-1448</v>
      </c>
      <c r="W398" s="10" t="n">
        <v>453</v>
      </c>
      <c r="X398" s="7" t="n">
        <v>55127</v>
      </c>
      <c r="Y398" s="8" t="n">
        <v>-48</v>
      </c>
      <c r="Z398" s="8" t="n">
        <v>-3113</v>
      </c>
      <c r="AA398" s="9" t="n">
        <v>62573</v>
      </c>
      <c r="AB398" s="10" t="n">
        <v>-194</v>
      </c>
      <c r="AC398" s="10" t="n">
        <v>3458</v>
      </c>
      <c r="AD398" s="7" t="n">
        <v>65933</v>
      </c>
      <c r="AE398" s="8" t="n">
        <v>-2707</v>
      </c>
      <c r="AF398" s="8" t="n">
        <v>-3777</v>
      </c>
      <c r="AG398" s="9" t="n">
        <v>65692</v>
      </c>
      <c r="AH398" s="10" t="n">
        <v>1673</v>
      </c>
      <c r="AI398" s="10" t="n">
        <v>-1171</v>
      </c>
      <c r="AJ398" s="11" t="n">
        <v>81299</v>
      </c>
      <c r="AK398" s="12" t="n">
        <v>2544</v>
      </c>
      <c r="AL398" s="12" t="n">
        <v>3419</v>
      </c>
      <c r="AM398" s="13" t="n">
        <v>23.8</v>
      </c>
      <c r="AN398" s="13" t="n">
        <v>47.5</v>
      </c>
      <c r="AO398" s="13" t="n">
        <v>52.1</v>
      </c>
      <c r="AP398" s="13" t="n">
        <v>5400</v>
      </c>
    </row>
    <row r="399">
      <c r="A399" s="5" t="inlineStr">
        <is>
          <t>한화솔루션</t>
        </is>
      </c>
      <c r="B399" s="6" t="inlineStr">
        <is>
          <t>009830</t>
        </is>
      </c>
      <c r="C399" s="6" t="inlineStr">
        <is>
          <t>연결</t>
        </is>
      </c>
      <c r="D399" s="6" t="inlineStr">
        <is>
          <t>2026Q2</t>
        </is>
      </c>
      <c r="E399" s="6" t="inlineStr">
        <is>
          <t>2023Q4</t>
        </is>
      </c>
      <c r="F399" s="14" t="n">
        <v>3869708</v>
      </c>
      <c r="G399" s="15" t="n">
        <v>40687</v>
      </c>
      <c r="H399" s="15" t="n">
        <v>-330110</v>
      </c>
      <c r="I399" s="9" t="n">
        <v>2392857</v>
      </c>
      <c r="J399" s="10" t="n">
        <v>-216643</v>
      </c>
      <c r="K399" s="10" t="n">
        <v>-448381</v>
      </c>
      <c r="L399" s="7" t="n">
        <v>2679309</v>
      </c>
      <c r="M399" s="8" t="n">
        <v>-107757</v>
      </c>
      <c r="N399" s="8" t="n">
        <v>-329745</v>
      </c>
      <c r="O399" s="9" t="n">
        <v>2773249</v>
      </c>
      <c r="P399" s="10" t="n">
        <v>-80991</v>
      </c>
      <c r="Q399" s="10" t="n">
        <v>-387646</v>
      </c>
      <c r="R399" s="7" t="n">
        <v>4548609</v>
      </c>
      <c r="S399" s="8" t="n">
        <v>105153</v>
      </c>
      <c r="T399" s="8" t="n">
        <v>-203208</v>
      </c>
      <c r="U399" s="9" t="n">
        <v>3094476</v>
      </c>
      <c r="V399" s="10" t="n">
        <v>30314</v>
      </c>
      <c r="W399" s="10" t="n">
        <v>-30195</v>
      </c>
      <c r="X399" s="7" t="n">
        <v>3117265</v>
      </c>
      <c r="Y399" s="8" t="n">
        <v>102067</v>
      </c>
      <c r="Z399" s="8" t="n">
        <v>-178439</v>
      </c>
      <c r="AA399" s="9" t="n">
        <v>3364316</v>
      </c>
      <c r="AB399" s="10" t="n">
        <v>-7418</v>
      </c>
      <c r="AC399" s="10" t="n">
        <v>4522</v>
      </c>
      <c r="AD399" s="7" t="n">
        <v>3756998</v>
      </c>
      <c r="AE399" s="8" t="n">
        <v>-489722</v>
      </c>
      <c r="AF399" s="8" t="n">
        <v>-411170</v>
      </c>
      <c r="AG399" s="9" t="n">
        <v>3881952</v>
      </c>
      <c r="AH399" s="10" t="n">
        <v>92610</v>
      </c>
      <c r="AI399" s="10" t="n">
        <v>-38198</v>
      </c>
      <c r="AJ399" s="11" t="n">
        <v>4582655</v>
      </c>
      <c r="AK399" s="12" t="n">
        <v>306534</v>
      </c>
      <c r="AL399" s="12" t="n">
        <v>292871</v>
      </c>
      <c r="AM399" s="13" t="n">
        <v>18.1</v>
      </c>
      <c r="AN399" s="13" t="n">
        <v>47</v>
      </c>
      <c r="AO399" s="13" t="n">
        <v>231</v>
      </c>
      <c r="AP399" s="13" t="n">
        <v>200.3</v>
      </c>
    </row>
    <row r="400">
      <c r="A400" s="5" t="inlineStr">
        <is>
          <t>교보19호스팩</t>
        </is>
      </c>
      <c r="B400" s="6" t="inlineStr">
        <is>
          <t>0098T0</t>
        </is>
      </c>
      <c r="C400" s="6" t="inlineStr">
        <is>
          <t>별도</t>
        </is>
      </c>
      <c r="D400" s="6" t="inlineStr">
        <is>
          <t>2026Q2</t>
        </is>
      </c>
      <c r="E400" s="6" t="inlineStr"/>
      <c r="F400" s="7" t="inlineStr"/>
      <c r="G400" s="8" t="inlineStr"/>
      <c r="H400" s="8" t="inlineStr"/>
      <c r="I400" s="9" t="inlineStr"/>
      <c r="J400" s="10" t="inlineStr"/>
      <c r="K400" s="10" t="inlineStr"/>
      <c r="L400" s="7" t="inlineStr"/>
      <c r="M400" s="8" t="inlineStr"/>
      <c r="N400" s="8" t="inlineStr"/>
      <c r="O400" s="9" t="inlineStr"/>
      <c r="P400" s="10" t="inlineStr"/>
      <c r="Q400" s="10" t="inlineStr"/>
      <c r="R400" s="7" t="inlineStr"/>
      <c r="S400" s="8" t="inlineStr"/>
      <c r="T400" s="8" t="inlineStr"/>
      <c r="U400" s="9" t="inlineStr"/>
      <c r="V400" s="10" t="inlineStr"/>
      <c r="W400" s="10" t="inlineStr"/>
      <c r="X400" s="7" t="inlineStr"/>
      <c r="Y400" s="8" t="inlineStr"/>
      <c r="Z400" s="8" t="inlineStr"/>
      <c r="AA400" s="9" t="inlineStr"/>
      <c r="AB400" s="10" t="inlineStr"/>
      <c r="AC400" s="10" t="inlineStr"/>
      <c r="AD400" s="7" t="inlineStr"/>
      <c r="AE400" s="8" t="inlineStr"/>
      <c r="AF400" s="8" t="inlineStr"/>
      <c r="AG400" s="9" t="n">
        <v>0</v>
      </c>
      <c r="AH400" s="10" t="n">
        <v>-20</v>
      </c>
      <c r="AI400" s="10" t="n">
        <v>34</v>
      </c>
      <c r="AJ400" s="11" t="n">
        <v>0</v>
      </c>
      <c r="AK400" s="12" t="n">
        <v>-9</v>
      </c>
      <c r="AL400" s="12" t="n">
        <v>44</v>
      </c>
      <c r="AM400" s="13" t="inlineStr"/>
      <c r="AN400" s="13" t="inlineStr"/>
      <c r="AO400" s="13" t="n">
        <v>55</v>
      </c>
      <c r="AP400" s="13" t="inlineStr"/>
    </row>
    <row r="401">
      <c r="A401" s="5" t="inlineStr">
        <is>
          <t>명신산업</t>
        </is>
      </c>
      <c r="B401" s="6" t="inlineStr">
        <is>
          <t>009900</t>
        </is>
      </c>
      <c r="C401" s="6" t="inlineStr">
        <is>
          <t>연결</t>
        </is>
      </c>
      <c r="D401" s="6" t="inlineStr">
        <is>
          <t>2026Q2</t>
        </is>
      </c>
      <c r="E401" s="6" t="inlineStr"/>
      <c r="F401" s="7" t="inlineStr"/>
      <c r="G401" s="8" t="inlineStr"/>
      <c r="H401" s="8" t="inlineStr"/>
      <c r="I401" s="9" t="n">
        <v>401634</v>
      </c>
      <c r="J401" s="10" t="n">
        <v>44089</v>
      </c>
      <c r="K401" s="10" t="n">
        <v>38377</v>
      </c>
      <c r="L401" s="7" t="n">
        <v>397620</v>
      </c>
      <c r="M401" s="8" t="n">
        <v>42302</v>
      </c>
      <c r="N401" s="8" t="n">
        <v>34868</v>
      </c>
      <c r="O401" s="9" t="n">
        <v>384753</v>
      </c>
      <c r="P401" s="10" t="n">
        <v>38932</v>
      </c>
      <c r="Q401" s="10" t="n">
        <v>20312</v>
      </c>
      <c r="R401" s="7" t="n">
        <v>389811</v>
      </c>
      <c r="S401" s="8" t="n">
        <v>22797</v>
      </c>
      <c r="T401" s="8" t="n">
        <v>35537</v>
      </c>
      <c r="U401" s="9" t="n">
        <v>359637</v>
      </c>
      <c r="V401" s="10" t="n">
        <v>30064</v>
      </c>
      <c r="W401" s="10" t="n">
        <v>16738</v>
      </c>
      <c r="X401" s="7" t="n">
        <v>398869</v>
      </c>
      <c r="Y401" s="8" t="n">
        <v>25694</v>
      </c>
      <c r="Z401" s="8" t="n">
        <v>13903</v>
      </c>
      <c r="AA401" s="9" t="n">
        <v>443337</v>
      </c>
      <c r="AB401" s="10" t="n">
        <v>36347</v>
      </c>
      <c r="AC401" s="10" t="n">
        <v>32875</v>
      </c>
      <c r="AD401" s="7" t="n">
        <v>417312</v>
      </c>
      <c r="AE401" s="8" t="n">
        <v>10487</v>
      </c>
      <c r="AF401" s="8" t="n">
        <v>4819</v>
      </c>
      <c r="AG401" s="9" t="n">
        <v>412050</v>
      </c>
      <c r="AH401" s="10" t="n">
        <v>20607</v>
      </c>
      <c r="AI401" s="10" t="n">
        <v>22331</v>
      </c>
      <c r="AJ401" s="11" t="n">
        <v>497054</v>
      </c>
      <c r="AK401" s="12" t="n">
        <v>44136</v>
      </c>
      <c r="AL401" s="12" t="n">
        <v>30217</v>
      </c>
      <c r="AM401" s="13" t="n">
        <v>20.6</v>
      </c>
      <c r="AN401" s="13" t="n">
        <v>24.6</v>
      </c>
      <c r="AO401" s="13" t="n">
        <v>114.2</v>
      </c>
      <c r="AP401" s="13" t="n">
        <v>71.8</v>
      </c>
    </row>
    <row r="402">
      <c r="A402" s="5" t="inlineStr">
        <is>
          <t>영원무역홀딩스</t>
        </is>
      </c>
      <c r="B402" s="6" t="inlineStr">
        <is>
          <t>009970</t>
        </is>
      </c>
      <c r="C402" s="6" t="inlineStr">
        <is>
          <t>연결</t>
        </is>
      </c>
      <c r="D402" s="6" t="inlineStr">
        <is>
          <t>2026Q2</t>
        </is>
      </c>
      <c r="E402" s="6" t="inlineStr"/>
      <c r="F402" s="7" t="inlineStr"/>
      <c r="G402" s="8" t="inlineStr"/>
      <c r="H402" s="8" t="inlineStr"/>
      <c r="I402" s="9" t="n">
        <v>892362</v>
      </c>
      <c r="J402" s="10" t="n">
        <v>117874</v>
      </c>
      <c r="K402" s="10" t="n">
        <v>125821</v>
      </c>
      <c r="L402" s="7" t="n">
        <v>1039451</v>
      </c>
      <c r="M402" s="8" t="n">
        <v>195869</v>
      </c>
      <c r="N402" s="8" t="n">
        <v>217712</v>
      </c>
      <c r="O402" s="9" t="n">
        <v>1075764</v>
      </c>
      <c r="P402" s="10" t="n">
        <v>116147</v>
      </c>
      <c r="Q402" s="10" t="n">
        <v>59361</v>
      </c>
      <c r="R402" s="7" t="n">
        <v>1298461</v>
      </c>
      <c r="S402" s="8" t="n">
        <v>87155</v>
      </c>
      <c r="T402" s="8" t="n">
        <v>92739</v>
      </c>
      <c r="U402" s="9" t="n">
        <v>1005673</v>
      </c>
      <c r="V402" s="10" t="n">
        <v>132497</v>
      </c>
      <c r="W402" s="10" t="n">
        <v>108690</v>
      </c>
      <c r="X402" s="7" t="n">
        <v>1177889</v>
      </c>
      <c r="Y402" s="8" t="n">
        <v>162575</v>
      </c>
      <c r="Z402" s="8" t="n">
        <v>106822</v>
      </c>
      <c r="AA402" s="9" t="n">
        <v>1262446</v>
      </c>
      <c r="AB402" s="10" t="n">
        <v>196582</v>
      </c>
      <c r="AC402" s="10" t="n">
        <v>179431</v>
      </c>
      <c r="AD402" s="7" t="n">
        <v>1449002</v>
      </c>
      <c r="AE402" s="8" t="n">
        <v>243821</v>
      </c>
      <c r="AF402" s="8" t="n">
        <v>211512</v>
      </c>
      <c r="AG402" s="9" t="n">
        <v>1078632</v>
      </c>
      <c r="AH402" s="10" t="n">
        <v>157802</v>
      </c>
      <c r="AI402" s="10" t="n">
        <v>194233</v>
      </c>
      <c r="AJ402" s="11" t="n">
        <v>1385352</v>
      </c>
      <c r="AK402" s="12" t="n">
        <v>195673</v>
      </c>
      <c r="AL402" s="12" t="n">
        <v>183791</v>
      </c>
      <c r="AM402" s="13" t="n">
        <v>28.4</v>
      </c>
      <c r="AN402" s="13" t="n">
        <v>17.6</v>
      </c>
      <c r="AO402" s="13" t="n">
        <v>24</v>
      </c>
      <c r="AP402" s="13" t="n">
        <v>20.4</v>
      </c>
    </row>
    <row r="403">
      <c r="A403" s="5" t="inlineStr">
        <is>
          <t>미래에셋비전스팩11호</t>
        </is>
      </c>
      <c r="B403" s="6" t="inlineStr">
        <is>
          <t>0099W0</t>
        </is>
      </c>
      <c r="C403" s="6" t="inlineStr">
        <is>
          <t>별도</t>
        </is>
      </c>
      <c r="D403" s="6" t="inlineStr">
        <is>
          <t>2026Q2</t>
        </is>
      </c>
      <c r="E403" s="6" t="inlineStr"/>
      <c r="F403" s="7" t="inlineStr"/>
      <c r="G403" s="8" t="inlineStr"/>
      <c r="H403" s="8" t="inlineStr"/>
      <c r="I403" s="9" t="inlineStr"/>
      <c r="J403" s="10" t="inlineStr"/>
      <c r="K403" s="10" t="inlineStr"/>
      <c r="L403" s="7" t="inlineStr"/>
      <c r="M403" s="8" t="inlineStr"/>
      <c r="N403" s="8" t="inlineStr"/>
      <c r="O403" s="9" t="inlineStr"/>
      <c r="P403" s="10" t="inlineStr"/>
      <c r="Q403" s="10" t="inlineStr"/>
      <c r="R403" s="7" t="inlineStr"/>
      <c r="S403" s="8" t="inlineStr"/>
      <c r="T403" s="8" t="inlineStr"/>
      <c r="U403" s="9" t="inlineStr"/>
      <c r="V403" s="10" t="inlineStr"/>
      <c r="W403" s="10" t="inlineStr"/>
      <c r="X403" s="7" t="inlineStr"/>
      <c r="Y403" s="8" t="inlineStr"/>
      <c r="Z403" s="8" t="inlineStr"/>
      <c r="AA403" s="9" t="inlineStr"/>
      <c r="AB403" s="10" t="inlineStr"/>
      <c r="AC403" s="10" t="inlineStr"/>
      <c r="AD403" s="7" t="inlineStr"/>
      <c r="AE403" s="8" t="inlineStr"/>
      <c r="AF403" s="8" t="inlineStr"/>
      <c r="AG403" s="9" t="inlineStr"/>
      <c r="AH403" s="10" t="n">
        <v>-39</v>
      </c>
      <c r="AI403" s="10" t="n">
        <v>29</v>
      </c>
      <c r="AJ403" s="11" t="inlineStr"/>
      <c r="AK403" s="12" t="n">
        <v>-7</v>
      </c>
      <c r="AL403" s="12" t="n">
        <v>55</v>
      </c>
      <c r="AM403" s="13" t="inlineStr"/>
      <c r="AN403" s="13" t="inlineStr"/>
      <c r="AO403" s="13" t="n">
        <v>82.09999999999999</v>
      </c>
      <c r="AP403" s="13" t="inlineStr"/>
    </row>
    <row r="404">
      <c r="A404" s="5" t="inlineStr">
        <is>
          <t>IBKS제25호스팩</t>
        </is>
      </c>
      <c r="B404" s="6" t="inlineStr">
        <is>
          <t>0099X0</t>
        </is>
      </c>
      <c r="C404" s="6" t="inlineStr">
        <is>
          <t>별도</t>
        </is>
      </c>
      <c r="D404" s="6" t="inlineStr">
        <is>
          <t>2026Q2</t>
        </is>
      </c>
      <c r="E404" s="6" t="inlineStr"/>
      <c r="F404" s="7" t="inlineStr"/>
      <c r="G404" s="8" t="inlineStr"/>
      <c r="H404" s="8" t="inlineStr"/>
      <c r="I404" s="9" t="inlineStr"/>
      <c r="J404" s="10" t="inlineStr"/>
      <c r="K404" s="10" t="inlineStr"/>
      <c r="L404" s="7" t="inlineStr"/>
      <c r="M404" s="8" t="inlineStr"/>
      <c r="N404" s="8" t="inlineStr"/>
      <c r="O404" s="9" t="inlineStr"/>
      <c r="P404" s="10" t="inlineStr"/>
      <c r="Q404" s="10" t="inlineStr"/>
      <c r="R404" s="7" t="inlineStr"/>
      <c r="S404" s="8" t="inlineStr"/>
      <c r="T404" s="8" t="inlineStr"/>
      <c r="U404" s="9" t="inlineStr"/>
      <c r="V404" s="10" t="inlineStr"/>
      <c r="W404" s="10" t="inlineStr"/>
      <c r="X404" s="7" t="inlineStr"/>
      <c r="Y404" s="8" t="inlineStr"/>
      <c r="Z404" s="8" t="inlineStr"/>
      <c r="AA404" s="9" t="inlineStr"/>
      <c r="AB404" s="10" t="inlineStr"/>
      <c r="AC404" s="10" t="inlineStr"/>
      <c r="AD404" s="7" t="inlineStr"/>
      <c r="AE404" s="8" t="inlineStr"/>
      <c r="AF404" s="8" t="inlineStr"/>
      <c r="AG404" s="9" t="n">
        <v>0</v>
      </c>
      <c r="AH404" s="10" t="n">
        <v>-14</v>
      </c>
      <c r="AI404" s="10" t="n">
        <v>41</v>
      </c>
      <c r="AJ404" s="11" t="n">
        <v>0</v>
      </c>
      <c r="AK404" s="12" t="n">
        <v>-24</v>
      </c>
      <c r="AL404" s="12" t="n">
        <v>32</v>
      </c>
      <c r="AM404" s="13" t="inlineStr"/>
      <c r="AN404" s="13" t="inlineStr"/>
      <c r="AO404" s="13" t="n">
        <v>-71.40000000000001</v>
      </c>
      <c r="AP404" s="13" t="inlineStr"/>
    </row>
    <row r="405">
      <c r="A405" s="5" t="inlineStr">
        <is>
          <t>한국내화</t>
        </is>
      </c>
      <c r="B405" s="6" t="inlineStr">
        <is>
          <t>010040</t>
        </is>
      </c>
      <c r="C405" s="6" t="inlineStr">
        <is>
          <t>연결</t>
        </is>
      </c>
      <c r="D405" s="6" t="inlineStr">
        <is>
          <t>2026Q2</t>
        </is>
      </c>
      <c r="E405" s="6" t="inlineStr"/>
      <c r="F405" s="7" t="inlineStr"/>
      <c r="G405" s="8" t="inlineStr"/>
      <c r="H405" s="8" t="inlineStr"/>
      <c r="I405" s="9" t="n">
        <v>93354</v>
      </c>
      <c r="J405" s="10" t="n">
        <v>1054</v>
      </c>
      <c r="K405" s="10" t="n">
        <v>1083</v>
      </c>
      <c r="L405" s="7" t="n">
        <v>105250</v>
      </c>
      <c r="M405" s="8" t="n">
        <v>-112</v>
      </c>
      <c r="N405" s="8" t="n">
        <v>-262</v>
      </c>
      <c r="O405" s="9" t="n">
        <v>101370</v>
      </c>
      <c r="P405" s="10" t="n">
        <v>1790</v>
      </c>
      <c r="Q405" s="10" t="n">
        <v>644</v>
      </c>
      <c r="R405" s="7" t="n">
        <v>116034</v>
      </c>
      <c r="S405" s="8" t="n">
        <v>5854</v>
      </c>
      <c r="T405" s="8" t="n">
        <v>4040</v>
      </c>
      <c r="U405" s="9" t="n">
        <v>104393</v>
      </c>
      <c r="V405" s="10" t="n">
        <v>-1393</v>
      </c>
      <c r="W405" s="10" t="n">
        <v>-974</v>
      </c>
      <c r="X405" s="7" t="n">
        <v>106259</v>
      </c>
      <c r="Y405" s="8" t="n">
        <v>-3075</v>
      </c>
      <c r="Z405" s="8" t="n">
        <v>-27140</v>
      </c>
      <c r="AA405" s="9" t="n">
        <v>103265</v>
      </c>
      <c r="AB405" s="10" t="n">
        <v>4408</v>
      </c>
      <c r="AC405" s="10" t="n">
        <v>9368</v>
      </c>
      <c r="AD405" s="7" t="n">
        <v>92424</v>
      </c>
      <c r="AE405" s="8" t="n">
        <v>2836</v>
      </c>
      <c r="AF405" s="8" t="n">
        <v>-3048</v>
      </c>
      <c r="AG405" s="9" t="n">
        <v>88423</v>
      </c>
      <c r="AH405" s="10" t="n">
        <v>-310</v>
      </c>
      <c r="AI405" s="10" t="n">
        <v>-558</v>
      </c>
      <c r="AJ405" s="11" t="n">
        <v>104106</v>
      </c>
      <c r="AK405" s="12" t="n">
        <v>1825</v>
      </c>
      <c r="AL405" s="12" t="n">
        <v>2023</v>
      </c>
      <c r="AM405" s="13" t="n">
        <v>17.7</v>
      </c>
      <c r="AN405" s="13" t="n">
        <v>-2</v>
      </c>
      <c r="AO405" s="13" t="n">
        <v>688.7</v>
      </c>
      <c r="AP405" s="13" t="n">
        <v>159.3</v>
      </c>
    </row>
    <row r="406">
      <c r="A406" s="5" t="inlineStr">
        <is>
          <t>OCI홀딩스</t>
        </is>
      </c>
      <c r="B406" s="6" t="inlineStr">
        <is>
          <t>010060</t>
        </is>
      </c>
      <c r="C406" s="6" t="inlineStr">
        <is>
          <t>연결</t>
        </is>
      </c>
      <c r="D406" s="6" t="inlineStr">
        <is>
          <t>2026Q2</t>
        </is>
      </c>
      <c r="E406" s="6" t="inlineStr">
        <is>
          <t>2023Q4</t>
        </is>
      </c>
      <c r="F406" s="14" t="n">
        <v>645602</v>
      </c>
      <c r="G406" s="15" t="n">
        <v>64842</v>
      </c>
      <c r="H406" s="15" t="n">
        <v>-17819</v>
      </c>
      <c r="I406" s="9" t="n">
        <v>864763</v>
      </c>
      <c r="J406" s="10" t="n">
        <v>99267</v>
      </c>
      <c r="K406" s="10" t="n">
        <v>191632</v>
      </c>
      <c r="L406" s="7" t="n">
        <v>949857</v>
      </c>
      <c r="M406" s="8" t="n">
        <v>89553</v>
      </c>
      <c r="N406" s="8" t="n">
        <v>22811</v>
      </c>
      <c r="O406" s="9" t="n">
        <v>908847</v>
      </c>
      <c r="P406" s="10" t="n">
        <v>20512</v>
      </c>
      <c r="Q406" s="10" t="n">
        <v>-18725</v>
      </c>
      <c r="R406" s="7" t="n">
        <v>853916</v>
      </c>
      <c r="S406" s="8" t="n">
        <v>-107804</v>
      </c>
      <c r="T406" s="8" t="n">
        <v>-81994</v>
      </c>
      <c r="U406" s="9" t="n">
        <v>948133</v>
      </c>
      <c r="V406" s="10" t="n">
        <v>48711</v>
      </c>
      <c r="W406" s="10" t="n">
        <v>-14941</v>
      </c>
      <c r="X406" s="7" t="n">
        <v>776232</v>
      </c>
      <c r="Y406" s="8" t="n">
        <v>-80342</v>
      </c>
      <c r="Z406" s="8" t="n">
        <v>-82447</v>
      </c>
      <c r="AA406" s="9" t="n">
        <v>845110</v>
      </c>
      <c r="AB406" s="10" t="n">
        <v>-53341</v>
      </c>
      <c r="AC406" s="10" t="n">
        <v>-73408</v>
      </c>
      <c r="AD406" s="7" t="n">
        <v>810585</v>
      </c>
      <c r="AE406" s="8" t="n">
        <v>27345</v>
      </c>
      <c r="AF406" s="8" t="n">
        <v>24548</v>
      </c>
      <c r="AG406" s="9" t="n">
        <v>892359</v>
      </c>
      <c r="AH406" s="10" t="n">
        <v>10862</v>
      </c>
      <c r="AI406" s="10" t="n">
        <v>8857</v>
      </c>
      <c r="AJ406" s="11" t="n">
        <v>1023183</v>
      </c>
      <c r="AK406" s="12" t="n">
        <v>108086</v>
      </c>
      <c r="AL406" s="12" t="n">
        <v>59673</v>
      </c>
      <c r="AM406" s="13" t="n">
        <v>14.7</v>
      </c>
      <c r="AN406" s="13" t="n">
        <v>31.8</v>
      </c>
      <c r="AO406" s="13" t="n">
        <v>895.1</v>
      </c>
      <c r="AP406" s="13" t="n">
        <v>234.5</v>
      </c>
    </row>
    <row r="407">
      <c r="A407" s="5" t="inlineStr">
        <is>
          <t>한국무브넥스</t>
        </is>
      </c>
      <c r="B407" s="6" t="inlineStr">
        <is>
          <t>010100</t>
        </is>
      </c>
      <c r="C407" s="6" t="inlineStr">
        <is>
          <t>연결</t>
        </is>
      </c>
      <c r="D407" s="6" t="inlineStr">
        <is>
          <t>2026Q2</t>
        </is>
      </c>
      <c r="E407" s="6" t="inlineStr"/>
      <c r="F407" s="7" t="inlineStr"/>
      <c r="G407" s="8" t="inlineStr"/>
      <c r="H407" s="8" t="inlineStr"/>
      <c r="I407" s="9" t="n">
        <v>378485</v>
      </c>
      <c r="J407" s="10" t="n">
        <v>12182</v>
      </c>
      <c r="K407" s="10" t="n">
        <v>12908</v>
      </c>
      <c r="L407" s="7" t="n">
        <v>401086</v>
      </c>
      <c r="M407" s="8" t="n">
        <v>20727</v>
      </c>
      <c r="N407" s="8" t="n">
        <v>15775</v>
      </c>
      <c r="O407" s="9" t="n">
        <v>387865</v>
      </c>
      <c r="P407" s="10" t="n">
        <v>7285</v>
      </c>
      <c r="Q407" s="10" t="n">
        <v>7733</v>
      </c>
      <c r="R407" s="7" t="n">
        <v>399975</v>
      </c>
      <c r="S407" s="8" t="n">
        <v>3480</v>
      </c>
      <c r="T407" s="8" t="n">
        <v>11025</v>
      </c>
      <c r="U407" s="9" t="n">
        <v>429983</v>
      </c>
      <c r="V407" s="10" t="n">
        <v>17737</v>
      </c>
      <c r="W407" s="10" t="n">
        <v>13172</v>
      </c>
      <c r="X407" s="7" t="n">
        <v>435397</v>
      </c>
      <c r="Y407" s="8" t="n">
        <v>7442</v>
      </c>
      <c r="Z407" s="8" t="n">
        <v>2274</v>
      </c>
      <c r="AA407" s="9" t="n">
        <v>411995</v>
      </c>
      <c r="AB407" s="10" t="n">
        <v>5284</v>
      </c>
      <c r="AC407" s="10" t="n">
        <v>3153</v>
      </c>
      <c r="AD407" s="7" t="n">
        <v>421941</v>
      </c>
      <c r="AE407" s="8" t="n">
        <v>-5146</v>
      </c>
      <c r="AF407" s="8" t="n">
        <v>1666</v>
      </c>
      <c r="AG407" s="9" t="n">
        <v>442840</v>
      </c>
      <c r="AH407" s="10" t="n">
        <v>9845</v>
      </c>
      <c r="AI407" s="10" t="n">
        <v>8703</v>
      </c>
      <c r="AJ407" s="11" t="n">
        <v>444046</v>
      </c>
      <c r="AK407" s="12" t="n">
        <v>8703</v>
      </c>
      <c r="AL407" s="12" t="n">
        <v>7523</v>
      </c>
      <c r="AM407" s="13" t="n">
        <v>0.3</v>
      </c>
      <c r="AN407" s="13" t="n">
        <v>2</v>
      </c>
      <c r="AO407" s="13" t="n">
        <v>-11.6</v>
      </c>
      <c r="AP407" s="13" t="n">
        <v>16.9</v>
      </c>
    </row>
    <row r="408">
      <c r="A408" s="5" t="inlineStr">
        <is>
          <t>엘에스일렉트릭</t>
        </is>
      </c>
      <c r="B408" s="6" t="inlineStr">
        <is>
          <t>010120</t>
        </is>
      </c>
      <c r="C408" s="6" t="inlineStr">
        <is>
          <t>연결</t>
        </is>
      </c>
      <c r="D408" s="6" t="inlineStr">
        <is>
          <t>2026Q2</t>
        </is>
      </c>
      <c r="E408" s="6" t="inlineStr">
        <is>
          <t>2023Q4</t>
        </is>
      </c>
      <c r="F408" s="14" t="n">
        <v>1030378</v>
      </c>
      <c r="G408" s="15" t="n">
        <v>68089</v>
      </c>
      <c r="H408" s="15" t="n">
        <v>43875</v>
      </c>
      <c r="I408" s="9" t="n">
        <v>1038639</v>
      </c>
      <c r="J408" s="10" t="n">
        <v>93738</v>
      </c>
      <c r="K408" s="10" t="n">
        <v>79713</v>
      </c>
      <c r="L408" s="7" t="n">
        <v>1132437</v>
      </c>
      <c r="M408" s="8" t="n">
        <v>109630</v>
      </c>
      <c r="N408" s="8" t="n">
        <v>64646</v>
      </c>
      <c r="O408" s="9" t="n">
        <v>1021215</v>
      </c>
      <c r="P408" s="10" t="n">
        <v>66452</v>
      </c>
      <c r="Q408" s="10" t="n">
        <v>35123</v>
      </c>
      <c r="R408" s="7" t="n">
        <v>1359546</v>
      </c>
      <c r="S408" s="8" t="n">
        <v>119897</v>
      </c>
      <c r="T408" s="8" t="n">
        <v>62756</v>
      </c>
      <c r="U408" s="9" t="n">
        <v>1032084</v>
      </c>
      <c r="V408" s="10" t="n">
        <v>87310</v>
      </c>
      <c r="W408" s="10" t="n">
        <v>67351</v>
      </c>
      <c r="X408" s="7" t="n">
        <v>1193042</v>
      </c>
      <c r="Y408" s="8" t="n">
        <v>108598</v>
      </c>
      <c r="Z408" s="8" t="n">
        <v>67258</v>
      </c>
      <c r="AA408" s="9" t="n">
        <v>1216295</v>
      </c>
      <c r="AB408" s="10" t="n">
        <v>100791</v>
      </c>
      <c r="AC408" s="10" t="n">
        <v>65892</v>
      </c>
      <c r="AD408" s="7" t="n">
        <v>1524378</v>
      </c>
      <c r="AE408" s="8" t="n">
        <v>129708</v>
      </c>
      <c r="AF408" s="8" t="n">
        <v>83756</v>
      </c>
      <c r="AG408" s="9" t="n">
        <v>1376552</v>
      </c>
      <c r="AH408" s="10" t="n">
        <v>126567</v>
      </c>
      <c r="AI408" s="10" t="n">
        <v>118980</v>
      </c>
      <c r="AJ408" s="11" t="n">
        <v>1576998</v>
      </c>
      <c r="AK408" s="12" t="n">
        <v>178520</v>
      </c>
      <c r="AL408" s="12" t="n">
        <v>115838</v>
      </c>
      <c r="AM408" s="13" t="n">
        <v>14.6</v>
      </c>
      <c r="AN408" s="13" t="n">
        <v>32.2</v>
      </c>
      <c r="AO408" s="13" t="n">
        <v>41</v>
      </c>
      <c r="AP408" s="13" t="n">
        <v>64.40000000000001</v>
      </c>
    </row>
    <row r="409">
      <c r="A409" s="5" t="inlineStr">
        <is>
          <t>고려아연</t>
        </is>
      </c>
      <c r="B409" s="6" t="inlineStr">
        <is>
          <t>010130</t>
        </is>
      </c>
      <c r="C409" s="6" t="inlineStr">
        <is>
          <t>연결</t>
        </is>
      </c>
      <c r="D409" s="6" t="inlineStr">
        <is>
          <t>2026Q2</t>
        </is>
      </c>
      <c r="E409" s="6" t="inlineStr">
        <is>
          <t>2023Q4</t>
        </is>
      </c>
      <c r="F409" s="14" t="n">
        <v>2414535</v>
      </c>
      <c r="G409" s="15" t="n">
        <v>197176</v>
      </c>
      <c r="H409" s="15" t="n">
        <v>192726</v>
      </c>
      <c r="I409" s="9" t="n">
        <v>2375365</v>
      </c>
      <c r="J409" s="10" t="n">
        <v>184518</v>
      </c>
      <c r="K409" s="10" t="n">
        <v>126766</v>
      </c>
      <c r="L409" s="7" t="n">
        <v>3058166</v>
      </c>
      <c r="M409" s="8" t="n">
        <v>268724</v>
      </c>
      <c r="N409" s="8" t="n">
        <v>175495</v>
      </c>
      <c r="O409" s="9" t="n">
        <v>3206651</v>
      </c>
      <c r="P409" s="10" t="n">
        <v>149980</v>
      </c>
      <c r="Q409" s="10" t="n">
        <v>152836</v>
      </c>
      <c r="R409" s="7" t="n">
        <v>3412736</v>
      </c>
      <c r="S409" s="8" t="n">
        <v>120250</v>
      </c>
      <c r="T409" s="8" t="n">
        <v>-150428</v>
      </c>
      <c r="U409" s="9" t="n">
        <v>3832785</v>
      </c>
      <c r="V409" s="10" t="n">
        <v>271106</v>
      </c>
      <c r="W409" s="10" t="n">
        <v>162475</v>
      </c>
      <c r="X409" s="7" t="n">
        <v>3825380</v>
      </c>
      <c r="Y409" s="8" t="n">
        <v>258885</v>
      </c>
      <c r="Z409" s="8" t="n">
        <v>329738</v>
      </c>
      <c r="AA409" s="9" t="n">
        <v>4159797</v>
      </c>
      <c r="AB409" s="10" t="n">
        <v>273407</v>
      </c>
      <c r="AC409" s="10" t="n">
        <v>70739</v>
      </c>
      <c r="AD409" s="7" t="n">
        <v>4769889</v>
      </c>
      <c r="AE409" s="8" t="n">
        <v>428529</v>
      </c>
      <c r="AF409" s="8" t="n">
        <v>207297</v>
      </c>
      <c r="AG409" s="9" t="n">
        <v>6072027</v>
      </c>
      <c r="AH409" s="10" t="n">
        <v>746055</v>
      </c>
      <c r="AI409" s="10" t="n">
        <v>354041</v>
      </c>
      <c r="AJ409" s="11" t="n">
        <v>6372601</v>
      </c>
      <c r="AK409" s="12" t="n">
        <v>587113</v>
      </c>
      <c r="AL409" s="12" t="n">
        <v>351539</v>
      </c>
      <c r="AM409" s="13" t="n">
        <v>5</v>
      </c>
      <c r="AN409" s="13" t="n">
        <v>66.59999999999999</v>
      </c>
      <c r="AO409" s="13" t="n">
        <v>-21.3</v>
      </c>
      <c r="AP409" s="13" t="n">
        <v>126.8</v>
      </c>
    </row>
    <row r="410">
      <c r="A410" s="5" t="inlineStr">
        <is>
          <t>삼성중공업</t>
        </is>
      </c>
      <c r="B410" s="6" t="inlineStr">
        <is>
          <t>010140</t>
        </is>
      </c>
      <c r="C410" s="6" t="inlineStr">
        <is>
          <t>연결</t>
        </is>
      </c>
      <c r="D410" s="6" t="inlineStr">
        <is>
          <t>2026Q2</t>
        </is>
      </c>
      <c r="E410" s="6" t="inlineStr"/>
      <c r="F410" s="7" t="inlineStr"/>
      <c r="G410" s="8" t="inlineStr"/>
      <c r="H410" s="8" t="inlineStr"/>
      <c r="I410" s="9" t="n">
        <v>2347796</v>
      </c>
      <c r="J410" s="10" t="n">
        <v>77867</v>
      </c>
      <c r="K410" s="10" t="n">
        <v>7841</v>
      </c>
      <c r="L410" s="7" t="n">
        <v>2531955</v>
      </c>
      <c r="M410" s="8" t="n">
        <v>130729</v>
      </c>
      <c r="N410" s="8" t="n">
        <v>73999</v>
      </c>
      <c r="O410" s="9" t="n">
        <v>2322956</v>
      </c>
      <c r="P410" s="10" t="n">
        <v>119869</v>
      </c>
      <c r="Q410" s="10" t="n">
        <v>71408</v>
      </c>
      <c r="R410" s="7" t="n">
        <v>2700371</v>
      </c>
      <c r="S410" s="8" t="n">
        <v>174234</v>
      </c>
      <c r="T410" s="8" t="n">
        <v>-99371</v>
      </c>
      <c r="U410" s="9" t="n">
        <v>2494286</v>
      </c>
      <c r="V410" s="10" t="n">
        <v>123077</v>
      </c>
      <c r="W410" s="10" t="n">
        <v>90114</v>
      </c>
      <c r="X410" s="7" t="n">
        <v>2682977</v>
      </c>
      <c r="Y410" s="8" t="n">
        <v>204816</v>
      </c>
      <c r="Z410" s="8" t="n">
        <v>212338</v>
      </c>
      <c r="AA410" s="9" t="n">
        <v>2634819</v>
      </c>
      <c r="AB410" s="10" t="n">
        <v>238082</v>
      </c>
      <c r="AC410" s="10" t="n">
        <v>140258</v>
      </c>
      <c r="AD410" s="7" t="n">
        <v>2837929</v>
      </c>
      <c r="AE410" s="8" t="n">
        <v>296236</v>
      </c>
      <c r="AF410" s="8" t="n">
        <v>93044</v>
      </c>
      <c r="AG410" s="9" t="n">
        <v>2902251</v>
      </c>
      <c r="AH410" s="10" t="n">
        <v>273118</v>
      </c>
      <c r="AI410" s="10" t="n">
        <v>100039</v>
      </c>
      <c r="AJ410" s="11" t="n">
        <v>3230712</v>
      </c>
      <c r="AK410" s="12" t="n">
        <v>325024</v>
      </c>
      <c r="AL410" s="12" t="n">
        <v>222841</v>
      </c>
      <c r="AM410" s="13" t="n">
        <v>11.3</v>
      </c>
      <c r="AN410" s="13" t="n">
        <v>20.4</v>
      </c>
      <c r="AO410" s="13" t="n">
        <v>19</v>
      </c>
      <c r="AP410" s="13" t="n">
        <v>58.7</v>
      </c>
    </row>
    <row r="411">
      <c r="A411" s="5" t="inlineStr">
        <is>
          <t>대한광통신</t>
        </is>
      </c>
      <c r="B411" s="6" t="inlineStr">
        <is>
          <t>010170</t>
        </is>
      </c>
      <c r="C411" s="6" t="inlineStr">
        <is>
          <t>연결</t>
        </is>
      </c>
      <c r="D411" s="6" t="inlineStr">
        <is>
          <t>2026Q2</t>
        </is>
      </c>
      <c r="E411" s="6" t="inlineStr"/>
      <c r="F411" s="7" t="inlineStr"/>
      <c r="G411" s="8" t="inlineStr"/>
      <c r="H411" s="8" t="inlineStr"/>
      <c r="I411" s="9" t="n">
        <v>32828</v>
      </c>
      <c r="J411" s="10" t="n">
        <v>-8365</v>
      </c>
      <c r="K411" s="10" t="n">
        <v>-10438</v>
      </c>
      <c r="L411" s="7" t="n">
        <v>40169</v>
      </c>
      <c r="M411" s="8" t="n">
        <v>-3178</v>
      </c>
      <c r="N411" s="8" t="n">
        <v>-7964</v>
      </c>
      <c r="O411" s="9" t="n">
        <v>43929</v>
      </c>
      <c r="P411" s="10" t="n">
        <v>-4439</v>
      </c>
      <c r="Q411" s="10" t="n">
        <v>-6692</v>
      </c>
      <c r="R411" s="7" t="n">
        <v>35791</v>
      </c>
      <c r="S411" s="8" t="n">
        <v>-13723</v>
      </c>
      <c r="T411" s="8" t="n">
        <v>-30944</v>
      </c>
      <c r="U411" s="9" t="n">
        <v>25394</v>
      </c>
      <c r="V411" s="10" t="n">
        <v>-6920</v>
      </c>
      <c r="W411" s="10" t="n">
        <v>-7034</v>
      </c>
      <c r="X411" s="7" t="n">
        <v>41638</v>
      </c>
      <c r="Y411" s="8" t="n">
        <v>-2773</v>
      </c>
      <c r="Z411" s="8" t="n">
        <v>-1081</v>
      </c>
      <c r="AA411" s="9" t="n">
        <v>43298</v>
      </c>
      <c r="AB411" s="10" t="n">
        <v>-6711</v>
      </c>
      <c r="AC411" s="10" t="n">
        <v>-8187</v>
      </c>
      <c r="AD411" s="7" t="n">
        <v>29117</v>
      </c>
      <c r="AE411" s="8" t="n">
        <v>-5007</v>
      </c>
      <c r="AF411" s="8" t="n">
        <v>-11671</v>
      </c>
      <c r="AG411" s="9" t="n">
        <v>34249</v>
      </c>
      <c r="AH411" s="10" t="n">
        <v>-3961</v>
      </c>
      <c r="AI411" s="10" t="n">
        <v>-3672</v>
      </c>
      <c r="AJ411" s="11" t="n">
        <v>49054</v>
      </c>
      <c r="AK411" s="12" t="n">
        <v>957</v>
      </c>
      <c r="AL411" s="12" t="n">
        <v>445</v>
      </c>
      <c r="AM411" s="13" t="n">
        <v>43.2</v>
      </c>
      <c r="AN411" s="13" t="n">
        <v>17.8</v>
      </c>
      <c r="AO411" s="13" t="n">
        <v>124.2</v>
      </c>
      <c r="AP411" s="13" t="n">
        <v>134.5</v>
      </c>
    </row>
    <row r="412">
      <c r="A412" s="5" t="inlineStr">
        <is>
          <t>하나36호스팩</t>
        </is>
      </c>
      <c r="B412" s="6" t="inlineStr">
        <is>
          <t>0101C0</t>
        </is>
      </c>
      <c r="C412" s="6" t="inlineStr">
        <is>
          <t>별도</t>
        </is>
      </c>
      <c r="D412" s="6" t="inlineStr">
        <is>
          <t>2026Q2</t>
        </is>
      </c>
      <c r="E412" s="6" t="inlineStr"/>
      <c r="F412" s="7" t="inlineStr"/>
      <c r="G412" s="8" t="inlineStr"/>
      <c r="H412" s="8" t="inlineStr"/>
      <c r="I412" s="9" t="inlineStr"/>
      <c r="J412" s="10" t="inlineStr"/>
      <c r="K412" s="10" t="inlineStr"/>
      <c r="L412" s="7" t="inlineStr"/>
      <c r="M412" s="8" t="inlineStr"/>
      <c r="N412" s="8" t="inlineStr"/>
      <c r="O412" s="9" t="inlineStr"/>
      <c r="P412" s="10" t="inlineStr"/>
      <c r="Q412" s="10" t="inlineStr"/>
      <c r="R412" s="7" t="inlineStr"/>
      <c r="S412" s="8" t="inlineStr"/>
      <c r="T412" s="8" t="inlineStr"/>
      <c r="U412" s="9" t="inlineStr"/>
      <c r="V412" s="10" t="inlineStr"/>
      <c r="W412" s="10" t="inlineStr"/>
      <c r="X412" s="7" t="inlineStr"/>
      <c r="Y412" s="8" t="inlineStr"/>
      <c r="Z412" s="8" t="inlineStr"/>
      <c r="AA412" s="9" t="inlineStr"/>
      <c r="AB412" s="10" t="inlineStr"/>
      <c r="AC412" s="10" t="inlineStr"/>
      <c r="AD412" s="7" t="inlineStr"/>
      <c r="AE412" s="8" t="inlineStr"/>
      <c r="AF412" s="8" t="inlineStr"/>
      <c r="AG412" s="9" t="n">
        <v>0</v>
      </c>
      <c r="AH412" s="10" t="n">
        <v>-16</v>
      </c>
      <c r="AI412" s="10" t="n">
        <v>47</v>
      </c>
      <c r="AJ412" s="11" t="n">
        <v>0</v>
      </c>
      <c r="AK412" s="12" t="n">
        <v>-13</v>
      </c>
      <c r="AL412" s="12" t="n">
        <v>60</v>
      </c>
      <c r="AM412" s="13" t="inlineStr"/>
      <c r="AN412" s="13" t="inlineStr"/>
      <c r="AO412" s="13" t="n">
        <v>18.8</v>
      </c>
      <c r="AP412" s="13" t="inlineStr"/>
    </row>
    <row r="413">
      <c r="A413" s="5" t="inlineStr">
        <is>
          <t>흥국</t>
        </is>
      </c>
      <c r="B413" s="6" t="inlineStr">
        <is>
          <t>010240</t>
        </is>
      </c>
      <c r="C413" s="6" t="inlineStr">
        <is>
          <t>연결</t>
        </is>
      </c>
      <c r="D413" s="6" t="inlineStr">
        <is>
          <t>2026Q2</t>
        </is>
      </c>
      <c r="E413" s="6" t="inlineStr"/>
      <c r="F413" s="7" t="inlineStr"/>
      <c r="G413" s="8" t="inlineStr"/>
      <c r="H413" s="8" t="inlineStr"/>
      <c r="I413" s="9" t="n">
        <v>35306</v>
      </c>
      <c r="J413" s="10" t="n">
        <v>3250</v>
      </c>
      <c r="K413" s="10" t="n">
        <v>3449</v>
      </c>
      <c r="L413" s="7" t="n">
        <v>34185</v>
      </c>
      <c r="M413" s="8" t="n">
        <v>3022</v>
      </c>
      <c r="N413" s="8" t="n">
        <v>2826</v>
      </c>
      <c r="O413" s="9" t="n">
        <v>29883</v>
      </c>
      <c r="P413" s="10" t="n">
        <v>1755</v>
      </c>
      <c r="Q413" s="10" t="n">
        <v>1489</v>
      </c>
      <c r="R413" s="7" t="n">
        <v>29337</v>
      </c>
      <c r="S413" s="8" t="n">
        <v>761</v>
      </c>
      <c r="T413" s="8" t="n">
        <v>2786</v>
      </c>
      <c r="U413" s="9" t="n">
        <v>33298</v>
      </c>
      <c r="V413" s="10" t="n">
        <v>3614</v>
      </c>
      <c r="W413" s="10" t="n">
        <v>3160</v>
      </c>
      <c r="X413" s="7" t="n">
        <v>34759</v>
      </c>
      <c r="Y413" s="8" t="n">
        <v>3767</v>
      </c>
      <c r="Z413" s="8" t="n">
        <v>1790</v>
      </c>
      <c r="AA413" s="9" t="n">
        <v>34865</v>
      </c>
      <c r="AB413" s="10" t="n">
        <v>3600</v>
      </c>
      <c r="AC413" s="10" t="n">
        <v>3725</v>
      </c>
      <c r="AD413" s="7" t="n">
        <v>34102</v>
      </c>
      <c r="AE413" s="8" t="n">
        <v>3917</v>
      </c>
      <c r="AF413" s="8" t="n">
        <v>3525</v>
      </c>
      <c r="AG413" s="9" t="n">
        <v>38993</v>
      </c>
      <c r="AH413" s="10" t="n">
        <v>4932</v>
      </c>
      <c r="AI413" s="10" t="n">
        <v>4921</v>
      </c>
      <c r="AJ413" s="11" t="n">
        <v>42690</v>
      </c>
      <c r="AK413" s="12" t="n">
        <v>4567</v>
      </c>
      <c r="AL413" s="12" t="n">
        <v>4085</v>
      </c>
      <c r="AM413" s="13" t="n">
        <v>9.5</v>
      </c>
      <c r="AN413" s="13" t="n">
        <v>22.8</v>
      </c>
      <c r="AO413" s="13" t="n">
        <v>-7.4</v>
      </c>
      <c r="AP413" s="13" t="n">
        <v>21.2</v>
      </c>
    </row>
    <row r="414">
      <c r="A414" s="5" t="inlineStr">
        <is>
          <t>아이티센엔텍</t>
        </is>
      </c>
      <c r="B414" s="6" t="inlineStr">
        <is>
          <t>010280</t>
        </is>
      </c>
      <c r="C414" s="6" t="inlineStr">
        <is>
          <t>연결</t>
        </is>
      </c>
      <c r="D414" s="6" t="inlineStr">
        <is>
          <t>2026Q2</t>
        </is>
      </c>
      <c r="E414" s="6" t="inlineStr"/>
      <c r="F414" s="7" t="inlineStr"/>
      <c r="G414" s="8" t="inlineStr"/>
      <c r="H414" s="8" t="inlineStr"/>
      <c r="I414" s="9" t="n">
        <v>67940</v>
      </c>
      <c r="J414" s="10" t="n">
        <v>-3161</v>
      </c>
      <c r="K414" s="10" t="n">
        <v>-1647</v>
      </c>
      <c r="L414" s="7" t="n">
        <v>81282</v>
      </c>
      <c r="M414" s="8" t="n">
        <v>-838</v>
      </c>
      <c r="N414" s="8" t="n">
        <v>-203</v>
      </c>
      <c r="O414" s="9" t="n">
        <v>126983</v>
      </c>
      <c r="P414" s="10" t="n">
        <v>2491</v>
      </c>
      <c r="Q414" s="10" t="n">
        <v>3455</v>
      </c>
      <c r="R414" s="7" t="n">
        <v>165571</v>
      </c>
      <c r="S414" s="8" t="n">
        <v>10946</v>
      </c>
      <c r="T414" s="8" t="n">
        <v>9178</v>
      </c>
      <c r="U414" s="9" t="n">
        <v>111851</v>
      </c>
      <c r="V414" s="10" t="n">
        <v>-536</v>
      </c>
      <c r="W414" s="10" t="n">
        <v>653</v>
      </c>
      <c r="X414" s="7" t="n">
        <v>127831</v>
      </c>
      <c r="Y414" s="8" t="n">
        <v>1459</v>
      </c>
      <c r="Z414" s="8" t="n">
        <v>-4977</v>
      </c>
      <c r="AA414" s="9" t="n">
        <v>137237</v>
      </c>
      <c r="AB414" s="10" t="n">
        <v>9762</v>
      </c>
      <c r="AC414" s="10" t="n">
        <v>7101</v>
      </c>
      <c r="AD414" s="7" t="n">
        <v>195108</v>
      </c>
      <c r="AE414" s="8" t="n">
        <v>10186</v>
      </c>
      <c r="AF414" s="8" t="n">
        <v>19217</v>
      </c>
      <c r="AG414" s="9" t="n">
        <v>135908</v>
      </c>
      <c r="AH414" s="10" t="n">
        <v>7038</v>
      </c>
      <c r="AI414" s="10" t="n">
        <v>11225</v>
      </c>
      <c r="AJ414" s="11" t="n">
        <v>138834</v>
      </c>
      <c r="AK414" s="12" t="n">
        <v>8310</v>
      </c>
      <c r="AL414" s="12" t="n">
        <v>5157</v>
      </c>
      <c r="AM414" s="13" t="n">
        <v>2.2</v>
      </c>
      <c r="AN414" s="13" t="n">
        <v>8.6</v>
      </c>
      <c r="AO414" s="13" t="n">
        <v>18.1</v>
      </c>
      <c r="AP414" s="13" t="n">
        <v>469.6</v>
      </c>
    </row>
    <row r="415">
      <c r="A415" s="5" t="inlineStr">
        <is>
          <t>우진아이엔에스</t>
        </is>
      </c>
      <c r="B415" s="6" t="inlineStr">
        <is>
          <t>010400</t>
        </is>
      </c>
      <c r="C415" s="6" t="inlineStr">
        <is>
          <t>연결</t>
        </is>
      </c>
      <c r="D415" s="6" t="inlineStr">
        <is>
          <t>2026Q2</t>
        </is>
      </c>
      <c r="E415" s="6" t="inlineStr">
        <is>
          <t>2023Q4</t>
        </is>
      </c>
      <c r="F415" s="14" t="n">
        <v>28222</v>
      </c>
      <c r="G415" s="15" t="n">
        <v>1132</v>
      </c>
      <c r="H415" s="15" t="n">
        <v>1761</v>
      </c>
      <c r="I415" s="9" t="n">
        <v>24981</v>
      </c>
      <c r="J415" s="10" t="n">
        <v>-3060</v>
      </c>
      <c r="K415" s="10" t="n">
        <v>-1389</v>
      </c>
      <c r="L415" s="7" t="n">
        <v>35900</v>
      </c>
      <c r="M415" s="8" t="n">
        <v>-4693</v>
      </c>
      <c r="N415" s="8" t="n">
        <v>-3901</v>
      </c>
      <c r="O415" s="9" t="n">
        <v>40749</v>
      </c>
      <c r="P415" s="10" t="n">
        <v>-314</v>
      </c>
      <c r="Q415" s="10" t="n">
        <v>-301</v>
      </c>
      <c r="R415" s="7" t="n">
        <v>35958</v>
      </c>
      <c r="S415" s="8" t="n">
        <v>-9793</v>
      </c>
      <c r="T415" s="8" t="n">
        <v>-16578</v>
      </c>
      <c r="U415" s="9" t="n">
        <v>30162</v>
      </c>
      <c r="V415" s="10" t="n">
        <v>-4007</v>
      </c>
      <c r="W415" s="10" t="n">
        <v>-3080</v>
      </c>
      <c r="X415" s="7" t="n">
        <v>41353</v>
      </c>
      <c r="Y415" s="8" t="n">
        <v>3954</v>
      </c>
      <c r="Z415" s="8" t="n">
        <v>4942</v>
      </c>
      <c r="AA415" s="9" t="n">
        <v>51056</v>
      </c>
      <c r="AB415" s="10" t="n">
        <v>6037</v>
      </c>
      <c r="AC415" s="10" t="n">
        <v>7003</v>
      </c>
      <c r="AD415" s="7" t="n">
        <v>41887</v>
      </c>
      <c r="AE415" s="8" t="n">
        <v>-1006</v>
      </c>
      <c r="AF415" s="8" t="n">
        <v>-1271</v>
      </c>
      <c r="AG415" s="9" t="n">
        <v>48056</v>
      </c>
      <c r="AH415" s="10" t="n">
        <v>-2150</v>
      </c>
      <c r="AI415" s="10" t="n">
        <v>-2170</v>
      </c>
      <c r="AJ415" s="11" t="n">
        <v>60534</v>
      </c>
      <c r="AK415" s="12" t="n">
        <v>-1864</v>
      </c>
      <c r="AL415" s="12" t="n">
        <v>660</v>
      </c>
      <c r="AM415" s="13" t="n">
        <v>26</v>
      </c>
      <c r="AN415" s="13" t="n">
        <v>46.4</v>
      </c>
      <c r="AO415" s="13" t="n">
        <v>13.3</v>
      </c>
      <c r="AP415" s="13" t="n">
        <v>-147.1</v>
      </c>
    </row>
    <row r="416">
      <c r="A416" s="5" t="inlineStr">
        <is>
          <t>오리콤</t>
        </is>
      </c>
      <c r="B416" s="6" t="inlineStr">
        <is>
          <t>010470</t>
        </is>
      </c>
      <c r="C416" s="6" t="inlineStr">
        <is>
          <t>연결</t>
        </is>
      </c>
      <c r="D416" s="6" t="inlineStr">
        <is>
          <t>2026Q2</t>
        </is>
      </c>
      <c r="E416" s="6" t="inlineStr"/>
      <c r="F416" s="7" t="inlineStr"/>
      <c r="G416" s="8" t="inlineStr"/>
      <c r="H416" s="8" t="inlineStr"/>
      <c r="I416" s="9" t="n">
        <v>43249</v>
      </c>
      <c r="J416" s="10" t="n">
        <v>-614</v>
      </c>
      <c r="K416" s="10" t="n">
        <v>-658</v>
      </c>
      <c r="L416" s="7" t="n">
        <v>51537</v>
      </c>
      <c r="M416" s="8" t="n">
        <v>3575</v>
      </c>
      <c r="N416" s="8" t="n">
        <v>2983</v>
      </c>
      <c r="O416" s="9" t="n">
        <v>62088</v>
      </c>
      <c r="P416" s="10" t="n">
        <v>2391</v>
      </c>
      <c r="Q416" s="10" t="n">
        <v>2366</v>
      </c>
      <c r="R416" s="7" t="n">
        <v>57989</v>
      </c>
      <c r="S416" s="8" t="n">
        <v>6648</v>
      </c>
      <c r="T416" s="8" t="n">
        <v>5130</v>
      </c>
      <c r="U416" s="9" t="n">
        <v>45955</v>
      </c>
      <c r="V416" s="10" t="n">
        <v>-660</v>
      </c>
      <c r="W416" s="10" t="n">
        <v>-440</v>
      </c>
      <c r="X416" s="7" t="n">
        <v>63410</v>
      </c>
      <c r="Y416" s="8" t="n">
        <v>4155</v>
      </c>
      <c r="Z416" s="8" t="n">
        <v>3505</v>
      </c>
      <c r="AA416" s="9" t="n">
        <v>55846</v>
      </c>
      <c r="AB416" s="10" t="n">
        <v>600</v>
      </c>
      <c r="AC416" s="10" t="n">
        <v>244</v>
      </c>
      <c r="AD416" s="7" t="n">
        <v>62497</v>
      </c>
      <c r="AE416" s="8" t="n">
        <v>4825</v>
      </c>
      <c r="AF416" s="8" t="n">
        <v>4450</v>
      </c>
      <c r="AG416" s="9" t="n">
        <v>50299</v>
      </c>
      <c r="AH416" s="10" t="n">
        <v>1500</v>
      </c>
      <c r="AI416" s="10" t="n">
        <v>1079</v>
      </c>
      <c r="AJ416" s="11" t="n">
        <v>57274</v>
      </c>
      <c r="AK416" s="12" t="n">
        <v>3038</v>
      </c>
      <c r="AL416" s="12" t="n">
        <v>2071</v>
      </c>
      <c r="AM416" s="13" t="n">
        <v>13.9</v>
      </c>
      <c r="AN416" s="13" t="n">
        <v>-9.699999999999999</v>
      </c>
      <c r="AO416" s="13" t="n">
        <v>102.5</v>
      </c>
      <c r="AP416" s="13" t="n">
        <v>-26.9</v>
      </c>
    </row>
    <row r="417">
      <c r="A417" s="5" t="inlineStr">
        <is>
          <t>에스엠벡셀</t>
        </is>
      </c>
      <c r="B417" s="6" t="inlineStr">
        <is>
          <t>010580</t>
        </is>
      </c>
      <c r="C417" s="6" t="inlineStr">
        <is>
          <t>별도</t>
        </is>
      </c>
      <c r="D417" s="6" t="inlineStr">
        <is>
          <t>2026Q2</t>
        </is>
      </c>
      <c r="E417" s="6" t="inlineStr"/>
      <c r="F417" s="7" t="inlineStr"/>
      <c r="G417" s="8" t="inlineStr"/>
      <c r="H417" s="8" t="inlineStr"/>
      <c r="I417" s="9" t="n">
        <v>39856</v>
      </c>
      <c r="J417" s="10" t="n">
        <v>866</v>
      </c>
      <c r="K417" s="10" t="n">
        <v>886</v>
      </c>
      <c r="L417" s="7" t="n">
        <v>41049</v>
      </c>
      <c r="M417" s="8" t="n">
        <v>58</v>
      </c>
      <c r="N417" s="8" t="n">
        <v>16</v>
      </c>
      <c r="O417" s="9" t="n">
        <v>42279</v>
      </c>
      <c r="P417" s="10" t="n">
        <v>-287</v>
      </c>
      <c r="Q417" s="10" t="n">
        <v>-287</v>
      </c>
      <c r="R417" s="7" t="n">
        <v>49364</v>
      </c>
      <c r="S417" s="8" t="n">
        <v>4580</v>
      </c>
      <c r="T417" s="8" t="n">
        <v>500</v>
      </c>
      <c r="U417" s="9" t="n">
        <v>42184</v>
      </c>
      <c r="V417" s="10" t="n">
        <v>840</v>
      </c>
      <c r="W417" s="10" t="n">
        <v>793</v>
      </c>
      <c r="X417" s="7" t="n">
        <v>39313</v>
      </c>
      <c r="Y417" s="8" t="n">
        <v>1292</v>
      </c>
      <c r="Z417" s="8" t="n">
        <v>1158</v>
      </c>
      <c r="AA417" s="9" t="n">
        <v>36443</v>
      </c>
      <c r="AB417" s="10" t="n">
        <v>-211</v>
      </c>
      <c r="AC417" s="10" t="n">
        <v>-227</v>
      </c>
      <c r="AD417" s="7" t="n">
        <v>32331</v>
      </c>
      <c r="AE417" s="8" t="n">
        <v>-347</v>
      </c>
      <c r="AF417" s="8" t="n">
        <v>-73</v>
      </c>
      <c r="AG417" s="9" t="n">
        <v>36601</v>
      </c>
      <c r="AH417" s="10" t="n">
        <v>489</v>
      </c>
      <c r="AI417" s="10" t="n">
        <v>409</v>
      </c>
      <c r="AJ417" s="11" t="n">
        <v>36150</v>
      </c>
      <c r="AK417" s="12" t="n">
        <v>765</v>
      </c>
      <c r="AL417" s="12" t="n">
        <v>-948</v>
      </c>
      <c r="AM417" s="13" t="n">
        <v>-1.2</v>
      </c>
      <c r="AN417" s="13" t="n">
        <v>-8</v>
      </c>
      <c r="AO417" s="13" t="n">
        <v>56.4</v>
      </c>
      <c r="AP417" s="13" t="n">
        <v>-40.8</v>
      </c>
    </row>
    <row r="418">
      <c r="A418" s="5" t="inlineStr">
        <is>
          <t>유진스팩12호</t>
        </is>
      </c>
      <c r="B418" s="6" t="inlineStr">
        <is>
          <t>0105P0</t>
        </is>
      </c>
      <c r="C418" s="6" t="inlineStr">
        <is>
          <t>별도</t>
        </is>
      </c>
      <c r="D418" s="6" t="inlineStr">
        <is>
          <t>2026Q2</t>
        </is>
      </c>
      <c r="E418" s="6" t="inlineStr"/>
      <c r="F418" s="7" t="inlineStr"/>
      <c r="G418" s="8" t="inlineStr"/>
      <c r="H418" s="8" t="inlineStr"/>
      <c r="I418" s="9" t="inlineStr"/>
      <c r="J418" s="10" t="inlineStr"/>
      <c r="K418" s="10" t="inlineStr"/>
      <c r="L418" s="7" t="inlineStr"/>
      <c r="M418" s="8" t="inlineStr"/>
      <c r="N418" s="8" t="inlineStr"/>
      <c r="O418" s="9" t="inlineStr"/>
      <c r="P418" s="10" t="inlineStr"/>
      <c r="Q418" s="10" t="inlineStr"/>
      <c r="R418" s="7" t="inlineStr"/>
      <c r="S418" s="8" t="inlineStr"/>
      <c r="T418" s="8" t="inlineStr"/>
      <c r="U418" s="9" t="inlineStr"/>
      <c r="V418" s="10" t="inlineStr"/>
      <c r="W418" s="10" t="inlineStr"/>
      <c r="X418" s="7" t="inlineStr"/>
      <c r="Y418" s="8" t="inlineStr"/>
      <c r="Z418" s="8" t="inlineStr"/>
      <c r="AA418" s="9" t="inlineStr"/>
      <c r="AB418" s="10" t="inlineStr"/>
      <c r="AC418" s="10" t="inlineStr"/>
      <c r="AD418" s="7" t="inlineStr"/>
      <c r="AE418" s="8" t="inlineStr"/>
      <c r="AF418" s="8" t="inlineStr"/>
      <c r="AG418" s="9" t="n">
        <v>0</v>
      </c>
      <c r="AH418" s="10" t="n">
        <v>-20</v>
      </c>
      <c r="AI418" s="10" t="n">
        <v>38</v>
      </c>
      <c r="AJ418" s="11" t="n">
        <v>0</v>
      </c>
      <c r="AK418" s="12" t="n">
        <v>-7</v>
      </c>
      <c r="AL418" s="12" t="n">
        <v>50</v>
      </c>
      <c r="AM418" s="13" t="inlineStr"/>
      <c r="AN418" s="13" t="inlineStr"/>
      <c r="AO418" s="13" t="n">
        <v>65</v>
      </c>
      <c r="AP418" s="13" t="inlineStr"/>
    </row>
    <row r="419">
      <c r="A419" s="5" t="inlineStr">
        <is>
          <t>진양폴리우레탄</t>
        </is>
      </c>
      <c r="B419" s="6" t="inlineStr">
        <is>
          <t>010640</t>
        </is>
      </c>
      <c r="C419" s="6" t="inlineStr">
        <is>
          <t>별도</t>
        </is>
      </c>
      <c r="D419" s="6" t="inlineStr">
        <is>
          <t>2026Q2</t>
        </is>
      </c>
      <c r="E419" s="6" t="inlineStr"/>
      <c r="F419" s="7" t="inlineStr"/>
      <c r="G419" s="8" t="inlineStr"/>
      <c r="H419" s="8" t="inlineStr"/>
      <c r="I419" s="9" t="n">
        <v>13987</v>
      </c>
      <c r="J419" s="10" t="n">
        <v>1266</v>
      </c>
      <c r="K419" s="10" t="n">
        <v>1058</v>
      </c>
      <c r="L419" s="7" t="n">
        <v>15049</v>
      </c>
      <c r="M419" s="8" t="n">
        <v>1504</v>
      </c>
      <c r="N419" s="8" t="n">
        <v>1144</v>
      </c>
      <c r="O419" s="9" t="n">
        <v>12986</v>
      </c>
      <c r="P419" s="10" t="n">
        <v>854</v>
      </c>
      <c r="Q419" s="10" t="n">
        <v>668</v>
      </c>
      <c r="R419" s="7" t="n">
        <v>12016</v>
      </c>
      <c r="S419" s="8" t="n">
        <v>346</v>
      </c>
      <c r="T419" s="8" t="n">
        <v>294</v>
      </c>
      <c r="U419" s="9" t="n">
        <v>11744</v>
      </c>
      <c r="V419" s="10" t="n">
        <v>320</v>
      </c>
      <c r="W419" s="10" t="n">
        <v>621</v>
      </c>
      <c r="X419" s="7" t="n">
        <v>11203</v>
      </c>
      <c r="Y419" s="8" t="n">
        <v>452</v>
      </c>
      <c r="Z419" s="8" t="n">
        <v>284</v>
      </c>
      <c r="AA419" s="9" t="n">
        <v>11751</v>
      </c>
      <c r="AB419" s="10" t="n">
        <v>617</v>
      </c>
      <c r="AC419" s="10" t="n">
        <v>450</v>
      </c>
      <c r="AD419" s="7" t="n">
        <v>11930</v>
      </c>
      <c r="AE419" s="8" t="n">
        <v>437</v>
      </c>
      <c r="AF419" s="8" t="n">
        <v>268</v>
      </c>
      <c r="AG419" s="9" t="n">
        <v>12429</v>
      </c>
      <c r="AH419" s="10" t="n">
        <v>290</v>
      </c>
      <c r="AI419" s="10" t="n">
        <v>278</v>
      </c>
      <c r="AJ419" s="11" t="n">
        <v>14929</v>
      </c>
      <c r="AK419" s="12" t="n">
        <v>1775</v>
      </c>
      <c r="AL419" s="12" t="n">
        <v>1579</v>
      </c>
      <c r="AM419" s="13" t="n">
        <v>20.1</v>
      </c>
      <c r="AN419" s="13" t="n">
        <v>33.3</v>
      </c>
      <c r="AO419" s="13" t="n">
        <v>512.1</v>
      </c>
      <c r="AP419" s="13" t="n">
        <v>292.7</v>
      </c>
    </row>
    <row r="420">
      <c r="A420" s="5" t="inlineStr">
        <is>
          <t>화천기계</t>
        </is>
      </c>
      <c r="B420" s="6" t="inlineStr">
        <is>
          <t>010660</t>
        </is>
      </c>
      <c r="C420" s="6" t="inlineStr">
        <is>
          <t>별도</t>
        </is>
      </c>
      <c r="D420" s="6" t="inlineStr">
        <is>
          <t>2026Q2</t>
        </is>
      </c>
      <c r="E420" s="6" t="inlineStr"/>
      <c r="F420" s="7" t="inlineStr"/>
      <c r="G420" s="8" t="inlineStr"/>
      <c r="H420" s="8" t="inlineStr"/>
      <c r="I420" s="9" t="n">
        <v>46497</v>
      </c>
      <c r="J420" s="10" t="n">
        <v>68</v>
      </c>
      <c r="K420" s="10" t="n">
        <v>1138</v>
      </c>
      <c r="L420" s="7" t="n">
        <v>63842</v>
      </c>
      <c r="M420" s="8" t="n">
        <v>1874</v>
      </c>
      <c r="N420" s="8" t="n">
        <v>2130</v>
      </c>
      <c r="O420" s="9" t="n">
        <v>60728</v>
      </c>
      <c r="P420" s="10" t="n">
        <v>270</v>
      </c>
      <c r="Q420" s="10" t="n">
        <v>644</v>
      </c>
      <c r="R420" s="7" t="n">
        <v>61320</v>
      </c>
      <c r="S420" s="8" t="n">
        <v>-179</v>
      </c>
      <c r="T420" s="8" t="n">
        <v>2005</v>
      </c>
      <c r="U420" s="9" t="n">
        <v>45817</v>
      </c>
      <c r="V420" s="10" t="n">
        <v>-992</v>
      </c>
      <c r="W420" s="10" t="n">
        <v>-726</v>
      </c>
      <c r="X420" s="7" t="n">
        <v>67016</v>
      </c>
      <c r="Y420" s="8" t="n">
        <v>2084</v>
      </c>
      <c r="Z420" s="8" t="n">
        <v>1533</v>
      </c>
      <c r="AA420" s="9" t="n">
        <v>53919</v>
      </c>
      <c r="AB420" s="10" t="n">
        <v>244</v>
      </c>
      <c r="AC420" s="10" t="n">
        <v>1686</v>
      </c>
      <c r="AD420" s="7" t="n">
        <v>47762</v>
      </c>
      <c r="AE420" s="8" t="n">
        <v>-1108</v>
      </c>
      <c r="AF420" s="8" t="n">
        <v>271</v>
      </c>
      <c r="AG420" s="9" t="n">
        <v>46246</v>
      </c>
      <c r="AH420" s="10" t="n">
        <v>-604</v>
      </c>
      <c r="AI420" s="10" t="n">
        <v>1126</v>
      </c>
      <c r="AJ420" s="11" t="n">
        <v>56894</v>
      </c>
      <c r="AK420" s="12" t="n">
        <v>905</v>
      </c>
      <c r="AL420" s="12" t="n">
        <v>2381</v>
      </c>
      <c r="AM420" s="13" t="n">
        <v>23</v>
      </c>
      <c r="AN420" s="13" t="n">
        <v>-15.1</v>
      </c>
      <c r="AO420" s="13" t="n">
        <v>249.8</v>
      </c>
      <c r="AP420" s="13" t="n">
        <v>-56.6</v>
      </c>
    </row>
    <row r="421">
      <c r="A421" s="5" t="inlineStr">
        <is>
          <t>화신</t>
        </is>
      </c>
      <c r="B421" s="6" t="inlineStr">
        <is>
          <t>010690</t>
        </is>
      </c>
      <c r="C421" s="6" t="inlineStr">
        <is>
          <t>연결</t>
        </is>
      </c>
      <c r="D421" s="6" t="inlineStr">
        <is>
          <t>2026Q2</t>
        </is>
      </c>
      <c r="E421" s="6" t="inlineStr"/>
      <c r="F421" s="7" t="inlineStr"/>
      <c r="G421" s="8" t="inlineStr"/>
      <c r="H421" s="8" t="inlineStr"/>
      <c r="I421" s="9" t="n">
        <v>415632</v>
      </c>
      <c r="J421" s="10" t="n">
        <v>21067</v>
      </c>
      <c r="K421" s="10" t="n">
        <v>29349</v>
      </c>
      <c r="L421" s="7" t="n">
        <v>429123</v>
      </c>
      <c r="M421" s="8" t="n">
        <v>24371</v>
      </c>
      <c r="N421" s="8" t="n">
        <v>14418</v>
      </c>
      <c r="O421" s="9" t="n">
        <v>418627</v>
      </c>
      <c r="P421" s="10" t="n">
        <v>6305</v>
      </c>
      <c r="Q421" s="10" t="n">
        <v>-8630</v>
      </c>
      <c r="R421" s="7" t="n">
        <v>448934</v>
      </c>
      <c r="S421" s="8" t="n">
        <v>13568</v>
      </c>
      <c r="T421" s="8" t="n">
        <v>18424</v>
      </c>
      <c r="U421" s="9" t="n">
        <v>473451</v>
      </c>
      <c r="V421" s="10" t="n">
        <v>30473</v>
      </c>
      <c r="W421" s="10" t="n">
        <v>29113</v>
      </c>
      <c r="X421" s="7" t="n">
        <v>490802</v>
      </c>
      <c r="Y421" s="8" t="n">
        <v>26483</v>
      </c>
      <c r="Z421" s="8" t="n">
        <v>239</v>
      </c>
      <c r="AA421" s="9" t="n">
        <v>485876</v>
      </c>
      <c r="AB421" s="10" t="n">
        <v>11568</v>
      </c>
      <c r="AC421" s="10" t="n">
        <v>17968</v>
      </c>
      <c r="AD421" s="7" t="n">
        <v>512355</v>
      </c>
      <c r="AE421" s="8" t="n">
        <v>33924</v>
      </c>
      <c r="AF421" s="8" t="n">
        <v>19368</v>
      </c>
      <c r="AG421" s="9" t="n">
        <v>505576</v>
      </c>
      <c r="AH421" s="10" t="n">
        <v>16982</v>
      </c>
      <c r="AI421" s="10" t="n">
        <v>28299</v>
      </c>
      <c r="AJ421" s="11" t="n">
        <v>498388</v>
      </c>
      <c r="AK421" s="12" t="n">
        <v>5800</v>
      </c>
      <c r="AL421" s="12" t="n">
        <v>7031</v>
      </c>
      <c r="AM421" s="13" t="n">
        <v>-1.4</v>
      </c>
      <c r="AN421" s="13" t="n">
        <v>1.5</v>
      </c>
      <c r="AO421" s="13" t="n">
        <v>-65.8</v>
      </c>
      <c r="AP421" s="13" t="n">
        <v>-78.09999999999999</v>
      </c>
    </row>
    <row r="422">
      <c r="A422" s="5" t="inlineStr">
        <is>
          <t>평화홀딩스</t>
        </is>
      </c>
      <c r="B422" s="6" t="inlineStr">
        <is>
          <t>010770</t>
        </is>
      </c>
      <c r="C422" s="6" t="inlineStr">
        <is>
          <t>연결</t>
        </is>
      </c>
      <c r="D422" s="6" t="inlineStr">
        <is>
          <t>2026Q2</t>
        </is>
      </c>
      <c r="E422" s="6" t="inlineStr"/>
      <c r="F422" s="7" t="inlineStr"/>
      <c r="G422" s="8" t="inlineStr"/>
      <c r="H422" s="8" t="inlineStr"/>
      <c r="I422" s="9" t="n">
        <v>201924</v>
      </c>
      <c r="J422" s="10" t="n">
        <v>7071</v>
      </c>
      <c r="K422" s="10" t="n">
        <v>2774</v>
      </c>
      <c r="L422" s="7" t="n">
        <v>215332</v>
      </c>
      <c r="M422" s="8" t="n">
        <v>7750</v>
      </c>
      <c r="N422" s="8" t="n">
        <v>-4386</v>
      </c>
      <c r="O422" s="9" t="n">
        <v>203407</v>
      </c>
      <c r="P422" s="10" t="n">
        <v>2824</v>
      </c>
      <c r="Q422" s="10" t="n">
        <v>3824</v>
      </c>
      <c r="R422" s="7" t="n">
        <v>214527</v>
      </c>
      <c r="S422" s="8" t="n">
        <v>11166</v>
      </c>
      <c r="T422" s="8" t="n">
        <v>222</v>
      </c>
      <c r="U422" s="9" t="n">
        <v>211858</v>
      </c>
      <c r="V422" s="10" t="n">
        <v>7769</v>
      </c>
      <c r="W422" s="10" t="n">
        <v>5902</v>
      </c>
      <c r="X422" s="7" t="n">
        <v>232843</v>
      </c>
      <c r="Y422" s="8" t="n">
        <v>9430</v>
      </c>
      <c r="Z422" s="8" t="n">
        <v>9119</v>
      </c>
      <c r="AA422" s="9" t="n">
        <v>222987</v>
      </c>
      <c r="AB422" s="10" t="n">
        <v>7602</v>
      </c>
      <c r="AC422" s="10" t="n">
        <v>10200</v>
      </c>
      <c r="AD422" s="7" t="n">
        <v>215989</v>
      </c>
      <c r="AE422" s="8" t="n">
        <v>10081</v>
      </c>
      <c r="AF422" s="8" t="n">
        <v>19947</v>
      </c>
      <c r="AG422" s="9" t="n">
        <v>225113</v>
      </c>
      <c r="AH422" s="10" t="n">
        <v>12277</v>
      </c>
      <c r="AI422" s="10" t="n">
        <v>20116</v>
      </c>
      <c r="AJ422" s="11" t="n">
        <v>237249</v>
      </c>
      <c r="AK422" s="12" t="n">
        <v>11606</v>
      </c>
      <c r="AL422" s="12" t="n">
        <v>11813</v>
      </c>
      <c r="AM422" s="13" t="n">
        <v>5.4</v>
      </c>
      <c r="AN422" s="13" t="n">
        <v>1.9</v>
      </c>
      <c r="AO422" s="13" t="n">
        <v>-5.5</v>
      </c>
      <c r="AP422" s="13" t="n">
        <v>23.1</v>
      </c>
    </row>
    <row r="423">
      <c r="A423" s="5" t="inlineStr">
        <is>
          <t>아이에스동서</t>
        </is>
      </c>
      <c r="B423" s="6" t="inlineStr">
        <is>
          <t>010780</t>
        </is>
      </c>
      <c r="C423" s="6" t="inlineStr">
        <is>
          <t>연결</t>
        </is>
      </c>
      <c r="D423" s="6" t="inlineStr">
        <is>
          <t>2026Q2</t>
        </is>
      </c>
      <c r="E423" s="6" t="inlineStr">
        <is>
          <t>2023Q4</t>
        </is>
      </c>
      <c r="F423" s="14" t="n">
        <v>490983</v>
      </c>
      <c r="G423" s="15" t="n">
        <v>85838</v>
      </c>
      <c r="H423" s="15" t="n">
        <v>42541</v>
      </c>
      <c r="I423" s="9" t="n">
        <v>413137</v>
      </c>
      <c r="J423" s="10" t="n">
        <v>79704</v>
      </c>
      <c r="K423" s="10" t="n">
        <v>34191</v>
      </c>
      <c r="L423" s="7" t="n">
        <v>409595</v>
      </c>
      <c r="M423" s="8" t="n">
        <v>56273</v>
      </c>
      <c r="N423" s="8" t="n">
        <v>24128</v>
      </c>
      <c r="O423" s="9" t="n">
        <v>392571</v>
      </c>
      <c r="P423" s="10" t="n">
        <v>24465</v>
      </c>
      <c r="Q423" s="10" t="n">
        <v>-3617</v>
      </c>
      <c r="R423" s="7" t="n">
        <v>299270</v>
      </c>
      <c r="S423" s="8" t="n">
        <v>9230</v>
      </c>
      <c r="T423" s="8" t="n">
        <v>-214890</v>
      </c>
      <c r="U423" s="9" t="n">
        <v>299145</v>
      </c>
      <c r="V423" s="10" t="n">
        <v>32350</v>
      </c>
      <c r="W423" s="10" t="n">
        <v>320</v>
      </c>
      <c r="X423" s="7" t="n">
        <v>335162</v>
      </c>
      <c r="Y423" s="8" t="n">
        <v>53797</v>
      </c>
      <c r="Z423" s="8" t="n">
        <v>19209</v>
      </c>
      <c r="AA423" s="9" t="n">
        <v>271032</v>
      </c>
      <c r="AB423" s="10" t="n">
        <v>9024</v>
      </c>
      <c r="AC423" s="10" t="n">
        <v>-12613</v>
      </c>
      <c r="AD423" s="7" t="n">
        <v>329017</v>
      </c>
      <c r="AE423" s="8" t="n">
        <v>-27048</v>
      </c>
      <c r="AF423" s="8" t="n">
        <v>-78734</v>
      </c>
      <c r="AG423" s="9" t="n">
        <v>437014</v>
      </c>
      <c r="AH423" s="10" t="n">
        <v>118076</v>
      </c>
      <c r="AI423" s="10" t="n">
        <v>154504</v>
      </c>
      <c r="AJ423" s="11" t="n">
        <v>113794</v>
      </c>
      <c r="AK423" s="12" t="n">
        <v>5099</v>
      </c>
      <c r="AL423" s="12" t="n">
        <v>6167</v>
      </c>
      <c r="AM423" s="13" t="n">
        <v>-74</v>
      </c>
      <c r="AN423" s="13" t="n">
        <v>-66</v>
      </c>
      <c r="AO423" s="13" t="n">
        <v>-95.7</v>
      </c>
      <c r="AP423" s="13" t="n">
        <v>-90.5</v>
      </c>
    </row>
    <row r="424">
      <c r="A424" s="5" t="inlineStr">
        <is>
          <t>퍼스텍</t>
        </is>
      </c>
      <c r="B424" s="6" t="inlineStr">
        <is>
          <t>010820</t>
        </is>
      </c>
      <c r="C424" s="6" t="inlineStr">
        <is>
          <t>별도</t>
        </is>
      </c>
      <c r="D424" s="6" t="inlineStr">
        <is>
          <t>2026Q2</t>
        </is>
      </c>
      <c r="E424" s="6" t="inlineStr"/>
      <c r="F424" s="7" t="inlineStr"/>
      <c r="G424" s="8" t="inlineStr"/>
      <c r="H424" s="8" t="inlineStr"/>
      <c r="I424" s="9" t="n">
        <v>35827</v>
      </c>
      <c r="J424" s="10" t="n">
        <v>22</v>
      </c>
      <c r="K424" s="10" t="n">
        <v>245</v>
      </c>
      <c r="L424" s="7" t="n">
        <v>46583</v>
      </c>
      <c r="M424" s="8" t="n">
        <v>515</v>
      </c>
      <c r="N424" s="8" t="n">
        <v>335</v>
      </c>
      <c r="O424" s="9" t="n">
        <v>48573</v>
      </c>
      <c r="P424" s="10" t="n">
        <v>1055</v>
      </c>
      <c r="Q424" s="10" t="n">
        <v>2292</v>
      </c>
      <c r="R424" s="7" t="n">
        <v>76290</v>
      </c>
      <c r="S424" s="8" t="n">
        <v>2756</v>
      </c>
      <c r="T424" s="8" t="n">
        <v>8047</v>
      </c>
      <c r="U424" s="9" t="n">
        <v>53590</v>
      </c>
      <c r="V424" s="10" t="n">
        <v>1425</v>
      </c>
      <c r="W424" s="10" t="n">
        <v>2186</v>
      </c>
      <c r="X424" s="7" t="n">
        <v>61861</v>
      </c>
      <c r="Y424" s="8" t="n">
        <v>1517</v>
      </c>
      <c r="Z424" s="8" t="n">
        <v>2373</v>
      </c>
      <c r="AA424" s="9" t="n">
        <v>70940</v>
      </c>
      <c r="AB424" s="10" t="n">
        <v>2848</v>
      </c>
      <c r="AC424" s="10" t="n">
        <v>2125</v>
      </c>
      <c r="AD424" s="7" t="n">
        <v>108451</v>
      </c>
      <c r="AE424" s="8" t="n">
        <v>4873</v>
      </c>
      <c r="AF424" s="8" t="n">
        <v>8043</v>
      </c>
      <c r="AG424" s="9" t="n">
        <v>79301</v>
      </c>
      <c r="AH424" s="10" t="n">
        <v>2282</v>
      </c>
      <c r="AI424" s="10" t="n">
        <v>1684</v>
      </c>
      <c r="AJ424" s="11" t="n">
        <v>92242</v>
      </c>
      <c r="AK424" s="12" t="n">
        <v>3413</v>
      </c>
      <c r="AL424" s="12" t="n">
        <v>2685</v>
      </c>
      <c r="AM424" s="13" t="n">
        <v>16.3</v>
      </c>
      <c r="AN424" s="13" t="n">
        <v>49.1</v>
      </c>
      <c r="AO424" s="13" t="n">
        <v>49.6</v>
      </c>
      <c r="AP424" s="13" t="n">
        <v>125</v>
      </c>
    </row>
    <row r="425">
      <c r="A425" s="5" t="inlineStr">
        <is>
          <t>S-Oil</t>
        </is>
      </c>
      <c r="B425" s="6" t="inlineStr">
        <is>
          <t>010950</t>
        </is>
      </c>
      <c r="C425" s="6" t="inlineStr">
        <is>
          <t>연결</t>
        </is>
      </c>
      <c r="D425" s="6" t="inlineStr">
        <is>
          <t>2026Q2</t>
        </is>
      </c>
      <c r="E425" s="6" t="inlineStr">
        <is>
          <t>2023Q4</t>
        </is>
      </c>
      <c r="F425" s="14" t="n">
        <v>9830431</v>
      </c>
      <c r="G425" s="15" t="n">
        <v>7570</v>
      </c>
      <c r="H425" s="15" t="n">
        <v>209835</v>
      </c>
      <c r="I425" s="9" t="n">
        <v>9308489</v>
      </c>
      <c r="J425" s="10" t="n">
        <v>454106</v>
      </c>
      <c r="K425" s="10" t="n">
        <v>166203</v>
      </c>
      <c r="L425" s="7" t="n">
        <v>9570838</v>
      </c>
      <c r="M425" s="8" t="n">
        <v>160647</v>
      </c>
      <c r="N425" s="8" t="n">
        <v>-21337</v>
      </c>
      <c r="O425" s="9" t="n">
        <v>8840623</v>
      </c>
      <c r="P425" s="10" t="n">
        <v>-414948</v>
      </c>
      <c r="Q425" s="10" t="n">
        <v>-206188</v>
      </c>
      <c r="R425" s="7" t="n">
        <v>8917081</v>
      </c>
      <c r="S425" s="8" t="n">
        <v>222372</v>
      </c>
      <c r="T425" s="8" t="n">
        <v>-131720</v>
      </c>
      <c r="U425" s="9" t="n">
        <v>8990533</v>
      </c>
      <c r="V425" s="10" t="n">
        <v>-21541</v>
      </c>
      <c r="W425" s="10" t="n">
        <v>-44558</v>
      </c>
      <c r="X425" s="7" t="n">
        <v>8048504</v>
      </c>
      <c r="Y425" s="8" t="n">
        <v>-343971</v>
      </c>
      <c r="Z425" s="8" t="n">
        <v>-66782</v>
      </c>
      <c r="AA425" s="9" t="n">
        <v>8415367</v>
      </c>
      <c r="AB425" s="10" t="n">
        <v>229216</v>
      </c>
      <c r="AC425" s="10" t="n">
        <v>63206</v>
      </c>
      <c r="AD425" s="7" t="n">
        <v>8792553</v>
      </c>
      <c r="AE425" s="8" t="n">
        <v>371927</v>
      </c>
      <c r="AF425" s="8" t="n">
        <v>225086</v>
      </c>
      <c r="AG425" s="9" t="n">
        <v>8942689</v>
      </c>
      <c r="AH425" s="10" t="n">
        <v>1231078</v>
      </c>
      <c r="AI425" s="10" t="n">
        <v>720991</v>
      </c>
      <c r="AJ425" s="11" t="n">
        <v>11343488</v>
      </c>
      <c r="AK425" s="12" t="n">
        <v>965015</v>
      </c>
      <c r="AL425" s="12" t="n">
        <v>514584</v>
      </c>
      <c r="AM425" s="13" t="n">
        <v>26.8</v>
      </c>
      <c r="AN425" s="13" t="n">
        <v>40.9</v>
      </c>
      <c r="AO425" s="13" t="n">
        <v>-21.6</v>
      </c>
      <c r="AP425" s="13" t="n">
        <v>380.6</v>
      </c>
    </row>
    <row r="426">
      <c r="A426" s="5" t="inlineStr">
        <is>
          <t>삼호개발</t>
        </is>
      </c>
      <c r="B426" s="6" t="inlineStr">
        <is>
          <t>010960</t>
        </is>
      </c>
      <c r="C426" s="6" t="inlineStr">
        <is>
          <t>연결</t>
        </is>
      </c>
      <c r="D426" s="6" t="inlineStr">
        <is>
          <t>2026Q2</t>
        </is>
      </c>
      <c r="E426" s="6" t="inlineStr"/>
      <c r="F426" s="7" t="inlineStr"/>
      <c r="G426" s="8" t="inlineStr"/>
      <c r="H426" s="8" t="inlineStr"/>
      <c r="I426" s="9" t="n">
        <v>93990</v>
      </c>
      <c r="J426" s="10" t="n">
        <v>5477</v>
      </c>
      <c r="K426" s="10" t="n">
        <v>7743</v>
      </c>
      <c r="L426" s="7" t="n">
        <v>104405</v>
      </c>
      <c r="M426" s="8" t="n">
        <v>-117</v>
      </c>
      <c r="N426" s="8" t="n">
        <v>-136</v>
      </c>
      <c r="O426" s="9" t="n">
        <v>88376</v>
      </c>
      <c r="P426" s="10" t="n">
        <v>-6025</v>
      </c>
      <c r="Q426" s="10" t="n">
        <v>-4182</v>
      </c>
      <c r="R426" s="7" t="n">
        <v>115006</v>
      </c>
      <c r="S426" s="8" t="n">
        <v>1837</v>
      </c>
      <c r="T426" s="8" t="n">
        <v>1834</v>
      </c>
      <c r="U426" s="9" t="n">
        <v>95034</v>
      </c>
      <c r="V426" s="10" t="n">
        <v>4668</v>
      </c>
      <c r="W426" s="10" t="n">
        <v>5698</v>
      </c>
      <c r="X426" s="7" t="n">
        <v>98953</v>
      </c>
      <c r="Y426" s="8" t="n">
        <v>4203</v>
      </c>
      <c r="Z426" s="8" t="n">
        <v>5158</v>
      </c>
      <c r="AA426" s="9" t="n">
        <v>104427</v>
      </c>
      <c r="AB426" s="10" t="n">
        <v>3958</v>
      </c>
      <c r="AC426" s="10" t="n">
        <v>6155</v>
      </c>
      <c r="AD426" s="7" t="n">
        <v>111313</v>
      </c>
      <c r="AE426" s="8" t="n">
        <v>1657</v>
      </c>
      <c r="AF426" s="8" t="n">
        <v>1731</v>
      </c>
      <c r="AG426" s="9" t="n">
        <v>90719</v>
      </c>
      <c r="AH426" s="10" t="n">
        <v>959</v>
      </c>
      <c r="AI426" s="10" t="n">
        <v>2419</v>
      </c>
      <c r="AJ426" s="11" t="n">
        <v>95582</v>
      </c>
      <c r="AK426" s="12" t="n">
        <v>1151</v>
      </c>
      <c r="AL426" s="12" t="n">
        <v>3446</v>
      </c>
      <c r="AM426" s="13" t="n">
        <v>5.4</v>
      </c>
      <c r="AN426" s="13" t="n">
        <v>-3.4</v>
      </c>
      <c r="AO426" s="13" t="n">
        <v>20</v>
      </c>
      <c r="AP426" s="13" t="n">
        <v>-72.59999999999999</v>
      </c>
    </row>
    <row r="427">
      <c r="A427" s="5" t="inlineStr">
        <is>
          <t>진원생명과학</t>
        </is>
      </c>
      <c r="B427" s="6" t="inlineStr">
        <is>
          <t>011000</t>
        </is>
      </c>
      <c r="C427" s="6" t="inlineStr">
        <is>
          <t>연결</t>
        </is>
      </c>
      <c r="D427" s="6" t="inlineStr">
        <is>
          <t>2026Q2</t>
        </is>
      </c>
      <c r="E427" s="6" t="inlineStr"/>
      <c r="F427" s="7" t="inlineStr"/>
      <c r="G427" s="8" t="inlineStr"/>
      <c r="H427" s="8" t="inlineStr"/>
      <c r="I427" s="9" t="n">
        <v>7032</v>
      </c>
      <c r="J427" s="10" t="n">
        <v>-11100</v>
      </c>
      <c r="K427" s="10" t="n">
        <v>-9481</v>
      </c>
      <c r="L427" s="7" t="n">
        <v>9290</v>
      </c>
      <c r="M427" s="8" t="n">
        <v>-11694</v>
      </c>
      <c r="N427" s="8" t="n">
        <v>-12805</v>
      </c>
      <c r="O427" s="9" t="n">
        <v>8893</v>
      </c>
      <c r="P427" s="10" t="n">
        <v>-10381</v>
      </c>
      <c r="Q427" s="10" t="n">
        <v>-10603</v>
      </c>
      <c r="R427" s="7" t="n">
        <v>10505</v>
      </c>
      <c r="S427" s="8" t="n">
        <v>-9864</v>
      </c>
      <c r="T427" s="8" t="n">
        <v>-15648</v>
      </c>
      <c r="U427" s="9" t="n">
        <v>8504</v>
      </c>
      <c r="V427" s="10" t="n">
        <v>-9066</v>
      </c>
      <c r="W427" s="10" t="n">
        <v>-8837</v>
      </c>
      <c r="X427" s="7" t="n">
        <v>6813</v>
      </c>
      <c r="Y427" s="8" t="n">
        <v>-10186</v>
      </c>
      <c r="Z427" s="8" t="n">
        <v>-15409</v>
      </c>
      <c r="AA427" s="9" t="n">
        <v>5076</v>
      </c>
      <c r="AB427" s="10" t="n">
        <v>-11661</v>
      </c>
      <c r="AC427" s="10" t="n">
        <v>-11468</v>
      </c>
      <c r="AD427" s="7" t="n">
        <v>2652</v>
      </c>
      <c r="AE427" s="8" t="n">
        <v>-13123</v>
      </c>
      <c r="AF427" s="8" t="n">
        <v>-16137</v>
      </c>
      <c r="AG427" s="9" t="n">
        <v>2581</v>
      </c>
      <c r="AH427" s="10" t="n">
        <v>-2343</v>
      </c>
      <c r="AI427" s="10" t="n">
        <v>-2382</v>
      </c>
      <c r="AJ427" s="11" t="n">
        <v>2056</v>
      </c>
      <c r="AK427" s="12" t="n">
        <v>-12810</v>
      </c>
      <c r="AL427" s="12" t="n">
        <v>-18949</v>
      </c>
      <c r="AM427" s="13" t="n">
        <v>-20.3</v>
      </c>
      <c r="AN427" s="13" t="n">
        <v>-69.8</v>
      </c>
      <c r="AO427" s="13" t="n">
        <v>-446.7</v>
      </c>
      <c r="AP427" s="13" t="n">
        <v>-25.8</v>
      </c>
    </row>
    <row r="428">
      <c r="A428" s="5" t="inlineStr">
        <is>
          <t>경동제약</t>
        </is>
      </c>
      <c r="B428" s="6" t="inlineStr">
        <is>
          <t>011040</t>
        </is>
      </c>
      <c r="C428" s="6" t="inlineStr">
        <is>
          <t>연결</t>
        </is>
      </c>
      <c r="D428" s="6" t="inlineStr">
        <is>
          <t>2026Q2</t>
        </is>
      </c>
      <c r="E428" s="6" t="inlineStr"/>
      <c r="F428" s="7" t="inlineStr"/>
      <c r="G428" s="8" t="inlineStr"/>
      <c r="H428" s="8" t="inlineStr"/>
      <c r="I428" s="9" t="n">
        <v>45086</v>
      </c>
      <c r="J428" s="10" t="n">
        <v>-768</v>
      </c>
      <c r="K428" s="10" t="n">
        <v>1287</v>
      </c>
      <c r="L428" s="7" t="n">
        <v>49690</v>
      </c>
      <c r="M428" s="8" t="n">
        <v>636</v>
      </c>
      <c r="N428" s="8" t="n">
        <v>1465</v>
      </c>
      <c r="O428" s="9" t="n">
        <v>49633</v>
      </c>
      <c r="P428" s="10" t="n">
        <v>529</v>
      </c>
      <c r="Q428" s="10" t="n">
        <v>53</v>
      </c>
      <c r="R428" s="7" t="n">
        <v>49527</v>
      </c>
      <c r="S428" s="8" t="n">
        <v>2227</v>
      </c>
      <c r="T428" s="8" t="n">
        <v>2643</v>
      </c>
      <c r="U428" s="9" t="n">
        <v>45813</v>
      </c>
      <c r="V428" s="10" t="n">
        <v>1530</v>
      </c>
      <c r="W428" s="10" t="n">
        <v>1626</v>
      </c>
      <c r="X428" s="7" t="n">
        <v>49417</v>
      </c>
      <c r="Y428" s="8" t="n">
        <v>478</v>
      </c>
      <c r="Z428" s="8" t="n">
        <v>-423</v>
      </c>
      <c r="AA428" s="9" t="n">
        <v>48881</v>
      </c>
      <c r="AB428" s="10" t="n">
        <v>3088</v>
      </c>
      <c r="AC428" s="10" t="n">
        <v>4411</v>
      </c>
      <c r="AD428" s="7" t="n">
        <v>52162</v>
      </c>
      <c r="AE428" s="8" t="n">
        <v>2570</v>
      </c>
      <c r="AF428" s="8" t="n">
        <v>2837</v>
      </c>
      <c r="AG428" s="9" t="n">
        <v>47814</v>
      </c>
      <c r="AH428" s="10" t="n">
        <v>2411</v>
      </c>
      <c r="AI428" s="10" t="n">
        <v>4725</v>
      </c>
      <c r="AJ428" s="11" t="n">
        <v>52262</v>
      </c>
      <c r="AK428" s="12" t="n">
        <v>3703</v>
      </c>
      <c r="AL428" s="12" t="n">
        <v>5757</v>
      </c>
      <c r="AM428" s="13" t="n">
        <v>9.300000000000001</v>
      </c>
      <c r="AN428" s="13" t="n">
        <v>5.8</v>
      </c>
      <c r="AO428" s="13" t="n">
        <v>53.6</v>
      </c>
      <c r="AP428" s="13" t="n">
        <v>674.7</v>
      </c>
    </row>
    <row r="429">
      <c r="A429" s="5" t="inlineStr">
        <is>
          <t>LG이노텍</t>
        </is>
      </c>
      <c r="B429" s="6" t="inlineStr">
        <is>
          <t>011070</t>
        </is>
      </c>
      <c r="C429" s="6" t="inlineStr">
        <is>
          <t>연결</t>
        </is>
      </c>
      <c r="D429" s="6" t="inlineStr">
        <is>
          <t>2026Q2</t>
        </is>
      </c>
      <c r="E429" s="6" t="inlineStr">
        <is>
          <t>2023Q4</t>
        </is>
      </c>
      <c r="F429" s="14" t="n">
        <v>7558638</v>
      </c>
      <c r="G429" s="15" t="n">
        <v>483690</v>
      </c>
      <c r="H429" s="15" t="n">
        <v>350754</v>
      </c>
      <c r="I429" s="9" t="n">
        <v>4333578</v>
      </c>
      <c r="J429" s="10" t="n">
        <v>176038</v>
      </c>
      <c r="K429" s="10" t="n">
        <v>138466</v>
      </c>
      <c r="L429" s="7" t="n">
        <v>4555269</v>
      </c>
      <c r="M429" s="8" t="n">
        <v>151684</v>
      </c>
      <c r="N429" s="8" t="n">
        <v>98886</v>
      </c>
      <c r="O429" s="9" t="n">
        <v>5685059</v>
      </c>
      <c r="P429" s="10" t="n">
        <v>130430</v>
      </c>
      <c r="Q429" s="10" t="n">
        <v>104999</v>
      </c>
      <c r="R429" s="7" t="n">
        <v>6626849</v>
      </c>
      <c r="S429" s="8" t="n">
        <v>247891</v>
      </c>
      <c r="T429" s="8" t="n">
        <v>106923</v>
      </c>
      <c r="U429" s="9" t="n">
        <v>4982840</v>
      </c>
      <c r="V429" s="10" t="n">
        <v>125117</v>
      </c>
      <c r="W429" s="10" t="n">
        <v>85613</v>
      </c>
      <c r="X429" s="7" t="n">
        <v>3934575</v>
      </c>
      <c r="Y429" s="8" t="n">
        <v>11392</v>
      </c>
      <c r="Z429" s="8" t="n">
        <v>-8677</v>
      </c>
      <c r="AA429" s="9" t="n">
        <v>5369431</v>
      </c>
      <c r="AB429" s="10" t="n">
        <v>203749</v>
      </c>
      <c r="AC429" s="10" t="n">
        <v>128389</v>
      </c>
      <c r="AD429" s="7" t="n">
        <v>7609757</v>
      </c>
      <c r="AE429" s="8" t="n">
        <v>324749</v>
      </c>
      <c r="AF429" s="8" t="n">
        <v>135937</v>
      </c>
      <c r="AG429" s="9" t="n">
        <v>5534835</v>
      </c>
      <c r="AH429" s="10" t="n">
        <v>295320</v>
      </c>
      <c r="AI429" s="10" t="n">
        <v>229143</v>
      </c>
      <c r="AJ429" s="11" t="n">
        <v>5527241</v>
      </c>
      <c r="AK429" s="12" t="n">
        <v>245754</v>
      </c>
      <c r="AL429" s="12" t="n">
        <v>169667</v>
      </c>
      <c r="AM429" s="13" t="n">
        <v>-0.1</v>
      </c>
      <c r="AN429" s="13" t="n">
        <v>40.5</v>
      </c>
      <c r="AO429" s="13" t="n">
        <v>-16.8</v>
      </c>
      <c r="AP429" s="13" t="n">
        <v>2057.3</v>
      </c>
    </row>
    <row r="430">
      <c r="A430" s="5" t="inlineStr">
        <is>
          <t>형지I&amp;C</t>
        </is>
      </c>
      <c r="B430" s="6" t="inlineStr">
        <is>
          <t>011080</t>
        </is>
      </c>
      <c r="C430" s="6" t="inlineStr">
        <is>
          <t>연결</t>
        </is>
      </c>
      <c r="D430" s="6" t="inlineStr">
        <is>
          <t>2026Q2</t>
        </is>
      </c>
      <c r="E430" s="6" t="inlineStr"/>
      <c r="F430" s="7" t="inlineStr"/>
      <c r="G430" s="8" t="inlineStr"/>
      <c r="H430" s="8" t="inlineStr"/>
      <c r="I430" s="9" t="n">
        <v>14295</v>
      </c>
      <c r="J430" s="10" t="n">
        <v>-749</v>
      </c>
      <c r="K430" s="10" t="n">
        <v>-992</v>
      </c>
      <c r="L430" s="7" t="n">
        <v>15709</v>
      </c>
      <c r="M430" s="8" t="n">
        <v>-199</v>
      </c>
      <c r="N430" s="8" t="n">
        <v>-216</v>
      </c>
      <c r="O430" s="9" t="n">
        <v>10660</v>
      </c>
      <c r="P430" s="10" t="n">
        <v>-1726</v>
      </c>
      <c r="Q430" s="10" t="n">
        <v>-2283</v>
      </c>
      <c r="R430" s="7" t="n">
        <v>16083</v>
      </c>
      <c r="S430" s="8" t="n">
        <v>-2345</v>
      </c>
      <c r="T430" s="8" t="n">
        <v>-376</v>
      </c>
      <c r="U430" s="9" t="n">
        <v>11932</v>
      </c>
      <c r="V430" s="10" t="n">
        <v>-1714</v>
      </c>
      <c r="W430" s="10" t="n">
        <v>-2107</v>
      </c>
      <c r="X430" s="7" t="n">
        <v>14195</v>
      </c>
      <c r="Y430" s="8" t="n">
        <v>-1014</v>
      </c>
      <c r="Z430" s="8" t="n">
        <v>-2132</v>
      </c>
      <c r="AA430" s="9" t="n">
        <v>10299</v>
      </c>
      <c r="AB430" s="10" t="n">
        <v>-2026</v>
      </c>
      <c r="AC430" s="10" t="n">
        <v>-1668</v>
      </c>
      <c r="AD430" s="7" t="n">
        <v>14383</v>
      </c>
      <c r="AE430" s="8" t="n">
        <v>-2291</v>
      </c>
      <c r="AF430" s="8" t="n">
        <v>-2999</v>
      </c>
      <c r="AG430" s="9" t="n">
        <v>12127</v>
      </c>
      <c r="AH430" s="10" t="n">
        <v>-1280</v>
      </c>
      <c r="AI430" s="10" t="n">
        <v>-3503</v>
      </c>
      <c r="AJ430" s="11" t="n">
        <v>14541</v>
      </c>
      <c r="AK430" s="12" t="n">
        <v>52</v>
      </c>
      <c r="AL430" s="12" t="n">
        <v>30</v>
      </c>
      <c r="AM430" s="13" t="n">
        <v>19.9</v>
      </c>
      <c r="AN430" s="13" t="n">
        <v>2.4</v>
      </c>
      <c r="AO430" s="13" t="n">
        <v>104.1</v>
      </c>
      <c r="AP430" s="13" t="n">
        <v>105.1</v>
      </c>
    </row>
    <row r="431">
      <c r="A431" s="5" t="inlineStr">
        <is>
          <t>에넥스</t>
        </is>
      </c>
      <c r="B431" s="6" t="inlineStr">
        <is>
          <t>011090</t>
        </is>
      </c>
      <c r="C431" s="6" t="inlineStr">
        <is>
          <t>연결</t>
        </is>
      </c>
      <c r="D431" s="6" t="inlineStr">
        <is>
          <t>2026Q2</t>
        </is>
      </c>
      <c r="E431" s="6" t="inlineStr"/>
      <c r="F431" s="7" t="inlineStr"/>
      <c r="G431" s="8" t="inlineStr"/>
      <c r="H431" s="8" t="inlineStr"/>
      <c r="I431" s="9" t="n">
        <v>63340</v>
      </c>
      <c r="J431" s="10" t="n">
        <v>1715</v>
      </c>
      <c r="K431" s="10" t="n">
        <v>1129</v>
      </c>
      <c r="L431" s="7" t="n">
        <v>64070</v>
      </c>
      <c r="M431" s="8" t="n">
        <v>1015</v>
      </c>
      <c r="N431" s="8" t="n">
        <v>2883</v>
      </c>
      <c r="O431" s="9" t="n">
        <v>71190</v>
      </c>
      <c r="P431" s="10" t="n">
        <v>351</v>
      </c>
      <c r="Q431" s="10" t="n">
        <v>-333</v>
      </c>
      <c r="R431" s="7" t="n">
        <v>65508</v>
      </c>
      <c r="S431" s="8" t="n">
        <v>2016</v>
      </c>
      <c r="T431" s="8" t="n">
        <v>226</v>
      </c>
      <c r="U431" s="9" t="n">
        <v>60314</v>
      </c>
      <c r="V431" s="10" t="n">
        <v>1620</v>
      </c>
      <c r="W431" s="10" t="n">
        <v>1520</v>
      </c>
      <c r="X431" s="7" t="n">
        <v>54815</v>
      </c>
      <c r="Y431" s="8" t="n">
        <v>1555</v>
      </c>
      <c r="Z431" s="8" t="n">
        <v>1152</v>
      </c>
      <c r="AA431" s="9" t="n">
        <v>52049</v>
      </c>
      <c r="AB431" s="10" t="n">
        <v>-454</v>
      </c>
      <c r="AC431" s="10" t="n">
        <v>-785</v>
      </c>
      <c r="AD431" s="7" t="n">
        <v>48065</v>
      </c>
      <c r="AE431" s="8" t="n">
        <v>-2176</v>
      </c>
      <c r="AF431" s="8" t="n">
        <v>-3285</v>
      </c>
      <c r="AG431" s="9" t="n">
        <v>46688</v>
      </c>
      <c r="AH431" s="10" t="n">
        <v>-2873</v>
      </c>
      <c r="AI431" s="10" t="n">
        <v>-3181</v>
      </c>
      <c r="AJ431" s="11" t="n">
        <v>42491</v>
      </c>
      <c r="AK431" s="12" t="n">
        <v>-3111</v>
      </c>
      <c r="AL431" s="12" t="n">
        <v>-3552</v>
      </c>
      <c r="AM431" s="13" t="n">
        <v>-9</v>
      </c>
      <c r="AN431" s="13" t="n">
        <v>-22.5</v>
      </c>
      <c r="AO431" s="13" t="n">
        <v>-8.300000000000001</v>
      </c>
      <c r="AP431" s="13" t="n">
        <v>-300.1</v>
      </c>
    </row>
    <row r="432">
      <c r="A432" s="5" t="inlineStr">
        <is>
          <t>CJ씨푸드</t>
        </is>
      </c>
      <c r="B432" s="6" t="inlineStr">
        <is>
          <t>011150</t>
        </is>
      </c>
      <c r="C432" s="6" t="inlineStr">
        <is>
          <t>연결</t>
        </is>
      </c>
      <c r="D432" s="6" t="inlineStr">
        <is>
          <t>2026Q2</t>
        </is>
      </c>
      <c r="E432" s="6" t="inlineStr"/>
      <c r="F432" s="7" t="inlineStr"/>
      <c r="G432" s="8" t="inlineStr"/>
      <c r="H432" s="8" t="inlineStr"/>
      <c r="I432" s="9" t="n">
        <v>52496</v>
      </c>
      <c r="J432" s="10" t="n">
        <v>1333</v>
      </c>
      <c r="K432" s="10" t="n">
        <v>1428</v>
      </c>
      <c r="L432" s="7" t="n">
        <v>47497</v>
      </c>
      <c r="M432" s="8" t="n">
        <v>-171</v>
      </c>
      <c r="N432" s="8" t="n">
        <v>74</v>
      </c>
      <c r="O432" s="9" t="n">
        <v>53620</v>
      </c>
      <c r="P432" s="10" t="n">
        <v>788</v>
      </c>
      <c r="Q432" s="10" t="n">
        <v>2006</v>
      </c>
      <c r="R432" s="7" t="n">
        <v>40104</v>
      </c>
      <c r="S432" s="8" t="n">
        <v>2408</v>
      </c>
      <c r="T432" s="8" t="n">
        <v>1511</v>
      </c>
      <c r="U432" s="9" t="n">
        <v>52528</v>
      </c>
      <c r="V432" s="10" t="n">
        <v>-1000</v>
      </c>
      <c r="W432" s="10" t="n">
        <v>231</v>
      </c>
      <c r="X432" s="7" t="n">
        <v>42474</v>
      </c>
      <c r="Y432" s="8" t="n">
        <v>-1488</v>
      </c>
      <c r="Z432" s="8" t="n">
        <v>295</v>
      </c>
      <c r="AA432" s="9" t="n">
        <v>49424</v>
      </c>
      <c r="AB432" s="10" t="n">
        <v>-635</v>
      </c>
      <c r="AC432" s="10" t="n">
        <v>10</v>
      </c>
      <c r="AD432" s="7" t="n">
        <v>47692</v>
      </c>
      <c r="AE432" s="8" t="n">
        <v>2213</v>
      </c>
      <c r="AF432" s="8" t="n">
        <v>2291</v>
      </c>
      <c r="AG432" s="9" t="n">
        <v>54950</v>
      </c>
      <c r="AH432" s="10" t="n">
        <v>-1471</v>
      </c>
      <c r="AI432" s="10" t="n">
        <v>-1286</v>
      </c>
      <c r="AJ432" s="11" t="n">
        <v>48254</v>
      </c>
      <c r="AK432" s="12" t="n">
        <v>-578</v>
      </c>
      <c r="AL432" s="12" t="n">
        <v>742</v>
      </c>
      <c r="AM432" s="13" t="n">
        <v>-12.2</v>
      </c>
      <c r="AN432" s="13" t="n">
        <v>13.6</v>
      </c>
      <c r="AO432" s="13" t="n">
        <v>60.7</v>
      </c>
      <c r="AP432" s="13" t="n">
        <v>61.2</v>
      </c>
    </row>
    <row r="433">
      <c r="A433" s="5" t="inlineStr">
        <is>
          <t>롯데케미칼</t>
        </is>
      </c>
      <c r="B433" s="6" t="inlineStr">
        <is>
          <t>011170</t>
        </is>
      </c>
      <c r="C433" s="6" t="inlineStr">
        <is>
          <t>연결</t>
        </is>
      </c>
      <c r="D433" s="6" t="inlineStr">
        <is>
          <t>2026Q2</t>
        </is>
      </c>
      <c r="E433" s="6" t="inlineStr">
        <is>
          <t>2023Q4</t>
        </is>
      </c>
      <c r="F433" s="14" t="n">
        <v>4905274</v>
      </c>
      <c r="G433" s="15" t="n">
        <v>-315829</v>
      </c>
      <c r="H433" s="15" t="n">
        <v>-154010</v>
      </c>
      <c r="I433" s="9" t="n">
        <v>5086124</v>
      </c>
      <c r="J433" s="10" t="n">
        <v>-135280</v>
      </c>
      <c r="K433" s="10" t="n">
        <v>-60446</v>
      </c>
      <c r="L433" s="7" t="n">
        <v>5248012</v>
      </c>
      <c r="M433" s="8" t="n">
        <v>-111163</v>
      </c>
      <c r="N433" s="8" t="n">
        <v>-107134</v>
      </c>
      <c r="O433" s="9" t="n">
        <v>5200177</v>
      </c>
      <c r="P433" s="10" t="n">
        <v>-413584</v>
      </c>
      <c r="Q433" s="10" t="n">
        <v>-513775</v>
      </c>
      <c r="R433" s="7" t="n">
        <v>4896063</v>
      </c>
      <c r="S433" s="8" t="n">
        <v>-234054</v>
      </c>
      <c r="T433" s="8" t="n">
        <v>-1144201</v>
      </c>
      <c r="U433" s="9" t="n">
        <v>4901761</v>
      </c>
      <c r="V433" s="10" t="n">
        <v>-126600</v>
      </c>
      <c r="W433" s="10" t="n">
        <v>-246315</v>
      </c>
      <c r="X433" s="7" t="n">
        <v>4197070</v>
      </c>
      <c r="Y433" s="8" t="n">
        <v>-244880</v>
      </c>
      <c r="Z433" s="8" t="n">
        <v>-471256</v>
      </c>
      <c r="AA433" s="9" t="n">
        <v>4786058</v>
      </c>
      <c r="AB433" s="10" t="n">
        <v>-132555</v>
      </c>
      <c r="AC433" s="10" t="n">
        <v>-163570</v>
      </c>
      <c r="AD433" s="7" t="n">
        <v>4598116</v>
      </c>
      <c r="AE433" s="8" t="n">
        <v>-439081</v>
      </c>
      <c r="AF433" s="8" t="n">
        <v>-1595035</v>
      </c>
      <c r="AG433" s="9" t="n">
        <v>4990521</v>
      </c>
      <c r="AH433" s="10" t="n">
        <v>73478</v>
      </c>
      <c r="AI433" s="10" t="n">
        <v>33459</v>
      </c>
      <c r="AJ433" s="11" t="n">
        <v>5686370</v>
      </c>
      <c r="AK433" s="12" t="n">
        <v>110139</v>
      </c>
      <c r="AL433" s="12" t="n">
        <v>194491</v>
      </c>
      <c r="AM433" s="13" t="n">
        <v>13.9</v>
      </c>
      <c r="AN433" s="13" t="n">
        <v>35.5</v>
      </c>
      <c r="AO433" s="13" t="n">
        <v>49.9</v>
      </c>
      <c r="AP433" s="13" t="n">
        <v>145</v>
      </c>
    </row>
    <row r="434">
      <c r="A434" s="5" t="inlineStr">
        <is>
          <t>HMM</t>
        </is>
      </c>
      <c r="B434" s="6" t="inlineStr">
        <is>
          <t>011200</t>
        </is>
      </c>
      <c r="C434" s="6" t="inlineStr">
        <is>
          <t>연결</t>
        </is>
      </c>
      <c r="D434" s="6" t="inlineStr">
        <is>
          <t>2026Q2</t>
        </is>
      </c>
      <c r="E434" s="6" t="inlineStr"/>
      <c r="F434" s="7" t="inlineStr"/>
      <c r="G434" s="8" t="inlineStr"/>
      <c r="H434" s="8" t="inlineStr"/>
      <c r="I434" s="9" t="n">
        <v>2329865</v>
      </c>
      <c r="J434" s="10" t="n">
        <v>407001</v>
      </c>
      <c r="K434" s="10" t="n">
        <v>485084</v>
      </c>
      <c r="L434" s="7" t="n">
        <v>2663432</v>
      </c>
      <c r="M434" s="8" t="n">
        <v>644381</v>
      </c>
      <c r="N434" s="8" t="n">
        <v>660761</v>
      </c>
      <c r="O434" s="9" t="n">
        <v>3551980</v>
      </c>
      <c r="P434" s="10" t="n">
        <v>1461355</v>
      </c>
      <c r="Q434" s="10" t="n">
        <v>1738455</v>
      </c>
      <c r="R434" s="7" t="n">
        <v>3154947</v>
      </c>
      <c r="S434" s="8" t="n">
        <v>1000110</v>
      </c>
      <c r="T434" s="8" t="n">
        <v>897829</v>
      </c>
      <c r="U434" s="9" t="n">
        <v>2854682</v>
      </c>
      <c r="V434" s="10" t="n">
        <v>613899</v>
      </c>
      <c r="W434" s="10" t="n">
        <v>739729</v>
      </c>
      <c r="X434" s="7" t="n">
        <v>2622747</v>
      </c>
      <c r="Y434" s="8" t="n">
        <v>233175</v>
      </c>
      <c r="Z434" s="8" t="n">
        <v>471321</v>
      </c>
      <c r="AA434" s="9" t="n">
        <v>2706392</v>
      </c>
      <c r="AB434" s="10" t="n">
        <v>296835</v>
      </c>
      <c r="AC434" s="10" t="n">
        <v>303800</v>
      </c>
      <c r="AD434" s="7" t="n">
        <v>2707622</v>
      </c>
      <c r="AE434" s="8" t="n">
        <v>317293</v>
      </c>
      <c r="AF434" s="8" t="n">
        <v>363882</v>
      </c>
      <c r="AG434" s="9" t="n">
        <v>2718734</v>
      </c>
      <c r="AH434" s="10" t="n">
        <v>269094</v>
      </c>
      <c r="AI434" s="10" t="n">
        <v>353610</v>
      </c>
      <c r="AJ434" s="11" t="n">
        <v>3401966</v>
      </c>
      <c r="AK434" s="12" t="n">
        <v>354118</v>
      </c>
      <c r="AL434" s="12" t="n">
        <v>411399</v>
      </c>
      <c r="AM434" s="13" t="n">
        <v>25.1</v>
      </c>
      <c r="AN434" s="13" t="n">
        <v>29.7</v>
      </c>
      <c r="AO434" s="13" t="n">
        <v>31.6</v>
      </c>
      <c r="AP434" s="13" t="n">
        <v>51.9</v>
      </c>
    </row>
    <row r="435">
      <c r="A435" s="5" t="inlineStr">
        <is>
          <t>현대위아</t>
        </is>
      </c>
      <c r="B435" s="6" t="inlineStr">
        <is>
          <t>011210</t>
        </is>
      </c>
      <c r="C435" s="6" t="inlineStr">
        <is>
          <t>연결</t>
        </is>
      </c>
      <c r="D435" s="6" t="inlineStr">
        <is>
          <t>2026Q2</t>
        </is>
      </c>
      <c r="E435" s="6" t="inlineStr">
        <is>
          <t>2023Q4, 2025Q1, 2025Q4</t>
        </is>
      </c>
      <c r="F435" s="14" t="n">
        <v>2111213</v>
      </c>
      <c r="G435" s="15" t="n">
        <v>44765</v>
      </c>
      <c r="H435" s="15" t="n">
        <v>18605</v>
      </c>
      <c r="I435" s="9" t="n">
        <v>2141584</v>
      </c>
      <c r="J435" s="10" t="n">
        <v>59753</v>
      </c>
      <c r="K435" s="10" t="n">
        <v>36684</v>
      </c>
      <c r="L435" s="7" t="n">
        <v>2233112</v>
      </c>
      <c r="M435" s="8" t="n">
        <v>69238</v>
      </c>
      <c r="N435" s="8" t="n">
        <v>45729</v>
      </c>
      <c r="O435" s="9" t="n">
        <v>2101160</v>
      </c>
      <c r="P435" s="10" t="n">
        <v>52915</v>
      </c>
      <c r="Q435" s="10" t="n">
        <v>-11262</v>
      </c>
      <c r="R435" s="7" t="n">
        <v>1705030</v>
      </c>
      <c r="S435" s="8" t="n">
        <v>36904</v>
      </c>
      <c r="T435" s="8" t="n">
        <v>58321</v>
      </c>
      <c r="U435" s="14" t="n">
        <v>2061791</v>
      </c>
      <c r="V435" s="15" t="n">
        <v>48548</v>
      </c>
      <c r="W435" s="15" t="n">
        <v>101963</v>
      </c>
      <c r="X435" s="7" t="n">
        <v>2178558</v>
      </c>
      <c r="Y435" s="8" t="n">
        <v>56331</v>
      </c>
      <c r="Z435" s="8" t="n">
        <v>17318</v>
      </c>
      <c r="AA435" s="9" t="n">
        <v>2151875</v>
      </c>
      <c r="AB435" s="10" t="n">
        <v>51848</v>
      </c>
      <c r="AC435" s="10" t="n">
        <v>-11448</v>
      </c>
      <c r="AD435" s="14" t="n">
        <v>2089337</v>
      </c>
      <c r="AE435" s="15" t="n">
        <v>47686</v>
      </c>
      <c r="AF435" s="15" t="n">
        <v>9099</v>
      </c>
      <c r="AG435" s="9" t="n">
        <v>2179328</v>
      </c>
      <c r="AH435" s="10" t="n">
        <v>51566</v>
      </c>
      <c r="AI435" s="10" t="n">
        <v>35402</v>
      </c>
      <c r="AJ435" s="11" t="n">
        <v>2353743</v>
      </c>
      <c r="AK435" s="12" t="n">
        <v>50386</v>
      </c>
      <c r="AL435" s="12" t="n">
        <v>50579</v>
      </c>
      <c r="AM435" s="13" t="n">
        <v>8</v>
      </c>
      <c r="AN435" s="13" t="n">
        <v>8</v>
      </c>
      <c r="AO435" s="13" t="n">
        <v>-2.3</v>
      </c>
      <c r="AP435" s="13" t="n">
        <v>-10.6</v>
      </c>
    </row>
    <row r="436">
      <c r="A436" s="5" t="inlineStr">
        <is>
          <t>삼화전자공업</t>
        </is>
      </c>
      <c r="B436" s="6" t="inlineStr">
        <is>
          <t>011230</t>
        </is>
      </c>
      <c r="C436" s="6" t="inlineStr">
        <is>
          <t>연결</t>
        </is>
      </c>
      <c r="D436" s="6" t="inlineStr">
        <is>
          <t>2026Q2</t>
        </is>
      </c>
      <c r="E436" s="6" t="inlineStr"/>
      <c r="F436" s="7" t="inlineStr"/>
      <c r="G436" s="8" t="inlineStr"/>
      <c r="H436" s="8" t="inlineStr"/>
      <c r="I436" s="9" t="n">
        <v>8765</v>
      </c>
      <c r="J436" s="10" t="n">
        <v>-2055</v>
      </c>
      <c r="K436" s="10" t="n">
        <v>-2297</v>
      </c>
      <c r="L436" s="7" t="n">
        <v>7949</v>
      </c>
      <c r="M436" s="8" t="n">
        <v>-1092</v>
      </c>
      <c r="N436" s="8" t="n">
        <v>-1380</v>
      </c>
      <c r="O436" s="9" t="n">
        <v>7958</v>
      </c>
      <c r="P436" s="10" t="n">
        <v>-2062</v>
      </c>
      <c r="Q436" s="10" t="n">
        <v>-2480</v>
      </c>
      <c r="R436" s="7" t="n">
        <v>8725</v>
      </c>
      <c r="S436" s="8" t="n">
        <v>-2064</v>
      </c>
      <c r="T436" s="8" t="n">
        <v>-2067</v>
      </c>
      <c r="U436" s="9" t="n">
        <v>8125</v>
      </c>
      <c r="V436" s="10" t="n">
        <v>-2071</v>
      </c>
      <c r="W436" s="10" t="n">
        <v>-2305</v>
      </c>
      <c r="X436" s="7" t="n">
        <v>7456</v>
      </c>
      <c r="Y436" s="8" t="n">
        <v>-1412</v>
      </c>
      <c r="Z436" s="8" t="n">
        <v>-2152</v>
      </c>
      <c r="AA436" s="9" t="n">
        <v>7439</v>
      </c>
      <c r="AB436" s="10" t="n">
        <v>-1478</v>
      </c>
      <c r="AC436" s="10" t="n">
        <v>-1445</v>
      </c>
      <c r="AD436" s="7" t="n">
        <v>6612</v>
      </c>
      <c r="AE436" s="8" t="n">
        <v>-2815</v>
      </c>
      <c r="AF436" s="8" t="n">
        <v>-2828</v>
      </c>
      <c r="AG436" s="9" t="n">
        <v>5946</v>
      </c>
      <c r="AH436" s="10" t="n">
        <v>-2146</v>
      </c>
      <c r="AI436" s="10" t="n">
        <v>-2108</v>
      </c>
      <c r="AJ436" s="11" t="n">
        <v>7598</v>
      </c>
      <c r="AK436" s="12" t="n">
        <v>-1460</v>
      </c>
      <c r="AL436" s="12" t="n">
        <v>-1499</v>
      </c>
      <c r="AM436" s="13" t="n">
        <v>27.8</v>
      </c>
      <c r="AN436" s="13" t="n">
        <v>1.9</v>
      </c>
      <c r="AO436" s="13" t="n">
        <v>32</v>
      </c>
      <c r="AP436" s="13" t="n">
        <v>-3.4</v>
      </c>
    </row>
    <row r="437">
      <c r="A437" s="5" t="inlineStr">
        <is>
          <t>태림포장</t>
        </is>
      </c>
      <c r="B437" s="6" t="inlineStr">
        <is>
          <t>011280</t>
        </is>
      </c>
      <c r="C437" s="6" t="inlineStr">
        <is>
          <t>연결</t>
        </is>
      </c>
      <c r="D437" s="6" t="inlineStr">
        <is>
          <t>2026Q2</t>
        </is>
      </c>
      <c r="E437" s="6" t="inlineStr"/>
      <c r="F437" s="7" t="inlineStr"/>
      <c r="G437" s="8" t="inlineStr"/>
      <c r="H437" s="8" t="inlineStr"/>
      <c r="I437" s="9" t="n">
        <v>169339</v>
      </c>
      <c r="J437" s="10" t="n">
        <v>563</v>
      </c>
      <c r="K437" s="10" t="n">
        <v>-1116</v>
      </c>
      <c r="L437" s="7" t="n">
        <v>175858</v>
      </c>
      <c r="M437" s="8" t="n">
        <v>1259</v>
      </c>
      <c r="N437" s="8" t="n">
        <v>793</v>
      </c>
      <c r="O437" s="9" t="n">
        <v>179547</v>
      </c>
      <c r="P437" s="10" t="n">
        <v>-5493</v>
      </c>
      <c r="Q437" s="10" t="n">
        <v>-8461</v>
      </c>
      <c r="R437" s="7" t="n">
        <v>190631</v>
      </c>
      <c r="S437" s="8" t="n">
        <v>-12920</v>
      </c>
      <c r="T437" s="8" t="n">
        <v>-11708</v>
      </c>
      <c r="U437" s="9" t="n">
        <v>185036</v>
      </c>
      <c r="V437" s="10" t="n">
        <v>-2328</v>
      </c>
      <c r="W437" s="10" t="n">
        <v>-3953</v>
      </c>
      <c r="X437" s="7" t="n">
        <v>188103</v>
      </c>
      <c r="Y437" s="8" t="n">
        <v>4256</v>
      </c>
      <c r="Z437" s="8" t="n">
        <v>1120</v>
      </c>
      <c r="AA437" s="9" t="n">
        <v>197793</v>
      </c>
      <c r="AB437" s="10" t="n">
        <v>-1125</v>
      </c>
      <c r="AC437" s="10" t="n">
        <v>953</v>
      </c>
      <c r="AD437" s="7" t="n">
        <v>182964</v>
      </c>
      <c r="AE437" s="8" t="n">
        <v>-5785</v>
      </c>
      <c r="AF437" s="8" t="n">
        <v>-7307</v>
      </c>
      <c r="AG437" s="9" t="n">
        <v>187057</v>
      </c>
      <c r="AH437" s="10" t="n">
        <v>-3533</v>
      </c>
      <c r="AI437" s="10" t="n">
        <v>-4770</v>
      </c>
      <c r="AJ437" s="11" t="n">
        <v>212333</v>
      </c>
      <c r="AK437" s="12" t="n">
        <v>4470</v>
      </c>
      <c r="AL437" s="12" t="n">
        <v>5062</v>
      </c>
      <c r="AM437" s="13" t="n">
        <v>13.5</v>
      </c>
      <c r="AN437" s="13" t="n">
        <v>12.9</v>
      </c>
      <c r="AO437" s="13" t="n">
        <v>226.5</v>
      </c>
      <c r="AP437" s="13" t="n">
        <v>5</v>
      </c>
    </row>
    <row r="438">
      <c r="A438" s="5" t="inlineStr">
        <is>
          <t>우성머티리얼스</t>
        </is>
      </c>
      <c r="B438" s="6" t="inlineStr">
        <is>
          <t>011300</t>
        </is>
      </c>
      <c r="C438" s="6" t="inlineStr">
        <is>
          <t>연결</t>
        </is>
      </c>
      <c r="D438" s="6" t="inlineStr">
        <is>
          <t>2026Q2</t>
        </is>
      </c>
      <c r="E438" s="6" t="inlineStr"/>
      <c r="F438" s="7" t="inlineStr"/>
      <c r="G438" s="8" t="inlineStr"/>
      <c r="H438" s="8" t="inlineStr"/>
      <c r="I438" s="9" t="n">
        <v>8477</v>
      </c>
      <c r="J438" s="10" t="n">
        <v>-612</v>
      </c>
      <c r="K438" s="10" t="n">
        <v>-1460</v>
      </c>
      <c r="L438" s="7" t="n">
        <v>5405</v>
      </c>
      <c r="M438" s="8" t="n">
        <v>-1924</v>
      </c>
      <c r="N438" s="8" t="n">
        <v>-15078</v>
      </c>
      <c r="O438" s="9" t="n">
        <v>5037</v>
      </c>
      <c r="P438" s="10" t="n">
        <v>-2400</v>
      </c>
      <c r="Q438" s="10" t="n">
        <v>-5344</v>
      </c>
      <c r="R438" s="7" t="n">
        <v>6568</v>
      </c>
      <c r="S438" s="8" t="n">
        <v>-5123</v>
      </c>
      <c r="T438" s="8" t="n">
        <v>-10475</v>
      </c>
      <c r="U438" s="9" t="n">
        <v>4342</v>
      </c>
      <c r="V438" s="10" t="n">
        <v>1164</v>
      </c>
      <c r="W438" s="10" t="n">
        <v>-622</v>
      </c>
      <c r="X438" s="7" t="n">
        <v>4825</v>
      </c>
      <c r="Y438" s="8" t="n">
        <v>419</v>
      </c>
      <c r="Z438" s="8" t="n">
        <v>-1880</v>
      </c>
      <c r="AA438" s="9" t="n">
        <v>8061</v>
      </c>
      <c r="AB438" s="10" t="n">
        <v>236</v>
      </c>
      <c r="AC438" s="10" t="n">
        <v>-596</v>
      </c>
      <c r="AD438" s="7" t="n">
        <v>7465</v>
      </c>
      <c r="AE438" s="8" t="n">
        <v>-4154</v>
      </c>
      <c r="AF438" s="8" t="n">
        <v>-4571</v>
      </c>
      <c r="AG438" s="9" t="n">
        <v>2685</v>
      </c>
      <c r="AH438" s="10" t="n">
        <v>-817</v>
      </c>
      <c r="AI438" s="10" t="n">
        <v>-1784</v>
      </c>
      <c r="AJ438" s="11" t="n">
        <v>2980</v>
      </c>
      <c r="AK438" s="12" t="n">
        <v>-405</v>
      </c>
      <c r="AL438" s="12" t="n">
        <v>-1472</v>
      </c>
      <c r="AM438" s="13" t="n">
        <v>11</v>
      </c>
      <c r="AN438" s="13" t="n">
        <v>-38.2</v>
      </c>
      <c r="AO438" s="13" t="n">
        <v>50.4</v>
      </c>
      <c r="AP438" s="13" t="n">
        <v>-196.7</v>
      </c>
    </row>
    <row r="439">
      <c r="A439" s="5" t="inlineStr">
        <is>
          <t>유니크</t>
        </is>
      </c>
      <c r="B439" s="6" t="inlineStr">
        <is>
          <t>011320</t>
        </is>
      </c>
      <c r="C439" s="6" t="inlineStr">
        <is>
          <t>연결</t>
        </is>
      </c>
      <c r="D439" s="6" t="inlineStr">
        <is>
          <t>2026Q2</t>
        </is>
      </c>
      <c r="E439" s="6" t="inlineStr"/>
      <c r="F439" s="7" t="inlineStr"/>
      <c r="G439" s="8" t="inlineStr"/>
      <c r="H439" s="8" t="inlineStr"/>
      <c r="I439" s="9" t="n">
        <v>87906</v>
      </c>
      <c r="J439" s="10" t="n">
        <v>3045</v>
      </c>
      <c r="K439" s="10" t="n">
        <v>1873</v>
      </c>
      <c r="L439" s="7" t="n">
        <v>92293</v>
      </c>
      <c r="M439" s="8" t="n">
        <v>4226</v>
      </c>
      <c r="N439" s="8" t="n">
        <v>3048</v>
      </c>
      <c r="O439" s="9" t="n">
        <v>95494</v>
      </c>
      <c r="P439" s="10" t="n">
        <v>2555</v>
      </c>
      <c r="Q439" s="10" t="n">
        <v>1105</v>
      </c>
      <c r="R439" s="7" t="n">
        <v>99107</v>
      </c>
      <c r="S439" s="8" t="n">
        <v>-1477</v>
      </c>
      <c r="T439" s="8" t="n">
        <v>1690</v>
      </c>
      <c r="U439" s="9" t="n">
        <v>102430</v>
      </c>
      <c r="V439" s="10" t="n">
        <v>3282</v>
      </c>
      <c r="W439" s="10" t="n">
        <v>2212</v>
      </c>
      <c r="X439" s="7" t="n">
        <v>107791</v>
      </c>
      <c r="Y439" s="8" t="n">
        <v>5459</v>
      </c>
      <c r="Z439" s="8" t="n">
        <v>3819</v>
      </c>
      <c r="AA439" s="9" t="n">
        <v>109716</v>
      </c>
      <c r="AB439" s="10" t="n">
        <v>4549</v>
      </c>
      <c r="AC439" s="10" t="n">
        <v>3878</v>
      </c>
      <c r="AD439" s="7" t="n">
        <v>110246</v>
      </c>
      <c r="AE439" s="8" t="n">
        <v>1134</v>
      </c>
      <c r="AF439" s="8" t="n">
        <v>885</v>
      </c>
      <c r="AG439" s="9" t="n">
        <v>112075</v>
      </c>
      <c r="AH439" s="10" t="n">
        <v>5075</v>
      </c>
      <c r="AI439" s="10" t="n">
        <v>4755</v>
      </c>
      <c r="AJ439" s="11" t="n">
        <v>121439</v>
      </c>
      <c r="AK439" s="12" t="n">
        <v>4867</v>
      </c>
      <c r="AL439" s="12" t="n">
        <v>4619</v>
      </c>
      <c r="AM439" s="13" t="n">
        <v>8.4</v>
      </c>
      <c r="AN439" s="13" t="n">
        <v>12.7</v>
      </c>
      <c r="AO439" s="13" t="n">
        <v>-4.1</v>
      </c>
      <c r="AP439" s="13" t="n">
        <v>-10.8</v>
      </c>
    </row>
    <row r="440">
      <c r="A440" s="5" t="inlineStr">
        <is>
          <t>유니켐</t>
        </is>
      </c>
      <c r="B440" s="6" t="inlineStr">
        <is>
          <t>011330</t>
        </is>
      </c>
      <c r="C440" s="6" t="inlineStr">
        <is>
          <t>연결</t>
        </is>
      </c>
      <c r="D440" s="6" t="inlineStr">
        <is>
          <t>2026Q2</t>
        </is>
      </c>
      <c r="E440" s="6" t="inlineStr"/>
      <c r="F440" s="7" t="inlineStr"/>
      <c r="G440" s="8" t="inlineStr"/>
      <c r="H440" s="8" t="inlineStr"/>
      <c r="I440" s="9" t="n">
        <v>16283</v>
      </c>
      <c r="J440" s="10" t="n">
        <v>43</v>
      </c>
      <c r="K440" s="10" t="n">
        <v>-309</v>
      </c>
      <c r="L440" s="7" t="n">
        <v>18254</v>
      </c>
      <c r="M440" s="8" t="n">
        <v>-671</v>
      </c>
      <c r="N440" s="8" t="n">
        <v>-1819</v>
      </c>
      <c r="O440" s="9" t="n">
        <v>16090</v>
      </c>
      <c r="P440" s="10" t="n">
        <v>-2123</v>
      </c>
      <c r="Q440" s="10" t="n">
        <v>-2109</v>
      </c>
      <c r="R440" s="7" t="n">
        <v>17589</v>
      </c>
      <c r="S440" s="8" t="n">
        <v>-3517</v>
      </c>
      <c r="T440" s="8" t="n">
        <v>-5992</v>
      </c>
      <c r="U440" s="9" t="n">
        <v>21659</v>
      </c>
      <c r="V440" s="10" t="n">
        <v>1194</v>
      </c>
      <c r="W440" s="10" t="n">
        <v>1091</v>
      </c>
      <c r="X440" s="7" t="n">
        <v>30869</v>
      </c>
      <c r="Y440" s="8" t="n">
        <v>462</v>
      </c>
      <c r="Z440" s="8" t="n">
        <v>189</v>
      </c>
      <c r="AA440" s="9" t="n">
        <v>33653</v>
      </c>
      <c r="AB440" s="10" t="n">
        <v>486</v>
      </c>
      <c r="AC440" s="10" t="n">
        <v>303</v>
      </c>
      <c r="AD440" s="7" t="n">
        <v>20062</v>
      </c>
      <c r="AE440" s="8" t="n">
        <v>-2715</v>
      </c>
      <c r="AF440" s="8" t="n">
        <v>-8138</v>
      </c>
      <c r="AG440" s="9" t="n">
        <v>19561</v>
      </c>
      <c r="AH440" s="10" t="n">
        <v>-1242</v>
      </c>
      <c r="AI440" s="10" t="n">
        <v>-2787</v>
      </c>
      <c r="AJ440" s="11" t="n">
        <v>30963</v>
      </c>
      <c r="AK440" s="12" t="n">
        <v>-2926</v>
      </c>
      <c r="AL440" s="12" t="n">
        <v>-3679</v>
      </c>
      <c r="AM440" s="13" t="n">
        <v>58.3</v>
      </c>
      <c r="AN440" s="13" t="n">
        <v>0.3</v>
      </c>
      <c r="AO440" s="13" t="n">
        <v>-135.6</v>
      </c>
      <c r="AP440" s="13" t="n">
        <v>-733.3</v>
      </c>
    </row>
    <row r="441">
      <c r="A441" s="5" t="inlineStr">
        <is>
          <t>서한</t>
        </is>
      </c>
      <c r="B441" s="6" t="inlineStr">
        <is>
          <t>011370</t>
        </is>
      </c>
      <c r="C441" s="6" t="inlineStr">
        <is>
          <t>연결</t>
        </is>
      </c>
      <c r="D441" s="6" t="inlineStr">
        <is>
          <t>2026Q2</t>
        </is>
      </c>
      <c r="E441" s="6" t="inlineStr"/>
      <c r="F441" s="7" t="inlineStr"/>
      <c r="G441" s="8" t="inlineStr"/>
      <c r="H441" s="8" t="inlineStr"/>
      <c r="I441" s="9" t="n">
        <v>189444</v>
      </c>
      <c r="J441" s="10" t="n">
        <v>12422</v>
      </c>
      <c r="K441" s="10" t="n">
        <v>5972</v>
      </c>
      <c r="L441" s="7" t="n">
        <v>216921</v>
      </c>
      <c r="M441" s="8" t="n">
        <v>5972</v>
      </c>
      <c r="N441" s="8" t="n">
        <v>2240</v>
      </c>
      <c r="O441" s="9" t="n">
        <v>161305</v>
      </c>
      <c r="P441" s="10" t="n">
        <v>4693</v>
      </c>
      <c r="Q441" s="10" t="n">
        <v>11</v>
      </c>
      <c r="R441" s="7" t="n">
        <v>181713</v>
      </c>
      <c r="S441" s="8" t="n">
        <v>3374</v>
      </c>
      <c r="T441" s="8" t="n">
        <v>11076</v>
      </c>
      <c r="U441" s="9" t="n">
        <v>153101</v>
      </c>
      <c r="V441" s="10" t="n">
        <v>16366</v>
      </c>
      <c r="W441" s="10" t="n">
        <v>8145</v>
      </c>
      <c r="X441" s="7" t="n">
        <v>198164</v>
      </c>
      <c r="Y441" s="8" t="n">
        <v>33940</v>
      </c>
      <c r="Z441" s="8" t="n">
        <v>20339</v>
      </c>
      <c r="AA441" s="9" t="n">
        <v>138674</v>
      </c>
      <c r="AB441" s="10" t="n">
        <v>9750</v>
      </c>
      <c r="AC441" s="10" t="n">
        <v>5454</v>
      </c>
      <c r="AD441" s="7" t="n">
        <v>155175</v>
      </c>
      <c r="AE441" s="8" t="n">
        <v>2498</v>
      </c>
      <c r="AF441" s="8" t="n">
        <v>-5005</v>
      </c>
      <c r="AG441" s="9" t="n">
        <v>105258</v>
      </c>
      <c r="AH441" s="10" t="n">
        <v>6233</v>
      </c>
      <c r="AI441" s="10" t="n">
        <v>-858</v>
      </c>
      <c r="AJ441" s="11" t="n">
        <v>147605</v>
      </c>
      <c r="AK441" s="12" t="n">
        <v>22253</v>
      </c>
      <c r="AL441" s="12" t="n">
        <v>19460</v>
      </c>
      <c r="AM441" s="13" t="n">
        <v>40.2</v>
      </c>
      <c r="AN441" s="13" t="n">
        <v>-25.5</v>
      </c>
      <c r="AO441" s="13" t="n">
        <v>257</v>
      </c>
      <c r="AP441" s="13" t="n">
        <v>-34.4</v>
      </c>
    </row>
    <row r="442">
      <c r="A442" s="5" t="inlineStr">
        <is>
          <t>부산산업</t>
        </is>
      </c>
      <c r="B442" s="6" t="inlineStr">
        <is>
          <t>011390</t>
        </is>
      </c>
      <c r="C442" s="6" t="inlineStr">
        <is>
          <t>연결</t>
        </is>
      </c>
      <c r="D442" s="6" t="inlineStr">
        <is>
          <t>2026Q2</t>
        </is>
      </c>
      <c r="E442" s="6" t="inlineStr"/>
      <c r="F442" s="7" t="inlineStr"/>
      <c r="G442" s="8" t="inlineStr"/>
      <c r="H442" s="8" t="inlineStr"/>
      <c r="I442" s="9" t="n">
        <v>25524</v>
      </c>
      <c r="J442" s="10" t="n">
        <v>588</v>
      </c>
      <c r="K442" s="10" t="n">
        <v>63</v>
      </c>
      <c r="L442" s="7" t="n">
        <v>29797</v>
      </c>
      <c r="M442" s="8" t="n">
        <v>1064</v>
      </c>
      <c r="N442" s="8" t="n">
        <v>-226</v>
      </c>
      <c r="O442" s="9" t="n">
        <v>29592</v>
      </c>
      <c r="P442" s="10" t="n">
        <v>75</v>
      </c>
      <c r="Q442" s="10" t="n">
        <v>-1347</v>
      </c>
      <c r="R442" s="7" t="n">
        <v>39193</v>
      </c>
      <c r="S442" s="8" t="n">
        <v>1630</v>
      </c>
      <c r="T442" s="8" t="n">
        <v>-935</v>
      </c>
      <c r="U442" s="9" t="n">
        <v>30859</v>
      </c>
      <c r="V442" s="10" t="n">
        <v>656</v>
      </c>
      <c r="W442" s="10" t="n">
        <v>-1029</v>
      </c>
      <c r="X442" s="7" t="n">
        <v>25545</v>
      </c>
      <c r="Y442" s="8" t="n">
        <v>-1395</v>
      </c>
      <c r="Z442" s="8" t="n">
        <v>-1988</v>
      </c>
      <c r="AA442" s="9" t="n">
        <v>21219</v>
      </c>
      <c r="AB442" s="10" t="n">
        <v>-911</v>
      </c>
      <c r="AC442" s="10" t="n">
        <v>-1833</v>
      </c>
      <c r="AD442" s="7" t="n">
        <v>29908</v>
      </c>
      <c r="AE442" s="8" t="n">
        <v>-1121</v>
      </c>
      <c r="AF442" s="8" t="n">
        <v>-1452</v>
      </c>
      <c r="AG442" s="9" t="n">
        <v>23259</v>
      </c>
      <c r="AH442" s="10" t="n">
        <v>497</v>
      </c>
      <c r="AI442" s="10" t="n">
        <v>-394</v>
      </c>
      <c r="AJ442" s="11" t="n">
        <v>24756</v>
      </c>
      <c r="AK442" s="12" t="n">
        <v>1360</v>
      </c>
      <c r="AL442" s="12" t="n">
        <v>505</v>
      </c>
      <c r="AM442" s="13" t="n">
        <v>6.4</v>
      </c>
      <c r="AN442" s="13" t="n">
        <v>-3.1</v>
      </c>
      <c r="AO442" s="13" t="n">
        <v>173.6</v>
      </c>
      <c r="AP442" s="13" t="n">
        <v>197.5</v>
      </c>
    </row>
    <row r="443">
      <c r="A443" s="5" t="inlineStr">
        <is>
          <t>갤럭시아에스엠</t>
        </is>
      </c>
      <c r="B443" s="6" t="inlineStr">
        <is>
          <t>011420</t>
        </is>
      </c>
      <c r="C443" s="6" t="inlineStr">
        <is>
          <t>연결</t>
        </is>
      </c>
      <c r="D443" s="6" t="inlineStr">
        <is>
          <t>2026Q2</t>
        </is>
      </c>
      <c r="E443" s="6" t="inlineStr"/>
      <c r="F443" s="7" t="inlineStr"/>
      <c r="G443" s="8" t="inlineStr"/>
      <c r="H443" s="8" t="inlineStr"/>
      <c r="I443" s="9" t="n">
        <v>6703</v>
      </c>
      <c r="J443" s="10" t="n">
        <v>349</v>
      </c>
      <c r="K443" s="10" t="n">
        <v>352</v>
      </c>
      <c r="L443" s="7" t="n">
        <v>10040</v>
      </c>
      <c r="M443" s="8" t="n">
        <v>1317</v>
      </c>
      <c r="N443" s="8" t="n">
        <v>1301</v>
      </c>
      <c r="O443" s="9" t="n">
        <v>7269</v>
      </c>
      <c r="P443" s="10" t="n">
        <v>594</v>
      </c>
      <c r="Q443" s="10" t="n">
        <v>470</v>
      </c>
      <c r="R443" s="7" t="n">
        <v>8475</v>
      </c>
      <c r="S443" s="8" t="n">
        <v>965</v>
      </c>
      <c r="T443" s="8" t="n">
        <v>773</v>
      </c>
      <c r="U443" s="9" t="n">
        <v>5183</v>
      </c>
      <c r="V443" s="10" t="n">
        <v>11</v>
      </c>
      <c r="W443" s="10" t="n">
        <v>468</v>
      </c>
      <c r="X443" s="7" t="n">
        <v>10420</v>
      </c>
      <c r="Y443" s="8" t="n">
        <v>1429</v>
      </c>
      <c r="Z443" s="8" t="n">
        <v>952</v>
      </c>
      <c r="AA443" s="9" t="n">
        <v>10352</v>
      </c>
      <c r="AB443" s="10" t="n">
        <v>1091</v>
      </c>
      <c r="AC443" s="10" t="n">
        <v>958</v>
      </c>
      <c r="AD443" s="7" t="n">
        <v>14389</v>
      </c>
      <c r="AE443" s="8" t="n">
        <v>1457</v>
      </c>
      <c r="AF443" s="8" t="n">
        <v>1342</v>
      </c>
      <c r="AG443" s="9" t="n">
        <v>6493</v>
      </c>
      <c r="AH443" s="10" t="n">
        <v>71</v>
      </c>
      <c r="AI443" s="10" t="n">
        <v>69</v>
      </c>
      <c r="AJ443" s="11" t="n">
        <v>11025</v>
      </c>
      <c r="AK443" s="12" t="n">
        <v>1747</v>
      </c>
      <c r="AL443" s="12" t="n">
        <v>1368</v>
      </c>
      <c r="AM443" s="13" t="n">
        <v>69.8</v>
      </c>
      <c r="AN443" s="13" t="n">
        <v>5.8</v>
      </c>
      <c r="AO443" s="13" t="n">
        <v>2360.6</v>
      </c>
      <c r="AP443" s="13" t="n">
        <v>22.3</v>
      </c>
    </row>
    <row r="444">
      <c r="A444" s="5" t="inlineStr">
        <is>
          <t>한농화성</t>
        </is>
      </c>
      <c r="B444" s="6" t="inlineStr">
        <is>
          <t>011500</t>
        </is>
      </c>
      <c r="C444" s="6" t="inlineStr">
        <is>
          <t>별도</t>
        </is>
      </c>
      <c r="D444" s="6" t="inlineStr">
        <is>
          <t>2026Q2</t>
        </is>
      </c>
      <c r="E444" s="6" t="inlineStr"/>
      <c r="F444" s="7" t="inlineStr"/>
      <c r="G444" s="8" t="inlineStr"/>
      <c r="H444" s="8" t="inlineStr"/>
      <c r="I444" s="9" t="n">
        <v>65492</v>
      </c>
      <c r="J444" s="10" t="n">
        <v>1569</v>
      </c>
      <c r="K444" s="10" t="n">
        <v>1298</v>
      </c>
      <c r="L444" s="7" t="n">
        <v>68575</v>
      </c>
      <c r="M444" s="8" t="n">
        <v>4228</v>
      </c>
      <c r="N444" s="8" t="n">
        <v>2841</v>
      </c>
      <c r="O444" s="9" t="n">
        <v>55640</v>
      </c>
      <c r="P444" s="10" t="n">
        <v>-955</v>
      </c>
      <c r="Q444" s="10" t="n">
        <v>-1295</v>
      </c>
      <c r="R444" s="7" t="n">
        <v>57766</v>
      </c>
      <c r="S444" s="8" t="n">
        <v>1244</v>
      </c>
      <c r="T444" s="8" t="n">
        <v>1646</v>
      </c>
      <c r="U444" s="9" t="n">
        <v>62404</v>
      </c>
      <c r="V444" s="10" t="n">
        <v>632</v>
      </c>
      <c r="W444" s="10" t="n">
        <v>3084</v>
      </c>
      <c r="X444" s="7" t="n">
        <v>53007</v>
      </c>
      <c r="Y444" s="8" t="n">
        <v>1613</v>
      </c>
      <c r="Z444" s="8" t="n">
        <v>421</v>
      </c>
      <c r="AA444" s="9" t="n">
        <v>51158</v>
      </c>
      <c r="AB444" s="10" t="n">
        <v>169</v>
      </c>
      <c r="AC444" s="10" t="n">
        <v>619</v>
      </c>
      <c r="AD444" s="7" t="n">
        <v>47924</v>
      </c>
      <c r="AE444" s="8" t="n">
        <v>1163</v>
      </c>
      <c r="AF444" s="8" t="n">
        <v>-258</v>
      </c>
      <c r="AG444" s="9" t="n">
        <v>59356</v>
      </c>
      <c r="AH444" s="10" t="n">
        <v>3340</v>
      </c>
      <c r="AI444" s="10" t="n">
        <v>3329</v>
      </c>
      <c r="AJ444" s="11" t="n">
        <v>72386</v>
      </c>
      <c r="AK444" s="12" t="n">
        <v>7779</v>
      </c>
      <c r="AL444" s="12" t="n">
        <v>5905</v>
      </c>
      <c r="AM444" s="13" t="n">
        <v>22</v>
      </c>
      <c r="AN444" s="13" t="n">
        <v>36.6</v>
      </c>
      <c r="AO444" s="13" t="n">
        <v>132.9</v>
      </c>
      <c r="AP444" s="13" t="n">
        <v>382.3</v>
      </c>
    </row>
    <row r="445">
      <c r="A445" s="5" t="inlineStr">
        <is>
          <t>세보엠이씨</t>
        </is>
      </c>
      <c r="B445" s="6" t="inlineStr">
        <is>
          <t>011560</t>
        </is>
      </c>
      <c r="C445" s="6" t="inlineStr">
        <is>
          <t>연결</t>
        </is>
      </c>
      <c r="D445" s="6" t="inlineStr">
        <is>
          <t>2026Q2</t>
        </is>
      </c>
      <c r="E445" s="6" t="inlineStr"/>
      <c r="F445" s="7" t="inlineStr"/>
      <c r="G445" s="8" t="inlineStr"/>
      <c r="H445" s="8" t="inlineStr"/>
      <c r="I445" s="9" t="n">
        <v>252284</v>
      </c>
      <c r="J445" s="10" t="n">
        <v>11920</v>
      </c>
      <c r="K445" s="10" t="n">
        <v>13046</v>
      </c>
      <c r="L445" s="7" t="n">
        <v>202370</v>
      </c>
      <c r="M445" s="8" t="n">
        <v>8348</v>
      </c>
      <c r="N445" s="8" t="n">
        <v>7215</v>
      </c>
      <c r="O445" s="9" t="n">
        <v>159516</v>
      </c>
      <c r="P445" s="10" t="n">
        <v>7049</v>
      </c>
      <c r="Q445" s="10" t="n">
        <v>6088</v>
      </c>
      <c r="R445" s="7" t="n">
        <v>174617</v>
      </c>
      <c r="S445" s="8" t="n">
        <v>1297</v>
      </c>
      <c r="T445" s="8" t="n">
        <v>1726</v>
      </c>
      <c r="U445" s="9" t="n">
        <v>174498</v>
      </c>
      <c r="V445" s="10" t="n">
        <v>10142</v>
      </c>
      <c r="W445" s="10" t="n">
        <v>9120</v>
      </c>
      <c r="X445" s="7" t="n">
        <v>178274</v>
      </c>
      <c r="Y445" s="8" t="n">
        <v>9763</v>
      </c>
      <c r="Z445" s="8" t="n">
        <v>9480</v>
      </c>
      <c r="AA445" s="9" t="n">
        <v>163827</v>
      </c>
      <c r="AB445" s="10" t="n">
        <v>7645</v>
      </c>
      <c r="AC445" s="10" t="n">
        <v>6168</v>
      </c>
      <c r="AD445" s="7" t="n">
        <v>199194</v>
      </c>
      <c r="AE445" s="8" t="n">
        <v>12818</v>
      </c>
      <c r="AF445" s="8" t="n">
        <v>10792</v>
      </c>
      <c r="AG445" s="9" t="n">
        <v>245931</v>
      </c>
      <c r="AH445" s="10" t="n">
        <v>15798</v>
      </c>
      <c r="AI445" s="10" t="n">
        <v>13193</v>
      </c>
      <c r="AJ445" s="11" t="n">
        <v>289840</v>
      </c>
      <c r="AK445" s="12" t="n">
        <v>18060</v>
      </c>
      <c r="AL445" s="12" t="n">
        <v>15131</v>
      </c>
      <c r="AM445" s="13" t="n">
        <v>17.9</v>
      </c>
      <c r="AN445" s="13" t="n">
        <v>62.6</v>
      </c>
      <c r="AO445" s="13" t="n">
        <v>14.3</v>
      </c>
      <c r="AP445" s="13" t="n">
        <v>85</v>
      </c>
    </row>
    <row r="446">
      <c r="A446" s="5" t="inlineStr">
        <is>
          <t>삼성스팩13호</t>
        </is>
      </c>
      <c r="B446" s="6" t="inlineStr">
        <is>
          <t>0115H0</t>
        </is>
      </c>
      <c r="C446" s="6" t="inlineStr">
        <is>
          <t>별도</t>
        </is>
      </c>
      <c r="D446" s="6" t="inlineStr">
        <is>
          <t>2026Q2</t>
        </is>
      </c>
      <c r="E446" s="6" t="inlineStr"/>
      <c r="F446" s="7" t="inlineStr"/>
      <c r="G446" s="8" t="inlineStr"/>
      <c r="H446" s="8" t="inlineStr"/>
      <c r="I446" s="9" t="inlineStr"/>
      <c r="J446" s="10" t="inlineStr"/>
      <c r="K446" s="10" t="inlineStr"/>
      <c r="L446" s="7" t="inlineStr"/>
      <c r="M446" s="8" t="inlineStr"/>
      <c r="N446" s="8" t="inlineStr"/>
      <c r="O446" s="9" t="inlineStr"/>
      <c r="P446" s="10" t="inlineStr"/>
      <c r="Q446" s="10" t="inlineStr"/>
      <c r="R446" s="7" t="inlineStr"/>
      <c r="S446" s="8" t="inlineStr"/>
      <c r="T446" s="8" t="inlineStr"/>
      <c r="U446" s="9" t="inlineStr"/>
      <c r="V446" s="10" t="inlineStr"/>
      <c r="W446" s="10" t="inlineStr"/>
      <c r="X446" s="7" t="inlineStr"/>
      <c r="Y446" s="8" t="inlineStr"/>
      <c r="Z446" s="8" t="inlineStr"/>
      <c r="AA446" s="9" t="inlineStr"/>
      <c r="AB446" s="10" t="inlineStr"/>
      <c r="AC446" s="10" t="inlineStr"/>
      <c r="AD446" s="7" t="inlineStr"/>
      <c r="AE446" s="8" t="inlineStr"/>
      <c r="AF446" s="8" t="inlineStr"/>
      <c r="AG446" s="9" t="inlineStr"/>
      <c r="AH446" s="10" t="n">
        <v>-17</v>
      </c>
      <c r="AI446" s="10" t="n">
        <v>27</v>
      </c>
      <c r="AJ446" s="11" t="inlineStr"/>
      <c r="AK446" s="12" t="n">
        <v>-11</v>
      </c>
      <c r="AL446" s="12" t="n">
        <v>56</v>
      </c>
      <c r="AM446" s="13" t="inlineStr"/>
      <c r="AN446" s="13" t="inlineStr"/>
      <c r="AO446" s="13" t="n">
        <v>35.3</v>
      </c>
      <c r="AP446" s="13" t="inlineStr"/>
    </row>
    <row r="447">
      <c r="A447" s="5" t="inlineStr">
        <is>
          <t>와이투솔루션</t>
        </is>
      </c>
      <c r="B447" s="6" t="inlineStr">
        <is>
          <t>011690</t>
        </is>
      </c>
      <c r="C447" s="6" t="inlineStr">
        <is>
          <t>연결</t>
        </is>
      </c>
      <c r="D447" s="6" t="inlineStr">
        <is>
          <t>2026Q2</t>
        </is>
      </c>
      <c r="E447" s="6" t="inlineStr"/>
      <c r="F447" s="7" t="inlineStr"/>
      <c r="G447" s="8" t="inlineStr"/>
      <c r="H447" s="8" t="inlineStr"/>
      <c r="I447" s="9" t="n">
        <v>40607</v>
      </c>
      <c r="J447" s="10" t="n">
        <v>917</v>
      </c>
      <c r="K447" s="10" t="n">
        <v>3422</v>
      </c>
      <c r="L447" s="7" t="n">
        <v>38976</v>
      </c>
      <c r="M447" s="8" t="n">
        <v>1667</v>
      </c>
      <c r="N447" s="8" t="n">
        <v>3991</v>
      </c>
      <c r="O447" s="9" t="n">
        <v>39535</v>
      </c>
      <c r="P447" s="10" t="n">
        <v>638</v>
      </c>
      <c r="Q447" s="10" t="n">
        <v>-866</v>
      </c>
      <c r="R447" s="7" t="n">
        <v>35396</v>
      </c>
      <c r="S447" s="8" t="n">
        <v>-336</v>
      </c>
      <c r="T447" s="8" t="n">
        <v>37</v>
      </c>
      <c r="U447" s="9" t="n">
        <v>38068</v>
      </c>
      <c r="V447" s="10" t="n">
        <v>933</v>
      </c>
      <c r="W447" s="10" t="n">
        <v>782</v>
      </c>
      <c r="X447" s="7" t="n">
        <v>32070</v>
      </c>
      <c r="Y447" s="8" t="n">
        <v>-1395</v>
      </c>
      <c r="Z447" s="8" t="n">
        <v>-4829</v>
      </c>
      <c r="AA447" s="9" t="n">
        <v>46622</v>
      </c>
      <c r="AB447" s="10" t="n">
        <v>-938</v>
      </c>
      <c r="AC447" s="10" t="n">
        <v>-1043</v>
      </c>
      <c r="AD447" s="7" t="n">
        <v>48305</v>
      </c>
      <c r="AE447" s="8" t="n">
        <v>-1166</v>
      </c>
      <c r="AF447" s="8" t="n">
        <v>-4500</v>
      </c>
      <c r="AG447" s="9" t="n">
        <v>86658</v>
      </c>
      <c r="AH447" s="10" t="n">
        <v>954</v>
      </c>
      <c r="AI447" s="10" t="n">
        <v>-649</v>
      </c>
      <c r="AJ447" s="11" t="n">
        <v>87367</v>
      </c>
      <c r="AK447" s="12" t="n">
        <v>665</v>
      </c>
      <c r="AL447" s="12" t="n">
        <v>448</v>
      </c>
      <c r="AM447" s="13" t="n">
        <v>0.8</v>
      </c>
      <c r="AN447" s="13" t="n">
        <v>172.4</v>
      </c>
      <c r="AO447" s="13" t="n">
        <v>-30.3</v>
      </c>
      <c r="AP447" s="13" t="n">
        <v>147.7</v>
      </c>
    </row>
    <row r="448">
      <c r="A448" s="5" t="inlineStr">
        <is>
          <t>한신기계공업</t>
        </is>
      </c>
      <c r="B448" s="6" t="inlineStr">
        <is>
          <t>011700</t>
        </is>
      </c>
      <c r="C448" s="6" t="inlineStr">
        <is>
          <t>연결</t>
        </is>
      </c>
      <c r="D448" s="6" t="inlineStr">
        <is>
          <t>2026Q2</t>
        </is>
      </c>
      <c r="E448" s="6" t="inlineStr"/>
      <c r="F448" s="7" t="inlineStr"/>
      <c r="G448" s="8" t="inlineStr"/>
      <c r="H448" s="8" t="inlineStr"/>
      <c r="I448" s="9" t="n">
        <v>9381</v>
      </c>
      <c r="J448" s="10" t="n">
        <v>-2737</v>
      </c>
      <c r="K448" s="10" t="n">
        <v>-2287</v>
      </c>
      <c r="L448" s="7" t="n">
        <v>11212</v>
      </c>
      <c r="M448" s="8" t="n">
        <v>2051</v>
      </c>
      <c r="N448" s="8" t="n">
        <v>2517</v>
      </c>
      <c r="O448" s="9" t="n">
        <v>15473</v>
      </c>
      <c r="P448" s="10" t="n">
        <v>-1309</v>
      </c>
      <c r="Q448" s="10" t="n">
        <v>1120</v>
      </c>
      <c r="R448" s="7" t="n">
        <v>27019</v>
      </c>
      <c r="S448" s="8" t="n">
        <v>1428</v>
      </c>
      <c r="T448" s="8" t="n">
        <v>-2561</v>
      </c>
      <c r="U448" s="9" t="n">
        <v>8982</v>
      </c>
      <c r="V448" s="10" t="n">
        <v>-530</v>
      </c>
      <c r="W448" s="10" t="n">
        <v>240</v>
      </c>
      <c r="X448" s="7" t="n">
        <v>13526</v>
      </c>
      <c r="Y448" s="8" t="n">
        <v>-238</v>
      </c>
      <c r="Z448" s="8" t="n">
        <v>222</v>
      </c>
      <c r="AA448" s="9" t="n">
        <v>13705</v>
      </c>
      <c r="AB448" s="10" t="n">
        <v>1160</v>
      </c>
      <c r="AC448" s="10" t="n">
        <v>1843</v>
      </c>
      <c r="AD448" s="7" t="n">
        <v>16506</v>
      </c>
      <c r="AE448" s="8" t="n">
        <v>-1870</v>
      </c>
      <c r="AF448" s="8" t="n">
        <v>-2754</v>
      </c>
      <c r="AG448" s="9" t="n">
        <v>7562</v>
      </c>
      <c r="AH448" s="10" t="n">
        <v>-1605</v>
      </c>
      <c r="AI448" s="10" t="n">
        <v>-1503</v>
      </c>
      <c r="AJ448" s="11" t="n">
        <v>14350</v>
      </c>
      <c r="AK448" s="12" t="n">
        <v>1118</v>
      </c>
      <c r="AL448" s="12" t="n">
        <v>2147</v>
      </c>
      <c r="AM448" s="13" t="n">
        <v>89.8</v>
      </c>
      <c r="AN448" s="13" t="n">
        <v>6.1</v>
      </c>
      <c r="AO448" s="13" t="n">
        <v>169.7</v>
      </c>
      <c r="AP448" s="13" t="n">
        <v>569.7</v>
      </c>
    </row>
    <row r="449">
      <c r="A449" s="5" t="inlineStr">
        <is>
          <t>현대코퍼레이션</t>
        </is>
      </c>
      <c r="B449" s="6" t="inlineStr">
        <is>
          <t>011760</t>
        </is>
      </c>
      <c r="C449" s="6" t="inlineStr">
        <is>
          <t>연결</t>
        </is>
      </c>
      <c r="D449" s="6" t="inlineStr">
        <is>
          <t>2026Q2</t>
        </is>
      </c>
      <c r="E449" s="6" t="inlineStr"/>
      <c r="F449" s="7" t="inlineStr"/>
      <c r="G449" s="8" t="inlineStr"/>
      <c r="H449" s="8" t="inlineStr"/>
      <c r="I449" s="9" t="n">
        <v>1613272</v>
      </c>
      <c r="J449" s="10" t="n">
        <v>28048</v>
      </c>
      <c r="K449" s="10" t="n">
        <v>34684</v>
      </c>
      <c r="L449" s="7" t="n">
        <v>1728936</v>
      </c>
      <c r="M449" s="8" t="n">
        <v>36523</v>
      </c>
      <c r="N449" s="8" t="n">
        <v>30752</v>
      </c>
      <c r="O449" s="9" t="n">
        <v>1807009</v>
      </c>
      <c r="P449" s="10" t="n">
        <v>37184</v>
      </c>
      <c r="Q449" s="10" t="n">
        <v>39739</v>
      </c>
      <c r="R449" s="7" t="n">
        <v>1846446</v>
      </c>
      <c r="S449" s="8" t="n">
        <v>31774</v>
      </c>
      <c r="T449" s="8" t="n">
        <v>15800</v>
      </c>
      <c r="U449" s="9" t="n">
        <v>1856857</v>
      </c>
      <c r="V449" s="10" t="n">
        <v>36884</v>
      </c>
      <c r="W449" s="10" t="n">
        <v>23758</v>
      </c>
      <c r="X449" s="7" t="n">
        <v>1918495</v>
      </c>
      <c r="Y449" s="8" t="n">
        <v>34649</v>
      </c>
      <c r="Z449" s="8" t="n">
        <v>15818</v>
      </c>
      <c r="AA449" s="9" t="n">
        <v>1889891</v>
      </c>
      <c r="AB449" s="10" t="n">
        <v>35398</v>
      </c>
      <c r="AC449" s="10" t="n">
        <v>20952</v>
      </c>
      <c r="AD449" s="7" t="n">
        <v>1889043</v>
      </c>
      <c r="AE449" s="8" t="n">
        <v>33200</v>
      </c>
      <c r="AF449" s="8" t="n">
        <v>26257</v>
      </c>
      <c r="AG449" s="9" t="n">
        <v>2072673</v>
      </c>
      <c r="AH449" s="10" t="n">
        <v>46063</v>
      </c>
      <c r="AI449" s="10" t="n">
        <v>11058</v>
      </c>
      <c r="AJ449" s="11" t="n">
        <v>2816433</v>
      </c>
      <c r="AK449" s="12" t="n">
        <v>62937</v>
      </c>
      <c r="AL449" s="12" t="n">
        <v>40297</v>
      </c>
      <c r="AM449" s="13" t="n">
        <v>35.9</v>
      </c>
      <c r="AN449" s="13" t="n">
        <v>46.8</v>
      </c>
      <c r="AO449" s="13" t="n">
        <v>36.6</v>
      </c>
      <c r="AP449" s="13" t="n">
        <v>81.59999999999999</v>
      </c>
    </row>
    <row r="450">
      <c r="A450" s="5" t="inlineStr">
        <is>
          <t>금호석유화학</t>
        </is>
      </c>
      <c r="B450" s="6" t="inlineStr">
        <is>
          <t>011780</t>
        </is>
      </c>
      <c r="C450" s="6" t="inlineStr">
        <is>
          <t>연결</t>
        </is>
      </c>
      <c r="D450" s="6" t="inlineStr">
        <is>
          <t>2026Q2</t>
        </is>
      </c>
      <c r="E450" s="6" t="inlineStr">
        <is>
          <t>2023Q4</t>
        </is>
      </c>
      <c r="F450" s="14" t="n">
        <v>1515916</v>
      </c>
      <c r="G450" s="15" t="n">
        <v>36696</v>
      </c>
      <c r="H450" s="15" t="n">
        <v>82482</v>
      </c>
      <c r="I450" s="9" t="n">
        <v>1667489</v>
      </c>
      <c r="J450" s="10" t="n">
        <v>78607</v>
      </c>
      <c r="K450" s="10" t="n">
        <v>102574</v>
      </c>
      <c r="L450" s="7" t="n">
        <v>1852493</v>
      </c>
      <c r="M450" s="8" t="n">
        <v>119148</v>
      </c>
      <c r="N450" s="8" t="n">
        <v>131559</v>
      </c>
      <c r="O450" s="9" t="n">
        <v>1827890</v>
      </c>
      <c r="P450" s="10" t="n">
        <v>65077</v>
      </c>
      <c r="Q450" s="10" t="n">
        <v>53134</v>
      </c>
      <c r="R450" s="7" t="n">
        <v>1807132</v>
      </c>
      <c r="S450" s="8" t="n">
        <v>9972</v>
      </c>
      <c r="T450" s="8" t="n">
        <v>61335</v>
      </c>
      <c r="U450" s="9" t="n">
        <v>1908229</v>
      </c>
      <c r="V450" s="10" t="n">
        <v>120608</v>
      </c>
      <c r="W450" s="10" t="n">
        <v>124833</v>
      </c>
      <c r="X450" s="7" t="n">
        <v>1773367</v>
      </c>
      <c r="Y450" s="8" t="n">
        <v>65230</v>
      </c>
      <c r="Z450" s="8" t="n">
        <v>57732</v>
      </c>
      <c r="AA450" s="9" t="n">
        <v>1643814</v>
      </c>
      <c r="AB450" s="10" t="n">
        <v>84434</v>
      </c>
      <c r="AC450" s="10" t="n">
        <v>106927</v>
      </c>
      <c r="AD450" s="7" t="n">
        <v>1589735</v>
      </c>
      <c r="AE450" s="8" t="n">
        <v>1557</v>
      </c>
      <c r="AF450" s="8" t="n">
        <v>1443</v>
      </c>
      <c r="AG450" s="9" t="n">
        <v>1779958</v>
      </c>
      <c r="AH450" s="10" t="n">
        <v>59403</v>
      </c>
      <c r="AI450" s="10" t="n">
        <v>96292</v>
      </c>
      <c r="AJ450" s="11" t="n">
        <v>2268152</v>
      </c>
      <c r="AK450" s="12" t="n">
        <v>338998</v>
      </c>
      <c r="AL450" s="12" t="n">
        <v>300417</v>
      </c>
      <c r="AM450" s="13" t="n">
        <v>27.4</v>
      </c>
      <c r="AN450" s="13" t="n">
        <v>27.9</v>
      </c>
      <c r="AO450" s="13" t="n">
        <v>470.7</v>
      </c>
      <c r="AP450" s="13" t="n">
        <v>419.7</v>
      </c>
    </row>
    <row r="451">
      <c r="A451" s="5" t="inlineStr">
        <is>
          <t>SKC</t>
        </is>
      </c>
      <c r="B451" s="6" t="inlineStr">
        <is>
          <t>011790</t>
        </is>
      </c>
      <c r="C451" s="6" t="inlineStr">
        <is>
          <t>연결</t>
        </is>
      </c>
      <c r="D451" s="6" t="inlineStr">
        <is>
          <t>2026Q2</t>
        </is>
      </c>
      <c r="E451" s="6" t="inlineStr">
        <is>
          <t>2023Q4</t>
        </is>
      </c>
      <c r="F451" s="14" t="n">
        <v>259800</v>
      </c>
      <c r="G451" s="15" t="n">
        <v>-85100</v>
      </c>
      <c r="H451" s="15" t="n">
        <v>-144100</v>
      </c>
      <c r="I451" s="9" t="n">
        <v>415189</v>
      </c>
      <c r="J451" s="10" t="n">
        <v>-76211</v>
      </c>
      <c r="K451" s="10" t="n">
        <v>-27993</v>
      </c>
      <c r="L451" s="7" t="n">
        <v>472719</v>
      </c>
      <c r="M451" s="8" t="n">
        <v>-62656</v>
      </c>
      <c r="N451" s="8" t="n">
        <v>-115336</v>
      </c>
      <c r="O451" s="9" t="n">
        <v>462295</v>
      </c>
      <c r="P451" s="10" t="n">
        <v>-61962</v>
      </c>
      <c r="Q451" s="10" t="n">
        <v>-49523</v>
      </c>
      <c r="R451" s="7" t="n">
        <v>371361</v>
      </c>
      <c r="S451" s="8" t="n">
        <v>-76004</v>
      </c>
      <c r="T451" s="8" t="n">
        <v>-262204</v>
      </c>
      <c r="U451" s="9" t="n">
        <v>438464</v>
      </c>
      <c r="V451" s="10" t="n">
        <v>-74477</v>
      </c>
      <c r="W451" s="10" t="n">
        <v>-117827</v>
      </c>
      <c r="X451" s="7" t="n">
        <v>467295</v>
      </c>
      <c r="Y451" s="8" t="n">
        <v>-70170</v>
      </c>
      <c r="Z451" s="8" t="n">
        <v>-3973</v>
      </c>
      <c r="AA451" s="9" t="n">
        <v>506018</v>
      </c>
      <c r="AB451" s="10" t="n">
        <v>-52771</v>
      </c>
      <c r="AC451" s="10" t="n">
        <v>-98967</v>
      </c>
      <c r="AD451" s="7" t="n">
        <v>428259</v>
      </c>
      <c r="AE451" s="8" t="n">
        <v>-107607</v>
      </c>
      <c r="AF451" s="8" t="n">
        <v>-498594</v>
      </c>
      <c r="AG451" s="9" t="n">
        <v>496640</v>
      </c>
      <c r="AH451" s="10" t="n">
        <v>-28734</v>
      </c>
      <c r="AI451" s="10" t="n">
        <v>-75553</v>
      </c>
      <c r="AJ451" s="11" t="n">
        <v>645385</v>
      </c>
      <c r="AK451" s="12" t="n">
        <v>-14424</v>
      </c>
      <c r="AL451" s="12" t="n">
        <v>-82227</v>
      </c>
      <c r="AM451" s="13" t="n">
        <v>30</v>
      </c>
      <c r="AN451" s="13" t="n">
        <v>38.1</v>
      </c>
      <c r="AO451" s="13" t="n">
        <v>49.8</v>
      </c>
      <c r="AP451" s="13" t="n">
        <v>79.40000000000001</v>
      </c>
    </row>
    <row r="452">
      <c r="A452" s="5" t="inlineStr">
        <is>
          <t>피스피스스튜디오</t>
        </is>
      </c>
      <c r="B452" s="6" t="inlineStr">
        <is>
          <t>0117P0</t>
        </is>
      </c>
      <c r="C452" s="6" t="inlineStr">
        <is>
          <t>연결</t>
        </is>
      </c>
      <c r="D452" s="6" t="inlineStr">
        <is>
          <t>2026Q2</t>
        </is>
      </c>
      <c r="E452" s="6" t="inlineStr"/>
      <c r="F452" s="7" t="inlineStr"/>
      <c r="G452" s="8" t="inlineStr"/>
      <c r="H452" s="8" t="inlineStr"/>
      <c r="I452" s="9" t="inlineStr"/>
      <c r="J452" s="10" t="inlineStr"/>
      <c r="K452" s="10" t="inlineStr"/>
      <c r="L452" s="7" t="inlineStr"/>
      <c r="M452" s="8" t="inlineStr"/>
      <c r="N452" s="8" t="inlineStr"/>
      <c r="O452" s="9" t="inlineStr"/>
      <c r="P452" s="10" t="inlineStr"/>
      <c r="Q452" s="10" t="inlineStr"/>
      <c r="R452" s="7" t="inlineStr"/>
      <c r="S452" s="8" t="inlineStr"/>
      <c r="T452" s="8" t="inlineStr"/>
      <c r="U452" s="9" t="inlineStr"/>
      <c r="V452" s="10" t="inlineStr"/>
      <c r="W452" s="10" t="inlineStr"/>
      <c r="X452" s="7" t="inlineStr"/>
      <c r="Y452" s="8" t="inlineStr"/>
      <c r="Z452" s="8" t="inlineStr"/>
      <c r="AA452" s="9" t="inlineStr"/>
      <c r="AB452" s="10" t="inlineStr"/>
      <c r="AC452" s="10" t="inlineStr"/>
      <c r="AD452" s="7" t="inlineStr"/>
      <c r="AE452" s="8" t="inlineStr"/>
      <c r="AF452" s="8" t="inlineStr"/>
      <c r="AG452" s="9" t="n">
        <v>23430</v>
      </c>
      <c r="AH452" s="10" t="n">
        <v>2029</v>
      </c>
      <c r="AI452" s="10" t="n">
        <v>2035</v>
      </c>
      <c r="AJ452" s="11" t="n">
        <v>19040</v>
      </c>
      <c r="AK452" s="12" t="n">
        <v>206</v>
      </c>
      <c r="AL452" s="12" t="n">
        <v>89</v>
      </c>
      <c r="AM452" s="13" t="n">
        <v>-18.7</v>
      </c>
      <c r="AN452" s="13" t="inlineStr"/>
      <c r="AO452" s="13" t="n">
        <v>-89.8</v>
      </c>
      <c r="AP452" s="13" t="inlineStr"/>
    </row>
    <row r="453">
      <c r="A453" s="5" t="inlineStr">
        <is>
          <t>STX</t>
        </is>
      </c>
      <c r="B453" s="6" t="inlineStr">
        <is>
          <t>011810</t>
        </is>
      </c>
      <c r="C453" s="6" t="inlineStr">
        <is>
          <t>연결</t>
        </is>
      </c>
      <c r="D453" s="6" t="inlineStr">
        <is>
          <t>2026Q2</t>
        </is>
      </c>
      <c r="E453" s="6" t="inlineStr"/>
      <c r="F453" s="7" t="inlineStr"/>
      <c r="G453" s="8" t="inlineStr"/>
      <c r="H453" s="8" t="inlineStr"/>
      <c r="I453" s="9" t="n">
        <v>177791</v>
      </c>
      <c r="J453" s="10" t="n">
        <v>-1136</v>
      </c>
      <c r="K453" s="10" t="n">
        <v>-6817</v>
      </c>
      <c r="L453" s="7" t="n">
        <v>253854</v>
      </c>
      <c r="M453" s="8" t="n">
        <v>-192</v>
      </c>
      <c r="N453" s="8" t="n">
        <v>-6487</v>
      </c>
      <c r="O453" s="9" t="n">
        <v>240862</v>
      </c>
      <c r="P453" s="10" t="n">
        <v>-484</v>
      </c>
      <c r="Q453" s="10" t="n">
        <v>-601</v>
      </c>
      <c r="R453" s="7" t="n">
        <v>155293</v>
      </c>
      <c r="S453" s="8" t="n">
        <v>-6897</v>
      </c>
      <c r="T453" s="8" t="n">
        <v>-26980</v>
      </c>
      <c r="U453" s="9" t="n">
        <v>179751</v>
      </c>
      <c r="V453" s="10" t="n">
        <v>-2925</v>
      </c>
      <c r="W453" s="10" t="n">
        <v>-5211</v>
      </c>
      <c r="X453" s="7" t="n">
        <v>156505</v>
      </c>
      <c r="Y453" s="8" t="n">
        <v>-11181</v>
      </c>
      <c r="Z453" s="8" t="n">
        <v>-18330</v>
      </c>
      <c r="AA453" s="9" t="n">
        <v>182615</v>
      </c>
      <c r="AB453" s="10" t="n">
        <v>-3982</v>
      </c>
      <c r="AC453" s="10" t="n">
        <v>-17101</v>
      </c>
      <c r="AD453" s="7" t="n">
        <v>122441</v>
      </c>
      <c r="AE453" s="8" t="n">
        <v>-43857</v>
      </c>
      <c r="AF453" s="8" t="n">
        <v>-125769</v>
      </c>
      <c r="AG453" s="9" t="n">
        <v>59973</v>
      </c>
      <c r="AH453" s="10" t="n">
        <v>-9865</v>
      </c>
      <c r="AI453" s="10" t="n">
        <v>-44612</v>
      </c>
      <c r="AJ453" s="11" t="n">
        <v>42377</v>
      </c>
      <c r="AK453" s="12" t="n">
        <v>-18939</v>
      </c>
      <c r="AL453" s="12" t="n">
        <v>-57471</v>
      </c>
      <c r="AM453" s="13" t="n">
        <v>-29.3</v>
      </c>
      <c r="AN453" s="13" t="n">
        <v>-72.90000000000001</v>
      </c>
      <c r="AO453" s="13" t="n">
        <v>-92</v>
      </c>
      <c r="AP453" s="13" t="n">
        <v>-69.40000000000001</v>
      </c>
    </row>
    <row r="454">
      <c r="A454" s="5" t="inlineStr">
        <is>
          <t>신성이엔지</t>
        </is>
      </c>
      <c r="B454" s="6" t="inlineStr">
        <is>
          <t>011930</t>
        </is>
      </c>
      <c r="C454" s="6" t="inlineStr">
        <is>
          <t>연결</t>
        </is>
      </c>
      <c r="D454" s="6" t="inlineStr">
        <is>
          <t>2026Q2</t>
        </is>
      </c>
      <c r="E454" s="6" t="inlineStr">
        <is>
          <t>2023Q4</t>
        </is>
      </c>
      <c r="F454" s="14" t="n">
        <v>169448</v>
      </c>
      <c r="G454" s="15" t="n">
        <v>3526</v>
      </c>
      <c r="H454" s="15" t="n">
        <v>-723</v>
      </c>
      <c r="I454" s="9" t="n">
        <v>134100</v>
      </c>
      <c r="J454" s="10" t="n">
        <v>5106</v>
      </c>
      <c r="K454" s="10" t="n">
        <v>3597</v>
      </c>
      <c r="L454" s="7" t="n">
        <v>145278</v>
      </c>
      <c r="M454" s="8" t="n">
        <v>-2564</v>
      </c>
      <c r="N454" s="8" t="n">
        <v>-6285</v>
      </c>
      <c r="O454" s="9" t="n">
        <v>142157</v>
      </c>
      <c r="P454" s="10" t="n">
        <v>-3890</v>
      </c>
      <c r="Q454" s="10" t="n">
        <v>-9588</v>
      </c>
      <c r="R454" s="7" t="n">
        <v>160766</v>
      </c>
      <c r="S454" s="8" t="n">
        <v>6340</v>
      </c>
      <c r="T454" s="8" t="n">
        <v>-1684</v>
      </c>
      <c r="U454" s="9" t="n">
        <v>116301</v>
      </c>
      <c r="V454" s="10" t="n">
        <v>-5239</v>
      </c>
      <c r="W454" s="10" t="n">
        <v>-6918</v>
      </c>
      <c r="X454" s="7" t="n">
        <v>139969</v>
      </c>
      <c r="Y454" s="8" t="n">
        <v>3359</v>
      </c>
      <c r="Z454" s="8" t="n">
        <v>41</v>
      </c>
      <c r="AA454" s="9" t="n">
        <v>158597</v>
      </c>
      <c r="AB454" s="10" t="n">
        <v>250</v>
      </c>
      <c r="AC454" s="10" t="n">
        <v>-3567</v>
      </c>
      <c r="AD454" s="7" t="n">
        <v>152587</v>
      </c>
      <c r="AE454" s="8" t="n">
        <v>2911</v>
      </c>
      <c r="AF454" s="8" t="n">
        <v>2249</v>
      </c>
      <c r="AG454" s="9" t="n">
        <v>153688</v>
      </c>
      <c r="AH454" s="10" t="n">
        <v>-2234</v>
      </c>
      <c r="AI454" s="10" t="n">
        <v>-3809</v>
      </c>
      <c r="AJ454" s="11" t="n">
        <v>201806</v>
      </c>
      <c r="AK454" s="12" t="n">
        <v>3064</v>
      </c>
      <c r="AL454" s="12" t="n">
        <v>-2136</v>
      </c>
      <c r="AM454" s="13" t="n">
        <v>31.3</v>
      </c>
      <c r="AN454" s="13" t="n">
        <v>44.2</v>
      </c>
      <c r="AO454" s="13" t="n">
        <v>237.2</v>
      </c>
      <c r="AP454" s="13" t="n">
        <v>-8.800000000000001</v>
      </c>
    </row>
    <row r="455">
      <c r="A455" s="5" t="inlineStr">
        <is>
          <t>DB</t>
        </is>
      </c>
      <c r="B455" s="6" t="inlineStr">
        <is>
          <t>012030</t>
        </is>
      </c>
      <c r="C455" s="6" t="inlineStr">
        <is>
          <t>연결</t>
        </is>
      </c>
      <c r="D455" s="6" t="inlineStr">
        <is>
          <t>2026Q2</t>
        </is>
      </c>
      <c r="E455" s="6" t="inlineStr"/>
      <c r="F455" s="7" t="inlineStr"/>
      <c r="G455" s="8" t="inlineStr"/>
      <c r="H455" s="8" t="inlineStr"/>
      <c r="I455" s="9" t="n">
        <v>118884</v>
      </c>
      <c r="J455" s="10" t="n">
        <v>7757</v>
      </c>
      <c r="K455" s="10" t="n">
        <v>7398</v>
      </c>
      <c r="L455" s="7" t="n">
        <v>153621</v>
      </c>
      <c r="M455" s="8" t="n">
        <v>9396</v>
      </c>
      <c r="N455" s="8" t="n">
        <v>14965</v>
      </c>
      <c r="O455" s="9" t="n">
        <v>137978</v>
      </c>
      <c r="P455" s="10" t="n">
        <v>7377</v>
      </c>
      <c r="Q455" s="10" t="n">
        <v>61285</v>
      </c>
      <c r="R455" s="7" t="n">
        <v>176953</v>
      </c>
      <c r="S455" s="8" t="n">
        <v>5097</v>
      </c>
      <c r="T455" s="8" t="n">
        <v>9138</v>
      </c>
      <c r="U455" s="9" t="n">
        <v>141904</v>
      </c>
      <c r="V455" s="10" t="n">
        <v>17357</v>
      </c>
      <c r="W455" s="10" t="n">
        <v>21250</v>
      </c>
      <c r="X455" s="7" t="n">
        <v>150103</v>
      </c>
      <c r="Y455" s="8" t="n">
        <v>8877</v>
      </c>
      <c r="Z455" s="8" t="n">
        <v>14879</v>
      </c>
      <c r="AA455" s="9" t="n">
        <v>159312</v>
      </c>
      <c r="AB455" s="10" t="n">
        <v>13003</v>
      </c>
      <c r="AC455" s="10" t="n">
        <v>26720</v>
      </c>
      <c r="AD455" s="7" t="n">
        <v>192145</v>
      </c>
      <c r="AE455" s="8" t="n">
        <v>2362</v>
      </c>
      <c r="AF455" s="8" t="n">
        <v>-13405</v>
      </c>
      <c r="AG455" s="9" t="n">
        <v>166770</v>
      </c>
      <c r="AH455" s="10" t="n">
        <v>18736</v>
      </c>
      <c r="AI455" s="10" t="n">
        <v>29701</v>
      </c>
      <c r="AJ455" s="11" t="n">
        <v>229964</v>
      </c>
      <c r="AK455" s="12" t="n">
        <v>12909</v>
      </c>
      <c r="AL455" s="12" t="n">
        <v>25156</v>
      </c>
      <c r="AM455" s="13" t="n">
        <v>37.9</v>
      </c>
      <c r="AN455" s="13" t="n">
        <v>53.2</v>
      </c>
      <c r="AO455" s="13" t="n">
        <v>-31.1</v>
      </c>
      <c r="AP455" s="13" t="n">
        <v>45.4</v>
      </c>
    </row>
    <row r="456">
      <c r="A456" s="5" t="inlineStr">
        <is>
          <t>삼양바이오팜</t>
        </is>
      </c>
      <c r="B456" s="6" t="inlineStr">
        <is>
          <t>0120G0</t>
        </is>
      </c>
      <c r="C456" s="6" t="inlineStr">
        <is>
          <t>별도</t>
        </is>
      </c>
      <c r="D456" s="6" t="inlineStr">
        <is>
          <t>2026Q2</t>
        </is>
      </c>
      <c r="E456" s="6" t="inlineStr"/>
      <c r="F456" s="7" t="inlineStr"/>
      <c r="G456" s="8" t="inlineStr"/>
      <c r="H456" s="8" t="inlineStr"/>
      <c r="I456" s="9" t="inlineStr"/>
      <c r="J456" s="10" t="inlineStr"/>
      <c r="K456" s="10" t="inlineStr"/>
      <c r="L456" s="7" t="inlineStr"/>
      <c r="M456" s="8" t="inlineStr"/>
      <c r="N456" s="8" t="inlineStr"/>
      <c r="O456" s="9" t="inlineStr"/>
      <c r="P456" s="10" t="inlineStr"/>
      <c r="Q456" s="10" t="inlineStr"/>
      <c r="R456" s="7" t="inlineStr"/>
      <c r="S456" s="8" t="inlineStr"/>
      <c r="T456" s="8" t="inlineStr"/>
      <c r="U456" s="9" t="inlineStr"/>
      <c r="V456" s="10" t="inlineStr"/>
      <c r="W456" s="10" t="inlineStr"/>
      <c r="X456" s="7" t="inlineStr"/>
      <c r="Y456" s="8" t="inlineStr"/>
      <c r="Z456" s="8" t="inlineStr"/>
      <c r="AA456" s="9" t="inlineStr"/>
      <c r="AB456" s="10" t="inlineStr"/>
      <c r="AC456" s="10" t="inlineStr"/>
      <c r="AD456" s="7" t="inlineStr"/>
      <c r="AE456" s="8" t="inlineStr"/>
      <c r="AF456" s="8" t="inlineStr"/>
      <c r="AG456" s="9" t="n">
        <v>31174</v>
      </c>
      <c r="AH456" s="10" t="n">
        <v>1386</v>
      </c>
      <c r="AI456" s="10" t="n">
        <v>2567</v>
      </c>
      <c r="AJ456" s="11" t="n">
        <v>35859</v>
      </c>
      <c r="AK456" s="12" t="n">
        <v>746</v>
      </c>
      <c r="AL456" s="12" t="n">
        <v>1330</v>
      </c>
      <c r="AM456" s="13" t="n">
        <v>15</v>
      </c>
      <c r="AN456" s="13" t="inlineStr"/>
      <c r="AO456" s="13" t="n">
        <v>-46.2</v>
      </c>
      <c r="AP456" s="13" t="inlineStr"/>
    </row>
    <row r="457">
      <c r="A457" s="5" t="inlineStr">
        <is>
          <t>영흥</t>
        </is>
      </c>
      <c r="B457" s="6" t="inlineStr">
        <is>
          <t>012160</t>
        </is>
      </c>
      <c r="C457" s="6" t="inlineStr">
        <is>
          <t>연결</t>
        </is>
      </c>
      <c r="D457" s="6" t="inlineStr">
        <is>
          <t>2026Q2</t>
        </is>
      </c>
      <c r="E457" s="6" t="inlineStr"/>
      <c r="F457" s="7" t="inlineStr"/>
      <c r="G457" s="8" t="inlineStr"/>
      <c r="H457" s="8" t="inlineStr"/>
      <c r="I457" s="9" t="n">
        <v>125035</v>
      </c>
      <c r="J457" s="10" t="n">
        <v>3872</v>
      </c>
      <c r="K457" s="10" t="n">
        <v>2535</v>
      </c>
      <c r="L457" s="7" t="n">
        <v>126961</v>
      </c>
      <c r="M457" s="8" t="n">
        <v>2744</v>
      </c>
      <c r="N457" s="8" t="n">
        <v>-382</v>
      </c>
      <c r="O457" s="9" t="n">
        <v>119002</v>
      </c>
      <c r="P457" s="10" t="n">
        <v>-1121</v>
      </c>
      <c r="Q457" s="10" t="n">
        <v>-4701</v>
      </c>
      <c r="R457" s="7" t="n">
        <v>109350</v>
      </c>
      <c r="S457" s="8" t="n">
        <v>-2422</v>
      </c>
      <c r="T457" s="8" t="n">
        <v>-12426</v>
      </c>
      <c r="U457" s="9" t="n">
        <v>110985</v>
      </c>
      <c r="V457" s="10" t="n">
        <v>-1581</v>
      </c>
      <c r="W457" s="10" t="n">
        <v>585</v>
      </c>
      <c r="X457" s="7" t="n">
        <v>116282</v>
      </c>
      <c r="Y457" s="8" t="n">
        <v>-2384</v>
      </c>
      <c r="Z457" s="8" t="n">
        <v>-24962</v>
      </c>
      <c r="AA457" s="9" t="n">
        <v>109895</v>
      </c>
      <c r="AB457" s="10" t="n">
        <v>-6966</v>
      </c>
      <c r="AC457" s="10" t="n">
        <v>-17633</v>
      </c>
      <c r="AD457" s="7" t="n">
        <v>96323</v>
      </c>
      <c r="AE457" s="8" t="n">
        <v>-2238</v>
      </c>
      <c r="AF457" s="8" t="n">
        <v>-12446</v>
      </c>
      <c r="AG457" s="9" t="n">
        <v>96425</v>
      </c>
      <c r="AH457" s="10" t="n">
        <v>-1439</v>
      </c>
      <c r="AI457" s="10" t="n">
        <v>-1608</v>
      </c>
      <c r="AJ457" s="11" t="n">
        <v>106767</v>
      </c>
      <c r="AK457" s="12" t="n">
        <v>2174</v>
      </c>
      <c r="AL457" s="12" t="n">
        <v>259</v>
      </c>
      <c r="AM457" s="13" t="n">
        <v>10.7</v>
      </c>
      <c r="AN457" s="13" t="n">
        <v>-8.199999999999999</v>
      </c>
      <c r="AO457" s="13" t="n">
        <v>251.1</v>
      </c>
      <c r="AP457" s="13" t="n">
        <v>191.2</v>
      </c>
    </row>
    <row r="458">
      <c r="A458" s="5" t="inlineStr">
        <is>
          <t>아센디오</t>
        </is>
      </c>
      <c r="B458" s="6" t="inlineStr">
        <is>
          <t>012170</t>
        </is>
      </c>
      <c r="C458" s="6" t="inlineStr">
        <is>
          <t>연결</t>
        </is>
      </c>
      <c r="D458" s="6" t="inlineStr">
        <is>
          <t>2026Q2</t>
        </is>
      </c>
      <c r="E458" s="6" t="inlineStr"/>
      <c r="F458" s="7" t="inlineStr"/>
      <c r="G458" s="8" t="inlineStr"/>
      <c r="H458" s="8" t="inlineStr"/>
      <c r="I458" s="9" t="n">
        <v>2405</v>
      </c>
      <c r="J458" s="10" t="n">
        <v>-580</v>
      </c>
      <c r="K458" s="10" t="n">
        <v>-823</v>
      </c>
      <c r="L458" s="7" t="n">
        <v>6287</v>
      </c>
      <c r="M458" s="8" t="n">
        <v>-1307</v>
      </c>
      <c r="N458" s="8" t="n">
        <v>2590</v>
      </c>
      <c r="O458" s="9" t="n">
        <v>3193</v>
      </c>
      <c r="P458" s="10" t="n">
        <v>-1712</v>
      </c>
      <c r="Q458" s="10" t="n">
        <v>-1389</v>
      </c>
      <c r="R458" s="7" t="n">
        <v>1581</v>
      </c>
      <c r="S458" s="8" t="n">
        <v>-523</v>
      </c>
      <c r="T458" s="8" t="n">
        <v>-8227</v>
      </c>
      <c r="U458" s="9" t="n">
        <v>594</v>
      </c>
      <c r="V458" s="10" t="n">
        <v>-1129</v>
      </c>
      <c r="W458" s="10" t="n">
        <v>-2182</v>
      </c>
      <c r="X458" s="7" t="n">
        <v>1687</v>
      </c>
      <c r="Y458" s="8" t="n">
        <v>-1675</v>
      </c>
      <c r="Z458" s="8" t="n">
        <v>-6662</v>
      </c>
      <c r="AA458" s="9" t="n">
        <v>2296</v>
      </c>
      <c r="AB458" s="10" t="n">
        <v>-444</v>
      </c>
      <c r="AC458" s="10" t="n">
        <v>-321</v>
      </c>
      <c r="AD458" s="7" t="n">
        <v>1345</v>
      </c>
      <c r="AE458" s="8" t="n">
        <v>-1077</v>
      </c>
      <c r="AF458" s="8" t="n">
        <v>-4638</v>
      </c>
      <c r="AG458" s="9" t="n">
        <v>655</v>
      </c>
      <c r="AH458" s="10" t="n">
        <v>-209</v>
      </c>
      <c r="AI458" s="10" t="n">
        <v>-214</v>
      </c>
      <c r="AJ458" s="11" t="n">
        <v>1651</v>
      </c>
      <c r="AK458" s="12" t="n">
        <v>-692</v>
      </c>
      <c r="AL458" s="12" t="n">
        <v>-588</v>
      </c>
      <c r="AM458" s="13" t="n">
        <v>152.1</v>
      </c>
      <c r="AN458" s="13" t="n">
        <v>-2.1</v>
      </c>
      <c r="AO458" s="13" t="n">
        <v>-231.1</v>
      </c>
      <c r="AP458" s="13" t="n">
        <v>58.7</v>
      </c>
    </row>
    <row r="459">
      <c r="A459" s="5" t="inlineStr">
        <is>
          <t>계양전기</t>
        </is>
      </c>
      <c r="B459" s="6" t="inlineStr">
        <is>
          <t>012200</t>
        </is>
      </c>
      <c r="C459" s="6" t="inlineStr">
        <is>
          <t>연결</t>
        </is>
      </c>
      <c r="D459" s="6" t="inlineStr">
        <is>
          <t>2026Q2</t>
        </is>
      </c>
      <c r="E459" s="6" t="inlineStr"/>
      <c r="F459" s="7" t="inlineStr"/>
      <c r="G459" s="8" t="inlineStr"/>
      <c r="H459" s="8" t="inlineStr"/>
      <c r="I459" s="9" t="n">
        <v>98012</v>
      </c>
      <c r="J459" s="10" t="n">
        <v>-2276</v>
      </c>
      <c r="K459" s="10" t="n">
        <v>-2090</v>
      </c>
      <c r="L459" s="7" t="n">
        <v>97730</v>
      </c>
      <c r="M459" s="8" t="n">
        <v>-718</v>
      </c>
      <c r="N459" s="8" t="n">
        <v>-108</v>
      </c>
      <c r="O459" s="9" t="n">
        <v>88690</v>
      </c>
      <c r="P459" s="10" t="n">
        <v>-4205</v>
      </c>
      <c r="Q459" s="10" t="n">
        <v>-5932</v>
      </c>
      <c r="R459" s="7" t="n">
        <v>84693</v>
      </c>
      <c r="S459" s="8" t="n">
        <v>-8062</v>
      </c>
      <c r="T459" s="8" t="n">
        <v>-53093</v>
      </c>
      <c r="U459" s="9" t="n">
        <v>93877</v>
      </c>
      <c r="V459" s="10" t="n">
        <v>-2736</v>
      </c>
      <c r="W459" s="10" t="n">
        <v>205</v>
      </c>
      <c r="X459" s="7" t="n">
        <v>102182</v>
      </c>
      <c r="Y459" s="8" t="n">
        <v>-8518</v>
      </c>
      <c r="Z459" s="8" t="n">
        <v>-8568</v>
      </c>
      <c r="AA459" s="9" t="n">
        <v>102301</v>
      </c>
      <c r="AB459" s="10" t="n">
        <v>-1015</v>
      </c>
      <c r="AC459" s="10" t="n">
        <v>2582</v>
      </c>
      <c r="AD459" s="7" t="n">
        <v>91439</v>
      </c>
      <c r="AE459" s="8" t="n">
        <v>-14831</v>
      </c>
      <c r="AF459" s="8" t="n">
        <v>-31087</v>
      </c>
      <c r="AG459" s="9" t="n">
        <v>98944</v>
      </c>
      <c r="AH459" s="10" t="n">
        <v>-1935</v>
      </c>
      <c r="AI459" s="10" t="n">
        <v>826</v>
      </c>
      <c r="AJ459" s="11" t="n">
        <v>97434</v>
      </c>
      <c r="AK459" s="12" t="n">
        <v>-5111</v>
      </c>
      <c r="AL459" s="12" t="n">
        <v>-6110</v>
      </c>
      <c r="AM459" s="13" t="n">
        <v>-1.5</v>
      </c>
      <c r="AN459" s="13" t="n">
        <v>-4.6</v>
      </c>
      <c r="AO459" s="13" t="n">
        <v>-164.1</v>
      </c>
      <c r="AP459" s="13" t="n">
        <v>40</v>
      </c>
    </row>
    <row r="460">
      <c r="A460" s="5" t="inlineStr">
        <is>
          <t>삼미금속</t>
        </is>
      </c>
      <c r="B460" s="6" t="inlineStr">
        <is>
          <t>012210</t>
        </is>
      </c>
      <c r="C460" s="6" t="inlineStr">
        <is>
          <t>별도</t>
        </is>
      </c>
      <c r="D460" s="6" t="inlineStr">
        <is>
          <t>2026Q2</t>
        </is>
      </c>
      <c r="E460" s="6" t="inlineStr"/>
      <c r="F460" s="7" t="inlineStr"/>
      <c r="G460" s="8" t="inlineStr"/>
      <c r="H460" s="8" t="inlineStr"/>
      <c r="I460" s="9" t="inlineStr"/>
      <c r="J460" s="10" t="inlineStr"/>
      <c r="K460" s="10" t="inlineStr"/>
      <c r="L460" s="7" t="inlineStr"/>
      <c r="M460" s="8" t="inlineStr"/>
      <c r="N460" s="8" t="inlineStr"/>
      <c r="O460" s="9" t="inlineStr"/>
      <c r="P460" s="10" t="inlineStr"/>
      <c r="Q460" s="10" t="inlineStr"/>
      <c r="R460" s="7" t="inlineStr"/>
      <c r="S460" s="8" t="inlineStr"/>
      <c r="T460" s="8" t="inlineStr"/>
      <c r="U460" s="9" t="inlineStr"/>
      <c r="V460" s="10" t="inlineStr"/>
      <c r="W460" s="10" t="inlineStr"/>
      <c r="X460" s="7" t="n">
        <v>22566</v>
      </c>
      <c r="Y460" s="8" t="n">
        <v>2444</v>
      </c>
      <c r="Z460" s="8" t="n">
        <v>1622</v>
      </c>
      <c r="AA460" s="9" t="n">
        <v>17550</v>
      </c>
      <c r="AB460" s="10" t="n">
        <v>926</v>
      </c>
      <c r="AC460" s="10" t="n">
        <v>650</v>
      </c>
      <c r="AD460" s="7" t="inlineStr"/>
      <c r="AE460" s="8" t="inlineStr"/>
      <c r="AF460" s="8" t="inlineStr"/>
      <c r="AG460" s="9" t="n">
        <v>18259</v>
      </c>
      <c r="AH460" s="10" t="n">
        <v>1602</v>
      </c>
      <c r="AI460" s="10" t="n">
        <v>1254</v>
      </c>
      <c r="AJ460" s="11" t="n">
        <v>22259</v>
      </c>
      <c r="AK460" s="12" t="n">
        <v>2607</v>
      </c>
      <c r="AL460" s="12" t="n">
        <v>1279</v>
      </c>
      <c r="AM460" s="13" t="n">
        <v>21.9</v>
      </c>
      <c r="AN460" s="13" t="n">
        <v>-1.4</v>
      </c>
      <c r="AO460" s="13" t="n">
        <v>62.7</v>
      </c>
      <c r="AP460" s="13" t="n">
        <v>6.7</v>
      </c>
    </row>
    <row r="461">
      <c r="A461" s="5" t="inlineStr">
        <is>
          <t>영화금속</t>
        </is>
      </c>
      <c r="B461" s="6" t="inlineStr">
        <is>
          <t>012280</t>
        </is>
      </c>
      <c r="C461" s="6" t="inlineStr">
        <is>
          <t>별도</t>
        </is>
      </c>
      <c r="D461" s="6" t="inlineStr">
        <is>
          <t>2026Q2</t>
        </is>
      </c>
      <c r="E461" s="6" t="inlineStr"/>
      <c r="F461" s="7" t="inlineStr"/>
      <c r="G461" s="8" t="inlineStr"/>
      <c r="H461" s="8" t="inlineStr"/>
      <c r="I461" s="9" t="n">
        <v>70316</v>
      </c>
      <c r="J461" s="10" t="n">
        <v>1992</v>
      </c>
      <c r="K461" s="10" t="n">
        <v>1736</v>
      </c>
      <c r="L461" s="7" t="n">
        <v>79091</v>
      </c>
      <c r="M461" s="8" t="n">
        <v>2027</v>
      </c>
      <c r="N461" s="8" t="n">
        <v>1504</v>
      </c>
      <c r="O461" s="9" t="n">
        <v>81595</v>
      </c>
      <c r="P461" s="10" t="n">
        <v>2177</v>
      </c>
      <c r="Q461" s="10" t="n">
        <v>2274</v>
      </c>
      <c r="R461" s="7" t="n">
        <v>70697</v>
      </c>
      <c r="S461" s="8" t="n">
        <v>3684</v>
      </c>
      <c r="T461" s="8" t="n">
        <v>3140</v>
      </c>
      <c r="U461" s="9" t="n">
        <v>84256</v>
      </c>
      <c r="V461" s="10" t="n">
        <v>3193</v>
      </c>
      <c r="W461" s="10" t="n">
        <v>2611</v>
      </c>
      <c r="X461" s="7" t="n">
        <v>97007</v>
      </c>
      <c r="Y461" s="8" t="n">
        <v>6704</v>
      </c>
      <c r="Z461" s="8" t="n">
        <v>3418</v>
      </c>
      <c r="AA461" s="9" t="n">
        <v>85435</v>
      </c>
      <c r="AB461" s="10" t="n">
        <v>3166</v>
      </c>
      <c r="AC461" s="10" t="n">
        <v>2839</v>
      </c>
      <c r="AD461" s="7" t="n">
        <v>84726</v>
      </c>
      <c r="AE461" s="8" t="n">
        <v>2163</v>
      </c>
      <c r="AF461" s="8" t="n">
        <v>3293</v>
      </c>
      <c r="AG461" s="9" t="n">
        <v>90082</v>
      </c>
      <c r="AH461" s="10" t="n">
        <v>3100</v>
      </c>
      <c r="AI461" s="10" t="n">
        <v>3474</v>
      </c>
      <c r="AJ461" s="11" t="n">
        <v>92150</v>
      </c>
      <c r="AK461" s="12" t="n">
        <v>4212</v>
      </c>
      <c r="AL461" s="12" t="n">
        <v>3593</v>
      </c>
      <c r="AM461" s="13" t="n">
        <v>2.3</v>
      </c>
      <c r="AN461" s="13" t="n">
        <v>-5</v>
      </c>
      <c r="AO461" s="13" t="n">
        <v>35.9</v>
      </c>
      <c r="AP461" s="13" t="n">
        <v>-37.2</v>
      </c>
    </row>
    <row r="462">
      <c r="A462" s="5" t="inlineStr">
        <is>
          <t>경동인베스트</t>
        </is>
      </c>
      <c r="B462" s="6" t="inlineStr">
        <is>
          <t>012320</t>
        </is>
      </c>
      <c r="C462" s="6" t="inlineStr">
        <is>
          <t>연결</t>
        </is>
      </c>
      <c r="D462" s="6" t="inlineStr">
        <is>
          <t>2026Q2</t>
        </is>
      </c>
      <c r="E462" s="6" t="inlineStr"/>
      <c r="F462" s="7" t="inlineStr"/>
      <c r="G462" s="8" t="inlineStr"/>
      <c r="H462" s="8" t="inlineStr"/>
      <c r="I462" s="9" t="n">
        <v>77971</v>
      </c>
      <c r="J462" s="10" t="n">
        <v>1623</v>
      </c>
      <c r="K462" s="10" t="n">
        <v>-675</v>
      </c>
      <c r="L462" s="7" t="n">
        <v>71289</v>
      </c>
      <c r="M462" s="8" t="n">
        <v>136</v>
      </c>
      <c r="N462" s="8" t="n">
        <v>3690</v>
      </c>
      <c r="O462" s="9" t="n">
        <v>63796</v>
      </c>
      <c r="P462" s="10" t="n">
        <v>-3119</v>
      </c>
      <c r="Q462" s="10" t="n">
        <v>-2655</v>
      </c>
      <c r="R462" s="7" t="n">
        <v>80656</v>
      </c>
      <c r="S462" s="8" t="n">
        <v>25755</v>
      </c>
      <c r="T462" s="8" t="n">
        <v>21638</v>
      </c>
      <c r="U462" s="9" t="n">
        <v>66479</v>
      </c>
      <c r="V462" s="10" t="n">
        <v>2198</v>
      </c>
      <c r="W462" s="10" t="n">
        <v>4071</v>
      </c>
      <c r="X462" s="7" t="n">
        <v>51774</v>
      </c>
      <c r="Y462" s="8" t="n">
        <v>-1264</v>
      </c>
      <c r="Z462" s="8" t="n">
        <v>210</v>
      </c>
      <c r="AA462" s="9" t="n">
        <v>61058</v>
      </c>
      <c r="AB462" s="10" t="n">
        <v>-2924</v>
      </c>
      <c r="AC462" s="10" t="n">
        <v>-2358</v>
      </c>
      <c r="AD462" s="7" t="n">
        <v>96852</v>
      </c>
      <c r="AE462" s="8" t="n">
        <v>20811</v>
      </c>
      <c r="AF462" s="8" t="n">
        <v>16814</v>
      </c>
      <c r="AG462" s="9" t="n">
        <v>54255</v>
      </c>
      <c r="AH462" s="10" t="n">
        <v>1919</v>
      </c>
      <c r="AI462" s="10" t="n">
        <v>2881</v>
      </c>
      <c r="AJ462" s="11" t="n">
        <v>62466</v>
      </c>
      <c r="AK462" s="12" t="n">
        <v>-2498</v>
      </c>
      <c r="AL462" s="12" t="n">
        <v>577</v>
      </c>
      <c r="AM462" s="13" t="n">
        <v>15.1</v>
      </c>
      <c r="AN462" s="13" t="n">
        <v>20.7</v>
      </c>
      <c r="AO462" s="13" t="n">
        <v>-230.2</v>
      </c>
      <c r="AP462" s="13" t="n">
        <v>-97.59999999999999</v>
      </c>
    </row>
    <row r="463">
      <c r="A463" s="5" t="inlineStr">
        <is>
          <t>현대모비스</t>
        </is>
      </c>
      <c r="B463" s="6" t="inlineStr">
        <is>
          <t>012330</t>
        </is>
      </c>
      <c r="C463" s="6" t="inlineStr">
        <is>
          <t>연결</t>
        </is>
      </c>
      <c r="D463" s="6" t="inlineStr">
        <is>
          <t>2026Q2</t>
        </is>
      </c>
      <c r="E463" s="6" t="inlineStr">
        <is>
          <t>2023Q4</t>
        </is>
      </c>
      <c r="F463" s="14" t="n">
        <v>14672199</v>
      </c>
      <c r="G463" s="15" t="n">
        <v>523216</v>
      </c>
      <c r="H463" s="15" t="n">
        <v>651386</v>
      </c>
      <c r="I463" s="9" t="n">
        <v>13869224</v>
      </c>
      <c r="J463" s="10" t="n">
        <v>542660</v>
      </c>
      <c r="K463" s="10" t="n">
        <v>862371</v>
      </c>
      <c r="L463" s="7" t="n">
        <v>14655307</v>
      </c>
      <c r="M463" s="8" t="n">
        <v>636107</v>
      </c>
      <c r="N463" s="8" t="n">
        <v>997668</v>
      </c>
      <c r="O463" s="9" t="n">
        <v>14001808</v>
      </c>
      <c r="P463" s="10" t="n">
        <v>908556</v>
      </c>
      <c r="Q463" s="10" t="n">
        <v>921233</v>
      </c>
      <c r="R463" s="7" t="n">
        <v>14710656</v>
      </c>
      <c r="S463" s="8" t="n">
        <v>986133</v>
      </c>
      <c r="T463" s="8" t="n">
        <v>1278889</v>
      </c>
      <c r="U463" s="9" t="n">
        <v>14752034</v>
      </c>
      <c r="V463" s="10" t="n">
        <v>776683</v>
      </c>
      <c r="W463" s="10" t="n">
        <v>1031748</v>
      </c>
      <c r="X463" s="7" t="n">
        <v>15936241</v>
      </c>
      <c r="Y463" s="8" t="n">
        <v>870000</v>
      </c>
      <c r="Z463" s="8" t="n">
        <v>934408</v>
      </c>
      <c r="AA463" s="9" t="n">
        <v>15031932</v>
      </c>
      <c r="AB463" s="10" t="n">
        <v>780299</v>
      </c>
      <c r="AC463" s="10" t="n">
        <v>930500</v>
      </c>
      <c r="AD463" s="7" t="n">
        <v>15397920</v>
      </c>
      <c r="AE463" s="8" t="n">
        <v>930474</v>
      </c>
      <c r="AF463" s="8" t="n">
        <v>768080</v>
      </c>
      <c r="AG463" s="9" t="n">
        <v>15560513</v>
      </c>
      <c r="AH463" s="10" t="n">
        <v>802648</v>
      </c>
      <c r="AI463" s="10" t="n">
        <v>883052</v>
      </c>
      <c r="AJ463" s="11" t="n">
        <v>16324696</v>
      </c>
      <c r="AK463" s="12" t="n">
        <v>975158</v>
      </c>
      <c r="AL463" s="12" t="n">
        <v>1060230</v>
      </c>
      <c r="AM463" s="13" t="n">
        <v>4.9</v>
      </c>
      <c r="AN463" s="13" t="n">
        <v>2.4</v>
      </c>
      <c r="AO463" s="13" t="n">
        <v>21.5</v>
      </c>
      <c r="AP463" s="13" t="n">
        <v>12.1</v>
      </c>
    </row>
    <row r="464">
      <c r="A464" s="5" t="inlineStr">
        <is>
          <t>뉴인텍</t>
        </is>
      </c>
      <c r="B464" s="6" t="inlineStr">
        <is>
          <t>012340</t>
        </is>
      </c>
      <c r="C464" s="6" t="inlineStr">
        <is>
          <t>연결</t>
        </is>
      </c>
      <c r="D464" s="6" t="inlineStr">
        <is>
          <t>2026Q2</t>
        </is>
      </c>
      <c r="E464" s="6" t="inlineStr"/>
      <c r="F464" s="7" t="inlineStr"/>
      <c r="G464" s="8" t="inlineStr"/>
      <c r="H464" s="8" t="inlineStr"/>
      <c r="I464" s="9" t="n">
        <v>19672</v>
      </c>
      <c r="J464" s="10" t="n">
        <v>-908</v>
      </c>
      <c r="K464" s="10" t="n">
        <v>-812</v>
      </c>
      <c r="L464" s="7" t="n">
        <v>21577</v>
      </c>
      <c r="M464" s="8" t="n">
        <v>-763</v>
      </c>
      <c r="N464" s="8" t="n">
        <v>-895</v>
      </c>
      <c r="O464" s="9" t="n">
        <v>18643</v>
      </c>
      <c r="P464" s="10" t="n">
        <v>-2372</v>
      </c>
      <c r="Q464" s="10" t="n">
        <v>-3185</v>
      </c>
      <c r="R464" s="7" t="n">
        <v>19608</v>
      </c>
      <c r="S464" s="8" t="n">
        <v>-1816</v>
      </c>
      <c r="T464" s="8" t="n">
        <v>-1682</v>
      </c>
      <c r="U464" s="9" t="n">
        <v>20606</v>
      </c>
      <c r="V464" s="10" t="n">
        <v>-563</v>
      </c>
      <c r="W464" s="10" t="n">
        <v>-915</v>
      </c>
      <c r="X464" s="7" t="n">
        <v>21545</v>
      </c>
      <c r="Y464" s="8" t="n">
        <v>-1656</v>
      </c>
      <c r="Z464" s="8" t="n">
        <v>-2577</v>
      </c>
      <c r="AA464" s="9" t="n">
        <v>20200</v>
      </c>
      <c r="AB464" s="10" t="n">
        <v>-1199</v>
      </c>
      <c r="AC464" s="10" t="n">
        <v>-1460</v>
      </c>
      <c r="AD464" s="7" t="n">
        <v>20448</v>
      </c>
      <c r="AE464" s="8" t="n">
        <v>-3810</v>
      </c>
      <c r="AF464" s="8" t="n">
        <v>-7708</v>
      </c>
      <c r="AG464" s="9" t="n">
        <v>23100</v>
      </c>
      <c r="AH464" s="10" t="n">
        <v>24</v>
      </c>
      <c r="AI464" s="10" t="n">
        <v>-234</v>
      </c>
      <c r="AJ464" s="11" t="n">
        <v>26519</v>
      </c>
      <c r="AK464" s="12" t="n">
        <v>233</v>
      </c>
      <c r="AL464" s="12" t="n">
        <v>303</v>
      </c>
      <c r="AM464" s="13" t="n">
        <v>14.8</v>
      </c>
      <c r="AN464" s="13" t="n">
        <v>23.1</v>
      </c>
      <c r="AO464" s="13" t="n">
        <v>870.8</v>
      </c>
      <c r="AP464" s="13" t="n">
        <v>114.1</v>
      </c>
    </row>
    <row r="465">
      <c r="A465" s="5" t="inlineStr">
        <is>
          <t>한화에어로스페이스</t>
        </is>
      </c>
      <c r="B465" s="6" t="inlineStr">
        <is>
          <t>012450</t>
        </is>
      </c>
      <c r="C465" s="6" t="inlineStr">
        <is>
          <t>연결</t>
        </is>
      </c>
      <c r="D465" s="6" t="inlineStr">
        <is>
          <t>2026Q2</t>
        </is>
      </c>
      <c r="E465" s="6" t="inlineStr">
        <is>
          <t>2023Q4</t>
        </is>
      </c>
      <c r="F465" s="14" t="n">
        <v>3442400</v>
      </c>
      <c r="G465" s="15" t="n">
        <v>289500</v>
      </c>
      <c r="H465" s="15" t="n">
        <v>213200</v>
      </c>
      <c r="I465" s="9" t="n">
        <v>1848340</v>
      </c>
      <c r="J465" s="10" t="n">
        <v>37410</v>
      </c>
      <c r="K465" s="10" t="n">
        <v>2616</v>
      </c>
      <c r="L465" s="7" t="n">
        <v>2785971</v>
      </c>
      <c r="M465" s="8" t="n">
        <v>358774</v>
      </c>
      <c r="N465" s="8" t="n">
        <v>159919</v>
      </c>
      <c r="O465" s="9" t="n">
        <v>2631222</v>
      </c>
      <c r="P465" s="10" t="n">
        <v>477226</v>
      </c>
      <c r="Q465" s="10" t="n">
        <v>318317</v>
      </c>
      <c r="R465" s="7" t="n">
        <v>3974588</v>
      </c>
      <c r="S465" s="8" t="n">
        <v>858469</v>
      </c>
      <c r="T465" s="8" t="n">
        <v>2059021</v>
      </c>
      <c r="U465" s="9" t="n">
        <v>5484221</v>
      </c>
      <c r="V465" s="10" t="n">
        <v>560746</v>
      </c>
      <c r="W465" s="10" t="n">
        <v>209349</v>
      </c>
      <c r="X465" s="7" t="n">
        <v>6310959</v>
      </c>
      <c r="Y465" s="8" t="n">
        <v>864517</v>
      </c>
      <c r="Z465" s="8" t="n">
        <v>286432</v>
      </c>
      <c r="AA465" s="9" t="n">
        <v>6486486</v>
      </c>
      <c r="AB465" s="10" t="n">
        <v>856430</v>
      </c>
      <c r="AC465" s="10" t="n">
        <v>712244</v>
      </c>
      <c r="AD465" s="7" t="n">
        <v>8421235</v>
      </c>
      <c r="AE465" s="8" t="n">
        <v>807627</v>
      </c>
      <c r="AF465" s="8" t="n">
        <v>993958</v>
      </c>
      <c r="AG465" s="9" t="n">
        <v>5751023</v>
      </c>
      <c r="AH465" s="10" t="n">
        <v>638892</v>
      </c>
      <c r="AI465" s="10" t="n">
        <v>526260</v>
      </c>
      <c r="AJ465" s="11" t="n">
        <v>9292864</v>
      </c>
      <c r="AK465" s="12" t="n">
        <v>1365484</v>
      </c>
      <c r="AL465" s="12" t="n">
        <v>1080545</v>
      </c>
      <c r="AM465" s="13" t="n">
        <v>61.6</v>
      </c>
      <c r="AN465" s="13" t="n">
        <v>47.2</v>
      </c>
      <c r="AO465" s="13" t="n">
        <v>113.7</v>
      </c>
      <c r="AP465" s="13" t="n">
        <v>57.9</v>
      </c>
    </row>
    <row r="466">
      <c r="A466" s="5" t="inlineStr">
        <is>
          <t>더존비즈온</t>
        </is>
      </c>
      <c r="B466" s="6" t="inlineStr">
        <is>
          <t>012510</t>
        </is>
      </c>
      <c r="C466" s="6" t="inlineStr">
        <is>
          <t>연결</t>
        </is>
      </c>
      <c r="D466" s="6" t="inlineStr">
        <is>
          <t>2026Q2</t>
        </is>
      </c>
      <c r="E466" s="6" t="inlineStr">
        <is>
          <t>2023Q4</t>
        </is>
      </c>
      <c r="F466" s="14" t="n">
        <v>103209</v>
      </c>
      <c r="G466" s="15" t="n">
        <v>22933</v>
      </c>
      <c r="H466" s="15" t="n">
        <v>9937</v>
      </c>
      <c r="I466" s="9" t="n">
        <v>94413</v>
      </c>
      <c r="J466" s="10" t="n">
        <v>18115</v>
      </c>
      <c r="K466" s="10" t="n">
        <v>36578</v>
      </c>
      <c r="L466" s="7" t="n">
        <v>99423</v>
      </c>
      <c r="M466" s="8" t="n">
        <v>20418</v>
      </c>
      <c r="N466" s="8" t="n">
        <v>10672</v>
      </c>
      <c r="O466" s="9" t="n">
        <v>97036</v>
      </c>
      <c r="P466" s="10" t="n">
        <v>20085</v>
      </c>
      <c r="Q466" s="10" t="n">
        <v>10686</v>
      </c>
      <c r="R466" s="7" t="n">
        <v>111460</v>
      </c>
      <c r="S466" s="8" t="n">
        <v>29446</v>
      </c>
      <c r="T466" s="8" t="n">
        <v>20091</v>
      </c>
      <c r="U466" s="9" t="n">
        <v>98601</v>
      </c>
      <c r="V466" s="10" t="n">
        <v>21588</v>
      </c>
      <c r="W466" s="10" t="n">
        <v>11998</v>
      </c>
      <c r="X466" s="7" t="n">
        <v>105890</v>
      </c>
      <c r="Y466" s="8" t="n">
        <v>25220</v>
      </c>
      <c r="Z466" s="8" t="n">
        <v>17584</v>
      </c>
      <c r="AA466" s="9" t="n">
        <v>114668</v>
      </c>
      <c r="AB466" s="10" t="n">
        <v>34825</v>
      </c>
      <c r="AC466" s="10" t="n">
        <v>23416</v>
      </c>
      <c r="AD466" s="7" t="n">
        <v>127140</v>
      </c>
      <c r="AE466" s="8" t="n">
        <v>46094</v>
      </c>
      <c r="AF466" s="8" t="n">
        <v>39291</v>
      </c>
      <c r="AG466" s="9" t="n">
        <v>116557</v>
      </c>
      <c r="AH466" s="10" t="n">
        <v>35020</v>
      </c>
      <c r="AI466" s="10" t="n">
        <v>22809</v>
      </c>
      <c r="AJ466" s="11" t="n">
        <v>123603</v>
      </c>
      <c r="AK466" s="12" t="n">
        <v>41087</v>
      </c>
      <c r="AL466" s="12" t="n">
        <v>29845</v>
      </c>
      <c r="AM466" s="13" t="n">
        <v>6</v>
      </c>
      <c r="AN466" s="13" t="n">
        <v>16.7</v>
      </c>
      <c r="AO466" s="13" t="n">
        <v>17.3</v>
      </c>
      <c r="AP466" s="13" t="n">
        <v>62.9</v>
      </c>
    </row>
    <row r="467">
      <c r="A467" s="5" t="inlineStr">
        <is>
          <t>경인양행</t>
        </is>
      </c>
      <c r="B467" s="6" t="inlineStr">
        <is>
          <t>012610</t>
        </is>
      </c>
      <c r="C467" s="6" t="inlineStr">
        <is>
          <t>연결</t>
        </is>
      </c>
      <c r="D467" s="6" t="inlineStr">
        <is>
          <t>2026Q2</t>
        </is>
      </c>
      <c r="E467" s="6" t="inlineStr"/>
      <c r="F467" s="7" t="inlineStr"/>
      <c r="G467" s="8" t="inlineStr"/>
      <c r="H467" s="8" t="inlineStr"/>
      <c r="I467" s="9" t="n">
        <v>90000</v>
      </c>
      <c r="J467" s="10" t="n">
        <v>5140</v>
      </c>
      <c r="K467" s="10" t="n">
        <v>3556</v>
      </c>
      <c r="L467" s="7" t="n">
        <v>99787</v>
      </c>
      <c r="M467" s="8" t="n">
        <v>7584</v>
      </c>
      <c r="N467" s="8" t="n">
        <v>7195</v>
      </c>
      <c r="O467" s="9" t="n">
        <v>92663</v>
      </c>
      <c r="P467" s="10" t="n">
        <v>5288</v>
      </c>
      <c r="Q467" s="10" t="n">
        <v>349</v>
      </c>
      <c r="R467" s="7" t="n">
        <v>91781</v>
      </c>
      <c r="S467" s="8" t="n">
        <v>6214</v>
      </c>
      <c r="T467" s="8" t="n">
        <v>5148</v>
      </c>
      <c r="U467" s="9" t="n">
        <v>99436</v>
      </c>
      <c r="V467" s="10" t="n">
        <v>5324</v>
      </c>
      <c r="W467" s="10" t="n">
        <v>2725</v>
      </c>
      <c r="X467" s="7" t="n">
        <v>100326</v>
      </c>
      <c r="Y467" s="8" t="n">
        <v>5414</v>
      </c>
      <c r="Z467" s="8" t="n">
        <v>-1924</v>
      </c>
      <c r="AA467" s="9" t="n">
        <v>90715</v>
      </c>
      <c r="AB467" s="10" t="n">
        <v>1238</v>
      </c>
      <c r="AC467" s="10" t="n">
        <v>1253</v>
      </c>
      <c r="AD467" s="7" t="n">
        <v>89225</v>
      </c>
      <c r="AE467" s="8" t="n">
        <v>4290</v>
      </c>
      <c r="AF467" s="8" t="n">
        <v>3527</v>
      </c>
      <c r="AG467" s="9" t="n">
        <v>107856</v>
      </c>
      <c r="AH467" s="10" t="n">
        <v>6529</v>
      </c>
      <c r="AI467" s="10" t="n">
        <v>5615</v>
      </c>
      <c r="AJ467" s="11" t="n">
        <v>118964</v>
      </c>
      <c r="AK467" s="12" t="n">
        <v>13344</v>
      </c>
      <c r="AL467" s="12" t="n">
        <v>10375</v>
      </c>
      <c r="AM467" s="13" t="n">
        <v>10.3</v>
      </c>
      <c r="AN467" s="13" t="n">
        <v>18.6</v>
      </c>
      <c r="AO467" s="13" t="n">
        <v>104.4</v>
      </c>
      <c r="AP467" s="13" t="n">
        <v>146.5</v>
      </c>
    </row>
    <row r="468">
      <c r="A468" s="5" t="inlineStr">
        <is>
          <t>원일특강</t>
        </is>
      </c>
      <c r="B468" s="6" t="inlineStr">
        <is>
          <t>012620</t>
        </is>
      </c>
      <c r="C468" s="6" t="inlineStr">
        <is>
          <t>연결</t>
        </is>
      </c>
      <c r="D468" s="6" t="inlineStr">
        <is>
          <t>2026Q2</t>
        </is>
      </c>
      <c r="E468" s="6" t="inlineStr"/>
      <c r="F468" s="7" t="inlineStr"/>
      <c r="G468" s="8" t="inlineStr"/>
      <c r="H468" s="8" t="inlineStr"/>
      <c r="I468" s="9" t="n">
        <v>91404</v>
      </c>
      <c r="J468" s="10" t="n">
        <v>3516</v>
      </c>
      <c r="K468" s="10" t="n">
        <v>2174</v>
      </c>
      <c r="L468" s="7" t="n">
        <v>102815</v>
      </c>
      <c r="M468" s="8" t="n">
        <v>3755</v>
      </c>
      <c r="N468" s="8" t="n">
        <v>1741</v>
      </c>
      <c r="O468" s="9" t="n">
        <v>90518</v>
      </c>
      <c r="P468" s="10" t="n">
        <v>2630</v>
      </c>
      <c r="Q468" s="10" t="n">
        <v>1805</v>
      </c>
      <c r="R468" s="7" t="n">
        <v>94563</v>
      </c>
      <c r="S468" s="8" t="n">
        <v>2077</v>
      </c>
      <c r="T468" s="8" t="n">
        <v>932</v>
      </c>
      <c r="U468" s="9" t="n">
        <v>89242</v>
      </c>
      <c r="V468" s="10" t="n">
        <v>3122</v>
      </c>
      <c r="W468" s="10" t="n">
        <v>2121</v>
      </c>
      <c r="X468" s="7" t="n">
        <v>105164</v>
      </c>
      <c r="Y468" s="8" t="n">
        <v>4346</v>
      </c>
      <c r="Z468" s="8" t="n">
        <v>3574</v>
      </c>
      <c r="AA468" s="9" t="n">
        <v>102974</v>
      </c>
      <c r="AB468" s="10" t="n">
        <v>3172</v>
      </c>
      <c r="AC468" s="10" t="n">
        <v>2123</v>
      </c>
      <c r="AD468" s="7" t="n">
        <v>100736</v>
      </c>
      <c r="AE468" s="8" t="n">
        <v>1725</v>
      </c>
      <c r="AF468" s="8" t="n">
        <v>394</v>
      </c>
      <c r="AG468" s="9" t="n">
        <v>100293</v>
      </c>
      <c r="AH468" s="10" t="n">
        <v>2437</v>
      </c>
      <c r="AI468" s="10" t="n">
        <v>1223</v>
      </c>
      <c r="AJ468" s="11" t="n">
        <v>114246</v>
      </c>
      <c r="AK468" s="12" t="n">
        <v>4018</v>
      </c>
      <c r="AL468" s="12" t="n">
        <v>2738</v>
      </c>
      <c r="AM468" s="13" t="n">
        <v>13.9</v>
      </c>
      <c r="AN468" s="13" t="n">
        <v>8.6</v>
      </c>
      <c r="AO468" s="13" t="n">
        <v>64.90000000000001</v>
      </c>
      <c r="AP468" s="13" t="n">
        <v>-7.5</v>
      </c>
    </row>
    <row r="469">
      <c r="A469" s="5" t="inlineStr">
        <is>
          <t>HDC</t>
        </is>
      </c>
      <c r="B469" s="6" t="inlineStr">
        <is>
          <t>012630</t>
        </is>
      </c>
      <c r="C469" s="6" t="inlineStr">
        <is>
          <t>연결</t>
        </is>
      </c>
      <c r="D469" s="6" t="inlineStr">
        <is>
          <t>2026Q2</t>
        </is>
      </c>
      <c r="E469" s="6" t="inlineStr"/>
      <c r="F469" s="7" t="inlineStr"/>
      <c r="G469" s="8" t="inlineStr"/>
      <c r="H469" s="8" t="inlineStr"/>
      <c r="I469" s="9" t="n">
        <v>1370738</v>
      </c>
      <c r="J469" s="10" t="n">
        <v>75613</v>
      </c>
      <c r="K469" s="10" t="n">
        <v>40011</v>
      </c>
      <c r="L469" s="7" t="n">
        <v>1540327</v>
      </c>
      <c r="M469" s="8" t="n">
        <v>84198</v>
      </c>
      <c r="N469" s="8" t="n">
        <v>63305</v>
      </c>
      <c r="O469" s="9" t="n">
        <v>1569234</v>
      </c>
      <c r="P469" s="10" t="n">
        <v>92870</v>
      </c>
      <c r="Q469" s="10" t="n">
        <v>68345</v>
      </c>
      <c r="R469" s="7" t="n">
        <v>1719961</v>
      </c>
      <c r="S469" s="8" t="n">
        <v>92018</v>
      </c>
      <c r="T469" s="8" t="n">
        <v>88641</v>
      </c>
      <c r="U469" s="9" t="n">
        <v>1565685</v>
      </c>
      <c r="V469" s="10" t="n">
        <v>154847</v>
      </c>
      <c r="W469" s="10" t="n">
        <v>109477</v>
      </c>
      <c r="X469" s="7" t="n">
        <v>1818814</v>
      </c>
      <c r="Y469" s="8" t="n">
        <v>166412</v>
      </c>
      <c r="Z469" s="8" t="n">
        <v>97758</v>
      </c>
      <c r="AA469" s="9" t="n">
        <v>1822061</v>
      </c>
      <c r="AB469" s="10" t="n">
        <v>196158</v>
      </c>
      <c r="AC469" s="10" t="n">
        <v>116885</v>
      </c>
      <c r="AD469" s="7" t="n">
        <v>1378238</v>
      </c>
      <c r="AE469" s="8" t="n">
        <v>131451</v>
      </c>
      <c r="AF469" s="8" t="n">
        <v>92363</v>
      </c>
      <c r="AG469" s="9" t="n">
        <v>1257391</v>
      </c>
      <c r="AH469" s="10" t="n">
        <v>180346</v>
      </c>
      <c r="AI469" s="10" t="n">
        <v>107167</v>
      </c>
      <c r="AJ469" s="11" t="n">
        <v>1519714</v>
      </c>
      <c r="AK469" s="12" t="n">
        <v>228382</v>
      </c>
      <c r="AL469" s="12" t="n">
        <v>256782</v>
      </c>
      <c r="AM469" s="13" t="n">
        <v>20.9</v>
      </c>
      <c r="AN469" s="13" t="n">
        <v>-16.4</v>
      </c>
      <c r="AO469" s="13" t="n">
        <v>26.6</v>
      </c>
      <c r="AP469" s="13" t="n">
        <v>37.2</v>
      </c>
    </row>
    <row r="470">
      <c r="A470" s="5" t="inlineStr">
        <is>
          <t>모나리자</t>
        </is>
      </c>
      <c r="B470" s="6" t="inlineStr">
        <is>
          <t>012690</t>
        </is>
      </c>
      <c r="C470" s="6" t="inlineStr">
        <is>
          <t>별도</t>
        </is>
      </c>
      <c r="D470" s="6" t="inlineStr">
        <is>
          <t>2026Q2</t>
        </is>
      </c>
      <c r="E470" s="6" t="inlineStr"/>
      <c r="F470" s="7" t="inlineStr"/>
      <c r="G470" s="8" t="inlineStr"/>
      <c r="H470" s="8" t="inlineStr"/>
      <c r="I470" s="9" t="n">
        <v>32499</v>
      </c>
      <c r="J470" s="10" t="n">
        <v>1333</v>
      </c>
      <c r="K470" s="10" t="n">
        <v>1251</v>
      </c>
      <c r="L470" s="7" t="n">
        <v>31933</v>
      </c>
      <c r="M470" s="8" t="n">
        <v>1251</v>
      </c>
      <c r="N470" s="8" t="n">
        <v>892</v>
      </c>
      <c r="O470" s="9" t="n">
        <v>30828</v>
      </c>
      <c r="P470" s="10" t="n">
        <v>39</v>
      </c>
      <c r="Q470" s="10" t="n">
        <v>126</v>
      </c>
      <c r="R470" s="7" t="n">
        <v>31078</v>
      </c>
      <c r="S470" s="8" t="n">
        <v>-1640</v>
      </c>
      <c r="T470" s="8" t="n">
        <v>-1030</v>
      </c>
      <c r="U470" s="9" t="n">
        <v>31659</v>
      </c>
      <c r="V470" s="10" t="n">
        <v>-382</v>
      </c>
      <c r="W470" s="10" t="n">
        <v>-161</v>
      </c>
      <c r="X470" s="7" t="n">
        <v>29822</v>
      </c>
      <c r="Y470" s="8" t="n">
        <v>435</v>
      </c>
      <c r="Z470" s="8" t="n">
        <v>458</v>
      </c>
      <c r="AA470" s="9" t="n">
        <v>30980</v>
      </c>
      <c r="AB470" s="10" t="n">
        <v>12</v>
      </c>
      <c r="AC470" s="10" t="n">
        <v>118</v>
      </c>
      <c r="AD470" s="7" t="n">
        <v>31560</v>
      </c>
      <c r="AE470" s="8" t="n">
        <v>252</v>
      </c>
      <c r="AF470" s="8" t="n">
        <v>1082</v>
      </c>
      <c r="AG470" s="9" t="n">
        <v>32292</v>
      </c>
      <c r="AH470" s="10" t="n">
        <v>326</v>
      </c>
      <c r="AI470" s="10" t="n">
        <v>337</v>
      </c>
      <c r="AJ470" s="11" t="n">
        <v>34526</v>
      </c>
      <c r="AK470" s="12" t="n">
        <v>1117</v>
      </c>
      <c r="AL470" s="12" t="n">
        <v>591</v>
      </c>
      <c r="AM470" s="13" t="n">
        <v>6.9</v>
      </c>
      <c r="AN470" s="13" t="n">
        <v>15.8</v>
      </c>
      <c r="AO470" s="13" t="n">
        <v>242.6</v>
      </c>
      <c r="AP470" s="13" t="n">
        <v>156.8</v>
      </c>
    </row>
    <row r="471">
      <c r="A471" s="5" t="inlineStr">
        <is>
          <t>삼성에피스홀딩스</t>
        </is>
      </c>
      <c r="B471" s="6" t="inlineStr">
        <is>
          <t>0126Z0</t>
        </is>
      </c>
      <c r="C471" s="6" t="inlineStr">
        <is>
          <t>연결</t>
        </is>
      </c>
      <c r="D471" s="6" t="inlineStr">
        <is>
          <t>2026Q2</t>
        </is>
      </c>
      <c r="E471" s="6" t="inlineStr">
        <is>
          <t>2025Q4</t>
        </is>
      </c>
      <c r="F471" s="7" t="inlineStr"/>
      <c r="G471" s="8" t="inlineStr"/>
      <c r="H471" s="8" t="inlineStr"/>
      <c r="I471" s="9" t="inlineStr"/>
      <c r="J471" s="10" t="inlineStr"/>
      <c r="K471" s="10" t="inlineStr"/>
      <c r="L471" s="7" t="inlineStr"/>
      <c r="M471" s="8" t="inlineStr"/>
      <c r="N471" s="8" t="inlineStr"/>
      <c r="O471" s="9" t="inlineStr"/>
      <c r="P471" s="10" t="inlineStr"/>
      <c r="Q471" s="10" t="inlineStr"/>
      <c r="R471" s="7" t="inlineStr"/>
      <c r="S471" s="8" t="inlineStr"/>
      <c r="T471" s="8" t="inlineStr"/>
      <c r="U471" s="9" t="inlineStr"/>
      <c r="V471" s="10" t="inlineStr"/>
      <c r="W471" s="10" t="inlineStr"/>
      <c r="X471" s="7" t="inlineStr"/>
      <c r="Y471" s="8" t="inlineStr"/>
      <c r="Z471" s="8" t="inlineStr"/>
      <c r="AA471" s="9" t="inlineStr"/>
      <c r="AB471" s="10" t="inlineStr"/>
      <c r="AC471" s="10" t="inlineStr"/>
      <c r="AD471" s="14" t="n">
        <v>429371</v>
      </c>
      <c r="AE471" s="15" t="n">
        <v>29180</v>
      </c>
      <c r="AF471" s="15" t="n">
        <v>93998</v>
      </c>
      <c r="AG471" s="9" t="n">
        <v>453894</v>
      </c>
      <c r="AH471" s="10" t="n">
        <v>90548</v>
      </c>
      <c r="AI471" s="10" t="n">
        <v>99462</v>
      </c>
      <c r="AJ471" s="11" t="n">
        <v>391893</v>
      </c>
      <c r="AK471" s="12" t="n">
        <v>58737</v>
      </c>
      <c r="AL471" s="12" t="n">
        <v>85809</v>
      </c>
      <c r="AM471" s="13" t="n">
        <v>-13.7</v>
      </c>
      <c r="AN471" s="13" t="inlineStr"/>
      <c r="AO471" s="13" t="n">
        <v>-35.1</v>
      </c>
      <c r="AP471" s="13" t="inlineStr"/>
    </row>
    <row r="472">
      <c r="A472" s="5" t="inlineStr">
        <is>
          <t>리드코프</t>
        </is>
      </c>
      <c r="B472" s="6" t="inlineStr">
        <is>
          <t>012700</t>
        </is>
      </c>
      <c r="C472" s="6" t="inlineStr">
        <is>
          <t>연결</t>
        </is>
      </c>
      <c r="D472" s="6" t="inlineStr">
        <is>
          <t>2026Q2</t>
        </is>
      </c>
      <c r="E472" s="6" t="inlineStr"/>
      <c r="F472" s="7" t="inlineStr"/>
      <c r="G472" s="8" t="inlineStr"/>
      <c r="H472" s="8" t="inlineStr"/>
      <c r="I472" s="9" t="n">
        <v>117058</v>
      </c>
      <c r="J472" s="10" t="n">
        <v>3846</v>
      </c>
      <c r="K472" s="10" t="n">
        <v>-3479</v>
      </c>
      <c r="L472" s="7" t="n">
        <v>107694</v>
      </c>
      <c r="M472" s="8" t="n">
        <v>5110</v>
      </c>
      <c r="N472" s="8" t="n">
        <v>4190</v>
      </c>
      <c r="O472" s="9" t="n">
        <v>106336</v>
      </c>
      <c r="P472" s="10" t="n">
        <v>6679</v>
      </c>
      <c r="Q472" s="10" t="n">
        <v>3438</v>
      </c>
      <c r="R472" s="7" t="n">
        <v>89392</v>
      </c>
      <c r="S472" s="8" t="n">
        <v>5918</v>
      </c>
      <c r="T472" s="8" t="n">
        <v>5496</v>
      </c>
      <c r="U472" s="9" t="n">
        <v>82872</v>
      </c>
      <c r="V472" s="10" t="n">
        <v>3634</v>
      </c>
      <c r="W472" s="10" t="n">
        <v>-4400</v>
      </c>
      <c r="X472" s="7" t="n">
        <v>90147</v>
      </c>
      <c r="Y472" s="8" t="n">
        <v>2416</v>
      </c>
      <c r="Z472" s="8" t="n">
        <v>13252</v>
      </c>
      <c r="AA472" s="9" t="n">
        <v>104764</v>
      </c>
      <c r="AB472" s="10" t="n">
        <v>340</v>
      </c>
      <c r="AC472" s="10" t="n">
        <v>-21</v>
      </c>
      <c r="AD472" s="7" t="n">
        <v>109927</v>
      </c>
      <c r="AE472" s="8" t="n">
        <v>4556</v>
      </c>
      <c r="AF472" s="8" t="n">
        <v>2913</v>
      </c>
      <c r="AG472" s="9" t="n">
        <v>107103</v>
      </c>
      <c r="AH472" s="10" t="n">
        <v>1836</v>
      </c>
      <c r="AI472" s="10" t="n">
        <v>2020</v>
      </c>
      <c r="AJ472" s="11" t="n">
        <v>113152</v>
      </c>
      <c r="AK472" s="12" t="n">
        <v>2446</v>
      </c>
      <c r="AL472" s="12" t="n">
        <v>4519</v>
      </c>
      <c r="AM472" s="13" t="n">
        <v>5.6</v>
      </c>
      <c r="AN472" s="13" t="n">
        <v>25.5</v>
      </c>
      <c r="AO472" s="13" t="n">
        <v>33.2</v>
      </c>
      <c r="AP472" s="13" t="n">
        <v>1.2</v>
      </c>
    </row>
    <row r="473">
      <c r="A473" s="5" t="inlineStr">
        <is>
          <t>에스원</t>
        </is>
      </c>
      <c r="B473" s="6" t="inlineStr">
        <is>
          <t>012750</t>
        </is>
      </c>
      <c r="C473" s="6" t="inlineStr">
        <is>
          <t>연결</t>
        </is>
      </c>
      <c r="D473" s="6" t="inlineStr">
        <is>
          <t>2026Q2</t>
        </is>
      </c>
      <c r="E473" s="6" t="inlineStr">
        <is>
          <t>2023Q4</t>
        </is>
      </c>
      <c r="F473" s="14" t="n">
        <v>694069</v>
      </c>
      <c r="G473" s="15" t="n">
        <v>42049</v>
      </c>
      <c r="H473" s="15" t="n">
        <v>57903</v>
      </c>
      <c r="I473" s="9" t="n">
        <v>662820</v>
      </c>
      <c r="J473" s="10" t="n">
        <v>48796</v>
      </c>
      <c r="K473" s="10" t="n">
        <v>40657</v>
      </c>
      <c r="L473" s="7" t="n">
        <v>695650</v>
      </c>
      <c r="M473" s="8" t="n">
        <v>52331</v>
      </c>
      <c r="N473" s="8" t="n">
        <v>43334</v>
      </c>
      <c r="O473" s="9" t="n">
        <v>682770</v>
      </c>
      <c r="P473" s="10" t="n">
        <v>60250</v>
      </c>
      <c r="Q473" s="10" t="n">
        <v>54349</v>
      </c>
      <c r="R473" s="7" t="n">
        <v>763499</v>
      </c>
      <c r="S473" s="8" t="n">
        <v>47870</v>
      </c>
      <c r="T473" s="8" t="n">
        <v>38379</v>
      </c>
      <c r="U473" s="9" t="n">
        <v>674118</v>
      </c>
      <c r="V473" s="10" t="n">
        <v>55051</v>
      </c>
      <c r="W473" s="10" t="n">
        <v>42025</v>
      </c>
      <c r="X473" s="7" t="n">
        <v>732658</v>
      </c>
      <c r="Y473" s="8" t="n">
        <v>61557</v>
      </c>
      <c r="Z473" s="8" t="n">
        <v>52090</v>
      </c>
      <c r="AA473" s="9" t="n">
        <v>698740</v>
      </c>
      <c r="AB473" s="10" t="n">
        <v>62125</v>
      </c>
      <c r="AC473" s="10" t="n">
        <v>48295</v>
      </c>
      <c r="AD473" s="7" t="n">
        <v>783896</v>
      </c>
      <c r="AE473" s="8" t="n">
        <v>55833</v>
      </c>
      <c r="AF473" s="8" t="n">
        <v>36153</v>
      </c>
      <c r="AG473" s="9" t="n">
        <v>673715</v>
      </c>
      <c r="AH473" s="10" t="n">
        <v>20745</v>
      </c>
      <c r="AI473" s="10" t="n">
        <v>21535</v>
      </c>
      <c r="AJ473" s="11" t="n">
        <v>723128</v>
      </c>
      <c r="AK473" s="12" t="n">
        <v>64394</v>
      </c>
      <c r="AL473" s="12" t="n">
        <v>46750</v>
      </c>
      <c r="AM473" s="13" t="n">
        <v>7.3</v>
      </c>
      <c r="AN473" s="13" t="n">
        <v>-1.3</v>
      </c>
      <c r="AO473" s="13" t="n">
        <v>210.4</v>
      </c>
      <c r="AP473" s="13" t="n">
        <v>4.6</v>
      </c>
    </row>
    <row r="474">
      <c r="A474" s="5" t="inlineStr">
        <is>
          <t>신일제약</t>
        </is>
      </c>
      <c r="B474" s="6" t="inlineStr">
        <is>
          <t>012790</t>
        </is>
      </c>
      <c r="C474" s="6" t="inlineStr">
        <is>
          <t>별도</t>
        </is>
      </c>
      <c r="D474" s="6" t="inlineStr">
        <is>
          <t>2026Q2</t>
        </is>
      </c>
      <c r="E474" s="6" t="inlineStr"/>
      <c r="F474" s="7" t="inlineStr"/>
      <c r="G474" s="8" t="inlineStr"/>
      <c r="H474" s="8" t="inlineStr"/>
      <c r="I474" s="9" t="n">
        <v>22768</v>
      </c>
      <c r="J474" s="10" t="n">
        <v>3706</v>
      </c>
      <c r="K474" s="10" t="n">
        <v>3663</v>
      </c>
      <c r="L474" s="7" t="n">
        <v>24500</v>
      </c>
      <c r="M474" s="8" t="n">
        <v>4469</v>
      </c>
      <c r="N474" s="8" t="n">
        <v>3954</v>
      </c>
      <c r="O474" s="9" t="n">
        <v>20628</v>
      </c>
      <c r="P474" s="10" t="n">
        <v>3007</v>
      </c>
      <c r="Q474" s="10" t="n">
        <v>2771</v>
      </c>
      <c r="R474" s="7" t="n">
        <v>21544</v>
      </c>
      <c r="S474" s="8" t="n">
        <v>4040</v>
      </c>
      <c r="T474" s="8" t="n">
        <v>3913</v>
      </c>
      <c r="U474" s="9" t="n">
        <v>19249</v>
      </c>
      <c r="V474" s="10" t="n">
        <v>1968</v>
      </c>
      <c r="W474" s="10" t="n">
        <v>2016</v>
      </c>
      <c r="X474" s="7" t="n">
        <v>19558</v>
      </c>
      <c r="Y474" s="8" t="n">
        <v>3172</v>
      </c>
      <c r="Z474" s="8" t="n">
        <v>2775</v>
      </c>
      <c r="AA474" s="9" t="n">
        <v>20621</v>
      </c>
      <c r="AB474" s="10" t="n">
        <v>2670</v>
      </c>
      <c r="AC474" s="10" t="n">
        <v>2607</v>
      </c>
      <c r="AD474" s="7" t="n">
        <v>21136</v>
      </c>
      <c r="AE474" s="8" t="n">
        <v>-424</v>
      </c>
      <c r="AF474" s="8" t="n">
        <v>133</v>
      </c>
      <c r="AG474" s="9" t="n">
        <v>20868</v>
      </c>
      <c r="AH474" s="10" t="n">
        <v>1330</v>
      </c>
      <c r="AI474" s="10" t="n">
        <v>1436</v>
      </c>
      <c r="AJ474" s="11" t="inlineStr"/>
      <c r="AK474" s="12" t="n">
        <v>2260</v>
      </c>
      <c r="AL474" s="12" t="n">
        <v>2242</v>
      </c>
      <c r="AM474" s="13" t="inlineStr"/>
      <c r="AN474" s="13" t="inlineStr"/>
      <c r="AO474" s="13" t="n">
        <v>69.90000000000001</v>
      </c>
      <c r="AP474" s="13" t="n">
        <v>-28.8</v>
      </c>
    </row>
    <row r="475">
      <c r="A475" s="5" t="inlineStr">
        <is>
          <t>대창</t>
        </is>
      </c>
      <c r="B475" s="6" t="inlineStr">
        <is>
          <t>012800</t>
        </is>
      </c>
      <c r="C475" s="6" t="inlineStr">
        <is>
          <t>연결</t>
        </is>
      </c>
      <c r="D475" s="6" t="inlineStr">
        <is>
          <t>2026Q2</t>
        </is>
      </c>
      <c r="E475" s="6" t="inlineStr"/>
      <c r="F475" s="7" t="inlineStr"/>
      <c r="G475" s="8" t="inlineStr"/>
      <c r="H475" s="8" t="inlineStr"/>
      <c r="I475" s="9" t="n">
        <v>348111</v>
      </c>
      <c r="J475" s="10" t="n">
        <v>5344</v>
      </c>
      <c r="K475" s="10" t="n">
        <v>-4081</v>
      </c>
      <c r="L475" s="7" t="n">
        <v>353449</v>
      </c>
      <c r="M475" s="8" t="n">
        <v>22189</v>
      </c>
      <c r="N475" s="8" t="n">
        <v>7900</v>
      </c>
      <c r="O475" s="9" t="n">
        <v>314995</v>
      </c>
      <c r="P475" s="10" t="n">
        <v>-2504</v>
      </c>
      <c r="Q475" s="10" t="n">
        <v>-1317</v>
      </c>
      <c r="R475" s="7" t="n">
        <v>320316</v>
      </c>
      <c r="S475" s="8" t="n">
        <v>6320</v>
      </c>
      <c r="T475" s="8" t="n">
        <v>1095</v>
      </c>
      <c r="U475" s="9" t="n">
        <v>372448</v>
      </c>
      <c r="V475" s="10" t="n">
        <v>14566</v>
      </c>
      <c r="W475" s="10" t="n">
        <v>3880</v>
      </c>
      <c r="X475" s="7" t="n">
        <v>338050</v>
      </c>
      <c r="Y475" s="8" t="n">
        <v>-854</v>
      </c>
      <c r="Z475" s="8" t="n">
        <v>-1673</v>
      </c>
      <c r="AA475" s="9" t="n">
        <v>358855</v>
      </c>
      <c r="AB475" s="10" t="n">
        <v>7667</v>
      </c>
      <c r="AC475" s="10" t="n">
        <v>-1390</v>
      </c>
      <c r="AD475" s="7" t="n">
        <v>400884</v>
      </c>
      <c r="AE475" s="8" t="n">
        <v>30149</v>
      </c>
      <c r="AF475" s="8" t="n">
        <v>2472</v>
      </c>
      <c r="AG475" s="9" t="n">
        <v>429140</v>
      </c>
      <c r="AH475" s="10" t="n">
        <v>23810</v>
      </c>
      <c r="AI475" s="10" t="n">
        <v>14616</v>
      </c>
      <c r="AJ475" s="11" t="n">
        <v>496772</v>
      </c>
      <c r="AK475" s="12" t="n">
        <v>22379</v>
      </c>
      <c r="AL475" s="12" t="n">
        <v>8804</v>
      </c>
      <c r="AM475" s="13" t="n">
        <v>15.8</v>
      </c>
      <c r="AN475" s="13" t="n">
        <v>47</v>
      </c>
      <c r="AO475" s="13" t="n">
        <v>-6</v>
      </c>
      <c r="AP475" s="13" t="n">
        <v>2720.5</v>
      </c>
    </row>
    <row r="476">
      <c r="A476" s="5" t="inlineStr">
        <is>
          <t>모베이스전자</t>
        </is>
      </c>
      <c r="B476" s="6" t="inlineStr">
        <is>
          <t>012860</t>
        </is>
      </c>
      <c r="C476" s="6" t="inlineStr">
        <is>
          <t>연결</t>
        </is>
      </c>
      <c r="D476" s="6" t="inlineStr">
        <is>
          <t>2026Q2</t>
        </is>
      </c>
      <c r="E476" s="6" t="inlineStr"/>
      <c r="F476" s="7" t="inlineStr"/>
      <c r="G476" s="8" t="inlineStr"/>
      <c r="H476" s="8" t="inlineStr"/>
      <c r="I476" s="9" t="n">
        <v>222459</v>
      </c>
      <c r="J476" s="10" t="n">
        <v>7897</v>
      </c>
      <c r="K476" s="10" t="n">
        <v>7597</v>
      </c>
      <c r="L476" s="7" t="n">
        <v>246877</v>
      </c>
      <c r="M476" s="8" t="n">
        <v>13248</v>
      </c>
      <c r="N476" s="8" t="n">
        <v>6204</v>
      </c>
      <c r="O476" s="9" t="n">
        <v>224252</v>
      </c>
      <c r="P476" s="10" t="n">
        <v>6712</v>
      </c>
      <c r="Q476" s="10" t="n">
        <v>-2074</v>
      </c>
      <c r="R476" s="7" t="n">
        <v>277961</v>
      </c>
      <c r="S476" s="8" t="n">
        <v>6532</v>
      </c>
      <c r="T476" s="8" t="n">
        <v>5166</v>
      </c>
      <c r="U476" s="9" t="n">
        <v>264377</v>
      </c>
      <c r="V476" s="10" t="n">
        <v>8084</v>
      </c>
      <c r="W476" s="10" t="n">
        <v>5476</v>
      </c>
      <c r="X476" s="7" t="n">
        <v>263114</v>
      </c>
      <c r="Y476" s="8" t="n">
        <v>9376</v>
      </c>
      <c r="Z476" s="8" t="n">
        <v>-1264</v>
      </c>
      <c r="AA476" s="9" t="n">
        <v>236690</v>
      </c>
      <c r="AB476" s="10" t="n">
        <v>9531</v>
      </c>
      <c r="AC476" s="10" t="n">
        <v>8420</v>
      </c>
      <c r="AD476" s="7" t="n">
        <v>279908</v>
      </c>
      <c r="AE476" s="8" t="n">
        <v>9798</v>
      </c>
      <c r="AF476" s="8" t="n">
        <v>8162</v>
      </c>
      <c r="AG476" s="9" t="n">
        <v>265325</v>
      </c>
      <c r="AH476" s="10" t="n">
        <v>7424</v>
      </c>
      <c r="AI476" s="10" t="n">
        <v>6010</v>
      </c>
      <c r="AJ476" s="11" t="n">
        <v>262793</v>
      </c>
      <c r="AK476" s="12" t="n">
        <v>2843</v>
      </c>
      <c r="AL476" s="12" t="n">
        <v>2057</v>
      </c>
      <c r="AM476" s="13" t="n">
        <v>-1</v>
      </c>
      <c r="AN476" s="13" t="n">
        <v>-0.1</v>
      </c>
      <c r="AO476" s="13" t="n">
        <v>-61.7</v>
      </c>
      <c r="AP476" s="13" t="n">
        <v>-69.7</v>
      </c>
    </row>
    <row r="477">
      <c r="A477" s="5" t="inlineStr">
        <is>
          <t>신한제18호스팩</t>
        </is>
      </c>
      <c r="B477" s="6" t="inlineStr">
        <is>
          <t>0129K0</t>
        </is>
      </c>
      <c r="C477" s="6" t="inlineStr">
        <is>
          <t>별도</t>
        </is>
      </c>
      <c r="D477" s="6" t="inlineStr">
        <is>
          <t>2026Q2</t>
        </is>
      </c>
      <c r="E477" s="6" t="inlineStr"/>
      <c r="F477" s="7" t="inlineStr"/>
      <c r="G477" s="8" t="inlineStr"/>
      <c r="H477" s="8" t="inlineStr"/>
      <c r="I477" s="9" t="inlineStr"/>
      <c r="J477" s="10" t="inlineStr"/>
      <c r="K477" s="10" t="inlineStr"/>
      <c r="L477" s="7" t="inlineStr"/>
      <c r="M477" s="8" t="inlineStr"/>
      <c r="N477" s="8" t="inlineStr"/>
      <c r="O477" s="9" t="inlineStr"/>
      <c r="P477" s="10" t="inlineStr"/>
      <c r="Q477" s="10" t="inlineStr"/>
      <c r="R477" s="7" t="inlineStr"/>
      <c r="S477" s="8" t="inlineStr"/>
      <c r="T477" s="8" t="inlineStr"/>
      <c r="U477" s="9" t="inlineStr"/>
      <c r="V477" s="10" t="inlineStr"/>
      <c r="W477" s="10" t="inlineStr"/>
      <c r="X477" s="7" t="inlineStr"/>
      <c r="Y477" s="8" t="inlineStr"/>
      <c r="Z477" s="8" t="inlineStr"/>
      <c r="AA477" s="9" t="inlineStr"/>
      <c r="AB477" s="10" t="inlineStr"/>
      <c r="AC477" s="10" t="inlineStr"/>
      <c r="AD477" s="7" t="inlineStr"/>
      <c r="AE477" s="8" t="inlineStr"/>
      <c r="AF477" s="8" t="inlineStr"/>
      <c r="AG477" s="9" t="n">
        <v>0</v>
      </c>
      <c r="AH477" s="10" t="n">
        <v>-17</v>
      </c>
      <c r="AI477" s="10" t="n">
        <v>-11</v>
      </c>
      <c r="AJ477" s="11" t="n">
        <v>0</v>
      </c>
      <c r="AK477" s="12" t="n">
        <v>-10</v>
      </c>
      <c r="AL477" s="12" t="n">
        <v>36</v>
      </c>
      <c r="AM477" s="13" t="inlineStr"/>
      <c r="AN477" s="13" t="inlineStr"/>
      <c r="AO477" s="13" t="n">
        <v>41.2</v>
      </c>
      <c r="AP477" s="13" t="inlineStr"/>
    </row>
    <row r="478">
      <c r="A478" s="5" t="inlineStr">
        <is>
          <t>세우글로벌</t>
        </is>
      </c>
      <c r="B478" s="6" t="inlineStr">
        <is>
          <t>013000</t>
        </is>
      </c>
      <c r="C478" s="6" t="inlineStr">
        <is>
          <t>별도</t>
        </is>
      </c>
      <c r="D478" s="6" t="inlineStr">
        <is>
          <t>2026Q2</t>
        </is>
      </c>
      <c r="E478" s="6" t="inlineStr"/>
      <c r="F478" s="7" t="inlineStr"/>
      <c r="G478" s="8" t="inlineStr"/>
      <c r="H478" s="8" t="inlineStr"/>
      <c r="I478" s="9" t="n">
        <v>8813</v>
      </c>
      <c r="J478" s="10" t="n">
        <v>578</v>
      </c>
      <c r="K478" s="10" t="n">
        <v>919</v>
      </c>
      <c r="L478" s="7" t="n">
        <v>8987</v>
      </c>
      <c r="M478" s="8" t="n">
        <v>615</v>
      </c>
      <c r="N478" s="8" t="n">
        <v>816</v>
      </c>
      <c r="O478" s="9" t="n">
        <v>9108</v>
      </c>
      <c r="P478" s="10" t="n">
        <v>656</v>
      </c>
      <c r="Q478" s="10" t="n">
        <v>878</v>
      </c>
      <c r="R478" s="7" t="n">
        <v>8967</v>
      </c>
      <c r="S478" s="8" t="n">
        <v>604</v>
      </c>
      <c r="T478" s="8" t="n">
        <v>846</v>
      </c>
      <c r="U478" s="9" t="n">
        <v>8233</v>
      </c>
      <c r="V478" s="10" t="n">
        <v>523</v>
      </c>
      <c r="W478" s="10" t="n">
        <v>673</v>
      </c>
      <c r="X478" s="7" t="n">
        <v>8089</v>
      </c>
      <c r="Y478" s="8" t="n">
        <v>748</v>
      </c>
      <c r="Z478" s="8" t="n">
        <v>441</v>
      </c>
      <c r="AA478" s="9" t="n">
        <v>8169</v>
      </c>
      <c r="AB478" s="10" t="n">
        <v>654</v>
      </c>
      <c r="AC478" s="10" t="n">
        <v>1100</v>
      </c>
      <c r="AD478" s="7" t="n">
        <v>8189</v>
      </c>
      <c r="AE478" s="8" t="n">
        <v>508</v>
      </c>
      <c r="AF478" s="8" t="n">
        <v>1512</v>
      </c>
      <c r="AG478" s="9" t="n">
        <v>8666</v>
      </c>
      <c r="AH478" s="10" t="n">
        <v>717</v>
      </c>
      <c r="AI478" s="10" t="n">
        <v>1110</v>
      </c>
      <c r="AJ478" s="11" t="n">
        <v>10837</v>
      </c>
      <c r="AK478" s="12" t="n">
        <v>923</v>
      </c>
      <c r="AL478" s="12" t="n">
        <v>1735</v>
      </c>
      <c r="AM478" s="13" t="n">
        <v>25.1</v>
      </c>
      <c r="AN478" s="13" t="n">
        <v>34</v>
      </c>
      <c r="AO478" s="13" t="n">
        <v>28.7</v>
      </c>
      <c r="AP478" s="13" t="n">
        <v>23.4</v>
      </c>
    </row>
    <row r="479">
      <c r="A479" s="5" t="inlineStr">
        <is>
          <t>하이록코리아</t>
        </is>
      </c>
      <c r="B479" s="6" t="inlineStr">
        <is>
          <t>013030</t>
        </is>
      </c>
      <c r="C479" s="6" t="inlineStr">
        <is>
          <t>연결</t>
        </is>
      </c>
      <c r="D479" s="6" t="inlineStr">
        <is>
          <t>2026Q2</t>
        </is>
      </c>
      <c r="E479" s="6" t="inlineStr"/>
      <c r="F479" s="7" t="inlineStr"/>
      <c r="G479" s="8" t="inlineStr"/>
      <c r="H479" s="8" t="inlineStr"/>
      <c r="I479" s="9" t="n">
        <v>49774</v>
      </c>
      <c r="J479" s="10" t="n">
        <v>15392</v>
      </c>
      <c r="K479" s="10" t="n">
        <v>15249</v>
      </c>
      <c r="L479" s="7" t="n">
        <v>46087</v>
      </c>
      <c r="M479" s="8" t="n">
        <v>14699</v>
      </c>
      <c r="N479" s="8" t="n">
        <v>13059</v>
      </c>
      <c r="O479" s="9" t="n">
        <v>45285</v>
      </c>
      <c r="P479" s="10" t="n">
        <v>13656</v>
      </c>
      <c r="Q479" s="10" t="n">
        <v>9150</v>
      </c>
      <c r="R479" s="7" t="n">
        <v>49366</v>
      </c>
      <c r="S479" s="8" t="n">
        <v>6384</v>
      </c>
      <c r="T479" s="8" t="n">
        <v>10566</v>
      </c>
      <c r="U479" s="9" t="n">
        <v>49035</v>
      </c>
      <c r="V479" s="10" t="n">
        <v>12703</v>
      </c>
      <c r="W479" s="10" t="n">
        <v>11544</v>
      </c>
      <c r="X479" s="7" t="n">
        <v>54333</v>
      </c>
      <c r="Y479" s="8" t="n">
        <v>16429</v>
      </c>
      <c r="Z479" s="8" t="n">
        <v>11153</v>
      </c>
      <c r="AA479" s="9" t="n">
        <v>53845</v>
      </c>
      <c r="AB479" s="10" t="n">
        <v>14198</v>
      </c>
      <c r="AC479" s="10" t="n">
        <v>13716</v>
      </c>
      <c r="AD479" s="7" t="n">
        <v>57353</v>
      </c>
      <c r="AE479" s="8" t="n">
        <v>15581</v>
      </c>
      <c r="AF479" s="8" t="n">
        <v>14359</v>
      </c>
      <c r="AG479" s="9" t="n">
        <v>54146</v>
      </c>
      <c r="AH479" s="10" t="n">
        <v>15686</v>
      </c>
      <c r="AI479" s="10" t="n">
        <v>15263</v>
      </c>
      <c r="AJ479" s="11" t="n">
        <v>59251</v>
      </c>
      <c r="AK479" s="12" t="n">
        <v>16991</v>
      </c>
      <c r="AL479" s="12" t="n">
        <v>14849</v>
      </c>
      <c r="AM479" s="13" t="n">
        <v>9.4</v>
      </c>
      <c r="AN479" s="13" t="n">
        <v>9.1</v>
      </c>
      <c r="AO479" s="13" t="n">
        <v>8.300000000000001</v>
      </c>
      <c r="AP479" s="13" t="n">
        <v>3.4</v>
      </c>
    </row>
    <row r="480">
      <c r="A480" s="5" t="inlineStr">
        <is>
          <t>신한제17호스팩</t>
        </is>
      </c>
      <c r="B480" s="6" t="inlineStr">
        <is>
          <t>0130D0</t>
        </is>
      </c>
      <c r="C480" s="6" t="inlineStr">
        <is>
          <t>별도</t>
        </is>
      </c>
      <c r="D480" s="6" t="inlineStr">
        <is>
          <t>2026Q2</t>
        </is>
      </c>
      <c r="E480" s="6" t="inlineStr"/>
      <c r="F480" s="7" t="inlineStr"/>
      <c r="G480" s="8" t="inlineStr"/>
      <c r="H480" s="8" t="inlineStr"/>
      <c r="I480" s="9" t="inlineStr"/>
      <c r="J480" s="10" t="inlineStr"/>
      <c r="K480" s="10" t="inlineStr"/>
      <c r="L480" s="7" t="inlineStr"/>
      <c r="M480" s="8" t="inlineStr"/>
      <c r="N480" s="8" t="inlineStr"/>
      <c r="O480" s="9" t="inlineStr"/>
      <c r="P480" s="10" t="inlineStr"/>
      <c r="Q480" s="10" t="inlineStr"/>
      <c r="R480" s="7" t="inlineStr"/>
      <c r="S480" s="8" t="inlineStr"/>
      <c r="T480" s="8" t="inlineStr"/>
      <c r="U480" s="9" t="inlineStr"/>
      <c r="V480" s="10" t="inlineStr"/>
      <c r="W480" s="10" t="inlineStr"/>
      <c r="X480" s="7" t="inlineStr"/>
      <c r="Y480" s="8" t="inlineStr"/>
      <c r="Z480" s="8" t="inlineStr"/>
      <c r="AA480" s="9" t="inlineStr"/>
      <c r="AB480" s="10" t="inlineStr"/>
      <c r="AC480" s="10" t="inlineStr"/>
      <c r="AD480" s="7" t="inlineStr"/>
      <c r="AE480" s="8" t="inlineStr"/>
      <c r="AF480" s="8" t="inlineStr"/>
      <c r="AG480" s="9" t="inlineStr"/>
      <c r="AH480" s="10" t="n">
        <v>-16</v>
      </c>
      <c r="AI480" s="10" t="n">
        <v>-18</v>
      </c>
      <c r="AJ480" s="11" t="inlineStr"/>
      <c r="AK480" s="12" t="n">
        <v>-12</v>
      </c>
      <c r="AL480" s="12" t="n">
        <v>45</v>
      </c>
      <c r="AM480" s="13" t="inlineStr"/>
      <c r="AN480" s="13" t="inlineStr"/>
      <c r="AO480" s="13" t="n">
        <v>25</v>
      </c>
      <c r="AP480" s="13" t="inlineStr"/>
    </row>
    <row r="481">
      <c r="A481" s="5" t="inlineStr">
        <is>
          <t>엔에이치스팩33호</t>
        </is>
      </c>
      <c r="B481" s="6" t="inlineStr">
        <is>
          <t>0130H0</t>
        </is>
      </c>
      <c r="C481" s="6" t="inlineStr">
        <is>
          <t>별도</t>
        </is>
      </c>
      <c r="D481" s="6" t="inlineStr">
        <is>
          <t>2026Q2</t>
        </is>
      </c>
      <c r="E481" s="6" t="inlineStr"/>
      <c r="F481" s="7" t="inlineStr"/>
      <c r="G481" s="8" t="inlineStr"/>
      <c r="H481" s="8" t="inlineStr"/>
      <c r="I481" s="9" t="inlineStr"/>
      <c r="J481" s="10" t="inlineStr"/>
      <c r="K481" s="10" t="inlineStr"/>
      <c r="L481" s="7" t="inlineStr"/>
      <c r="M481" s="8" t="inlineStr"/>
      <c r="N481" s="8" t="inlineStr"/>
      <c r="O481" s="9" t="inlineStr"/>
      <c r="P481" s="10" t="inlineStr"/>
      <c r="Q481" s="10" t="inlineStr"/>
      <c r="R481" s="7" t="inlineStr"/>
      <c r="S481" s="8" t="inlineStr"/>
      <c r="T481" s="8" t="inlineStr"/>
      <c r="U481" s="9" t="inlineStr"/>
      <c r="V481" s="10" t="inlineStr"/>
      <c r="W481" s="10" t="inlineStr"/>
      <c r="X481" s="7" t="inlineStr"/>
      <c r="Y481" s="8" t="inlineStr"/>
      <c r="Z481" s="8" t="inlineStr"/>
      <c r="AA481" s="9" t="inlineStr"/>
      <c r="AB481" s="10" t="inlineStr"/>
      <c r="AC481" s="10" t="inlineStr"/>
      <c r="AD481" s="7" t="inlineStr"/>
      <c r="AE481" s="8" t="inlineStr"/>
      <c r="AF481" s="8" t="inlineStr"/>
      <c r="AG481" s="9" t="n">
        <v>0</v>
      </c>
      <c r="AH481" s="10" t="n">
        <v>-24</v>
      </c>
      <c r="AI481" s="10" t="n">
        <v>-14</v>
      </c>
      <c r="AJ481" s="11" t="n">
        <v>0</v>
      </c>
      <c r="AK481" s="12" t="n">
        <v>-13</v>
      </c>
      <c r="AL481" s="12" t="n">
        <v>57</v>
      </c>
      <c r="AM481" s="13" t="inlineStr"/>
      <c r="AN481" s="13" t="inlineStr"/>
      <c r="AO481" s="13" t="n">
        <v>45.8</v>
      </c>
      <c r="AP481" s="13" t="inlineStr"/>
    </row>
    <row r="482">
      <c r="A482" s="5" t="inlineStr">
        <is>
          <t>동원개발</t>
        </is>
      </c>
      <c r="B482" s="6" t="inlineStr">
        <is>
          <t>013120</t>
        </is>
      </c>
      <c r="C482" s="6" t="inlineStr">
        <is>
          <t>연결</t>
        </is>
      </c>
      <c r="D482" s="6" t="inlineStr">
        <is>
          <t>2026Q2</t>
        </is>
      </c>
      <c r="E482" s="6" t="inlineStr"/>
      <c r="F482" s="7" t="inlineStr"/>
      <c r="G482" s="8" t="inlineStr"/>
      <c r="H482" s="8" t="inlineStr"/>
      <c r="I482" s="9" t="n">
        <v>172734</v>
      </c>
      <c r="J482" s="10" t="n">
        <v>24698</v>
      </c>
      <c r="K482" s="10" t="n">
        <v>21534</v>
      </c>
      <c r="L482" s="7" t="n">
        <v>160625</v>
      </c>
      <c r="M482" s="8" t="n">
        <v>9612</v>
      </c>
      <c r="N482" s="8" t="n">
        <v>8803</v>
      </c>
      <c r="O482" s="9" t="n">
        <v>98483</v>
      </c>
      <c r="P482" s="10" t="n">
        <v>-6431</v>
      </c>
      <c r="Q482" s="10" t="n">
        <v>58</v>
      </c>
      <c r="R482" s="7" t="n">
        <v>88532</v>
      </c>
      <c r="S482" s="8" t="n">
        <v>-6868</v>
      </c>
      <c r="T482" s="8" t="n">
        <v>-12091</v>
      </c>
      <c r="U482" s="9" t="n">
        <v>90869</v>
      </c>
      <c r="V482" s="10" t="n">
        <v>4509</v>
      </c>
      <c r="W482" s="10" t="n">
        <v>5776</v>
      </c>
      <c r="X482" s="7" t="n">
        <v>105425</v>
      </c>
      <c r="Y482" s="8" t="n">
        <v>4271</v>
      </c>
      <c r="Z482" s="8" t="n">
        <v>6484</v>
      </c>
      <c r="AA482" s="9" t="n">
        <v>97162</v>
      </c>
      <c r="AB482" s="10" t="n">
        <v>4543</v>
      </c>
      <c r="AC482" s="10" t="n">
        <v>8269</v>
      </c>
      <c r="AD482" s="7" t="n">
        <v>93889</v>
      </c>
      <c r="AE482" s="8" t="n">
        <v>3773</v>
      </c>
      <c r="AF482" s="8" t="n">
        <v>5614</v>
      </c>
      <c r="AG482" s="9" t="n">
        <v>74509</v>
      </c>
      <c r="AH482" s="10" t="n">
        <v>5439</v>
      </c>
      <c r="AI482" s="10" t="n">
        <v>6068</v>
      </c>
      <c r="AJ482" s="11" t="n">
        <v>69813</v>
      </c>
      <c r="AK482" s="12" t="n">
        <v>1951</v>
      </c>
      <c r="AL482" s="12" t="n">
        <v>5886</v>
      </c>
      <c r="AM482" s="13" t="n">
        <v>-6.3</v>
      </c>
      <c r="AN482" s="13" t="n">
        <v>-33.8</v>
      </c>
      <c r="AO482" s="13" t="n">
        <v>-64.09999999999999</v>
      </c>
      <c r="AP482" s="13" t="n">
        <v>-54.3</v>
      </c>
    </row>
    <row r="483">
      <c r="A483" s="5" t="inlineStr">
        <is>
          <t>키움히어로제2호스팩</t>
        </is>
      </c>
      <c r="B483" s="6" t="inlineStr">
        <is>
          <t>0131D0</t>
        </is>
      </c>
      <c r="C483" s="6" t="inlineStr">
        <is>
          <t>별도</t>
        </is>
      </c>
      <c r="D483" s="6" t="inlineStr">
        <is>
          <t>2026Q2</t>
        </is>
      </c>
      <c r="E483" s="6" t="inlineStr"/>
      <c r="F483" s="7" t="inlineStr"/>
      <c r="G483" s="8" t="inlineStr"/>
      <c r="H483" s="8" t="inlineStr"/>
      <c r="I483" s="9" t="inlineStr"/>
      <c r="J483" s="10" t="inlineStr"/>
      <c r="K483" s="10" t="inlineStr"/>
      <c r="L483" s="7" t="inlineStr"/>
      <c r="M483" s="8" t="inlineStr"/>
      <c r="N483" s="8" t="inlineStr"/>
      <c r="O483" s="9" t="inlineStr"/>
      <c r="P483" s="10" t="inlineStr"/>
      <c r="Q483" s="10" t="inlineStr"/>
      <c r="R483" s="7" t="inlineStr"/>
      <c r="S483" s="8" t="inlineStr"/>
      <c r="T483" s="8" t="inlineStr"/>
      <c r="U483" s="9" t="inlineStr"/>
      <c r="V483" s="10" t="inlineStr"/>
      <c r="W483" s="10" t="inlineStr"/>
      <c r="X483" s="7" t="inlineStr"/>
      <c r="Y483" s="8" t="inlineStr"/>
      <c r="Z483" s="8" t="inlineStr"/>
      <c r="AA483" s="9" t="inlineStr"/>
      <c r="AB483" s="10" t="inlineStr"/>
      <c r="AC483" s="10" t="inlineStr"/>
      <c r="AD483" s="7" t="inlineStr"/>
      <c r="AE483" s="8" t="inlineStr"/>
      <c r="AF483" s="8" t="inlineStr"/>
      <c r="AG483" s="9" t="n">
        <v>0</v>
      </c>
      <c r="AH483" s="10" t="n">
        <v>-13</v>
      </c>
      <c r="AI483" s="10" t="n">
        <v>-23</v>
      </c>
      <c r="AJ483" s="11" t="n">
        <v>0</v>
      </c>
      <c r="AK483" s="12" t="n">
        <v>-9</v>
      </c>
      <c r="AL483" s="12" t="n">
        <v>42</v>
      </c>
      <c r="AM483" s="13" t="inlineStr"/>
      <c r="AN483" s="13" t="inlineStr"/>
      <c r="AO483" s="13" t="n">
        <v>30.8</v>
      </c>
      <c r="AP483" s="13" t="inlineStr"/>
    </row>
    <row r="484">
      <c r="A484" s="5" t="inlineStr">
        <is>
          <t>교보20호스팩</t>
        </is>
      </c>
      <c r="B484" s="6" t="inlineStr">
        <is>
          <t>0132G0</t>
        </is>
      </c>
      <c r="C484" s="6" t="inlineStr">
        <is>
          <t>별도</t>
        </is>
      </c>
      <c r="D484" s="6" t="inlineStr">
        <is>
          <t>2026Q2</t>
        </is>
      </c>
      <c r="E484" s="6" t="inlineStr"/>
      <c r="F484" s="7" t="inlineStr"/>
      <c r="G484" s="8" t="inlineStr"/>
      <c r="H484" s="8" t="inlineStr"/>
      <c r="I484" s="9" t="inlineStr"/>
      <c r="J484" s="10" t="inlineStr"/>
      <c r="K484" s="10" t="inlineStr"/>
      <c r="L484" s="7" t="inlineStr"/>
      <c r="M484" s="8" t="inlineStr"/>
      <c r="N484" s="8" t="inlineStr"/>
      <c r="O484" s="9" t="inlineStr"/>
      <c r="P484" s="10" t="inlineStr"/>
      <c r="Q484" s="10" t="inlineStr"/>
      <c r="R484" s="7" t="inlineStr"/>
      <c r="S484" s="8" t="inlineStr"/>
      <c r="T484" s="8" t="inlineStr"/>
      <c r="U484" s="9" t="inlineStr"/>
      <c r="V484" s="10" t="inlineStr"/>
      <c r="W484" s="10" t="inlineStr"/>
      <c r="X484" s="7" t="inlineStr"/>
      <c r="Y484" s="8" t="inlineStr"/>
      <c r="Z484" s="8" t="inlineStr"/>
      <c r="AA484" s="9" t="inlineStr"/>
      <c r="AB484" s="10" t="inlineStr"/>
      <c r="AC484" s="10" t="inlineStr"/>
      <c r="AD484" s="7" t="inlineStr"/>
      <c r="AE484" s="8" t="inlineStr"/>
      <c r="AF484" s="8" t="inlineStr"/>
      <c r="AG484" s="9" t="n">
        <v>0</v>
      </c>
      <c r="AH484" s="10" t="n">
        <v>-19</v>
      </c>
      <c r="AI484" s="10" t="n">
        <v>-28</v>
      </c>
      <c r="AJ484" s="11" t="n">
        <v>0</v>
      </c>
      <c r="AK484" s="12" t="n">
        <v>-26</v>
      </c>
      <c r="AL484" s="12" t="n">
        <v>24</v>
      </c>
      <c r="AM484" s="13" t="inlineStr"/>
      <c r="AN484" s="13" t="inlineStr"/>
      <c r="AO484" s="13" t="n">
        <v>-36.8</v>
      </c>
      <c r="AP484" s="13" t="inlineStr"/>
    </row>
    <row r="485">
      <c r="A485" s="5" t="inlineStr">
        <is>
          <t>아진산업</t>
        </is>
      </c>
      <c r="B485" s="6" t="inlineStr">
        <is>
          <t>013310</t>
        </is>
      </c>
      <c r="C485" s="6" t="inlineStr">
        <is>
          <t>연결</t>
        </is>
      </c>
      <c r="D485" s="6" t="inlineStr">
        <is>
          <t>2026Q2</t>
        </is>
      </c>
      <c r="E485" s="6" t="inlineStr"/>
      <c r="F485" s="7" t="inlineStr"/>
      <c r="G485" s="8" t="inlineStr"/>
      <c r="H485" s="8" t="inlineStr"/>
      <c r="I485" s="9" t="n">
        <v>173076</v>
      </c>
      <c r="J485" s="10" t="n">
        <v>8364</v>
      </c>
      <c r="K485" s="10" t="n">
        <v>7669</v>
      </c>
      <c r="L485" s="7" t="n">
        <v>198692</v>
      </c>
      <c r="M485" s="8" t="n">
        <v>9966</v>
      </c>
      <c r="N485" s="8" t="n">
        <v>998</v>
      </c>
      <c r="O485" s="9" t="n">
        <v>186590</v>
      </c>
      <c r="P485" s="10" t="n">
        <v>11836</v>
      </c>
      <c r="Q485" s="10" t="n">
        <v>3220</v>
      </c>
      <c r="R485" s="7" t="n">
        <v>218476</v>
      </c>
      <c r="S485" s="8" t="n">
        <v>2106</v>
      </c>
      <c r="T485" s="8" t="n">
        <v>6722</v>
      </c>
      <c r="U485" s="9" t="n">
        <v>242907</v>
      </c>
      <c r="V485" s="10" t="n">
        <v>7068</v>
      </c>
      <c r="W485" s="10" t="n">
        <v>-323</v>
      </c>
      <c r="X485" s="7" t="n">
        <v>255572</v>
      </c>
      <c r="Y485" s="8" t="n">
        <v>47490</v>
      </c>
      <c r="Z485" s="8" t="n">
        <v>22873</v>
      </c>
      <c r="AA485" s="9" t="n">
        <v>238452</v>
      </c>
      <c r="AB485" s="10" t="n">
        <v>-6922</v>
      </c>
      <c r="AC485" s="10" t="n">
        <v>-12886</v>
      </c>
      <c r="AD485" s="7" t="n">
        <v>271937</v>
      </c>
      <c r="AE485" s="8" t="n">
        <v>16722</v>
      </c>
      <c r="AF485" s="8" t="n">
        <v>13524</v>
      </c>
      <c r="AG485" s="9" t="n">
        <v>213271</v>
      </c>
      <c r="AH485" s="10" t="n">
        <v>17612</v>
      </c>
      <c r="AI485" s="10" t="n">
        <v>14614</v>
      </c>
      <c r="AJ485" s="11" t="n">
        <v>222118</v>
      </c>
      <c r="AK485" s="12" t="n">
        <v>5900</v>
      </c>
      <c r="AL485" s="12" t="n">
        <v>-2584</v>
      </c>
      <c r="AM485" s="13" t="n">
        <v>4.1</v>
      </c>
      <c r="AN485" s="13" t="n">
        <v>-13.1</v>
      </c>
      <c r="AO485" s="13" t="n">
        <v>-66.5</v>
      </c>
      <c r="AP485" s="13" t="n">
        <v>-87.59999999999999</v>
      </c>
    </row>
    <row r="486">
      <c r="A486" s="5" t="inlineStr">
        <is>
          <t>일성건설</t>
        </is>
      </c>
      <c r="B486" s="6" t="inlineStr">
        <is>
          <t>013360</t>
        </is>
      </c>
      <c r="C486" s="6" t="inlineStr">
        <is>
          <t>연결</t>
        </is>
      </c>
      <c r="D486" s="6" t="inlineStr">
        <is>
          <t>2026Q2</t>
        </is>
      </c>
      <c r="E486" s="6" t="inlineStr">
        <is>
          <t>2023Q4</t>
        </is>
      </c>
      <c r="F486" s="14" t="n">
        <v>607715</v>
      </c>
      <c r="G486" s="15" t="n">
        <v>7266</v>
      </c>
      <c r="H486" s="15" t="n">
        <v>4081</v>
      </c>
      <c r="I486" s="9" t="n">
        <v>147537</v>
      </c>
      <c r="J486" s="10" t="n">
        <v>2158</v>
      </c>
      <c r="K486" s="10" t="n">
        <v>2000</v>
      </c>
      <c r="L486" s="7" t="n">
        <v>130844</v>
      </c>
      <c r="M486" s="8" t="n">
        <v>2416</v>
      </c>
      <c r="N486" s="8" t="n">
        <v>634</v>
      </c>
      <c r="O486" s="9" t="n">
        <v>105736</v>
      </c>
      <c r="P486" s="10" t="n">
        <v>-830</v>
      </c>
      <c r="Q486" s="10" t="n">
        <v>-1487</v>
      </c>
      <c r="R486" s="7" t="n">
        <v>116267</v>
      </c>
      <c r="S486" s="8" t="n">
        <v>-47334</v>
      </c>
      <c r="T486" s="8" t="n">
        <v>-58684</v>
      </c>
      <c r="U486" s="9" t="n">
        <v>114090</v>
      </c>
      <c r="V486" s="10" t="n">
        <v>3003</v>
      </c>
      <c r="W486" s="10" t="n">
        <v>728</v>
      </c>
      <c r="X486" s="7" t="n">
        <v>115143</v>
      </c>
      <c r="Y486" s="8" t="n">
        <v>3773</v>
      </c>
      <c r="Z486" s="8" t="n">
        <v>406</v>
      </c>
      <c r="AA486" s="9" t="n">
        <v>110900</v>
      </c>
      <c r="AB486" s="10" t="n">
        <v>1753</v>
      </c>
      <c r="AC486" s="10" t="n">
        <v>-336</v>
      </c>
      <c r="AD486" s="7" t="n">
        <v>112540</v>
      </c>
      <c r="AE486" s="8" t="n">
        <v>1847</v>
      </c>
      <c r="AF486" s="8" t="n">
        <v>2950</v>
      </c>
      <c r="AG486" s="9" t="n">
        <v>84646</v>
      </c>
      <c r="AH486" s="10" t="n">
        <v>1638</v>
      </c>
      <c r="AI486" s="10" t="n">
        <v>372</v>
      </c>
      <c r="AJ486" s="11" t="n">
        <v>107353</v>
      </c>
      <c r="AK486" s="12" t="n">
        <v>3718</v>
      </c>
      <c r="AL486" s="12" t="n">
        <v>625</v>
      </c>
      <c r="AM486" s="13" t="n">
        <v>26.8</v>
      </c>
      <c r="AN486" s="13" t="n">
        <v>-6.8</v>
      </c>
      <c r="AO486" s="13" t="n">
        <v>127</v>
      </c>
      <c r="AP486" s="13" t="n">
        <v>-1.5</v>
      </c>
    </row>
    <row r="487">
      <c r="A487" s="5" t="inlineStr">
        <is>
          <t>대신밸런스제20호스팩</t>
        </is>
      </c>
      <c r="B487" s="6" t="inlineStr">
        <is>
          <t>0134X0</t>
        </is>
      </c>
      <c r="C487" s="6" t="inlineStr">
        <is>
          <t>별도</t>
        </is>
      </c>
      <c r="D487" s="6" t="inlineStr">
        <is>
          <t>2026Q2</t>
        </is>
      </c>
      <c r="E487" s="6" t="inlineStr"/>
      <c r="F487" s="7" t="inlineStr"/>
      <c r="G487" s="8" t="inlineStr"/>
      <c r="H487" s="8" t="inlineStr"/>
      <c r="I487" s="9" t="inlineStr"/>
      <c r="J487" s="10" t="inlineStr"/>
      <c r="K487" s="10" t="inlineStr"/>
      <c r="L487" s="7" t="inlineStr"/>
      <c r="M487" s="8" t="inlineStr"/>
      <c r="N487" s="8" t="inlineStr"/>
      <c r="O487" s="9" t="inlineStr"/>
      <c r="P487" s="10" t="inlineStr"/>
      <c r="Q487" s="10" t="inlineStr"/>
      <c r="R487" s="7" t="inlineStr"/>
      <c r="S487" s="8" t="inlineStr"/>
      <c r="T487" s="8" t="inlineStr"/>
      <c r="U487" s="9" t="inlineStr"/>
      <c r="V487" s="10" t="inlineStr"/>
      <c r="W487" s="10" t="inlineStr"/>
      <c r="X487" s="7" t="inlineStr"/>
      <c r="Y487" s="8" t="inlineStr"/>
      <c r="Z487" s="8" t="inlineStr"/>
      <c r="AA487" s="9" t="inlineStr"/>
      <c r="AB487" s="10" t="inlineStr"/>
      <c r="AC487" s="10" t="inlineStr"/>
      <c r="AD487" s="7" t="inlineStr"/>
      <c r="AE487" s="8" t="inlineStr"/>
      <c r="AF487" s="8" t="inlineStr"/>
      <c r="AG487" s="9" t="inlineStr"/>
      <c r="AH487" s="10" t="inlineStr"/>
      <c r="AI487" s="10" t="inlineStr"/>
      <c r="AJ487" s="11" t="inlineStr"/>
      <c r="AK487" s="12" t="n">
        <v>-11</v>
      </c>
      <c r="AL487" s="12" t="n">
        <v>-4</v>
      </c>
      <c r="AM487" s="13" t="inlineStr"/>
      <c r="AN487" s="13" t="inlineStr"/>
      <c r="AO487" s="13" t="inlineStr"/>
      <c r="AP487" s="13" t="inlineStr"/>
    </row>
    <row r="488">
      <c r="A488" s="5" t="inlineStr">
        <is>
          <t>화승코퍼레이션</t>
        </is>
      </c>
      <c r="B488" s="6" t="inlineStr">
        <is>
          <t>013520</t>
        </is>
      </c>
      <c r="C488" s="6" t="inlineStr">
        <is>
          <t>연결</t>
        </is>
      </c>
      <c r="D488" s="6" t="inlineStr">
        <is>
          <t>2026Q2</t>
        </is>
      </c>
      <c r="E488" s="6" t="inlineStr"/>
      <c r="F488" s="7" t="inlineStr"/>
      <c r="G488" s="8" t="inlineStr"/>
      <c r="H488" s="8" t="inlineStr"/>
      <c r="I488" s="9" t="n">
        <v>113114</v>
      </c>
      <c r="J488" s="10" t="n">
        <v>25166</v>
      </c>
      <c r="K488" s="10" t="n">
        <v>29133</v>
      </c>
      <c r="L488" s="7" t="n">
        <v>107720</v>
      </c>
      <c r="M488" s="8" t="n">
        <v>23468</v>
      </c>
      <c r="N488" s="8" t="n">
        <v>17202</v>
      </c>
      <c r="O488" s="9" t="n">
        <v>103466</v>
      </c>
      <c r="P488" s="10" t="n">
        <v>25893</v>
      </c>
      <c r="Q488" s="10" t="n">
        <v>383</v>
      </c>
      <c r="R488" s="7" t="n">
        <v>105583</v>
      </c>
      <c r="S488" s="8" t="n">
        <v>14188</v>
      </c>
      <c r="T488" s="8" t="n">
        <v>13227</v>
      </c>
      <c r="U488" s="9" t="n">
        <v>134720</v>
      </c>
      <c r="V488" s="10" t="n">
        <v>30865</v>
      </c>
      <c r="W488" s="10" t="n">
        <v>25574</v>
      </c>
      <c r="X488" s="7" t="n">
        <v>113004</v>
      </c>
      <c r="Y488" s="8" t="n">
        <v>27867</v>
      </c>
      <c r="Z488" s="8" t="n">
        <v>10604</v>
      </c>
      <c r="AA488" s="9" t="n">
        <v>109510</v>
      </c>
      <c r="AB488" s="10" t="n">
        <v>20771</v>
      </c>
      <c r="AC488" s="10" t="n">
        <v>15074</v>
      </c>
      <c r="AD488" s="7" t="n">
        <v>1282543</v>
      </c>
      <c r="AE488" s="8" t="n">
        <v>3561</v>
      </c>
      <c r="AF488" s="8" t="n">
        <v>51895</v>
      </c>
      <c r="AG488" s="9" t="n">
        <v>421451</v>
      </c>
      <c r="AH488" s="10" t="n">
        <v>25615</v>
      </c>
      <c r="AI488" s="10" t="n">
        <v>24775</v>
      </c>
      <c r="AJ488" s="11" t="n">
        <v>449059</v>
      </c>
      <c r="AK488" s="12" t="n">
        <v>21866</v>
      </c>
      <c r="AL488" s="12" t="n">
        <v>15404</v>
      </c>
      <c r="AM488" s="13" t="n">
        <v>6.6</v>
      </c>
      <c r="AN488" s="13" t="n">
        <v>297.4</v>
      </c>
      <c r="AO488" s="13" t="n">
        <v>-14.6</v>
      </c>
      <c r="AP488" s="13" t="n">
        <v>-21.5</v>
      </c>
    </row>
    <row r="489">
      <c r="A489" s="5" t="inlineStr">
        <is>
          <t>디와이</t>
        </is>
      </c>
      <c r="B489" s="6" t="inlineStr">
        <is>
          <t>013570</t>
        </is>
      </c>
      <c r="C489" s="6" t="inlineStr">
        <is>
          <t>연결</t>
        </is>
      </c>
      <c r="D489" s="6" t="inlineStr">
        <is>
          <t>2026Q2</t>
        </is>
      </c>
      <c r="E489" s="6" t="inlineStr"/>
      <c r="F489" s="7" t="inlineStr"/>
      <c r="G489" s="8" t="inlineStr"/>
      <c r="H489" s="8" t="inlineStr"/>
      <c r="I489" s="9" t="n">
        <v>295099</v>
      </c>
      <c r="J489" s="10" t="n">
        <v>10963</v>
      </c>
      <c r="K489" s="10" t="n">
        <v>8947</v>
      </c>
      <c r="L489" s="7" t="n">
        <v>318021</v>
      </c>
      <c r="M489" s="8" t="n">
        <v>14950</v>
      </c>
      <c r="N489" s="8" t="n">
        <v>12379</v>
      </c>
      <c r="O489" s="9" t="n">
        <v>276291</v>
      </c>
      <c r="P489" s="10" t="n">
        <v>5536</v>
      </c>
      <c r="Q489" s="10" t="n">
        <v>-312</v>
      </c>
      <c r="R489" s="7" t="n">
        <v>278867</v>
      </c>
      <c r="S489" s="8" t="n">
        <v>4173</v>
      </c>
      <c r="T489" s="8" t="n">
        <v>13971</v>
      </c>
      <c r="U489" s="9" t="n">
        <v>312202</v>
      </c>
      <c r="V489" s="10" t="n">
        <v>16562</v>
      </c>
      <c r="W489" s="10" t="n">
        <v>13409</v>
      </c>
      <c r="X489" s="7" t="n">
        <v>318376</v>
      </c>
      <c r="Y489" s="8" t="n">
        <v>14464</v>
      </c>
      <c r="Z489" s="8" t="n">
        <v>3685</v>
      </c>
      <c r="AA489" s="9" t="n">
        <v>299317</v>
      </c>
      <c r="AB489" s="10" t="n">
        <v>13057</v>
      </c>
      <c r="AC489" s="10" t="n">
        <v>12762</v>
      </c>
      <c r="AD489" s="7" t="n">
        <v>314942</v>
      </c>
      <c r="AE489" s="8" t="n">
        <v>3973</v>
      </c>
      <c r="AF489" s="8" t="n">
        <v>162</v>
      </c>
      <c r="AG489" s="9" t="n">
        <v>331466</v>
      </c>
      <c r="AH489" s="10" t="n">
        <v>8353</v>
      </c>
      <c r="AI489" s="10" t="n">
        <v>7686</v>
      </c>
      <c r="AJ489" s="11" t="n">
        <v>370529</v>
      </c>
      <c r="AK489" s="12" t="n">
        <v>23954</v>
      </c>
      <c r="AL489" s="12" t="n">
        <v>20171</v>
      </c>
      <c r="AM489" s="13" t="n">
        <v>11.8</v>
      </c>
      <c r="AN489" s="13" t="n">
        <v>16.4</v>
      </c>
      <c r="AO489" s="13" t="n">
        <v>186.8</v>
      </c>
      <c r="AP489" s="13" t="n">
        <v>65.59999999999999</v>
      </c>
    </row>
    <row r="490">
      <c r="A490" s="5" t="inlineStr">
        <is>
          <t>계룡건설산업</t>
        </is>
      </c>
      <c r="B490" s="6" t="inlineStr">
        <is>
          <t>013580</t>
        </is>
      </c>
      <c r="C490" s="6" t="inlineStr">
        <is>
          <t>연결</t>
        </is>
      </c>
      <c r="D490" s="6" t="inlineStr">
        <is>
          <t>2026Q2</t>
        </is>
      </c>
      <c r="E490" s="6" t="inlineStr"/>
      <c r="F490" s="7" t="inlineStr"/>
      <c r="G490" s="8" t="inlineStr"/>
      <c r="H490" s="8" t="inlineStr"/>
      <c r="I490" s="9" t="n">
        <v>803341</v>
      </c>
      <c r="J490" s="10" t="n">
        <v>34070</v>
      </c>
      <c r="K490" s="10" t="n">
        <v>19719</v>
      </c>
      <c r="L490" s="7" t="n">
        <v>846577</v>
      </c>
      <c r="M490" s="8" t="n">
        <v>23082</v>
      </c>
      <c r="N490" s="8" t="n">
        <v>12197</v>
      </c>
      <c r="O490" s="9" t="n">
        <v>742968</v>
      </c>
      <c r="P490" s="10" t="n">
        <v>25881</v>
      </c>
      <c r="Q490" s="10" t="n">
        <v>7603</v>
      </c>
      <c r="R490" s="7" t="n">
        <v>776476</v>
      </c>
      <c r="S490" s="8" t="n">
        <v>14684</v>
      </c>
      <c r="T490" s="8" t="n">
        <v>14997</v>
      </c>
      <c r="U490" s="9" t="n">
        <v>668586</v>
      </c>
      <c r="V490" s="10" t="n">
        <v>31119</v>
      </c>
      <c r="W490" s="10" t="n">
        <v>16528</v>
      </c>
      <c r="X490" s="7" t="n">
        <v>734053</v>
      </c>
      <c r="Y490" s="8" t="n">
        <v>49011</v>
      </c>
      <c r="Z490" s="8" t="n">
        <v>25511</v>
      </c>
      <c r="AA490" s="9" t="n">
        <v>661730</v>
      </c>
      <c r="AB490" s="10" t="n">
        <v>38674</v>
      </c>
      <c r="AC490" s="10" t="n">
        <v>21250</v>
      </c>
      <c r="AD490" s="7" t="n">
        <v>823072</v>
      </c>
      <c r="AE490" s="8" t="n">
        <v>48066</v>
      </c>
      <c r="AF490" s="8" t="n">
        <v>34605</v>
      </c>
      <c r="AG490" s="9" t="n">
        <v>670714</v>
      </c>
      <c r="AH490" s="10" t="n">
        <v>40792</v>
      </c>
      <c r="AI490" s="10" t="n">
        <v>22355</v>
      </c>
      <c r="AJ490" s="11" t="n">
        <v>840068</v>
      </c>
      <c r="AK490" s="12" t="n">
        <v>69010</v>
      </c>
      <c r="AL490" s="12" t="n">
        <v>38800</v>
      </c>
      <c r="AM490" s="13" t="n">
        <v>25.2</v>
      </c>
      <c r="AN490" s="13" t="n">
        <v>14.4</v>
      </c>
      <c r="AO490" s="13" t="n">
        <v>69.2</v>
      </c>
      <c r="AP490" s="13" t="n">
        <v>40.8</v>
      </c>
    </row>
    <row r="491">
      <c r="A491" s="5" t="inlineStr">
        <is>
          <t>까뮤이앤씨</t>
        </is>
      </c>
      <c r="B491" s="6" t="inlineStr">
        <is>
          <t>013700</t>
        </is>
      </c>
      <c r="C491" s="6" t="inlineStr">
        <is>
          <t>연결</t>
        </is>
      </c>
      <c r="D491" s="6" t="inlineStr">
        <is>
          <t>2026Q2</t>
        </is>
      </c>
      <c r="E491" s="6" t="inlineStr"/>
      <c r="F491" s="7" t="inlineStr"/>
      <c r="G491" s="8" t="inlineStr"/>
      <c r="H491" s="8" t="inlineStr"/>
      <c r="I491" s="9" t="n">
        <v>60634</v>
      </c>
      <c r="J491" s="10" t="n">
        <v>-1454</v>
      </c>
      <c r="K491" s="10" t="n">
        <v>-3788</v>
      </c>
      <c r="L491" s="7" t="n">
        <v>67731</v>
      </c>
      <c r="M491" s="8" t="n">
        <v>-191</v>
      </c>
      <c r="N491" s="8" t="n">
        <v>-206</v>
      </c>
      <c r="O491" s="9" t="n">
        <v>65668</v>
      </c>
      <c r="P491" s="10" t="n">
        <v>-399</v>
      </c>
      <c r="Q491" s="10" t="n">
        <v>-1426</v>
      </c>
      <c r="R491" s="7" t="n">
        <v>66347</v>
      </c>
      <c r="S491" s="8" t="n">
        <v>-16053</v>
      </c>
      <c r="T491" s="8" t="n">
        <v>-16505</v>
      </c>
      <c r="U491" s="9" t="n">
        <v>55957</v>
      </c>
      <c r="V491" s="10" t="n">
        <v>3651</v>
      </c>
      <c r="W491" s="10" t="n">
        <v>2474</v>
      </c>
      <c r="X491" s="7" t="n">
        <v>61679</v>
      </c>
      <c r="Y491" s="8" t="n">
        <v>8462</v>
      </c>
      <c r="Z491" s="8" t="n">
        <v>5531</v>
      </c>
      <c r="AA491" s="9" t="n">
        <v>64226</v>
      </c>
      <c r="AB491" s="10" t="n">
        <v>5453</v>
      </c>
      <c r="AC491" s="10" t="n">
        <v>3506</v>
      </c>
      <c r="AD491" s="7" t="n">
        <v>115591</v>
      </c>
      <c r="AE491" s="8" t="n">
        <v>6281</v>
      </c>
      <c r="AF491" s="8" t="n">
        <v>8516</v>
      </c>
      <c r="AG491" s="9" t="n">
        <v>104923</v>
      </c>
      <c r="AH491" s="10" t="n">
        <v>11041</v>
      </c>
      <c r="AI491" s="10" t="n">
        <v>8030</v>
      </c>
      <c r="AJ491" s="11" t="n">
        <v>109251</v>
      </c>
      <c r="AK491" s="12" t="n">
        <v>12194</v>
      </c>
      <c r="AL491" s="12" t="n">
        <v>8717</v>
      </c>
      <c r="AM491" s="13" t="n">
        <v>4.1</v>
      </c>
      <c r="AN491" s="13" t="n">
        <v>77.09999999999999</v>
      </c>
      <c r="AO491" s="13" t="n">
        <v>10.4</v>
      </c>
      <c r="AP491" s="13" t="n">
        <v>44.1</v>
      </c>
    </row>
    <row r="492">
      <c r="A492" s="5" t="inlineStr">
        <is>
          <t>청보</t>
        </is>
      </c>
      <c r="B492" s="6" t="inlineStr">
        <is>
          <t>013720</t>
        </is>
      </c>
      <c r="C492" s="6" t="inlineStr">
        <is>
          <t>연결</t>
        </is>
      </c>
      <c r="D492" s="6" t="inlineStr">
        <is>
          <t>2026Q2</t>
        </is>
      </c>
      <c r="E492" s="6" t="inlineStr"/>
      <c r="F492" s="7" t="inlineStr"/>
      <c r="G492" s="8" t="inlineStr"/>
      <c r="H492" s="8" t="inlineStr"/>
      <c r="I492" s="9" t="n">
        <v>6705</v>
      </c>
      <c r="J492" s="10" t="n">
        <v>297</v>
      </c>
      <c r="K492" s="10" t="n">
        <v>-2882</v>
      </c>
      <c r="L492" s="7" t="n">
        <v>7133</v>
      </c>
      <c r="M492" s="8" t="n">
        <v>284</v>
      </c>
      <c r="N492" s="8" t="n">
        <v>-416</v>
      </c>
      <c r="O492" s="9" t="n">
        <v>5815</v>
      </c>
      <c r="P492" s="10" t="n">
        <v>593</v>
      </c>
      <c r="Q492" s="10" t="n">
        <v>-425</v>
      </c>
      <c r="R492" s="7" t="n">
        <v>4796</v>
      </c>
      <c r="S492" s="8" t="n">
        <v>234</v>
      </c>
      <c r="T492" s="8" t="n">
        <v>-11056</v>
      </c>
      <c r="U492" s="9" t="n">
        <v>6379</v>
      </c>
      <c r="V492" s="10" t="n">
        <v>284</v>
      </c>
      <c r="W492" s="10" t="n">
        <v>-1342</v>
      </c>
      <c r="X492" s="7" t="n">
        <v>6321</v>
      </c>
      <c r="Y492" s="8" t="n">
        <v>289</v>
      </c>
      <c r="Z492" s="8" t="n">
        <v>-624</v>
      </c>
      <c r="AA492" s="9" t="n">
        <v>6802</v>
      </c>
      <c r="AB492" s="10" t="n">
        <v>456</v>
      </c>
      <c r="AC492" s="10" t="n">
        <v>-949</v>
      </c>
      <c r="AD492" s="7" t="n">
        <v>5406</v>
      </c>
      <c r="AE492" s="8" t="n">
        <v>-267</v>
      </c>
      <c r="AF492" s="8" t="n">
        <v>-9262</v>
      </c>
      <c r="AG492" s="9" t="n">
        <v>6587</v>
      </c>
      <c r="AH492" s="10" t="n">
        <v>-504</v>
      </c>
      <c r="AI492" s="10" t="n">
        <v>-738</v>
      </c>
      <c r="AJ492" s="11" t="n">
        <v>7989</v>
      </c>
      <c r="AK492" s="12" t="n">
        <v>1013</v>
      </c>
      <c r="AL492" s="12" t="n">
        <v>-2246</v>
      </c>
      <c r="AM492" s="13" t="n">
        <v>21.3</v>
      </c>
      <c r="AN492" s="13" t="n">
        <v>26.4</v>
      </c>
      <c r="AO492" s="13" t="n">
        <v>301</v>
      </c>
      <c r="AP492" s="13" t="n">
        <v>250.5</v>
      </c>
    </row>
    <row r="493">
      <c r="A493" s="5" t="inlineStr">
        <is>
          <t>스페코</t>
        </is>
      </c>
      <c r="B493" s="6" t="inlineStr">
        <is>
          <t>013810</t>
        </is>
      </c>
      <c r="C493" s="6" t="inlineStr">
        <is>
          <t>연결</t>
        </is>
      </c>
      <c r="D493" s="6" t="inlineStr">
        <is>
          <t>2026Q2</t>
        </is>
      </c>
      <c r="E493" s="6" t="inlineStr"/>
      <c r="F493" s="7" t="inlineStr"/>
      <c r="G493" s="8" t="inlineStr"/>
      <c r="H493" s="8" t="inlineStr"/>
      <c r="I493" s="9" t="n">
        <v>1767</v>
      </c>
      <c r="J493" s="10" t="n">
        <v>-2011</v>
      </c>
      <c r="K493" s="10" t="n">
        <v>-1418</v>
      </c>
      <c r="L493" s="7" t="n">
        <v>8132</v>
      </c>
      <c r="M493" s="8" t="n">
        <v>-958</v>
      </c>
      <c r="N493" s="8" t="n">
        <v>-376</v>
      </c>
      <c r="O493" s="9" t="n">
        <v>7830</v>
      </c>
      <c r="P493" s="10" t="n">
        <v>-1254</v>
      </c>
      <c r="Q493" s="10" t="n">
        <v>-5</v>
      </c>
      <c r="R493" s="7" t="n">
        <v>9463</v>
      </c>
      <c r="S493" s="8" t="n">
        <v>-1470</v>
      </c>
      <c r="T493" s="8" t="n">
        <v>94</v>
      </c>
      <c r="U493" s="9" t="n">
        <v>7394</v>
      </c>
      <c r="V493" s="10" t="n">
        <v>-134</v>
      </c>
      <c r="W493" s="10" t="n">
        <v>-31</v>
      </c>
      <c r="X493" s="7" t="n">
        <v>7851</v>
      </c>
      <c r="Y493" s="8" t="n">
        <v>-418</v>
      </c>
      <c r="Z493" s="8" t="n">
        <v>-297</v>
      </c>
      <c r="AA493" s="9" t="n">
        <v>9255</v>
      </c>
      <c r="AB493" s="10" t="n">
        <v>-1375</v>
      </c>
      <c r="AC493" s="10" t="n">
        <v>-799</v>
      </c>
      <c r="AD493" s="7" t="n">
        <v>13465</v>
      </c>
      <c r="AE493" s="8" t="n">
        <v>1466</v>
      </c>
      <c r="AF493" s="8" t="n">
        <v>819</v>
      </c>
      <c r="AG493" s="9" t="n">
        <v>6292</v>
      </c>
      <c r="AH493" s="10" t="n">
        <v>-58</v>
      </c>
      <c r="AI493" s="10" t="n">
        <v>558</v>
      </c>
      <c r="AJ493" s="11" t="n">
        <v>4108</v>
      </c>
      <c r="AK493" s="12" t="n">
        <v>-1292</v>
      </c>
      <c r="AL493" s="12" t="n">
        <v>-127</v>
      </c>
      <c r="AM493" s="13" t="n">
        <v>-34.7</v>
      </c>
      <c r="AN493" s="13" t="n">
        <v>-47.7</v>
      </c>
      <c r="AO493" s="13" t="n">
        <v>-2127.6</v>
      </c>
      <c r="AP493" s="13" t="n">
        <v>-209.1</v>
      </c>
    </row>
    <row r="494">
      <c r="A494" s="5" t="inlineStr">
        <is>
          <t>지엠비코리아</t>
        </is>
      </c>
      <c r="B494" s="6" t="inlineStr">
        <is>
          <t>013870</t>
        </is>
      </c>
      <c r="C494" s="6" t="inlineStr">
        <is>
          <t>연결</t>
        </is>
      </c>
      <c r="D494" s="6" t="inlineStr">
        <is>
          <t>2026Q2</t>
        </is>
      </c>
      <c r="E494" s="6" t="inlineStr"/>
      <c r="F494" s="7" t="inlineStr"/>
      <c r="G494" s="8" t="inlineStr"/>
      <c r="H494" s="8" t="inlineStr"/>
      <c r="I494" s="9" t="n">
        <v>177660</v>
      </c>
      <c r="J494" s="10" t="n">
        <v>5322</v>
      </c>
      <c r="K494" s="10" t="n">
        <v>4543</v>
      </c>
      <c r="L494" s="7" t="n">
        <v>187804</v>
      </c>
      <c r="M494" s="8" t="n">
        <v>5706</v>
      </c>
      <c r="N494" s="8" t="n">
        <v>5060</v>
      </c>
      <c r="O494" s="9" t="n">
        <v>173934</v>
      </c>
      <c r="P494" s="10" t="n">
        <v>354</v>
      </c>
      <c r="Q494" s="10" t="n">
        <v>-3524</v>
      </c>
      <c r="R494" s="7" t="n">
        <v>187310</v>
      </c>
      <c r="S494" s="8" t="n">
        <v>11303</v>
      </c>
      <c r="T494" s="8" t="n">
        <v>8716</v>
      </c>
      <c r="U494" s="9" t="n">
        <v>179718</v>
      </c>
      <c r="V494" s="10" t="n">
        <v>1389</v>
      </c>
      <c r="W494" s="10" t="n">
        <v>2627</v>
      </c>
      <c r="X494" s="7" t="n">
        <v>199981</v>
      </c>
      <c r="Y494" s="8" t="n">
        <v>10108</v>
      </c>
      <c r="Z494" s="8" t="n">
        <v>2877</v>
      </c>
      <c r="AA494" s="9" t="n">
        <v>204111</v>
      </c>
      <c r="AB494" s="10" t="n">
        <v>4430</v>
      </c>
      <c r="AC494" s="10" t="n">
        <v>2789</v>
      </c>
      <c r="AD494" s="7" t="n">
        <v>203462</v>
      </c>
      <c r="AE494" s="8" t="n">
        <v>8293</v>
      </c>
      <c r="AF494" s="8" t="n">
        <v>5269</v>
      </c>
      <c r="AG494" s="9" t="n">
        <v>200337</v>
      </c>
      <c r="AH494" s="10" t="n">
        <v>3581</v>
      </c>
      <c r="AI494" s="10" t="n">
        <v>3767</v>
      </c>
      <c r="AJ494" s="11" t="n">
        <v>215775</v>
      </c>
      <c r="AK494" s="12" t="n">
        <v>9933</v>
      </c>
      <c r="AL494" s="12" t="n">
        <v>8185</v>
      </c>
      <c r="AM494" s="13" t="n">
        <v>7.7</v>
      </c>
      <c r="AN494" s="13" t="n">
        <v>7.9</v>
      </c>
      <c r="AO494" s="13" t="n">
        <v>177.4</v>
      </c>
      <c r="AP494" s="13" t="n">
        <v>-1.7</v>
      </c>
    </row>
    <row r="495">
      <c r="A495" s="5" t="inlineStr">
        <is>
          <t>지누스</t>
        </is>
      </c>
      <c r="B495" s="6" t="inlineStr">
        <is>
          <t>013890</t>
        </is>
      </c>
      <c r="C495" s="6" t="inlineStr">
        <is>
          <t>연결</t>
        </is>
      </c>
      <c r="D495" s="6" t="inlineStr">
        <is>
          <t>2026Q2</t>
        </is>
      </c>
      <c r="E495" s="6" t="inlineStr">
        <is>
          <t>2023Q4</t>
        </is>
      </c>
      <c r="F495" s="14" t="n">
        <v>282157</v>
      </c>
      <c r="G495" s="15" t="n">
        <v>1691</v>
      </c>
      <c r="H495" s="15" t="n">
        <v>-6976</v>
      </c>
      <c r="I495" s="9" t="n">
        <v>152246</v>
      </c>
      <c r="J495" s="10" t="n">
        <v>-19098</v>
      </c>
      <c r="K495" s="10" t="n">
        <v>-13463</v>
      </c>
      <c r="L495" s="7" t="n">
        <v>206265</v>
      </c>
      <c r="M495" s="8" t="n">
        <v>-14239</v>
      </c>
      <c r="N495" s="8" t="n">
        <v>-10422</v>
      </c>
      <c r="O495" s="9" t="n">
        <v>272870</v>
      </c>
      <c r="P495" s="10" t="n">
        <v>11922</v>
      </c>
      <c r="Q495" s="10" t="n">
        <v>-2948</v>
      </c>
      <c r="R495" s="7" t="n">
        <v>289018</v>
      </c>
      <c r="S495" s="8" t="n">
        <v>15969</v>
      </c>
      <c r="T495" s="8" t="n">
        <v>20035</v>
      </c>
      <c r="U495" s="9" t="n">
        <v>249928</v>
      </c>
      <c r="V495" s="10" t="n">
        <v>27502</v>
      </c>
      <c r="W495" s="10" t="n">
        <v>18651</v>
      </c>
      <c r="X495" s="7" t="n">
        <v>229466</v>
      </c>
      <c r="Y495" s="8" t="n">
        <v>29114</v>
      </c>
      <c r="Z495" s="8" t="n">
        <v>7567</v>
      </c>
      <c r="AA495" s="9" t="n">
        <v>241741</v>
      </c>
      <c r="AB495" s="10" t="n">
        <v>-7633</v>
      </c>
      <c r="AC495" s="10" t="n">
        <v>-9925</v>
      </c>
      <c r="AD495" s="7" t="n">
        <v>192045</v>
      </c>
      <c r="AE495" s="8" t="n">
        <v>-23504</v>
      </c>
      <c r="AF495" s="8" t="n">
        <v>-34799</v>
      </c>
      <c r="AG495" s="9" t="n">
        <v>139558</v>
      </c>
      <c r="AH495" s="10" t="n">
        <v>-30092</v>
      </c>
      <c r="AI495" s="10" t="n">
        <v>-22820</v>
      </c>
      <c r="AJ495" s="11" t="n">
        <v>147542</v>
      </c>
      <c r="AK495" s="12" t="n">
        <v>-26701</v>
      </c>
      <c r="AL495" s="12" t="n">
        <v>-22055</v>
      </c>
      <c r="AM495" s="13" t="n">
        <v>5.7</v>
      </c>
      <c r="AN495" s="13" t="n">
        <v>-35.7</v>
      </c>
      <c r="AO495" s="13" t="n">
        <v>11.3</v>
      </c>
      <c r="AP495" s="13" t="n">
        <v>-191.7</v>
      </c>
    </row>
    <row r="496">
      <c r="A496" s="5" t="inlineStr">
        <is>
          <t>아가방컴퍼니</t>
        </is>
      </c>
      <c r="B496" s="6" t="inlineStr">
        <is>
          <t>013990</t>
        </is>
      </c>
      <c r="C496" s="6" t="inlineStr">
        <is>
          <t>연결</t>
        </is>
      </c>
      <c r="D496" s="6" t="inlineStr">
        <is>
          <t>2026Q2</t>
        </is>
      </c>
      <c r="E496" s="6" t="inlineStr"/>
      <c r="F496" s="7" t="inlineStr"/>
      <c r="G496" s="8" t="inlineStr"/>
      <c r="H496" s="8" t="inlineStr"/>
      <c r="I496" s="9" t="n">
        <v>44984</v>
      </c>
      <c r="J496" s="10" t="n">
        <v>2034</v>
      </c>
      <c r="K496" s="10" t="n">
        <v>1214</v>
      </c>
      <c r="L496" s="7" t="n">
        <v>43607</v>
      </c>
      <c r="M496" s="8" t="n">
        <v>6149</v>
      </c>
      <c r="N496" s="8" t="n">
        <v>4787</v>
      </c>
      <c r="O496" s="9" t="n">
        <v>40871</v>
      </c>
      <c r="P496" s="10" t="n">
        <v>3114</v>
      </c>
      <c r="Q496" s="10" t="n">
        <v>1553</v>
      </c>
      <c r="R496" s="7" t="n">
        <v>53281</v>
      </c>
      <c r="S496" s="8" t="n">
        <v>3909</v>
      </c>
      <c r="T496" s="8" t="n">
        <v>2632</v>
      </c>
      <c r="U496" s="9" t="n">
        <v>44371</v>
      </c>
      <c r="V496" s="10" t="n">
        <v>1355</v>
      </c>
      <c r="W496" s="10" t="n">
        <v>863</v>
      </c>
      <c r="X496" s="7" t="n">
        <v>44512</v>
      </c>
      <c r="Y496" s="8" t="n">
        <v>4890</v>
      </c>
      <c r="Z496" s="8" t="n">
        <v>4250</v>
      </c>
      <c r="AA496" s="9" t="n">
        <v>43574</v>
      </c>
      <c r="AB496" s="10" t="n">
        <v>2024</v>
      </c>
      <c r="AC496" s="10" t="n">
        <v>1320</v>
      </c>
      <c r="AD496" s="7" t="n">
        <v>56621</v>
      </c>
      <c r="AE496" s="8" t="n">
        <v>5718</v>
      </c>
      <c r="AF496" s="8" t="n">
        <v>4204</v>
      </c>
      <c r="AG496" s="9" t="n">
        <v>48474</v>
      </c>
      <c r="AH496" s="10" t="n">
        <v>2137</v>
      </c>
      <c r="AI496" s="10" t="n">
        <v>2485</v>
      </c>
      <c r="AJ496" s="11" t="n">
        <v>50400</v>
      </c>
      <c r="AK496" s="12" t="n">
        <v>7192</v>
      </c>
      <c r="AL496" s="12" t="n">
        <v>11873</v>
      </c>
      <c r="AM496" s="13" t="n">
        <v>4</v>
      </c>
      <c r="AN496" s="13" t="n">
        <v>13.2</v>
      </c>
      <c r="AO496" s="13" t="n">
        <v>236.5</v>
      </c>
      <c r="AP496" s="13" t="n">
        <v>47.1</v>
      </c>
    </row>
    <row r="497">
      <c r="A497" s="5" t="inlineStr">
        <is>
          <t>메디앙스</t>
        </is>
      </c>
      <c r="B497" s="6" t="inlineStr">
        <is>
          <t>014100</t>
        </is>
      </c>
      <c r="C497" s="6" t="inlineStr">
        <is>
          <t>연결</t>
        </is>
      </c>
      <c r="D497" s="6" t="inlineStr">
        <is>
          <t>2026Q2</t>
        </is>
      </c>
      <c r="E497" s="6" t="inlineStr"/>
      <c r="F497" s="7" t="inlineStr"/>
      <c r="G497" s="8" t="inlineStr"/>
      <c r="H497" s="8" t="inlineStr"/>
      <c r="I497" s="9" t="n">
        <v>11286</v>
      </c>
      <c r="J497" s="10" t="n">
        <v>-1980</v>
      </c>
      <c r="K497" s="10" t="n">
        <v>1293</v>
      </c>
      <c r="L497" s="7" t="n">
        <v>15759</v>
      </c>
      <c r="M497" s="8" t="n">
        <v>-3418</v>
      </c>
      <c r="N497" s="8" t="n">
        <v>-10760</v>
      </c>
      <c r="O497" s="9" t="n">
        <v>11489</v>
      </c>
      <c r="P497" s="10" t="n">
        <v>-1276</v>
      </c>
      <c r="Q497" s="10" t="n">
        <v>2005</v>
      </c>
      <c r="R497" s="7" t="n">
        <v>10452</v>
      </c>
      <c r="S497" s="8" t="n">
        <v>-2141</v>
      </c>
      <c r="T497" s="8" t="n">
        <v>-6324</v>
      </c>
      <c r="U497" s="9" t="n">
        <v>12209</v>
      </c>
      <c r="V497" s="10" t="n">
        <v>-293</v>
      </c>
      <c r="W497" s="10" t="n">
        <v>-5394</v>
      </c>
      <c r="X497" s="7" t="n">
        <v>13948</v>
      </c>
      <c r="Y497" s="8" t="n">
        <v>846</v>
      </c>
      <c r="Z497" s="8" t="n">
        <v>-941</v>
      </c>
      <c r="AA497" s="9" t="n">
        <v>11945</v>
      </c>
      <c r="AB497" s="10" t="n">
        <v>-1725</v>
      </c>
      <c r="AC497" s="10" t="n">
        <v>-2</v>
      </c>
      <c r="AD497" s="7" t="n">
        <v>10667</v>
      </c>
      <c r="AE497" s="8" t="n">
        <v>68</v>
      </c>
      <c r="AF497" s="8" t="n">
        <v>319</v>
      </c>
      <c r="AG497" s="9" t="n">
        <v>11899</v>
      </c>
      <c r="AH497" s="10" t="n">
        <v>1275</v>
      </c>
      <c r="AI497" s="10" t="n">
        <v>2129</v>
      </c>
      <c r="AJ497" s="11" t="n">
        <v>14038</v>
      </c>
      <c r="AK497" s="12" t="n">
        <v>-1285</v>
      </c>
      <c r="AL497" s="12" t="n">
        <v>-2985</v>
      </c>
      <c r="AM497" s="13" t="n">
        <v>18</v>
      </c>
      <c r="AN497" s="13" t="n">
        <v>0.6</v>
      </c>
      <c r="AO497" s="13" t="n">
        <v>-200.8</v>
      </c>
      <c r="AP497" s="13" t="n">
        <v>-251.9</v>
      </c>
    </row>
    <row r="498">
      <c r="A498" s="5" t="inlineStr">
        <is>
          <t>한익스프레스</t>
        </is>
      </c>
      <c r="B498" s="6" t="inlineStr">
        <is>
          <t>014130</t>
        </is>
      </c>
      <c r="C498" s="6" t="inlineStr">
        <is>
          <t>연결</t>
        </is>
      </c>
      <c r="D498" s="6" t="inlineStr">
        <is>
          <t>2026Q2</t>
        </is>
      </c>
      <c r="E498" s="6" t="inlineStr"/>
      <c r="F498" s="7" t="inlineStr"/>
      <c r="G498" s="8" t="inlineStr"/>
      <c r="H498" s="8" t="inlineStr"/>
      <c r="I498" s="9" t="n">
        <v>173714</v>
      </c>
      <c r="J498" s="10" t="n">
        <v>-766</v>
      </c>
      <c r="K498" s="10" t="n">
        <v>-2969</v>
      </c>
      <c r="L498" s="7" t="n">
        <v>186875</v>
      </c>
      <c r="M498" s="8" t="n">
        <v>4098</v>
      </c>
      <c r="N498" s="8" t="n">
        <v>277</v>
      </c>
      <c r="O498" s="9" t="n">
        <v>187050</v>
      </c>
      <c r="P498" s="10" t="n">
        <v>3429</v>
      </c>
      <c r="Q498" s="10" t="n">
        <v>-1088</v>
      </c>
      <c r="R498" s="7" t="n">
        <v>164661</v>
      </c>
      <c r="S498" s="8" t="n">
        <v>-3390</v>
      </c>
      <c r="T498" s="8" t="n">
        <v>20938</v>
      </c>
      <c r="U498" s="9" t="n">
        <v>156132</v>
      </c>
      <c r="V498" s="10" t="n">
        <v>-2569</v>
      </c>
      <c r="W498" s="10" t="n">
        <v>-5859</v>
      </c>
      <c r="X498" s="7" t="n">
        <v>160280</v>
      </c>
      <c r="Y498" s="8" t="n">
        <v>1407</v>
      </c>
      <c r="Z498" s="8" t="n">
        <v>-2132</v>
      </c>
      <c r="AA498" s="9" t="n">
        <v>160714</v>
      </c>
      <c r="AB498" s="10" t="n">
        <v>940</v>
      </c>
      <c r="AC498" s="10" t="n">
        <v>-2616</v>
      </c>
      <c r="AD498" s="7" t="n">
        <v>152696</v>
      </c>
      <c r="AE498" s="8" t="n">
        <v>-3398</v>
      </c>
      <c r="AF498" s="8" t="n">
        <v>-4070</v>
      </c>
      <c r="AG498" s="9" t="n">
        <v>154518</v>
      </c>
      <c r="AH498" s="10" t="n">
        <v>-2177</v>
      </c>
      <c r="AI498" s="10" t="n">
        <v>-4264</v>
      </c>
      <c r="AJ498" s="11" t="n">
        <v>153405</v>
      </c>
      <c r="AK498" s="12" t="n">
        <v>1145</v>
      </c>
      <c r="AL498" s="12" t="n">
        <v>-1355</v>
      </c>
      <c r="AM498" s="13" t="n">
        <v>-0.7</v>
      </c>
      <c r="AN498" s="13" t="n">
        <v>-4.3</v>
      </c>
      <c r="AO498" s="13" t="n">
        <v>152.6</v>
      </c>
      <c r="AP498" s="13" t="n">
        <v>-18.6</v>
      </c>
    </row>
    <row r="499">
      <c r="A499" s="5" t="inlineStr">
        <is>
          <t>대영포장</t>
        </is>
      </c>
      <c r="B499" s="6" t="inlineStr">
        <is>
          <t>014160</t>
        </is>
      </c>
      <c r="C499" s="6" t="inlineStr">
        <is>
          <t>별도</t>
        </is>
      </c>
      <c r="D499" s="6" t="inlineStr">
        <is>
          <t>2026Q2</t>
        </is>
      </c>
      <c r="E499" s="6" t="inlineStr"/>
      <c r="F499" s="7" t="inlineStr"/>
      <c r="G499" s="8" t="inlineStr"/>
      <c r="H499" s="8" t="inlineStr"/>
      <c r="I499" s="9" t="n">
        <v>68534</v>
      </c>
      <c r="J499" s="10" t="n">
        <v>2731</v>
      </c>
      <c r="K499" s="10" t="n">
        <v>2594</v>
      </c>
      <c r="L499" s="7" t="n">
        <v>70501</v>
      </c>
      <c r="M499" s="8" t="n">
        <v>2163</v>
      </c>
      <c r="N499" s="8" t="n">
        <v>2423</v>
      </c>
      <c r="O499" s="9" t="n">
        <v>69530</v>
      </c>
      <c r="P499" s="10" t="n">
        <v>-400</v>
      </c>
      <c r="Q499" s="10" t="n">
        <v>-1090</v>
      </c>
      <c r="R499" s="7" t="n">
        <v>72270</v>
      </c>
      <c r="S499" s="8" t="n">
        <v>-3571</v>
      </c>
      <c r="T499" s="8" t="n">
        <v>-3959</v>
      </c>
      <c r="U499" s="9" t="n">
        <v>70385</v>
      </c>
      <c r="V499" s="10" t="n">
        <v>-272</v>
      </c>
      <c r="W499" s="10" t="n">
        <v>-116</v>
      </c>
      <c r="X499" s="7" t="n">
        <v>71246</v>
      </c>
      <c r="Y499" s="8" t="n">
        <v>2023</v>
      </c>
      <c r="Z499" s="8" t="n">
        <v>1693</v>
      </c>
      <c r="AA499" s="9" t="n">
        <v>74638</v>
      </c>
      <c r="AB499" s="10" t="n">
        <v>1573</v>
      </c>
      <c r="AC499" s="10" t="n">
        <v>1960</v>
      </c>
      <c r="AD499" s="7" t="n">
        <v>67433</v>
      </c>
      <c r="AE499" s="8" t="n">
        <v>-2442</v>
      </c>
      <c r="AF499" s="8" t="n">
        <v>-2040</v>
      </c>
      <c r="AG499" s="9" t="n">
        <v>67379</v>
      </c>
      <c r="AH499" s="10" t="n">
        <v>-2253</v>
      </c>
      <c r="AI499" s="10" t="n">
        <v>-2143</v>
      </c>
      <c r="AJ499" s="11" t="n">
        <v>79987</v>
      </c>
      <c r="AK499" s="12" t="n">
        <v>2527</v>
      </c>
      <c r="AL499" s="12" t="n">
        <v>1955</v>
      </c>
      <c r="AM499" s="13" t="n">
        <v>18.7</v>
      </c>
      <c r="AN499" s="13" t="n">
        <v>12.3</v>
      </c>
      <c r="AO499" s="13" t="n">
        <v>212.2</v>
      </c>
      <c r="AP499" s="13" t="n">
        <v>24.9</v>
      </c>
    </row>
    <row r="500">
      <c r="A500" s="5" t="inlineStr">
        <is>
          <t>원익큐브</t>
        </is>
      </c>
      <c r="B500" s="6" t="inlineStr">
        <is>
          <t>014190</t>
        </is>
      </c>
      <c r="C500" s="6" t="inlineStr">
        <is>
          <t>연결</t>
        </is>
      </c>
      <c r="D500" s="6" t="inlineStr">
        <is>
          <t>2026Q2</t>
        </is>
      </c>
      <c r="E500" s="6" t="inlineStr"/>
      <c r="F500" s="7" t="inlineStr"/>
      <c r="G500" s="8" t="inlineStr"/>
      <c r="H500" s="8" t="inlineStr"/>
      <c r="I500" s="9" t="n">
        <v>62290</v>
      </c>
      <c r="J500" s="10" t="n">
        <v>1255</v>
      </c>
      <c r="K500" s="10" t="n">
        <v>1104</v>
      </c>
      <c r="L500" s="7" t="n">
        <v>78060</v>
      </c>
      <c r="M500" s="8" t="n">
        <v>1576</v>
      </c>
      <c r="N500" s="8" t="n">
        <v>1229</v>
      </c>
      <c r="O500" s="9" t="n">
        <v>72660</v>
      </c>
      <c r="P500" s="10" t="n">
        <v>898</v>
      </c>
      <c r="Q500" s="10" t="n">
        <v>1045</v>
      </c>
      <c r="R500" s="7" t="n">
        <v>73795</v>
      </c>
      <c r="S500" s="8" t="n">
        <v>-164</v>
      </c>
      <c r="T500" s="8" t="n">
        <v>-703</v>
      </c>
      <c r="U500" s="9" t="n">
        <v>73076</v>
      </c>
      <c r="V500" s="10" t="n">
        <v>636</v>
      </c>
      <c r="W500" s="10" t="n">
        <v>622</v>
      </c>
      <c r="X500" s="7" t="n">
        <v>78955</v>
      </c>
      <c r="Y500" s="8" t="n">
        <v>2687</v>
      </c>
      <c r="Z500" s="8" t="n">
        <v>2321</v>
      </c>
      <c r="AA500" s="9" t="n">
        <v>68750</v>
      </c>
      <c r="AB500" s="10" t="n">
        <v>1069</v>
      </c>
      <c r="AC500" s="10" t="n">
        <v>809</v>
      </c>
      <c r="AD500" s="7" t="n">
        <v>63980</v>
      </c>
      <c r="AE500" s="8" t="n">
        <v>-1083</v>
      </c>
      <c r="AF500" s="8" t="n">
        <v>-947</v>
      </c>
      <c r="AG500" s="9" t="n">
        <v>71447</v>
      </c>
      <c r="AH500" s="10" t="n">
        <v>2534</v>
      </c>
      <c r="AI500" s="10" t="n">
        <v>1772</v>
      </c>
      <c r="AJ500" s="11" t="n">
        <v>78485</v>
      </c>
      <c r="AK500" s="12" t="n">
        <v>6244</v>
      </c>
      <c r="AL500" s="12" t="n">
        <v>4927</v>
      </c>
      <c r="AM500" s="13" t="n">
        <v>9.9</v>
      </c>
      <c r="AN500" s="13" t="n">
        <v>-0.6</v>
      </c>
      <c r="AO500" s="13" t="n">
        <v>146.4</v>
      </c>
      <c r="AP500" s="13" t="n">
        <v>132.4</v>
      </c>
    </row>
    <row r="501">
      <c r="A501" s="5" t="inlineStr">
        <is>
          <t>금강공업</t>
        </is>
      </c>
      <c r="B501" s="6" t="inlineStr">
        <is>
          <t>014280</t>
        </is>
      </c>
      <c r="C501" s="6" t="inlineStr">
        <is>
          <t>연결</t>
        </is>
      </c>
      <c r="D501" s="6" t="inlineStr">
        <is>
          <t>2026Q2</t>
        </is>
      </c>
      <c r="E501" s="6" t="inlineStr"/>
      <c r="F501" s="7" t="inlineStr"/>
      <c r="G501" s="8" t="inlineStr"/>
      <c r="H501" s="8" t="inlineStr"/>
      <c r="I501" s="9" t="n">
        <v>209293</v>
      </c>
      <c r="J501" s="10" t="n">
        <v>13642</v>
      </c>
      <c r="K501" s="10" t="n">
        <v>8302</v>
      </c>
      <c r="L501" s="7" t="n">
        <v>189475</v>
      </c>
      <c r="M501" s="8" t="n">
        <v>8673</v>
      </c>
      <c r="N501" s="8" t="n">
        <v>5237</v>
      </c>
      <c r="O501" s="9" t="n">
        <v>193709</v>
      </c>
      <c r="P501" s="10" t="n">
        <v>5765</v>
      </c>
      <c r="Q501" s="10" t="n">
        <v>2668</v>
      </c>
      <c r="R501" s="7" t="n">
        <v>208875</v>
      </c>
      <c r="S501" s="8" t="n">
        <v>4968</v>
      </c>
      <c r="T501" s="8" t="n">
        <v>637</v>
      </c>
      <c r="U501" s="9" t="n">
        <v>197871</v>
      </c>
      <c r="V501" s="10" t="n">
        <v>7062</v>
      </c>
      <c r="W501" s="10" t="n">
        <v>2350</v>
      </c>
      <c r="X501" s="7" t="n">
        <v>211821</v>
      </c>
      <c r="Y501" s="8" t="n">
        <v>4039</v>
      </c>
      <c r="Z501" s="8" t="n">
        <v>-3266</v>
      </c>
      <c r="AA501" s="9" t="n">
        <v>205274</v>
      </c>
      <c r="AB501" s="10" t="n">
        <v>-39</v>
      </c>
      <c r="AC501" s="10" t="n">
        <v>-5605</v>
      </c>
      <c r="AD501" s="7" t="n">
        <v>187190</v>
      </c>
      <c r="AE501" s="8" t="n">
        <v>-565</v>
      </c>
      <c r="AF501" s="8" t="n">
        <v>-30833</v>
      </c>
      <c r="AG501" s="9" t="n">
        <v>196668</v>
      </c>
      <c r="AH501" s="10" t="n">
        <v>13239</v>
      </c>
      <c r="AI501" s="10" t="n">
        <v>17152</v>
      </c>
      <c r="AJ501" s="11" t="n">
        <v>229092</v>
      </c>
      <c r="AK501" s="12" t="n">
        <v>17990</v>
      </c>
      <c r="AL501" s="12" t="n">
        <v>10968</v>
      </c>
      <c r="AM501" s="13" t="n">
        <v>16.5</v>
      </c>
      <c r="AN501" s="13" t="n">
        <v>8.199999999999999</v>
      </c>
      <c r="AO501" s="13" t="n">
        <v>35.9</v>
      </c>
      <c r="AP501" s="13" t="n">
        <v>345.4</v>
      </c>
    </row>
    <row r="502">
      <c r="A502" s="5" t="inlineStr">
        <is>
          <t>영보화학</t>
        </is>
      </c>
      <c r="B502" s="6" t="inlineStr">
        <is>
          <t>014440</t>
        </is>
      </c>
      <c r="C502" s="6" t="inlineStr">
        <is>
          <t>연결</t>
        </is>
      </c>
      <c r="D502" s="6" t="inlineStr">
        <is>
          <t>2026Q2</t>
        </is>
      </c>
      <c r="E502" s="6" t="inlineStr"/>
      <c r="F502" s="7" t="inlineStr"/>
      <c r="G502" s="8" t="inlineStr"/>
      <c r="H502" s="8" t="inlineStr"/>
      <c r="I502" s="9" t="n">
        <v>26348</v>
      </c>
      <c r="J502" s="10" t="n">
        <v>4651</v>
      </c>
      <c r="K502" s="10" t="n">
        <v>6192</v>
      </c>
      <c r="L502" s="7" t="n">
        <v>28630</v>
      </c>
      <c r="M502" s="8" t="n">
        <v>4333</v>
      </c>
      <c r="N502" s="8" t="n">
        <v>4673</v>
      </c>
      <c r="O502" s="9" t="n">
        <v>28736</v>
      </c>
      <c r="P502" s="10" t="n">
        <v>4616</v>
      </c>
      <c r="Q502" s="10" t="n">
        <v>3676</v>
      </c>
      <c r="R502" s="7" t="n">
        <v>33853</v>
      </c>
      <c r="S502" s="8" t="n">
        <v>5802</v>
      </c>
      <c r="T502" s="8" t="n">
        <v>8013</v>
      </c>
      <c r="U502" s="9" t="n">
        <v>26360</v>
      </c>
      <c r="V502" s="10" t="n">
        <v>3424</v>
      </c>
      <c r="W502" s="10" t="n">
        <v>3533</v>
      </c>
      <c r="X502" s="7" t="n">
        <v>28574</v>
      </c>
      <c r="Y502" s="8" t="n">
        <v>4706</v>
      </c>
      <c r="Z502" s="8" t="n">
        <v>2606</v>
      </c>
      <c r="AA502" s="9" t="n">
        <v>31217</v>
      </c>
      <c r="AB502" s="10" t="n">
        <v>4843</v>
      </c>
      <c r="AC502" s="10" t="n">
        <v>4467</v>
      </c>
      <c r="AD502" s="7" t="n">
        <v>33960</v>
      </c>
      <c r="AE502" s="8" t="n">
        <v>6316</v>
      </c>
      <c r="AF502" s="8" t="n">
        <v>6224</v>
      </c>
      <c r="AG502" s="9" t="n">
        <v>28324</v>
      </c>
      <c r="AH502" s="10" t="n">
        <v>3129</v>
      </c>
      <c r="AI502" s="10" t="n">
        <v>3143</v>
      </c>
      <c r="AJ502" s="11" t="n">
        <v>31828</v>
      </c>
      <c r="AK502" s="12" t="n">
        <v>5060</v>
      </c>
      <c r="AL502" s="12" t="n">
        <v>4457</v>
      </c>
      <c r="AM502" s="13" t="n">
        <v>12.4</v>
      </c>
      <c r="AN502" s="13" t="n">
        <v>11.4</v>
      </c>
      <c r="AO502" s="13" t="n">
        <v>61.7</v>
      </c>
      <c r="AP502" s="13" t="n">
        <v>7.5</v>
      </c>
    </row>
    <row r="503">
      <c r="A503" s="5" t="inlineStr">
        <is>
          <t>부방</t>
        </is>
      </c>
      <c r="B503" s="6" t="inlineStr">
        <is>
          <t>014470</t>
        </is>
      </c>
      <c r="C503" s="6" t="inlineStr">
        <is>
          <t>연결</t>
        </is>
      </c>
      <c r="D503" s="6" t="inlineStr">
        <is>
          <t>2026Q2</t>
        </is>
      </c>
      <c r="E503" s="6" t="inlineStr"/>
      <c r="F503" s="7" t="inlineStr"/>
      <c r="G503" s="8" t="inlineStr"/>
      <c r="H503" s="8" t="inlineStr"/>
      <c r="I503" s="9" t="n">
        <v>88632</v>
      </c>
      <c r="J503" s="10" t="n">
        <v>2310</v>
      </c>
      <c r="K503" s="10" t="n">
        <v>2755</v>
      </c>
      <c r="L503" s="7" t="n">
        <v>83167</v>
      </c>
      <c r="M503" s="8" t="n">
        <v>712</v>
      </c>
      <c r="N503" s="8" t="n">
        <v>193</v>
      </c>
      <c r="O503" s="9" t="n">
        <v>87369</v>
      </c>
      <c r="P503" s="10" t="n">
        <v>-755</v>
      </c>
      <c r="Q503" s="10" t="n">
        <v>-988</v>
      </c>
      <c r="R503" s="7" t="n">
        <v>77294</v>
      </c>
      <c r="S503" s="8" t="n">
        <v>2606</v>
      </c>
      <c r="T503" s="8" t="n">
        <v>9559</v>
      </c>
      <c r="U503" s="9" t="n">
        <v>85040</v>
      </c>
      <c r="V503" s="10" t="n">
        <v>1054</v>
      </c>
      <c r="W503" s="10" t="n">
        <v>265</v>
      </c>
      <c r="X503" s="7" t="n">
        <v>77744</v>
      </c>
      <c r="Y503" s="8" t="n">
        <v>-144</v>
      </c>
      <c r="Z503" s="8" t="n">
        <v>1188</v>
      </c>
      <c r="AA503" s="9" t="n">
        <v>87182</v>
      </c>
      <c r="AB503" s="10" t="n">
        <v>374</v>
      </c>
      <c r="AC503" s="10" t="n">
        <v>915</v>
      </c>
      <c r="AD503" s="7" t="n">
        <v>69518</v>
      </c>
      <c r="AE503" s="8" t="n">
        <v>469</v>
      </c>
      <c r="AF503" s="8" t="n">
        <v>-40</v>
      </c>
      <c r="AG503" s="9" t="n">
        <v>80959</v>
      </c>
      <c r="AH503" s="10" t="n">
        <v>921</v>
      </c>
      <c r="AI503" s="10" t="n">
        <v>904</v>
      </c>
      <c r="AJ503" s="11" t="n">
        <v>76009</v>
      </c>
      <c r="AK503" s="12" t="n">
        <v>-631</v>
      </c>
      <c r="AL503" s="12" t="n">
        <v>-1750</v>
      </c>
      <c r="AM503" s="13" t="n">
        <v>-6.1</v>
      </c>
      <c r="AN503" s="13" t="n">
        <v>-2.2</v>
      </c>
      <c r="AO503" s="13" t="n">
        <v>-168.5</v>
      </c>
      <c r="AP503" s="13" t="n">
        <v>-338.2</v>
      </c>
    </row>
    <row r="504">
      <c r="A504" s="5" t="inlineStr">
        <is>
          <t>극동유화</t>
        </is>
      </c>
      <c r="B504" s="6" t="inlineStr">
        <is>
          <t>014530</t>
        </is>
      </c>
      <c r="C504" s="6" t="inlineStr">
        <is>
          <t>연결</t>
        </is>
      </c>
      <c r="D504" s="6" t="inlineStr">
        <is>
          <t>2026Q2</t>
        </is>
      </c>
      <c r="E504" s="6" t="inlineStr"/>
      <c r="F504" s="7" t="inlineStr"/>
      <c r="G504" s="8" t="inlineStr"/>
      <c r="H504" s="8" t="inlineStr"/>
      <c r="I504" s="9" t="n">
        <v>270330</v>
      </c>
      <c r="J504" s="10" t="n">
        <v>6258</v>
      </c>
      <c r="K504" s="10" t="n">
        <v>3500</v>
      </c>
      <c r="L504" s="7" t="n">
        <v>280245</v>
      </c>
      <c r="M504" s="8" t="n">
        <v>7662</v>
      </c>
      <c r="N504" s="8" t="n">
        <v>5577</v>
      </c>
      <c r="O504" s="9" t="n">
        <v>257857</v>
      </c>
      <c r="P504" s="10" t="n">
        <v>5170</v>
      </c>
      <c r="Q504" s="10" t="n">
        <v>40</v>
      </c>
      <c r="R504" s="7" t="n">
        <v>254402</v>
      </c>
      <c r="S504" s="8" t="n">
        <v>3789</v>
      </c>
      <c r="T504" s="8" t="n">
        <v>525</v>
      </c>
      <c r="U504" s="9" t="n">
        <v>245855</v>
      </c>
      <c r="V504" s="10" t="n">
        <v>5237</v>
      </c>
      <c r="W504" s="10" t="n">
        <v>1775</v>
      </c>
      <c r="X504" s="7" t="n">
        <v>240815</v>
      </c>
      <c r="Y504" s="8" t="n">
        <v>3879</v>
      </c>
      <c r="Z504" s="8" t="n">
        <v>-505</v>
      </c>
      <c r="AA504" s="9" t="n">
        <v>261604</v>
      </c>
      <c r="AB504" s="10" t="n">
        <v>3672</v>
      </c>
      <c r="AC504" s="10" t="n">
        <v>1081</v>
      </c>
      <c r="AD504" s="7" t="n">
        <v>273454</v>
      </c>
      <c r="AE504" s="8" t="n">
        <v>2659</v>
      </c>
      <c r="AF504" s="8" t="n">
        <v>-1049</v>
      </c>
      <c r="AG504" s="9" t="n">
        <v>247646</v>
      </c>
      <c r="AH504" s="10" t="n">
        <v>5521</v>
      </c>
      <c r="AI504" s="10" t="n">
        <v>3235</v>
      </c>
      <c r="AJ504" s="11" t="n">
        <v>257785</v>
      </c>
      <c r="AK504" s="12" t="n">
        <v>13125</v>
      </c>
      <c r="AL504" s="12" t="n">
        <v>8418</v>
      </c>
      <c r="AM504" s="13" t="n">
        <v>4.1</v>
      </c>
      <c r="AN504" s="13" t="n">
        <v>7</v>
      </c>
      <c r="AO504" s="13" t="n">
        <v>137.7</v>
      </c>
      <c r="AP504" s="13" t="n">
        <v>238.4</v>
      </c>
    </row>
    <row r="505">
      <c r="A505" s="5" t="inlineStr">
        <is>
          <t>고려제약</t>
        </is>
      </c>
      <c r="B505" s="6" t="inlineStr">
        <is>
          <t>014570</t>
        </is>
      </c>
      <c r="C505" s="6" t="inlineStr">
        <is>
          <t>별도</t>
        </is>
      </c>
      <c r="D505" s="6" t="inlineStr">
        <is>
          <t>2026Q2</t>
        </is>
      </c>
      <c r="E505" s="6" t="inlineStr"/>
      <c r="F505" s="7" t="inlineStr"/>
      <c r="G505" s="8" t="inlineStr"/>
      <c r="H505" s="8" t="inlineStr"/>
      <c r="I505" s="9" t="n">
        <v>19313</v>
      </c>
      <c r="J505" s="10" t="n">
        <v>3776</v>
      </c>
      <c r="K505" s="10" t="n">
        <v>3349</v>
      </c>
      <c r="L505" s="7" t="n">
        <v>18967</v>
      </c>
      <c r="M505" s="8" t="n">
        <v>4882</v>
      </c>
      <c r="N505" s="8" t="n">
        <v>-1112</v>
      </c>
      <c r="O505" s="9" t="n">
        <v>17017</v>
      </c>
      <c r="P505" s="10" t="n">
        <v>2952</v>
      </c>
      <c r="Q505" s="10" t="n">
        <v>2691</v>
      </c>
      <c r="R505" s="7" t="n">
        <v>17704</v>
      </c>
      <c r="S505" s="8" t="n">
        <v>-2472</v>
      </c>
      <c r="T505" s="8" t="n">
        <v>-1933</v>
      </c>
      <c r="U505" s="9" t="n">
        <v>13086</v>
      </c>
      <c r="V505" s="10" t="n">
        <v>805</v>
      </c>
      <c r="W505" s="10" t="n">
        <v>802</v>
      </c>
      <c r="X505" s="7" t="n">
        <v>14937</v>
      </c>
      <c r="Y505" s="8" t="n">
        <v>2240</v>
      </c>
      <c r="Z505" s="8" t="n">
        <v>1990</v>
      </c>
      <c r="AA505" s="9" t="n">
        <v>16486</v>
      </c>
      <c r="AB505" s="10" t="n">
        <v>1980</v>
      </c>
      <c r="AC505" s="10" t="n">
        <v>1908</v>
      </c>
      <c r="AD505" s="7" t="n">
        <v>18000</v>
      </c>
      <c r="AE505" s="8" t="n">
        <v>1888</v>
      </c>
      <c r="AF505" s="8" t="n">
        <v>1812</v>
      </c>
      <c r="AG505" s="9" t="n">
        <v>13338</v>
      </c>
      <c r="AH505" s="10" t="n">
        <v>1177</v>
      </c>
      <c r="AI505" s="10" t="n">
        <v>1201</v>
      </c>
      <c r="AJ505" s="11" t="n">
        <v>17566</v>
      </c>
      <c r="AK505" s="12" t="n">
        <v>2656</v>
      </c>
      <c r="AL505" s="12" t="n">
        <v>-3441</v>
      </c>
      <c r="AM505" s="13" t="n">
        <v>31.7</v>
      </c>
      <c r="AN505" s="13" t="n">
        <v>17.6</v>
      </c>
      <c r="AO505" s="13" t="n">
        <v>125.7</v>
      </c>
      <c r="AP505" s="13" t="n">
        <v>18.6</v>
      </c>
    </row>
    <row r="506">
      <c r="A506" s="5" t="inlineStr">
        <is>
          <t>태경비케이</t>
        </is>
      </c>
      <c r="B506" s="6" t="inlineStr">
        <is>
          <t>014580</t>
        </is>
      </c>
      <c r="C506" s="6" t="inlineStr">
        <is>
          <t>연결</t>
        </is>
      </c>
      <c r="D506" s="6" t="inlineStr">
        <is>
          <t>2026Q2</t>
        </is>
      </c>
      <c r="E506" s="6" t="inlineStr"/>
      <c r="F506" s="7" t="inlineStr"/>
      <c r="G506" s="8" t="inlineStr"/>
      <c r="H506" s="8" t="inlineStr"/>
      <c r="I506" s="9" t="n">
        <v>70276</v>
      </c>
      <c r="J506" s="10" t="n">
        <v>9925</v>
      </c>
      <c r="K506" s="10" t="n">
        <v>7872</v>
      </c>
      <c r="L506" s="7" t="n">
        <v>89205</v>
      </c>
      <c r="M506" s="8" t="n">
        <v>12077</v>
      </c>
      <c r="N506" s="8" t="n">
        <v>10423</v>
      </c>
      <c r="O506" s="9" t="n">
        <v>80904</v>
      </c>
      <c r="P506" s="10" t="n">
        <v>11172</v>
      </c>
      <c r="Q506" s="10" t="n">
        <v>8990</v>
      </c>
      <c r="R506" s="7" t="n">
        <v>68210</v>
      </c>
      <c r="S506" s="8" t="n">
        <v>9049</v>
      </c>
      <c r="T506" s="8" t="n">
        <v>7519</v>
      </c>
      <c r="U506" s="9" t="n">
        <v>69556</v>
      </c>
      <c r="V506" s="10" t="n">
        <v>7185</v>
      </c>
      <c r="W506" s="10" t="n">
        <v>7751</v>
      </c>
      <c r="X506" s="7" t="n">
        <v>111928</v>
      </c>
      <c r="Y506" s="8" t="n">
        <v>12009</v>
      </c>
      <c r="Z506" s="8" t="n">
        <v>7971</v>
      </c>
      <c r="AA506" s="9" t="n">
        <v>102229</v>
      </c>
      <c r="AB506" s="10" t="n">
        <v>12176</v>
      </c>
      <c r="AC506" s="10" t="n">
        <v>10744</v>
      </c>
      <c r="AD506" s="7" t="n">
        <v>102230</v>
      </c>
      <c r="AE506" s="8" t="n">
        <v>9413</v>
      </c>
      <c r="AF506" s="8" t="n">
        <v>6354</v>
      </c>
      <c r="AG506" s="9" t="n">
        <v>103283</v>
      </c>
      <c r="AH506" s="10" t="n">
        <v>10837</v>
      </c>
      <c r="AI506" s="10" t="n">
        <v>12787</v>
      </c>
      <c r="AJ506" s="11" t="n">
        <v>119530</v>
      </c>
      <c r="AK506" s="12" t="n">
        <v>9897</v>
      </c>
      <c r="AL506" s="12" t="n">
        <v>9006</v>
      </c>
      <c r="AM506" s="13" t="n">
        <v>15.7</v>
      </c>
      <c r="AN506" s="13" t="n">
        <v>6.8</v>
      </c>
      <c r="AO506" s="13" t="n">
        <v>-8.699999999999999</v>
      </c>
      <c r="AP506" s="13" t="n">
        <v>-17.6</v>
      </c>
    </row>
    <row r="507">
      <c r="A507" s="5" t="inlineStr">
        <is>
          <t>성광벤드</t>
        </is>
      </c>
      <c r="B507" s="6" t="inlineStr">
        <is>
          <t>014620</t>
        </is>
      </c>
      <c r="C507" s="6" t="inlineStr">
        <is>
          <t>연결</t>
        </is>
      </c>
      <c r="D507" s="6" t="inlineStr">
        <is>
          <t>2026Q2</t>
        </is>
      </c>
      <c r="E507" s="6" t="inlineStr">
        <is>
          <t>2023Q4</t>
        </is>
      </c>
      <c r="F507" s="14" t="n">
        <v>63368</v>
      </c>
      <c r="G507" s="15" t="n">
        <v>7133</v>
      </c>
      <c r="H507" s="15" t="n">
        <v>5406</v>
      </c>
      <c r="I507" s="9" t="n">
        <v>57168</v>
      </c>
      <c r="J507" s="10" t="n">
        <v>9891</v>
      </c>
      <c r="K507" s="10" t="n">
        <v>11316</v>
      </c>
      <c r="L507" s="7" t="n">
        <v>66887</v>
      </c>
      <c r="M507" s="8" t="n">
        <v>20366</v>
      </c>
      <c r="N507" s="8" t="n">
        <v>18059</v>
      </c>
      <c r="O507" s="9" t="n">
        <v>45397</v>
      </c>
      <c r="P507" s="10" t="n">
        <v>7810</v>
      </c>
      <c r="Q507" s="10" t="n">
        <v>4143</v>
      </c>
      <c r="R507" s="7" t="n">
        <v>58231</v>
      </c>
      <c r="S507" s="8" t="n">
        <v>3921</v>
      </c>
      <c r="T507" s="8" t="n">
        <v>7490</v>
      </c>
      <c r="U507" s="9" t="n">
        <v>63699</v>
      </c>
      <c r="V507" s="10" t="n">
        <v>10745</v>
      </c>
      <c r="W507" s="10" t="n">
        <v>9182</v>
      </c>
      <c r="X507" s="7" t="n">
        <v>58109</v>
      </c>
      <c r="Y507" s="8" t="n">
        <v>10770</v>
      </c>
      <c r="Z507" s="8" t="n">
        <v>6456</v>
      </c>
      <c r="AA507" s="9" t="n">
        <v>64561</v>
      </c>
      <c r="AB507" s="10" t="n">
        <v>11731</v>
      </c>
      <c r="AC507" s="10" t="n">
        <v>10781</v>
      </c>
      <c r="AD507" s="7" t="n">
        <v>59301</v>
      </c>
      <c r="AE507" s="8" t="n">
        <v>8710</v>
      </c>
      <c r="AF507" s="8" t="n">
        <v>8013</v>
      </c>
      <c r="AG507" s="9" t="n">
        <v>59137</v>
      </c>
      <c r="AH507" s="10" t="n">
        <v>6569</v>
      </c>
      <c r="AI507" s="10" t="n">
        <v>8427</v>
      </c>
      <c r="AJ507" s="11" t="n">
        <v>64132</v>
      </c>
      <c r="AK507" s="12" t="n">
        <v>10007</v>
      </c>
      <c r="AL507" s="12" t="n">
        <v>9578</v>
      </c>
      <c r="AM507" s="13" t="n">
        <v>8.4</v>
      </c>
      <c r="AN507" s="13" t="n">
        <v>10.4</v>
      </c>
      <c r="AO507" s="13" t="n">
        <v>52.3</v>
      </c>
      <c r="AP507" s="13" t="n">
        <v>-7.1</v>
      </c>
    </row>
    <row r="508">
      <c r="A508" s="5" t="inlineStr">
        <is>
          <t>한솔케미칼</t>
        </is>
      </c>
      <c r="B508" s="6" t="inlineStr">
        <is>
          <t>014680</t>
        </is>
      </c>
      <c r="C508" s="6" t="inlineStr">
        <is>
          <t>연결</t>
        </is>
      </c>
      <c r="D508" s="6" t="inlineStr">
        <is>
          <t>2026Q2</t>
        </is>
      </c>
      <c r="E508" s="6" t="inlineStr"/>
      <c r="F508" s="7" t="inlineStr"/>
      <c r="G508" s="8" t="inlineStr"/>
      <c r="H508" s="8" t="inlineStr"/>
      <c r="I508" s="9" t="n">
        <v>197873</v>
      </c>
      <c r="J508" s="10" t="n">
        <v>34187</v>
      </c>
      <c r="K508" s="10" t="n">
        <v>31748</v>
      </c>
      <c r="L508" s="7" t="n">
        <v>199076</v>
      </c>
      <c r="M508" s="8" t="n">
        <v>35121</v>
      </c>
      <c r="N508" s="8" t="n">
        <v>36522</v>
      </c>
      <c r="O508" s="9" t="n">
        <v>190606</v>
      </c>
      <c r="P508" s="10" t="n">
        <v>37006</v>
      </c>
      <c r="Q508" s="10" t="n">
        <v>32233</v>
      </c>
      <c r="R508" s="7" t="n">
        <v>188802</v>
      </c>
      <c r="S508" s="8" t="n">
        <v>22511</v>
      </c>
      <c r="T508" s="8" t="n">
        <v>24391</v>
      </c>
      <c r="U508" s="9" t="n">
        <v>209573</v>
      </c>
      <c r="V508" s="10" t="n">
        <v>41696</v>
      </c>
      <c r="W508" s="10" t="n">
        <v>35543</v>
      </c>
      <c r="X508" s="7" t="n">
        <v>221916</v>
      </c>
      <c r="Y508" s="8" t="n">
        <v>48855</v>
      </c>
      <c r="Z508" s="8" t="n">
        <v>48626</v>
      </c>
      <c r="AA508" s="9" t="n">
        <v>230043</v>
      </c>
      <c r="AB508" s="10" t="n">
        <v>48807</v>
      </c>
      <c r="AC508" s="10" t="n">
        <v>46471</v>
      </c>
      <c r="AD508" s="7" t="n">
        <v>222437</v>
      </c>
      <c r="AE508" s="8" t="n">
        <v>16875</v>
      </c>
      <c r="AF508" s="8" t="n">
        <v>17495</v>
      </c>
      <c r="AG508" s="9" t="n">
        <v>231869</v>
      </c>
      <c r="AH508" s="10" t="n">
        <v>44412</v>
      </c>
      <c r="AI508" s="10" t="n">
        <v>42535</v>
      </c>
      <c r="AJ508" s="11" t="n">
        <v>247539</v>
      </c>
      <c r="AK508" s="12" t="n">
        <v>49754</v>
      </c>
      <c r="AL508" s="12" t="n">
        <v>53665</v>
      </c>
      <c r="AM508" s="13" t="n">
        <v>6.8</v>
      </c>
      <c r="AN508" s="13" t="n">
        <v>11.5</v>
      </c>
      <c r="AO508" s="13" t="n">
        <v>12</v>
      </c>
      <c r="AP508" s="13" t="n">
        <v>1.8</v>
      </c>
    </row>
    <row r="509">
      <c r="A509" s="5" t="inlineStr">
        <is>
          <t>사조씨푸드</t>
        </is>
      </c>
      <c r="B509" s="6" t="inlineStr">
        <is>
          <t>014710</t>
        </is>
      </c>
      <c r="C509" s="6" t="inlineStr">
        <is>
          <t>연결</t>
        </is>
      </c>
      <c r="D509" s="6" t="inlineStr">
        <is>
          <t>2026Q2</t>
        </is>
      </c>
      <c r="E509" s="6" t="inlineStr"/>
      <c r="F509" s="7" t="inlineStr"/>
      <c r="G509" s="8" t="inlineStr"/>
      <c r="H509" s="8" t="inlineStr"/>
      <c r="I509" s="9" t="n">
        <v>42313</v>
      </c>
      <c r="J509" s="10" t="n">
        <v>3028</v>
      </c>
      <c r="K509" s="10" t="n">
        <v>4626</v>
      </c>
      <c r="L509" s="7" t="n">
        <v>49898</v>
      </c>
      <c r="M509" s="8" t="n">
        <v>1991</v>
      </c>
      <c r="N509" s="8" t="n">
        <v>2621</v>
      </c>
      <c r="O509" s="9" t="n">
        <v>52460</v>
      </c>
      <c r="P509" s="10" t="n">
        <v>2214</v>
      </c>
      <c r="Q509" s="10" t="n">
        <v>2935</v>
      </c>
      <c r="R509" s="7" t="n">
        <v>43611</v>
      </c>
      <c r="S509" s="8" t="n">
        <v>2288</v>
      </c>
      <c r="T509" s="8" t="n">
        <v>1621</v>
      </c>
      <c r="U509" s="9" t="n">
        <v>47395</v>
      </c>
      <c r="V509" s="10" t="n">
        <v>4067</v>
      </c>
      <c r="W509" s="10" t="n">
        <v>4061</v>
      </c>
      <c r="X509" s="7" t="n">
        <v>57088</v>
      </c>
      <c r="Y509" s="8" t="n">
        <v>3601</v>
      </c>
      <c r="Z509" s="8" t="n">
        <v>5724</v>
      </c>
      <c r="AA509" s="9" t="n">
        <v>69028</v>
      </c>
      <c r="AB509" s="10" t="n">
        <v>3155</v>
      </c>
      <c r="AC509" s="10" t="n">
        <v>3201</v>
      </c>
      <c r="AD509" s="7" t="n">
        <v>64509</v>
      </c>
      <c r="AE509" s="8" t="n">
        <v>1352</v>
      </c>
      <c r="AF509" s="8" t="n">
        <v>-41345</v>
      </c>
      <c r="AG509" s="9" t="n">
        <v>67663</v>
      </c>
      <c r="AH509" s="10" t="n">
        <v>2590</v>
      </c>
      <c r="AI509" s="10" t="n">
        <v>2181</v>
      </c>
      <c r="AJ509" s="11" t="n">
        <v>83890</v>
      </c>
      <c r="AK509" s="12" t="n">
        <v>10484</v>
      </c>
      <c r="AL509" s="12" t="n">
        <v>4625</v>
      </c>
      <c r="AM509" s="13" t="n">
        <v>24</v>
      </c>
      <c r="AN509" s="13" t="n">
        <v>46.9</v>
      </c>
      <c r="AO509" s="13" t="n">
        <v>304.8</v>
      </c>
      <c r="AP509" s="13" t="n">
        <v>191.1</v>
      </c>
    </row>
    <row r="510">
      <c r="A510" s="5" t="inlineStr">
        <is>
          <t>HL D&amp;I</t>
        </is>
      </c>
      <c r="B510" s="6" t="inlineStr">
        <is>
          <t>014790</t>
        </is>
      </c>
      <c r="C510" s="6" t="inlineStr">
        <is>
          <t>연결</t>
        </is>
      </c>
      <c r="D510" s="6" t="inlineStr">
        <is>
          <t>2026Q2</t>
        </is>
      </c>
      <c r="E510" s="6" t="inlineStr">
        <is>
          <t>2023Q4</t>
        </is>
      </c>
      <c r="F510" s="14" t="n">
        <v>434259</v>
      </c>
      <c r="G510" s="15" t="n">
        <v>21026</v>
      </c>
      <c r="H510" s="15" t="n">
        <v>16780</v>
      </c>
      <c r="I510" s="9" t="n">
        <v>398523</v>
      </c>
      <c r="J510" s="10" t="n">
        <v>18329</v>
      </c>
      <c r="K510" s="10" t="n">
        <v>11912</v>
      </c>
      <c r="L510" s="7" t="n">
        <v>393295</v>
      </c>
      <c r="M510" s="8" t="n">
        <v>11170</v>
      </c>
      <c r="N510" s="8" t="n">
        <v>5526</v>
      </c>
      <c r="O510" s="9" t="n">
        <v>353236</v>
      </c>
      <c r="P510" s="10" t="n">
        <v>13243</v>
      </c>
      <c r="Q510" s="10" t="n">
        <v>5418</v>
      </c>
      <c r="R510" s="7" t="n">
        <v>433773</v>
      </c>
      <c r="S510" s="8" t="n">
        <v>15150</v>
      </c>
      <c r="T510" s="8" t="n">
        <v>-1456</v>
      </c>
      <c r="U510" s="9" t="n">
        <v>324900</v>
      </c>
      <c r="V510" s="10" t="n">
        <v>14172</v>
      </c>
      <c r="W510" s="10" t="n">
        <v>3374</v>
      </c>
      <c r="X510" s="7" t="n">
        <v>406858</v>
      </c>
      <c r="Y510" s="8" t="n">
        <v>19770</v>
      </c>
      <c r="Z510" s="8" t="n">
        <v>8800</v>
      </c>
      <c r="AA510" s="9" t="n">
        <v>476928</v>
      </c>
      <c r="AB510" s="10" t="n">
        <v>25520</v>
      </c>
      <c r="AC510" s="10" t="n">
        <v>2875</v>
      </c>
      <c r="AD510" s="7" t="n">
        <v>533238</v>
      </c>
      <c r="AE510" s="8" t="n">
        <v>20330</v>
      </c>
      <c r="AF510" s="8" t="n">
        <v>144</v>
      </c>
      <c r="AG510" s="9" t="n">
        <v>384616</v>
      </c>
      <c r="AH510" s="10" t="n">
        <v>18984</v>
      </c>
      <c r="AI510" s="10" t="n">
        <v>6548</v>
      </c>
      <c r="AJ510" s="11" t="n">
        <v>445593</v>
      </c>
      <c r="AK510" s="12" t="n">
        <v>26516</v>
      </c>
      <c r="AL510" s="12" t="n">
        <v>10551</v>
      </c>
      <c r="AM510" s="13" t="n">
        <v>15.9</v>
      </c>
      <c r="AN510" s="13" t="n">
        <v>9.5</v>
      </c>
      <c r="AO510" s="13" t="n">
        <v>39.7</v>
      </c>
      <c r="AP510" s="13" t="n">
        <v>34.1</v>
      </c>
    </row>
    <row r="511">
      <c r="A511" s="5" t="inlineStr">
        <is>
          <t>동원시스템즈</t>
        </is>
      </c>
      <c r="B511" s="6" t="inlineStr">
        <is>
          <t>014820</t>
        </is>
      </c>
      <c r="C511" s="6" t="inlineStr">
        <is>
          <t>연결</t>
        </is>
      </c>
      <c r="D511" s="6" t="inlineStr">
        <is>
          <t>2026Q2</t>
        </is>
      </c>
      <c r="E511" s="6" t="inlineStr">
        <is>
          <t>2023Q4</t>
        </is>
      </c>
      <c r="F511" s="14" t="n">
        <v>299281</v>
      </c>
      <c r="G511" s="15" t="n">
        <v>14239</v>
      </c>
      <c r="H511" s="15" t="n">
        <v>12348</v>
      </c>
      <c r="I511" s="9" t="n">
        <v>309080</v>
      </c>
      <c r="J511" s="10" t="n">
        <v>16063</v>
      </c>
      <c r="K511" s="10" t="n">
        <v>15513</v>
      </c>
      <c r="L511" s="7" t="n">
        <v>344378</v>
      </c>
      <c r="M511" s="8" t="n">
        <v>30312</v>
      </c>
      <c r="N511" s="8" t="n">
        <v>22296</v>
      </c>
      <c r="O511" s="9" t="n">
        <v>348528</v>
      </c>
      <c r="P511" s="10" t="n">
        <v>28178</v>
      </c>
      <c r="Q511" s="10" t="n">
        <v>17798</v>
      </c>
      <c r="R511" s="7" t="n">
        <v>332271</v>
      </c>
      <c r="S511" s="8" t="n">
        <v>17352</v>
      </c>
      <c r="T511" s="8" t="n">
        <v>16908</v>
      </c>
      <c r="U511" s="9" t="n">
        <v>336786</v>
      </c>
      <c r="V511" s="10" t="n">
        <v>12547</v>
      </c>
      <c r="W511" s="10" t="n">
        <v>10628</v>
      </c>
      <c r="X511" s="7" t="n">
        <v>366346</v>
      </c>
      <c r="Y511" s="8" t="n">
        <v>25909</v>
      </c>
      <c r="Z511" s="8" t="n">
        <v>15824</v>
      </c>
      <c r="AA511" s="9" t="n">
        <v>356391</v>
      </c>
      <c r="AB511" s="10" t="n">
        <v>20197</v>
      </c>
      <c r="AC511" s="10" t="n">
        <v>15294</v>
      </c>
      <c r="AD511" s="7" t="n">
        <v>313351</v>
      </c>
      <c r="AE511" s="8" t="n">
        <v>7503</v>
      </c>
      <c r="AF511" s="8" t="n">
        <v>11979</v>
      </c>
      <c r="AG511" s="9" t="n">
        <v>337811</v>
      </c>
      <c r="AH511" s="10" t="n">
        <v>13038</v>
      </c>
      <c r="AI511" s="10" t="n">
        <v>16191</v>
      </c>
      <c r="AJ511" s="11" t="n">
        <v>402189</v>
      </c>
      <c r="AK511" s="12" t="n">
        <v>31383</v>
      </c>
      <c r="AL511" s="12" t="n">
        <v>19870</v>
      </c>
      <c r="AM511" s="13" t="n">
        <v>19.1</v>
      </c>
      <c r="AN511" s="13" t="n">
        <v>9.800000000000001</v>
      </c>
      <c r="AO511" s="13" t="n">
        <v>140.7</v>
      </c>
      <c r="AP511" s="13" t="n">
        <v>21.1</v>
      </c>
    </row>
    <row r="512">
      <c r="A512" s="5" t="inlineStr">
        <is>
          <t>유니드</t>
        </is>
      </c>
      <c r="B512" s="6" t="inlineStr">
        <is>
          <t>014830</t>
        </is>
      </c>
      <c r="C512" s="6" t="inlineStr">
        <is>
          <t>연결</t>
        </is>
      </c>
      <c r="D512" s="6" t="inlineStr">
        <is>
          <t>2026Q2</t>
        </is>
      </c>
      <c r="E512" s="6" t="inlineStr">
        <is>
          <t>2023Q4</t>
        </is>
      </c>
      <c r="F512" s="14" t="n">
        <v>247327</v>
      </c>
      <c r="G512" s="15" t="n">
        <v>21534</v>
      </c>
      <c r="H512" s="15" t="n">
        <v>12720</v>
      </c>
      <c r="I512" s="9" t="n">
        <v>254703</v>
      </c>
      <c r="J512" s="10" t="n">
        <v>27497</v>
      </c>
      <c r="K512" s="10" t="n">
        <v>21659</v>
      </c>
      <c r="L512" s="7" t="n">
        <v>291638</v>
      </c>
      <c r="M512" s="8" t="n">
        <v>35034</v>
      </c>
      <c r="N512" s="8" t="n">
        <v>27146</v>
      </c>
      <c r="O512" s="9" t="n">
        <v>289783</v>
      </c>
      <c r="P512" s="10" t="n">
        <v>20461</v>
      </c>
      <c r="Q512" s="10" t="n">
        <v>19836</v>
      </c>
      <c r="R512" s="7" t="n">
        <v>275507</v>
      </c>
      <c r="S512" s="8" t="n">
        <v>12453</v>
      </c>
      <c r="T512" s="8" t="n">
        <v>7594</v>
      </c>
      <c r="U512" s="9" t="n">
        <v>322506</v>
      </c>
      <c r="V512" s="10" t="n">
        <v>28659</v>
      </c>
      <c r="W512" s="10" t="n">
        <v>22301</v>
      </c>
      <c r="X512" s="7" t="n">
        <v>340940</v>
      </c>
      <c r="Y512" s="8" t="n">
        <v>32824</v>
      </c>
      <c r="Z512" s="8" t="n">
        <v>23777</v>
      </c>
      <c r="AA512" s="9" t="n">
        <v>328977</v>
      </c>
      <c r="AB512" s="10" t="n">
        <v>18846</v>
      </c>
      <c r="AC512" s="10" t="n">
        <v>16830</v>
      </c>
      <c r="AD512" s="7" t="n">
        <v>346335</v>
      </c>
      <c r="AE512" s="8" t="n">
        <v>7580</v>
      </c>
      <c r="AF512" s="8" t="n">
        <v>2351</v>
      </c>
      <c r="AG512" s="9" t="n">
        <v>384412</v>
      </c>
      <c r="AH512" s="10" t="n">
        <v>25502</v>
      </c>
      <c r="AI512" s="10" t="n">
        <v>24868</v>
      </c>
      <c r="AJ512" s="11" t="n">
        <v>399849</v>
      </c>
      <c r="AK512" s="12" t="n">
        <v>24243</v>
      </c>
      <c r="AL512" s="12" t="n">
        <v>43059</v>
      </c>
      <c r="AM512" s="13" t="n">
        <v>4</v>
      </c>
      <c r="AN512" s="13" t="n">
        <v>17.3</v>
      </c>
      <c r="AO512" s="13" t="n">
        <v>-4.9</v>
      </c>
      <c r="AP512" s="13" t="n">
        <v>-26.1</v>
      </c>
    </row>
    <row r="513">
      <c r="A513" s="5" t="inlineStr">
        <is>
          <t>성문전자</t>
        </is>
      </c>
      <c r="B513" s="6" t="inlineStr">
        <is>
          <t>014910</t>
        </is>
      </c>
      <c r="C513" s="6" t="inlineStr">
        <is>
          <t>연결</t>
        </is>
      </c>
      <c r="D513" s="6" t="inlineStr">
        <is>
          <t>2026Q2</t>
        </is>
      </c>
      <c r="E513" s="6" t="inlineStr"/>
      <c r="F513" s="7" t="inlineStr"/>
      <c r="G513" s="8" t="inlineStr"/>
      <c r="H513" s="8" t="inlineStr"/>
      <c r="I513" s="9" t="n">
        <v>11400</v>
      </c>
      <c r="J513" s="10" t="n">
        <v>492</v>
      </c>
      <c r="K513" s="10" t="n">
        <v>613</v>
      </c>
      <c r="L513" s="7" t="n">
        <v>13605</v>
      </c>
      <c r="M513" s="8" t="n">
        <v>537</v>
      </c>
      <c r="N513" s="8" t="n">
        <v>1153</v>
      </c>
      <c r="O513" s="9" t="n">
        <v>13823</v>
      </c>
      <c r="P513" s="10" t="n">
        <v>73</v>
      </c>
      <c r="Q513" s="10" t="n">
        <v>-431</v>
      </c>
      <c r="R513" s="7" t="n">
        <v>9234</v>
      </c>
      <c r="S513" s="8" t="n">
        <v>1</v>
      </c>
      <c r="T513" s="8" t="n">
        <v>1370</v>
      </c>
      <c r="U513" s="9" t="n">
        <v>13472</v>
      </c>
      <c r="V513" s="10" t="n">
        <v>757</v>
      </c>
      <c r="W513" s="10" t="n">
        <v>870</v>
      </c>
      <c r="X513" s="7" t="n">
        <v>14568</v>
      </c>
      <c r="Y513" s="8" t="n">
        <v>548</v>
      </c>
      <c r="Z513" s="8" t="n">
        <v>87</v>
      </c>
      <c r="AA513" s="9" t="n">
        <v>11490</v>
      </c>
      <c r="AB513" s="10" t="n">
        <v>0</v>
      </c>
      <c r="AC513" s="10" t="n">
        <v>690</v>
      </c>
      <c r="AD513" s="7" t="n">
        <v>14145</v>
      </c>
      <c r="AE513" s="8" t="n">
        <v>368</v>
      </c>
      <c r="AF513" s="8" t="n">
        <v>372</v>
      </c>
      <c r="AG513" s="9" t="n">
        <v>13870</v>
      </c>
      <c r="AH513" s="10" t="n">
        <v>670</v>
      </c>
      <c r="AI513" s="10" t="n">
        <v>731</v>
      </c>
      <c r="AJ513" s="11" t="n">
        <v>17423</v>
      </c>
      <c r="AK513" s="12" t="n">
        <v>980</v>
      </c>
      <c r="AL513" s="12" t="n">
        <v>1466</v>
      </c>
      <c r="AM513" s="13" t="n">
        <v>25.6</v>
      </c>
      <c r="AN513" s="13" t="n">
        <v>19.6</v>
      </c>
      <c r="AO513" s="13" t="n">
        <v>46.3</v>
      </c>
      <c r="AP513" s="13" t="n">
        <v>78.8</v>
      </c>
    </row>
    <row r="514">
      <c r="A514" s="5" t="inlineStr">
        <is>
          <t>오리엔탈정공</t>
        </is>
      </c>
      <c r="B514" s="6" t="inlineStr">
        <is>
          <t>014940</t>
        </is>
      </c>
      <c r="C514" s="6" t="inlineStr">
        <is>
          <t>연결</t>
        </is>
      </c>
      <c r="D514" s="6" t="inlineStr">
        <is>
          <t>2026Q2</t>
        </is>
      </c>
      <c r="E514" s="6" t="inlineStr"/>
      <c r="F514" s="7" t="inlineStr"/>
      <c r="G514" s="8" t="inlineStr"/>
      <c r="H514" s="8" t="inlineStr"/>
      <c r="I514" s="9" t="n">
        <v>43115</v>
      </c>
      <c r="J514" s="10" t="n">
        <v>4198</v>
      </c>
      <c r="K514" s="10" t="n">
        <v>4077</v>
      </c>
      <c r="L514" s="7" t="n">
        <v>55166</v>
      </c>
      <c r="M514" s="8" t="n">
        <v>6891</v>
      </c>
      <c r="N514" s="8" t="n">
        <v>6681</v>
      </c>
      <c r="O514" s="9" t="n">
        <v>52216</v>
      </c>
      <c r="P514" s="10" t="n">
        <v>9698</v>
      </c>
      <c r="Q514" s="10" t="n">
        <v>8016</v>
      </c>
      <c r="R514" s="7" t="n">
        <v>56808</v>
      </c>
      <c r="S514" s="8" t="n">
        <v>4081</v>
      </c>
      <c r="T514" s="8" t="n">
        <v>7279</v>
      </c>
      <c r="U514" s="9" t="n">
        <v>51043</v>
      </c>
      <c r="V514" s="10" t="n">
        <v>8197</v>
      </c>
      <c r="W514" s="10" t="n">
        <v>6912</v>
      </c>
      <c r="X514" s="7" t="n">
        <v>51536</v>
      </c>
      <c r="Y514" s="8" t="n">
        <v>6239</v>
      </c>
      <c r="Z514" s="8" t="n">
        <v>4103</v>
      </c>
      <c r="AA514" s="9" t="n">
        <v>52822</v>
      </c>
      <c r="AB514" s="10" t="n">
        <v>6408</v>
      </c>
      <c r="AC514" s="10" t="n">
        <v>5872</v>
      </c>
      <c r="AD514" s="7" t="n">
        <v>51855</v>
      </c>
      <c r="AE514" s="8" t="n">
        <v>3434</v>
      </c>
      <c r="AF514" s="8" t="n">
        <v>2255</v>
      </c>
      <c r="AG514" s="9" t="n">
        <v>56446</v>
      </c>
      <c r="AH514" s="10" t="n">
        <v>7981</v>
      </c>
      <c r="AI514" s="10" t="n">
        <v>6156</v>
      </c>
      <c r="AJ514" s="11" t="n">
        <v>59677</v>
      </c>
      <c r="AK514" s="12" t="n">
        <v>8819</v>
      </c>
      <c r="AL514" s="12" t="n">
        <v>6784</v>
      </c>
      <c r="AM514" s="13" t="n">
        <v>5.7</v>
      </c>
      <c r="AN514" s="13" t="n">
        <v>15.8</v>
      </c>
      <c r="AO514" s="13" t="n">
        <v>10.5</v>
      </c>
      <c r="AP514" s="13" t="n">
        <v>41.4</v>
      </c>
    </row>
    <row r="515">
      <c r="A515" s="5" t="inlineStr">
        <is>
          <t>삼익제약</t>
        </is>
      </c>
      <c r="B515" s="6" t="inlineStr">
        <is>
          <t>014950</t>
        </is>
      </c>
      <c r="C515" s="6" t="inlineStr">
        <is>
          <t>연결</t>
        </is>
      </c>
      <c r="D515" s="6" t="inlineStr">
        <is>
          <t>2026Q2</t>
        </is>
      </c>
      <c r="E515" s="6" t="inlineStr"/>
      <c r="F515" s="7" t="inlineStr"/>
      <c r="G515" s="8" t="inlineStr"/>
      <c r="H515" s="8" t="inlineStr"/>
      <c r="I515" s="9" t="inlineStr"/>
      <c r="J515" s="10" t="inlineStr"/>
      <c r="K515" s="10" t="inlineStr"/>
      <c r="L515" s="7" t="inlineStr"/>
      <c r="M515" s="8" t="inlineStr"/>
      <c r="N515" s="8" t="inlineStr"/>
      <c r="O515" s="9" t="inlineStr"/>
      <c r="P515" s="10" t="inlineStr"/>
      <c r="Q515" s="10" t="inlineStr"/>
      <c r="R515" s="7" t="inlineStr"/>
      <c r="S515" s="8" t="inlineStr"/>
      <c r="T515" s="8" t="inlineStr"/>
      <c r="U515" s="9" t="inlineStr"/>
      <c r="V515" s="10" t="inlineStr"/>
      <c r="W515" s="10" t="inlineStr"/>
      <c r="X515" s="7" t="n">
        <v>14920</v>
      </c>
      <c r="Y515" s="8" t="n">
        <v>1136</v>
      </c>
      <c r="Z515" s="8" t="n">
        <v>716</v>
      </c>
      <c r="AA515" s="9" t="n">
        <v>15814</v>
      </c>
      <c r="AB515" s="10" t="n">
        <v>1072</v>
      </c>
      <c r="AC515" s="10" t="n">
        <v>937</v>
      </c>
      <c r="AD515" s="7" t="inlineStr"/>
      <c r="AE515" s="8" t="inlineStr"/>
      <c r="AF515" s="8" t="inlineStr"/>
      <c r="AG515" s="9" t="n">
        <v>15509</v>
      </c>
      <c r="AH515" s="10" t="n">
        <v>929</v>
      </c>
      <c r="AI515" s="10" t="n">
        <v>1239</v>
      </c>
      <c r="AJ515" s="11" t="n">
        <v>15702</v>
      </c>
      <c r="AK515" s="12" t="n">
        <v>-228</v>
      </c>
      <c r="AL515" s="12" t="n">
        <v>-77</v>
      </c>
      <c r="AM515" s="13" t="n">
        <v>1.2</v>
      </c>
      <c r="AN515" s="13" t="n">
        <v>5.2</v>
      </c>
      <c r="AO515" s="13" t="n">
        <v>-124.5</v>
      </c>
      <c r="AP515" s="13" t="n">
        <v>-120.1</v>
      </c>
    </row>
    <row r="516">
      <c r="A516" s="5" t="inlineStr">
        <is>
          <t>삼륭물산</t>
        </is>
      </c>
      <c r="B516" s="6" t="inlineStr">
        <is>
          <t>014970</t>
        </is>
      </c>
      <c r="C516" s="6" t="inlineStr">
        <is>
          <t>연결</t>
        </is>
      </c>
      <c r="D516" s="6" t="inlineStr">
        <is>
          <t>2026Q2</t>
        </is>
      </c>
      <c r="E516" s="6" t="inlineStr"/>
      <c r="F516" s="7" t="inlineStr"/>
      <c r="G516" s="8" t="inlineStr"/>
      <c r="H516" s="8" t="inlineStr"/>
      <c r="I516" s="9" t="n">
        <v>23183</v>
      </c>
      <c r="J516" s="10" t="n">
        <v>1055</v>
      </c>
      <c r="K516" s="10" t="n">
        <v>683</v>
      </c>
      <c r="L516" s="7" t="n">
        <v>23917</v>
      </c>
      <c r="M516" s="8" t="n">
        <v>484</v>
      </c>
      <c r="N516" s="8" t="n">
        <v>35</v>
      </c>
      <c r="O516" s="9" t="n">
        <v>23634</v>
      </c>
      <c r="P516" s="10" t="n">
        <v>285</v>
      </c>
      <c r="Q516" s="10" t="n">
        <v>1057</v>
      </c>
      <c r="R516" s="7" t="n">
        <v>23316</v>
      </c>
      <c r="S516" s="8" t="n">
        <v>3962</v>
      </c>
      <c r="T516" s="8" t="n">
        <v>-7375</v>
      </c>
      <c r="U516" s="9" t="n">
        <v>22146</v>
      </c>
      <c r="V516" s="10" t="n">
        <v>1109</v>
      </c>
      <c r="W516" s="10" t="n">
        <v>999</v>
      </c>
      <c r="X516" s="7" t="n">
        <v>24681</v>
      </c>
      <c r="Y516" s="8" t="n">
        <v>945</v>
      </c>
      <c r="Z516" s="8" t="n">
        <v>1146</v>
      </c>
      <c r="AA516" s="9" t="n">
        <v>23191</v>
      </c>
      <c r="AB516" s="10" t="n">
        <v>815</v>
      </c>
      <c r="AC516" s="10" t="n">
        <v>1760</v>
      </c>
      <c r="AD516" s="7" t="n">
        <v>24238</v>
      </c>
      <c r="AE516" s="8" t="n">
        <v>3648</v>
      </c>
      <c r="AF516" s="8" t="n">
        <v>2140</v>
      </c>
      <c r="AG516" s="9" t="n">
        <v>23947</v>
      </c>
      <c r="AH516" s="10" t="n">
        <v>678</v>
      </c>
      <c r="AI516" s="10" t="n">
        <v>544</v>
      </c>
      <c r="AJ516" s="11" t="n">
        <v>29764</v>
      </c>
      <c r="AK516" s="12" t="n">
        <v>2262</v>
      </c>
      <c r="AL516" s="12" t="n">
        <v>1943</v>
      </c>
      <c r="AM516" s="13" t="n">
        <v>24.3</v>
      </c>
      <c r="AN516" s="13" t="n">
        <v>20.6</v>
      </c>
      <c r="AO516" s="13" t="n">
        <v>233.6</v>
      </c>
      <c r="AP516" s="13" t="n">
        <v>139.4</v>
      </c>
    </row>
    <row r="517">
      <c r="A517" s="5" t="inlineStr">
        <is>
          <t>인디에프</t>
        </is>
      </c>
      <c r="B517" s="6" t="inlineStr">
        <is>
          <t>014990</t>
        </is>
      </c>
      <c r="C517" s="6" t="inlineStr">
        <is>
          <t>연결</t>
        </is>
      </c>
      <c r="D517" s="6" t="inlineStr">
        <is>
          <t>2026Q2</t>
        </is>
      </c>
      <c r="E517" s="6" t="inlineStr"/>
      <c r="F517" s="7" t="inlineStr"/>
      <c r="G517" s="8" t="inlineStr"/>
      <c r="H517" s="8" t="inlineStr"/>
      <c r="I517" s="9" t="n">
        <v>26896</v>
      </c>
      <c r="J517" s="10" t="n">
        <v>-2503</v>
      </c>
      <c r="K517" s="10" t="n">
        <v>-3456</v>
      </c>
      <c r="L517" s="7" t="n">
        <v>31965</v>
      </c>
      <c r="M517" s="8" t="n">
        <v>2836</v>
      </c>
      <c r="N517" s="8" t="n">
        <v>1964</v>
      </c>
      <c r="O517" s="9" t="n">
        <v>24062</v>
      </c>
      <c r="P517" s="10" t="n">
        <v>-3855</v>
      </c>
      <c r="Q517" s="10" t="n">
        <v>-4533</v>
      </c>
      <c r="R517" s="7" t="n">
        <v>31815</v>
      </c>
      <c r="S517" s="8" t="n">
        <v>2695</v>
      </c>
      <c r="T517" s="8" t="n">
        <v>4662</v>
      </c>
      <c r="U517" s="9" t="n">
        <v>24880</v>
      </c>
      <c r="V517" s="10" t="n">
        <v>-1068</v>
      </c>
      <c r="W517" s="10" t="n">
        <v>-1794</v>
      </c>
      <c r="X517" s="7" t="n">
        <v>27345</v>
      </c>
      <c r="Y517" s="8" t="n">
        <v>1799</v>
      </c>
      <c r="Z517" s="8" t="n">
        <v>1371</v>
      </c>
      <c r="AA517" s="9" t="n">
        <v>21972</v>
      </c>
      <c r="AB517" s="10" t="n">
        <v>-2394</v>
      </c>
      <c r="AC517" s="10" t="n">
        <v>-3144</v>
      </c>
      <c r="AD517" s="7" t="n">
        <v>30394</v>
      </c>
      <c r="AE517" s="8" t="n">
        <v>2854</v>
      </c>
      <c r="AF517" s="8" t="n">
        <v>3460</v>
      </c>
      <c r="AG517" s="9" t="n">
        <v>24315</v>
      </c>
      <c r="AH517" s="10" t="n">
        <v>496</v>
      </c>
      <c r="AI517" s="10" t="n">
        <v>-282</v>
      </c>
      <c r="AJ517" s="11" t="n">
        <v>28297</v>
      </c>
      <c r="AK517" s="12" t="n">
        <v>2283</v>
      </c>
      <c r="AL517" s="12" t="n">
        <v>1509</v>
      </c>
      <c r="AM517" s="13" t="n">
        <v>16.4</v>
      </c>
      <c r="AN517" s="13" t="n">
        <v>3.5</v>
      </c>
      <c r="AO517" s="13" t="n">
        <v>360.3</v>
      </c>
      <c r="AP517" s="13" t="n">
        <v>26.9</v>
      </c>
    </row>
    <row r="518">
      <c r="A518" s="5" t="inlineStr">
        <is>
          <t>이스타코</t>
        </is>
      </c>
      <c r="B518" s="6" t="inlineStr">
        <is>
          <t>015020</t>
        </is>
      </c>
      <c r="C518" s="6" t="inlineStr">
        <is>
          <t>별도</t>
        </is>
      </c>
      <c r="D518" s="6" t="inlineStr">
        <is>
          <t>2026Q2</t>
        </is>
      </c>
      <c r="E518" s="6" t="inlineStr"/>
      <c r="F518" s="7" t="inlineStr"/>
      <c r="G518" s="8" t="inlineStr"/>
      <c r="H518" s="8" t="inlineStr"/>
      <c r="I518" s="9" t="n">
        <v>2434</v>
      </c>
      <c r="J518" s="10" t="n">
        <v>-816</v>
      </c>
      <c r="K518" s="10" t="n">
        <v>-1110</v>
      </c>
      <c r="L518" s="7" t="n">
        <v>2706</v>
      </c>
      <c r="M518" s="8" t="n">
        <v>-560</v>
      </c>
      <c r="N518" s="8" t="n">
        <v>-760</v>
      </c>
      <c r="O518" s="9" t="n">
        <v>2928</v>
      </c>
      <c r="P518" s="10" t="n">
        <v>-818</v>
      </c>
      <c r="Q518" s="10" t="n">
        <v>-1476</v>
      </c>
      <c r="R518" s="7" t="n">
        <v>3424</v>
      </c>
      <c r="S518" s="8" t="n">
        <v>-1092</v>
      </c>
      <c r="T518" s="8" t="n">
        <v>-1600</v>
      </c>
      <c r="U518" s="9" t="n">
        <v>3051</v>
      </c>
      <c r="V518" s="10" t="n">
        <v>-553</v>
      </c>
      <c r="W518" s="10" t="n">
        <v>-935</v>
      </c>
      <c r="X518" s="7" t="n">
        <v>5909</v>
      </c>
      <c r="Y518" s="8" t="n">
        <v>1752</v>
      </c>
      <c r="Z518" s="8" t="n">
        <v>1726</v>
      </c>
      <c r="AA518" s="9" t="n">
        <v>3535</v>
      </c>
      <c r="AB518" s="10" t="n">
        <v>-733</v>
      </c>
      <c r="AC518" s="10" t="n">
        <v>-1182</v>
      </c>
      <c r="AD518" s="7" t="n">
        <v>3933</v>
      </c>
      <c r="AE518" s="8" t="n">
        <v>-873</v>
      </c>
      <c r="AF518" s="8" t="n">
        <v>-988</v>
      </c>
      <c r="AG518" s="9" t="n">
        <v>3397</v>
      </c>
      <c r="AH518" s="10" t="n">
        <v>-302</v>
      </c>
      <c r="AI518" s="10" t="n">
        <v>-721</v>
      </c>
      <c r="AJ518" s="11" t="n">
        <v>3537</v>
      </c>
      <c r="AK518" s="12" t="n">
        <v>-147</v>
      </c>
      <c r="AL518" s="12" t="n">
        <v>-772</v>
      </c>
      <c r="AM518" s="13" t="n">
        <v>4.1</v>
      </c>
      <c r="AN518" s="13" t="n">
        <v>-40.1</v>
      </c>
      <c r="AO518" s="13" t="n">
        <v>51.3</v>
      </c>
      <c r="AP518" s="13" t="n">
        <v>-108.4</v>
      </c>
    </row>
    <row r="519">
      <c r="A519" s="5" t="inlineStr">
        <is>
          <t>대창단조</t>
        </is>
      </c>
      <c r="B519" s="6" t="inlineStr">
        <is>
          <t>015230</t>
        </is>
      </c>
      <c r="C519" s="6" t="inlineStr">
        <is>
          <t>연결</t>
        </is>
      </c>
      <c r="D519" s="6" t="inlineStr">
        <is>
          <t>2026Q2</t>
        </is>
      </c>
      <c r="E519" s="6" t="inlineStr"/>
      <c r="F519" s="7" t="inlineStr"/>
      <c r="G519" s="8" t="inlineStr"/>
      <c r="H519" s="8" t="inlineStr"/>
      <c r="I519" s="9" t="n">
        <v>81758</v>
      </c>
      <c r="J519" s="10" t="n">
        <v>9459</v>
      </c>
      <c r="K519" s="10" t="n">
        <v>9535</v>
      </c>
      <c r="L519" s="7" t="n">
        <v>81928</v>
      </c>
      <c r="M519" s="8" t="n">
        <v>7144</v>
      </c>
      <c r="N519" s="8" t="n">
        <v>10009</v>
      </c>
      <c r="O519" s="9" t="n">
        <v>82292</v>
      </c>
      <c r="P519" s="10" t="n">
        <v>7009</v>
      </c>
      <c r="Q519" s="10" t="n">
        <v>4189</v>
      </c>
      <c r="R519" s="7" t="n">
        <v>76259</v>
      </c>
      <c r="S519" s="8" t="n">
        <v>6462</v>
      </c>
      <c r="T519" s="8" t="n">
        <v>9212</v>
      </c>
      <c r="U519" s="9" t="n">
        <v>87224</v>
      </c>
      <c r="V519" s="10" t="n">
        <v>11263</v>
      </c>
      <c r="W519" s="10" t="n">
        <v>9134</v>
      </c>
      <c r="X519" s="7" t="n">
        <v>85029</v>
      </c>
      <c r="Y519" s="8" t="n">
        <v>8745</v>
      </c>
      <c r="Z519" s="8" t="n">
        <v>3568</v>
      </c>
      <c r="AA519" s="9" t="n">
        <v>86462</v>
      </c>
      <c r="AB519" s="10" t="n">
        <v>10565</v>
      </c>
      <c r="AC519" s="10" t="n">
        <v>8474</v>
      </c>
      <c r="AD519" s="7" t="n">
        <v>87552</v>
      </c>
      <c r="AE519" s="8" t="n">
        <v>7461</v>
      </c>
      <c r="AF519" s="8" t="n">
        <v>6301</v>
      </c>
      <c r="AG519" s="9" t="n">
        <v>98354</v>
      </c>
      <c r="AH519" s="10" t="n">
        <v>11523</v>
      </c>
      <c r="AI519" s="10" t="n">
        <v>10569</v>
      </c>
      <c r="AJ519" s="11" t="n">
        <v>102055</v>
      </c>
      <c r="AK519" s="12" t="n">
        <v>15725</v>
      </c>
      <c r="AL519" s="12" t="n">
        <v>12462</v>
      </c>
      <c r="AM519" s="13" t="n">
        <v>3.8</v>
      </c>
      <c r="AN519" s="13" t="n">
        <v>20</v>
      </c>
      <c r="AO519" s="13" t="n">
        <v>36.5</v>
      </c>
      <c r="AP519" s="13" t="n">
        <v>79.8</v>
      </c>
    </row>
    <row r="520">
      <c r="A520" s="5" t="inlineStr">
        <is>
          <t>에이엔피</t>
        </is>
      </c>
      <c r="B520" s="6" t="inlineStr">
        <is>
          <t>015260</t>
        </is>
      </c>
      <c r="C520" s="6" t="inlineStr">
        <is>
          <t>연결</t>
        </is>
      </c>
      <c r="D520" s="6" t="inlineStr">
        <is>
          <t>2026Q2</t>
        </is>
      </c>
      <c r="E520" s="6" t="inlineStr"/>
      <c r="F520" s="7" t="inlineStr"/>
      <c r="G520" s="8" t="inlineStr"/>
      <c r="H520" s="8" t="inlineStr"/>
      <c r="I520" s="9" t="n">
        <v>30686</v>
      </c>
      <c r="J520" s="10" t="n">
        <v>-1351</v>
      </c>
      <c r="K520" s="10" t="n">
        <v>-2877</v>
      </c>
      <c r="L520" s="7" t="n">
        <v>28795</v>
      </c>
      <c r="M520" s="8" t="n">
        <v>-1968</v>
      </c>
      <c r="N520" s="8" t="n">
        <v>-1845</v>
      </c>
      <c r="O520" s="9" t="n">
        <v>25946</v>
      </c>
      <c r="P520" s="10" t="n">
        <v>-1674</v>
      </c>
      <c r="Q520" s="10" t="n">
        <v>-2606</v>
      </c>
      <c r="R520" s="7" t="n">
        <v>28063</v>
      </c>
      <c r="S520" s="8" t="n">
        <v>-999</v>
      </c>
      <c r="T520" s="8" t="n">
        <v>-3017</v>
      </c>
      <c r="U520" s="9" t="n">
        <v>30548</v>
      </c>
      <c r="V520" s="10" t="n">
        <v>-2172</v>
      </c>
      <c r="W520" s="10" t="n">
        <v>-3876</v>
      </c>
      <c r="X520" s="7" t="n">
        <v>31667</v>
      </c>
      <c r="Y520" s="8" t="n">
        <v>-1772</v>
      </c>
      <c r="Z520" s="8" t="n">
        <v>-614</v>
      </c>
      <c r="AA520" s="9" t="n">
        <v>30880</v>
      </c>
      <c r="AB520" s="10" t="n">
        <v>-1128</v>
      </c>
      <c r="AC520" s="10" t="n">
        <v>-3000</v>
      </c>
      <c r="AD520" s="7" t="n">
        <v>24395</v>
      </c>
      <c r="AE520" s="8" t="n">
        <v>-2219</v>
      </c>
      <c r="AF520" s="8" t="n">
        <v>-6697</v>
      </c>
      <c r="AG520" s="9" t="n">
        <v>27835</v>
      </c>
      <c r="AH520" s="10" t="n">
        <v>-1114</v>
      </c>
      <c r="AI520" s="10" t="n">
        <v>-2722</v>
      </c>
      <c r="AJ520" s="11" t="n">
        <v>33570</v>
      </c>
      <c r="AK520" s="12" t="n">
        <v>-236</v>
      </c>
      <c r="AL520" s="12" t="n">
        <v>328</v>
      </c>
      <c r="AM520" s="13" t="n">
        <v>20.6</v>
      </c>
      <c r="AN520" s="13" t="n">
        <v>6</v>
      </c>
      <c r="AO520" s="13" t="n">
        <v>78.8</v>
      </c>
      <c r="AP520" s="13" t="n">
        <v>86.7</v>
      </c>
    </row>
    <row r="521">
      <c r="A521" s="5" t="inlineStr">
        <is>
          <t>INVENI</t>
        </is>
      </c>
      <c r="B521" s="6" t="inlineStr">
        <is>
          <t>015360</t>
        </is>
      </c>
      <c r="C521" s="6" t="inlineStr">
        <is>
          <t>연결</t>
        </is>
      </c>
      <c r="D521" s="6" t="inlineStr">
        <is>
          <t>2026Q2</t>
        </is>
      </c>
      <c r="E521" s="6" t="inlineStr"/>
      <c r="F521" s="7" t="inlineStr"/>
      <c r="G521" s="8" t="inlineStr"/>
      <c r="H521" s="8" t="inlineStr"/>
      <c r="I521" s="9" t="n">
        <v>523984</v>
      </c>
      <c r="J521" s="10" t="n">
        <v>25184</v>
      </c>
      <c r="K521" s="10" t="n">
        <v>17017</v>
      </c>
      <c r="L521" s="7" t="n">
        <v>171790</v>
      </c>
      <c r="M521" s="8" t="n">
        <v>7230</v>
      </c>
      <c r="N521" s="8" t="n">
        <v>9502</v>
      </c>
      <c r="O521" s="9" t="n">
        <v>123838</v>
      </c>
      <c r="P521" s="10" t="n">
        <v>-13345</v>
      </c>
      <c r="Q521" s="10" t="n">
        <v>7699</v>
      </c>
      <c r="R521" s="7" t="n">
        <v>340740</v>
      </c>
      <c r="S521" s="8" t="n">
        <v>5201</v>
      </c>
      <c r="T521" s="8" t="n">
        <v>-5646</v>
      </c>
      <c r="U521" s="9" t="n">
        <v>532641</v>
      </c>
      <c r="V521" s="10" t="n">
        <v>24201</v>
      </c>
      <c r="W521" s="10" t="n">
        <v>19780</v>
      </c>
      <c r="X521" s="7" t="n">
        <v>247067</v>
      </c>
      <c r="Y521" s="8" t="n">
        <v>50085</v>
      </c>
      <c r="Z521" s="8" t="n">
        <v>51152</v>
      </c>
      <c r="AA521" s="9" t="n">
        <v>150255</v>
      </c>
      <c r="AB521" s="10" t="n">
        <v>16128</v>
      </c>
      <c r="AC521" s="10" t="n">
        <v>8828</v>
      </c>
      <c r="AD521" s="7" t="n">
        <v>397636</v>
      </c>
      <c r="AE521" s="8" t="n">
        <v>21301</v>
      </c>
      <c r="AF521" s="8" t="n">
        <v>6955</v>
      </c>
      <c r="AG521" s="9" t="n">
        <v>572034</v>
      </c>
      <c r="AH521" s="10" t="n">
        <v>79146</v>
      </c>
      <c r="AI521" s="10" t="n">
        <v>57153</v>
      </c>
      <c r="AJ521" s="11" t="n">
        <v>193744</v>
      </c>
      <c r="AK521" s="12" t="n">
        <v>11239</v>
      </c>
      <c r="AL521" s="12" t="n">
        <v>8852</v>
      </c>
      <c r="AM521" s="13" t="n">
        <v>-66.09999999999999</v>
      </c>
      <c r="AN521" s="13" t="n">
        <v>-21.6</v>
      </c>
      <c r="AO521" s="13" t="n">
        <v>-85.8</v>
      </c>
      <c r="AP521" s="13" t="n">
        <v>-77.59999999999999</v>
      </c>
    </row>
    <row r="522">
      <c r="A522" s="5" t="inlineStr">
        <is>
          <t>DKME</t>
        </is>
      </c>
      <c r="B522" s="6" t="inlineStr">
        <is>
          <t>015590</t>
        </is>
      </c>
      <c r="C522" s="6" t="inlineStr">
        <is>
          <t>연결</t>
        </is>
      </c>
      <c r="D522" s="6" t="inlineStr">
        <is>
          <t>2026Q2</t>
        </is>
      </c>
      <c r="E522" s="6" t="inlineStr"/>
      <c r="F522" s="7" t="inlineStr"/>
      <c r="G522" s="8" t="inlineStr"/>
      <c r="H522" s="8" t="inlineStr"/>
      <c r="I522" s="9" t="n">
        <v>35164</v>
      </c>
      <c r="J522" s="10" t="n">
        <v>707</v>
      </c>
      <c r="K522" s="10" t="n">
        <v>2227</v>
      </c>
      <c r="L522" s="7" t="n">
        <v>28652</v>
      </c>
      <c r="M522" s="8" t="n">
        <v>-392</v>
      </c>
      <c r="N522" s="8" t="n">
        <v>-238</v>
      </c>
      <c r="O522" s="9" t="n">
        <v>35950</v>
      </c>
      <c r="P522" s="10" t="n">
        <v>3966</v>
      </c>
      <c r="Q522" s="10" t="n">
        <v>-4001</v>
      </c>
      <c r="R522" s="7" t="n">
        <v>36858</v>
      </c>
      <c r="S522" s="8" t="n">
        <v>5741</v>
      </c>
      <c r="T522" s="8" t="n">
        <v>4294</v>
      </c>
      <c r="U522" s="9" t="n">
        <v>37148</v>
      </c>
      <c r="V522" s="10" t="n">
        <v>3517</v>
      </c>
      <c r="W522" s="10" t="n">
        <v>3492</v>
      </c>
      <c r="X522" s="7" t="n">
        <v>35640</v>
      </c>
      <c r="Y522" s="8" t="n">
        <v>4903</v>
      </c>
      <c r="Z522" s="8" t="n">
        <v>-719</v>
      </c>
      <c r="AA522" s="9" t="n">
        <v>33420</v>
      </c>
      <c r="AB522" s="10" t="n">
        <v>289</v>
      </c>
      <c r="AC522" s="10" t="n">
        <v>3132</v>
      </c>
      <c r="AD522" s="7" t="n">
        <v>27204</v>
      </c>
      <c r="AE522" s="8" t="n">
        <v>1317</v>
      </c>
      <c r="AF522" s="8" t="n">
        <v>-8783</v>
      </c>
      <c r="AG522" s="9" t="n">
        <v>20363</v>
      </c>
      <c r="AH522" s="10" t="n">
        <v>1235</v>
      </c>
      <c r="AI522" s="10" t="n">
        <v>4598</v>
      </c>
      <c r="AJ522" s="11" t="n">
        <v>16476</v>
      </c>
      <c r="AK522" s="12" t="n">
        <v>-5483</v>
      </c>
      <c r="AL522" s="12" t="n">
        <v>-5810</v>
      </c>
      <c r="AM522" s="13" t="n">
        <v>-19.1</v>
      </c>
      <c r="AN522" s="13" t="n">
        <v>-53.8</v>
      </c>
      <c r="AO522" s="13" t="n">
        <v>-544</v>
      </c>
      <c r="AP522" s="13" t="n">
        <v>-211.8</v>
      </c>
    </row>
    <row r="523">
      <c r="A523" s="5" t="inlineStr">
        <is>
          <t>해치텍</t>
        </is>
      </c>
      <c r="B523" s="6" t="inlineStr">
        <is>
          <t>0155E0</t>
        </is>
      </c>
      <c r="C523" s="6" t="inlineStr">
        <is>
          <t>연결</t>
        </is>
      </c>
      <c r="D523" s="6" t="inlineStr">
        <is>
          <t>2026Q2</t>
        </is>
      </c>
      <c r="E523" s="6" t="inlineStr"/>
      <c r="F523" s="7" t="inlineStr"/>
      <c r="G523" s="8" t="inlineStr"/>
      <c r="H523" s="8" t="inlineStr"/>
      <c r="I523" s="9" t="inlineStr"/>
      <c r="J523" s="10" t="inlineStr"/>
      <c r="K523" s="10" t="inlineStr"/>
      <c r="L523" s="7" t="inlineStr"/>
      <c r="M523" s="8" t="inlineStr"/>
      <c r="N523" s="8" t="inlineStr"/>
      <c r="O523" s="9" t="inlineStr"/>
      <c r="P523" s="10" t="inlineStr"/>
      <c r="Q523" s="10" t="inlineStr"/>
      <c r="R523" s="7" t="inlineStr"/>
      <c r="S523" s="8" t="inlineStr"/>
      <c r="T523" s="8" t="inlineStr"/>
      <c r="U523" s="9" t="inlineStr"/>
      <c r="V523" s="10" t="inlineStr"/>
      <c r="W523" s="10" t="inlineStr"/>
      <c r="X523" s="7" t="inlineStr"/>
      <c r="Y523" s="8" t="inlineStr"/>
      <c r="Z523" s="8" t="inlineStr"/>
      <c r="AA523" s="9" t="inlineStr"/>
      <c r="AB523" s="10" t="inlineStr"/>
      <c r="AC523" s="10" t="inlineStr"/>
      <c r="AD523" s="7" t="inlineStr"/>
      <c r="AE523" s="8" t="inlineStr"/>
      <c r="AF523" s="8" t="inlineStr"/>
      <c r="AG523" s="9" t="inlineStr"/>
      <c r="AH523" s="10" t="inlineStr"/>
      <c r="AI523" s="10" t="inlineStr"/>
      <c r="AJ523" s="11" t="n">
        <v>4984</v>
      </c>
      <c r="AK523" s="12" t="n">
        <v>-113</v>
      </c>
      <c r="AL523" s="12" t="n">
        <v>31</v>
      </c>
      <c r="AM523" s="13" t="inlineStr"/>
      <c r="AN523" s="13" t="inlineStr"/>
      <c r="AO523" s="13" t="inlineStr"/>
      <c r="AP523" s="13" t="inlineStr"/>
    </row>
    <row r="524">
      <c r="A524" s="5" t="inlineStr">
        <is>
          <t>에이치엘지노믹스</t>
        </is>
      </c>
      <c r="B524" s="6" t="inlineStr">
        <is>
          <t>0156T0</t>
        </is>
      </c>
      <c r="C524" s="6" t="inlineStr">
        <is>
          <t>별도</t>
        </is>
      </c>
      <c r="D524" s="6" t="inlineStr">
        <is>
          <t>2026Q2</t>
        </is>
      </c>
      <c r="E524" s="6" t="inlineStr"/>
      <c r="F524" s="7" t="inlineStr"/>
      <c r="G524" s="8" t="inlineStr"/>
      <c r="H524" s="8" t="inlineStr"/>
      <c r="I524" s="9" t="inlineStr"/>
      <c r="J524" s="10" t="inlineStr"/>
      <c r="K524" s="10" t="inlineStr"/>
      <c r="L524" s="7" t="inlineStr"/>
      <c r="M524" s="8" t="inlineStr"/>
      <c r="N524" s="8" t="inlineStr"/>
      <c r="O524" s="9" t="inlineStr"/>
      <c r="P524" s="10" t="inlineStr"/>
      <c r="Q524" s="10" t="inlineStr"/>
      <c r="R524" s="7" t="inlineStr"/>
      <c r="S524" s="8" t="inlineStr"/>
      <c r="T524" s="8" t="inlineStr"/>
      <c r="U524" s="9" t="inlineStr"/>
      <c r="V524" s="10" t="inlineStr"/>
      <c r="W524" s="10" t="inlineStr"/>
      <c r="X524" s="7" t="inlineStr"/>
      <c r="Y524" s="8" t="inlineStr"/>
      <c r="Z524" s="8" t="inlineStr"/>
      <c r="AA524" s="9" t="inlineStr"/>
      <c r="AB524" s="10" t="inlineStr"/>
      <c r="AC524" s="10" t="inlineStr"/>
      <c r="AD524" s="7" t="inlineStr"/>
      <c r="AE524" s="8" t="inlineStr"/>
      <c r="AF524" s="8" t="inlineStr"/>
      <c r="AG524" s="9" t="inlineStr"/>
      <c r="AH524" s="10" t="inlineStr"/>
      <c r="AI524" s="10" t="inlineStr"/>
      <c r="AJ524" s="11" t="n">
        <v>6608</v>
      </c>
      <c r="AK524" s="12" t="n">
        <v>2116</v>
      </c>
      <c r="AL524" s="12" t="n">
        <v>1788</v>
      </c>
      <c r="AM524" s="13" t="inlineStr"/>
      <c r="AN524" s="13" t="inlineStr"/>
      <c r="AO524" s="13" t="inlineStr"/>
      <c r="AP524" s="13" t="inlineStr"/>
    </row>
    <row r="525">
      <c r="A525" s="5" t="inlineStr">
        <is>
          <t>코콤</t>
        </is>
      </c>
      <c r="B525" s="6" t="inlineStr">
        <is>
          <t>015710</t>
        </is>
      </c>
      <c r="C525" s="6" t="inlineStr">
        <is>
          <t>별도</t>
        </is>
      </c>
      <c r="D525" s="6" t="inlineStr">
        <is>
          <t>2026Q2</t>
        </is>
      </c>
      <c r="E525" s="6" t="inlineStr"/>
      <c r="F525" s="7" t="inlineStr"/>
      <c r="G525" s="8" t="inlineStr"/>
      <c r="H525" s="8" t="inlineStr"/>
      <c r="I525" s="9" t="n">
        <v>19994</v>
      </c>
      <c r="J525" s="10" t="n">
        <v>360</v>
      </c>
      <c r="K525" s="10" t="n">
        <v>108</v>
      </c>
      <c r="L525" s="7" t="n">
        <v>20529</v>
      </c>
      <c r="M525" s="8" t="n">
        <v>-675</v>
      </c>
      <c r="N525" s="8" t="n">
        <v>-74</v>
      </c>
      <c r="O525" s="9" t="n">
        <v>28253</v>
      </c>
      <c r="P525" s="10" t="n">
        <v>1359</v>
      </c>
      <c r="Q525" s="10" t="n">
        <v>1772</v>
      </c>
      <c r="R525" s="7" t="n">
        <v>36217</v>
      </c>
      <c r="S525" s="8" t="n">
        <v>2684</v>
      </c>
      <c r="T525" s="8" t="n">
        <v>597</v>
      </c>
      <c r="U525" s="9" t="n">
        <v>26362</v>
      </c>
      <c r="V525" s="10" t="n">
        <v>2013</v>
      </c>
      <c r="W525" s="10" t="n">
        <v>2121</v>
      </c>
      <c r="X525" s="7" t="n">
        <v>26529</v>
      </c>
      <c r="Y525" s="8" t="n">
        <v>1156</v>
      </c>
      <c r="Z525" s="8" t="n">
        <v>1267</v>
      </c>
      <c r="AA525" s="9" t="n">
        <v>21036</v>
      </c>
      <c r="AB525" s="10" t="n">
        <v>38</v>
      </c>
      <c r="AC525" s="10" t="n">
        <v>568</v>
      </c>
      <c r="AD525" s="7" t="n">
        <v>21844</v>
      </c>
      <c r="AE525" s="8" t="n">
        <v>-208</v>
      </c>
      <c r="AF525" s="8" t="n">
        <v>1757</v>
      </c>
      <c r="AG525" s="9" t="n">
        <v>18716</v>
      </c>
      <c r="AH525" s="10" t="n">
        <v>-826</v>
      </c>
      <c r="AI525" s="10" t="n">
        <v>-131</v>
      </c>
      <c r="AJ525" s="11" t="n">
        <v>19700</v>
      </c>
      <c r="AK525" s="12" t="n">
        <v>-538</v>
      </c>
      <c r="AL525" s="12" t="n">
        <v>1229</v>
      </c>
      <c r="AM525" s="13" t="n">
        <v>5.3</v>
      </c>
      <c r="AN525" s="13" t="n">
        <v>-25.7</v>
      </c>
      <c r="AO525" s="13" t="n">
        <v>34.9</v>
      </c>
      <c r="AP525" s="13" t="n">
        <v>-146.5</v>
      </c>
    </row>
    <row r="526">
      <c r="A526" s="5" t="inlineStr">
        <is>
          <t>성우하이텍</t>
        </is>
      </c>
      <c r="B526" s="6" t="inlineStr">
        <is>
          <t>015750</t>
        </is>
      </c>
      <c r="C526" s="6" t="inlineStr">
        <is>
          <t>연결</t>
        </is>
      </c>
      <c r="D526" s="6" t="inlineStr">
        <is>
          <t>2026Q2</t>
        </is>
      </c>
      <c r="E526" s="6" t="inlineStr"/>
      <c r="F526" s="7" t="inlineStr"/>
      <c r="G526" s="8" t="inlineStr"/>
      <c r="H526" s="8" t="inlineStr"/>
      <c r="I526" s="9" t="n">
        <v>1030784</v>
      </c>
      <c r="J526" s="10" t="n">
        <v>42961</v>
      </c>
      <c r="K526" s="10" t="n">
        <v>30519</v>
      </c>
      <c r="L526" s="7" t="n">
        <v>1114487</v>
      </c>
      <c r="M526" s="8" t="n">
        <v>38130</v>
      </c>
      <c r="N526" s="8" t="n">
        <v>31244</v>
      </c>
      <c r="O526" s="9" t="n">
        <v>1055353</v>
      </c>
      <c r="P526" s="10" t="n">
        <v>43998</v>
      </c>
      <c r="Q526" s="10" t="n">
        <v>7648</v>
      </c>
      <c r="R526" s="7" t="n">
        <v>1044469</v>
      </c>
      <c r="S526" s="8" t="n">
        <v>80794</v>
      </c>
      <c r="T526" s="8" t="n">
        <v>65651</v>
      </c>
      <c r="U526" s="9" t="n">
        <v>1048934</v>
      </c>
      <c r="V526" s="10" t="n">
        <v>58250</v>
      </c>
      <c r="W526" s="10" t="n">
        <v>42783</v>
      </c>
      <c r="X526" s="7" t="n">
        <v>1153919</v>
      </c>
      <c r="Y526" s="8" t="n">
        <v>65384</v>
      </c>
      <c r="Z526" s="8" t="n">
        <v>21913</v>
      </c>
      <c r="AA526" s="9" t="n">
        <v>1185106</v>
      </c>
      <c r="AB526" s="10" t="n">
        <v>63431</v>
      </c>
      <c r="AC526" s="10" t="n">
        <v>61672</v>
      </c>
      <c r="AD526" s="7" t="n">
        <v>994711</v>
      </c>
      <c r="AE526" s="8" t="n">
        <v>55618</v>
      </c>
      <c r="AF526" s="8" t="n">
        <v>51480</v>
      </c>
      <c r="AG526" s="9" t="n">
        <v>1069578</v>
      </c>
      <c r="AH526" s="10" t="n">
        <v>54496</v>
      </c>
      <c r="AI526" s="10" t="n">
        <v>31174</v>
      </c>
      <c r="AJ526" s="11" t="n">
        <v>1126340</v>
      </c>
      <c r="AK526" s="12" t="n">
        <v>65055</v>
      </c>
      <c r="AL526" s="12" t="n">
        <v>16133</v>
      </c>
      <c r="AM526" s="13" t="n">
        <v>5.3</v>
      </c>
      <c r="AN526" s="13" t="n">
        <v>-2.4</v>
      </c>
      <c r="AO526" s="13" t="n">
        <v>19.4</v>
      </c>
      <c r="AP526" s="13" t="n">
        <v>-0.5</v>
      </c>
    </row>
    <row r="527">
      <c r="A527" s="5" t="inlineStr">
        <is>
          <t>한국전력공사</t>
        </is>
      </c>
      <c r="B527" s="6" t="inlineStr">
        <is>
          <t>015760</t>
        </is>
      </c>
      <c r="C527" s="6" t="inlineStr">
        <is>
          <t>연결</t>
        </is>
      </c>
      <c r="D527" s="6" t="inlineStr">
        <is>
          <t>2026Q2</t>
        </is>
      </c>
      <c r="E527" s="6" t="inlineStr">
        <is>
          <t>2023Q4</t>
        </is>
      </c>
      <c r="F527" s="14" t="n">
        <v>22518593</v>
      </c>
      <c r="G527" s="15" t="n">
        <v>1884248</v>
      </c>
      <c r="H527" s="15" t="n">
        <v>1325413</v>
      </c>
      <c r="I527" s="9" t="n">
        <v>23292743</v>
      </c>
      <c r="J527" s="10" t="n">
        <v>1299343</v>
      </c>
      <c r="K527" s="10" t="n">
        <v>595935</v>
      </c>
      <c r="L527" s="7" t="n">
        <v>20473707</v>
      </c>
      <c r="M527" s="8" t="n">
        <v>1250262</v>
      </c>
      <c r="N527" s="8" t="n">
        <v>114418</v>
      </c>
      <c r="O527" s="9" t="n">
        <v>26103357</v>
      </c>
      <c r="P527" s="10" t="n">
        <v>3396055</v>
      </c>
      <c r="Q527" s="10" t="n">
        <v>1879646</v>
      </c>
      <c r="R527" s="7" t="n">
        <v>23529089</v>
      </c>
      <c r="S527" s="8" t="n">
        <v>2419050</v>
      </c>
      <c r="T527" s="8" t="n">
        <v>1031969</v>
      </c>
      <c r="U527" s="9" t="n">
        <v>24223984</v>
      </c>
      <c r="V527" s="10" t="n">
        <v>3753607</v>
      </c>
      <c r="W527" s="10" t="n">
        <v>2361708</v>
      </c>
      <c r="X527" s="7" t="n">
        <v>21950138</v>
      </c>
      <c r="Y527" s="8" t="n">
        <v>2135872</v>
      </c>
      <c r="Z527" s="8" t="n">
        <v>1176357</v>
      </c>
      <c r="AA527" s="9" t="n">
        <v>27572384</v>
      </c>
      <c r="AB527" s="10" t="n">
        <v>5651912</v>
      </c>
      <c r="AC527" s="10" t="n">
        <v>3790018</v>
      </c>
      <c r="AD527" s="7" t="n">
        <v>23682840</v>
      </c>
      <c r="AE527" s="8" t="n">
        <v>1949166</v>
      </c>
      <c r="AF527" s="8" t="n">
        <v>1338573</v>
      </c>
      <c r="AG527" s="9" t="n">
        <v>24398487</v>
      </c>
      <c r="AH527" s="10" t="n">
        <v>3784169</v>
      </c>
      <c r="AI527" s="10" t="n">
        <v>2519007</v>
      </c>
      <c r="AJ527" s="11" t="n">
        <v>21918852</v>
      </c>
      <c r="AK527" s="12" t="n">
        <v>1128552</v>
      </c>
      <c r="AL527" s="12" t="n">
        <v>277537</v>
      </c>
      <c r="AM527" s="13" t="n">
        <v>-10.2</v>
      </c>
      <c r="AN527" s="13" t="n">
        <v>-0.1</v>
      </c>
      <c r="AO527" s="13" t="n">
        <v>-70.2</v>
      </c>
      <c r="AP527" s="13" t="n">
        <v>-47.2</v>
      </c>
    </row>
    <row r="528">
      <c r="A528" s="5" t="inlineStr">
        <is>
          <t>일진홀딩스</t>
        </is>
      </c>
      <c r="B528" s="6" t="inlineStr">
        <is>
          <t>015860</t>
        </is>
      </c>
      <c r="C528" s="6" t="inlineStr">
        <is>
          <t>연결</t>
        </is>
      </c>
      <c r="D528" s="6" t="inlineStr">
        <is>
          <t>2026Q2</t>
        </is>
      </c>
      <c r="E528" s="6" t="inlineStr"/>
      <c r="F528" s="7" t="inlineStr"/>
      <c r="G528" s="8" t="inlineStr"/>
      <c r="H528" s="8" t="inlineStr"/>
      <c r="I528" s="9" t="n">
        <v>386074</v>
      </c>
      <c r="J528" s="10" t="n">
        <v>18294</v>
      </c>
      <c r="K528" s="10" t="n">
        <v>15790</v>
      </c>
      <c r="L528" s="7" t="n">
        <v>492877</v>
      </c>
      <c r="M528" s="8" t="n">
        <v>25545</v>
      </c>
      <c r="N528" s="8" t="n">
        <v>20579</v>
      </c>
      <c r="O528" s="9" t="n">
        <v>387492</v>
      </c>
      <c r="P528" s="10" t="n">
        <v>11797</v>
      </c>
      <c r="Q528" s="10" t="n">
        <v>6187</v>
      </c>
      <c r="R528" s="7" t="n">
        <v>533581</v>
      </c>
      <c r="S528" s="8" t="n">
        <v>16885</v>
      </c>
      <c r="T528" s="8" t="n">
        <v>7848</v>
      </c>
      <c r="U528" s="9" t="n">
        <v>505598</v>
      </c>
      <c r="V528" s="10" t="n">
        <v>32357</v>
      </c>
      <c r="W528" s="10" t="n">
        <v>25146</v>
      </c>
      <c r="X528" s="7" t="n">
        <v>580010</v>
      </c>
      <c r="Y528" s="8" t="n">
        <v>36074</v>
      </c>
      <c r="Z528" s="8" t="n">
        <v>24074</v>
      </c>
      <c r="AA528" s="9" t="n">
        <v>517273</v>
      </c>
      <c r="AB528" s="10" t="n">
        <v>32902</v>
      </c>
      <c r="AC528" s="10" t="n">
        <v>29556</v>
      </c>
      <c r="AD528" s="7" t="n">
        <v>679843</v>
      </c>
      <c r="AE528" s="8" t="n">
        <v>44258</v>
      </c>
      <c r="AF528" s="8" t="n">
        <v>10828</v>
      </c>
      <c r="AG528" s="9" t="n">
        <v>572898</v>
      </c>
      <c r="AH528" s="10" t="n">
        <v>52131</v>
      </c>
      <c r="AI528" s="10" t="n">
        <v>39092</v>
      </c>
      <c r="AJ528" s="11" t="n">
        <v>714369</v>
      </c>
      <c r="AK528" s="12" t="n">
        <v>78869</v>
      </c>
      <c r="AL528" s="12" t="n">
        <v>-22317</v>
      </c>
      <c r="AM528" s="13" t="n">
        <v>24.7</v>
      </c>
      <c r="AN528" s="13" t="n">
        <v>23.2</v>
      </c>
      <c r="AO528" s="13" t="n">
        <v>51.3</v>
      </c>
      <c r="AP528" s="13" t="n">
        <v>118.6</v>
      </c>
    </row>
    <row r="529">
      <c r="A529" s="5" t="inlineStr">
        <is>
          <t>태경산업</t>
        </is>
      </c>
      <c r="B529" s="6" t="inlineStr">
        <is>
          <t>015890</t>
        </is>
      </c>
      <c r="C529" s="6" t="inlineStr">
        <is>
          <t>연결</t>
        </is>
      </c>
      <c r="D529" s="6" t="inlineStr">
        <is>
          <t>2026Q2</t>
        </is>
      </c>
      <c r="E529" s="6" t="inlineStr"/>
      <c r="F529" s="7" t="inlineStr"/>
      <c r="G529" s="8" t="inlineStr"/>
      <c r="H529" s="8" t="inlineStr"/>
      <c r="I529" s="9" t="n">
        <v>156785</v>
      </c>
      <c r="J529" s="10" t="n">
        <v>10298</v>
      </c>
      <c r="K529" s="10" t="n">
        <v>4362</v>
      </c>
      <c r="L529" s="7" t="n">
        <v>181571</v>
      </c>
      <c r="M529" s="8" t="n">
        <v>16115</v>
      </c>
      <c r="N529" s="8" t="n">
        <v>13337</v>
      </c>
      <c r="O529" s="9" t="n">
        <v>177332</v>
      </c>
      <c r="P529" s="10" t="n">
        <v>16540</v>
      </c>
      <c r="Q529" s="10" t="n">
        <v>12037</v>
      </c>
      <c r="R529" s="7" t="n">
        <v>160004</v>
      </c>
      <c r="S529" s="8" t="n">
        <v>12731</v>
      </c>
      <c r="T529" s="8" t="n">
        <v>10322</v>
      </c>
      <c r="U529" s="9" t="n">
        <v>169262</v>
      </c>
      <c r="V529" s="10" t="n">
        <v>12004</v>
      </c>
      <c r="W529" s="10" t="n">
        <v>6876</v>
      </c>
      <c r="X529" s="7" t="n">
        <v>209718</v>
      </c>
      <c r="Y529" s="8" t="n">
        <v>13663</v>
      </c>
      <c r="Z529" s="8" t="n">
        <v>9943</v>
      </c>
      <c r="AA529" s="9" t="n">
        <v>198402</v>
      </c>
      <c r="AB529" s="10" t="n">
        <v>16748</v>
      </c>
      <c r="AC529" s="10" t="n">
        <v>13649</v>
      </c>
      <c r="AD529" s="7" t="n">
        <v>199714</v>
      </c>
      <c r="AE529" s="8" t="n">
        <v>13017</v>
      </c>
      <c r="AF529" s="8" t="n">
        <v>8034</v>
      </c>
      <c r="AG529" s="9" t="n">
        <v>206159</v>
      </c>
      <c r="AH529" s="10" t="n">
        <v>17217</v>
      </c>
      <c r="AI529" s="10" t="n">
        <v>14181</v>
      </c>
      <c r="AJ529" s="11" t="n">
        <v>240703</v>
      </c>
      <c r="AK529" s="12" t="n">
        <v>22085</v>
      </c>
      <c r="AL529" s="12" t="n">
        <v>18078</v>
      </c>
      <c r="AM529" s="13" t="n">
        <v>16.8</v>
      </c>
      <c r="AN529" s="13" t="n">
        <v>14.8</v>
      </c>
      <c r="AO529" s="13" t="n">
        <v>28.3</v>
      </c>
      <c r="AP529" s="13" t="n">
        <v>61.6</v>
      </c>
    </row>
    <row r="530">
      <c r="A530" s="5" t="inlineStr">
        <is>
          <t>대현</t>
        </is>
      </c>
      <c r="B530" s="6" t="inlineStr">
        <is>
          <t>016090</t>
        </is>
      </c>
      <c r="C530" s="6" t="inlineStr">
        <is>
          <t>별도</t>
        </is>
      </c>
      <c r="D530" s="6" t="inlineStr">
        <is>
          <t>2026Q2</t>
        </is>
      </c>
      <c r="E530" s="6" t="inlineStr"/>
      <c r="F530" s="7" t="inlineStr"/>
      <c r="G530" s="8" t="inlineStr"/>
      <c r="H530" s="8" t="inlineStr"/>
      <c r="I530" s="9" t="n">
        <v>73832</v>
      </c>
      <c r="J530" s="10" t="n">
        <v>4852</v>
      </c>
      <c r="K530" s="10" t="n">
        <v>5134</v>
      </c>
      <c r="L530" s="7" t="n">
        <v>59880</v>
      </c>
      <c r="M530" s="8" t="n">
        <v>6049</v>
      </c>
      <c r="N530" s="8" t="n">
        <v>5382</v>
      </c>
      <c r="O530" s="9" t="n">
        <v>50259</v>
      </c>
      <c r="P530" s="10" t="n">
        <v>2674</v>
      </c>
      <c r="Q530" s="10" t="n">
        <v>3198</v>
      </c>
      <c r="R530" s="7" t="n">
        <v>75314</v>
      </c>
      <c r="S530" s="8" t="n">
        <v>798</v>
      </c>
      <c r="T530" s="8" t="n">
        <v>2184</v>
      </c>
      <c r="U530" s="9" t="n">
        <v>63089</v>
      </c>
      <c r="V530" s="10" t="n">
        <v>1059</v>
      </c>
      <c r="W530" s="10" t="n">
        <v>2381</v>
      </c>
      <c r="X530" s="7" t="n">
        <v>52902</v>
      </c>
      <c r="Y530" s="8" t="n">
        <v>1069</v>
      </c>
      <c r="Z530" s="8" t="n">
        <v>2024</v>
      </c>
      <c r="AA530" s="9" t="n">
        <v>46830</v>
      </c>
      <c r="AB530" s="10" t="n">
        <v>-1990</v>
      </c>
      <c r="AC530" s="10" t="n">
        <v>-455</v>
      </c>
      <c r="AD530" s="7" t="n">
        <v>77723</v>
      </c>
      <c r="AE530" s="8" t="n">
        <v>6940</v>
      </c>
      <c r="AF530" s="8" t="n">
        <v>7065</v>
      </c>
      <c r="AG530" s="9" t="n">
        <v>65809</v>
      </c>
      <c r="AH530" s="10" t="n">
        <v>3571</v>
      </c>
      <c r="AI530" s="10" t="n">
        <v>3861</v>
      </c>
      <c r="AJ530" s="11" t="n">
        <v>54082</v>
      </c>
      <c r="AK530" s="12" t="n">
        <v>1833</v>
      </c>
      <c r="AL530" s="12" t="n">
        <v>2631</v>
      </c>
      <c r="AM530" s="13" t="n">
        <v>-17.8</v>
      </c>
      <c r="AN530" s="13" t="n">
        <v>2.2</v>
      </c>
      <c r="AO530" s="13" t="n">
        <v>-48.7</v>
      </c>
      <c r="AP530" s="13" t="n">
        <v>71.5</v>
      </c>
    </row>
    <row r="531">
      <c r="A531" s="5" t="inlineStr">
        <is>
          <t>리더스코스메틱</t>
        </is>
      </c>
      <c r="B531" s="6" t="inlineStr">
        <is>
          <t>016100</t>
        </is>
      </c>
      <c r="C531" s="6" t="inlineStr">
        <is>
          <t>연결</t>
        </is>
      </c>
      <c r="D531" s="6" t="inlineStr">
        <is>
          <t>2026Q2</t>
        </is>
      </c>
      <c r="E531" s="6" t="inlineStr"/>
      <c r="F531" s="7" t="inlineStr"/>
      <c r="G531" s="8" t="inlineStr"/>
      <c r="H531" s="8" t="inlineStr"/>
      <c r="I531" s="9" t="n">
        <v>18115</v>
      </c>
      <c r="J531" s="10" t="n">
        <v>-340</v>
      </c>
      <c r="K531" s="10" t="n">
        <v>-540</v>
      </c>
      <c r="L531" s="7" t="n">
        <v>18964</v>
      </c>
      <c r="M531" s="8" t="n">
        <v>-9</v>
      </c>
      <c r="N531" s="8" t="n">
        <v>546</v>
      </c>
      <c r="O531" s="9" t="n">
        <v>17796</v>
      </c>
      <c r="P531" s="10" t="n">
        <v>-862</v>
      </c>
      <c r="Q531" s="10" t="n">
        <v>-897</v>
      </c>
      <c r="R531" s="7" t="n">
        <v>18624</v>
      </c>
      <c r="S531" s="8" t="n">
        <v>-1692</v>
      </c>
      <c r="T531" s="8" t="n">
        <v>-2358</v>
      </c>
      <c r="U531" s="9" t="n">
        <v>18358</v>
      </c>
      <c r="V531" s="10" t="n">
        <v>-1882</v>
      </c>
      <c r="W531" s="10" t="n">
        <v>-1992</v>
      </c>
      <c r="X531" s="7" t="n">
        <v>19510</v>
      </c>
      <c r="Y531" s="8" t="n">
        <v>-515</v>
      </c>
      <c r="Z531" s="8" t="n">
        <v>-718</v>
      </c>
      <c r="AA531" s="9" t="n">
        <v>18857</v>
      </c>
      <c r="AB531" s="10" t="n">
        <v>-1610</v>
      </c>
      <c r="AC531" s="10" t="n">
        <v>-1674</v>
      </c>
      <c r="AD531" s="7" t="n">
        <v>11589</v>
      </c>
      <c r="AE531" s="8" t="n">
        <v>-3083</v>
      </c>
      <c r="AF531" s="8" t="n">
        <v>-3907</v>
      </c>
      <c r="AG531" s="9" t="n">
        <v>17247</v>
      </c>
      <c r="AH531" s="10" t="n">
        <v>-2332</v>
      </c>
      <c r="AI531" s="10" t="n">
        <v>-1961</v>
      </c>
      <c r="AJ531" s="11" t="n">
        <v>20559</v>
      </c>
      <c r="AK531" s="12" t="n">
        <v>-1461</v>
      </c>
      <c r="AL531" s="12" t="n">
        <v>-1649</v>
      </c>
      <c r="AM531" s="13" t="n">
        <v>19.2</v>
      </c>
      <c r="AN531" s="13" t="n">
        <v>5.4</v>
      </c>
      <c r="AO531" s="13" t="n">
        <v>37.3</v>
      </c>
      <c r="AP531" s="13" t="n">
        <v>-183.7</v>
      </c>
    </row>
    <row r="532">
      <c r="A532" s="5" t="inlineStr">
        <is>
          <t>SGC E&amp;C</t>
        </is>
      </c>
      <c r="B532" s="6" t="inlineStr">
        <is>
          <t>016250</t>
        </is>
      </c>
      <c r="C532" s="6" t="inlineStr">
        <is>
          <t>연결</t>
        </is>
      </c>
      <c r="D532" s="6" t="inlineStr">
        <is>
          <t>2026Q2</t>
        </is>
      </c>
      <c r="E532" s="6" t="inlineStr"/>
      <c r="F532" s="7" t="inlineStr"/>
      <c r="G532" s="8" t="inlineStr"/>
      <c r="H532" s="8" t="inlineStr"/>
      <c r="I532" s="9" t="n">
        <v>274444</v>
      </c>
      <c r="J532" s="10" t="n">
        <v>1212</v>
      </c>
      <c r="K532" s="10" t="n">
        <v>-542</v>
      </c>
      <c r="L532" s="7" t="n">
        <v>301835</v>
      </c>
      <c r="M532" s="8" t="n">
        <v>936</v>
      </c>
      <c r="N532" s="8" t="n">
        <v>-7373</v>
      </c>
      <c r="O532" s="9" t="n">
        <v>251058</v>
      </c>
      <c r="P532" s="10" t="n">
        <v>1141</v>
      </c>
      <c r="Q532" s="10" t="n">
        <v>-9816</v>
      </c>
      <c r="R532" s="7" t="n">
        <v>378250</v>
      </c>
      <c r="S532" s="8" t="n">
        <v>7268</v>
      </c>
      <c r="T532" s="8" t="n">
        <v>-31315</v>
      </c>
      <c r="U532" s="9" t="n">
        <v>329958</v>
      </c>
      <c r="V532" s="10" t="n">
        <v>11572</v>
      </c>
      <c r="W532" s="10" t="n">
        <v>598</v>
      </c>
      <c r="X532" s="7" t="n">
        <v>336035</v>
      </c>
      <c r="Y532" s="8" t="n">
        <v>14944</v>
      </c>
      <c r="Z532" s="8" t="n">
        <v>-8471</v>
      </c>
      <c r="AA532" s="9" t="n">
        <v>325803</v>
      </c>
      <c r="AB532" s="10" t="n">
        <v>11592</v>
      </c>
      <c r="AC532" s="10" t="n">
        <v>-12282</v>
      </c>
      <c r="AD532" s="7" t="n">
        <v>350236</v>
      </c>
      <c r="AE532" s="8" t="n">
        <v>14642</v>
      </c>
      <c r="AF532" s="8" t="n">
        <v>-54672</v>
      </c>
      <c r="AG532" s="9" t="n">
        <v>317855</v>
      </c>
      <c r="AH532" s="10" t="n">
        <v>17898</v>
      </c>
      <c r="AI532" s="10" t="n">
        <v>6138</v>
      </c>
      <c r="AJ532" s="11" t="n">
        <v>278671</v>
      </c>
      <c r="AK532" s="12" t="n">
        <v>14293</v>
      </c>
      <c r="AL532" s="12" t="n">
        <v>4106</v>
      </c>
      <c r="AM532" s="13" t="n">
        <v>-12.3</v>
      </c>
      <c r="AN532" s="13" t="n">
        <v>-17.1</v>
      </c>
      <c r="AO532" s="13" t="n">
        <v>-20.1</v>
      </c>
      <c r="AP532" s="13" t="n">
        <v>-4.4</v>
      </c>
    </row>
    <row r="533">
      <c r="A533" s="5" t="inlineStr">
        <is>
          <t>삼성증권</t>
        </is>
      </c>
      <c r="B533" s="6" t="inlineStr">
        <is>
          <t>016360</t>
        </is>
      </c>
      <c r="C533" s="6" t="inlineStr">
        <is>
          <t>연결</t>
        </is>
      </c>
      <c r="D533" s="6" t="inlineStr">
        <is>
          <t>2026Q2</t>
        </is>
      </c>
      <c r="E533" s="6" t="inlineStr"/>
      <c r="F533" s="7" t="inlineStr"/>
      <c r="G533" s="8" t="inlineStr"/>
      <c r="H533" s="8" t="inlineStr"/>
      <c r="I533" s="14" t="n">
        <v>3722592</v>
      </c>
      <c r="J533" s="10" t="n">
        <v>331626</v>
      </c>
      <c r="K533" s="10" t="n">
        <v>253144</v>
      </c>
      <c r="L533" s="14" t="n">
        <v>3071237</v>
      </c>
      <c r="M533" s="8" t="n">
        <v>339175</v>
      </c>
      <c r="N533" s="8" t="n">
        <v>257868</v>
      </c>
      <c r="O533" s="14" t="n">
        <v>2767670</v>
      </c>
      <c r="P533" s="10" t="n">
        <v>324120</v>
      </c>
      <c r="Q533" s="10" t="n">
        <v>240313</v>
      </c>
      <c r="R533" s="7" t="inlineStr"/>
      <c r="S533" s="8" t="n">
        <v>210829</v>
      </c>
      <c r="T533" s="8" t="n">
        <v>147713</v>
      </c>
      <c r="U533" s="14" t="n">
        <v>3271151</v>
      </c>
      <c r="V533" s="10" t="n">
        <v>334642</v>
      </c>
      <c r="W533" s="10" t="n">
        <v>248414</v>
      </c>
      <c r="X533" s="14" t="n">
        <v>4566703</v>
      </c>
      <c r="Y533" s="8" t="n">
        <v>308652</v>
      </c>
      <c r="Z533" s="8" t="n">
        <v>234644</v>
      </c>
      <c r="AA533" s="14" t="n">
        <v>2725030</v>
      </c>
      <c r="AB533" s="10" t="n">
        <v>401812</v>
      </c>
      <c r="AC533" s="10" t="n">
        <v>309174</v>
      </c>
      <c r="AD533" s="7" t="inlineStr"/>
      <c r="AE533" s="8" t="n">
        <v>330567</v>
      </c>
      <c r="AF533" s="8" t="n">
        <v>214995</v>
      </c>
      <c r="AG533" s="14" t="n">
        <v>7122713</v>
      </c>
      <c r="AH533" s="10" t="n">
        <v>609532</v>
      </c>
      <c r="AI533" s="10" t="n">
        <v>450856</v>
      </c>
      <c r="AJ533" s="14" t="n">
        <v>9663857</v>
      </c>
      <c r="AK533" s="12" t="n">
        <v>675795</v>
      </c>
      <c r="AL533" s="12" t="n">
        <v>488224</v>
      </c>
      <c r="AM533" s="13" t="n">
        <v>35.7</v>
      </c>
      <c r="AN533" s="13" t="n">
        <v>111.6</v>
      </c>
      <c r="AO533" s="13" t="n">
        <v>10.9</v>
      </c>
      <c r="AP533" s="13" t="n">
        <v>119</v>
      </c>
    </row>
    <row r="534">
      <c r="A534" s="5" t="inlineStr">
        <is>
          <t>KG스틸</t>
        </is>
      </c>
      <c r="B534" s="6" t="inlineStr">
        <is>
          <t>016380</t>
        </is>
      </c>
      <c r="C534" s="6" t="inlineStr">
        <is>
          <t>연결</t>
        </is>
      </c>
      <c r="D534" s="6" t="inlineStr">
        <is>
          <t>2026Q2</t>
        </is>
      </c>
      <c r="E534" s="6" t="inlineStr"/>
      <c r="F534" s="7" t="inlineStr"/>
      <c r="G534" s="8" t="inlineStr"/>
      <c r="H534" s="8" t="inlineStr"/>
      <c r="I534" s="9" t="n">
        <v>818568</v>
      </c>
      <c r="J534" s="10" t="n">
        <v>52125</v>
      </c>
      <c r="K534" s="10" t="n">
        <v>3307</v>
      </c>
      <c r="L534" s="7" t="n">
        <v>858434</v>
      </c>
      <c r="M534" s="8" t="n">
        <v>74474</v>
      </c>
      <c r="N534" s="8" t="n">
        <v>37891</v>
      </c>
      <c r="O534" s="9" t="n">
        <v>834915</v>
      </c>
      <c r="P534" s="10" t="n">
        <v>42703</v>
      </c>
      <c r="Q534" s="10" t="n">
        <v>46382</v>
      </c>
      <c r="R534" s="7" t="n">
        <v>789065</v>
      </c>
      <c r="S534" s="8" t="n">
        <v>36714</v>
      </c>
      <c r="T534" s="8" t="n">
        <v>44887</v>
      </c>
      <c r="U534" s="9" t="n">
        <v>812571</v>
      </c>
      <c r="V534" s="10" t="n">
        <v>65167</v>
      </c>
      <c r="W534" s="10" t="n">
        <v>46519</v>
      </c>
      <c r="X534" s="7" t="n">
        <v>805068</v>
      </c>
      <c r="Y534" s="8" t="n">
        <v>36889</v>
      </c>
      <c r="Z534" s="8" t="n">
        <v>41743</v>
      </c>
      <c r="AA534" s="9" t="n">
        <v>830582</v>
      </c>
      <c r="AB534" s="10" t="n">
        <v>53869</v>
      </c>
      <c r="AC534" s="10" t="n">
        <v>15010</v>
      </c>
      <c r="AD534" s="7" t="n">
        <v>745223</v>
      </c>
      <c r="AE534" s="8" t="n">
        <v>-5178</v>
      </c>
      <c r="AF534" s="8" t="n">
        <v>32269</v>
      </c>
      <c r="AG534" s="9" t="n">
        <v>805289</v>
      </c>
      <c r="AH534" s="10" t="n">
        <v>21513</v>
      </c>
      <c r="AI534" s="10" t="n">
        <v>45101</v>
      </c>
      <c r="AJ534" s="11" t="n">
        <v>896376</v>
      </c>
      <c r="AK534" s="12" t="n">
        <v>43110</v>
      </c>
      <c r="AL534" s="12" t="n">
        <v>93399</v>
      </c>
      <c r="AM534" s="13" t="n">
        <v>11.3</v>
      </c>
      <c r="AN534" s="13" t="n">
        <v>11.3</v>
      </c>
      <c r="AO534" s="13" t="n">
        <v>100.4</v>
      </c>
      <c r="AP534" s="13" t="n">
        <v>16.9</v>
      </c>
    </row>
    <row r="535">
      <c r="A535" s="5" t="inlineStr">
        <is>
          <t>한세예스24홀딩스</t>
        </is>
      </c>
      <c r="B535" s="6" t="inlineStr">
        <is>
          <t>016450</t>
        </is>
      </c>
      <c r="C535" s="6" t="inlineStr">
        <is>
          <t>연결</t>
        </is>
      </c>
      <c r="D535" s="6" t="inlineStr">
        <is>
          <t>2026Q2</t>
        </is>
      </c>
      <c r="E535" s="6" t="inlineStr"/>
      <c r="F535" s="7" t="inlineStr"/>
      <c r="G535" s="8" t="inlineStr"/>
      <c r="H535" s="8" t="inlineStr"/>
      <c r="I535" s="9" t="n">
        <v>672903</v>
      </c>
      <c r="J535" s="10" t="n">
        <v>41814</v>
      </c>
      <c r="K535" s="10" t="n">
        <v>20033</v>
      </c>
      <c r="L535" s="7" t="n">
        <v>689097</v>
      </c>
      <c r="M535" s="8" t="n">
        <v>42969</v>
      </c>
      <c r="N535" s="8" t="n">
        <v>17838</v>
      </c>
      <c r="O535" s="9" t="n">
        <v>756984</v>
      </c>
      <c r="P535" s="10" t="n">
        <v>34048</v>
      </c>
      <c r="Q535" s="10" t="n">
        <v>20609</v>
      </c>
      <c r="R535" s="7" t="n">
        <v>711871</v>
      </c>
      <c r="S535" s="8" t="n">
        <v>33424</v>
      </c>
      <c r="T535" s="8" t="n">
        <v>-33497</v>
      </c>
      <c r="U535" s="9" t="n">
        <v>853105</v>
      </c>
      <c r="V535" s="10" t="n">
        <v>20732</v>
      </c>
      <c r="W535" s="10" t="n">
        <v>-5</v>
      </c>
      <c r="X535" s="7" t="n">
        <v>803820</v>
      </c>
      <c r="Y535" s="8" t="n">
        <v>540</v>
      </c>
      <c r="Z535" s="8" t="n">
        <v>-10288</v>
      </c>
      <c r="AA535" s="9" t="n">
        <v>879581</v>
      </c>
      <c r="AB535" s="10" t="n">
        <v>23864</v>
      </c>
      <c r="AC535" s="10" t="n">
        <v>2609</v>
      </c>
      <c r="AD535" s="7" t="n">
        <v>873324</v>
      </c>
      <c r="AE535" s="8" t="n">
        <v>20331</v>
      </c>
      <c r="AF535" s="8" t="n">
        <v>-15500</v>
      </c>
      <c r="AG535" s="9" t="n">
        <v>861345</v>
      </c>
      <c r="AH535" s="10" t="n">
        <v>21184</v>
      </c>
      <c r="AI535" s="10" t="n">
        <v>4819</v>
      </c>
      <c r="AJ535" s="11" t="n">
        <v>910593</v>
      </c>
      <c r="AK535" s="12" t="n">
        <v>40393</v>
      </c>
      <c r="AL535" s="12" t="n">
        <v>11587</v>
      </c>
      <c r="AM535" s="13" t="n">
        <v>5.7</v>
      </c>
      <c r="AN535" s="13" t="n">
        <v>13.3</v>
      </c>
      <c r="AO535" s="13" t="n">
        <v>90.7</v>
      </c>
      <c r="AP535" s="13" t="n">
        <v>7380.2</v>
      </c>
    </row>
    <row r="536">
      <c r="A536" s="5" t="inlineStr">
        <is>
          <t>한국제16호스팩</t>
        </is>
      </c>
      <c r="B536" s="6" t="inlineStr">
        <is>
          <t>0164H0</t>
        </is>
      </c>
      <c r="C536" s="6" t="inlineStr">
        <is>
          <t>별도</t>
        </is>
      </c>
      <c r="D536" s="6" t="inlineStr">
        <is>
          <t>2026Q2</t>
        </is>
      </c>
      <c r="E536" s="6" t="inlineStr"/>
      <c r="F536" s="7" t="inlineStr"/>
      <c r="G536" s="8" t="inlineStr"/>
      <c r="H536" s="8" t="inlineStr"/>
      <c r="I536" s="9" t="inlineStr"/>
      <c r="J536" s="10" t="inlineStr"/>
      <c r="K536" s="10" t="inlineStr"/>
      <c r="L536" s="7" t="inlineStr"/>
      <c r="M536" s="8" t="inlineStr"/>
      <c r="N536" s="8" t="inlineStr"/>
      <c r="O536" s="9" t="inlineStr"/>
      <c r="P536" s="10" t="inlineStr"/>
      <c r="Q536" s="10" t="inlineStr"/>
      <c r="R536" s="7" t="inlineStr"/>
      <c r="S536" s="8" t="inlineStr"/>
      <c r="T536" s="8" t="inlineStr"/>
      <c r="U536" s="9" t="inlineStr"/>
      <c r="V536" s="10" t="inlineStr"/>
      <c r="W536" s="10" t="inlineStr"/>
      <c r="X536" s="7" t="inlineStr"/>
      <c r="Y536" s="8" t="inlineStr"/>
      <c r="Z536" s="8" t="inlineStr"/>
      <c r="AA536" s="9" t="inlineStr"/>
      <c r="AB536" s="10" t="inlineStr"/>
      <c r="AC536" s="10" t="inlineStr"/>
      <c r="AD536" s="7" t="inlineStr"/>
      <c r="AE536" s="8" t="inlineStr"/>
      <c r="AF536" s="8" t="inlineStr"/>
      <c r="AG536" s="9" t="inlineStr"/>
      <c r="AH536" s="10" t="inlineStr"/>
      <c r="AI536" s="10" t="inlineStr"/>
      <c r="AJ536" s="11" t="n">
        <v>0</v>
      </c>
      <c r="AK536" s="12" t="n">
        <v>-9</v>
      </c>
      <c r="AL536" s="12" t="n">
        <v>-11</v>
      </c>
      <c r="AM536" s="13" t="inlineStr"/>
      <c r="AN536" s="13" t="inlineStr"/>
      <c r="AO536" s="13" t="inlineStr"/>
      <c r="AP536" s="13" t="inlineStr"/>
    </row>
    <row r="537">
      <c r="A537" s="5" t="inlineStr">
        <is>
          <t>환인제약</t>
        </is>
      </c>
      <c r="B537" s="6" t="inlineStr">
        <is>
          <t>016580</t>
        </is>
      </c>
      <c r="C537" s="6" t="inlineStr">
        <is>
          <t>연결</t>
        </is>
      </c>
      <c r="D537" s="6" t="inlineStr">
        <is>
          <t>2026Q2</t>
        </is>
      </c>
      <c r="E537" s="6" t="inlineStr">
        <is>
          <t>2023Q4</t>
        </is>
      </c>
      <c r="F537" s="14" t="n">
        <v>58386</v>
      </c>
      <c r="G537" s="15" t="n">
        <v>6451</v>
      </c>
      <c r="H537" s="15" t="n">
        <v>7567</v>
      </c>
      <c r="I537" s="9" t="n">
        <v>61610</v>
      </c>
      <c r="J537" s="10" t="n">
        <v>8318</v>
      </c>
      <c r="K537" s="10" t="n">
        <v>9071</v>
      </c>
      <c r="L537" s="7" t="n">
        <v>63619</v>
      </c>
      <c r="M537" s="8" t="n">
        <v>6975</v>
      </c>
      <c r="N537" s="8" t="n">
        <v>6209</v>
      </c>
      <c r="O537" s="9" t="n">
        <v>68113</v>
      </c>
      <c r="P537" s="10" t="n">
        <v>5289</v>
      </c>
      <c r="Q537" s="10" t="n">
        <v>4516</v>
      </c>
      <c r="R537" s="7" t="n">
        <v>66254</v>
      </c>
      <c r="S537" s="8" t="n">
        <v>913</v>
      </c>
      <c r="T537" s="8" t="n">
        <v>3585</v>
      </c>
      <c r="U537" s="9" t="n">
        <v>60199</v>
      </c>
      <c r="V537" s="10" t="n">
        <v>5279</v>
      </c>
      <c r="W537" s="10" t="n">
        <v>5120</v>
      </c>
      <c r="X537" s="7" t="n">
        <v>64135</v>
      </c>
      <c r="Y537" s="8" t="n">
        <v>2701</v>
      </c>
      <c r="Z537" s="8" t="n">
        <v>3188</v>
      </c>
      <c r="AA537" s="9" t="n">
        <v>65736</v>
      </c>
      <c r="AB537" s="10" t="n">
        <v>3555</v>
      </c>
      <c r="AC537" s="10" t="n">
        <v>3276</v>
      </c>
      <c r="AD537" s="7" t="n">
        <v>65144</v>
      </c>
      <c r="AE537" s="8" t="n">
        <v>1484</v>
      </c>
      <c r="AF537" s="8" t="n">
        <v>2011</v>
      </c>
      <c r="AG537" s="9" t="n">
        <v>71176</v>
      </c>
      <c r="AH537" s="10" t="n">
        <v>9381</v>
      </c>
      <c r="AI537" s="10" t="n">
        <v>7466</v>
      </c>
      <c r="AJ537" s="11" t="n">
        <v>71418</v>
      </c>
      <c r="AK537" s="12" t="n">
        <v>7894</v>
      </c>
      <c r="AL537" s="12" t="n">
        <v>7699</v>
      </c>
      <c r="AM537" s="13" t="n">
        <v>0.3</v>
      </c>
      <c r="AN537" s="13" t="n">
        <v>11.4</v>
      </c>
      <c r="AO537" s="13" t="n">
        <v>-15.9</v>
      </c>
      <c r="AP537" s="13" t="n">
        <v>192.3</v>
      </c>
    </row>
    <row r="538">
      <c r="A538" s="5" t="inlineStr">
        <is>
          <t>신대양제지</t>
        </is>
      </c>
      <c r="B538" s="6" t="inlineStr">
        <is>
          <t>016590</t>
        </is>
      </c>
      <c r="C538" s="6" t="inlineStr">
        <is>
          <t>연결</t>
        </is>
      </c>
      <c r="D538" s="6" t="inlineStr">
        <is>
          <t>2026Q2</t>
        </is>
      </c>
      <c r="E538" s="6" t="inlineStr"/>
      <c r="F538" s="7" t="inlineStr"/>
      <c r="G538" s="8" t="inlineStr"/>
      <c r="H538" s="8" t="inlineStr"/>
      <c r="I538" s="9" t="n">
        <v>156390</v>
      </c>
      <c r="J538" s="10" t="n">
        <v>10213</v>
      </c>
      <c r="K538" s="10" t="n">
        <v>13951</v>
      </c>
      <c r="L538" s="7" t="n">
        <v>165589</v>
      </c>
      <c r="M538" s="8" t="n">
        <v>10819</v>
      </c>
      <c r="N538" s="8" t="n">
        <v>14477</v>
      </c>
      <c r="O538" s="9" t="n">
        <v>165736</v>
      </c>
      <c r="P538" s="10" t="n">
        <v>2000</v>
      </c>
      <c r="Q538" s="10" t="n">
        <v>-2583</v>
      </c>
      <c r="R538" s="7" t="n">
        <v>170787</v>
      </c>
      <c r="S538" s="8" t="n">
        <v>6252</v>
      </c>
      <c r="T538" s="8" t="n">
        <v>7419</v>
      </c>
      <c r="U538" s="9" t="n">
        <v>157280</v>
      </c>
      <c r="V538" s="10" t="n">
        <v>5894</v>
      </c>
      <c r="W538" s="10" t="n">
        <v>6494</v>
      </c>
      <c r="X538" s="7" t="n">
        <v>160601</v>
      </c>
      <c r="Y538" s="8" t="n">
        <v>10299</v>
      </c>
      <c r="Z538" s="8" t="n">
        <v>6204</v>
      </c>
      <c r="AA538" s="9" t="n">
        <v>163456</v>
      </c>
      <c r="AB538" s="10" t="n">
        <v>5486</v>
      </c>
      <c r="AC538" s="10" t="n">
        <v>9810</v>
      </c>
      <c r="AD538" s="7" t="n">
        <v>158192</v>
      </c>
      <c r="AE538" s="8" t="n">
        <v>562</v>
      </c>
      <c r="AF538" s="8" t="n">
        <v>-236</v>
      </c>
      <c r="AG538" s="9" t="n">
        <v>156500</v>
      </c>
      <c r="AH538" s="10" t="n">
        <v>3778</v>
      </c>
      <c r="AI538" s="10" t="n">
        <v>7907</v>
      </c>
      <c r="AJ538" s="11" t="n">
        <v>174536</v>
      </c>
      <c r="AK538" s="12" t="n">
        <v>14767</v>
      </c>
      <c r="AL538" s="12" t="n">
        <v>14531</v>
      </c>
      <c r="AM538" s="13" t="n">
        <v>11.5</v>
      </c>
      <c r="AN538" s="13" t="n">
        <v>8.699999999999999</v>
      </c>
      <c r="AO538" s="13" t="n">
        <v>290.9</v>
      </c>
      <c r="AP538" s="13" t="n">
        <v>43.4</v>
      </c>
    </row>
    <row r="539">
      <c r="A539" s="5" t="inlineStr">
        <is>
          <t>메리츠제2호스팩</t>
        </is>
      </c>
      <c r="B539" s="6" t="inlineStr">
        <is>
          <t>0165X0</t>
        </is>
      </c>
      <c r="C539" s="6" t="inlineStr">
        <is>
          <t>별도</t>
        </is>
      </c>
      <c r="D539" s="6" t="inlineStr">
        <is>
          <t>2026Q2</t>
        </is>
      </c>
      <c r="E539" s="6" t="inlineStr"/>
      <c r="F539" s="7" t="inlineStr"/>
      <c r="G539" s="8" t="inlineStr"/>
      <c r="H539" s="8" t="inlineStr"/>
      <c r="I539" s="9" t="inlineStr"/>
      <c r="J539" s="10" t="inlineStr"/>
      <c r="K539" s="10" t="inlineStr"/>
      <c r="L539" s="7" t="inlineStr"/>
      <c r="M539" s="8" t="inlineStr"/>
      <c r="N539" s="8" t="inlineStr"/>
      <c r="O539" s="9" t="inlineStr"/>
      <c r="P539" s="10" t="inlineStr"/>
      <c r="Q539" s="10" t="inlineStr"/>
      <c r="R539" s="7" t="inlineStr"/>
      <c r="S539" s="8" t="inlineStr"/>
      <c r="T539" s="8" t="inlineStr"/>
      <c r="U539" s="9" t="inlineStr"/>
      <c r="V539" s="10" t="inlineStr"/>
      <c r="W539" s="10" t="inlineStr"/>
      <c r="X539" s="7" t="inlineStr"/>
      <c r="Y539" s="8" t="inlineStr"/>
      <c r="Z539" s="8" t="inlineStr"/>
      <c r="AA539" s="9" t="inlineStr"/>
      <c r="AB539" s="10" t="inlineStr"/>
      <c r="AC539" s="10" t="inlineStr"/>
      <c r="AD539" s="7" t="inlineStr"/>
      <c r="AE539" s="8" t="inlineStr"/>
      <c r="AF539" s="8" t="inlineStr"/>
      <c r="AG539" s="9" t="inlineStr"/>
      <c r="AH539" s="10" t="inlineStr"/>
      <c r="AI539" s="10" t="inlineStr"/>
      <c r="AJ539" s="11" t="inlineStr"/>
      <c r="AK539" s="12" t="n">
        <v>-9</v>
      </c>
      <c r="AL539" s="12" t="n">
        <v>-8</v>
      </c>
      <c r="AM539" s="13" t="inlineStr"/>
      <c r="AN539" s="13" t="inlineStr"/>
      <c r="AO539" s="13" t="inlineStr"/>
      <c r="AP539" s="13" t="inlineStr"/>
    </row>
    <row r="540">
      <c r="A540" s="5" t="inlineStr">
        <is>
          <t>큐캐피탈</t>
        </is>
      </c>
      <c r="B540" s="6" t="inlineStr">
        <is>
          <t>016600</t>
        </is>
      </c>
      <c r="C540" s="6" t="inlineStr">
        <is>
          <t>별도</t>
        </is>
      </c>
      <c r="D540" s="6" t="inlineStr">
        <is>
          <t>2026Q2</t>
        </is>
      </c>
      <c r="E540" s="6" t="inlineStr"/>
      <c r="F540" s="7" t="inlineStr"/>
      <c r="G540" s="8" t="inlineStr"/>
      <c r="H540" s="8" t="inlineStr"/>
      <c r="I540" s="9" t="n">
        <v>5046</v>
      </c>
      <c r="J540" s="10" t="n">
        <v>400</v>
      </c>
      <c r="K540" s="10" t="n">
        <v>192</v>
      </c>
      <c r="L540" s="7" t="n">
        <v>5342</v>
      </c>
      <c r="M540" s="8" t="n">
        <v>1035</v>
      </c>
      <c r="N540" s="8" t="n">
        <v>4658</v>
      </c>
      <c r="O540" s="9" t="n">
        <v>3726</v>
      </c>
      <c r="P540" s="10" t="n">
        <v>667</v>
      </c>
      <c r="Q540" s="10" t="n">
        <v>890</v>
      </c>
      <c r="R540" s="7" t="inlineStr"/>
      <c r="S540" s="8" t="n">
        <v>721</v>
      </c>
      <c r="T540" s="8" t="n">
        <v>-3960</v>
      </c>
      <c r="U540" s="9" t="inlineStr"/>
      <c r="V540" s="10" t="n">
        <v>960</v>
      </c>
      <c r="W540" s="10" t="n">
        <v>365</v>
      </c>
      <c r="X540" s="7" t="inlineStr"/>
      <c r="Y540" s="8" t="n">
        <v>1006</v>
      </c>
      <c r="Z540" s="8" t="n">
        <v>457</v>
      </c>
      <c r="AA540" s="9" t="inlineStr"/>
      <c r="AB540" s="10" t="n">
        <v>910</v>
      </c>
      <c r="AC540" s="10" t="n">
        <v>691</v>
      </c>
      <c r="AD540" s="7" t="inlineStr"/>
      <c r="AE540" s="8" t="n">
        <v>911</v>
      </c>
      <c r="AF540" s="8" t="n">
        <v>931</v>
      </c>
      <c r="AG540" s="9" t="inlineStr"/>
      <c r="AH540" s="10" t="n">
        <v>93</v>
      </c>
      <c r="AI540" s="10" t="n">
        <v>165</v>
      </c>
      <c r="AJ540" s="11" t="inlineStr"/>
      <c r="AK540" s="12" t="n">
        <v>3711</v>
      </c>
      <c r="AL540" s="12" t="n">
        <v>3274</v>
      </c>
      <c r="AM540" s="13" t="inlineStr"/>
      <c r="AN540" s="13" t="inlineStr"/>
      <c r="AO540" s="13" t="n">
        <v>3890.3</v>
      </c>
      <c r="AP540" s="13" t="n">
        <v>268.9</v>
      </c>
    </row>
    <row r="541">
      <c r="A541" s="5" t="inlineStr">
        <is>
          <t>DB증권</t>
        </is>
      </c>
      <c r="B541" s="6" t="inlineStr">
        <is>
          <t>016610</t>
        </is>
      </c>
      <c r="C541" s="6" t="inlineStr">
        <is>
          <t>연결</t>
        </is>
      </c>
      <c r="D541" s="6" t="inlineStr">
        <is>
          <t>2026Q2</t>
        </is>
      </c>
      <c r="E541" s="6" t="inlineStr"/>
      <c r="F541" s="7" t="inlineStr"/>
      <c r="G541" s="8" t="inlineStr"/>
      <c r="H541" s="8" t="inlineStr"/>
      <c r="I541" s="9" t="n">
        <v>365467</v>
      </c>
      <c r="J541" s="10" t="n">
        <v>25771</v>
      </c>
      <c r="K541" s="10" t="n">
        <v>21824</v>
      </c>
      <c r="L541" s="7" t="n">
        <v>317226</v>
      </c>
      <c r="M541" s="8" t="n">
        <v>24064</v>
      </c>
      <c r="N541" s="8" t="n">
        <v>16947</v>
      </c>
      <c r="O541" s="9" t="n">
        <v>274281</v>
      </c>
      <c r="P541" s="10" t="n">
        <v>2596</v>
      </c>
      <c r="Q541" s="10" t="n">
        <v>5973</v>
      </c>
      <c r="R541" s="7" t="n">
        <v>361564</v>
      </c>
      <c r="S541" s="8" t="n">
        <v>9428</v>
      </c>
      <c r="T541" s="8" t="n">
        <v>8194</v>
      </c>
      <c r="U541" s="9" t="n">
        <v>437277</v>
      </c>
      <c r="V541" s="10" t="n">
        <v>24206</v>
      </c>
      <c r="W541" s="10" t="n">
        <v>20561</v>
      </c>
      <c r="X541" s="7" t="n">
        <v>509307</v>
      </c>
      <c r="Y541" s="8" t="n">
        <v>32557</v>
      </c>
      <c r="Z541" s="8" t="n">
        <v>26803</v>
      </c>
      <c r="AA541" s="9" t="n">
        <v>391991</v>
      </c>
      <c r="AB541" s="10" t="n">
        <v>44190</v>
      </c>
      <c r="AC541" s="10" t="n">
        <v>35553</v>
      </c>
      <c r="AD541" s="7" t="n">
        <v>583413</v>
      </c>
      <c r="AE541" s="8" t="n">
        <v>15745</v>
      </c>
      <c r="AF541" s="8" t="n">
        <v>12542</v>
      </c>
      <c r="AG541" s="9" t="n">
        <v>1075177</v>
      </c>
      <c r="AH541" s="10" t="n">
        <v>30225</v>
      </c>
      <c r="AI541" s="10" t="n">
        <v>30432</v>
      </c>
      <c r="AJ541" s="11" t="n">
        <v>1266120</v>
      </c>
      <c r="AK541" s="12" t="n">
        <v>47540</v>
      </c>
      <c r="AL541" s="12" t="n">
        <v>40408</v>
      </c>
      <c r="AM541" s="13" t="n">
        <v>17.8</v>
      </c>
      <c r="AN541" s="13" t="n">
        <v>148.6</v>
      </c>
      <c r="AO541" s="13" t="n">
        <v>57.3</v>
      </c>
      <c r="AP541" s="13" t="n">
        <v>46</v>
      </c>
    </row>
    <row r="542">
      <c r="A542" s="5" t="inlineStr">
        <is>
          <t>디모아</t>
        </is>
      </c>
      <c r="B542" s="6" t="inlineStr">
        <is>
          <t>016670</t>
        </is>
      </c>
      <c r="C542" s="6" t="inlineStr">
        <is>
          <t>연결</t>
        </is>
      </c>
      <c r="D542" s="6" t="inlineStr">
        <is>
          <t>2026Q2</t>
        </is>
      </c>
      <c r="E542" s="6" t="inlineStr"/>
      <c r="F542" s="7" t="inlineStr"/>
      <c r="G542" s="8" t="inlineStr"/>
      <c r="H542" s="8" t="inlineStr"/>
      <c r="I542" s="9" t="n">
        <v>7227</v>
      </c>
      <c r="J542" s="10" t="n">
        <v>1478</v>
      </c>
      <c r="K542" s="10" t="n">
        <v>850</v>
      </c>
      <c r="L542" s="7" t="n">
        <v>5920</v>
      </c>
      <c r="M542" s="8" t="n">
        <v>-448</v>
      </c>
      <c r="N542" s="8" t="n">
        <v>-1266</v>
      </c>
      <c r="O542" s="9" t="n">
        <v>6017</v>
      </c>
      <c r="P542" s="10" t="n">
        <v>153</v>
      </c>
      <c r="Q542" s="10" t="n">
        <v>6369</v>
      </c>
      <c r="R542" s="7" t="n">
        <v>7461</v>
      </c>
      <c r="S542" s="8" t="n">
        <v>958</v>
      </c>
      <c r="T542" s="8" t="n">
        <v>-2487</v>
      </c>
      <c r="U542" s="9" t="n">
        <v>6674</v>
      </c>
      <c r="V542" s="10" t="n">
        <v>2389</v>
      </c>
      <c r="W542" s="10" t="n">
        <v>138</v>
      </c>
      <c r="X542" s="7" t="n">
        <v>5973</v>
      </c>
      <c r="Y542" s="8" t="n">
        <v>1040</v>
      </c>
      <c r="Z542" s="8" t="n">
        <v>6080</v>
      </c>
      <c r="AA542" s="9" t="n">
        <v>4487</v>
      </c>
      <c r="AB542" s="10" t="n">
        <v>98</v>
      </c>
      <c r="AC542" s="10" t="n">
        <v>208</v>
      </c>
      <c r="AD542" s="7" t="n">
        <v>5928</v>
      </c>
      <c r="AE542" s="8" t="n">
        <v>528</v>
      </c>
      <c r="AF542" s="8" t="n">
        <v>4687</v>
      </c>
      <c r="AG542" s="9" t="n">
        <v>8172</v>
      </c>
      <c r="AH542" s="10" t="n">
        <v>3744</v>
      </c>
      <c r="AI542" s="10" t="n">
        <v>3254</v>
      </c>
      <c r="AJ542" s="11" t="n">
        <v>6724</v>
      </c>
      <c r="AK542" s="12" t="n">
        <v>1793</v>
      </c>
      <c r="AL542" s="12" t="n">
        <v>862</v>
      </c>
      <c r="AM542" s="13" t="n">
        <v>-17.7</v>
      </c>
      <c r="AN542" s="13" t="n">
        <v>12.6</v>
      </c>
      <c r="AO542" s="13" t="n">
        <v>-52.1</v>
      </c>
      <c r="AP542" s="13" t="n">
        <v>72.40000000000001</v>
      </c>
    </row>
    <row r="543">
      <c r="A543" s="5" t="inlineStr">
        <is>
          <t>대성홀딩스</t>
        </is>
      </c>
      <c r="B543" s="6" t="inlineStr">
        <is>
          <t>016710</t>
        </is>
      </c>
      <c r="C543" s="6" t="inlineStr">
        <is>
          <t>연결</t>
        </is>
      </c>
      <c r="D543" s="6" t="inlineStr">
        <is>
          <t>2026Q2</t>
        </is>
      </c>
      <c r="E543" s="6" t="inlineStr"/>
      <c r="F543" s="7" t="inlineStr"/>
      <c r="G543" s="8" t="inlineStr"/>
      <c r="H543" s="8" t="inlineStr"/>
      <c r="I543" s="9" t="n">
        <v>463129</v>
      </c>
      <c r="J543" s="10" t="n">
        <v>26703</v>
      </c>
      <c r="K543" s="10" t="n">
        <v>26797</v>
      </c>
      <c r="L543" s="7" t="n">
        <v>200181</v>
      </c>
      <c r="M543" s="8" t="n">
        <v>-6645</v>
      </c>
      <c r="N543" s="8" t="n">
        <v>5044</v>
      </c>
      <c r="O543" s="9" t="n">
        <v>181352</v>
      </c>
      <c r="P543" s="10" t="n">
        <v>-6363</v>
      </c>
      <c r="Q543" s="10" t="n">
        <v>-4521</v>
      </c>
      <c r="R543" s="7" t="n">
        <v>367693</v>
      </c>
      <c r="S543" s="8" t="n">
        <v>9603</v>
      </c>
      <c r="T543" s="8" t="n">
        <v>16958</v>
      </c>
      <c r="U543" s="9" t="n">
        <v>494570</v>
      </c>
      <c r="V543" s="10" t="n">
        <v>29505</v>
      </c>
      <c r="W543" s="10" t="n">
        <v>24663</v>
      </c>
      <c r="X543" s="7" t="n">
        <v>214319</v>
      </c>
      <c r="Y543" s="8" t="n">
        <v>167</v>
      </c>
      <c r="Z543" s="8" t="n">
        <v>-5635</v>
      </c>
      <c r="AA543" s="9" t="n">
        <v>164761</v>
      </c>
      <c r="AB543" s="10" t="n">
        <v>-8283</v>
      </c>
      <c r="AC543" s="10" t="n">
        <v>-2875</v>
      </c>
      <c r="AD543" s="7" t="n">
        <v>348984</v>
      </c>
      <c r="AE543" s="8" t="n">
        <v>6674</v>
      </c>
      <c r="AF543" s="8" t="n">
        <v>6164</v>
      </c>
      <c r="AG543" s="9" t="n">
        <v>459321</v>
      </c>
      <c r="AH543" s="10" t="n">
        <v>27854</v>
      </c>
      <c r="AI543" s="10" t="n">
        <v>23694</v>
      </c>
      <c r="AJ543" s="11" t="n">
        <v>203317</v>
      </c>
      <c r="AK543" s="12" t="n">
        <v>2724</v>
      </c>
      <c r="AL543" s="12" t="n">
        <v>7207</v>
      </c>
      <c r="AM543" s="13" t="n">
        <v>-55.7</v>
      </c>
      <c r="AN543" s="13" t="n">
        <v>-5.1</v>
      </c>
      <c r="AO543" s="13" t="n">
        <v>-90.2</v>
      </c>
      <c r="AP543" s="13" t="n">
        <v>1531.1</v>
      </c>
    </row>
    <row r="544">
      <c r="A544" s="5" t="inlineStr">
        <is>
          <t>두올</t>
        </is>
      </c>
      <c r="B544" s="6" t="inlineStr">
        <is>
          <t>016740</t>
        </is>
      </c>
      <c r="C544" s="6" t="inlineStr">
        <is>
          <t>연결</t>
        </is>
      </c>
      <c r="D544" s="6" t="inlineStr">
        <is>
          <t>2026Q2</t>
        </is>
      </c>
      <c r="E544" s="6" t="inlineStr"/>
      <c r="F544" s="7" t="inlineStr"/>
      <c r="G544" s="8" t="inlineStr"/>
      <c r="H544" s="8" t="inlineStr"/>
      <c r="I544" s="9" t="n">
        <v>184325</v>
      </c>
      <c r="J544" s="10" t="n">
        <v>10709</v>
      </c>
      <c r="K544" s="10" t="n">
        <v>7365</v>
      </c>
      <c r="L544" s="7" t="n">
        <v>204690</v>
      </c>
      <c r="M544" s="8" t="n">
        <v>13608</v>
      </c>
      <c r="N544" s="8" t="n">
        <v>7202</v>
      </c>
      <c r="O544" s="9" t="n">
        <v>189800</v>
      </c>
      <c r="P544" s="10" t="n">
        <v>7897</v>
      </c>
      <c r="Q544" s="10" t="n">
        <v>-555</v>
      </c>
      <c r="R544" s="7" t="n">
        <v>194444</v>
      </c>
      <c r="S544" s="8" t="n">
        <v>10704</v>
      </c>
      <c r="T544" s="8" t="n">
        <v>2664</v>
      </c>
      <c r="U544" s="9" t="n">
        <v>202061</v>
      </c>
      <c r="V544" s="10" t="n">
        <v>17084</v>
      </c>
      <c r="W544" s="10" t="n">
        <v>12672</v>
      </c>
      <c r="X544" s="7" t="n">
        <v>201971</v>
      </c>
      <c r="Y544" s="8" t="n">
        <v>12798</v>
      </c>
      <c r="Z544" s="8" t="n">
        <v>7094</v>
      </c>
      <c r="AA544" s="9" t="n">
        <v>198435</v>
      </c>
      <c r="AB544" s="10" t="n">
        <v>15784</v>
      </c>
      <c r="AC544" s="10" t="n">
        <v>12422</v>
      </c>
      <c r="AD544" s="7" t="n">
        <v>193672</v>
      </c>
      <c r="AE544" s="8" t="n">
        <v>2929</v>
      </c>
      <c r="AF544" s="8" t="n">
        <v>-880</v>
      </c>
      <c r="AG544" s="9" t="n">
        <v>201298</v>
      </c>
      <c r="AH544" s="10" t="n">
        <v>5997</v>
      </c>
      <c r="AI544" s="10" t="n">
        <v>3760</v>
      </c>
      <c r="AJ544" s="11" t="n">
        <v>209247</v>
      </c>
      <c r="AK544" s="12" t="n">
        <v>8266</v>
      </c>
      <c r="AL544" s="12" t="n">
        <v>7743</v>
      </c>
      <c r="AM544" s="13" t="n">
        <v>3.9</v>
      </c>
      <c r="AN544" s="13" t="n">
        <v>3.6</v>
      </c>
      <c r="AO544" s="13" t="n">
        <v>37.8</v>
      </c>
      <c r="AP544" s="13" t="n">
        <v>-35.4</v>
      </c>
    </row>
    <row r="545">
      <c r="A545" s="5" t="inlineStr">
        <is>
          <t>현대사료</t>
        </is>
      </c>
      <c r="B545" s="6" t="inlineStr">
        <is>
          <t>016790</t>
        </is>
      </c>
      <c r="C545" s="6" t="inlineStr">
        <is>
          <t>연결</t>
        </is>
      </c>
      <c r="D545" s="6" t="inlineStr">
        <is>
          <t>2026Q2</t>
        </is>
      </c>
      <c r="E545" s="6" t="inlineStr"/>
      <c r="F545" s="7" t="inlineStr"/>
      <c r="G545" s="8" t="inlineStr"/>
      <c r="H545" s="8" t="inlineStr"/>
      <c r="I545" s="9" t="n">
        <v>35214</v>
      </c>
      <c r="J545" s="10" t="n">
        <v>-9945</v>
      </c>
      <c r="K545" s="10" t="n">
        <v>-11750</v>
      </c>
      <c r="L545" s="7" t="n">
        <v>31590</v>
      </c>
      <c r="M545" s="8" t="n">
        <v>629</v>
      </c>
      <c r="N545" s="8" t="n">
        <v>51310</v>
      </c>
      <c r="O545" s="9" t="n">
        <v>30453</v>
      </c>
      <c r="P545" s="10" t="n">
        <v>52</v>
      </c>
      <c r="Q545" s="10" t="n">
        <v>1322</v>
      </c>
      <c r="R545" s="7" t="n">
        <v>31205</v>
      </c>
      <c r="S545" s="8" t="n">
        <v>11920</v>
      </c>
      <c r="T545" s="8" t="n">
        <v>-12441</v>
      </c>
      <c r="U545" s="9" t="n">
        <v>27829</v>
      </c>
      <c r="V545" s="10" t="n">
        <v>3079</v>
      </c>
      <c r="W545" s="10" t="n">
        <v>2844</v>
      </c>
      <c r="X545" s="7" t="n">
        <v>27058</v>
      </c>
      <c r="Y545" s="8" t="n">
        <v>-254</v>
      </c>
      <c r="Z545" s="8" t="n">
        <v>14</v>
      </c>
      <c r="AA545" s="9" t="n">
        <v>27018</v>
      </c>
      <c r="AB545" s="10" t="n">
        <v>461</v>
      </c>
      <c r="AC545" s="10" t="n">
        <v>163</v>
      </c>
      <c r="AD545" s="7" t="n">
        <v>31122</v>
      </c>
      <c r="AE545" s="8" t="n">
        <v>1705</v>
      </c>
      <c r="AF545" s="8" t="n">
        <v>1363</v>
      </c>
      <c r="AG545" s="9" t="n">
        <v>30069</v>
      </c>
      <c r="AH545" s="10" t="n">
        <v>370</v>
      </c>
      <c r="AI545" s="10" t="n">
        <v>1075</v>
      </c>
      <c r="AJ545" s="11" t="n">
        <v>29525</v>
      </c>
      <c r="AK545" s="12" t="n">
        <v>296</v>
      </c>
      <c r="AL545" s="12" t="n">
        <v>-620</v>
      </c>
      <c r="AM545" s="13" t="n">
        <v>-1.8</v>
      </c>
      <c r="AN545" s="13" t="n">
        <v>9.1</v>
      </c>
      <c r="AO545" s="13" t="n">
        <v>-20</v>
      </c>
      <c r="AP545" s="13" t="n">
        <v>216.5</v>
      </c>
    </row>
    <row r="546">
      <c r="A546" s="5" t="inlineStr">
        <is>
          <t>퍼시스</t>
        </is>
      </c>
      <c r="B546" s="6" t="inlineStr">
        <is>
          <t>016800</t>
        </is>
      </c>
      <c r="C546" s="6" t="inlineStr">
        <is>
          <t>연결</t>
        </is>
      </c>
      <c r="D546" s="6" t="inlineStr">
        <is>
          <t>2026Q2</t>
        </is>
      </c>
      <c r="E546" s="6" t="inlineStr"/>
      <c r="F546" s="7" t="inlineStr"/>
      <c r="G546" s="8" t="inlineStr"/>
      <c r="H546" s="8" t="inlineStr"/>
      <c r="I546" s="9" t="n">
        <v>107312</v>
      </c>
      <c r="J546" s="10" t="n">
        <v>13909</v>
      </c>
      <c r="K546" s="10" t="n">
        <v>19267</v>
      </c>
      <c r="L546" s="7" t="n">
        <v>85953</v>
      </c>
      <c r="M546" s="8" t="n">
        <v>3382</v>
      </c>
      <c r="N546" s="8" t="n">
        <v>15676</v>
      </c>
      <c r="O546" s="9" t="n">
        <v>92621</v>
      </c>
      <c r="P546" s="10" t="n">
        <v>5164</v>
      </c>
      <c r="Q546" s="10" t="n">
        <v>4822</v>
      </c>
      <c r="R546" s="7" t="n">
        <v>99819</v>
      </c>
      <c r="S546" s="8" t="n">
        <v>-979</v>
      </c>
      <c r="T546" s="8" t="n">
        <v>7956</v>
      </c>
      <c r="U546" s="9" t="n">
        <v>103742</v>
      </c>
      <c r="V546" s="10" t="n">
        <v>5093</v>
      </c>
      <c r="W546" s="10" t="n">
        <v>4650</v>
      </c>
      <c r="X546" s="7" t="n">
        <v>82344</v>
      </c>
      <c r="Y546" s="8" t="n">
        <v>243</v>
      </c>
      <c r="Z546" s="8" t="n">
        <v>9037</v>
      </c>
      <c r="AA546" s="9" t="n">
        <v>80056</v>
      </c>
      <c r="AB546" s="10" t="n">
        <v>-2015</v>
      </c>
      <c r="AC546" s="10" t="n">
        <v>13601</v>
      </c>
      <c r="AD546" s="7" t="n">
        <v>92058</v>
      </c>
      <c r="AE546" s="8" t="n">
        <v>2416</v>
      </c>
      <c r="AF546" s="8" t="n">
        <v>8292</v>
      </c>
      <c r="AG546" s="9" t="n">
        <v>97635</v>
      </c>
      <c r="AH546" s="10" t="n">
        <v>-2071</v>
      </c>
      <c r="AI546" s="10" t="n">
        <v>6650</v>
      </c>
      <c r="AJ546" s="11" t="n">
        <v>87598</v>
      </c>
      <c r="AK546" s="12" t="n">
        <v>-5417</v>
      </c>
      <c r="AL546" s="12" t="n">
        <v>31703</v>
      </c>
      <c r="AM546" s="13" t="n">
        <v>-10.3</v>
      </c>
      <c r="AN546" s="13" t="n">
        <v>6.4</v>
      </c>
      <c r="AO546" s="13" t="n">
        <v>-161.6</v>
      </c>
      <c r="AP546" s="13" t="n">
        <v>-2329.2</v>
      </c>
    </row>
    <row r="547">
      <c r="A547" s="5" t="inlineStr">
        <is>
          <t>웅진</t>
        </is>
      </c>
      <c r="B547" s="6" t="inlineStr">
        <is>
          <t>016880</t>
        </is>
      </c>
      <c r="C547" s="6" t="inlineStr">
        <is>
          <t>연결</t>
        </is>
      </c>
      <c r="D547" s="6" t="inlineStr">
        <is>
          <t>2026Q2</t>
        </is>
      </c>
      <c r="E547" s="6" t="inlineStr"/>
      <c r="F547" s="7" t="inlineStr"/>
      <c r="G547" s="8" t="inlineStr"/>
      <c r="H547" s="8" t="inlineStr"/>
      <c r="I547" s="9" t="n">
        <v>246434</v>
      </c>
      <c r="J547" s="10" t="n">
        <v>326</v>
      </c>
      <c r="K547" s="10" t="n">
        <v>-7089</v>
      </c>
      <c r="L547" s="7" t="n">
        <v>257465</v>
      </c>
      <c r="M547" s="8" t="n">
        <v>13564</v>
      </c>
      <c r="N547" s="8" t="n">
        <v>4679</v>
      </c>
      <c r="O547" s="9" t="n">
        <v>249142</v>
      </c>
      <c r="P547" s="10" t="n">
        <v>11713</v>
      </c>
      <c r="Q547" s="10" t="n">
        <v>6865</v>
      </c>
      <c r="R547" s="7" t="n">
        <v>255070</v>
      </c>
      <c r="S547" s="8" t="n">
        <v>5482</v>
      </c>
      <c r="T547" s="8" t="n">
        <v>-9632</v>
      </c>
      <c r="U547" s="9" t="n">
        <v>233693</v>
      </c>
      <c r="V547" s="10" t="n">
        <v>-9159</v>
      </c>
      <c r="W547" s="10" t="n">
        <v>74957</v>
      </c>
      <c r="X547" s="7" t="n">
        <v>278827</v>
      </c>
      <c r="Y547" s="8" t="n">
        <v>25888</v>
      </c>
      <c r="Z547" s="8" t="n">
        <v>8107</v>
      </c>
      <c r="AA547" s="9" t="n">
        <v>325174</v>
      </c>
      <c r="AB547" s="10" t="n">
        <v>38199</v>
      </c>
      <c r="AC547" s="10" t="n">
        <v>11920</v>
      </c>
      <c r="AD547" s="7" t="n">
        <v>312997</v>
      </c>
      <c r="AE547" s="8" t="n">
        <v>23186</v>
      </c>
      <c r="AF547" s="8" t="n">
        <v>19397</v>
      </c>
      <c r="AG547" s="9" t="n">
        <v>302632</v>
      </c>
      <c r="AH547" s="10" t="n">
        <v>31744</v>
      </c>
      <c r="AI547" s="10" t="n">
        <v>4244</v>
      </c>
      <c r="AJ547" s="11" t="n">
        <v>342316</v>
      </c>
      <c r="AK547" s="12" t="n">
        <v>53551</v>
      </c>
      <c r="AL547" s="12" t="n">
        <v>12365</v>
      </c>
      <c r="AM547" s="13" t="n">
        <v>13.1</v>
      </c>
      <c r="AN547" s="13" t="n">
        <v>22.8</v>
      </c>
      <c r="AO547" s="13" t="n">
        <v>68.7</v>
      </c>
      <c r="AP547" s="13" t="n">
        <v>106.9</v>
      </c>
    </row>
    <row r="548">
      <c r="A548" s="5" t="inlineStr">
        <is>
          <t>카스</t>
        </is>
      </c>
      <c r="B548" s="6" t="inlineStr">
        <is>
          <t>016920</t>
        </is>
      </c>
      <c r="C548" s="6" t="inlineStr">
        <is>
          <t>연결</t>
        </is>
      </c>
      <c r="D548" s="6" t="inlineStr">
        <is>
          <t>2026Q2</t>
        </is>
      </c>
      <c r="E548" s="6" t="inlineStr"/>
      <c r="F548" s="7" t="inlineStr"/>
      <c r="G548" s="8" t="inlineStr"/>
      <c r="H548" s="8" t="inlineStr"/>
      <c r="I548" s="9" t="n">
        <v>38622</v>
      </c>
      <c r="J548" s="10" t="n">
        <v>429</v>
      </c>
      <c r="K548" s="10" t="n">
        <v>448</v>
      </c>
      <c r="L548" s="7" t="n">
        <v>38844</v>
      </c>
      <c r="M548" s="8" t="n">
        <v>596</v>
      </c>
      <c r="N548" s="8" t="n">
        <v>253</v>
      </c>
      <c r="O548" s="9" t="n">
        <v>37834</v>
      </c>
      <c r="P548" s="10" t="n">
        <v>993</v>
      </c>
      <c r="Q548" s="10" t="n">
        <v>-525</v>
      </c>
      <c r="R548" s="7" t="n">
        <v>40704</v>
      </c>
      <c r="S548" s="8" t="n">
        <v>1592</v>
      </c>
      <c r="T548" s="8" t="n">
        <v>1135</v>
      </c>
      <c r="U548" s="9" t="n">
        <v>38947</v>
      </c>
      <c r="V548" s="10" t="n">
        <v>584</v>
      </c>
      <c r="W548" s="10" t="n">
        <v>120</v>
      </c>
      <c r="X548" s="7" t="n">
        <v>38541</v>
      </c>
      <c r="Y548" s="8" t="n">
        <v>655</v>
      </c>
      <c r="Z548" s="8" t="n">
        <v>-947</v>
      </c>
      <c r="AA548" s="9" t="n">
        <v>36558</v>
      </c>
      <c r="AB548" s="10" t="n">
        <v>-1029</v>
      </c>
      <c r="AC548" s="10" t="n">
        <v>-1003</v>
      </c>
      <c r="AD548" s="7" t="n">
        <v>47028</v>
      </c>
      <c r="AE548" s="8" t="n">
        <v>1805</v>
      </c>
      <c r="AF548" s="8" t="n">
        <v>172</v>
      </c>
      <c r="AG548" s="9" t="n">
        <v>37703</v>
      </c>
      <c r="AH548" s="10" t="n">
        <v>41</v>
      </c>
      <c r="AI548" s="10" t="n">
        <v>-656</v>
      </c>
      <c r="AJ548" s="11" t="n">
        <v>39324</v>
      </c>
      <c r="AK548" s="12" t="n">
        <v>2306</v>
      </c>
      <c r="AL548" s="12" t="n">
        <v>1243</v>
      </c>
      <c r="AM548" s="13" t="n">
        <v>4.3</v>
      </c>
      <c r="AN548" s="13" t="n">
        <v>2</v>
      </c>
      <c r="AO548" s="13" t="n">
        <v>5524.4</v>
      </c>
      <c r="AP548" s="13" t="n">
        <v>252.1</v>
      </c>
    </row>
    <row r="549">
      <c r="A549" s="5" t="inlineStr">
        <is>
          <t>신원종합개발</t>
        </is>
      </c>
      <c r="B549" s="6" t="inlineStr">
        <is>
          <t>017000</t>
        </is>
      </c>
      <c r="C549" s="6" t="inlineStr">
        <is>
          <t>별도</t>
        </is>
      </c>
      <c r="D549" s="6" t="inlineStr">
        <is>
          <t>2026Q2</t>
        </is>
      </c>
      <c r="E549" s="6" t="inlineStr"/>
      <c r="F549" s="7" t="inlineStr"/>
      <c r="G549" s="8" t="inlineStr"/>
      <c r="H549" s="8" t="inlineStr"/>
      <c r="I549" s="9" t="n">
        <v>65393</v>
      </c>
      <c r="J549" s="10" t="n">
        <v>2788</v>
      </c>
      <c r="K549" s="10" t="n">
        <v>4899</v>
      </c>
      <c r="L549" s="7" t="n">
        <v>58906</v>
      </c>
      <c r="M549" s="8" t="n">
        <v>926</v>
      </c>
      <c r="N549" s="8" t="n">
        <v>2699</v>
      </c>
      <c r="O549" s="9" t="n">
        <v>71084</v>
      </c>
      <c r="P549" s="10" t="n">
        <v>2447</v>
      </c>
      <c r="Q549" s="10" t="n">
        <v>1647</v>
      </c>
      <c r="R549" s="7" t="n">
        <v>64427</v>
      </c>
      <c r="S549" s="8" t="n">
        <v>8853</v>
      </c>
      <c r="T549" s="8" t="n">
        <v>-3717</v>
      </c>
      <c r="U549" s="9" t="n">
        <v>42221</v>
      </c>
      <c r="V549" s="10" t="n">
        <v>2425</v>
      </c>
      <c r="W549" s="10" t="n">
        <v>2228</v>
      </c>
      <c r="X549" s="7" t="n">
        <v>47880</v>
      </c>
      <c r="Y549" s="8" t="n">
        <v>1291</v>
      </c>
      <c r="Z549" s="8" t="n">
        <v>1250</v>
      </c>
      <c r="AA549" s="9" t="n">
        <v>53482</v>
      </c>
      <c r="AB549" s="10" t="n">
        <v>5880</v>
      </c>
      <c r="AC549" s="10" t="n">
        <v>6161</v>
      </c>
      <c r="AD549" s="7" t="n">
        <v>67728</v>
      </c>
      <c r="AE549" s="8" t="n">
        <v>-996</v>
      </c>
      <c r="AF549" s="8" t="n">
        <v>-4781</v>
      </c>
      <c r="AG549" s="9" t="n">
        <v>48752</v>
      </c>
      <c r="AH549" s="10" t="n">
        <v>3326</v>
      </c>
      <c r="AI549" s="10" t="n">
        <v>2626</v>
      </c>
      <c r="AJ549" s="11" t="n">
        <v>65508</v>
      </c>
      <c r="AK549" s="12" t="n">
        <v>4392</v>
      </c>
      <c r="AL549" s="12" t="n">
        <v>4418</v>
      </c>
      <c r="AM549" s="13" t="n">
        <v>34.4</v>
      </c>
      <c r="AN549" s="13" t="n">
        <v>36.8</v>
      </c>
      <c r="AO549" s="13" t="n">
        <v>32.1</v>
      </c>
      <c r="AP549" s="13" t="n">
        <v>240.2</v>
      </c>
    </row>
    <row r="550">
      <c r="A550" s="5" t="inlineStr">
        <is>
          <t>광명전기</t>
        </is>
      </c>
      <c r="B550" s="6" t="inlineStr">
        <is>
          <t>017040</t>
        </is>
      </c>
      <c r="C550" s="6" t="inlineStr">
        <is>
          <t>별도</t>
        </is>
      </c>
      <c r="D550" s="6" t="inlineStr">
        <is>
          <t>2026Q2</t>
        </is>
      </c>
      <c r="E550" s="6" t="inlineStr"/>
      <c r="F550" s="7" t="inlineStr"/>
      <c r="G550" s="8" t="inlineStr"/>
      <c r="H550" s="8" t="inlineStr"/>
      <c r="I550" s="9" t="n">
        <v>35735</v>
      </c>
      <c r="J550" s="10" t="n">
        <v>748</v>
      </c>
      <c r="K550" s="10" t="n">
        <v>659</v>
      </c>
      <c r="L550" s="7" t="n">
        <v>28944</v>
      </c>
      <c r="M550" s="8" t="n">
        <v>-3726</v>
      </c>
      <c r="N550" s="8" t="n">
        <v>-9522</v>
      </c>
      <c r="O550" s="9" t="n">
        <v>31205</v>
      </c>
      <c r="P550" s="10" t="n">
        <v>-189</v>
      </c>
      <c r="Q550" s="10" t="n">
        <v>-1750</v>
      </c>
      <c r="R550" s="7" t="n">
        <v>46522</v>
      </c>
      <c r="S550" s="8" t="n">
        <v>-5604</v>
      </c>
      <c r="T550" s="8" t="n">
        <v>-32604</v>
      </c>
      <c r="U550" s="9" t="n">
        <v>16508</v>
      </c>
      <c r="V550" s="10" t="n">
        <v>-3270</v>
      </c>
      <c r="W550" s="10" t="n">
        <v>-3606</v>
      </c>
      <c r="X550" s="7" t="n">
        <v>26657</v>
      </c>
      <c r="Y550" s="8" t="n">
        <v>-2238</v>
      </c>
      <c r="Z550" s="8" t="n">
        <v>-20615</v>
      </c>
      <c r="AA550" s="9" t="n">
        <v>30598</v>
      </c>
      <c r="AB550" s="10" t="n">
        <v>1962</v>
      </c>
      <c r="AC550" s="10" t="n">
        <v>-256</v>
      </c>
      <c r="AD550" s="7" t="n">
        <v>22106</v>
      </c>
      <c r="AE550" s="8" t="n">
        <v>-6422</v>
      </c>
      <c r="AF550" s="8" t="n">
        <v>-43678</v>
      </c>
      <c r="AG550" s="9" t="n">
        <v>12140</v>
      </c>
      <c r="AH550" s="10" t="n">
        <v>-2806</v>
      </c>
      <c r="AI550" s="10" t="n">
        <v>-7621</v>
      </c>
      <c r="AJ550" s="11" t="n">
        <v>18433</v>
      </c>
      <c r="AK550" s="12" t="n">
        <v>-5025</v>
      </c>
      <c r="AL550" s="12" t="n">
        <v>-6701</v>
      </c>
      <c r="AM550" s="13" t="n">
        <v>51.8</v>
      </c>
      <c r="AN550" s="13" t="n">
        <v>-30.9</v>
      </c>
      <c r="AO550" s="13" t="n">
        <v>-79.09999999999999</v>
      </c>
      <c r="AP550" s="13" t="n">
        <v>-124.5</v>
      </c>
    </row>
    <row r="551">
      <c r="A551" s="5" t="inlineStr">
        <is>
          <t>명문제약</t>
        </is>
      </c>
      <c r="B551" s="6" t="inlineStr">
        <is>
          <t>017180</t>
        </is>
      </c>
      <c r="C551" s="6" t="inlineStr">
        <is>
          <t>연결</t>
        </is>
      </c>
      <c r="D551" s="6" t="inlineStr">
        <is>
          <t>2026Q2</t>
        </is>
      </c>
      <c r="E551" s="6" t="inlineStr"/>
      <c r="F551" s="7" t="inlineStr"/>
      <c r="G551" s="8" t="inlineStr"/>
      <c r="H551" s="8" t="inlineStr"/>
      <c r="I551" s="9" t="n">
        <v>44231</v>
      </c>
      <c r="J551" s="10" t="n">
        <v>-941</v>
      </c>
      <c r="K551" s="10" t="n">
        <v>-1413</v>
      </c>
      <c r="L551" s="7" t="n">
        <v>46081</v>
      </c>
      <c r="M551" s="8" t="n">
        <v>-671</v>
      </c>
      <c r="N551" s="8" t="n">
        <v>-1661</v>
      </c>
      <c r="O551" s="9" t="n">
        <v>46983</v>
      </c>
      <c r="P551" s="10" t="n">
        <v>902</v>
      </c>
      <c r="Q551" s="10" t="n">
        <v>-918</v>
      </c>
      <c r="R551" s="7" t="n">
        <v>49148</v>
      </c>
      <c r="S551" s="8" t="n">
        <v>2639</v>
      </c>
      <c r="T551" s="8" t="n">
        <v>202</v>
      </c>
      <c r="U551" s="9" t="n">
        <v>45875</v>
      </c>
      <c r="V551" s="10" t="n">
        <v>-912</v>
      </c>
      <c r="W551" s="10" t="n">
        <v>-2173</v>
      </c>
      <c r="X551" s="7" t="n">
        <v>48757</v>
      </c>
      <c r="Y551" s="8" t="n">
        <v>5680</v>
      </c>
      <c r="Z551" s="8" t="n">
        <v>3430</v>
      </c>
      <c r="AA551" s="9" t="n">
        <v>49862</v>
      </c>
      <c r="AB551" s="10" t="n">
        <v>454</v>
      </c>
      <c r="AC551" s="10" t="n">
        <v>-668</v>
      </c>
      <c r="AD551" s="7" t="n">
        <v>50753</v>
      </c>
      <c r="AE551" s="8" t="n">
        <v>1613</v>
      </c>
      <c r="AF551" s="8" t="n">
        <v>829</v>
      </c>
      <c r="AG551" s="9" t="n">
        <v>47999</v>
      </c>
      <c r="AH551" s="10" t="n">
        <v>294</v>
      </c>
      <c r="AI551" s="10" t="n">
        <v>-1036</v>
      </c>
      <c r="AJ551" s="11" t="n">
        <v>51211</v>
      </c>
      <c r="AK551" s="12" t="n">
        <v>-836</v>
      </c>
      <c r="AL551" s="12" t="n">
        <v>-1690</v>
      </c>
      <c r="AM551" s="13" t="n">
        <v>6.7</v>
      </c>
      <c r="AN551" s="13" t="n">
        <v>5</v>
      </c>
      <c r="AO551" s="13" t="n">
        <v>-384.4</v>
      </c>
      <c r="AP551" s="13" t="n">
        <v>-114.7</v>
      </c>
    </row>
    <row r="552">
      <c r="A552" s="5" t="inlineStr">
        <is>
          <t>인터엠</t>
        </is>
      </c>
      <c r="B552" s="6" t="inlineStr">
        <is>
          <t>017250</t>
        </is>
      </c>
      <c r="C552" s="6" t="inlineStr">
        <is>
          <t>연결</t>
        </is>
      </c>
      <c r="D552" s="6" t="inlineStr">
        <is>
          <t>2026Q2</t>
        </is>
      </c>
      <c r="E552" s="6" t="inlineStr"/>
      <c r="F552" s="7" t="inlineStr"/>
      <c r="G552" s="8" t="inlineStr"/>
      <c r="H552" s="8" t="inlineStr"/>
      <c r="I552" s="9" t="n">
        <v>12626</v>
      </c>
      <c r="J552" s="10" t="n">
        <v>121</v>
      </c>
      <c r="K552" s="10" t="n">
        <v>22</v>
      </c>
      <c r="L552" s="7" t="n">
        <v>14747</v>
      </c>
      <c r="M552" s="8" t="n">
        <v>290</v>
      </c>
      <c r="N552" s="8" t="n">
        <v>-873</v>
      </c>
      <c r="O552" s="9" t="n">
        <v>13118</v>
      </c>
      <c r="P552" s="10" t="n">
        <v>781</v>
      </c>
      <c r="Q552" s="10" t="n">
        <v>679</v>
      </c>
      <c r="R552" s="7" t="n">
        <v>19847</v>
      </c>
      <c r="S552" s="8" t="n">
        <v>3212</v>
      </c>
      <c r="T552" s="8" t="n">
        <v>2483</v>
      </c>
      <c r="U552" s="9" t="n">
        <v>12899</v>
      </c>
      <c r="V552" s="10" t="n">
        <v>53</v>
      </c>
      <c r="W552" s="10" t="n">
        <v>93</v>
      </c>
      <c r="X552" s="7" t="n">
        <v>13558</v>
      </c>
      <c r="Y552" s="8" t="n">
        <v>-271</v>
      </c>
      <c r="Z552" s="8" t="n">
        <v>-784</v>
      </c>
      <c r="AA552" s="9" t="n">
        <v>14976</v>
      </c>
      <c r="AB552" s="10" t="n">
        <v>1742</v>
      </c>
      <c r="AC552" s="10" t="n">
        <v>1200</v>
      </c>
      <c r="AD552" s="7" t="n">
        <v>18621</v>
      </c>
      <c r="AE552" s="8" t="n">
        <v>2464</v>
      </c>
      <c r="AF552" s="8" t="n">
        <v>1540</v>
      </c>
      <c r="AG552" s="9" t="inlineStr"/>
      <c r="AH552" s="10" t="inlineStr"/>
      <c r="AI552" s="10" t="inlineStr"/>
      <c r="AJ552" s="11" t="n">
        <v>17815</v>
      </c>
      <c r="AK552" s="12" t="n">
        <v>456</v>
      </c>
      <c r="AL552" s="12" t="n">
        <v>-98</v>
      </c>
      <c r="AM552" s="13" t="inlineStr"/>
      <c r="AN552" s="13" t="n">
        <v>31.4</v>
      </c>
      <c r="AO552" s="13" t="inlineStr"/>
      <c r="AP552" s="13" t="n">
        <v>268.3</v>
      </c>
    </row>
    <row r="553">
      <c r="A553" s="5" t="inlineStr">
        <is>
          <t>우신시스템</t>
        </is>
      </c>
      <c r="B553" s="6" t="inlineStr">
        <is>
          <t>017370</t>
        </is>
      </c>
      <c r="C553" s="6" t="inlineStr">
        <is>
          <t>연결</t>
        </is>
      </c>
      <c r="D553" s="6" t="inlineStr">
        <is>
          <t>2026Q2</t>
        </is>
      </c>
      <c r="E553" s="6" t="inlineStr"/>
      <c r="F553" s="7" t="inlineStr"/>
      <c r="G553" s="8" t="inlineStr"/>
      <c r="H553" s="8" t="inlineStr"/>
      <c r="I553" s="9" t="n">
        <v>57465</v>
      </c>
      <c r="J553" s="10" t="n">
        <v>2037</v>
      </c>
      <c r="K553" s="10" t="n">
        <v>3267</v>
      </c>
      <c r="L553" s="7" t="n">
        <v>87580</v>
      </c>
      <c r="M553" s="8" t="n">
        <v>7299</v>
      </c>
      <c r="N553" s="8" t="n">
        <v>4425</v>
      </c>
      <c r="O553" s="9" t="n">
        <v>280599</v>
      </c>
      <c r="P553" s="10" t="n">
        <v>20823</v>
      </c>
      <c r="Q553" s="10" t="n">
        <v>9875</v>
      </c>
      <c r="R553" s="7" t="n">
        <v>137953</v>
      </c>
      <c r="S553" s="8" t="n">
        <v>5908</v>
      </c>
      <c r="T553" s="8" t="n">
        <v>16329</v>
      </c>
      <c r="U553" s="9" t="n">
        <v>102473</v>
      </c>
      <c r="V553" s="10" t="n">
        <v>9128</v>
      </c>
      <c r="W553" s="10" t="n">
        <v>5357</v>
      </c>
      <c r="X553" s="7" t="n">
        <v>94248</v>
      </c>
      <c r="Y553" s="8" t="n">
        <v>1280</v>
      </c>
      <c r="Z553" s="8" t="n">
        <v>-2529</v>
      </c>
      <c r="AA553" s="9" t="n">
        <v>101040</v>
      </c>
      <c r="AB553" s="10" t="n">
        <v>4367</v>
      </c>
      <c r="AC553" s="10" t="n">
        <v>6623</v>
      </c>
      <c r="AD553" s="7" t="n">
        <v>90852</v>
      </c>
      <c r="AE553" s="8" t="n">
        <v>6083</v>
      </c>
      <c r="AF553" s="8" t="n">
        <v>5557</v>
      </c>
      <c r="AG553" s="9" t="n">
        <v>82173</v>
      </c>
      <c r="AH553" s="10" t="n">
        <v>-335</v>
      </c>
      <c r="AI553" s="10" t="n">
        <v>1355</v>
      </c>
      <c r="AJ553" s="11" t="n">
        <v>80388</v>
      </c>
      <c r="AK553" s="12" t="n">
        <v>-3545</v>
      </c>
      <c r="AL553" s="12" t="n">
        <v>173</v>
      </c>
      <c r="AM553" s="13" t="n">
        <v>-2.2</v>
      </c>
      <c r="AN553" s="13" t="n">
        <v>-14.7</v>
      </c>
      <c r="AO553" s="13" t="n">
        <v>-958.2</v>
      </c>
      <c r="AP553" s="13" t="n">
        <v>-377</v>
      </c>
    </row>
    <row r="554">
      <c r="A554" s="5" t="inlineStr">
        <is>
          <t>서울도시가스</t>
        </is>
      </c>
      <c r="B554" s="6" t="inlineStr">
        <is>
          <t>017390</t>
        </is>
      </c>
      <c r="C554" s="6" t="inlineStr">
        <is>
          <t>연결</t>
        </is>
      </c>
      <c r="D554" s="6" t="inlineStr">
        <is>
          <t>2026Q2</t>
        </is>
      </c>
      <c r="E554" s="6" t="inlineStr"/>
      <c r="F554" s="7" t="inlineStr"/>
      <c r="G554" s="8" t="inlineStr"/>
      <c r="H554" s="8" t="inlineStr"/>
      <c r="I554" s="9" t="n">
        <v>723152</v>
      </c>
      <c r="J554" s="10" t="n">
        <v>21455</v>
      </c>
      <c r="K554" s="10" t="n">
        <v>27517</v>
      </c>
      <c r="L554" s="7" t="n">
        <v>249591</v>
      </c>
      <c r="M554" s="8" t="n">
        <v>-4557</v>
      </c>
      <c r="N554" s="8" t="n">
        <v>1552</v>
      </c>
      <c r="O554" s="9" t="n">
        <v>195694</v>
      </c>
      <c r="P554" s="10" t="n">
        <v>-19077</v>
      </c>
      <c r="Q554" s="10" t="n">
        <v>454</v>
      </c>
      <c r="R554" s="7" t="n">
        <v>535352</v>
      </c>
      <c r="S554" s="8" t="n">
        <v>-8106</v>
      </c>
      <c r="T554" s="8" t="n">
        <v>4799</v>
      </c>
      <c r="U554" s="9" t="n">
        <v>788892</v>
      </c>
      <c r="V554" s="10" t="n">
        <v>24851</v>
      </c>
      <c r="W554" s="10" t="n">
        <v>25351</v>
      </c>
      <c r="X554" s="7" t="n">
        <v>299067</v>
      </c>
      <c r="Y554" s="8" t="n">
        <v>2397</v>
      </c>
      <c r="Z554" s="8" t="n">
        <v>7339</v>
      </c>
      <c r="AA554" s="9" t="n">
        <v>196305</v>
      </c>
      <c r="AB554" s="10" t="n">
        <v>-13357</v>
      </c>
      <c r="AC554" s="10" t="n">
        <v>-7419</v>
      </c>
      <c r="AD554" s="7" t="n">
        <v>543733</v>
      </c>
      <c r="AE554" s="8" t="n">
        <v>3515</v>
      </c>
      <c r="AF554" s="8" t="n">
        <v>5714</v>
      </c>
      <c r="AG554" s="9" t="n">
        <v>769497</v>
      </c>
      <c r="AH554" s="10" t="n">
        <v>22042</v>
      </c>
      <c r="AI554" s="10" t="n">
        <v>21626</v>
      </c>
      <c r="AJ554" s="11" t="n">
        <v>275500</v>
      </c>
      <c r="AK554" s="12" t="n">
        <v>-2348</v>
      </c>
      <c r="AL554" s="12" t="n">
        <v>2575</v>
      </c>
      <c r="AM554" s="13" t="n">
        <v>-64.2</v>
      </c>
      <c r="AN554" s="13" t="n">
        <v>-7.9</v>
      </c>
      <c r="AO554" s="13" t="n">
        <v>-110.7</v>
      </c>
      <c r="AP554" s="13" t="n">
        <v>-198</v>
      </c>
    </row>
    <row r="555">
      <c r="A555" s="5" t="inlineStr">
        <is>
          <t>삼현철강</t>
        </is>
      </c>
      <c r="B555" s="6" t="inlineStr">
        <is>
          <t>017480</t>
        </is>
      </c>
      <c r="C555" s="6" t="inlineStr">
        <is>
          <t>별도</t>
        </is>
      </c>
      <c r="D555" s="6" t="inlineStr">
        <is>
          <t>2026Q2</t>
        </is>
      </c>
      <c r="E555" s="6" t="inlineStr"/>
      <c r="F555" s="7" t="inlineStr"/>
      <c r="G555" s="8" t="inlineStr"/>
      <c r="H555" s="8" t="inlineStr"/>
      <c r="I555" s="9" t="n">
        <v>57987</v>
      </c>
      <c r="J555" s="10" t="n">
        <v>647</v>
      </c>
      <c r="K555" s="10" t="n">
        <v>1085</v>
      </c>
      <c r="L555" s="7" t="n">
        <v>60253</v>
      </c>
      <c r="M555" s="8" t="n">
        <v>-241</v>
      </c>
      <c r="N555" s="8" t="n">
        <v>602</v>
      </c>
      <c r="O555" s="9" t="n">
        <v>45542</v>
      </c>
      <c r="P555" s="10" t="n">
        <v>696</v>
      </c>
      <c r="Q555" s="10" t="n">
        <v>1232</v>
      </c>
      <c r="R555" s="7" t="n">
        <v>59880</v>
      </c>
      <c r="S555" s="8" t="n">
        <v>2458</v>
      </c>
      <c r="T555" s="8" t="n">
        <v>2589</v>
      </c>
      <c r="U555" s="9" t="n">
        <v>52287</v>
      </c>
      <c r="V555" s="10" t="n">
        <v>138</v>
      </c>
      <c r="W555" s="10" t="n">
        <v>721</v>
      </c>
      <c r="X555" s="7" t="n">
        <v>54430</v>
      </c>
      <c r="Y555" s="8" t="n">
        <v>1869</v>
      </c>
      <c r="Z555" s="8" t="n">
        <v>1776</v>
      </c>
      <c r="AA555" s="9" t="n">
        <v>53092</v>
      </c>
      <c r="AB555" s="10" t="n">
        <v>1002</v>
      </c>
      <c r="AC555" s="10" t="n">
        <v>1364</v>
      </c>
      <c r="AD555" s="7" t="n">
        <v>58153</v>
      </c>
      <c r="AE555" s="8" t="n">
        <v>2090</v>
      </c>
      <c r="AF555" s="8" t="n">
        <v>2484</v>
      </c>
      <c r="AG555" s="9" t="n">
        <v>57351</v>
      </c>
      <c r="AH555" s="10" t="n">
        <v>1543</v>
      </c>
      <c r="AI555" s="10" t="n">
        <v>1852</v>
      </c>
      <c r="AJ555" s="11" t="n">
        <v>61402</v>
      </c>
      <c r="AK555" s="12" t="n">
        <v>5402</v>
      </c>
      <c r="AL555" s="12" t="n">
        <v>4911</v>
      </c>
      <c r="AM555" s="13" t="n">
        <v>7.1</v>
      </c>
      <c r="AN555" s="13" t="n">
        <v>12.8</v>
      </c>
      <c r="AO555" s="13" t="n">
        <v>250.1</v>
      </c>
      <c r="AP555" s="13" t="n">
        <v>189</v>
      </c>
    </row>
    <row r="556">
      <c r="A556" s="5" t="inlineStr">
        <is>
          <t>세명전기</t>
        </is>
      </c>
      <c r="B556" s="6" t="inlineStr">
        <is>
          <t>017510</t>
        </is>
      </c>
      <c r="C556" s="6" t="inlineStr">
        <is>
          <t>별도</t>
        </is>
      </c>
      <c r="D556" s="6" t="inlineStr">
        <is>
          <t>2026Q2</t>
        </is>
      </c>
      <c r="E556" s="6" t="inlineStr"/>
      <c r="F556" s="7" t="inlineStr"/>
      <c r="G556" s="8" t="inlineStr"/>
      <c r="H556" s="8" t="inlineStr"/>
      <c r="I556" s="9" t="n">
        <v>2964</v>
      </c>
      <c r="J556" s="10" t="n">
        <v>574</v>
      </c>
      <c r="K556" s="10" t="n">
        <v>915</v>
      </c>
      <c r="L556" s="7" t="n">
        <v>3276</v>
      </c>
      <c r="M556" s="8" t="n">
        <v>584</v>
      </c>
      <c r="N556" s="8" t="n">
        <v>-203</v>
      </c>
      <c r="O556" s="9" t="n">
        <v>2994</v>
      </c>
      <c r="P556" s="10" t="n">
        <v>422</v>
      </c>
      <c r="Q556" s="10" t="n">
        <v>3427</v>
      </c>
      <c r="R556" s="7" t="n">
        <v>5197</v>
      </c>
      <c r="S556" s="8" t="n">
        <v>1450</v>
      </c>
      <c r="T556" s="8" t="n">
        <v>546</v>
      </c>
      <c r="U556" s="9" t="n">
        <v>5023</v>
      </c>
      <c r="V556" s="10" t="n">
        <v>2950</v>
      </c>
      <c r="W556" s="10" t="n">
        <v>2363</v>
      </c>
      <c r="X556" s="7" t="n">
        <v>11077</v>
      </c>
      <c r="Y556" s="8" t="n">
        <v>6202</v>
      </c>
      <c r="Z556" s="8" t="n">
        <v>5519</v>
      </c>
      <c r="AA556" s="9" t="n">
        <v>6458</v>
      </c>
      <c r="AB556" s="10" t="n">
        <v>1865</v>
      </c>
      <c r="AC556" s="10" t="n">
        <v>1830</v>
      </c>
      <c r="AD556" s="7" t="n">
        <v>9775</v>
      </c>
      <c r="AE556" s="8" t="n">
        <v>3799</v>
      </c>
      <c r="AF556" s="8" t="n">
        <v>3052</v>
      </c>
      <c r="AG556" s="9" t="n">
        <v>9560</v>
      </c>
      <c r="AH556" s="10" t="n">
        <v>3966</v>
      </c>
      <c r="AI556" s="10" t="n">
        <v>2845</v>
      </c>
      <c r="AJ556" s="11" t="n">
        <v>12646</v>
      </c>
      <c r="AK556" s="12" t="n">
        <v>5588</v>
      </c>
      <c r="AL556" s="12" t="n">
        <v>4777</v>
      </c>
      <c r="AM556" s="13" t="n">
        <v>32.3</v>
      </c>
      <c r="AN556" s="13" t="n">
        <v>14.2</v>
      </c>
      <c r="AO556" s="13" t="n">
        <v>40.9</v>
      </c>
      <c r="AP556" s="13" t="n">
        <v>-9.9</v>
      </c>
    </row>
    <row r="557">
      <c r="A557" s="5" t="inlineStr">
        <is>
          <t>수산세보틱스</t>
        </is>
      </c>
      <c r="B557" s="6" t="inlineStr">
        <is>
          <t>017550</t>
        </is>
      </c>
      <c r="C557" s="6" t="inlineStr">
        <is>
          <t>연결</t>
        </is>
      </c>
      <c r="D557" s="6" t="inlineStr">
        <is>
          <t>2026Q2</t>
        </is>
      </c>
      <c r="E557" s="6" t="inlineStr"/>
      <c r="F557" s="7" t="inlineStr"/>
      <c r="G557" s="8" t="inlineStr"/>
      <c r="H557" s="8" t="inlineStr"/>
      <c r="I557" s="9" t="n">
        <v>45436</v>
      </c>
      <c r="J557" s="10" t="n">
        <v>2216</v>
      </c>
      <c r="K557" s="10" t="n">
        <v>2438</v>
      </c>
      <c r="L557" s="7" t="n">
        <v>47182</v>
      </c>
      <c r="M557" s="8" t="n">
        <v>2246</v>
      </c>
      <c r="N557" s="8" t="n">
        <v>1510</v>
      </c>
      <c r="O557" s="9" t="n">
        <v>57733</v>
      </c>
      <c r="P557" s="10" t="n">
        <v>5310</v>
      </c>
      <c r="Q557" s="10" t="n">
        <v>2583</v>
      </c>
      <c r="R557" s="7" t="n">
        <v>47541</v>
      </c>
      <c r="S557" s="8" t="n">
        <v>2296</v>
      </c>
      <c r="T557" s="8" t="n">
        <v>2695</v>
      </c>
      <c r="U557" s="9" t="n">
        <v>48299</v>
      </c>
      <c r="V557" s="10" t="n">
        <v>3470</v>
      </c>
      <c r="W557" s="10" t="n">
        <v>3193</v>
      </c>
      <c r="X557" s="7" t="n">
        <v>56533</v>
      </c>
      <c r="Y557" s="8" t="n">
        <v>5211</v>
      </c>
      <c r="Z557" s="8" t="n">
        <v>2346</v>
      </c>
      <c r="AA557" s="9" t="n">
        <v>52622</v>
      </c>
      <c r="AB557" s="10" t="n">
        <v>4111</v>
      </c>
      <c r="AC557" s="10" t="n">
        <v>3923</v>
      </c>
      <c r="AD557" s="7" t="n">
        <v>71934</v>
      </c>
      <c r="AE557" s="8" t="n">
        <v>6172</v>
      </c>
      <c r="AF557" s="8" t="n">
        <v>6378</v>
      </c>
      <c r="AG557" s="9" t="n">
        <v>47326</v>
      </c>
      <c r="AH557" s="10" t="n">
        <v>2809</v>
      </c>
      <c r="AI557" s="10" t="n">
        <v>2934</v>
      </c>
      <c r="AJ557" s="11" t="n">
        <v>73027</v>
      </c>
      <c r="AK557" s="12" t="n">
        <v>6440</v>
      </c>
      <c r="AL557" s="12" t="n">
        <v>5308</v>
      </c>
      <c r="AM557" s="13" t="n">
        <v>54.3</v>
      </c>
      <c r="AN557" s="13" t="n">
        <v>29.2</v>
      </c>
      <c r="AO557" s="13" t="n">
        <v>129.3</v>
      </c>
      <c r="AP557" s="13" t="n">
        <v>23.6</v>
      </c>
    </row>
    <row r="558">
      <c r="A558" s="5" t="inlineStr">
        <is>
          <t>대림제지</t>
        </is>
      </c>
      <c r="B558" s="6" t="inlineStr">
        <is>
          <t>017650</t>
        </is>
      </c>
      <c r="C558" s="6" t="inlineStr">
        <is>
          <t>연결</t>
        </is>
      </c>
      <c r="D558" s="6" t="inlineStr">
        <is>
          <t>2026Q2</t>
        </is>
      </c>
      <c r="E558" s="6" t="inlineStr"/>
      <c r="F558" s="7" t="inlineStr"/>
      <c r="G558" s="8" t="inlineStr"/>
      <c r="H558" s="8" t="inlineStr"/>
      <c r="I558" s="9" t="n">
        <v>41071</v>
      </c>
      <c r="J558" s="10" t="n">
        <v>4787</v>
      </c>
      <c r="K558" s="10" t="n">
        <v>5276</v>
      </c>
      <c r="L558" s="7" t="n">
        <v>39685</v>
      </c>
      <c r="M558" s="8" t="n">
        <v>1425</v>
      </c>
      <c r="N558" s="8" t="n">
        <v>1798</v>
      </c>
      <c r="O558" s="9" t="n">
        <v>42614</v>
      </c>
      <c r="P558" s="10" t="n">
        <v>788</v>
      </c>
      <c r="Q558" s="10" t="n">
        <v>1264</v>
      </c>
      <c r="R558" s="7" t="n">
        <v>42894</v>
      </c>
      <c r="S558" s="8" t="n">
        <v>2835</v>
      </c>
      <c r="T558" s="8" t="n">
        <v>4889</v>
      </c>
      <c r="U558" s="9" t="n">
        <v>41964</v>
      </c>
      <c r="V558" s="10" t="n">
        <v>3812</v>
      </c>
      <c r="W558" s="10" t="n">
        <v>3475</v>
      </c>
      <c r="X558" s="7" t="n">
        <v>40638</v>
      </c>
      <c r="Y558" s="8" t="n">
        <v>4089</v>
      </c>
      <c r="Z558" s="8" t="n">
        <v>3824</v>
      </c>
      <c r="AA558" s="9" t="n">
        <v>43170</v>
      </c>
      <c r="AB558" s="10" t="n">
        <v>909</v>
      </c>
      <c r="AC558" s="10" t="n">
        <v>1340</v>
      </c>
      <c r="AD558" s="7" t="n">
        <v>43065</v>
      </c>
      <c r="AE558" s="8" t="n">
        <v>-3529</v>
      </c>
      <c r="AF558" s="8" t="n">
        <v>-2241</v>
      </c>
      <c r="AG558" s="9" t="n">
        <v>41867</v>
      </c>
      <c r="AH558" s="10" t="n">
        <v>563</v>
      </c>
      <c r="AI558" s="10" t="n">
        <v>866</v>
      </c>
      <c r="AJ558" s="11" t="n">
        <v>47589</v>
      </c>
      <c r="AK558" s="12" t="n">
        <v>6236</v>
      </c>
      <c r="AL558" s="12" t="n">
        <v>6083</v>
      </c>
      <c r="AM558" s="13" t="n">
        <v>13.7</v>
      </c>
      <c r="AN558" s="13" t="n">
        <v>17.1</v>
      </c>
      <c r="AO558" s="13" t="n">
        <v>1007.6</v>
      </c>
      <c r="AP558" s="13" t="n">
        <v>52.5</v>
      </c>
    </row>
    <row r="559">
      <c r="A559" s="5" t="inlineStr">
        <is>
          <t>SK텔레콤</t>
        </is>
      </c>
      <c r="B559" s="6" t="inlineStr">
        <is>
          <t>017670</t>
        </is>
      </c>
      <c r="C559" s="6" t="inlineStr">
        <is>
          <t>연결</t>
        </is>
      </c>
      <c r="D559" s="6" t="inlineStr">
        <is>
          <t>2026Q2</t>
        </is>
      </c>
      <c r="E559" s="6" t="inlineStr">
        <is>
          <t>2023Q4</t>
        </is>
      </c>
      <c r="F559" s="14" t="n">
        <v>4527300</v>
      </c>
      <c r="G559" s="15" t="n">
        <v>297100</v>
      </c>
      <c r="H559" s="15" t="n">
        <v>187400</v>
      </c>
      <c r="I559" s="9" t="n">
        <v>4474611</v>
      </c>
      <c r="J559" s="10" t="n">
        <v>498489</v>
      </c>
      <c r="K559" s="10" t="n">
        <v>361940</v>
      </c>
      <c r="L559" s="7" t="n">
        <v>4422359</v>
      </c>
      <c r="M559" s="8" t="n">
        <v>537508</v>
      </c>
      <c r="N559" s="8" t="n">
        <v>350174</v>
      </c>
      <c r="O559" s="9" t="n">
        <v>4532118</v>
      </c>
      <c r="P559" s="10" t="n">
        <v>533263</v>
      </c>
      <c r="Q559" s="10" t="n">
        <v>280176</v>
      </c>
      <c r="R559" s="7" t="n">
        <v>4511521</v>
      </c>
      <c r="S559" s="8" t="n">
        <v>254149</v>
      </c>
      <c r="T559" s="8" t="n">
        <v>394805</v>
      </c>
      <c r="U559" s="9" t="n">
        <v>4453717</v>
      </c>
      <c r="V559" s="10" t="n">
        <v>567384</v>
      </c>
      <c r="W559" s="10" t="n">
        <v>361575</v>
      </c>
      <c r="X559" s="7" t="n">
        <v>4338760</v>
      </c>
      <c r="Y559" s="8" t="n">
        <v>338260</v>
      </c>
      <c r="Z559" s="8" t="n">
        <v>83247</v>
      </c>
      <c r="AA559" s="9" t="n">
        <v>3978064</v>
      </c>
      <c r="AB559" s="10" t="n">
        <v>48438</v>
      </c>
      <c r="AC559" s="10" t="n">
        <v>-166731</v>
      </c>
      <c r="AD559" s="7" t="n">
        <v>4328672</v>
      </c>
      <c r="AE559" s="8" t="n">
        <v>119133</v>
      </c>
      <c r="AF559" s="8" t="n">
        <v>96993</v>
      </c>
      <c r="AG559" s="9" t="n">
        <v>4392312</v>
      </c>
      <c r="AH559" s="10" t="n">
        <v>537591</v>
      </c>
      <c r="AI559" s="10" t="n">
        <v>316415</v>
      </c>
      <c r="AJ559" s="11" t="n">
        <v>4359057</v>
      </c>
      <c r="AK559" s="12" t="n">
        <v>566043</v>
      </c>
      <c r="AL559" s="12" t="n">
        <v>465980</v>
      </c>
      <c r="AM559" s="13" t="n">
        <v>-0.8</v>
      </c>
      <c r="AN559" s="13" t="n">
        <v>0.5</v>
      </c>
      <c r="AO559" s="13" t="n">
        <v>5.3</v>
      </c>
      <c r="AP559" s="13" t="n">
        <v>67.3</v>
      </c>
    </row>
    <row r="560">
      <c r="A560" s="5" t="inlineStr">
        <is>
          <t>현대엘리베이터</t>
        </is>
      </c>
      <c r="B560" s="6" t="inlineStr">
        <is>
          <t>017800</t>
        </is>
      </c>
      <c r="C560" s="6" t="inlineStr">
        <is>
          <t>연결</t>
        </is>
      </c>
      <c r="D560" s="6" t="inlineStr">
        <is>
          <t>2026Q2</t>
        </is>
      </c>
      <c r="E560" s="6" t="inlineStr"/>
      <c r="F560" s="7" t="inlineStr"/>
      <c r="G560" s="8" t="inlineStr"/>
      <c r="H560" s="8" t="inlineStr"/>
      <c r="I560" s="9" t="n">
        <v>661252</v>
      </c>
      <c r="J560" s="10" t="n">
        <v>39842</v>
      </c>
      <c r="K560" s="10" t="n">
        <v>11017</v>
      </c>
      <c r="L560" s="7" t="n">
        <v>739497</v>
      </c>
      <c r="M560" s="8" t="n">
        <v>49893</v>
      </c>
      <c r="N560" s="8" t="n">
        <v>21670</v>
      </c>
      <c r="O560" s="9" t="n">
        <v>697674</v>
      </c>
      <c r="P560" s="10" t="n">
        <v>69859</v>
      </c>
      <c r="Q560" s="10" t="n">
        <v>64098</v>
      </c>
      <c r="R560" s="7" t="n">
        <v>786874</v>
      </c>
      <c r="S560" s="8" t="n">
        <v>66144</v>
      </c>
      <c r="T560" s="8" t="n">
        <v>97143</v>
      </c>
      <c r="U560" s="9" t="n">
        <v>594382</v>
      </c>
      <c r="V560" s="10" t="n">
        <v>48394</v>
      </c>
      <c r="W560" s="10" t="n">
        <v>34869</v>
      </c>
      <c r="X560" s="7" t="n">
        <v>637507</v>
      </c>
      <c r="Y560" s="8" t="n">
        <v>55454</v>
      </c>
      <c r="Z560" s="8" t="n">
        <v>52546</v>
      </c>
      <c r="AA560" s="9" t="n">
        <v>600829</v>
      </c>
      <c r="AB560" s="10" t="n">
        <v>51083</v>
      </c>
      <c r="AC560" s="10" t="n">
        <v>149318</v>
      </c>
      <c r="AD560" s="7" t="n">
        <v>634660</v>
      </c>
      <c r="AE560" s="8" t="n">
        <v>54291</v>
      </c>
      <c r="AF560" s="8" t="n">
        <v>32550</v>
      </c>
      <c r="AG560" s="9" t="n">
        <v>545847</v>
      </c>
      <c r="AH560" s="10" t="n">
        <v>40486</v>
      </c>
      <c r="AI560" s="10" t="n">
        <v>27068</v>
      </c>
      <c r="AJ560" s="11" t="n">
        <v>692844</v>
      </c>
      <c r="AK560" s="12" t="n">
        <v>84479</v>
      </c>
      <c r="AL560" s="12" t="n">
        <v>166912</v>
      </c>
      <c r="AM560" s="13" t="n">
        <v>26.9</v>
      </c>
      <c r="AN560" s="13" t="n">
        <v>8.699999999999999</v>
      </c>
      <c r="AO560" s="13" t="n">
        <v>108.7</v>
      </c>
      <c r="AP560" s="13" t="n">
        <v>52.3</v>
      </c>
    </row>
    <row r="561">
      <c r="A561" s="5" t="inlineStr">
        <is>
          <t>풀무원</t>
        </is>
      </c>
      <c r="B561" s="6" t="inlineStr">
        <is>
          <t>017810</t>
        </is>
      </c>
      <c r="C561" s="6" t="inlineStr">
        <is>
          <t>연결</t>
        </is>
      </c>
      <c r="D561" s="6" t="inlineStr">
        <is>
          <t>2026Q2</t>
        </is>
      </c>
      <c r="E561" s="6" t="inlineStr"/>
      <c r="F561" s="7" t="inlineStr"/>
      <c r="G561" s="8" t="inlineStr"/>
      <c r="H561" s="8" t="inlineStr"/>
      <c r="I561" s="9" t="n">
        <v>769292</v>
      </c>
      <c r="J561" s="10" t="n">
        <v>15658</v>
      </c>
      <c r="K561" s="10" t="n">
        <v>1599</v>
      </c>
      <c r="L561" s="7" t="n">
        <v>793049</v>
      </c>
      <c r="M561" s="8" t="n">
        <v>16854</v>
      </c>
      <c r="N561" s="8" t="n">
        <v>5221</v>
      </c>
      <c r="O561" s="9" t="n">
        <v>833657</v>
      </c>
      <c r="P561" s="10" t="n">
        <v>33289</v>
      </c>
      <c r="Q561" s="10" t="n">
        <v>15047</v>
      </c>
      <c r="R561" s="7" t="n">
        <v>817699</v>
      </c>
      <c r="S561" s="8" t="n">
        <v>26028</v>
      </c>
      <c r="T561" s="8" t="n">
        <v>12520</v>
      </c>
      <c r="U561" s="9" t="n">
        <v>793491</v>
      </c>
      <c r="V561" s="10" t="n">
        <v>11263</v>
      </c>
      <c r="W561" s="10" t="n">
        <v>-3027</v>
      </c>
      <c r="X561" s="7" t="n">
        <v>839113</v>
      </c>
      <c r="Y561" s="8" t="n">
        <v>19561</v>
      </c>
      <c r="Z561" s="8" t="n">
        <v>-8209</v>
      </c>
      <c r="AA561" s="9" t="n">
        <v>888395</v>
      </c>
      <c r="AB561" s="10" t="n">
        <v>38092</v>
      </c>
      <c r="AC561" s="10" t="n">
        <v>21732</v>
      </c>
      <c r="AD561" s="7" t="n">
        <v>859190</v>
      </c>
      <c r="AE561" s="8" t="n">
        <v>24257</v>
      </c>
      <c r="AF561" s="8" t="n">
        <v>4664</v>
      </c>
      <c r="AG561" s="9" t="n">
        <v>850353</v>
      </c>
      <c r="AH561" s="10" t="n">
        <v>19020</v>
      </c>
      <c r="AI561" s="10" t="n">
        <v>5889</v>
      </c>
      <c r="AJ561" s="11" t="n">
        <v>893551</v>
      </c>
      <c r="AK561" s="12" t="n">
        <v>24638</v>
      </c>
      <c r="AL561" s="12" t="n">
        <v>10306</v>
      </c>
      <c r="AM561" s="13" t="n">
        <v>5.1</v>
      </c>
      <c r="AN561" s="13" t="n">
        <v>6.5</v>
      </c>
      <c r="AO561" s="13" t="n">
        <v>29.5</v>
      </c>
      <c r="AP561" s="13" t="n">
        <v>26</v>
      </c>
    </row>
    <row r="562">
      <c r="A562" s="5" t="inlineStr">
        <is>
          <t>DS단석</t>
        </is>
      </c>
      <c r="B562" s="6" t="inlineStr">
        <is>
          <t>017860</t>
        </is>
      </c>
      <c r="C562" s="6" t="inlineStr">
        <is>
          <t>연결</t>
        </is>
      </c>
      <c r="D562" s="6" t="inlineStr">
        <is>
          <t>2026Q2</t>
        </is>
      </c>
      <c r="E562" s="6" t="inlineStr"/>
      <c r="F562" s="7" t="inlineStr"/>
      <c r="G562" s="8" t="inlineStr"/>
      <c r="H562" s="8" t="inlineStr"/>
      <c r="I562" s="9" t="n">
        <v>218539</v>
      </c>
      <c r="J562" s="10" t="n">
        <v>7522</v>
      </c>
      <c r="K562" s="10" t="n">
        <v>2172</v>
      </c>
      <c r="L562" s="7" t="n">
        <v>266308</v>
      </c>
      <c r="M562" s="8" t="n">
        <v>5226</v>
      </c>
      <c r="N562" s="8" t="n">
        <v>1991</v>
      </c>
      <c r="O562" s="9" t="n">
        <v>259114</v>
      </c>
      <c r="P562" s="10" t="n">
        <v>2555</v>
      </c>
      <c r="Q562" s="10" t="n">
        <v>-2842</v>
      </c>
      <c r="R562" s="7" t="n">
        <v>217761</v>
      </c>
      <c r="S562" s="8" t="n">
        <v>-3115</v>
      </c>
      <c r="T562" s="8" t="n">
        <v>-11643</v>
      </c>
      <c r="U562" s="9" t="n">
        <v>248116</v>
      </c>
      <c r="V562" s="10" t="n">
        <v>8991</v>
      </c>
      <c r="W562" s="10" t="n">
        <v>6307</v>
      </c>
      <c r="X562" s="7" t="n">
        <v>221725</v>
      </c>
      <c r="Y562" s="8" t="n">
        <v>-1317</v>
      </c>
      <c r="Z562" s="8" t="n">
        <v>-5399</v>
      </c>
      <c r="AA562" s="9" t="n">
        <v>254834</v>
      </c>
      <c r="AB562" s="10" t="n">
        <v>1368</v>
      </c>
      <c r="AC562" s="10" t="n">
        <v>-1375</v>
      </c>
      <c r="AD562" s="7" t="n">
        <v>230199</v>
      </c>
      <c r="AE562" s="8" t="n">
        <v>-1060</v>
      </c>
      <c r="AF562" s="8" t="n">
        <v>-11607</v>
      </c>
      <c r="AG562" s="9" t="n">
        <v>278140</v>
      </c>
      <c r="AH562" s="10" t="n">
        <v>4396</v>
      </c>
      <c r="AI562" s="10" t="n">
        <v>-1856</v>
      </c>
      <c r="AJ562" s="11" t="n">
        <v>310077</v>
      </c>
      <c r="AK562" s="12" t="n">
        <v>6290</v>
      </c>
      <c r="AL562" s="12" t="n">
        <v>2518</v>
      </c>
      <c r="AM562" s="13" t="n">
        <v>11.5</v>
      </c>
      <c r="AN562" s="13" t="n">
        <v>39.8</v>
      </c>
      <c r="AO562" s="13" t="n">
        <v>43.1</v>
      </c>
      <c r="AP562" s="13" t="n">
        <v>577.6</v>
      </c>
    </row>
    <row r="563">
      <c r="A563" s="5" t="inlineStr">
        <is>
          <t>한국알콜</t>
        </is>
      </c>
      <c r="B563" s="6" t="inlineStr">
        <is>
          <t>017890</t>
        </is>
      </c>
      <c r="C563" s="6" t="inlineStr">
        <is>
          <t>연결</t>
        </is>
      </c>
      <c r="D563" s="6" t="inlineStr">
        <is>
          <t>2026Q2</t>
        </is>
      </c>
      <c r="E563" s="6" t="inlineStr"/>
      <c r="F563" s="7" t="inlineStr"/>
      <c r="G563" s="8" t="inlineStr"/>
      <c r="H563" s="8" t="inlineStr"/>
      <c r="I563" s="9" t="n">
        <v>101576</v>
      </c>
      <c r="J563" s="10" t="n">
        <v>6812</v>
      </c>
      <c r="K563" s="10" t="n">
        <v>7046</v>
      </c>
      <c r="L563" s="7" t="n">
        <v>109246</v>
      </c>
      <c r="M563" s="8" t="n">
        <v>7781</v>
      </c>
      <c r="N563" s="8" t="n">
        <v>8921</v>
      </c>
      <c r="O563" s="9" t="n">
        <v>105334</v>
      </c>
      <c r="P563" s="10" t="n">
        <v>5603</v>
      </c>
      <c r="Q563" s="10" t="n">
        <v>7768</v>
      </c>
      <c r="R563" s="7" t="n">
        <v>104858</v>
      </c>
      <c r="S563" s="8" t="n">
        <v>7239</v>
      </c>
      <c r="T563" s="8" t="n">
        <v>6636</v>
      </c>
      <c r="U563" s="9" t="n">
        <v>108322</v>
      </c>
      <c r="V563" s="10" t="n">
        <v>6555</v>
      </c>
      <c r="W563" s="10" t="n">
        <v>9577</v>
      </c>
      <c r="X563" s="7" t="n">
        <v>105963</v>
      </c>
      <c r="Y563" s="8" t="n">
        <v>9337</v>
      </c>
      <c r="Z563" s="8" t="n">
        <v>11095</v>
      </c>
      <c r="AA563" s="9" t="n">
        <v>106323</v>
      </c>
      <c r="AB563" s="10" t="n">
        <v>10497</v>
      </c>
      <c r="AC563" s="10" t="n">
        <v>12749</v>
      </c>
      <c r="AD563" s="7" t="n">
        <v>103275</v>
      </c>
      <c r="AE563" s="8" t="n">
        <v>5428</v>
      </c>
      <c r="AF563" s="8" t="n">
        <v>4403</v>
      </c>
      <c r="AG563" s="9" t="n">
        <v>108977</v>
      </c>
      <c r="AH563" s="10" t="n">
        <v>10666</v>
      </c>
      <c r="AI563" s="10" t="n">
        <v>13281</v>
      </c>
      <c r="AJ563" s="11" t="n">
        <v>128648</v>
      </c>
      <c r="AK563" s="12" t="n">
        <v>17231</v>
      </c>
      <c r="AL563" s="12" t="n">
        <v>17843</v>
      </c>
      <c r="AM563" s="13" t="n">
        <v>18.1</v>
      </c>
      <c r="AN563" s="13" t="n">
        <v>21.4</v>
      </c>
      <c r="AO563" s="13" t="n">
        <v>61.6</v>
      </c>
      <c r="AP563" s="13" t="n">
        <v>84.5</v>
      </c>
    </row>
    <row r="564">
      <c r="A564" s="5" t="inlineStr">
        <is>
          <t>광전자</t>
        </is>
      </c>
      <c r="B564" s="6" t="inlineStr">
        <is>
          <t>017900</t>
        </is>
      </c>
      <c r="C564" s="6" t="inlineStr">
        <is>
          <t>연결</t>
        </is>
      </c>
      <c r="D564" s="6" t="inlineStr">
        <is>
          <t>2026Q2</t>
        </is>
      </c>
      <c r="E564" s="6" t="inlineStr"/>
      <c r="F564" s="7" t="inlineStr"/>
      <c r="G564" s="8" t="inlineStr"/>
      <c r="H564" s="8" t="inlineStr"/>
      <c r="I564" s="9" t="n">
        <v>30733</v>
      </c>
      <c r="J564" s="10" t="n">
        <v>370</v>
      </c>
      <c r="K564" s="10" t="n">
        <v>3284</v>
      </c>
      <c r="L564" s="7" t="n">
        <v>34134</v>
      </c>
      <c r="M564" s="8" t="n">
        <v>1458</v>
      </c>
      <c r="N564" s="8" t="n">
        <v>3250</v>
      </c>
      <c r="O564" s="9" t="n">
        <v>33475</v>
      </c>
      <c r="P564" s="10" t="n">
        <v>612</v>
      </c>
      <c r="Q564" s="10" t="n">
        <v>-1265</v>
      </c>
      <c r="R564" s="7" t="n">
        <v>31847</v>
      </c>
      <c r="S564" s="8" t="n">
        <v>-967</v>
      </c>
      <c r="T564" s="8" t="n">
        <v>5351</v>
      </c>
      <c r="U564" s="9" t="n">
        <v>35456</v>
      </c>
      <c r="V564" s="10" t="n">
        <v>1863</v>
      </c>
      <c r="W564" s="10" t="n">
        <v>2349</v>
      </c>
      <c r="X564" s="7" t="n">
        <v>34674</v>
      </c>
      <c r="Y564" s="8" t="n">
        <v>1117</v>
      </c>
      <c r="Z564" s="8" t="n">
        <v>-2352</v>
      </c>
      <c r="AA564" s="9" t="n">
        <v>33018</v>
      </c>
      <c r="AB564" s="10" t="n">
        <v>39</v>
      </c>
      <c r="AC564" s="10" t="n">
        <v>2580</v>
      </c>
      <c r="AD564" s="7" t="n">
        <v>29537</v>
      </c>
      <c r="AE564" s="8" t="n">
        <v>-1814</v>
      </c>
      <c r="AF564" s="8" t="n">
        <v>1650</v>
      </c>
      <c r="AG564" s="9" t="n">
        <v>34472</v>
      </c>
      <c r="AH564" s="10" t="n">
        <v>675</v>
      </c>
      <c r="AI564" s="10" t="n">
        <v>4130</v>
      </c>
      <c r="AJ564" s="11" t="n">
        <v>36825</v>
      </c>
      <c r="AK564" s="12" t="n">
        <v>1302</v>
      </c>
      <c r="AL564" s="12" t="n">
        <v>2606</v>
      </c>
      <c r="AM564" s="13" t="n">
        <v>6.8</v>
      </c>
      <c r="AN564" s="13" t="n">
        <v>6.2</v>
      </c>
      <c r="AO564" s="13" t="n">
        <v>92.90000000000001</v>
      </c>
      <c r="AP564" s="13" t="n">
        <v>16.6</v>
      </c>
    </row>
    <row r="565">
      <c r="A565" s="5" t="inlineStr">
        <is>
          <t>E1</t>
        </is>
      </c>
      <c r="B565" s="6" t="inlineStr">
        <is>
          <t>017940</t>
        </is>
      </c>
      <c r="C565" s="6" t="inlineStr">
        <is>
          <t>연결</t>
        </is>
      </c>
      <c r="D565" s="6" t="inlineStr">
        <is>
          <t>2026Q2</t>
        </is>
      </c>
      <c r="E565" s="6" t="inlineStr"/>
      <c r="F565" s="7" t="inlineStr"/>
      <c r="G565" s="8" t="inlineStr"/>
      <c r="H565" s="8" t="inlineStr"/>
      <c r="I565" s="9" t="n">
        <v>2457156</v>
      </c>
      <c r="J565" s="10" t="n">
        <v>116918</v>
      </c>
      <c r="K565" s="10" t="n">
        <v>21427</v>
      </c>
      <c r="L565" s="7" t="n">
        <v>2969726</v>
      </c>
      <c r="M565" s="8" t="n">
        <v>92197</v>
      </c>
      <c r="N565" s="8" t="n">
        <v>89800</v>
      </c>
      <c r="O565" s="9" t="n">
        <v>2784740</v>
      </c>
      <c r="P565" s="10" t="n">
        <v>7425</v>
      </c>
      <c r="Q565" s="10" t="n">
        <v>17371</v>
      </c>
      <c r="R565" s="7" t="n">
        <v>2980790</v>
      </c>
      <c r="S565" s="8" t="n">
        <v>1066</v>
      </c>
      <c r="T565" s="8" t="n">
        <v>-63001</v>
      </c>
      <c r="U565" s="9" t="n">
        <v>2765825</v>
      </c>
      <c r="V565" s="10" t="n">
        <v>105230</v>
      </c>
      <c r="W565" s="10" t="n">
        <v>63614</v>
      </c>
      <c r="X565" s="7" t="n">
        <v>2265591</v>
      </c>
      <c r="Y565" s="8" t="n">
        <v>100663</v>
      </c>
      <c r="Z565" s="8" t="n">
        <v>28868</v>
      </c>
      <c r="AA565" s="9" t="n">
        <v>2417605</v>
      </c>
      <c r="AB565" s="10" t="n">
        <v>90884</v>
      </c>
      <c r="AC565" s="10" t="n">
        <v>50310</v>
      </c>
      <c r="AD565" s="7" t="n">
        <v>2943502</v>
      </c>
      <c r="AE565" s="8" t="n">
        <v>27286</v>
      </c>
      <c r="AF565" s="8" t="n">
        <v>-28592</v>
      </c>
      <c r="AG565" s="9" t="n">
        <v>3585260</v>
      </c>
      <c r="AH565" s="10" t="n">
        <v>-156189</v>
      </c>
      <c r="AI565" s="10" t="n">
        <v>81665</v>
      </c>
      <c r="AJ565" s="11" t="n">
        <v>4402808</v>
      </c>
      <c r="AK565" s="12" t="n">
        <v>117899</v>
      </c>
      <c r="AL565" s="12" t="n">
        <v>99298</v>
      </c>
      <c r="AM565" s="13" t="n">
        <v>22.8</v>
      </c>
      <c r="AN565" s="13" t="n">
        <v>94.3</v>
      </c>
      <c r="AO565" s="13" t="n">
        <v>175.5</v>
      </c>
      <c r="AP565" s="13" t="n">
        <v>17.1</v>
      </c>
    </row>
    <row r="566">
      <c r="A566" s="5" t="inlineStr">
        <is>
          <t>한국카본</t>
        </is>
      </c>
      <c r="B566" s="6" t="inlineStr">
        <is>
          <t>017960</t>
        </is>
      </c>
      <c r="C566" s="6" t="inlineStr">
        <is>
          <t>연결</t>
        </is>
      </c>
      <c r="D566" s="6" t="inlineStr">
        <is>
          <t>2026Q2</t>
        </is>
      </c>
      <c r="E566" s="6" t="inlineStr"/>
      <c r="F566" s="7" t="inlineStr"/>
      <c r="G566" s="8" t="inlineStr"/>
      <c r="H566" s="8" t="inlineStr"/>
      <c r="I566" s="9" t="n">
        <v>182750</v>
      </c>
      <c r="J566" s="10" t="n">
        <v>2608</v>
      </c>
      <c r="K566" s="10" t="n">
        <v>20</v>
      </c>
      <c r="L566" s="7" t="n">
        <v>194212</v>
      </c>
      <c r="M566" s="8" t="n">
        <v>17779</v>
      </c>
      <c r="N566" s="8" t="n">
        <v>8666</v>
      </c>
      <c r="O566" s="9" t="n">
        <v>170621</v>
      </c>
      <c r="P566" s="10" t="n">
        <v>7684</v>
      </c>
      <c r="Q566" s="10" t="n">
        <v>12269</v>
      </c>
      <c r="R566" s="7" t="n">
        <v>194158</v>
      </c>
      <c r="S566" s="8" t="n">
        <v>17375</v>
      </c>
      <c r="T566" s="8" t="n">
        <v>-634</v>
      </c>
      <c r="U566" s="9" t="n">
        <v>224562</v>
      </c>
      <c r="V566" s="10" t="n">
        <v>31107</v>
      </c>
      <c r="W566" s="10" t="n">
        <v>21856</v>
      </c>
      <c r="X566" s="7" t="n">
        <v>231273</v>
      </c>
      <c r="Y566" s="8" t="n">
        <v>31644</v>
      </c>
      <c r="Z566" s="8" t="n">
        <v>29358</v>
      </c>
      <c r="AA566" s="9" t="n">
        <v>221132</v>
      </c>
      <c r="AB566" s="10" t="n">
        <v>29863</v>
      </c>
      <c r="AC566" s="10" t="n">
        <v>15662</v>
      </c>
      <c r="AD566" s="7" t="n">
        <v>231843</v>
      </c>
      <c r="AE566" s="8" t="n">
        <v>38337</v>
      </c>
      <c r="AF566" s="8" t="n">
        <v>34868</v>
      </c>
      <c r="AG566" s="9" t="n">
        <v>211822</v>
      </c>
      <c r="AH566" s="10" t="n">
        <v>41066</v>
      </c>
      <c r="AI566" s="10" t="n">
        <v>15523</v>
      </c>
      <c r="AJ566" s="11" t="n">
        <v>243378</v>
      </c>
      <c r="AK566" s="12" t="n">
        <v>50400</v>
      </c>
      <c r="AL566" s="12" t="n">
        <v>36562</v>
      </c>
      <c r="AM566" s="13" t="n">
        <v>14.9</v>
      </c>
      <c r="AN566" s="13" t="n">
        <v>5.2</v>
      </c>
      <c r="AO566" s="13" t="n">
        <v>22.7</v>
      </c>
      <c r="AP566" s="13" t="n">
        <v>59.3</v>
      </c>
    </row>
    <row r="567">
      <c r="A567" s="5" t="inlineStr">
        <is>
          <t>유니슨</t>
        </is>
      </c>
      <c r="B567" s="6" t="inlineStr">
        <is>
          <t>018000</t>
        </is>
      </c>
      <c r="C567" s="6" t="inlineStr">
        <is>
          <t>연결</t>
        </is>
      </c>
      <c r="D567" s="6" t="inlineStr">
        <is>
          <t>2026Q2</t>
        </is>
      </c>
      <c r="E567" s="6" t="inlineStr"/>
      <c r="F567" s="7" t="inlineStr"/>
      <c r="G567" s="8" t="inlineStr"/>
      <c r="H567" s="8" t="inlineStr"/>
      <c r="I567" s="9" t="n">
        <v>5487</v>
      </c>
      <c r="J567" s="10" t="n">
        <v>-4793</v>
      </c>
      <c r="K567" s="10" t="n">
        <v>-7607</v>
      </c>
      <c r="L567" s="7" t="n">
        <v>5234</v>
      </c>
      <c r="M567" s="8" t="n">
        <v>-3128</v>
      </c>
      <c r="N567" s="8" t="n">
        <v>-6799</v>
      </c>
      <c r="O567" s="9" t="n">
        <v>8452</v>
      </c>
      <c r="P567" s="10" t="n">
        <v>-1555</v>
      </c>
      <c r="Q567" s="10" t="n">
        <v>-4085</v>
      </c>
      <c r="R567" s="7" t="n">
        <v>6560</v>
      </c>
      <c r="S567" s="8" t="n">
        <v>-3036</v>
      </c>
      <c r="T567" s="8" t="n">
        <v>-4059</v>
      </c>
      <c r="U567" s="9" t="n">
        <v>6105</v>
      </c>
      <c r="V567" s="10" t="n">
        <v>-1813</v>
      </c>
      <c r="W567" s="10" t="n">
        <v>-3417</v>
      </c>
      <c r="X567" s="7" t="n">
        <v>13285</v>
      </c>
      <c r="Y567" s="8" t="n">
        <v>-1654</v>
      </c>
      <c r="Z567" s="8" t="n">
        <v>-7704</v>
      </c>
      <c r="AA567" s="9" t="n">
        <v>16322</v>
      </c>
      <c r="AB567" s="10" t="n">
        <v>-2793</v>
      </c>
      <c r="AC567" s="10" t="n">
        <v>-5107</v>
      </c>
      <c r="AD567" s="7" t="n">
        <v>4556</v>
      </c>
      <c r="AE567" s="8" t="n">
        <v>-3273</v>
      </c>
      <c r="AF567" s="8" t="n">
        <v>-4650</v>
      </c>
      <c r="AG567" s="9" t="n">
        <v>3784</v>
      </c>
      <c r="AH567" s="10" t="n">
        <v>-2610</v>
      </c>
      <c r="AI567" s="10" t="n">
        <v>-4567</v>
      </c>
      <c r="AJ567" s="11" t="n">
        <v>5764</v>
      </c>
      <c r="AK567" s="12" t="n">
        <v>-4943</v>
      </c>
      <c r="AL567" s="12" t="n">
        <v>-10262</v>
      </c>
      <c r="AM567" s="13" t="n">
        <v>52.3</v>
      </c>
      <c r="AN567" s="13" t="n">
        <v>-56.6</v>
      </c>
      <c r="AO567" s="13" t="n">
        <v>-89.40000000000001</v>
      </c>
      <c r="AP567" s="13" t="n">
        <v>-198.9</v>
      </c>
    </row>
    <row r="568">
      <c r="A568" s="5" t="inlineStr">
        <is>
          <t>진로발효</t>
        </is>
      </c>
      <c r="B568" s="6" t="inlineStr">
        <is>
          <t>018120</t>
        </is>
      </c>
      <c r="C568" s="6" t="inlineStr">
        <is>
          <t>연결</t>
        </is>
      </c>
      <c r="D568" s="6" t="inlineStr">
        <is>
          <t>2026Q2</t>
        </is>
      </c>
      <c r="E568" s="6" t="inlineStr"/>
      <c r="F568" s="7" t="inlineStr"/>
      <c r="G568" s="8" t="inlineStr"/>
      <c r="H568" s="8" t="inlineStr"/>
      <c r="I568" s="9" t="n">
        <v>25267</v>
      </c>
      <c r="J568" s="10" t="n">
        <v>2664</v>
      </c>
      <c r="K568" s="10" t="n">
        <v>2519</v>
      </c>
      <c r="L568" s="7" t="n">
        <v>27685</v>
      </c>
      <c r="M568" s="8" t="n">
        <v>4837</v>
      </c>
      <c r="N568" s="8" t="n">
        <v>4575</v>
      </c>
      <c r="O568" s="9" t="n">
        <v>21965</v>
      </c>
      <c r="P568" s="10" t="n">
        <v>1705</v>
      </c>
      <c r="Q568" s="10" t="n">
        <v>1234</v>
      </c>
      <c r="R568" s="7" t="n">
        <v>26539</v>
      </c>
      <c r="S568" s="8" t="n">
        <v>2331</v>
      </c>
      <c r="T568" s="8" t="n">
        <v>2177</v>
      </c>
      <c r="U568" s="9" t="n">
        <v>26460</v>
      </c>
      <c r="V568" s="10" t="n">
        <v>4329</v>
      </c>
      <c r="W568" s="10" t="n">
        <v>4041</v>
      </c>
      <c r="X568" s="7" t="n">
        <v>25357</v>
      </c>
      <c r="Y568" s="8" t="n">
        <v>5632</v>
      </c>
      <c r="Z568" s="8" t="n">
        <v>4624</v>
      </c>
      <c r="AA568" s="9" t="n">
        <v>23271</v>
      </c>
      <c r="AB568" s="10" t="n">
        <v>1994</v>
      </c>
      <c r="AC568" s="10" t="n">
        <v>1844</v>
      </c>
      <c r="AD568" s="7" t="n">
        <v>24696</v>
      </c>
      <c r="AE568" s="8" t="n">
        <v>2059</v>
      </c>
      <c r="AF568" s="8" t="n">
        <v>2026</v>
      </c>
      <c r="AG568" s="9" t="n">
        <v>21734</v>
      </c>
      <c r="AH568" s="10" t="n">
        <v>3069</v>
      </c>
      <c r="AI568" s="10" t="n">
        <v>2992</v>
      </c>
      <c r="AJ568" s="11" t="n">
        <v>28771</v>
      </c>
      <c r="AK568" s="12" t="n">
        <v>4695</v>
      </c>
      <c r="AL568" s="12" t="n">
        <v>3427</v>
      </c>
      <c r="AM568" s="13" t="n">
        <v>32.4</v>
      </c>
      <c r="AN568" s="13" t="n">
        <v>13.5</v>
      </c>
      <c r="AO568" s="13" t="n">
        <v>53</v>
      </c>
      <c r="AP568" s="13" t="n">
        <v>-16.6</v>
      </c>
    </row>
    <row r="569">
      <c r="A569" s="5" t="inlineStr">
        <is>
          <t>애경산업</t>
        </is>
      </c>
      <c r="B569" s="6" t="inlineStr">
        <is>
          <t>018250</t>
        </is>
      </c>
      <c r="C569" s="6" t="inlineStr">
        <is>
          <t>연결</t>
        </is>
      </c>
      <c r="D569" s="6" t="inlineStr">
        <is>
          <t>2026Q2</t>
        </is>
      </c>
      <c r="E569" s="6" t="inlineStr">
        <is>
          <t>2023Q4</t>
        </is>
      </c>
      <c r="F569" s="14" t="n">
        <v>175767</v>
      </c>
      <c r="G569" s="15" t="n">
        <v>11609</v>
      </c>
      <c r="H569" s="15" t="n">
        <v>6288</v>
      </c>
      <c r="I569" s="9" t="n">
        <v>169111</v>
      </c>
      <c r="J569" s="10" t="n">
        <v>16473</v>
      </c>
      <c r="K569" s="10" t="n">
        <v>13586</v>
      </c>
      <c r="L569" s="7" t="n">
        <v>173609</v>
      </c>
      <c r="M569" s="8" t="n">
        <v>17458</v>
      </c>
      <c r="N569" s="8" t="n">
        <v>12942</v>
      </c>
      <c r="O569" s="9" t="n">
        <v>165280</v>
      </c>
      <c r="P569" s="10" t="n">
        <v>9551</v>
      </c>
      <c r="Q569" s="10" t="n">
        <v>5694</v>
      </c>
      <c r="R569" s="7" t="n">
        <v>171077</v>
      </c>
      <c r="S569" s="8" t="n">
        <v>3343</v>
      </c>
      <c r="T569" s="8" t="n">
        <v>10277</v>
      </c>
      <c r="U569" s="9" t="n">
        <v>151078</v>
      </c>
      <c r="V569" s="10" t="n">
        <v>6044</v>
      </c>
      <c r="W569" s="10" t="n">
        <v>5031</v>
      </c>
      <c r="X569" s="7" t="n">
        <v>171311</v>
      </c>
      <c r="Y569" s="8" t="n">
        <v>11154</v>
      </c>
      <c r="Z569" s="8" t="n">
        <v>11118</v>
      </c>
      <c r="AA569" s="9" t="n">
        <v>169254</v>
      </c>
      <c r="AB569" s="10" t="n">
        <v>7298</v>
      </c>
      <c r="AC569" s="10" t="n">
        <v>4326</v>
      </c>
      <c r="AD569" s="7" t="n">
        <v>162885</v>
      </c>
      <c r="AE569" s="8" t="n">
        <v>-3350</v>
      </c>
      <c r="AF569" s="8" t="n">
        <v>-5348</v>
      </c>
      <c r="AG569" s="9" t="n">
        <v>158791</v>
      </c>
      <c r="AH569" s="10" t="n">
        <v>-1588</v>
      </c>
      <c r="AI569" s="10" t="n">
        <v>13698</v>
      </c>
      <c r="AJ569" s="11" t="n">
        <v>194165</v>
      </c>
      <c r="AK569" s="12" t="n">
        <v>4527</v>
      </c>
      <c r="AL569" s="12" t="n">
        <v>4611</v>
      </c>
      <c r="AM569" s="13" t="n">
        <v>22.3</v>
      </c>
      <c r="AN569" s="13" t="n">
        <v>13.3</v>
      </c>
      <c r="AO569" s="13" t="n">
        <v>385.1</v>
      </c>
      <c r="AP569" s="13" t="n">
        <v>-59.4</v>
      </c>
    </row>
    <row r="570">
      <c r="A570" s="5" t="inlineStr">
        <is>
          <t>삼성에스디에스</t>
        </is>
      </c>
      <c r="B570" s="6" t="inlineStr">
        <is>
          <t>018260</t>
        </is>
      </c>
      <c r="C570" s="6" t="inlineStr">
        <is>
          <t>연결</t>
        </is>
      </c>
      <c r="D570" s="6" t="inlineStr">
        <is>
          <t>2026Q2</t>
        </is>
      </c>
      <c r="E570" s="6" t="inlineStr">
        <is>
          <t>2023Q4</t>
        </is>
      </c>
      <c r="F570" s="14" t="n">
        <v>3377096</v>
      </c>
      <c r="G570" s="15" t="n">
        <v>214533</v>
      </c>
      <c r="H570" s="15" t="n">
        <v>146001</v>
      </c>
      <c r="I570" s="9" t="n">
        <v>3247268</v>
      </c>
      <c r="J570" s="10" t="n">
        <v>225867</v>
      </c>
      <c r="K570" s="10" t="n">
        <v>216905</v>
      </c>
      <c r="L570" s="7" t="n">
        <v>3368954</v>
      </c>
      <c r="M570" s="8" t="n">
        <v>220920</v>
      </c>
      <c r="N570" s="8" t="n">
        <v>190524</v>
      </c>
      <c r="O570" s="9" t="n">
        <v>3569686</v>
      </c>
      <c r="P570" s="10" t="n">
        <v>252800</v>
      </c>
      <c r="Q570" s="10" t="n">
        <v>185815</v>
      </c>
      <c r="R570" s="7" t="n">
        <v>3642324</v>
      </c>
      <c r="S570" s="8" t="n">
        <v>211510</v>
      </c>
      <c r="T570" s="8" t="n">
        <v>196257</v>
      </c>
      <c r="U570" s="9" t="n">
        <v>3489764</v>
      </c>
      <c r="V570" s="10" t="n">
        <v>268545</v>
      </c>
      <c r="W570" s="10" t="n">
        <v>217669</v>
      </c>
      <c r="X570" s="7" t="n">
        <v>3511985</v>
      </c>
      <c r="Y570" s="8" t="n">
        <v>230161</v>
      </c>
      <c r="Z570" s="8" t="n">
        <v>176014</v>
      </c>
      <c r="AA570" s="9" t="n">
        <v>3391318</v>
      </c>
      <c r="AB570" s="10" t="n">
        <v>232296</v>
      </c>
      <c r="AC570" s="10" t="n">
        <v>201079</v>
      </c>
      <c r="AD570" s="7" t="n">
        <v>3536801</v>
      </c>
      <c r="AE570" s="8" t="n">
        <v>226101</v>
      </c>
      <c r="AF570" s="8" t="n">
        <v>187907</v>
      </c>
      <c r="AG570" s="9" t="n">
        <v>3352918</v>
      </c>
      <c r="AH570" s="10" t="n">
        <v>78341</v>
      </c>
      <c r="AI570" s="10" t="n">
        <v>91784</v>
      </c>
      <c r="AJ570" s="11" t="n">
        <v>3717774</v>
      </c>
      <c r="AK570" s="12" t="n">
        <v>231805</v>
      </c>
      <c r="AL570" s="12" t="n">
        <v>184053</v>
      </c>
      <c r="AM570" s="13" t="n">
        <v>10.9</v>
      </c>
      <c r="AN570" s="13" t="n">
        <v>5.9</v>
      </c>
      <c r="AO570" s="13" t="n">
        <v>195.9</v>
      </c>
      <c r="AP570" s="13" t="n">
        <v>0.7</v>
      </c>
    </row>
    <row r="571">
      <c r="A571" s="5" t="inlineStr">
        <is>
          <t>브이티</t>
        </is>
      </c>
      <c r="B571" s="6" t="inlineStr">
        <is>
          <t>018290</t>
        </is>
      </c>
      <c r="C571" s="6" t="inlineStr">
        <is>
          <t>연결</t>
        </is>
      </c>
      <c r="D571" s="6" t="inlineStr">
        <is>
          <t>2026Q2</t>
        </is>
      </c>
      <c r="E571" s="6" t="inlineStr"/>
      <c r="F571" s="7" t="inlineStr"/>
      <c r="G571" s="8" t="inlineStr"/>
      <c r="H571" s="8" t="inlineStr"/>
      <c r="I571" s="9" t="n">
        <v>101800</v>
      </c>
      <c r="J571" s="10" t="n">
        <v>23965</v>
      </c>
      <c r="K571" s="10" t="n">
        <v>18363</v>
      </c>
      <c r="L571" s="7" t="n">
        <v>113353</v>
      </c>
      <c r="M571" s="8" t="n">
        <v>27023</v>
      </c>
      <c r="N571" s="8" t="n">
        <v>16070</v>
      </c>
      <c r="O571" s="9" t="n">
        <v>104140</v>
      </c>
      <c r="P571" s="10" t="n">
        <v>30833</v>
      </c>
      <c r="Q571" s="10" t="n">
        <v>33255</v>
      </c>
      <c r="R571" s="7" t="n">
        <v>112404</v>
      </c>
      <c r="S571" s="8" t="n">
        <v>29078</v>
      </c>
      <c r="T571" s="8" t="n">
        <v>36311</v>
      </c>
      <c r="U571" s="9" t="n">
        <v>100450</v>
      </c>
      <c r="V571" s="10" t="n">
        <v>29017</v>
      </c>
      <c r="W571" s="10" t="n">
        <v>23339</v>
      </c>
      <c r="X571" s="7" t="n">
        <v>111521</v>
      </c>
      <c r="Y571" s="8" t="n">
        <v>29067</v>
      </c>
      <c r="Z571" s="8" t="n">
        <v>21268</v>
      </c>
      <c r="AA571" s="9" t="n">
        <v>110219</v>
      </c>
      <c r="AB571" s="10" t="n">
        <v>12124</v>
      </c>
      <c r="AC571" s="10" t="n">
        <v>8796</v>
      </c>
      <c r="AD571" s="7" t="n">
        <v>114994</v>
      </c>
      <c r="AE571" s="8" t="n">
        <v>12661</v>
      </c>
      <c r="AF571" s="8" t="n">
        <v>10802</v>
      </c>
      <c r="AG571" s="9" t="n">
        <v>114291</v>
      </c>
      <c r="AH571" s="10" t="n">
        <v>17333</v>
      </c>
      <c r="AI571" s="10" t="n">
        <v>18404</v>
      </c>
      <c r="AJ571" s="11" t="n">
        <v>131668</v>
      </c>
      <c r="AK571" s="12" t="n">
        <v>10679</v>
      </c>
      <c r="AL571" s="12" t="n">
        <v>3223</v>
      </c>
      <c r="AM571" s="13" t="n">
        <v>15.2</v>
      </c>
      <c r="AN571" s="13" t="n">
        <v>18.1</v>
      </c>
      <c r="AO571" s="13" t="n">
        <v>-38.4</v>
      </c>
      <c r="AP571" s="13" t="n">
        <v>-63.3</v>
      </c>
    </row>
    <row r="572">
      <c r="A572" s="5" t="inlineStr">
        <is>
          <t>삼목에스폼</t>
        </is>
      </c>
      <c r="B572" s="6" t="inlineStr">
        <is>
          <t>018310</t>
        </is>
      </c>
      <c r="C572" s="6" t="inlineStr">
        <is>
          <t>연결</t>
        </is>
      </c>
      <c r="D572" s="6" t="inlineStr">
        <is>
          <t>2026Q2</t>
        </is>
      </c>
      <c r="E572" s="6" t="inlineStr"/>
      <c r="F572" s="7" t="inlineStr"/>
      <c r="G572" s="8" t="inlineStr"/>
      <c r="H572" s="8" t="inlineStr"/>
      <c r="I572" s="9" t="n">
        <v>111924</v>
      </c>
      <c r="J572" s="10" t="n">
        <v>31758</v>
      </c>
      <c r="K572" s="10" t="n">
        <v>28330</v>
      </c>
      <c r="L572" s="7" t="n">
        <v>99387</v>
      </c>
      <c r="M572" s="8" t="n">
        <v>20698</v>
      </c>
      <c r="N572" s="8" t="n">
        <v>18310</v>
      </c>
      <c r="O572" s="9" t="n">
        <v>97861</v>
      </c>
      <c r="P572" s="10" t="n">
        <v>10087</v>
      </c>
      <c r="Q572" s="10" t="n">
        <v>10166</v>
      </c>
      <c r="R572" s="7" t="n">
        <v>92729</v>
      </c>
      <c r="S572" s="8" t="n">
        <v>12774</v>
      </c>
      <c r="T572" s="8" t="n">
        <v>16595</v>
      </c>
      <c r="U572" s="9" t="n">
        <v>78306</v>
      </c>
      <c r="V572" s="10" t="n">
        <v>6974</v>
      </c>
      <c r="W572" s="10" t="n">
        <v>2209</v>
      </c>
      <c r="X572" s="7" t="n">
        <v>92018</v>
      </c>
      <c r="Y572" s="8" t="n">
        <v>9515</v>
      </c>
      <c r="Z572" s="8" t="n">
        <v>6375</v>
      </c>
      <c r="AA572" s="9" t="n">
        <v>74426</v>
      </c>
      <c r="AB572" s="10" t="n">
        <v>834</v>
      </c>
      <c r="AC572" s="10" t="n">
        <v>5333</v>
      </c>
      <c r="AD572" s="7" t="n">
        <v>72236</v>
      </c>
      <c r="AE572" s="8" t="n">
        <v>-10878</v>
      </c>
      <c r="AF572" s="8" t="n">
        <v>-3685</v>
      </c>
      <c r="AG572" s="9" t="n">
        <v>73254</v>
      </c>
      <c r="AH572" s="10" t="n">
        <v>-6101</v>
      </c>
      <c r="AI572" s="10" t="n">
        <v>1184</v>
      </c>
      <c r="AJ572" s="11" t="n">
        <v>82876</v>
      </c>
      <c r="AK572" s="12" t="n">
        <v>-3059</v>
      </c>
      <c r="AL572" s="12" t="n">
        <v>2362</v>
      </c>
      <c r="AM572" s="13" t="n">
        <v>13.1</v>
      </c>
      <c r="AN572" s="13" t="n">
        <v>-9.9</v>
      </c>
      <c r="AO572" s="13" t="n">
        <v>49.9</v>
      </c>
      <c r="AP572" s="13" t="n">
        <v>-132.1</v>
      </c>
    </row>
    <row r="573">
      <c r="A573" s="5" t="inlineStr">
        <is>
          <t>조일알미늄</t>
        </is>
      </c>
      <c r="B573" s="6" t="inlineStr">
        <is>
          <t>018470</t>
        </is>
      </c>
      <c r="C573" s="6" t="inlineStr">
        <is>
          <t>별도</t>
        </is>
      </c>
      <c r="D573" s="6" t="inlineStr">
        <is>
          <t>2026Q2</t>
        </is>
      </c>
      <c r="E573" s="6" t="inlineStr"/>
      <c r="F573" s="7" t="inlineStr"/>
      <c r="G573" s="8" t="inlineStr"/>
      <c r="H573" s="8" t="inlineStr"/>
      <c r="I573" s="9" t="n">
        <v>127939</v>
      </c>
      <c r="J573" s="10" t="n">
        <v>4620</v>
      </c>
      <c r="K573" s="10" t="n">
        <v>2625</v>
      </c>
      <c r="L573" s="7" t="n">
        <v>129643</v>
      </c>
      <c r="M573" s="8" t="n">
        <v>6031</v>
      </c>
      <c r="N573" s="8" t="n">
        <v>3161</v>
      </c>
      <c r="O573" s="9" t="n">
        <v>110351</v>
      </c>
      <c r="P573" s="10" t="n">
        <v>2695</v>
      </c>
      <c r="Q573" s="10" t="n">
        <v>768</v>
      </c>
      <c r="R573" s="7" t="n">
        <v>130439</v>
      </c>
      <c r="S573" s="8" t="n">
        <v>6761</v>
      </c>
      <c r="T573" s="8" t="n">
        <v>4430</v>
      </c>
      <c r="U573" s="9" t="n">
        <v>137266</v>
      </c>
      <c r="V573" s="10" t="n">
        <v>11951</v>
      </c>
      <c r="W573" s="10" t="n">
        <v>8464</v>
      </c>
      <c r="X573" s="7" t="n">
        <v>117416</v>
      </c>
      <c r="Y573" s="8" t="n">
        <v>-305</v>
      </c>
      <c r="Z573" s="8" t="n">
        <v>-1102</v>
      </c>
      <c r="AA573" s="9" t="n">
        <v>113582</v>
      </c>
      <c r="AB573" s="10" t="n">
        <v>1000</v>
      </c>
      <c r="AC573" s="10" t="n">
        <v>-417</v>
      </c>
      <c r="AD573" s="7" t="n">
        <v>118415</v>
      </c>
      <c r="AE573" s="8" t="n">
        <v>1149</v>
      </c>
      <c r="AF573" s="8" t="n">
        <v>1031</v>
      </c>
      <c r="AG573" s="9" t="n">
        <v>150881</v>
      </c>
      <c r="AH573" s="10" t="n">
        <v>13098</v>
      </c>
      <c r="AI573" s="10" t="n">
        <v>10044</v>
      </c>
      <c r="AJ573" s="11" t="n">
        <v>154139</v>
      </c>
      <c r="AK573" s="12" t="n">
        <v>10021</v>
      </c>
      <c r="AL573" s="12" t="n">
        <v>7456</v>
      </c>
      <c r="AM573" s="13" t="n">
        <v>2.2</v>
      </c>
      <c r="AN573" s="13" t="n">
        <v>31.3</v>
      </c>
      <c r="AO573" s="13" t="n">
        <v>-23.5</v>
      </c>
      <c r="AP573" s="13" t="n">
        <v>3385.6</v>
      </c>
    </row>
    <row r="574">
      <c r="A574" s="5" t="inlineStr">
        <is>
          <t>동원금속</t>
        </is>
      </c>
      <c r="B574" s="6" t="inlineStr">
        <is>
          <t>018500</t>
        </is>
      </c>
      <c r="C574" s="6" t="inlineStr">
        <is>
          <t>연결</t>
        </is>
      </c>
      <c r="D574" s="6" t="inlineStr">
        <is>
          <t>2026Q2</t>
        </is>
      </c>
      <c r="E574" s="6" t="inlineStr">
        <is>
          <t>2026Q2</t>
        </is>
      </c>
      <c r="F574" s="7" t="inlineStr"/>
      <c r="G574" s="8" t="inlineStr"/>
      <c r="H574" s="8" t="inlineStr"/>
      <c r="I574" s="9" t="n">
        <v>163743</v>
      </c>
      <c r="J574" s="10" t="n">
        <v>15354</v>
      </c>
      <c r="K574" s="10" t="n">
        <v>7837</v>
      </c>
      <c r="L574" s="7" t="n">
        <v>149327</v>
      </c>
      <c r="M574" s="8" t="n">
        <v>4562</v>
      </c>
      <c r="N574" s="8" t="n">
        <v>360</v>
      </c>
      <c r="O574" s="9" t="n">
        <v>149994</v>
      </c>
      <c r="P574" s="10" t="n">
        <v>6647</v>
      </c>
      <c r="Q574" s="10" t="n">
        <v>-190</v>
      </c>
      <c r="R574" s="7" t="n">
        <v>105177</v>
      </c>
      <c r="S574" s="8" t="n">
        <v>9111</v>
      </c>
      <c r="T574" s="8" t="n">
        <v>10274</v>
      </c>
      <c r="U574" s="9" t="n">
        <v>168011</v>
      </c>
      <c r="V574" s="10" t="n">
        <v>13053</v>
      </c>
      <c r="W574" s="10" t="n">
        <v>5471</v>
      </c>
      <c r="X574" s="7" t="n">
        <v>155608</v>
      </c>
      <c r="Y574" s="8" t="n">
        <v>8453</v>
      </c>
      <c r="Z574" s="8" t="n">
        <v>9854</v>
      </c>
      <c r="AA574" s="9" t="n">
        <v>157103</v>
      </c>
      <c r="AB574" s="10" t="n">
        <v>7441</v>
      </c>
      <c r="AC574" s="10" t="n">
        <v>10599</v>
      </c>
      <c r="AD574" s="7" t="n">
        <v>145514</v>
      </c>
      <c r="AE574" s="8" t="n">
        <v>13039</v>
      </c>
      <c r="AF574" s="8" t="n">
        <v>-4760</v>
      </c>
      <c r="AG574" s="9" t="n">
        <v>193669</v>
      </c>
      <c r="AH574" s="10" t="n">
        <v>14415</v>
      </c>
      <c r="AI574" s="10" t="n">
        <v>13922</v>
      </c>
      <c r="AJ574" s="14" t="n">
        <v>193669</v>
      </c>
      <c r="AK574" s="15" t="n">
        <v>14415</v>
      </c>
      <c r="AL574" s="15" t="n">
        <v>13922</v>
      </c>
      <c r="AM574" s="13" t="n">
        <v>0</v>
      </c>
      <c r="AN574" s="13" t="n">
        <v>24.5</v>
      </c>
      <c r="AO574" s="13" t="n">
        <v>0</v>
      </c>
      <c r="AP574" s="13" t="n">
        <v>70.5</v>
      </c>
    </row>
    <row r="575">
      <c r="A575" s="5" t="inlineStr">
        <is>
          <t>우진비앤지</t>
        </is>
      </c>
      <c r="B575" s="6" t="inlineStr">
        <is>
          <t>018620</t>
        </is>
      </c>
      <c r="C575" s="6" t="inlineStr">
        <is>
          <t>연결</t>
        </is>
      </c>
      <c r="D575" s="6" t="inlineStr">
        <is>
          <t>2026Q2</t>
        </is>
      </c>
      <c r="E575" s="6" t="inlineStr"/>
      <c r="F575" s="7" t="inlineStr"/>
      <c r="G575" s="8" t="inlineStr"/>
      <c r="H575" s="8" t="inlineStr"/>
      <c r="I575" s="9" t="n">
        <v>16068</v>
      </c>
      <c r="J575" s="10" t="n">
        <v>681</v>
      </c>
      <c r="K575" s="10" t="n">
        <v>540</v>
      </c>
      <c r="L575" s="7" t="n">
        <v>14428</v>
      </c>
      <c r="M575" s="8" t="n">
        <v>858</v>
      </c>
      <c r="N575" s="8" t="n">
        <v>2899</v>
      </c>
      <c r="O575" s="9" t="n">
        <v>11690</v>
      </c>
      <c r="P575" s="10" t="n">
        <v>-126</v>
      </c>
      <c r="Q575" s="10" t="n">
        <v>-405</v>
      </c>
      <c r="R575" s="7" t="n">
        <v>13494</v>
      </c>
      <c r="S575" s="8" t="n">
        <v>-1118</v>
      </c>
      <c r="T575" s="8" t="n">
        <v>-6864</v>
      </c>
      <c r="U575" s="9" t="n">
        <v>14321</v>
      </c>
      <c r="V575" s="10" t="n">
        <v>424</v>
      </c>
      <c r="W575" s="10" t="n">
        <v>148</v>
      </c>
      <c r="X575" s="7" t="n">
        <v>13741</v>
      </c>
      <c r="Y575" s="8" t="n">
        <v>206</v>
      </c>
      <c r="Z575" s="8" t="n">
        <v>1038</v>
      </c>
      <c r="AA575" s="9" t="n">
        <v>13218</v>
      </c>
      <c r="AB575" s="10" t="n">
        <v>-769</v>
      </c>
      <c r="AC575" s="10" t="n">
        <v>-1265</v>
      </c>
      <c r="AD575" s="7" t="n">
        <v>13484</v>
      </c>
      <c r="AE575" s="8" t="n">
        <v>458</v>
      </c>
      <c r="AF575" s="8" t="n">
        <v>-3506</v>
      </c>
      <c r="AG575" s="9" t="n">
        <v>14305</v>
      </c>
      <c r="AH575" s="10" t="n">
        <v>705</v>
      </c>
      <c r="AI575" s="10" t="n">
        <v>-158</v>
      </c>
      <c r="AJ575" s="11" t="n">
        <v>15487</v>
      </c>
      <c r="AK575" s="12" t="n">
        <v>1379</v>
      </c>
      <c r="AL575" s="12" t="n">
        <v>1452</v>
      </c>
      <c r="AM575" s="13" t="n">
        <v>8.300000000000001</v>
      </c>
      <c r="AN575" s="13" t="n">
        <v>12.7</v>
      </c>
      <c r="AO575" s="13" t="n">
        <v>95.59999999999999</v>
      </c>
      <c r="AP575" s="13" t="n">
        <v>569.4</v>
      </c>
    </row>
    <row r="576">
      <c r="A576" s="5" t="inlineStr">
        <is>
          <t>SK가스</t>
        </is>
      </c>
      <c r="B576" s="6" t="inlineStr">
        <is>
          <t>018670</t>
        </is>
      </c>
      <c r="C576" s="6" t="inlineStr">
        <is>
          <t>연결</t>
        </is>
      </c>
      <c r="D576" s="6" t="inlineStr">
        <is>
          <t>2026Q2</t>
        </is>
      </c>
      <c r="E576" s="6" t="inlineStr">
        <is>
          <t>2023Q4</t>
        </is>
      </c>
      <c r="F576" s="14" t="n">
        <v>1629933</v>
      </c>
      <c r="G576" s="15" t="n">
        <v>-28572</v>
      </c>
      <c r="H576" s="15" t="n">
        <v>30467</v>
      </c>
      <c r="I576" s="9" t="n">
        <v>1725906</v>
      </c>
      <c r="J576" s="10" t="n">
        <v>74621</v>
      </c>
      <c r="K576" s="10" t="n">
        <v>20291</v>
      </c>
      <c r="L576" s="7" t="n">
        <v>1651434</v>
      </c>
      <c r="M576" s="8" t="n">
        <v>46946</v>
      </c>
      <c r="N576" s="8" t="n">
        <v>38456</v>
      </c>
      <c r="O576" s="9" t="n">
        <v>1733818</v>
      </c>
      <c r="P576" s="10" t="n">
        <v>43012</v>
      </c>
      <c r="Q576" s="10" t="n">
        <v>73294</v>
      </c>
      <c r="R576" s="7" t="n">
        <v>1984744</v>
      </c>
      <c r="S576" s="8" t="n">
        <v>122598</v>
      </c>
      <c r="T576" s="8" t="n">
        <v>45727</v>
      </c>
      <c r="U576" s="9" t="n">
        <v>1827031</v>
      </c>
      <c r="V576" s="10" t="n">
        <v>112910</v>
      </c>
      <c r="W576" s="10" t="n">
        <v>87305</v>
      </c>
      <c r="X576" s="7" t="n">
        <v>1880349</v>
      </c>
      <c r="Y576" s="8" t="n">
        <v>120673</v>
      </c>
      <c r="Z576" s="8" t="n">
        <v>50823</v>
      </c>
      <c r="AA576" s="9" t="n">
        <v>1950226</v>
      </c>
      <c r="AB576" s="10" t="n">
        <v>173453</v>
      </c>
      <c r="AC576" s="10" t="n">
        <v>112663</v>
      </c>
      <c r="AD576" s="7" t="n">
        <v>2018713</v>
      </c>
      <c r="AE576" s="8" t="n">
        <v>35795</v>
      </c>
      <c r="AF576" s="8" t="n">
        <v>-16972</v>
      </c>
      <c r="AG576" s="9" t="n">
        <v>2635257</v>
      </c>
      <c r="AH576" s="10" t="n">
        <v>227687</v>
      </c>
      <c r="AI576" s="10" t="n">
        <v>267354</v>
      </c>
      <c r="AJ576" s="11" t="n">
        <v>2312995</v>
      </c>
      <c r="AK576" s="12" t="n">
        <v>-43939</v>
      </c>
      <c r="AL576" s="12" t="n">
        <v>-33032</v>
      </c>
      <c r="AM576" s="13" t="n">
        <v>-12.2</v>
      </c>
      <c r="AN576" s="13" t="n">
        <v>23</v>
      </c>
      <c r="AO576" s="13" t="n">
        <v>-119.3</v>
      </c>
      <c r="AP576" s="13" t="n">
        <v>-136.4</v>
      </c>
    </row>
    <row r="577">
      <c r="A577" s="5" t="inlineStr">
        <is>
          <t>서울제약</t>
        </is>
      </c>
      <c r="B577" s="6" t="inlineStr">
        <is>
          <t>018680</t>
        </is>
      </c>
      <c r="C577" s="6" t="inlineStr">
        <is>
          <t>별도</t>
        </is>
      </c>
      <c r="D577" s="6" t="inlineStr">
        <is>
          <t>2026Q2</t>
        </is>
      </c>
      <c r="E577" s="6" t="inlineStr"/>
      <c r="F577" s="7" t="inlineStr"/>
      <c r="G577" s="8" t="inlineStr"/>
      <c r="H577" s="8" t="inlineStr"/>
      <c r="I577" s="9" t="n">
        <v>13431</v>
      </c>
      <c r="J577" s="10" t="n">
        <v>672</v>
      </c>
      <c r="K577" s="10" t="n">
        <v>593</v>
      </c>
      <c r="L577" s="7" t="n">
        <v>12852</v>
      </c>
      <c r="M577" s="8" t="n">
        <v>156</v>
      </c>
      <c r="N577" s="8" t="n">
        <v>272</v>
      </c>
      <c r="O577" s="9" t="n">
        <v>13405</v>
      </c>
      <c r="P577" s="10" t="n">
        <v>70</v>
      </c>
      <c r="Q577" s="10" t="n">
        <v>173</v>
      </c>
      <c r="R577" s="7" t="n">
        <v>13892</v>
      </c>
      <c r="S577" s="8" t="n">
        <v>630</v>
      </c>
      <c r="T577" s="8" t="n">
        <v>661</v>
      </c>
      <c r="U577" s="9" t="n">
        <v>12888</v>
      </c>
      <c r="V577" s="10" t="n">
        <v>-115</v>
      </c>
      <c r="W577" s="10" t="n">
        <v>-164</v>
      </c>
      <c r="X577" s="7" t="n">
        <v>12011</v>
      </c>
      <c r="Y577" s="8" t="n">
        <v>-914</v>
      </c>
      <c r="Z577" s="8" t="n">
        <v>-1331</v>
      </c>
      <c r="AA577" s="9" t="n">
        <v>13643</v>
      </c>
      <c r="AB577" s="10" t="n">
        <v>-34</v>
      </c>
      <c r="AC577" s="10" t="n">
        <v>2624</v>
      </c>
      <c r="AD577" s="7" t="n">
        <v>13607</v>
      </c>
      <c r="AE577" s="8" t="n">
        <v>-216</v>
      </c>
      <c r="AF577" s="8" t="n">
        <v>-375</v>
      </c>
      <c r="AG577" s="9" t="n">
        <v>12066</v>
      </c>
      <c r="AH577" s="10" t="n">
        <v>-186</v>
      </c>
      <c r="AI577" s="10" t="n">
        <v>-192</v>
      </c>
      <c r="AJ577" s="11" t="n">
        <v>11762</v>
      </c>
      <c r="AK577" s="12" t="n">
        <v>-343</v>
      </c>
      <c r="AL577" s="12" t="n">
        <v>-318</v>
      </c>
      <c r="AM577" s="13" t="n">
        <v>-2.5</v>
      </c>
      <c r="AN577" s="13" t="n">
        <v>-2.1</v>
      </c>
      <c r="AO577" s="13" t="n">
        <v>-84.40000000000001</v>
      </c>
      <c r="AP577" s="13" t="n">
        <v>62.5</v>
      </c>
    </row>
    <row r="578">
      <c r="A578" s="5" t="inlineStr">
        <is>
          <t>졸스</t>
        </is>
      </c>
      <c r="B578" s="6" t="inlineStr">
        <is>
          <t>018700</t>
        </is>
      </c>
      <c r="C578" s="6" t="inlineStr">
        <is>
          <t>연결</t>
        </is>
      </c>
      <c r="D578" s="6" t="inlineStr">
        <is>
          <t>2026Q2</t>
        </is>
      </c>
      <c r="E578" s="6" t="inlineStr"/>
      <c r="F578" s="7" t="inlineStr"/>
      <c r="G578" s="8" t="inlineStr"/>
      <c r="H578" s="8" t="inlineStr"/>
      <c r="I578" s="9" t="n">
        <v>14327</v>
      </c>
      <c r="J578" s="10" t="n">
        <v>-1046</v>
      </c>
      <c r="K578" s="10" t="n">
        <v>-1003</v>
      </c>
      <c r="L578" s="7" t="n">
        <v>15319</v>
      </c>
      <c r="M578" s="8" t="n">
        <v>-1831</v>
      </c>
      <c r="N578" s="8" t="n">
        <v>-3712</v>
      </c>
      <c r="O578" s="9" t="n">
        <v>19161</v>
      </c>
      <c r="P578" s="10" t="n">
        <v>-496</v>
      </c>
      <c r="Q578" s="10" t="n">
        <v>-642</v>
      </c>
      <c r="R578" s="7" t="n">
        <v>19070</v>
      </c>
      <c r="S578" s="8" t="n">
        <v>-2358</v>
      </c>
      <c r="T578" s="8" t="n">
        <v>-8135</v>
      </c>
      <c r="U578" s="9" t="n">
        <v>16978</v>
      </c>
      <c r="V578" s="10" t="n">
        <v>754</v>
      </c>
      <c r="W578" s="10" t="n">
        <v>1601</v>
      </c>
      <c r="X578" s="7" t="n">
        <v>16561</v>
      </c>
      <c r="Y578" s="8" t="n">
        <v>-252</v>
      </c>
      <c r="Z578" s="8" t="n">
        <v>-938</v>
      </c>
      <c r="AA578" s="9" t="n">
        <v>17781</v>
      </c>
      <c r="AB578" s="10" t="n">
        <v>178</v>
      </c>
      <c r="AC578" s="10" t="n">
        <v>2362</v>
      </c>
      <c r="AD578" s="7" t="n">
        <v>12903</v>
      </c>
      <c r="AE578" s="8" t="n">
        <v>-3677</v>
      </c>
      <c r="AF578" s="8" t="n">
        <v>-6177</v>
      </c>
      <c r="AG578" s="9" t="n">
        <v>11189</v>
      </c>
      <c r="AH578" s="10" t="n">
        <v>-1356</v>
      </c>
      <c r="AI578" s="10" t="n">
        <v>-940</v>
      </c>
      <c r="AJ578" s="11" t="n">
        <v>12251</v>
      </c>
      <c r="AK578" s="12" t="n">
        <v>2723</v>
      </c>
      <c r="AL578" s="12" t="n">
        <v>3457</v>
      </c>
      <c r="AM578" s="13" t="n">
        <v>9.5</v>
      </c>
      <c r="AN578" s="13" t="n">
        <v>-26</v>
      </c>
      <c r="AO578" s="13" t="n">
        <v>300.8</v>
      </c>
      <c r="AP578" s="13" t="n">
        <v>1180.6</v>
      </c>
    </row>
    <row r="579">
      <c r="A579" s="5" t="inlineStr">
        <is>
          <t>한온시스템</t>
        </is>
      </c>
      <c r="B579" s="6" t="inlineStr">
        <is>
          <t>018880</t>
        </is>
      </c>
      <c r="C579" s="6" t="inlineStr">
        <is>
          <t>연결</t>
        </is>
      </c>
      <c r="D579" s="6" t="inlineStr">
        <is>
          <t>2026Q2</t>
        </is>
      </c>
      <c r="E579" s="6" t="inlineStr">
        <is>
          <t>2023Q4</t>
        </is>
      </c>
      <c r="F579" s="14" t="n">
        <v>2462520</v>
      </c>
      <c r="G579" s="15" t="n">
        <v>53293</v>
      </c>
      <c r="H579" s="15" t="n">
        <v>-54595</v>
      </c>
      <c r="I579" s="9" t="n">
        <v>2404648</v>
      </c>
      <c r="J579" s="10" t="n">
        <v>65321</v>
      </c>
      <c r="K579" s="10" t="n">
        <v>10116</v>
      </c>
      <c r="L579" s="7" t="n">
        <v>2559894</v>
      </c>
      <c r="M579" s="8" t="n">
        <v>71581</v>
      </c>
      <c r="N579" s="8" t="n">
        <v>-31204</v>
      </c>
      <c r="O579" s="9" t="n">
        <v>2499779</v>
      </c>
      <c r="P579" s="10" t="n">
        <v>93717</v>
      </c>
      <c r="Q579" s="10" t="n">
        <v>-19424</v>
      </c>
      <c r="R579" s="7" t="n">
        <v>2534402</v>
      </c>
      <c r="S579" s="8" t="n">
        <v>-135082</v>
      </c>
      <c r="T579" s="8" t="n">
        <v>-318084</v>
      </c>
      <c r="U579" s="9" t="n">
        <v>2617326</v>
      </c>
      <c r="V579" s="10" t="n">
        <v>21075</v>
      </c>
      <c r="W579" s="10" t="n">
        <v>-22592</v>
      </c>
      <c r="X579" s="7" t="n">
        <v>2858196</v>
      </c>
      <c r="Y579" s="8" t="n">
        <v>64301</v>
      </c>
      <c r="Z579" s="8" t="n">
        <v>-15086</v>
      </c>
      <c r="AA579" s="9" t="n">
        <v>2705698</v>
      </c>
      <c r="AB579" s="10" t="n">
        <v>95302</v>
      </c>
      <c r="AC579" s="10" t="n">
        <v>55272</v>
      </c>
      <c r="AD579" s="7" t="n">
        <v>2702508</v>
      </c>
      <c r="AE579" s="8" t="n">
        <v>89694</v>
      </c>
      <c r="AF579" s="8" t="n">
        <v>-214862</v>
      </c>
      <c r="AG579" s="9" t="n">
        <v>2748244</v>
      </c>
      <c r="AH579" s="10" t="n">
        <v>97180</v>
      </c>
      <c r="AI579" s="10" t="n">
        <v>67460</v>
      </c>
      <c r="AJ579" s="11" t="n">
        <v>2875248</v>
      </c>
      <c r="AK579" s="12" t="n">
        <v>103684</v>
      </c>
      <c r="AL579" s="12" t="n">
        <v>87259</v>
      </c>
      <c r="AM579" s="13" t="n">
        <v>4.6</v>
      </c>
      <c r="AN579" s="13" t="n">
        <v>0.6</v>
      </c>
      <c r="AO579" s="13" t="n">
        <v>6.7</v>
      </c>
      <c r="AP579" s="13" t="n">
        <v>61.2</v>
      </c>
    </row>
    <row r="580">
      <c r="A580" s="5" t="inlineStr">
        <is>
          <t>베뉴지</t>
        </is>
      </c>
      <c r="B580" s="6" t="inlineStr">
        <is>
          <t>019010</t>
        </is>
      </c>
      <c r="C580" s="6" t="inlineStr">
        <is>
          <t>연결</t>
        </is>
      </c>
      <c r="D580" s="6" t="inlineStr">
        <is>
          <t>2026Q2</t>
        </is>
      </c>
      <c r="E580" s="6" t="inlineStr"/>
      <c r="F580" s="7" t="inlineStr"/>
      <c r="G580" s="8" t="inlineStr"/>
      <c r="H580" s="8" t="inlineStr"/>
      <c r="I580" s="9" t="n">
        <v>14075</v>
      </c>
      <c r="J580" s="10" t="n">
        <v>1507</v>
      </c>
      <c r="K580" s="10" t="n">
        <v>195</v>
      </c>
      <c r="L580" s="7" t="n">
        <v>19937</v>
      </c>
      <c r="M580" s="8" t="n">
        <v>7065</v>
      </c>
      <c r="N580" s="8" t="n">
        <v>5757</v>
      </c>
      <c r="O580" s="9" t="n">
        <v>15809</v>
      </c>
      <c r="P580" s="10" t="n">
        <v>2162</v>
      </c>
      <c r="Q580" s="10" t="n">
        <v>-12287</v>
      </c>
      <c r="R580" s="7" t="n">
        <v>20303</v>
      </c>
      <c r="S580" s="8" t="n">
        <v>7085</v>
      </c>
      <c r="T580" s="8" t="n">
        <v>-4982</v>
      </c>
      <c r="U580" s="9" t="n">
        <v>9088</v>
      </c>
      <c r="V580" s="10" t="n">
        <v>2140</v>
      </c>
      <c r="W580" s="10" t="n">
        <v>11317</v>
      </c>
      <c r="X580" s="7" t="n">
        <v>14614</v>
      </c>
      <c r="Y580" s="8" t="n">
        <v>6804</v>
      </c>
      <c r="Z580" s="8" t="n">
        <v>10701</v>
      </c>
      <c r="AA580" s="9" t="n">
        <v>10735</v>
      </c>
      <c r="AB580" s="10" t="n">
        <v>1365</v>
      </c>
      <c r="AC580" s="10" t="n">
        <v>32238</v>
      </c>
      <c r="AD580" s="7" t="n">
        <v>13806</v>
      </c>
      <c r="AE580" s="8" t="n">
        <v>4736</v>
      </c>
      <c r="AF580" s="8" t="n">
        <v>46868</v>
      </c>
      <c r="AG580" s="9" t="n">
        <v>10354</v>
      </c>
      <c r="AH580" s="10" t="n">
        <v>1920</v>
      </c>
      <c r="AI580" s="10" t="n">
        <v>57857</v>
      </c>
      <c r="AJ580" s="11" t="n">
        <v>14064</v>
      </c>
      <c r="AK580" s="12" t="n">
        <v>5868</v>
      </c>
      <c r="AL580" s="12" t="n">
        <v>219446</v>
      </c>
      <c r="AM580" s="13" t="n">
        <v>35.8</v>
      </c>
      <c r="AN580" s="13" t="n">
        <v>-3.8</v>
      </c>
      <c r="AO580" s="13" t="n">
        <v>205.6</v>
      </c>
      <c r="AP580" s="13" t="n">
        <v>-13.8</v>
      </c>
    </row>
    <row r="581">
      <c r="A581" s="5" t="inlineStr">
        <is>
          <t>신풍제약</t>
        </is>
      </c>
      <c r="B581" s="6" t="inlineStr">
        <is>
          <t>019170</t>
        </is>
      </c>
      <c r="C581" s="6" t="inlineStr">
        <is>
          <t>연결</t>
        </is>
      </c>
      <c r="D581" s="6" t="inlineStr">
        <is>
          <t>2026Q2</t>
        </is>
      </c>
      <c r="E581" s="6" t="inlineStr"/>
      <c r="F581" s="7" t="inlineStr"/>
      <c r="G581" s="8" t="inlineStr"/>
      <c r="H581" s="8" t="inlineStr"/>
      <c r="I581" s="9" t="n">
        <v>54006</v>
      </c>
      <c r="J581" s="10" t="n">
        <v>-3461</v>
      </c>
      <c r="K581" s="10" t="n">
        <v>-2572</v>
      </c>
      <c r="L581" s="7" t="n">
        <v>56027</v>
      </c>
      <c r="M581" s="8" t="n">
        <v>-4710</v>
      </c>
      <c r="N581" s="8" t="n">
        <v>-27</v>
      </c>
      <c r="O581" s="9" t="n">
        <v>55798</v>
      </c>
      <c r="P581" s="10" t="n">
        <v>-165</v>
      </c>
      <c r="Q581" s="10" t="n">
        <v>-80</v>
      </c>
      <c r="R581" s="7" t="n">
        <v>55263</v>
      </c>
      <c r="S581" s="8" t="n">
        <v>-12119</v>
      </c>
      <c r="T581" s="8" t="n">
        <v>-12694</v>
      </c>
      <c r="U581" s="9" t="n">
        <v>55410</v>
      </c>
      <c r="V581" s="10" t="n">
        <v>-1763</v>
      </c>
      <c r="W581" s="10" t="n">
        <v>-1257</v>
      </c>
      <c r="X581" s="7" t="n">
        <v>58620</v>
      </c>
      <c r="Y581" s="8" t="n">
        <v>4935</v>
      </c>
      <c r="Z581" s="8" t="n">
        <v>2782</v>
      </c>
      <c r="AA581" s="9" t="n">
        <v>62610</v>
      </c>
      <c r="AB581" s="10" t="n">
        <v>7216</v>
      </c>
      <c r="AC581" s="10" t="n">
        <v>6413</v>
      </c>
      <c r="AD581" s="7" t="n">
        <v>58041</v>
      </c>
      <c r="AE581" s="8" t="n">
        <v>3867</v>
      </c>
      <c r="AF581" s="8" t="n">
        <v>451</v>
      </c>
      <c r="AG581" s="9" t="n">
        <v>54526</v>
      </c>
      <c r="AH581" s="10" t="n">
        <v>-363</v>
      </c>
      <c r="AI581" s="10" t="n">
        <v>369</v>
      </c>
      <c r="AJ581" s="11" t="n">
        <v>63888</v>
      </c>
      <c r="AK581" s="12" t="n">
        <v>-8028</v>
      </c>
      <c r="AL581" s="12" t="n">
        <v>-7979</v>
      </c>
      <c r="AM581" s="13" t="n">
        <v>17.2</v>
      </c>
      <c r="AN581" s="13" t="n">
        <v>9</v>
      </c>
      <c r="AO581" s="13" t="n">
        <v>-2111.6</v>
      </c>
      <c r="AP581" s="13" t="n">
        <v>-262.7</v>
      </c>
    </row>
    <row r="582">
      <c r="A582" s="5" t="inlineStr">
        <is>
          <t>티에이치엔</t>
        </is>
      </c>
      <c r="B582" s="6" t="inlineStr">
        <is>
          <t>019180</t>
        </is>
      </c>
      <c r="C582" s="6" t="inlineStr">
        <is>
          <t>연결</t>
        </is>
      </c>
      <c r="D582" s="6" t="inlineStr">
        <is>
          <t>2026Q2</t>
        </is>
      </c>
      <c r="E582" s="6" t="inlineStr"/>
      <c r="F582" s="7" t="inlineStr"/>
      <c r="G582" s="8" t="inlineStr"/>
      <c r="H582" s="8" t="inlineStr"/>
      <c r="I582" s="9" t="n">
        <v>142889</v>
      </c>
      <c r="J582" s="10" t="n">
        <v>7609</v>
      </c>
      <c r="K582" s="10" t="n">
        <v>7858</v>
      </c>
      <c r="L582" s="7" t="n">
        <v>168571</v>
      </c>
      <c r="M582" s="8" t="n">
        <v>10664</v>
      </c>
      <c r="N582" s="8" t="n">
        <v>10795</v>
      </c>
      <c r="O582" s="9" t="n">
        <v>163007</v>
      </c>
      <c r="P582" s="10" t="n">
        <v>9813</v>
      </c>
      <c r="Q582" s="10" t="n">
        <v>9185</v>
      </c>
      <c r="R582" s="7" t="n">
        <v>176612</v>
      </c>
      <c r="S582" s="8" t="n">
        <v>2878</v>
      </c>
      <c r="T582" s="8" t="n">
        <v>5630</v>
      </c>
      <c r="U582" s="9" t="n">
        <v>170386</v>
      </c>
      <c r="V582" s="10" t="n">
        <v>3383</v>
      </c>
      <c r="W582" s="10" t="n">
        <v>3994</v>
      </c>
      <c r="X582" s="7" t="n">
        <v>252542</v>
      </c>
      <c r="Y582" s="8" t="n">
        <v>20785</v>
      </c>
      <c r="Z582" s="8" t="n">
        <v>18699</v>
      </c>
      <c r="AA582" s="9" t="n">
        <v>276922</v>
      </c>
      <c r="AB582" s="10" t="n">
        <v>21626</v>
      </c>
      <c r="AC582" s="10" t="n">
        <v>22203</v>
      </c>
      <c r="AD582" s="7" t="n">
        <v>289284</v>
      </c>
      <c r="AE582" s="8" t="n">
        <v>24266</v>
      </c>
      <c r="AF582" s="8" t="n">
        <v>23758</v>
      </c>
      <c r="AG582" s="9" t="n">
        <v>276275</v>
      </c>
      <c r="AH582" s="10" t="n">
        <v>17503</v>
      </c>
      <c r="AI582" s="10" t="n">
        <v>15752</v>
      </c>
      <c r="AJ582" s="11" t="n">
        <v>287697</v>
      </c>
      <c r="AK582" s="12" t="n">
        <v>15500</v>
      </c>
      <c r="AL582" s="12" t="n">
        <v>13210</v>
      </c>
      <c r="AM582" s="13" t="n">
        <v>4.1</v>
      </c>
      <c r="AN582" s="13" t="n">
        <v>13.9</v>
      </c>
      <c r="AO582" s="13" t="n">
        <v>-11.4</v>
      </c>
      <c r="AP582" s="13" t="n">
        <v>-25.4</v>
      </c>
    </row>
    <row r="583">
      <c r="A583" s="5" t="inlineStr">
        <is>
          <t>와이지-원</t>
        </is>
      </c>
      <c r="B583" s="6" t="inlineStr">
        <is>
          <t>019210</t>
        </is>
      </c>
      <c r="C583" s="6" t="inlineStr">
        <is>
          <t>연결</t>
        </is>
      </c>
      <c r="D583" s="6" t="inlineStr">
        <is>
          <t>2026Q2</t>
        </is>
      </c>
      <c r="E583" s="6" t="inlineStr"/>
      <c r="F583" s="7" t="inlineStr"/>
      <c r="G583" s="8" t="inlineStr"/>
      <c r="H583" s="8" t="inlineStr"/>
      <c r="I583" s="9" t="n">
        <v>132548</v>
      </c>
      <c r="J583" s="10" t="n">
        <v>15108</v>
      </c>
      <c r="K583" s="10" t="n">
        <v>7547</v>
      </c>
      <c r="L583" s="7" t="n">
        <v>140735</v>
      </c>
      <c r="M583" s="8" t="n">
        <v>11219</v>
      </c>
      <c r="N583" s="8" t="n">
        <v>4400</v>
      </c>
      <c r="O583" s="9" t="n">
        <v>157106</v>
      </c>
      <c r="P583" s="10" t="n">
        <v>16403</v>
      </c>
      <c r="Q583" s="10" t="n">
        <v>3487</v>
      </c>
      <c r="R583" s="7" t="n">
        <v>144601</v>
      </c>
      <c r="S583" s="8" t="n">
        <v>13086</v>
      </c>
      <c r="T583" s="8" t="n">
        <v>1548</v>
      </c>
      <c r="U583" s="9" t="n">
        <v>141616</v>
      </c>
      <c r="V583" s="10" t="n">
        <v>9079</v>
      </c>
      <c r="W583" s="10" t="n">
        <v>4240</v>
      </c>
      <c r="X583" s="7" t="n">
        <v>150739</v>
      </c>
      <c r="Y583" s="8" t="n">
        <v>15564</v>
      </c>
      <c r="Z583" s="8" t="n">
        <v>2433</v>
      </c>
      <c r="AA583" s="9" t="n">
        <v>168795</v>
      </c>
      <c r="AB583" s="10" t="n">
        <v>22567</v>
      </c>
      <c r="AC583" s="10" t="n">
        <v>10836</v>
      </c>
      <c r="AD583" s="7" t="n">
        <v>178233</v>
      </c>
      <c r="AE583" s="8" t="n">
        <v>19318</v>
      </c>
      <c r="AF583" s="8" t="n">
        <v>7820</v>
      </c>
      <c r="AG583" s="9" t="n">
        <v>207784</v>
      </c>
      <c r="AH583" s="10" t="n">
        <v>38839</v>
      </c>
      <c r="AI583" s="10" t="n">
        <v>25745</v>
      </c>
      <c r="AJ583" s="11" t="n">
        <v>213295</v>
      </c>
      <c r="AK583" s="12" t="n">
        <v>47747</v>
      </c>
      <c r="AL583" s="12" t="n">
        <v>30386</v>
      </c>
      <c r="AM583" s="13" t="n">
        <v>2.7</v>
      </c>
      <c r="AN583" s="13" t="n">
        <v>41.5</v>
      </c>
      <c r="AO583" s="13" t="n">
        <v>22.9</v>
      </c>
      <c r="AP583" s="13" t="n">
        <v>206.8</v>
      </c>
    </row>
    <row r="584">
      <c r="A584" s="5" t="inlineStr">
        <is>
          <t>엑시큐어하이트론</t>
        </is>
      </c>
      <c r="B584" s="6" t="inlineStr">
        <is>
          <t>019490</t>
        </is>
      </c>
      <c r="C584" s="6" t="inlineStr">
        <is>
          <t>연결</t>
        </is>
      </c>
      <c r="D584" s="6" t="inlineStr">
        <is>
          <t>2026Q2</t>
        </is>
      </c>
      <c r="E584" s="6" t="inlineStr"/>
      <c r="F584" s="7" t="inlineStr"/>
      <c r="G584" s="8" t="inlineStr"/>
      <c r="H584" s="8" t="inlineStr"/>
      <c r="I584" s="9" t="n">
        <v>973</v>
      </c>
      <c r="J584" s="10" t="n">
        <v>-2363</v>
      </c>
      <c r="K584" s="10" t="n">
        <v>-2914</v>
      </c>
      <c r="L584" s="7" t="n">
        <v>1376</v>
      </c>
      <c r="M584" s="8" t="n">
        <v>-1524</v>
      </c>
      <c r="N584" s="8" t="n">
        <v>-1664</v>
      </c>
      <c r="O584" s="9" t="n">
        <v>2696</v>
      </c>
      <c r="P584" s="10" t="n">
        <v>-3039</v>
      </c>
      <c r="Q584" s="10" t="n">
        <v>-3996</v>
      </c>
      <c r="R584" s="7" t="n">
        <v>1535</v>
      </c>
      <c r="S584" s="8" t="n">
        <v>596</v>
      </c>
      <c r="T584" s="8" t="n">
        <v>-50741</v>
      </c>
      <c r="U584" s="9" t="n">
        <v>1155</v>
      </c>
      <c r="V584" s="10" t="n">
        <v>-5888</v>
      </c>
      <c r="W584" s="10" t="n">
        <v>-6894</v>
      </c>
      <c r="X584" s="7" t="n">
        <v>1685</v>
      </c>
      <c r="Y584" s="8" t="n">
        <v>-4182</v>
      </c>
      <c r="Z584" s="8" t="n">
        <v>-14071</v>
      </c>
      <c r="AA584" s="9" t="n">
        <v>2048</v>
      </c>
      <c r="AB584" s="10" t="n">
        <v>-4551</v>
      </c>
      <c r="AC584" s="10" t="n">
        <v>-5610</v>
      </c>
      <c r="AD584" s="7" t="n">
        <v>412</v>
      </c>
      <c r="AE584" s="8" t="n">
        <v>8650</v>
      </c>
      <c r="AF584" s="8" t="n">
        <v>-8918</v>
      </c>
      <c r="AG584" s="9" t="n">
        <v>696</v>
      </c>
      <c r="AH584" s="10" t="n">
        <v>-885</v>
      </c>
      <c r="AI584" s="10" t="n">
        <v>-3415</v>
      </c>
      <c r="AJ584" s="11" t="n">
        <v>1341</v>
      </c>
      <c r="AK584" s="12" t="n">
        <v>-2646</v>
      </c>
      <c r="AL584" s="12" t="n">
        <v>-5710</v>
      </c>
      <c r="AM584" s="13" t="n">
        <v>92.7</v>
      </c>
      <c r="AN584" s="13" t="n">
        <v>-20.4</v>
      </c>
      <c r="AO584" s="13" t="n">
        <v>-199</v>
      </c>
      <c r="AP584" s="13" t="n">
        <v>36.7</v>
      </c>
    </row>
    <row r="585">
      <c r="A585" s="5" t="inlineStr">
        <is>
          <t>일지테크</t>
        </is>
      </c>
      <c r="B585" s="6" t="inlineStr">
        <is>
          <t>019540</t>
        </is>
      </c>
      <c r="C585" s="6" t="inlineStr">
        <is>
          <t>연결</t>
        </is>
      </c>
      <c r="D585" s="6" t="inlineStr">
        <is>
          <t>2026Q2</t>
        </is>
      </c>
      <c r="E585" s="6" t="inlineStr"/>
      <c r="F585" s="7" t="inlineStr"/>
      <c r="G585" s="8" t="inlineStr"/>
      <c r="H585" s="8" t="inlineStr"/>
      <c r="I585" s="9" t="n">
        <v>189578</v>
      </c>
      <c r="J585" s="10" t="n">
        <v>7895</v>
      </c>
      <c r="K585" s="10" t="n">
        <v>6909</v>
      </c>
      <c r="L585" s="7" t="n">
        <v>188504</v>
      </c>
      <c r="M585" s="8" t="n">
        <v>10450</v>
      </c>
      <c r="N585" s="8" t="n">
        <v>14291</v>
      </c>
      <c r="O585" s="9" t="n">
        <v>185967</v>
      </c>
      <c r="P585" s="10" t="n">
        <v>5968</v>
      </c>
      <c r="Q585" s="10" t="n">
        <v>1922</v>
      </c>
      <c r="R585" s="7" t="n">
        <v>193246</v>
      </c>
      <c r="S585" s="8" t="n">
        <v>134</v>
      </c>
      <c r="T585" s="8" t="n">
        <v>-614</v>
      </c>
      <c r="U585" s="9" t="n">
        <v>205367</v>
      </c>
      <c r="V585" s="10" t="n">
        <v>11891</v>
      </c>
      <c r="W585" s="10" t="n">
        <v>8403</v>
      </c>
      <c r="X585" s="7" t="n">
        <v>216580</v>
      </c>
      <c r="Y585" s="8" t="n">
        <v>6516</v>
      </c>
      <c r="Z585" s="8" t="n">
        <v>7957</v>
      </c>
      <c r="AA585" s="9" t="n">
        <v>203116</v>
      </c>
      <c r="AB585" s="10" t="n">
        <v>7739</v>
      </c>
      <c r="AC585" s="10" t="n">
        <v>5158</v>
      </c>
      <c r="AD585" s="7" t="n">
        <v>230000</v>
      </c>
      <c r="AE585" s="8" t="n">
        <v>21878</v>
      </c>
      <c r="AF585" s="8" t="n">
        <v>24154</v>
      </c>
      <c r="AG585" s="9" t="n">
        <v>222211</v>
      </c>
      <c r="AH585" s="10" t="n">
        <v>13694</v>
      </c>
      <c r="AI585" s="10" t="n">
        <v>17062</v>
      </c>
      <c r="AJ585" s="11" t="n">
        <v>206971</v>
      </c>
      <c r="AK585" s="12" t="n">
        <v>3479</v>
      </c>
      <c r="AL585" s="12" t="n">
        <v>1563</v>
      </c>
      <c r="AM585" s="13" t="n">
        <v>-6.9</v>
      </c>
      <c r="AN585" s="13" t="n">
        <v>-4.4</v>
      </c>
      <c r="AO585" s="13" t="n">
        <v>-74.59999999999999</v>
      </c>
      <c r="AP585" s="13" t="n">
        <v>-46.6</v>
      </c>
    </row>
    <row r="586">
      <c r="A586" s="5" t="inlineStr">
        <is>
          <t>SBI인베스트먼트</t>
        </is>
      </c>
      <c r="B586" s="6" t="inlineStr">
        <is>
          <t>019550</t>
        </is>
      </c>
      <c r="C586" s="6" t="inlineStr">
        <is>
          <t>별도</t>
        </is>
      </c>
      <c r="D586" s="6" t="inlineStr">
        <is>
          <t>2026Q2</t>
        </is>
      </c>
      <c r="E586" s="6" t="inlineStr"/>
      <c r="F586" s="7" t="inlineStr"/>
      <c r="G586" s="8" t="inlineStr"/>
      <c r="H586" s="8" t="inlineStr"/>
      <c r="I586" s="9" t="n">
        <v>5428</v>
      </c>
      <c r="J586" s="10" t="n">
        <v>2629</v>
      </c>
      <c r="K586" s="10" t="n">
        <v>2630</v>
      </c>
      <c r="L586" s="7" t="n">
        <v>6966</v>
      </c>
      <c r="M586" s="8" t="n">
        <v>3224</v>
      </c>
      <c r="N586" s="8" t="n">
        <v>3212</v>
      </c>
      <c r="O586" s="9" t="n">
        <v>4348</v>
      </c>
      <c r="P586" s="10" t="n">
        <v>1758</v>
      </c>
      <c r="Q586" s="10" t="n">
        <v>1758</v>
      </c>
      <c r="R586" s="7" t="n">
        <v>11941</v>
      </c>
      <c r="S586" s="8" t="n">
        <v>4131</v>
      </c>
      <c r="T586" s="8" t="n">
        <v>3790</v>
      </c>
      <c r="U586" s="9" t="n">
        <v>3569</v>
      </c>
      <c r="V586" s="10" t="n">
        <v>910</v>
      </c>
      <c r="W586" s="10" t="n">
        <v>910</v>
      </c>
      <c r="X586" s="7" t="n">
        <v>4305</v>
      </c>
      <c r="Y586" s="8" t="n">
        <v>1094</v>
      </c>
      <c r="Z586" s="8" t="n">
        <v>1110</v>
      </c>
      <c r="AA586" s="9" t="n">
        <v>4953</v>
      </c>
      <c r="AB586" s="10" t="n">
        <v>2063</v>
      </c>
      <c r="AC586" s="10" t="n">
        <v>2065</v>
      </c>
      <c r="AD586" s="7" t="n">
        <v>19881</v>
      </c>
      <c r="AE586" s="8" t="n">
        <v>5256</v>
      </c>
      <c r="AF586" s="8" t="n">
        <v>5239</v>
      </c>
      <c r="AG586" s="9" t="n">
        <v>8109</v>
      </c>
      <c r="AH586" s="10" t="n">
        <v>4942</v>
      </c>
      <c r="AI586" s="10" t="n">
        <v>4942</v>
      </c>
      <c r="AJ586" s="11" t="n">
        <v>5213</v>
      </c>
      <c r="AK586" s="12" t="n">
        <v>2618</v>
      </c>
      <c r="AL586" s="12" t="n">
        <v>2547</v>
      </c>
      <c r="AM586" s="13" t="n">
        <v>-35.7</v>
      </c>
      <c r="AN586" s="13" t="n">
        <v>21.1</v>
      </c>
      <c r="AO586" s="13" t="n">
        <v>-47</v>
      </c>
      <c r="AP586" s="13" t="n">
        <v>139.3</v>
      </c>
    </row>
    <row r="587">
      <c r="A587" s="5" t="inlineStr">
        <is>
          <t>플루토스</t>
        </is>
      </c>
      <c r="B587" s="6" t="inlineStr">
        <is>
          <t>019570</t>
        </is>
      </c>
      <c r="C587" s="6" t="inlineStr">
        <is>
          <t>연결</t>
        </is>
      </c>
      <c r="D587" s="6" t="inlineStr">
        <is>
          <t>2026Q2</t>
        </is>
      </c>
      <c r="E587" s="6" t="inlineStr"/>
      <c r="F587" s="7" t="inlineStr"/>
      <c r="G587" s="8" t="inlineStr"/>
      <c r="H587" s="8" t="inlineStr"/>
      <c r="I587" s="9" t="inlineStr"/>
      <c r="J587" s="10" t="n">
        <v>-685</v>
      </c>
      <c r="K587" s="10" t="n">
        <v>166</v>
      </c>
      <c r="L587" s="7" t="inlineStr"/>
      <c r="M587" s="8" t="n">
        <v>4784</v>
      </c>
      <c r="N587" s="8" t="n">
        <v>3823</v>
      </c>
      <c r="O587" s="9" t="n">
        <v>553</v>
      </c>
      <c r="P587" s="10" t="n">
        <v>-2951</v>
      </c>
      <c r="Q587" s="10" t="n">
        <v>-3103</v>
      </c>
      <c r="R587" s="7" t="inlineStr"/>
      <c r="S587" s="8" t="n">
        <v>126</v>
      </c>
      <c r="T587" s="8" t="n">
        <v>-1099</v>
      </c>
      <c r="U587" s="9" t="inlineStr"/>
      <c r="V587" s="10" t="n">
        <v>-316</v>
      </c>
      <c r="W587" s="10" t="n">
        <v>-315</v>
      </c>
      <c r="X587" s="7" t="inlineStr"/>
      <c r="Y587" s="8" t="n">
        <v>996</v>
      </c>
      <c r="Z587" s="8" t="n">
        <v>1440</v>
      </c>
      <c r="AA587" s="9" t="inlineStr"/>
      <c r="AB587" s="10" t="n">
        <v>1168</v>
      </c>
      <c r="AC587" s="10" t="n">
        <v>912</v>
      </c>
      <c r="AD587" s="7" t="inlineStr"/>
      <c r="AE587" s="8" t="n">
        <v>1465</v>
      </c>
      <c r="AF587" s="8" t="n">
        <v>815</v>
      </c>
      <c r="AG587" s="9" t="inlineStr"/>
      <c r="AH587" s="10" t="n">
        <v>-3051</v>
      </c>
      <c r="AI587" s="10" t="n">
        <v>-3133</v>
      </c>
      <c r="AJ587" s="11" t="inlineStr"/>
      <c r="AK587" s="12" t="n">
        <v>1701</v>
      </c>
      <c r="AL587" s="12" t="n">
        <v>1260</v>
      </c>
      <c r="AM587" s="13" t="inlineStr"/>
      <c r="AN587" s="13" t="inlineStr"/>
      <c r="AO587" s="13" t="n">
        <v>155.8</v>
      </c>
      <c r="AP587" s="13" t="n">
        <v>70.8</v>
      </c>
    </row>
    <row r="588">
      <c r="A588" s="5" t="inlineStr">
        <is>
          <t>글로본</t>
        </is>
      </c>
      <c r="B588" s="6" t="inlineStr">
        <is>
          <t>019660</t>
        </is>
      </c>
      <c r="C588" s="6" t="inlineStr">
        <is>
          <t>별도</t>
        </is>
      </c>
      <c r="D588" s="6" t="inlineStr">
        <is>
          <t>2026Q2</t>
        </is>
      </c>
      <c r="E588" s="6" t="inlineStr"/>
      <c r="F588" s="7" t="inlineStr"/>
      <c r="G588" s="8" t="inlineStr"/>
      <c r="H588" s="8" t="inlineStr"/>
      <c r="I588" s="9" t="n">
        <v>6012</v>
      </c>
      <c r="J588" s="10" t="n">
        <v>-202</v>
      </c>
      <c r="K588" s="10" t="n">
        <v>-112</v>
      </c>
      <c r="L588" s="7" t="n">
        <v>6412</v>
      </c>
      <c r="M588" s="8" t="n">
        <v>-57</v>
      </c>
      <c r="N588" s="8" t="n">
        <v>-97</v>
      </c>
      <c r="O588" s="9" t="n">
        <v>6249</v>
      </c>
      <c r="P588" s="10" t="n">
        <v>97</v>
      </c>
      <c r="Q588" s="10" t="n">
        <v>225</v>
      </c>
      <c r="R588" s="7" t="n">
        <v>-1344</v>
      </c>
      <c r="S588" s="8" t="n">
        <v>406</v>
      </c>
      <c r="T588" s="8" t="n">
        <v>537</v>
      </c>
      <c r="U588" s="9" t="n">
        <v>2243</v>
      </c>
      <c r="V588" s="10" t="n">
        <v>-498</v>
      </c>
      <c r="W588" s="10" t="n">
        <v>-432</v>
      </c>
      <c r="X588" s="7" t="n">
        <v>1384</v>
      </c>
      <c r="Y588" s="8" t="n">
        <v>-563</v>
      </c>
      <c r="Z588" s="8" t="n">
        <v>-377</v>
      </c>
      <c r="AA588" s="9" t="n">
        <v>4148</v>
      </c>
      <c r="AB588" s="10" t="n">
        <v>-725</v>
      </c>
      <c r="AC588" s="10" t="n">
        <v>-589</v>
      </c>
      <c r="AD588" s="7" t="n">
        <v>5173</v>
      </c>
      <c r="AE588" s="8" t="n">
        <v>-3044</v>
      </c>
      <c r="AF588" s="8" t="n">
        <v>-4361</v>
      </c>
      <c r="AG588" s="9" t="n">
        <v>2782</v>
      </c>
      <c r="AH588" s="10" t="n">
        <v>-843</v>
      </c>
      <c r="AI588" s="10" t="n">
        <v>-768</v>
      </c>
      <c r="AJ588" s="11" t="n">
        <v>3235</v>
      </c>
      <c r="AK588" s="12" t="n">
        <v>-662</v>
      </c>
      <c r="AL588" s="12" t="n">
        <v>-680</v>
      </c>
      <c r="AM588" s="13" t="n">
        <v>16.3</v>
      </c>
      <c r="AN588" s="13" t="n">
        <v>133.7</v>
      </c>
      <c r="AO588" s="13" t="n">
        <v>21.5</v>
      </c>
      <c r="AP588" s="13" t="n">
        <v>-17.6</v>
      </c>
    </row>
    <row r="589">
      <c r="A589" s="5" t="inlineStr">
        <is>
          <t>대교</t>
        </is>
      </c>
      <c r="B589" s="6" t="inlineStr">
        <is>
          <t>019680</t>
        </is>
      </c>
      <c r="C589" s="6" t="inlineStr">
        <is>
          <t>연결</t>
        </is>
      </c>
      <c r="D589" s="6" t="inlineStr">
        <is>
          <t>2026Q2</t>
        </is>
      </c>
      <c r="E589" s="6" t="inlineStr"/>
      <c r="F589" s="7" t="inlineStr"/>
      <c r="G589" s="8" t="inlineStr"/>
      <c r="H589" s="8" t="inlineStr"/>
      <c r="I589" s="9" t="n">
        <v>165947</v>
      </c>
      <c r="J589" s="10" t="n">
        <v>-1633</v>
      </c>
      <c r="K589" s="10" t="n">
        <v>13418</v>
      </c>
      <c r="L589" s="7" t="n">
        <v>160386</v>
      </c>
      <c r="M589" s="8" t="n">
        <v>-5460</v>
      </c>
      <c r="N589" s="8" t="n">
        <v>-4406</v>
      </c>
      <c r="O589" s="9" t="n">
        <v>168866</v>
      </c>
      <c r="P589" s="10" t="n">
        <v>7873</v>
      </c>
      <c r="Q589" s="10" t="n">
        <v>4666</v>
      </c>
      <c r="R589" s="7" t="n">
        <v>168303</v>
      </c>
      <c r="S589" s="8" t="n">
        <v>-2343</v>
      </c>
      <c r="T589" s="8" t="n">
        <v>-9641</v>
      </c>
      <c r="U589" s="9" t="n">
        <v>165653</v>
      </c>
      <c r="V589" s="10" t="n">
        <v>918</v>
      </c>
      <c r="W589" s="10" t="n">
        <v>200</v>
      </c>
      <c r="X589" s="7" t="n">
        <v>162532</v>
      </c>
      <c r="Y589" s="8" t="n">
        <v>45</v>
      </c>
      <c r="Z589" s="8" t="n">
        <v>-2787</v>
      </c>
      <c r="AA589" s="9" t="n">
        <v>160644</v>
      </c>
      <c r="AB589" s="10" t="n">
        <v>-31</v>
      </c>
      <c r="AC589" s="10" t="n">
        <v>-617</v>
      </c>
      <c r="AD589" s="7" t="n">
        <v>161176</v>
      </c>
      <c r="AE589" s="8" t="n">
        <v>-4332</v>
      </c>
      <c r="AF589" s="8" t="n">
        <v>-33993</v>
      </c>
      <c r="AG589" s="9" t="n">
        <v>157687</v>
      </c>
      <c r="AH589" s="10" t="n">
        <v>-3570</v>
      </c>
      <c r="AI589" s="10" t="n">
        <v>-3958</v>
      </c>
      <c r="AJ589" s="11" t="n">
        <v>158619</v>
      </c>
      <c r="AK589" s="12" t="n">
        <v>-3722</v>
      </c>
      <c r="AL589" s="12" t="n">
        <v>-1192</v>
      </c>
      <c r="AM589" s="13" t="n">
        <v>0.6</v>
      </c>
      <c r="AN589" s="13" t="n">
        <v>-2.4</v>
      </c>
      <c r="AO589" s="13" t="n">
        <v>-4.3</v>
      </c>
      <c r="AP589" s="13" t="n">
        <v>-8371.1</v>
      </c>
    </row>
    <row r="590">
      <c r="A590" s="5" t="inlineStr">
        <is>
          <t>서연탑메탈</t>
        </is>
      </c>
      <c r="B590" s="6" t="inlineStr">
        <is>
          <t>019770</t>
        </is>
      </c>
      <c r="C590" s="6" t="inlineStr">
        <is>
          <t>별도</t>
        </is>
      </c>
      <c r="D590" s="6" t="inlineStr">
        <is>
          <t>2026Q2</t>
        </is>
      </c>
      <c r="E590" s="6" t="inlineStr"/>
      <c r="F590" s="7" t="inlineStr"/>
      <c r="G590" s="8" t="inlineStr"/>
      <c r="H590" s="8" t="inlineStr"/>
      <c r="I590" s="9" t="n">
        <v>46656</v>
      </c>
      <c r="J590" s="10" t="n">
        <v>2458</v>
      </c>
      <c r="K590" s="10" t="n">
        <v>3298</v>
      </c>
      <c r="L590" s="7" t="n">
        <v>51827</v>
      </c>
      <c r="M590" s="8" t="n">
        <v>3607</v>
      </c>
      <c r="N590" s="8" t="n">
        <v>3189</v>
      </c>
      <c r="O590" s="9" t="n">
        <v>43320</v>
      </c>
      <c r="P590" s="10" t="n">
        <v>2715</v>
      </c>
      <c r="Q590" s="10" t="n">
        <v>1232</v>
      </c>
      <c r="R590" s="7" t="n">
        <v>40559</v>
      </c>
      <c r="S590" s="8" t="n">
        <v>477</v>
      </c>
      <c r="T590" s="8" t="n">
        <v>1589</v>
      </c>
      <c r="U590" s="9" t="n">
        <v>58589</v>
      </c>
      <c r="V590" s="10" t="n">
        <v>3196</v>
      </c>
      <c r="W590" s="10" t="n">
        <v>2635</v>
      </c>
      <c r="X590" s="7" t="n">
        <v>45256</v>
      </c>
      <c r="Y590" s="8" t="n">
        <v>4915</v>
      </c>
      <c r="Z590" s="8" t="n">
        <v>3145</v>
      </c>
      <c r="AA590" s="9" t="n">
        <v>49483</v>
      </c>
      <c r="AB590" s="10" t="n">
        <v>3715</v>
      </c>
      <c r="AC590" s="10" t="n">
        <v>3290</v>
      </c>
      <c r="AD590" s="7" t="n">
        <v>53734</v>
      </c>
      <c r="AE590" s="8" t="n">
        <v>86</v>
      </c>
      <c r="AF590" s="8" t="n">
        <v>229</v>
      </c>
      <c r="AG590" s="9" t="n">
        <v>55079</v>
      </c>
      <c r="AH590" s="10" t="n">
        <v>3294</v>
      </c>
      <c r="AI590" s="10" t="n">
        <v>2977</v>
      </c>
      <c r="AJ590" s="11" t="n">
        <v>54658</v>
      </c>
      <c r="AK590" s="12" t="n">
        <v>5086</v>
      </c>
      <c r="AL590" s="12" t="n">
        <v>4207</v>
      </c>
      <c r="AM590" s="13" t="n">
        <v>-0.8</v>
      </c>
      <c r="AN590" s="13" t="n">
        <v>20.8</v>
      </c>
      <c r="AO590" s="13" t="n">
        <v>54.4</v>
      </c>
      <c r="AP590" s="13" t="n">
        <v>3.5</v>
      </c>
    </row>
    <row r="591">
      <c r="A591" s="5" t="inlineStr">
        <is>
          <t>에너토크</t>
        </is>
      </c>
      <c r="B591" s="6" t="inlineStr">
        <is>
          <t>019990</t>
        </is>
      </c>
      <c r="C591" s="6" t="inlineStr">
        <is>
          <t>연결</t>
        </is>
      </c>
      <c r="D591" s="6" t="inlineStr">
        <is>
          <t>2026Q2</t>
        </is>
      </c>
      <c r="E591" s="6" t="inlineStr"/>
      <c r="F591" s="7" t="inlineStr"/>
      <c r="G591" s="8" t="inlineStr"/>
      <c r="H591" s="8" t="inlineStr"/>
      <c r="I591" s="9" t="n">
        <v>6228</v>
      </c>
      <c r="J591" s="10" t="n">
        <v>-67</v>
      </c>
      <c r="K591" s="10" t="n">
        <v>112</v>
      </c>
      <c r="L591" s="7" t="n">
        <v>5364</v>
      </c>
      <c r="M591" s="8" t="n">
        <v>-187</v>
      </c>
      <c r="N591" s="8" t="n">
        <v>-10</v>
      </c>
      <c r="O591" s="9" t="n">
        <v>5262</v>
      </c>
      <c r="P591" s="10" t="n">
        <v>-279</v>
      </c>
      <c r="Q591" s="10" t="n">
        <v>-373</v>
      </c>
      <c r="R591" s="7" t="n">
        <v>8307</v>
      </c>
      <c r="S591" s="8" t="n">
        <v>617</v>
      </c>
      <c r="T591" s="8" t="n">
        <v>754</v>
      </c>
      <c r="U591" s="9" t="n">
        <v>4138</v>
      </c>
      <c r="V591" s="10" t="n">
        <v>-106</v>
      </c>
      <c r="W591" s="10" t="n">
        <v>-123</v>
      </c>
      <c r="X591" s="7" t="n">
        <v>6329</v>
      </c>
      <c r="Y591" s="8" t="n">
        <v>-752</v>
      </c>
      <c r="Z591" s="8" t="n">
        <v>-701</v>
      </c>
      <c r="AA591" s="9" t="n">
        <v>4694</v>
      </c>
      <c r="AB591" s="10" t="n">
        <v>-1969</v>
      </c>
      <c r="AC591" s="10" t="n">
        <v>-1952</v>
      </c>
      <c r="AD591" s="7" t="n">
        <v>8371</v>
      </c>
      <c r="AE591" s="8" t="n">
        <v>-1278</v>
      </c>
      <c r="AF591" s="8" t="n">
        <v>-1356</v>
      </c>
      <c r="AG591" s="9" t="n">
        <v>5330</v>
      </c>
      <c r="AH591" s="10" t="n">
        <v>72</v>
      </c>
      <c r="AI591" s="10" t="n">
        <v>94</v>
      </c>
      <c r="AJ591" s="11" t="n">
        <v>7377</v>
      </c>
      <c r="AK591" s="12" t="n">
        <v>354</v>
      </c>
      <c r="AL591" s="12" t="n">
        <v>68</v>
      </c>
      <c r="AM591" s="13" t="n">
        <v>38.4</v>
      </c>
      <c r="AN591" s="13" t="n">
        <v>16.6</v>
      </c>
      <c r="AO591" s="13" t="n">
        <v>391.7</v>
      </c>
      <c r="AP591" s="13" t="n">
        <v>147.1</v>
      </c>
    </row>
    <row r="592">
      <c r="A592" s="5" t="inlineStr">
        <is>
          <t>한섬</t>
        </is>
      </c>
      <c r="B592" s="6" t="inlineStr">
        <is>
          <t>020000</t>
        </is>
      </c>
      <c r="C592" s="6" t="inlineStr">
        <is>
          <t>연결</t>
        </is>
      </c>
      <c r="D592" s="6" t="inlineStr">
        <is>
          <t>2026Q2</t>
        </is>
      </c>
      <c r="E592" s="6" t="inlineStr">
        <is>
          <t>2023Q4</t>
        </is>
      </c>
      <c r="F592" s="14" t="n">
        <v>453211</v>
      </c>
      <c r="G592" s="15" t="n">
        <v>31591</v>
      </c>
      <c r="H592" s="15" t="n">
        <v>22677</v>
      </c>
      <c r="I592" s="9" t="n">
        <v>393599</v>
      </c>
      <c r="J592" s="10" t="n">
        <v>32452</v>
      </c>
      <c r="K592" s="10" t="n">
        <v>23667</v>
      </c>
      <c r="L592" s="7" t="n">
        <v>341717</v>
      </c>
      <c r="M592" s="8" t="n">
        <v>4088</v>
      </c>
      <c r="N592" s="8" t="n">
        <v>1682</v>
      </c>
      <c r="O592" s="9" t="n">
        <v>314244</v>
      </c>
      <c r="P592" s="10" t="n">
        <v>6030</v>
      </c>
      <c r="Q592" s="10" t="n">
        <v>4954</v>
      </c>
      <c r="R592" s="7" t="n">
        <v>435704</v>
      </c>
      <c r="S592" s="8" t="n">
        <v>20902</v>
      </c>
      <c r="T592" s="8" t="n">
        <v>13012</v>
      </c>
      <c r="U592" s="9" t="n">
        <v>380324</v>
      </c>
      <c r="V592" s="10" t="n">
        <v>21781</v>
      </c>
      <c r="W592" s="10" t="n">
        <v>18355</v>
      </c>
      <c r="X592" s="7" t="n">
        <v>338095</v>
      </c>
      <c r="Y592" s="8" t="n">
        <v>737</v>
      </c>
      <c r="Z592" s="8" t="n">
        <v>2450</v>
      </c>
      <c r="AA592" s="9" t="n">
        <v>309626</v>
      </c>
      <c r="AB592" s="10" t="n">
        <v>2475</v>
      </c>
      <c r="AC592" s="10" t="n">
        <v>1825</v>
      </c>
      <c r="AD592" s="7" t="n">
        <v>463719</v>
      </c>
      <c r="AE592" s="8" t="n">
        <v>27186</v>
      </c>
      <c r="AF592" s="8" t="n">
        <v>23615</v>
      </c>
      <c r="AG592" s="9" t="n">
        <v>410366</v>
      </c>
      <c r="AH592" s="10" t="n">
        <v>36528</v>
      </c>
      <c r="AI592" s="10" t="n">
        <v>27343</v>
      </c>
      <c r="AJ592" s="11" t="n">
        <v>363203</v>
      </c>
      <c r="AK592" s="12" t="n">
        <v>4606</v>
      </c>
      <c r="AL592" s="12" t="n">
        <v>3301</v>
      </c>
      <c r="AM592" s="13" t="n">
        <v>-11.5</v>
      </c>
      <c r="AN592" s="13" t="n">
        <v>7.4</v>
      </c>
      <c r="AO592" s="13" t="n">
        <v>-87.40000000000001</v>
      </c>
      <c r="AP592" s="13" t="n">
        <v>525</v>
      </c>
    </row>
    <row r="593">
      <c r="A593" s="5" t="inlineStr">
        <is>
          <t>키다리스튜디오</t>
        </is>
      </c>
      <c r="B593" s="6" t="inlineStr">
        <is>
          <t>020120</t>
        </is>
      </c>
      <c r="C593" s="6" t="inlineStr">
        <is>
          <t>연결</t>
        </is>
      </c>
      <c r="D593" s="6" t="inlineStr">
        <is>
          <t>2026Q2</t>
        </is>
      </c>
      <c r="E593" s="6" t="inlineStr">
        <is>
          <t>2023Q4</t>
        </is>
      </c>
      <c r="F593" s="14" t="n">
        <v>46031</v>
      </c>
      <c r="G593" s="15" t="n">
        <v>227</v>
      </c>
      <c r="H593" s="15" t="n">
        <v>-29734</v>
      </c>
      <c r="I593" s="9" t="n">
        <v>49364</v>
      </c>
      <c r="J593" s="10" t="n">
        <v>510</v>
      </c>
      <c r="K593" s="10" t="n">
        <v>-709</v>
      </c>
      <c r="L593" s="7" t="n">
        <v>49773</v>
      </c>
      <c r="M593" s="8" t="n">
        <v>733</v>
      </c>
      <c r="N593" s="8" t="n">
        <v>-1278</v>
      </c>
      <c r="O593" s="9" t="n">
        <v>50267</v>
      </c>
      <c r="P593" s="10" t="n">
        <v>540</v>
      </c>
      <c r="Q593" s="10" t="n">
        <v>-64</v>
      </c>
      <c r="R593" s="7" t="n">
        <v>55809</v>
      </c>
      <c r="S593" s="8" t="n">
        <v>406</v>
      </c>
      <c r="T593" s="8" t="n">
        <v>-5168</v>
      </c>
      <c r="U593" s="9" t="n">
        <v>48245</v>
      </c>
      <c r="V593" s="10" t="n">
        <v>510</v>
      </c>
      <c r="W593" s="10" t="n">
        <v>2043</v>
      </c>
      <c r="X593" s="7" t="n">
        <v>51767</v>
      </c>
      <c r="Y593" s="8" t="n">
        <v>1881</v>
      </c>
      <c r="Z593" s="8" t="n">
        <v>523</v>
      </c>
      <c r="AA593" s="9" t="n">
        <v>52751</v>
      </c>
      <c r="AB593" s="10" t="n">
        <v>3560</v>
      </c>
      <c r="AC593" s="10" t="n">
        <v>3141</v>
      </c>
      <c r="AD593" s="7" t="n">
        <v>64712</v>
      </c>
      <c r="AE593" s="8" t="n">
        <v>6432</v>
      </c>
      <c r="AF593" s="8" t="n">
        <v>815</v>
      </c>
      <c r="AG593" s="9" t="n">
        <v>58345</v>
      </c>
      <c r="AH593" s="10" t="n">
        <v>3442</v>
      </c>
      <c r="AI593" s="10" t="n">
        <v>6349</v>
      </c>
      <c r="AJ593" s="11" t="n">
        <v>64427</v>
      </c>
      <c r="AK593" s="12" t="n">
        <v>5516</v>
      </c>
      <c r="AL593" s="12" t="n">
        <v>2025</v>
      </c>
      <c r="AM593" s="13" t="n">
        <v>10.4</v>
      </c>
      <c r="AN593" s="13" t="n">
        <v>24.5</v>
      </c>
      <c r="AO593" s="13" t="n">
        <v>60.3</v>
      </c>
      <c r="AP593" s="13" t="n">
        <v>193.2</v>
      </c>
    </row>
    <row r="594">
      <c r="A594" s="5" t="inlineStr">
        <is>
          <t>롯데에너지머티리얼즈</t>
        </is>
      </c>
      <c r="B594" s="6" t="inlineStr">
        <is>
          <t>020150</t>
        </is>
      </c>
      <c r="C594" s="6" t="inlineStr">
        <is>
          <t>연결</t>
        </is>
      </c>
      <c r="D594" s="6" t="inlineStr">
        <is>
          <t>2026Q2</t>
        </is>
      </c>
      <c r="E594" s="6" t="inlineStr">
        <is>
          <t>2023Q4</t>
        </is>
      </c>
      <c r="F594" s="14" t="n">
        <v>229500</v>
      </c>
      <c r="G594" s="15" t="n">
        <v>1100</v>
      </c>
      <c r="H594" s="15" t="n">
        <v>-1600</v>
      </c>
      <c r="I594" s="9" t="n">
        <v>241708</v>
      </c>
      <c r="J594" s="10" t="n">
        <v>4326</v>
      </c>
      <c r="K594" s="10" t="n">
        <v>-553</v>
      </c>
      <c r="L594" s="7" t="n">
        <v>262701</v>
      </c>
      <c r="M594" s="8" t="n">
        <v>3032</v>
      </c>
      <c r="N594" s="8" t="n">
        <v>8033</v>
      </c>
      <c r="O594" s="9" t="n">
        <v>211448</v>
      </c>
      <c r="P594" s="10" t="n">
        <v>-31738</v>
      </c>
      <c r="Q594" s="10" t="n">
        <v>6543</v>
      </c>
      <c r="R594" s="7" t="n">
        <v>186395</v>
      </c>
      <c r="S594" s="8" t="n">
        <v>-40065</v>
      </c>
      <c r="T594" s="8" t="n">
        <v>14775</v>
      </c>
      <c r="U594" s="9" t="n">
        <v>157975</v>
      </c>
      <c r="V594" s="10" t="n">
        <v>-46022</v>
      </c>
      <c r="W594" s="10" t="n">
        <v>-54836</v>
      </c>
      <c r="X594" s="7" t="n">
        <v>204946</v>
      </c>
      <c r="Y594" s="8" t="n">
        <v>-31103</v>
      </c>
      <c r="Z594" s="8" t="n">
        <v>-51367</v>
      </c>
      <c r="AA594" s="9" t="n">
        <v>143706</v>
      </c>
      <c r="AB594" s="10" t="n">
        <v>-34283</v>
      </c>
      <c r="AC594" s="10" t="n">
        <v>-24526</v>
      </c>
      <c r="AD594" s="7" t="n">
        <v>170904</v>
      </c>
      <c r="AE594" s="8" t="n">
        <v>-33818</v>
      </c>
      <c r="AF594" s="8" t="n">
        <v>-36421</v>
      </c>
      <c r="AG594" s="9" t="n">
        <v>159849</v>
      </c>
      <c r="AH594" s="10" t="n">
        <v>-4980</v>
      </c>
      <c r="AI594" s="10" t="n">
        <v>3863</v>
      </c>
      <c r="AJ594" s="11" t="n">
        <v>194198</v>
      </c>
      <c r="AK594" s="12" t="n">
        <v>-16896</v>
      </c>
      <c r="AL594" s="12" t="n">
        <v>-18782</v>
      </c>
      <c r="AM594" s="13" t="n">
        <v>21.5</v>
      </c>
      <c r="AN594" s="13" t="n">
        <v>-5.2</v>
      </c>
      <c r="AO594" s="13" t="n">
        <v>-239.3</v>
      </c>
      <c r="AP594" s="13" t="n">
        <v>45.7</v>
      </c>
    </row>
    <row r="595">
      <c r="A595" s="5" t="inlineStr">
        <is>
          <t>대신정보통신</t>
        </is>
      </c>
      <c r="B595" s="6" t="inlineStr">
        <is>
          <t>020180</t>
        </is>
      </c>
      <c r="C595" s="6" t="inlineStr">
        <is>
          <t>별도</t>
        </is>
      </c>
      <c r="D595" s="6" t="inlineStr">
        <is>
          <t>2026Q1</t>
        </is>
      </c>
      <c r="E595" s="6" t="inlineStr"/>
      <c r="F595" s="7" t="inlineStr"/>
      <c r="G595" s="8" t="inlineStr"/>
      <c r="H595" s="8" t="inlineStr"/>
      <c r="I595" s="9" t="n">
        <v>26920</v>
      </c>
      <c r="J595" s="10" t="n">
        <v>-3165</v>
      </c>
      <c r="K595" s="10" t="n">
        <v>-2698</v>
      </c>
      <c r="L595" s="7" t="n">
        <v>29528</v>
      </c>
      <c r="M595" s="8" t="n">
        <v>-1990</v>
      </c>
      <c r="N595" s="8" t="n">
        <v>-1739</v>
      </c>
      <c r="O595" s="9" t="n">
        <v>107065</v>
      </c>
      <c r="P595" s="10" t="n">
        <v>14174</v>
      </c>
      <c r="Q595" s="10" t="n">
        <v>10818</v>
      </c>
      <c r="R595" s="7" t="n">
        <v>93278</v>
      </c>
      <c r="S595" s="8" t="n">
        <v>-179</v>
      </c>
      <c r="T595" s="8" t="n">
        <v>186</v>
      </c>
      <c r="U595" s="9" t="n">
        <v>38589</v>
      </c>
      <c r="V595" s="10" t="n">
        <v>-183</v>
      </c>
      <c r="W595" s="10" t="n">
        <v>-691</v>
      </c>
      <c r="X595" s="7" t="n">
        <v>48484</v>
      </c>
      <c r="Y595" s="8" t="n">
        <v>2189</v>
      </c>
      <c r="Z595" s="8" t="n">
        <v>1211</v>
      </c>
      <c r="AA595" s="9" t="n">
        <v>131976</v>
      </c>
      <c r="AB595" s="10" t="n">
        <v>16483</v>
      </c>
      <c r="AC595" s="10" t="n">
        <v>13931</v>
      </c>
      <c r="AD595" s="7" t="n">
        <v>-16188</v>
      </c>
      <c r="AE595" s="8" t="n">
        <v>-9390</v>
      </c>
      <c r="AF595" s="8" t="n">
        <v>-8712</v>
      </c>
      <c r="AG595" s="9" t="n">
        <v>42107</v>
      </c>
      <c r="AH595" s="10" t="n">
        <v>-828</v>
      </c>
      <c r="AI595" s="10" t="n">
        <v>-872</v>
      </c>
      <c r="AJ595" s="11" t="inlineStr"/>
      <c r="AK595" s="12" t="inlineStr"/>
      <c r="AL595" s="12" t="inlineStr"/>
      <c r="AM595" s="13" t="inlineStr"/>
      <c r="AN595" s="13" t="inlineStr"/>
      <c r="AO595" s="13" t="inlineStr"/>
      <c r="AP595" s="13" t="inlineStr"/>
    </row>
    <row r="596">
      <c r="A596" s="5" t="inlineStr">
        <is>
          <t>대동금속</t>
        </is>
      </c>
      <c r="B596" s="6" t="inlineStr">
        <is>
          <t>020400</t>
        </is>
      </c>
      <c r="C596" s="6" t="inlineStr">
        <is>
          <t>별도</t>
        </is>
      </c>
      <c r="D596" s="6" t="inlineStr">
        <is>
          <t>2026Q2</t>
        </is>
      </c>
      <c r="E596" s="6" t="inlineStr"/>
      <c r="F596" s="7" t="inlineStr"/>
      <c r="G596" s="8" t="inlineStr"/>
      <c r="H596" s="8" t="inlineStr"/>
      <c r="I596" s="9" t="n">
        <v>25807</v>
      </c>
      <c r="J596" s="10" t="n">
        <v>-1136</v>
      </c>
      <c r="K596" s="10" t="n">
        <v>-1116</v>
      </c>
      <c r="L596" s="7" t="n">
        <v>25597</v>
      </c>
      <c r="M596" s="8" t="n">
        <v>-1304</v>
      </c>
      <c r="N596" s="8" t="n">
        <v>-1708</v>
      </c>
      <c r="O596" s="9" t="n">
        <v>22466</v>
      </c>
      <c r="P596" s="10" t="n">
        <v>-3017</v>
      </c>
      <c r="Q596" s="10" t="n">
        <v>-3175</v>
      </c>
      <c r="R596" s="7" t="n">
        <v>25644</v>
      </c>
      <c r="S596" s="8" t="n">
        <v>-1046</v>
      </c>
      <c r="T596" s="8" t="n">
        <v>176</v>
      </c>
      <c r="U596" s="9" t="n">
        <v>24059</v>
      </c>
      <c r="V596" s="10" t="n">
        <v>-1064</v>
      </c>
      <c r="W596" s="10" t="n">
        <v>-1081</v>
      </c>
      <c r="X596" s="7" t="n">
        <v>29411</v>
      </c>
      <c r="Y596" s="8" t="n">
        <v>288</v>
      </c>
      <c r="Z596" s="8" t="n">
        <v>52</v>
      </c>
      <c r="AA596" s="9" t="n">
        <v>27540</v>
      </c>
      <c r="AB596" s="10" t="n">
        <v>-432</v>
      </c>
      <c r="AC596" s="10" t="n">
        <v>-496</v>
      </c>
      <c r="AD596" s="7" t="n">
        <v>20807</v>
      </c>
      <c r="AE596" s="8" t="n">
        <v>1308</v>
      </c>
      <c r="AF596" s="8" t="n">
        <v>135</v>
      </c>
      <c r="AG596" s="9" t="n">
        <v>23299</v>
      </c>
      <c r="AH596" s="10" t="n">
        <v>-723</v>
      </c>
      <c r="AI596" s="10" t="n">
        <v>-911</v>
      </c>
      <c r="AJ596" s="11" t="n">
        <v>27712</v>
      </c>
      <c r="AK596" s="12" t="n">
        <v>-1800</v>
      </c>
      <c r="AL596" s="12" t="n">
        <v>-1756</v>
      </c>
      <c r="AM596" s="13" t="n">
        <v>18.9</v>
      </c>
      <c r="AN596" s="13" t="n">
        <v>-5.8</v>
      </c>
      <c r="AO596" s="13" t="n">
        <v>-149</v>
      </c>
      <c r="AP596" s="13" t="n">
        <v>-725</v>
      </c>
    </row>
    <row r="597">
      <c r="A597" s="5" t="inlineStr">
        <is>
          <t>아시아나항공</t>
        </is>
      </c>
      <c r="B597" s="6" t="inlineStr">
        <is>
          <t>020560</t>
        </is>
      </c>
      <c r="C597" s="6" t="inlineStr">
        <is>
          <t>연결</t>
        </is>
      </c>
      <c r="D597" s="6" t="inlineStr">
        <is>
          <t>2026Q2</t>
        </is>
      </c>
      <c r="E597" s="6" t="inlineStr">
        <is>
          <t>2023Q4</t>
        </is>
      </c>
      <c r="F597" s="14" t="n">
        <v>1781711</v>
      </c>
      <c r="G597" s="15" t="n">
        <v>72530</v>
      </c>
      <c r="H597" s="15" t="n">
        <v>115233</v>
      </c>
      <c r="I597" s="9" t="n">
        <v>2008866</v>
      </c>
      <c r="J597" s="10" t="n">
        <v>62331</v>
      </c>
      <c r="K597" s="10" t="n">
        <v>-152858</v>
      </c>
      <c r="L597" s="7" t="n">
        <v>2015348</v>
      </c>
      <c r="M597" s="8" t="n">
        <v>18001</v>
      </c>
      <c r="N597" s="8" t="n">
        <v>-122104</v>
      </c>
      <c r="O597" s="9" t="n">
        <v>2177274</v>
      </c>
      <c r="P597" s="10" t="n">
        <v>176803</v>
      </c>
      <c r="Q597" s="10" t="n">
        <v>208893</v>
      </c>
      <c r="R597" s="7" t="n">
        <v>2117079</v>
      </c>
      <c r="S597" s="8" t="n">
        <v>18555</v>
      </c>
      <c r="T597" s="8" t="n">
        <v>-346947</v>
      </c>
      <c r="U597" s="9" t="n">
        <v>2074369</v>
      </c>
      <c r="V597" s="10" t="n">
        <v>55422</v>
      </c>
      <c r="W597" s="10" t="n">
        <v>144179</v>
      </c>
      <c r="X597" s="7" t="n">
        <v>1887049</v>
      </c>
      <c r="Y597" s="8" t="n">
        <v>-6938</v>
      </c>
      <c r="Z597" s="8" t="n">
        <v>179240</v>
      </c>
      <c r="AA597" s="9" t="n">
        <v>1681232</v>
      </c>
      <c r="AB597" s="10" t="n">
        <v>-197659</v>
      </c>
      <c r="AC597" s="10" t="n">
        <v>-336370</v>
      </c>
      <c r="AD597" s="7" t="n">
        <v>1624200</v>
      </c>
      <c r="AE597" s="8" t="n">
        <v>-196015</v>
      </c>
      <c r="AF597" s="8" t="n">
        <v>-279550</v>
      </c>
      <c r="AG597" s="9" t="n">
        <v>1680447</v>
      </c>
      <c r="AH597" s="10" t="n">
        <v>-52360</v>
      </c>
      <c r="AI597" s="10" t="n">
        <v>-251666</v>
      </c>
      <c r="AJ597" s="11" t="n">
        <v>1844112</v>
      </c>
      <c r="AK597" s="12" t="n">
        <v>-356276</v>
      </c>
      <c r="AL597" s="12" t="n">
        <v>-407180</v>
      </c>
      <c r="AM597" s="13" t="n">
        <v>9.699999999999999</v>
      </c>
      <c r="AN597" s="13" t="n">
        <v>-2.3</v>
      </c>
      <c r="AO597" s="13" t="n">
        <v>-580.4</v>
      </c>
      <c r="AP597" s="13" t="n">
        <v>-5035.1</v>
      </c>
    </row>
    <row r="598">
      <c r="A598" s="5" t="inlineStr">
        <is>
          <t>시공테크</t>
        </is>
      </c>
      <c r="B598" s="6" t="inlineStr">
        <is>
          <t>020710</t>
        </is>
      </c>
      <c r="C598" s="6" t="inlineStr">
        <is>
          <t>연결</t>
        </is>
      </c>
      <c r="D598" s="6" t="inlineStr">
        <is>
          <t>2026Q2</t>
        </is>
      </c>
      <c r="E598" s="6" t="inlineStr"/>
      <c r="F598" s="7" t="inlineStr"/>
      <c r="G598" s="8" t="inlineStr"/>
      <c r="H598" s="8" t="inlineStr"/>
      <c r="I598" s="9" t="n">
        <v>27230</v>
      </c>
      <c r="J598" s="10" t="n">
        <v>-1134</v>
      </c>
      <c r="K598" s="10" t="n">
        <v>-2516</v>
      </c>
      <c r="L598" s="7" t="n">
        <v>24289</v>
      </c>
      <c r="M598" s="8" t="n">
        <v>-2090</v>
      </c>
      <c r="N598" s="8" t="n">
        <v>2848</v>
      </c>
      <c r="O598" s="9" t="n">
        <v>29589</v>
      </c>
      <c r="P598" s="10" t="n">
        <v>2067</v>
      </c>
      <c r="Q598" s="10" t="n">
        <v>15387</v>
      </c>
      <c r="R598" s="7" t="n">
        <v>66038</v>
      </c>
      <c r="S598" s="8" t="n">
        <v>7588</v>
      </c>
      <c r="T598" s="8" t="n">
        <v>14754</v>
      </c>
      <c r="U598" s="9" t="n">
        <v>50462</v>
      </c>
      <c r="V598" s="10" t="n">
        <v>3339</v>
      </c>
      <c r="W598" s="10" t="n">
        <v>1772</v>
      </c>
      <c r="X598" s="7" t="n">
        <v>38074</v>
      </c>
      <c r="Y598" s="8" t="n">
        <v>3656</v>
      </c>
      <c r="Z598" s="8" t="n">
        <v>6365</v>
      </c>
      <c r="AA598" s="9" t="n">
        <v>38050</v>
      </c>
      <c r="AB598" s="10" t="n">
        <v>4182</v>
      </c>
      <c r="AC598" s="10" t="n">
        <v>2772</v>
      </c>
      <c r="AD598" s="7" t="n">
        <v>41808</v>
      </c>
      <c r="AE598" s="8" t="n">
        <v>3903</v>
      </c>
      <c r="AF598" s="8" t="n">
        <v>19587</v>
      </c>
      <c r="AG598" s="9" t="n">
        <v>24576</v>
      </c>
      <c r="AH598" s="10" t="n">
        <v>-2311</v>
      </c>
      <c r="AI598" s="10" t="n">
        <v>-2479</v>
      </c>
      <c r="AJ598" s="11" t="n">
        <v>23778</v>
      </c>
      <c r="AK598" s="12" t="n">
        <v>315</v>
      </c>
      <c r="AL598" s="12" t="n">
        <v>8804</v>
      </c>
      <c r="AM598" s="13" t="n">
        <v>-3.2</v>
      </c>
      <c r="AN598" s="13" t="n">
        <v>-37.5</v>
      </c>
      <c r="AO598" s="13" t="n">
        <v>113.6</v>
      </c>
      <c r="AP598" s="13" t="n">
        <v>-91.40000000000001</v>
      </c>
    </row>
    <row r="599">
      <c r="A599" s="5" t="inlineStr">
        <is>
          <t>일진디스플</t>
        </is>
      </c>
      <c r="B599" s="6" t="inlineStr">
        <is>
          <t>020760</t>
        </is>
      </c>
      <c r="C599" s="6" t="inlineStr">
        <is>
          <t>연결</t>
        </is>
      </c>
      <c r="D599" s="6" t="inlineStr">
        <is>
          <t>2026Q2</t>
        </is>
      </c>
      <c r="E599" s="6" t="inlineStr"/>
      <c r="F599" s="7" t="inlineStr"/>
      <c r="G599" s="8" t="inlineStr"/>
      <c r="H599" s="8" t="inlineStr"/>
      <c r="I599" s="9" t="n">
        <v>22950</v>
      </c>
      <c r="J599" s="10" t="n">
        <v>595</v>
      </c>
      <c r="K599" s="10" t="n">
        <v>5171</v>
      </c>
      <c r="L599" s="7" t="n">
        <v>25296</v>
      </c>
      <c r="M599" s="8" t="n">
        <v>724</v>
      </c>
      <c r="N599" s="8" t="n">
        <v>525</v>
      </c>
      <c r="O599" s="9" t="n">
        <v>20736</v>
      </c>
      <c r="P599" s="10" t="n">
        <v>51</v>
      </c>
      <c r="Q599" s="10" t="n">
        <v>-1146</v>
      </c>
      <c r="R599" s="7" t="n">
        <v>20175</v>
      </c>
      <c r="S599" s="8" t="n">
        <v>20</v>
      </c>
      <c r="T599" s="8" t="n">
        <v>1104</v>
      </c>
      <c r="U599" s="9" t="n">
        <v>21816</v>
      </c>
      <c r="V599" s="10" t="n">
        <v>-726</v>
      </c>
      <c r="W599" s="10" t="n">
        <v>-1274</v>
      </c>
      <c r="X599" s="7" t="n">
        <v>18440</v>
      </c>
      <c r="Y599" s="8" t="n">
        <v>-1065</v>
      </c>
      <c r="Z599" s="8" t="n">
        <v>-2932</v>
      </c>
      <c r="AA599" s="9" t="n">
        <v>13766</v>
      </c>
      <c r="AB599" s="10" t="n">
        <v>-2477</v>
      </c>
      <c r="AC599" s="10" t="n">
        <v>-2761</v>
      </c>
      <c r="AD599" s="7" t="n">
        <v>3825</v>
      </c>
      <c r="AE599" s="8" t="n">
        <v>-612</v>
      </c>
      <c r="AF599" s="8" t="n">
        <v>690</v>
      </c>
      <c r="AG599" s="9" t="n">
        <v>11789</v>
      </c>
      <c r="AH599" s="10" t="n">
        <v>-611</v>
      </c>
      <c r="AI599" s="10" t="n">
        <v>-580</v>
      </c>
      <c r="AJ599" s="11" t="n">
        <v>10680</v>
      </c>
      <c r="AK599" s="12" t="n">
        <v>-676</v>
      </c>
      <c r="AL599" s="12" t="n">
        <v>-771</v>
      </c>
      <c r="AM599" s="13" t="n">
        <v>-9.4</v>
      </c>
      <c r="AN599" s="13" t="n">
        <v>-42.1</v>
      </c>
      <c r="AO599" s="13" t="n">
        <v>-10.6</v>
      </c>
      <c r="AP599" s="13" t="n">
        <v>36.5</v>
      </c>
    </row>
    <row r="600">
      <c r="A600" s="5" t="inlineStr">
        <is>
          <t>대호특수강</t>
        </is>
      </c>
      <c r="B600" s="6" t="inlineStr">
        <is>
          <t>021040</t>
        </is>
      </c>
      <c r="C600" s="6" t="inlineStr">
        <is>
          <t>연결</t>
        </is>
      </c>
      <c r="D600" s="6" t="inlineStr">
        <is>
          <t>2026Q2</t>
        </is>
      </c>
      <c r="E600" s="6" t="inlineStr"/>
      <c r="F600" s="7" t="inlineStr"/>
      <c r="G600" s="8" t="inlineStr"/>
      <c r="H600" s="8" t="inlineStr"/>
      <c r="I600" s="9" t="n">
        <v>76821</v>
      </c>
      <c r="J600" s="10" t="n">
        <v>2199</v>
      </c>
      <c r="K600" s="10" t="n">
        <v>254</v>
      </c>
      <c r="L600" s="7" t="n">
        <v>81447</v>
      </c>
      <c r="M600" s="8" t="n">
        <v>1385</v>
      </c>
      <c r="N600" s="8" t="n">
        <v>-9</v>
      </c>
      <c r="O600" s="9" t="n">
        <v>72853</v>
      </c>
      <c r="P600" s="10" t="n">
        <v>-393</v>
      </c>
      <c r="Q600" s="10" t="n">
        <v>-2759</v>
      </c>
      <c r="R600" s="7" t="n">
        <v>65270</v>
      </c>
      <c r="S600" s="8" t="n">
        <v>-523</v>
      </c>
      <c r="T600" s="8" t="n">
        <v>-10470</v>
      </c>
      <c r="U600" s="9" t="n">
        <v>68335</v>
      </c>
      <c r="V600" s="10" t="n">
        <v>635</v>
      </c>
      <c r="W600" s="10" t="n">
        <v>-635</v>
      </c>
      <c r="X600" s="7" t="n">
        <v>72473</v>
      </c>
      <c r="Y600" s="8" t="n">
        <v>1601</v>
      </c>
      <c r="Z600" s="8" t="n">
        <v>537</v>
      </c>
      <c r="AA600" s="9" t="n">
        <v>69705</v>
      </c>
      <c r="AB600" s="10" t="n">
        <v>286</v>
      </c>
      <c r="AC600" s="10" t="n">
        <v>-416</v>
      </c>
      <c r="AD600" s="7" t="n">
        <v>66912</v>
      </c>
      <c r="AE600" s="8" t="n">
        <v>-151</v>
      </c>
      <c r="AF600" s="8" t="n">
        <v>-1332</v>
      </c>
      <c r="AG600" s="9" t="n">
        <v>66741</v>
      </c>
      <c r="AH600" s="10" t="n">
        <v>-18</v>
      </c>
      <c r="AI600" s="10" t="n">
        <v>-645</v>
      </c>
      <c r="AJ600" s="11" t="n">
        <v>72424</v>
      </c>
      <c r="AK600" s="12" t="n">
        <v>1412</v>
      </c>
      <c r="AL600" s="12" t="n">
        <v>-976</v>
      </c>
      <c r="AM600" s="13" t="n">
        <v>8.5</v>
      </c>
      <c r="AN600" s="13" t="n">
        <v>-0.1</v>
      </c>
      <c r="AO600" s="13" t="n">
        <v>7944.4</v>
      </c>
      <c r="AP600" s="13" t="n">
        <v>-11.8</v>
      </c>
    </row>
    <row r="601">
      <c r="A601" s="5" t="inlineStr">
        <is>
          <t>서원</t>
        </is>
      </c>
      <c r="B601" s="6" t="inlineStr">
        <is>
          <t>021050</t>
        </is>
      </c>
      <c r="C601" s="6" t="inlineStr">
        <is>
          <t>연결</t>
        </is>
      </c>
      <c r="D601" s="6" t="inlineStr">
        <is>
          <t>2026Q2</t>
        </is>
      </c>
      <c r="E601" s="6" t="inlineStr"/>
      <c r="F601" s="7" t="inlineStr"/>
      <c r="G601" s="8" t="inlineStr"/>
      <c r="H601" s="8" t="inlineStr"/>
      <c r="I601" s="9" t="n">
        <v>59581</v>
      </c>
      <c r="J601" s="10" t="n">
        <v>386</v>
      </c>
      <c r="K601" s="10" t="n">
        <v>28281</v>
      </c>
      <c r="L601" s="7" t="n">
        <v>420118</v>
      </c>
      <c r="M601" s="8" t="n">
        <v>10515</v>
      </c>
      <c r="N601" s="8" t="n">
        <v>-5139</v>
      </c>
      <c r="O601" s="9" t="n">
        <v>371377</v>
      </c>
      <c r="P601" s="10" t="n">
        <v>-5384</v>
      </c>
      <c r="Q601" s="10" t="n">
        <v>-2420</v>
      </c>
      <c r="R601" s="7" t="n">
        <v>378451</v>
      </c>
      <c r="S601" s="8" t="n">
        <v>22131</v>
      </c>
      <c r="T601" s="8" t="n">
        <v>19725</v>
      </c>
      <c r="U601" s="9" t="n">
        <v>439768</v>
      </c>
      <c r="V601" s="10" t="n">
        <v>15166</v>
      </c>
      <c r="W601" s="10" t="n">
        <v>3544</v>
      </c>
      <c r="X601" s="7" t="n">
        <v>393218</v>
      </c>
      <c r="Y601" s="8" t="n">
        <v>-695</v>
      </c>
      <c r="Z601" s="8" t="n">
        <v>-2679</v>
      </c>
      <c r="AA601" s="9" t="n">
        <v>415111</v>
      </c>
      <c r="AB601" s="10" t="n">
        <v>7869</v>
      </c>
      <c r="AC601" s="10" t="n">
        <v>-3351</v>
      </c>
      <c r="AD601" s="7" t="n">
        <v>465514</v>
      </c>
      <c r="AE601" s="8" t="n">
        <v>30983</v>
      </c>
      <c r="AF601" s="8" t="n">
        <v>2452</v>
      </c>
      <c r="AG601" s="9" t="n">
        <v>502950</v>
      </c>
      <c r="AH601" s="10" t="n">
        <v>27385</v>
      </c>
      <c r="AI601" s="10" t="n">
        <v>16468</v>
      </c>
      <c r="AJ601" s="11" t="n">
        <v>586858</v>
      </c>
      <c r="AK601" s="12" t="n">
        <v>27617</v>
      </c>
      <c r="AL601" s="12" t="n">
        <v>10007</v>
      </c>
      <c r="AM601" s="13" t="n">
        <v>16.7</v>
      </c>
      <c r="AN601" s="13" t="n">
        <v>49.2</v>
      </c>
      <c r="AO601" s="13" t="n">
        <v>0.8</v>
      </c>
      <c r="AP601" s="13" t="n">
        <v>4073.7</v>
      </c>
    </row>
    <row r="602">
      <c r="A602" s="5" t="inlineStr">
        <is>
          <t>에이티넘인베스트</t>
        </is>
      </c>
      <c r="B602" s="6" t="inlineStr">
        <is>
          <t>021080</t>
        </is>
      </c>
      <c r="C602" s="6" t="inlineStr">
        <is>
          <t>별도</t>
        </is>
      </c>
      <c r="D602" s="6" t="inlineStr">
        <is>
          <t>2026Q2</t>
        </is>
      </c>
      <c r="E602" s="6" t="inlineStr"/>
      <c r="F602" s="7" t="inlineStr"/>
      <c r="G602" s="8" t="inlineStr"/>
      <c r="H602" s="8" t="inlineStr"/>
      <c r="I602" s="9" t="n">
        <v>7195</v>
      </c>
      <c r="J602" s="10" t="n">
        <v>3395</v>
      </c>
      <c r="K602" s="10" t="n">
        <v>2483</v>
      </c>
      <c r="L602" s="7" t="n">
        <v>9304</v>
      </c>
      <c r="M602" s="8" t="n">
        <v>3366</v>
      </c>
      <c r="N602" s="8" t="n">
        <v>3121</v>
      </c>
      <c r="O602" s="9" t="n">
        <v>9024</v>
      </c>
      <c r="P602" s="10" t="n">
        <v>2826</v>
      </c>
      <c r="Q602" s="10" t="n">
        <v>2158</v>
      </c>
      <c r="R602" s="7" t="n">
        <v>26202</v>
      </c>
      <c r="S602" s="8" t="n">
        <v>3917</v>
      </c>
      <c r="T602" s="8" t="n">
        <v>3082</v>
      </c>
      <c r="U602" s="9" t="n">
        <v>6727</v>
      </c>
      <c r="V602" s="10" t="n">
        <v>2160</v>
      </c>
      <c r="W602" s="10" t="n">
        <v>1617</v>
      </c>
      <c r="X602" s="7" t="n">
        <v>23781</v>
      </c>
      <c r="Y602" s="8" t="n">
        <v>11070</v>
      </c>
      <c r="Z602" s="8" t="n">
        <v>8945</v>
      </c>
      <c r="AA602" s="9" t="n">
        <v>24183</v>
      </c>
      <c r="AB602" s="10" t="n">
        <v>18178</v>
      </c>
      <c r="AC602" s="10" t="n">
        <v>14729</v>
      </c>
      <c r="AD602" s="7" t="n">
        <v>15871</v>
      </c>
      <c r="AE602" s="8" t="n">
        <v>570</v>
      </c>
      <c r="AF602" s="8" t="n">
        <v>-196</v>
      </c>
      <c r="AG602" s="9" t="n">
        <v>8444</v>
      </c>
      <c r="AH602" s="10" t="n">
        <v>4343</v>
      </c>
      <c r="AI602" s="10" t="n">
        <v>3348</v>
      </c>
      <c r="AJ602" s="11" t="n">
        <v>2218</v>
      </c>
      <c r="AK602" s="12" t="n">
        <v>-5074</v>
      </c>
      <c r="AL602" s="12" t="n">
        <v>-3416</v>
      </c>
      <c r="AM602" s="13" t="n">
        <v>-73.7</v>
      </c>
      <c r="AN602" s="13" t="n">
        <v>-90.7</v>
      </c>
      <c r="AO602" s="13" t="n">
        <v>-216.8</v>
      </c>
      <c r="AP602" s="13" t="n">
        <v>-145.8</v>
      </c>
    </row>
    <row r="603">
      <c r="A603" s="5" t="inlineStr">
        <is>
          <t>코웨이</t>
        </is>
      </c>
      <c r="B603" s="6" t="inlineStr">
        <is>
          <t>021240</t>
        </is>
      </c>
      <c r="C603" s="6" t="inlineStr">
        <is>
          <t>연결</t>
        </is>
      </c>
      <c r="D603" s="6" t="inlineStr">
        <is>
          <t>2026Q2</t>
        </is>
      </c>
      <c r="E603" s="6" t="inlineStr">
        <is>
          <t>2023Q4</t>
        </is>
      </c>
      <c r="F603" s="14" t="n">
        <v>1004383</v>
      </c>
      <c r="G603" s="15" t="n">
        <v>166179</v>
      </c>
      <c r="H603" s="15" t="n">
        <v>101674</v>
      </c>
      <c r="I603" s="9" t="n">
        <v>1001835</v>
      </c>
      <c r="J603" s="10" t="n">
        <v>193745</v>
      </c>
      <c r="K603" s="10" t="n">
        <v>127653</v>
      </c>
      <c r="L603" s="7" t="n">
        <v>1082259</v>
      </c>
      <c r="M603" s="8" t="n">
        <v>211195</v>
      </c>
      <c r="N603" s="8" t="n">
        <v>154184</v>
      </c>
      <c r="O603" s="9" t="n">
        <v>1100336</v>
      </c>
      <c r="P603" s="10" t="n">
        <v>207051</v>
      </c>
      <c r="Q603" s="10" t="n">
        <v>179481</v>
      </c>
      <c r="R603" s="7" t="n">
        <v>1125712</v>
      </c>
      <c r="S603" s="8" t="n">
        <v>183383</v>
      </c>
      <c r="T603" s="8" t="n">
        <v>104134</v>
      </c>
      <c r="U603" s="9" t="n">
        <v>1174919</v>
      </c>
      <c r="V603" s="10" t="n">
        <v>211245</v>
      </c>
      <c r="W603" s="10" t="n">
        <v>138830</v>
      </c>
      <c r="X603" s="7" t="n">
        <v>1258875</v>
      </c>
      <c r="Y603" s="8" t="n">
        <v>242721</v>
      </c>
      <c r="Z603" s="8" t="n">
        <v>155507</v>
      </c>
      <c r="AA603" s="9" t="n">
        <v>1254401</v>
      </c>
      <c r="AB603" s="10" t="n">
        <v>243057</v>
      </c>
      <c r="AC603" s="10" t="n">
        <v>175961</v>
      </c>
      <c r="AD603" s="7" t="n">
        <v>1275371</v>
      </c>
      <c r="AE603" s="8" t="n">
        <v>181629</v>
      </c>
      <c r="AF603" s="8" t="n">
        <v>147212</v>
      </c>
      <c r="AG603" s="9" t="n">
        <v>1329735</v>
      </c>
      <c r="AH603" s="10" t="n">
        <v>250935</v>
      </c>
      <c r="AI603" s="10" t="n">
        <v>182015</v>
      </c>
      <c r="AJ603" s="11" t="n">
        <v>1442207</v>
      </c>
      <c r="AK603" s="12" t="n">
        <v>253206</v>
      </c>
      <c r="AL603" s="12" t="n">
        <v>178271</v>
      </c>
      <c r="AM603" s="13" t="n">
        <v>8.5</v>
      </c>
      <c r="AN603" s="13" t="n">
        <v>14.6</v>
      </c>
      <c r="AO603" s="13" t="n">
        <v>0.9</v>
      </c>
      <c r="AP603" s="13" t="n">
        <v>4.3</v>
      </c>
    </row>
    <row r="604">
      <c r="A604" s="5" t="inlineStr">
        <is>
          <t>KCC건설</t>
        </is>
      </c>
      <c r="B604" s="6" t="inlineStr">
        <is>
          <t>021320</t>
        </is>
      </c>
      <c r="C604" s="6" t="inlineStr">
        <is>
          <t>별도</t>
        </is>
      </c>
      <c r="D604" s="6" t="inlineStr">
        <is>
          <t>2026Q2</t>
        </is>
      </c>
      <c r="E604" s="6" t="inlineStr"/>
      <c r="F604" s="7" t="inlineStr"/>
      <c r="G604" s="8" t="inlineStr"/>
      <c r="H604" s="8" t="inlineStr"/>
      <c r="I604" s="9" t="n">
        <v>434461</v>
      </c>
      <c r="J604" s="10" t="n">
        <v>17543</v>
      </c>
      <c r="K604" s="10" t="n">
        <v>1027</v>
      </c>
      <c r="L604" s="7" t="n">
        <v>447990</v>
      </c>
      <c r="M604" s="8" t="n">
        <v>3024</v>
      </c>
      <c r="N604" s="8" t="n">
        <v>1111</v>
      </c>
      <c r="O604" s="9" t="n">
        <v>399769</v>
      </c>
      <c r="P604" s="10" t="n">
        <v>26018</v>
      </c>
      <c r="Q604" s="10" t="n">
        <v>11940</v>
      </c>
      <c r="R604" s="7" t="n">
        <v>544820</v>
      </c>
      <c r="S604" s="8" t="n">
        <v>18012</v>
      </c>
      <c r="T604" s="8" t="n">
        <v>1883</v>
      </c>
      <c r="U604" s="9" t="n">
        <v>449516</v>
      </c>
      <c r="V604" s="10" t="n">
        <v>28887</v>
      </c>
      <c r="W604" s="10" t="n">
        <v>13575</v>
      </c>
      <c r="X604" s="7" t="n">
        <v>487165</v>
      </c>
      <c r="Y604" s="8" t="n">
        <v>17144</v>
      </c>
      <c r="Z604" s="8" t="n">
        <v>9291</v>
      </c>
      <c r="AA604" s="9" t="n">
        <v>449994</v>
      </c>
      <c r="AB604" s="10" t="n">
        <v>30706</v>
      </c>
      <c r="AC604" s="10" t="n">
        <v>14616</v>
      </c>
      <c r="AD604" s="7" t="n">
        <v>446728</v>
      </c>
      <c r="AE604" s="8" t="n">
        <v>11600</v>
      </c>
      <c r="AF604" s="8" t="n">
        <v>7917</v>
      </c>
      <c r="AG604" s="9" t="n">
        <v>355937</v>
      </c>
      <c r="AH604" s="10" t="n">
        <v>20433</v>
      </c>
      <c r="AI604" s="10" t="n">
        <v>15726</v>
      </c>
      <c r="AJ604" s="11" t="n">
        <v>379869</v>
      </c>
      <c r="AK604" s="12" t="n">
        <v>16294</v>
      </c>
      <c r="AL604" s="12" t="n">
        <v>8950</v>
      </c>
      <c r="AM604" s="13" t="n">
        <v>6.7</v>
      </c>
      <c r="AN604" s="13" t="n">
        <v>-22</v>
      </c>
      <c r="AO604" s="13" t="n">
        <v>-20.3</v>
      </c>
      <c r="AP604" s="13" t="n">
        <v>-5</v>
      </c>
    </row>
    <row r="605">
      <c r="A605" s="5" t="inlineStr">
        <is>
          <t>한국큐빅</t>
        </is>
      </c>
      <c r="B605" s="6" t="inlineStr">
        <is>
          <t>021650</t>
        </is>
      </c>
      <c r="C605" s="6" t="inlineStr">
        <is>
          <t>연결</t>
        </is>
      </c>
      <c r="D605" s="6" t="inlineStr">
        <is>
          <t>2026Q2</t>
        </is>
      </c>
      <c r="E605" s="6" t="inlineStr"/>
      <c r="F605" s="7" t="inlineStr"/>
      <c r="G605" s="8" t="inlineStr"/>
      <c r="H605" s="8" t="inlineStr"/>
      <c r="I605" s="9" t="n">
        <v>59833</v>
      </c>
      <c r="J605" s="10" t="n">
        <v>2863</v>
      </c>
      <c r="K605" s="10" t="n">
        <v>2289</v>
      </c>
      <c r="L605" s="7" t="n">
        <v>67304</v>
      </c>
      <c r="M605" s="8" t="n">
        <v>4173</v>
      </c>
      <c r="N605" s="8" t="n">
        <v>3343</v>
      </c>
      <c r="O605" s="9" t="n">
        <v>59079</v>
      </c>
      <c r="P605" s="10" t="n">
        <v>2182</v>
      </c>
      <c r="Q605" s="10" t="n">
        <v>907</v>
      </c>
      <c r="R605" s="7" t="n">
        <v>65932</v>
      </c>
      <c r="S605" s="8" t="n">
        <v>2217</v>
      </c>
      <c r="T605" s="8" t="n">
        <v>3162</v>
      </c>
      <c r="U605" s="9" t="n">
        <v>60058</v>
      </c>
      <c r="V605" s="10" t="n">
        <v>3073</v>
      </c>
      <c r="W605" s="10" t="n">
        <v>2440</v>
      </c>
      <c r="X605" s="7" t="n">
        <v>61954</v>
      </c>
      <c r="Y605" s="8" t="n">
        <v>3564</v>
      </c>
      <c r="Z605" s="8" t="n">
        <v>1073</v>
      </c>
      <c r="AA605" s="9" t="n">
        <v>56947</v>
      </c>
      <c r="AB605" s="10" t="n">
        <v>2015</v>
      </c>
      <c r="AC605" s="10" t="n">
        <v>1897</v>
      </c>
      <c r="AD605" s="7" t="n">
        <v>48267</v>
      </c>
      <c r="AE605" s="8" t="n">
        <v>-719</v>
      </c>
      <c r="AF605" s="8" t="n">
        <v>-792</v>
      </c>
      <c r="AG605" s="9" t="n">
        <v>54088</v>
      </c>
      <c r="AH605" s="10" t="n">
        <v>1717</v>
      </c>
      <c r="AI605" s="10" t="n">
        <v>2031</v>
      </c>
      <c r="AJ605" s="11" t="n">
        <v>54089</v>
      </c>
      <c r="AK605" s="12" t="n">
        <v>993</v>
      </c>
      <c r="AL605" s="12" t="n">
        <v>772</v>
      </c>
      <c r="AM605" s="13" t="n">
        <v>0</v>
      </c>
      <c r="AN605" s="13" t="n">
        <v>-12.7</v>
      </c>
      <c r="AO605" s="13" t="n">
        <v>-42.2</v>
      </c>
      <c r="AP605" s="13" t="n">
        <v>-72.09999999999999</v>
      </c>
    </row>
    <row r="606">
      <c r="A606" s="5" t="inlineStr">
        <is>
          <t>세원정공</t>
        </is>
      </c>
      <c r="B606" s="6" t="inlineStr">
        <is>
          <t>021820</t>
        </is>
      </c>
      <c r="C606" s="6" t="inlineStr">
        <is>
          <t>연결</t>
        </is>
      </c>
      <c r="D606" s="6" t="inlineStr">
        <is>
          <t>2025Q4</t>
        </is>
      </c>
      <c r="E606" s="6" t="inlineStr"/>
      <c r="F606" s="7" t="inlineStr"/>
      <c r="G606" s="8" t="inlineStr"/>
      <c r="H606" s="8" t="inlineStr"/>
      <c r="I606" s="9" t="n">
        <v>34235</v>
      </c>
      <c r="J606" s="10" t="n">
        <v>3642</v>
      </c>
      <c r="K606" s="10" t="n">
        <v>10746</v>
      </c>
      <c r="L606" s="7" t="n">
        <v>35416</v>
      </c>
      <c r="M606" s="8" t="n">
        <v>5038</v>
      </c>
      <c r="N606" s="8" t="n">
        <v>18666</v>
      </c>
      <c r="O606" s="9" t="n">
        <v>39679</v>
      </c>
      <c r="P606" s="10" t="n">
        <v>4746</v>
      </c>
      <c r="Q606" s="10" t="n">
        <v>15243</v>
      </c>
      <c r="R606" s="7" t="n">
        <v>53203</v>
      </c>
      <c r="S606" s="8" t="n">
        <v>5782</v>
      </c>
      <c r="T606" s="8" t="n">
        <v>10352</v>
      </c>
      <c r="U606" s="9" t="n">
        <v>39162</v>
      </c>
      <c r="V606" s="10" t="n">
        <v>7876</v>
      </c>
      <c r="W606" s="10" t="n">
        <v>13910</v>
      </c>
      <c r="X606" s="7" t="n">
        <v>41967</v>
      </c>
      <c r="Y606" s="8" t="n">
        <v>5123</v>
      </c>
      <c r="Z606" s="8" t="n">
        <v>14017</v>
      </c>
      <c r="AA606" s="9" t="n">
        <v>49078</v>
      </c>
      <c r="AB606" s="10" t="n">
        <v>209</v>
      </c>
      <c r="AC606" s="10" t="n">
        <v>3259</v>
      </c>
      <c r="AD606" s="7" t="n">
        <v>49147</v>
      </c>
      <c r="AE606" s="8" t="n">
        <v>3820</v>
      </c>
      <c r="AF606" s="8" t="n">
        <v>17568</v>
      </c>
      <c r="AG606" s="9" t="inlineStr"/>
      <c r="AH606" s="10" t="inlineStr"/>
      <c r="AI606" s="10" t="inlineStr"/>
      <c r="AJ606" s="11" t="inlineStr"/>
      <c r="AK606" s="12" t="inlineStr"/>
      <c r="AL606" s="12" t="inlineStr"/>
      <c r="AM606" s="13" t="inlineStr"/>
      <c r="AN606" s="13" t="inlineStr"/>
      <c r="AO606" s="13" t="inlineStr"/>
      <c r="AP606" s="13" t="inlineStr"/>
    </row>
    <row r="607">
      <c r="A607" s="5" t="inlineStr">
        <is>
          <t>메이슨캐피탈</t>
        </is>
      </c>
      <c r="B607" s="6" t="inlineStr">
        <is>
          <t>021880</t>
        </is>
      </c>
      <c r="C607" s="6" t="inlineStr">
        <is>
          <t>연결</t>
        </is>
      </c>
      <c r="D607" s="6" t="inlineStr">
        <is>
          <t>2026Q1</t>
        </is>
      </c>
      <c r="E607" s="6" t="inlineStr"/>
      <c r="F607" s="7" t="inlineStr"/>
      <c r="G607" s="8" t="inlineStr"/>
      <c r="H607" s="8" t="inlineStr"/>
      <c r="I607" s="9" t="n">
        <v>5589</v>
      </c>
      <c r="J607" s="10" t="n">
        <v>-10768</v>
      </c>
      <c r="K607" s="10" t="n">
        <v>-11127</v>
      </c>
      <c r="L607" s="7" t="n">
        <v>6002</v>
      </c>
      <c r="M607" s="8" t="n">
        <v>-256</v>
      </c>
      <c r="N607" s="8" t="n">
        <v>-278</v>
      </c>
      <c r="O607" s="9" t="n">
        <v>4966</v>
      </c>
      <c r="P607" s="10" t="n">
        <v>-1333</v>
      </c>
      <c r="Q607" s="10" t="n">
        <v>-1667</v>
      </c>
      <c r="R607" s="7" t="n">
        <v>-7135</v>
      </c>
      <c r="S607" s="8" t="n">
        <v>17003</v>
      </c>
      <c r="T607" s="8" t="n">
        <v>17830</v>
      </c>
      <c r="U607" s="9" t="n">
        <v>5180</v>
      </c>
      <c r="V607" s="10" t="n">
        <v>-543</v>
      </c>
      <c r="W607" s="10" t="n">
        <v>-558</v>
      </c>
      <c r="X607" s="7" t="n">
        <v>4607</v>
      </c>
      <c r="Y607" s="8" t="n">
        <v>-488</v>
      </c>
      <c r="Z607" s="8" t="n">
        <v>-332</v>
      </c>
      <c r="AA607" s="9" t="n">
        <v>5634</v>
      </c>
      <c r="AB607" s="10" t="n">
        <v>159</v>
      </c>
      <c r="AC607" s="10" t="n">
        <v>-2002</v>
      </c>
      <c r="AD607" s="7" t="n">
        <v>9670</v>
      </c>
      <c r="AE607" s="8" t="n">
        <v>-9226</v>
      </c>
      <c r="AF607" s="8" t="n">
        <v>-7654</v>
      </c>
      <c r="AG607" s="9" t="n">
        <v>6515</v>
      </c>
      <c r="AH607" s="10" t="n">
        <v>1810</v>
      </c>
      <c r="AI607" s="10" t="n">
        <v>1844</v>
      </c>
      <c r="AJ607" s="11" t="inlineStr"/>
      <c r="AK607" s="12" t="inlineStr"/>
      <c r="AL607" s="12" t="inlineStr"/>
      <c r="AM607" s="13" t="inlineStr"/>
      <c r="AN607" s="13" t="inlineStr"/>
      <c r="AO607" s="13" t="inlineStr"/>
      <c r="AP607" s="13" t="inlineStr"/>
    </row>
    <row r="608">
      <c r="A608" s="5" t="inlineStr">
        <is>
          <t>포스코DX</t>
        </is>
      </c>
      <c r="B608" s="6" t="inlineStr">
        <is>
          <t>022100</t>
        </is>
      </c>
      <c r="C608" s="6" t="inlineStr">
        <is>
          <t>연결</t>
        </is>
      </c>
      <c r="D608" s="6" t="inlineStr">
        <is>
          <t>2026Q2</t>
        </is>
      </c>
      <c r="E608" s="6" t="inlineStr">
        <is>
          <t>2023Q4</t>
        </is>
      </c>
      <c r="F608" s="14" t="n">
        <v>355669</v>
      </c>
      <c r="G608" s="15" t="n">
        <v>14128</v>
      </c>
      <c r="H608" s="15" t="n">
        <v>11867</v>
      </c>
      <c r="I608" s="9" t="n">
        <v>440117</v>
      </c>
      <c r="J608" s="10" t="n">
        <v>35183</v>
      </c>
      <c r="K608" s="10" t="n">
        <v>25735</v>
      </c>
      <c r="L608" s="7" t="n">
        <v>353016</v>
      </c>
      <c r="M608" s="8" t="n">
        <v>24345</v>
      </c>
      <c r="N608" s="8" t="n">
        <v>20390</v>
      </c>
      <c r="O608" s="9" t="n">
        <v>318556</v>
      </c>
      <c r="P608" s="10" t="n">
        <v>26296</v>
      </c>
      <c r="Q608" s="10" t="n">
        <v>21673</v>
      </c>
      <c r="R608" s="7" t="n">
        <v>361602</v>
      </c>
      <c r="S608" s="8" t="n">
        <v>23168</v>
      </c>
      <c r="T608" s="8" t="n">
        <v>20801</v>
      </c>
      <c r="U608" s="9" t="n">
        <v>296780</v>
      </c>
      <c r="V608" s="10" t="n">
        <v>22864</v>
      </c>
      <c r="W608" s="10" t="n">
        <v>21667</v>
      </c>
      <c r="X608" s="7" t="n">
        <v>272857</v>
      </c>
      <c r="Y608" s="8" t="n">
        <v>17082</v>
      </c>
      <c r="Z608" s="8" t="n">
        <v>14441</v>
      </c>
      <c r="AA608" s="9" t="n">
        <v>244724</v>
      </c>
      <c r="AB608" s="10" t="n">
        <v>21659</v>
      </c>
      <c r="AC608" s="10" t="n">
        <v>17504</v>
      </c>
      <c r="AD608" s="7" t="n">
        <v>260814</v>
      </c>
      <c r="AE608" s="8" t="n">
        <v>-1216</v>
      </c>
      <c r="AF608" s="8" t="n">
        <v>-988</v>
      </c>
      <c r="AG608" s="9" t="n">
        <v>241510</v>
      </c>
      <c r="AH608" s="10" t="n">
        <v>3658</v>
      </c>
      <c r="AI608" s="10" t="n">
        <v>4011</v>
      </c>
      <c r="AJ608" s="11" t="n">
        <v>232581</v>
      </c>
      <c r="AK608" s="12" t="n">
        <v>9861</v>
      </c>
      <c r="AL608" s="12" t="n">
        <v>11816</v>
      </c>
      <c r="AM608" s="13" t="n">
        <v>-3.7</v>
      </c>
      <c r="AN608" s="13" t="n">
        <v>-14.8</v>
      </c>
      <c r="AO608" s="13" t="n">
        <v>169.6</v>
      </c>
      <c r="AP608" s="13" t="n">
        <v>-42.3</v>
      </c>
    </row>
    <row r="609">
      <c r="A609" s="5" t="inlineStr">
        <is>
          <t>티케이지애강</t>
        </is>
      </c>
      <c r="B609" s="6" t="inlineStr">
        <is>
          <t>022220</t>
        </is>
      </c>
      <c r="C609" s="6" t="inlineStr">
        <is>
          <t>연결</t>
        </is>
      </c>
      <c r="D609" s="6" t="inlineStr">
        <is>
          <t>2026Q2</t>
        </is>
      </c>
      <c r="E609" s="6" t="inlineStr"/>
      <c r="F609" s="7" t="inlineStr"/>
      <c r="G609" s="8" t="inlineStr"/>
      <c r="H609" s="8" t="inlineStr"/>
      <c r="I609" s="9" t="n">
        <v>15971</v>
      </c>
      <c r="J609" s="10" t="n">
        <v>249</v>
      </c>
      <c r="K609" s="10" t="n">
        <v>530</v>
      </c>
      <c r="L609" s="7" t="n">
        <v>17495</v>
      </c>
      <c r="M609" s="8" t="n">
        <v>-200</v>
      </c>
      <c r="N609" s="8" t="n">
        <v>167</v>
      </c>
      <c r="O609" s="9" t="n">
        <v>12875</v>
      </c>
      <c r="P609" s="10" t="n">
        <v>-719</v>
      </c>
      <c r="Q609" s="10" t="n">
        <v>-280</v>
      </c>
      <c r="R609" s="7" t="n">
        <v>12064</v>
      </c>
      <c r="S609" s="8" t="n">
        <v>-3017</v>
      </c>
      <c r="T609" s="8" t="n">
        <v>-2351</v>
      </c>
      <c r="U609" s="9" t="n">
        <v>11179</v>
      </c>
      <c r="V609" s="10" t="n">
        <v>-2044</v>
      </c>
      <c r="W609" s="10" t="n">
        <v>-1531</v>
      </c>
      <c r="X609" s="7" t="n">
        <v>19210</v>
      </c>
      <c r="Y609" s="8" t="n">
        <v>-2101</v>
      </c>
      <c r="Z609" s="8" t="n">
        <v>-1975</v>
      </c>
      <c r="AA609" s="9" t="n">
        <v>17642</v>
      </c>
      <c r="AB609" s="10" t="n">
        <v>-2590</v>
      </c>
      <c r="AC609" s="10" t="n">
        <v>-2304</v>
      </c>
      <c r="AD609" s="7" t="n">
        <v>16700</v>
      </c>
      <c r="AE609" s="8" t="n">
        <v>-4100</v>
      </c>
      <c r="AF609" s="8" t="n">
        <v>-5718</v>
      </c>
      <c r="AG609" s="9" t="n">
        <v>16951</v>
      </c>
      <c r="AH609" s="10" t="n">
        <v>-3161</v>
      </c>
      <c r="AI609" s="10" t="n">
        <v>-2593</v>
      </c>
      <c r="AJ609" s="11" t="n">
        <v>21648</v>
      </c>
      <c r="AK609" s="12" t="n">
        <v>-2871</v>
      </c>
      <c r="AL609" s="12" t="n">
        <v>-2420</v>
      </c>
      <c r="AM609" s="13" t="n">
        <v>27.7</v>
      </c>
      <c r="AN609" s="13" t="n">
        <v>12.7</v>
      </c>
      <c r="AO609" s="13" t="n">
        <v>9.199999999999999</v>
      </c>
      <c r="AP609" s="13" t="n">
        <v>-36.6</v>
      </c>
    </row>
    <row r="610">
      <c r="A610" s="5" t="inlineStr">
        <is>
          <t>삼원강재</t>
        </is>
      </c>
      <c r="B610" s="6" t="inlineStr">
        <is>
          <t>023000</t>
        </is>
      </c>
      <c r="C610" s="6" t="inlineStr">
        <is>
          <t>별도</t>
        </is>
      </c>
      <c r="D610" s="6" t="inlineStr">
        <is>
          <t>2026Q2</t>
        </is>
      </c>
      <c r="E610" s="6" t="inlineStr"/>
      <c r="F610" s="7" t="inlineStr"/>
      <c r="G610" s="8" t="inlineStr"/>
      <c r="H610" s="8" t="inlineStr"/>
      <c r="I610" s="9" t="n">
        <v>88397</v>
      </c>
      <c r="J610" s="10" t="n">
        <v>2915</v>
      </c>
      <c r="K610" s="10" t="n">
        <v>3857</v>
      </c>
      <c r="L610" s="7" t="n">
        <v>90422</v>
      </c>
      <c r="M610" s="8" t="n">
        <v>3588</v>
      </c>
      <c r="N610" s="8" t="n">
        <v>4379</v>
      </c>
      <c r="O610" s="9" t="n">
        <v>85095</v>
      </c>
      <c r="P610" s="10" t="n">
        <v>3293</v>
      </c>
      <c r="Q610" s="10" t="n">
        <v>3287</v>
      </c>
      <c r="R610" s="7" t="n">
        <v>79645</v>
      </c>
      <c r="S610" s="8" t="n">
        <v>1960</v>
      </c>
      <c r="T610" s="8" t="n">
        <v>1720</v>
      </c>
      <c r="U610" s="9" t="n">
        <v>87783</v>
      </c>
      <c r="V610" s="10" t="n">
        <v>1577</v>
      </c>
      <c r="W610" s="10" t="n">
        <v>2404</v>
      </c>
      <c r="X610" s="7" t="n">
        <v>95821</v>
      </c>
      <c r="Y610" s="8" t="n">
        <v>2461</v>
      </c>
      <c r="Z610" s="8" t="n">
        <v>2421</v>
      </c>
      <c r="AA610" s="9" t="n">
        <v>93192</v>
      </c>
      <c r="AB610" s="10" t="n">
        <v>4171</v>
      </c>
      <c r="AC610" s="10" t="n">
        <v>3814</v>
      </c>
      <c r="AD610" s="7" t="n">
        <v>82491</v>
      </c>
      <c r="AE610" s="8" t="n">
        <v>1670</v>
      </c>
      <c r="AF610" s="8" t="n">
        <v>2063</v>
      </c>
      <c r="AG610" s="9" t="n">
        <v>84836</v>
      </c>
      <c r="AH610" s="10" t="n">
        <v>2435</v>
      </c>
      <c r="AI610" s="10" t="n">
        <v>2985</v>
      </c>
      <c r="AJ610" s="11" t="n">
        <v>93327</v>
      </c>
      <c r="AK610" s="12" t="n">
        <v>2600</v>
      </c>
      <c r="AL610" s="12" t="n">
        <v>4324</v>
      </c>
      <c r="AM610" s="13" t="n">
        <v>10</v>
      </c>
      <c r="AN610" s="13" t="n">
        <v>-2.6</v>
      </c>
      <c r="AO610" s="13" t="n">
        <v>6.8</v>
      </c>
      <c r="AP610" s="13" t="n">
        <v>5.6</v>
      </c>
    </row>
    <row r="611">
      <c r="A611" s="5" t="inlineStr">
        <is>
          <t>MH에탄올</t>
        </is>
      </c>
      <c r="B611" s="6" t="inlineStr">
        <is>
          <t>023150</t>
        </is>
      </c>
      <c r="C611" s="6" t="inlineStr">
        <is>
          <t>연결</t>
        </is>
      </c>
      <c r="D611" s="6" t="inlineStr">
        <is>
          <t>2026Q2</t>
        </is>
      </c>
      <c r="E611" s="6" t="inlineStr"/>
      <c r="F611" s="7" t="inlineStr"/>
      <c r="G611" s="8" t="inlineStr"/>
      <c r="H611" s="8" t="inlineStr"/>
      <c r="I611" s="9" t="n">
        <v>20863</v>
      </c>
      <c r="J611" s="10" t="n">
        <v>1502</v>
      </c>
      <c r="K611" s="10" t="n">
        <v>-2952</v>
      </c>
      <c r="L611" s="7" t="n">
        <v>29182</v>
      </c>
      <c r="M611" s="8" t="n">
        <v>8542</v>
      </c>
      <c r="N611" s="8" t="n">
        <v>2251</v>
      </c>
      <c r="O611" s="9" t="n">
        <v>25366</v>
      </c>
      <c r="P611" s="10" t="n">
        <v>-90</v>
      </c>
      <c r="Q611" s="10" t="n">
        <v>-2813</v>
      </c>
      <c r="R611" s="7" t="n">
        <v>25008</v>
      </c>
      <c r="S611" s="8" t="n">
        <v>714</v>
      </c>
      <c r="T611" s="8" t="n">
        <v>-16120</v>
      </c>
      <c r="U611" s="9" t="n">
        <v>21642</v>
      </c>
      <c r="V611" s="10" t="n">
        <v>829</v>
      </c>
      <c r="W611" s="10" t="n">
        <v>5125</v>
      </c>
      <c r="X611" s="7" t="n">
        <v>27130</v>
      </c>
      <c r="Y611" s="8" t="n">
        <v>7979</v>
      </c>
      <c r="Z611" s="8" t="n">
        <v>4076</v>
      </c>
      <c r="AA611" s="9" t="n">
        <v>22511</v>
      </c>
      <c r="AB611" s="10" t="n">
        <v>-441</v>
      </c>
      <c r="AC611" s="10" t="n">
        <v>-2725</v>
      </c>
      <c r="AD611" s="7" t="n">
        <v>23436</v>
      </c>
      <c r="AE611" s="8" t="n">
        <v>1119</v>
      </c>
      <c r="AF611" s="8" t="n">
        <v>-18323</v>
      </c>
      <c r="AG611" s="9" t="n">
        <v>20963</v>
      </c>
      <c r="AH611" s="10" t="n">
        <v>500</v>
      </c>
      <c r="AI611" s="10" t="n">
        <v>1987</v>
      </c>
      <c r="AJ611" s="11" t="n">
        <v>17514</v>
      </c>
      <c r="AK611" s="12" t="n">
        <v>3211</v>
      </c>
      <c r="AL611" s="12" t="n">
        <v>1595</v>
      </c>
      <c r="AM611" s="13" t="n">
        <v>-16.5</v>
      </c>
      <c r="AN611" s="13" t="n">
        <v>-35.4</v>
      </c>
      <c r="AO611" s="13" t="n">
        <v>542.2</v>
      </c>
      <c r="AP611" s="13" t="n">
        <v>-59.8</v>
      </c>
    </row>
    <row r="612">
      <c r="A612" s="5" t="inlineStr">
        <is>
          <t>태광</t>
        </is>
      </c>
      <c r="B612" s="6" t="inlineStr">
        <is>
          <t>023160</t>
        </is>
      </c>
      <c r="C612" s="6" t="inlineStr">
        <is>
          <t>연결</t>
        </is>
      </c>
      <c r="D612" s="6" t="inlineStr">
        <is>
          <t>2026Q2</t>
        </is>
      </c>
      <c r="E612" s="6" t="inlineStr">
        <is>
          <t>2023Q4</t>
        </is>
      </c>
      <c r="F612" s="14" t="n">
        <v>71340</v>
      </c>
      <c r="G612" s="15" t="n">
        <v>7493</v>
      </c>
      <c r="H612" s="15" t="n">
        <v>7009</v>
      </c>
      <c r="I612" s="9" t="n">
        <v>73365</v>
      </c>
      <c r="J612" s="10" t="n">
        <v>12854</v>
      </c>
      <c r="K612" s="10" t="n">
        <v>16666</v>
      </c>
      <c r="L612" s="7" t="n">
        <v>65538</v>
      </c>
      <c r="M612" s="8" t="n">
        <v>9817</v>
      </c>
      <c r="N612" s="8" t="n">
        <v>10448</v>
      </c>
      <c r="O612" s="9" t="n">
        <v>61753</v>
      </c>
      <c r="P612" s="10" t="n">
        <v>7578</v>
      </c>
      <c r="Q612" s="10" t="n">
        <v>6881</v>
      </c>
      <c r="R612" s="7" t="n">
        <v>66154</v>
      </c>
      <c r="S612" s="8" t="n">
        <v>9624</v>
      </c>
      <c r="T612" s="8" t="n">
        <v>12126</v>
      </c>
      <c r="U612" s="9" t="n">
        <v>62635</v>
      </c>
      <c r="V612" s="10" t="n">
        <v>7404</v>
      </c>
      <c r="W612" s="10" t="n">
        <v>10238</v>
      </c>
      <c r="X612" s="7" t="n">
        <v>72316</v>
      </c>
      <c r="Y612" s="8" t="n">
        <v>7657</v>
      </c>
      <c r="Z612" s="8" t="n">
        <v>13382</v>
      </c>
      <c r="AA612" s="9" t="n">
        <v>81415</v>
      </c>
      <c r="AB612" s="10" t="n">
        <v>11569</v>
      </c>
      <c r="AC612" s="10" t="n">
        <v>29729</v>
      </c>
      <c r="AD612" s="7" t="n">
        <v>80600</v>
      </c>
      <c r="AE612" s="8" t="n">
        <v>12105</v>
      </c>
      <c r="AF612" s="8" t="n">
        <v>12165</v>
      </c>
      <c r="AG612" s="9" t="n">
        <v>82275</v>
      </c>
      <c r="AH612" s="10" t="n">
        <v>9350</v>
      </c>
      <c r="AI612" s="10" t="n">
        <v>28820</v>
      </c>
      <c r="AJ612" s="11" t="n">
        <v>83746</v>
      </c>
      <c r="AK612" s="12" t="n">
        <v>7212</v>
      </c>
      <c r="AL612" s="12" t="n">
        <v>68946</v>
      </c>
      <c r="AM612" s="13" t="n">
        <v>1.8</v>
      </c>
      <c r="AN612" s="13" t="n">
        <v>15.8</v>
      </c>
      <c r="AO612" s="13" t="n">
        <v>-22.9</v>
      </c>
      <c r="AP612" s="13" t="n">
        <v>-5.8</v>
      </c>
    </row>
    <row r="613">
      <c r="A613" s="5" t="inlineStr">
        <is>
          <t>한국종합기술</t>
        </is>
      </c>
      <c r="B613" s="6" t="inlineStr">
        <is>
          <t>023350</t>
        </is>
      </c>
      <c r="C613" s="6" t="inlineStr">
        <is>
          <t>연결</t>
        </is>
      </c>
      <c r="D613" s="6" t="inlineStr">
        <is>
          <t>2026Q2</t>
        </is>
      </c>
      <c r="E613" s="6" t="inlineStr"/>
      <c r="F613" s="7" t="inlineStr"/>
      <c r="G613" s="8" t="inlineStr"/>
      <c r="H613" s="8" t="inlineStr"/>
      <c r="I613" s="9" t="n">
        <v>85364</v>
      </c>
      <c r="J613" s="10" t="n">
        <v>717</v>
      </c>
      <c r="K613" s="10" t="n">
        <v>1103</v>
      </c>
      <c r="L613" s="7" t="n">
        <v>106293</v>
      </c>
      <c r="M613" s="8" t="n">
        <v>-335</v>
      </c>
      <c r="N613" s="8" t="n">
        <v>-208</v>
      </c>
      <c r="O613" s="9" t="n">
        <v>83391</v>
      </c>
      <c r="P613" s="10" t="n">
        <v>-187</v>
      </c>
      <c r="Q613" s="10" t="n">
        <v>-274</v>
      </c>
      <c r="R613" s="7" t="n">
        <v>123865</v>
      </c>
      <c r="S613" s="8" t="n">
        <v>707</v>
      </c>
      <c r="T613" s="8" t="n">
        <v>5606</v>
      </c>
      <c r="U613" s="9" t="n">
        <v>86317</v>
      </c>
      <c r="V613" s="10" t="n">
        <v>-2449</v>
      </c>
      <c r="W613" s="10" t="n">
        <v>-1520</v>
      </c>
      <c r="X613" s="7" t="n">
        <v>101754</v>
      </c>
      <c r="Y613" s="8" t="n">
        <v>3056</v>
      </c>
      <c r="Z613" s="8" t="n">
        <v>2476</v>
      </c>
      <c r="AA613" s="9" t="n">
        <v>102344</v>
      </c>
      <c r="AB613" s="10" t="n">
        <v>1218</v>
      </c>
      <c r="AC613" s="10" t="n">
        <v>1826</v>
      </c>
      <c r="AD613" s="7" t="n">
        <v>122494</v>
      </c>
      <c r="AE613" s="8" t="n">
        <v>4215</v>
      </c>
      <c r="AF613" s="8" t="n">
        <v>5758</v>
      </c>
      <c r="AG613" s="9" t="n">
        <v>98703</v>
      </c>
      <c r="AH613" s="10" t="n">
        <v>3978</v>
      </c>
      <c r="AI613" s="10" t="n">
        <v>3950</v>
      </c>
      <c r="AJ613" s="11" t="n">
        <v>99551</v>
      </c>
      <c r="AK613" s="12" t="n">
        <v>371</v>
      </c>
      <c r="AL613" s="12" t="n">
        <v>1842</v>
      </c>
      <c r="AM613" s="13" t="n">
        <v>0.9</v>
      </c>
      <c r="AN613" s="13" t="n">
        <v>-2.2</v>
      </c>
      <c r="AO613" s="13" t="n">
        <v>-90.7</v>
      </c>
      <c r="AP613" s="13" t="n">
        <v>-87.90000000000001</v>
      </c>
    </row>
    <row r="614">
      <c r="A614" s="5" t="inlineStr">
        <is>
          <t>유진기업</t>
        </is>
      </c>
      <c r="B614" s="6" t="inlineStr">
        <is>
          <t>023410</t>
        </is>
      </c>
      <c r="C614" s="6" t="inlineStr">
        <is>
          <t>연결</t>
        </is>
      </c>
      <c r="D614" s="6" t="inlineStr">
        <is>
          <t>2026Q2</t>
        </is>
      </c>
      <c r="E614" s="6" t="inlineStr"/>
      <c r="F614" s="7" t="inlineStr"/>
      <c r="G614" s="8" t="inlineStr"/>
      <c r="H614" s="8" t="inlineStr"/>
      <c r="I614" s="9" t="n">
        <v>334986</v>
      </c>
      <c r="J614" s="10" t="n">
        <v>7955</v>
      </c>
      <c r="K614" s="10" t="n">
        <v>13712</v>
      </c>
      <c r="L614" s="7" t="n">
        <v>384013</v>
      </c>
      <c r="M614" s="8" t="n">
        <v>25732</v>
      </c>
      <c r="N614" s="8" t="n">
        <v>32413</v>
      </c>
      <c r="O614" s="9" t="n">
        <v>325206</v>
      </c>
      <c r="P614" s="10" t="n">
        <v>15785</v>
      </c>
      <c r="Q614" s="10" t="n">
        <v>5301</v>
      </c>
      <c r="R614" s="7" t="n">
        <v>349096</v>
      </c>
      <c r="S614" s="8" t="n">
        <v>5531</v>
      </c>
      <c r="T614" s="8" t="n">
        <v>-152172</v>
      </c>
      <c r="U614" s="9" t="n">
        <v>283417</v>
      </c>
      <c r="V614" s="10" t="n">
        <v>-8966</v>
      </c>
      <c r="W614" s="10" t="n">
        <v>8204</v>
      </c>
      <c r="X614" s="7" t="n">
        <v>347594</v>
      </c>
      <c r="Y614" s="8" t="n">
        <v>11003</v>
      </c>
      <c r="Z614" s="8" t="n">
        <v>89843</v>
      </c>
      <c r="AA614" s="9" t="n">
        <v>320239</v>
      </c>
      <c r="AB614" s="10" t="n">
        <v>7434</v>
      </c>
      <c r="AC614" s="10" t="n">
        <v>36909</v>
      </c>
      <c r="AD614" s="7" t="n">
        <v>381438</v>
      </c>
      <c r="AE614" s="8" t="n">
        <v>22903</v>
      </c>
      <c r="AF614" s="8" t="n">
        <v>-159442</v>
      </c>
      <c r="AG614" s="9" t="n">
        <v>335471</v>
      </c>
      <c r="AH614" s="10" t="n">
        <v>11761</v>
      </c>
      <c r="AI614" s="10" t="n">
        <v>63701</v>
      </c>
      <c r="AJ614" s="11" t="n">
        <v>368274</v>
      </c>
      <c r="AK614" s="12" t="n">
        <v>14248</v>
      </c>
      <c r="AL614" s="12" t="n">
        <v>-11408</v>
      </c>
      <c r="AM614" s="13" t="n">
        <v>9.800000000000001</v>
      </c>
      <c r="AN614" s="13" t="n">
        <v>5.9</v>
      </c>
      <c r="AO614" s="13" t="n">
        <v>21.1</v>
      </c>
      <c r="AP614" s="13" t="n">
        <v>29.5</v>
      </c>
    </row>
    <row r="615">
      <c r="A615" s="5" t="inlineStr">
        <is>
          <t>제이스코홀딩스</t>
        </is>
      </c>
      <c r="B615" s="6" t="inlineStr">
        <is>
          <t>023440</t>
        </is>
      </c>
      <c r="C615" s="6" t="inlineStr">
        <is>
          <t>연결</t>
        </is>
      </c>
      <c r="D615" s="6" t="inlineStr">
        <is>
          <t>2026Q2</t>
        </is>
      </c>
      <c r="E615" s="6" t="inlineStr"/>
      <c r="F615" s="7" t="inlineStr"/>
      <c r="G615" s="8" t="inlineStr"/>
      <c r="H615" s="8" t="inlineStr"/>
      <c r="I615" s="9" t="n">
        <v>7586</v>
      </c>
      <c r="J615" s="10" t="n">
        <v>-2159</v>
      </c>
      <c r="K615" s="10" t="n">
        <v>-4923</v>
      </c>
      <c r="L615" s="7" t="n">
        <v>7055</v>
      </c>
      <c r="M615" s="8" t="n">
        <v>-4552</v>
      </c>
      <c r="N615" s="8" t="n">
        <v>3183</v>
      </c>
      <c r="O615" s="9" t="n">
        <v>6140</v>
      </c>
      <c r="P615" s="10" t="n">
        <v>-4253</v>
      </c>
      <c r="Q615" s="10" t="n">
        <v>-6420</v>
      </c>
      <c r="R615" s="7" t="n">
        <v>7587</v>
      </c>
      <c r="S615" s="8" t="n">
        <v>-3722</v>
      </c>
      <c r="T615" s="8" t="n">
        <v>-18558</v>
      </c>
      <c r="U615" s="9" t="n">
        <v>7860</v>
      </c>
      <c r="V615" s="10" t="n">
        <v>-2620</v>
      </c>
      <c r="W615" s="10" t="n">
        <v>-3418</v>
      </c>
      <c r="X615" s="7" t="n">
        <v>10691</v>
      </c>
      <c r="Y615" s="8" t="n">
        <v>-3038</v>
      </c>
      <c r="Z615" s="8" t="n">
        <v>-7021</v>
      </c>
      <c r="AA615" s="9" t="n">
        <v>10448</v>
      </c>
      <c r="AB615" s="10" t="n">
        <v>-1899</v>
      </c>
      <c r="AC615" s="10" t="n">
        <v>-6361</v>
      </c>
      <c r="AD615" s="7" t="n">
        <v>12059</v>
      </c>
      <c r="AE615" s="8" t="n">
        <v>-921</v>
      </c>
      <c r="AF615" s="8" t="n">
        <v>-15226</v>
      </c>
      <c r="AG615" s="9" t="n">
        <v>15019</v>
      </c>
      <c r="AH615" s="10" t="n">
        <v>-1824</v>
      </c>
      <c r="AI615" s="10" t="n">
        <v>-4931</v>
      </c>
      <c r="AJ615" s="11" t="n">
        <v>11468</v>
      </c>
      <c r="AK615" s="12" t="n">
        <v>-748</v>
      </c>
      <c r="AL615" s="12" t="n">
        <v>460</v>
      </c>
      <c r="AM615" s="13" t="n">
        <v>-23.6</v>
      </c>
      <c r="AN615" s="13" t="n">
        <v>7.3</v>
      </c>
      <c r="AO615" s="13" t="n">
        <v>59</v>
      </c>
      <c r="AP615" s="13" t="n">
        <v>75.40000000000001</v>
      </c>
    </row>
    <row r="616">
      <c r="A616" s="5" t="inlineStr">
        <is>
          <t>동남합성</t>
        </is>
      </c>
      <c r="B616" s="6" t="inlineStr">
        <is>
          <t>023450</t>
        </is>
      </c>
      <c r="C616" s="6" t="inlineStr">
        <is>
          <t>별도</t>
        </is>
      </c>
      <c r="D616" s="6" t="inlineStr">
        <is>
          <t>2026Q2</t>
        </is>
      </c>
      <c r="E616" s="6" t="inlineStr"/>
      <c r="F616" s="7" t="inlineStr"/>
      <c r="G616" s="8" t="inlineStr"/>
      <c r="H616" s="8" t="inlineStr"/>
      <c r="I616" s="9" t="n">
        <v>46480</v>
      </c>
      <c r="J616" s="10" t="n">
        <v>3177</v>
      </c>
      <c r="K616" s="10" t="n">
        <v>2438</v>
      </c>
      <c r="L616" s="7" t="n">
        <v>45084</v>
      </c>
      <c r="M616" s="8" t="n">
        <v>1739</v>
      </c>
      <c r="N616" s="8" t="n">
        <v>1523</v>
      </c>
      <c r="O616" s="9" t="n">
        <v>46422</v>
      </c>
      <c r="P616" s="10" t="n">
        <v>2154</v>
      </c>
      <c r="Q616" s="10" t="n">
        <v>1058</v>
      </c>
      <c r="R616" s="7" t="n">
        <v>48413</v>
      </c>
      <c r="S616" s="8" t="n">
        <v>1865</v>
      </c>
      <c r="T616" s="8" t="n">
        <v>1694</v>
      </c>
      <c r="U616" s="9" t="n">
        <v>52842</v>
      </c>
      <c r="V616" s="10" t="n">
        <v>2993</v>
      </c>
      <c r="W616" s="10" t="n">
        <v>2320</v>
      </c>
      <c r="X616" s="7" t="n">
        <v>43303</v>
      </c>
      <c r="Y616" s="8" t="n">
        <v>986</v>
      </c>
      <c r="Z616" s="8" t="n">
        <v>64</v>
      </c>
      <c r="AA616" s="9" t="n">
        <v>51453</v>
      </c>
      <c r="AB616" s="10" t="n">
        <v>3287</v>
      </c>
      <c r="AC616" s="10" t="n">
        <v>2706</v>
      </c>
      <c r="AD616" s="7" t="n">
        <v>46667</v>
      </c>
      <c r="AE616" s="8" t="n">
        <v>2099</v>
      </c>
      <c r="AF616" s="8" t="n">
        <v>1901</v>
      </c>
      <c r="AG616" s="9" t="n">
        <v>56414</v>
      </c>
      <c r="AH616" s="10" t="n">
        <v>3813</v>
      </c>
      <c r="AI616" s="10" t="n">
        <v>3155</v>
      </c>
      <c r="AJ616" s="11" t="n">
        <v>62020</v>
      </c>
      <c r="AK616" s="12" t="n">
        <v>5353</v>
      </c>
      <c r="AL616" s="12" t="n">
        <v>4105</v>
      </c>
      <c r="AM616" s="13" t="n">
        <v>9.9</v>
      </c>
      <c r="AN616" s="13" t="n">
        <v>43.2</v>
      </c>
      <c r="AO616" s="13" t="n">
        <v>40.4</v>
      </c>
      <c r="AP616" s="13" t="n">
        <v>442.9</v>
      </c>
    </row>
    <row r="617">
      <c r="A617" s="5" t="inlineStr">
        <is>
          <t>롯데쇼핑</t>
        </is>
      </c>
      <c r="B617" s="6" t="inlineStr">
        <is>
          <t>023530</t>
        </is>
      </c>
      <c r="C617" s="6" t="inlineStr">
        <is>
          <t>연결</t>
        </is>
      </c>
      <c r="D617" s="6" t="inlineStr">
        <is>
          <t>2026Q2</t>
        </is>
      </c>
      <c r="E617" s="6" t="inlineStr">
        <is>
          <t>2023Q4</t>
        </is>
      </c>
      <c r="F617" s="14" t="n">
        <v>3632904</v>
      </c>
      <c r="G617" s="15" t="n">
        <v>202366</v>
      </c>
      <c r="H617" s="15" t="n">
        <v>-56397</v>
      </c>
      <c r="I617" s="9" t="n">
        <v>3513306</v>
      </c>
      <c r="J617" s="10" t="n">
        <v>114871</v>
      </c>
      <c r="K617" s="10" t="n">
        <v>72861</v>
      </c>
      <c r="L617" s="7" t="n">
        <v>3427810</v>
      </c>
      <c r="M617" s="8" t="n">
        <v>56055</v>
      </c>
      <c r="N617" s="8" t="n">
        <v>-79678</v>
      </c>
      <c r="O617" s="9" t="n">
        <v>3568353</v>
      </c>
      <c r="P617" s="10" t="n">
        <v>154987</v>
      </c>
      <c r="Q617" s="10" t="n">
        <v>6506</v>
      </c>
      <c r="R617" s="7" t="n">
        <v>3477109</v>
      </c>
      <c r="S617" s="8" t="n">
        <v>147201</v>
      </c>
      <c r="T617" s="8" t="n">
        <v>-993764</v>
      </c>
      <c r="U617" s="9" t="n">
        <v>3456771</v>
      </c>
      <c r="V617" s="10" t="n">
        <v>148236</v>
      </c>
      <c r="W617" s="10" t="n">
        <v>18118</v>
      </c>
      <c r="X617" s="7" t="n">
        <v>3349696</v>
      </c>
      <c r="Y617" s="8" t="n">
        <v>40639</v>
      </c>
      <c r="Z617" s="8" t="n">
        <v>-10322</v>
      </c>
      <c r="AA617" s="9" t="n">
        <v>3410063</v>
      </c>
      <c r="AB617" s="10" t="n">
        <v>130510</v>
      </c>
      <c r="AC617" s="10" t="n">
        <v>-48745</v>
      </c>
      <c r="AD617" s="7" t="n">
        <v>3521825</v>
      </c>
      <c r="AE617" s="8" t="n">
        <v>227652</v>
      </c>
      <c r="AF617" s="8" t="n">
        <v>114505</v>
      </c>
      <c r="AG617" s="9" t="n">
        <v>3581595</v>
      </c>
      <c r="AH617" s="10" t="n">
        <v>252882</v>
      </c>
      <c r="AI617" s="10" t="n">
        <v>143872</v>
      </c>
      <c r="AJ617" s="11" t="n">
        <v>3485028</v>
      </c>
      <c r="AK617" s="12" t="n">
        <v>89909</v>
      </c>
      <c r="AL617" s="12" t="n">
        <v>14617</v>
      </c>
      <c r="AM617" s="13" t="n">
        <v>-2.7</v>
      </c>
      <c r="AN617" s="13" t="n">
        <v>4</v>
      </c>
      <c r="AO617" s="13" t="n">
        <v>-64.40000000000001</v>
      </c>
      <c r="AP617" s="13" t="n">
        <v>121.2</v>
      </c>
    </row>
    <row r="618">
      <c r="A618" s="5" t="inlineStr">
        <is>
          <t>다우기술</t>
        </is>
      </c>
      <c r="B618" s="6" t="inlineStr">
        <is>
          <t>023590</t>
        </is>
      </c>
      <c r="C618" s="6" t="inlineStr">
        <is>
          <t>연결</t>
        </is>
      </c>
      <c r="D618" s="6" t="inlineStr">
        <is>
          <t>2026Q2</t>
        </is>
      </c>
      <c r="E618" s="6" t="inlineStr"/>
      <c r="F618" s="7" t="inlineStr"/>
      <c r="G618" s="8" t="inlineStr"/>
      <c r="H618" s="8" t="inlineStr"/>
      <c r="I618" s="9" t="n">
        <v>2722844</v>
      </c>
      <c r="J618" s="10" t="n">
        <v>359288</v>
      </c>
      <c r="K618" s="10" t="n">
        <v>254973</v>
      </c>
      <c r="L618" s="7" t="n">
        <v>2366771</v>
      </c>
      <c r="M618" s="8" t="n">
        <v>332307</v>
      </c>
      <c r="N618" s="8" t="n">
        <v>237173</v>
      </c>
      <c r="O618" s="9" t="n">
        <v>2799735</v>
      </c>
      <c r="P618" s="10" t="n">
        <v>288036</v>
      </c>
      <c r="Q618" s="10" t="n">
        <v>218544</v>
      </c>
      <c r="R618" s="7" t="n">
        <v>3736448</v>
      </c>
      <c r="S618" s="8" t="n">
        <v>195051</v>
      </c>
      <c r="T618" s="8" t="n">
        <v>142073</v>
      </c>
      <c r="U618" s="9" t="n">
        <v>3747562</v>
      </c>
      <c r="V618" s="10" t="n">
        <v>344439</v>
      </c>
      <c r="W618" s="10" t="n">
        <v>237473</v>
      </c>
      <c r="X618" s="7" t="n">
        <v>4595278</v>
      </c>
      <c r="Y618" s="8" t="n">
        <v>429535</v>
      </c>
      <c r="Z618" s="8" t="n">
        <v>328370</v>
      </c>
      <c r="AA618" s="9" t="n">
        <v>3465606</v>
      </c>
      <c r="AB618" s="10" t="n">
        <v>426801</v>
      </c>
      <c r="AC618" s="10" t="n">
        <v>329276</v>
      </c>
      <c r="AD618" s="7" t="n">
        <v>5686558</v>
      </c>
      <c r="AE618" s="8" t="n">
        <v>358509</v>
      </c>
      <c r="AF618" s="8" t="n">
        <v>260900</v>
      </c>
      <c r="AG618" s="9" t="n">
        <v>9482573</v>
      </c>
      <c r="AH618" s="10" t="n">
        <v>641343</v>
      </c>
      <c r="AI618" s="10" t="n">
        <v>487164</v>
      </c>
      <c r="AJ618" s="11" t="n">
        <v>16184970</v>
      </c>
      <c r="AK618" s="12" t="n">
        <v>817754</v>
      </c>
      <c r="AL618" s="12" t="n">
        <v>678204</v>
      </c>
      <c r="AM618" s="13" t="n">
        <v>70.7</v>
      </c>
      <c r="AN618" s="13" t="n">
        <v>252.2</v>
      </c>
      <c r="AO618" s="13" t="n">
        <v>27.5</v>
      </c>
      <c r="AP618" s="13" t="n">
        <v>90.40000000000001</v>
      </c>
    </row>
    <row r="619">
      <c r="A619" s="5" t="inlineStr">
        <is>
          <t>삼보판지</t>
        </is>
      </c>
      <c r="B619" s="6" t="inlineStr">
        <is>
          <t>023600</t>
        </is>
      </c>
      <c r="C619" s="6" t="inlineStr">
        <is>
          <t>연결</t>
        </is>
      </c>
      <c r="D619" s="6" t="inlineStr">
        <is>
          <t>2026Q2</t>
        </is>
      </c>
      <c r="E619" s="6" t="inlineStr"/>
      <c r="F619" s="7" t="inlineStr"/>
      <c r="G619" s="8" t="inlineStr"/>
      <c r="H619" s="8" t="inlineStr"/>
      <c r="I619" s="9" t="n">
        <v>134915</v>
      </c>
      <c r="J619" s="10" t="n">
        <v>13327</v>
      </c>
      <c r="K619" s="10" t="n">
        <v>13117</v>
      </c>
      <c r="L619" s="7" t="n">
        <v>137642</v>
      </c>
      <c r="M619" s="8" t="n">
        <v>12300</v>
      </c>
      <c r="N619" s="8" t="n">
        <v>11484</v>
      </c>
      <c r="O619" s="9" t="n">
        <v>139581</v>
      </c>
      <c r="P619" s="10" t="n">
        <v>6786</v>
      </c>
      <c r="Q619" s="10" t="n">
        <v>9227</v>
      </c>
      <c r="R619" s="7" t="n">
        <v>146154</v>
      </c>
      <c r="S619" s="8" t="n">
        <v>6314</v>
      </c>
      <c r="T619" s="8" t="n">
        <v>3971</v>
      </c>
      <c r="U619" s="9" t="n">
        <v>127823</v>
      </c>
      <c r="V619" s="10" t="n">
        <v>7129</v>
      </c>
      <c r="W619" s="10" t="n">
        <v>8015</v>
      </c>
      <c r="X619" s="7" t="n">
        <v>135441</v>
      </c>
      <c r="Y619" s="8" t="n">
        <v>9696</v>
      </c>
      <c r="Z619" s="8" t="n">
        <v>9457</v>
      </c>
      <c r="AA619" s="9" t="n">
        <v>144120</v>
      </c>
      <c r="AB619" s="10" t="n">
        <v>6584</v>
      </c>
      <c r="AC619" s="10" t="n">
        <v>7972</v>
      </c>
      <c r="AD619" s="7" t="n">
        <v>132481</v>
      </c>
      <c r="AE619" s="8" t="n">
        <v>6500</v>
      </c>
      <c r="AF619" s="8" t="n">
        <v>6337</v>
      </c>
      <c r="AG619" s="9" t="n">
        <v>131149</v>
      </c>
      <c r="AH619" s="10" t="n">
        <v>5341</v>
      </c>
      <c r="AI619" s="10" t="n">
        <v>6544</v>
      </c>
      <c r="AJ619" s="11" t="n">
        <v>153517</v>
      </c>
      <c r="AK619" s="12" t="n">
        <v>16503</v>
      </c>
      <c r="AL619" s="12" t="n">
        <v>14683</v>
      </c>
      <c r="AM619" s="13" t="n">
        <v>17.1</v>
      </c>
      <c r="AN619" s="13" t="n">
        <v>13.3</v>
      </c>
      <c r="AO619" s="13" t="n">
        <v>209</v>
      </c>
      <c r="AP619" s="13" t="n">
        <v>70.2</v>
      </c>
    </row>
    <row r="620">
      <c r="A620" s="5" t="inlineStr">
        <is>
          <t>한국캐피탈</t>
        </is>
      </c>
      <c r="B620" s="6" t="inlineStr">
        <is>
          <t>023760</t>
        </is>
      </c>
      <c r="C620" s="6" t="inlineStr">
        <is>
          <t>연결</t>
        </is>
      </c>
      <c r="D620" s="6" t="inlineStr">
        <is>
          <t>2026Q2</t>
        </is>
      </c>
      <c r="E620" s="6" t="inlineStr"/>
      <c r="F620" s="7" t="inlineStr"/>
      <c r="G620" s="8" t="inlineStr"/>
      <c r="H620" s="8" t="inlineStr"/>
      <c r="I620" s="9" t="inlineStr"/>
      <c r="J620" s="10" t="n">
        <v>28330</v>
      </c>
      <c r="K620" s="10" t="n">
        <v>22527</v>
      </c>
      <c r="L620" s="7" t="inlineStr"/>
      <c r="M620" s="8" t="n">
        <v>18831</v>
      </c>
      <c r="N620" s="8" t="n">
        <v>18809</v>
      </c>
      <c r="O620" s="9" t="inlineStr"/>
      <c r="P620" s="10" t="n">
        <v>24706</v>
      </c>
      <c r="Q620" s="10" t="n">
        <v>19290</v>
      </c>
      <c r="R620" s="7" t="inlineStr"/>
      <c r="S620" s="8" t="n">
        <v>25000</v>
      </c>
      <c r="T620" s="8" t="n">
        <v>20510</v>
      </c>
      <c r="U620" s="9" t="inlineStr"/>
      <c r="V620" s="10" t="n">
        <v>29028</v>
      </c>
      <c r="W620" s="10" t="n">
        <v>22066</v>
      </c>
      <c r="X620" s="7" t="inlineStr"/>
      <c r="Y620" s="8" t="n">
        <v>32149</v>
      </c>
      <c r="Z620" s="8" t="n">
        <v>24166</v>
      </c>
      <c r="AA620" s="9" t="inlineStr"/>
      <c r="AB620" s="10" t="n">
        <v>30182</v>
      </c>
      <c r="AC620" s="10" t="n">
        <v>26430</v>
      </c>
      <c r="AD620" s="7" t="inlineStr"/>
      <c r="AE620" s="8" t="n">
        <v>36563</v>
      </c>
      <c r="AF620" s="8" t="n">
        <v>27860</v>
      </c>
      <c r="AG620" s="9" t="inlineStr"/>
      <c r="AH620" s="10" t="n">
        <v>29087</v>
      </c>
      <c r="AI620" s="10" t="n">
        <v>23423</v>
      </c>
      <c r="AJ620" s="11" t="inlineStr"/>
      <c r="AK620" s="12" t="n">
        <v>38681</v>
      </c>
      <c r="AL620" s="12" t="n">
        <v>25977</v>
      </c>
      <c r="AM620" s="13" t="inlineStr"/>
      <c r="AN620" s="13" t="inlineStr"/>
      <c r="AO620" s="13" t="n">
        <v>33</v>
      </c>
      <c r="AP620" s="13" t="n">
        <v>20.3</v>
      </c>
    </row>
    <row r="621">
      <c r="A621" s="5" t="inlineStr">
        <is>
          <t>플레이위드</t>
        </is>
      </c>
      <c r="B621" s="6" t="inlineStr">
        <is>
          <t>023770</t>
        </is>
      </c>
      <c r="C621" s="6" t="inlineStr">
        <is>
          <t>별도</t>
        </is>
      </c>
      <c r="D621" s="6" t="inlineStr">
        <is>
          <t>2026Q2</t>
        </is>
      </c>
      <c r="E621" s="6" t="inlineStr"/>
      <c r="F621" s="7" t="inlineStr"/>
      <c r="G621" s="8" t="inlineStr"/>
      <c r="H621" s="8" t="inlineStr"/>
      <c r="I621" s="9" t="n">
        <v>12722</v>
      </c>
      <c r="J621" s="10" t="n">
        <v>1639</v>
      </c>
      <c r="K621" s="10" t="n">
        <v>1912</v>
      </c>
      <c r="L621" s="7" t="n">
        <v>6055</v>
      </c>
      <c r="M621" s="8" t="n">
        <v>-3076</v>
      </c>
      <c r="N621" s="8" t="n">
        <v>-2909</v>
      </c>
      <c r="O621" s="9" t="n">
        <v>4720</v>
      </c>
      <c r="P621" s="10" t="n">
        <v>-5018</v>
      </c>
      <c r="Q621" s="10" t="n">
        <v>-4729</v>
      </c>
      <c r="R621" s="7" t="n">
        <v>8810</v>
      </c>
      <c r="S621" s="8" t="n">
        <v>-2077</v>
      </c>
      <c r="T621" s="8" t="n">
        <v>-1173</v>
      </c>
      <c r="U621" s="9" t="n">
        <v>7527</v>
      </c>
      <c r="V621" s="10" t="n">
        <v>-2355</v>
      </c>
      <c r="W621" s="10" t="n">
        <v>-921</v>
      </c>
      <c r="X621" s="7" t="n">
        <v>13610</v>
      </c>
      <c r="Y621" s="8" t="n">
        <v>754</v>
      </c>
      <c r="Z621" s="8" t="n">
        <v>1579</v>
      </c>
      <c r="AA621" s="9" t="n">
        <v>8048</v>
      </c>
      <c r="AB621" s="10" t="n">
        <v>-236</v>
      </c>
      <c r="AC621" s="10" t="n">
        <v>-2074</v>
      </c>
      <c r="AD621" s="7" t="n">
        <v>5473</v>
      </c>
      <c r="AE621" s="8" t="n">
        <v>-2845</v>
      </c>
      <c r="AF621" s="8" t="n">
        <v>-589</v>
      </c>
      <c r="AG621" s="9" t="n">
        <v>3691</v>
      </c>
      <c r="AH621" s="10" t="n">
        <v>-1810</v>
      </c>
      <c r="AI621" s="10" t="n">
        <v>607</v>
      </c>
      <c r="AJ621" s="11" t="n">
        <v>8307</v>
      </c>
      <c r="AK621" s="12" t="n">
        <v>-183</v>
      </c>
      <c r="AL621" s="12" t="n">
        <v>56</v>
      </c>
      <c r="AM621" s="13" t="n">
        <v>125.1</v>
      </c>
      <c r="AN621" s="13" t="n">
        <v>-39</v>
      </c>
      <c r="AO621" s="13" t="n">
        <v>89.90000000000001</v>
      </c>
      <c r="AP621" s="13" t="n">
        <v>-124.3</v>
      </c>
    </row>
    <row r="622">
      <c r="A622" s="5" t="inlineStr">
        <is>
          <t>동일스틸럭스</t>
        </is>
      </c>
      <c r="B622" s="6" t="inlineStr">
        <is>
          <t>023790</t>
        </is>
      </c>
      <c r="C622" s="6" t="inlineStr">
        <is>
          <t>별도</t>
        </is>
      </c>
      <c r="D622" s="6" t="inlineStr">
        <is>
          <t>2026Q2</t>
        </is>
      </c>
      <c r="E622" s="6" t="inlineStr"/>
      <c r="F622" s="7" t="inlineStr"/>
      <c r="G622" s="8" t="inlineStr"/>
      <c r="H622" s="8" t="inlineStr"/>
      <c r="I622" s="9" t="n">
        <v>4419</v>
      </c>
      <c r="J622" s="10" t="n">
        <v>-114</v>
      </c>
      <c r="K622" s="10" t="n">
        <v>-16</v>
      </c>
      <c r="L622" s="7" t="n">
        <v>4552</v>
      </c>
      <c r="M622" s="8" t="n">
        <v>-74</v>
      </c>
      <c r="N622" s="8" t="n">
        <v>-506</v>
      </c>
      <c r="O622" s="9" t="n">
        <v>3543</v>
      </c>
      <c r="P622" s="10" t="n">
        <v>-803</v>
      </c>
      <c r="Q622" s="10" t="n">
        <v>-2280</v>
      </c>
      <c r="R622" s="7" t="n">
        <v>4119</v>
      </c>
      <c r="S622" s="8" t="n">
        <v>-810</v>
      </c>
      <c r="T622" s="8" t="n">
        <v>-2209</v>
      </c>
      <c r="U622" s="9" t="n">
        <v>7797</v>
      </c>
      <c r="V622" s="10" t="n">
        <v>-921</v>
      </c>
      <c r="W622" s="10" t="n">
        <v>-1746</v>
      </c>
      <c r="X622" s="7" t="n">
        <v>4944</v>
      </c>
      <c r="Y622" s="8" t="n">
        <v>-598</v>
      </c>
      <c r="Z622" s="8" t="n">
        <v>-983</v>
      </c>
      <c r="AA622" s="9" t="n">
        <v>5645</v>
      </c>
      <c r="AB622" s="10" t="n">
        <v>-486</v>
      </c>
      <c r="AC622" s="10" t="n">
        <v>-1110</v>
      </c>
      <c r="AD622" s="7" t="n">
        <v>5659</v>
      </c>
      <c r="AE622" s="8" t="n">
        <v>-603</v>
      </c>
      <c r="AF622" s="8" t="n">
        <v>-2385</v>
      </c>
      <c r="AG622" s="9" t="n">
        <v>6852</v>
      </c>
      <c r="AH622" s="10" t="n">
        <v>-371</v>
      </c>
      <c r="AI622" s="10" t="n">
        <v>-1204</v>
      </c>
      <c r="AJ622" s="11" t="n">
        <v>8619</v>
      </c>
      <c r="AK622" s="12" t="n">
        <v>479</v>
      </c>
      <c r="AL622" s="12" t="n">
        <v>-218</v>
      </c>
      <c r="AM622" s="13" t="n">
        <v>25.8</v>
      </c>
      <c r="AN622" s="13" t="n">
        <v>74.3</v>
      </c>
      <c r="AO622" s="13" t="n">
        <v>229.1</v>
      </c>
      <c r="AP622" s="13" t="n">
        <v>180.1</v>
      </c>
    </row>
    <row r="623">
      <c r="A623" s="5" t="inlineStr">
        <is>
          <t>인지컨트롤스</t>
        </is>
      </c>
      <c r="B623" s="6" t="inlineStr">
        <is>
          <t>023800</t>
        </is>
      </c>
      <c r="C623" s="6" t="inlineStr">
        <is>
          <t>연결</t>
        </is>
      </c>
      <c r="D623" s="6" t="inlineStr">
        <is>
          <t>2026Q2</t>
        </is>
      </c>
      <c r="E623" s="6" t="inlineStr"/>
      <c r="F623" s="7" t="inlineStr"/>
      <c r="G623" s="8" t="inlineStr"/>
      <c r="H623" s="8" t="inlineStr"/>
      <c r="I623" s="9" t="n">
        <v>156458</v>
      </c>
      <c r="J623" s="10" t="n">
        <v>6664</v>
      </c>
      <c r="K623" s="10" t="n">
        <v>4712</v>
      </c>
      <c r="L623" s="7" t="n">
        <v>167930</v>
      </c>
      <c r="M623" s="8" t="n">
        <v>14343</v>
      </c>
      <c r="N623" s="8" t="n">
        <v>13080</v>
      </c>
      <c r="O623" s="9" t="n">
        <v>160972</v>
      </c>
      <c r="P623" s="10" t="n">
        <v>10678</v>
      </c>
      <c r="Q623" s="10" t="n">
        <v>643</v>
      </c>
      <c r="R623" s="7" t="n">
        <v>163911</v>
      </c>
      <c r="S623" s="8" t="n">
        <v>-5288</v>
      </c>
      <c r="T623" s="8" t="n">
        <v>-9308</v>
      </c>
      <c r="U623" s="9" t="n">
        <v>181309</v>
      </c>
      <c r="V623" s="10" t="n">
        <v>9743</v>
      </c>
      <c r="W623" s="10" t="n">
        <v>12827</v>
      </c>
      <c r="X623" s="7" t="n">
        <v>175701</v>
      </c>
      <c r="Y623" s="8" t="n">
        <v>12045</v>
      </c>
      <c r="Z623" s="8" t="n">
        <v>1680</v>
      </c>
      <c r="AA623" s="9" t="n">
        <v>181955</v>
      </c>
      <c r="AB623" s="10" t="n">
        <v>12441</v>
      </c>
      <c r="AC623" s="10" t="n">
        <v>12266</v>
      </c>
      <c r="AD623" s="7" t="n">
        <v>178937</v>
      </c>
      <c r="AE623" s="8" t="n">
        <v>5407</v>
      </c>
      <c r="AF623" s="8" t="n">
        <v>-9038</v>
      </c>
      <c r="AG623" s="9" t="n">
        <v>178480</v>
      </c>
      <c r="AH623" s="10" t="n">
        <v>9788</v>
      </c>
      <c r="AI623" s="10" t="n">
        <v>6475</v>
      </c>
      <c r="AJ623" s="11" t="n">
        <v>183653</v>
      </c>
      <c r="AK623" s="12" t="n">
        <v>9286</v>
      </c>
      <c r="AL623" s="12" t="n">
        <v>16848</v>
      </c>
      <c r="AM623" s="13" t="n">
        <v>2.9</v>
      </c>
      <c r="AN623" s="13" t="n">
        <v>4.5</v>
      </c>
      <c r="AO623" s="13" t="n">
        <v>-5.1</v>
      </c>
      <c r="AP623" s="13" t="n">
        <v>-22.9</v>
      </c>
    </row>
    <row r="624">
      <c r="A624" s="5" t="inlineStr">
        <is>
          <t>인팩</t>
        </is>
      </c>
      <c r="B624" s="6" t="inlineStr">
        <is>
          <t>023810</t>
        </is>
      </c>
      <c r="C624" s="6" t="inlineStr">
        <is>
          <t>연결</t>
        </is>
      </c>
      <c r="D624" s="6" t="inlineStr">
        <is>
          <t>2026Q2</t>
        </is>
      </c>
      <c r="E624" s="6" t="inlineStr"/>
      <c r="F624" s="7" t="inlineStr"/>
      <c r="G624" s="8" t="inlineStr"/>
      <c r="H624" s="8" t="inlineStr"/>
      <c r="I624" s="9" t="n">
        <v>136818</v>
      </c>
      <c r="J624" s="10" t="n">
        <v>8116</v>
      </c>
      <c r="K624" s="10" t="n">
        <v>1635</v>
      </c>
      <c r="L624" s="7" t="n">
        <v>141489</v>
      </c>
      <c r="M624" s="8" t="n">
        <v>7964</v>
      </c>
      <c r="N624" s="8" t="n">
        <v>276</v>
      </c>
      <c r="O624" s="9" t="n">
        <v>132899</v>
      </c>
      <c r="P624" s="10" t="n">
        <v>4510</v>
      </c>
      <c r="Q624" s="10" t="n">
        <v>-37</v>
      </c>
      <c r="R624" s="7" t="n">
        <v>152667</v>
      </c>
      <c r="S624" s="8" t="n">
        <v>-571</v>
      </c>
      <c r="T624" s="8" t="n">
        <v>1219</v>
      </c>
      <c r="U624" s="9" t="n">
        <v>146079</v>
      </c>
      <c r="V624" s="10" t="n">
        <v>7167</v>
      </c>
      <c r="W624" s="10" t="n">
        <v>2287</v>
      </c>
      <c r="X624" s="7" t="n">
        <v>148526</v>
      </c>
      <c r="Y624" s="8" t="n">
        <v>10817</v>
      </c>
      <c r="Z624" s="8" t="n">
        <v>7326</v>
      </c>
      <c r="AA624" s="9" t="n">
        <v>148563</v>
      </c>
      <c r="AB624" s="10" t="n">
        <v>6437</v>
      </c>
      <c r="AC624" s="10" t="n">
        <v>2452</v>
      </c>
      <c r="AD624" s="7" t="n">
        <v>143276</v>
      </c>
      <c r="AE624" s="8" t="n">
        <v>-4637</v>
      </c>
      <c r="AF624" s="8" t="n">
        <v>6021</v>
      </c>
      <c r="AG624" s="9" t="n">
        <v>158136</v>
      </c>
      <c r="AH624" s="10" t="n">
        <v>2012</v>
      </c>
      <c r="AI624" s="10" t="n">
        <v>444</v>
      </c>
      <c r="AJ624" s="11" t="n">
        <v>192102</v>
      </c>
      <c r="AK624" s="12" t="n">
        <v>8545</v>
      </c>
      <c r="AL624" s="12" t="n">
        <v>5053</v>
      </c>
      <c r="AM624" s="13" t="n">
        <v>21.5</v>
      </c>
      <c r="AN624" s="13" t="n">
        <v>29.3</v>
      </c>
      <c r="AO624" s="13" t="n">
        <v>324.7</v>
      </c>
      <c r="AP624" s="13" t="n">
        <v>-21</v>
      </c>
    </row>
    <row r="625">
      <c r="A625" s="5" t="inlineStr">
        <is>
          <t>풍국주정</t>
        </is>
      </c>
      <c r="B625" s="6" t="inlineStr">
        <is>
          <t>023900</t>
        </is>
      </c>
      <c r="C625" s="6" t="inlineStr">
        <is>
          <t>연결</t>
        </is>
      </c>
      <c r="D625" s="6" t="inlineStr">
        <is>
          <t>2026Q2</t>
        </is>
      </c>
      <c r="E625" s="6" t="inlineStr"/>
      <c r="F625" s="7" t="inlineStr"/>
      <c r="G625" s="8" t="inlineStr"/>
      <c r="H625" s="8" t="inlineStr"/>
      <c r="I625" s="9" t="n">
        <v>39299</v>
      </c>
      <c r="J625" s="10" t="n">
        <v>2418</v>
      </c>
      <c r="K625" s="10" t="n">
        <v>2176</v>
      </c>
      <c r="L625" s="7" t="n">
        <v>36966</v>
      </c>
      <c r="M625" s="8" t="n">
        <v>2889</v>
      </c>
      <c r="N625" s="8" t="n">
        <v>2353</v>
      </c>
      <c r="O625" s="9" t="n">
        <v>39831</v>
      </c>
      <c r="P625" s="10" t="n">
        <v>3542</v>
      </c>
      <c r="Q625" s="10" t="n">
        <v>3054</v>
      </c>
      <c r="R625" s="7" t="n">
        <v>40231</v>
      </c>
      <c r="S625" s="8" t="n">
        <v>3650</v>
      </c>
      <c r="T625" s="8" t="n">
        <v>2961</v>
      </c>
      <c r="U625" s="9" t="n">
        <v>40621</v>
      </c>
      <c r="V625" s="10" t="n">
        <v>3921</v>
      </c>
      <c r="W625" s="10" t="n">
        <v>3656</v>
      </c>
      <c r="X625" s="7" t="n">
        <v>40457</v>
      </c>
      <c r="Y625" s="8" t="n">
        <v>3247</v>
      </c>
      <c r="Z625" s="8" t="n">
        <v>2961</v>
      </c>
      <c r="AA625" s="9" t="n">
        <v>43422</v>
      </c>
      <c r="AB625" s="10" t="n">
        <v>5725</v>
      </c>
      <c r="AC625" s="10" t="n">
        <v>4385</v>
      </c>
      <c r="AD625" s="7" t="n">
        <v>39020</v>
      </c>
      <c r="AE625" s="8" t="n">
        <v>3861</v>
      </c>
      <c r="AF625" s="8" t="n">
        <v>2405</v>
      </c>
      <c r="AG625" s="9" t="n">
        <v>37621</v>
      </c>
      <c r="AH625" s="10" t="n">
        <v>2957</v>
      </c>
      <c r="AI625" s="10" t="n">
        <v>2871</v>
      </c>
      <c r="AJ625" s="11" t="n">
        <v>41863</v>
      </c>
      <c r="AK625" s="12" t="n">
        <v>4399</v>
      </c>
      <c r="AL625" s="12" t="n">
        <v>3743</v>
      </c>
      <c r="AM625" s="13" t="n">
        <v>11.3</v>
      </c>
      <c r="AN625" s="13" t="n">
        <v>3.5</v>
      </c>
      <c r="AO625" s="13" t="n">
        <v>48.8</v>
      </c>
      <c r="AP625" s="13" t="n">
        <v>35.5</v>
      </c>
    </row>
    <row r="626">
      <c r="A626" s="5" t="inlineStr">
        <is>
          <t>대한약품</t>
        </is>
      </c>
      <c r="B626" s="6" t="inlineStr">
        <is>
          <t>023910</t>
        </is>
      </c>
      <c r="C626" s="6" t="inlineStr">
        <is>
          <t>별도</t>
        </is>
      </c>
      <c r="D626" s="6" t="inlineStr">
        <is>
          <t>2026Q2</t>
        </is>
      </c>
      <c r="E626" s="6" t="inlineStr"/>
      <c r="F626" s="7" t="inlineStr"/>
      <c r="G626" s="8" t="inlineStr"/>
      <c r="H626" s="8" t="inlineStr"/>
      <c r="I626" s="9" t="n">
        <v>49017</v>
      </c>
      <c r="J626" s="10" t="n">
        <v>10109</v>
      </c>
      <c r="K626" s="10" t="n">
        <v>8266</v>
      </c>
      <c r="L626" s="7" t="n">
        <v>48883</v>
      </c>
      <c r="M626" s="8" t="n">
        <v>8406</v>
      </c>
      <c r="N626" s="8" t="n">
        <v>8018</v>
      </c>
      <c r="O626" s="9" t="n">
        <v>54849</v>
      </c>
      <c r="P626" s="10" t="n">
        <v>10832</v>
      </c>
      <c r="Q626" s="10" t="n">
        <v>8486</v>
      </c>
      <c r="R626" s="7" t="n">
        <v>51446</v>
      </c>
      <c r="S626" s="8" t="n">
        <v>8734</v>
      </c>
      <c r="T626" s="8" t="n">
        <v>8989</v>
      </c>
      <c r="U626" s="9" t="n">
        <v>49889</v>
      </c>
      <c r="V626" s="10" t="n">
        <v>9232</v>
      </c>
      <c r="W626" s="10" t="n">
        <v>7646</v>
      </c>
      <c r="X626" s="7" t="n">
        <v>51493</v>
      </c>
      <c r="Y626" s="8" t="n">
        <v>7748</v>
      </c>
      <c r="Z626" s="8" t="n">
        <v>6203</v>
      </c>
      <c r="AA626" s="9" t="n">
        <v>56174</v>
      </c>
      <c r="AB626" s="10" t="n">
        <v>10637</v>
      </c>
      <c r="AC626" s="10" t="n">
        <v>8719</v>
      </c>
      <c r="AD626" s="7" t="n">
        <v>51058</v>
      </c>
      <c r="AE626" s="8" t="n">
        <v>3569</v>
      </c>
      <c r="AF626" s="8" t="n">
        <v>5076</v>
      </c>
      <c r="AG626" s="9" t="n">
        <v>52715</v>
      </c>
      <c r="AH626" s="10" t="n">
        <v>7861</v>
      </c>
      <c r="AI626" s="10" t="n">
        <v>6981</v>
      </c>
      <c r="AJ626" s="11" t="n">
        <v>56608</v>
      </c>
      <c r="AK626" s="12" t="n">
        <v>8080</v>
      </c>
      <c r="AL626" s="12" t="n">
        <v>6753</v>
      </c>
      <c r="AM626" s="13" t="n">
        <v>7.4</v>
      </c>
      <c r="AN626" s="13" t="n">
        <v>9.9</v>
      </c>
      <c r="AO626" s="13" t="n">
        <v>2.8</v>
      </c>
      <c r="AP626" s="13" t="n">
        <v>4.3</v>
      </c>
    </row>
    <row r="627">
      <c r="A627" s="5" t="inlineStr">
        <is>
          <t>에쓰씨엔지니어링</t>
        </is>
      </c>
      <c r="B627" s="6" t="inlineStr">
        <is>
          <t>023960</t>
        </is>
      </c>
      <c r="C627" s="6" t="inlineStr">
        <is>
          <t>연결</t>
        </is>
      </c>
      <c r="D627" s="6" t="inlineStr">
        <is>
          <t>2026Q2</t>
        </is>
      </c>
      <c r="E627" s="6" t="inlineStr"/>
      <c r="F627" s="7" t="inlineStr"/>
      <c r="G627" s="8" t="inlineStr"/>
      <c r="H627" s="8" t="inlineStr"/>
      <c r="I627" s="9" t="n">
        <v>21966</v>
      </c>
      <c r="J627" s="10" t="n">
        <v>-1854</v>
      </c>
      <c r="K627" s="10" t="n">
        <v>-1225</v>
      </c>
      <c r="L627" s="7" t="n">
        <v>52243</v>
      </c>
      <c r="M627" s="8" t="n">
        <v>3576</v>
      </c>
      <c r="N627" s="8" t="n">
        <v>2496</v>
      </c>
      <c r="O627" s="9" t="n">
        <v>52842</v>
      </c>
      <c r="P627" s="10" t="n">
        <v>2858</v>
      </c>
      <c r="Q627" s="10" t="n">
        <v>2784</v>
      </c>
      <c r="R627" s="7" t="n">
        <v>52828</v>
      </c>
      <c r="S627" s="8" t="n">
        <v>1983</v>
      </c>
      <c r="T627" s="8" t="n">
        <v>-337</v>
      </c>
      <c r="U627" s="9" t="n">
        <v>36051</v>
      </c>
      <c r="V627" s="10" t="n">
        <v>-1346</v>
      </c>
      <c r="W627" s="10" t="n">
        <v>-1474</v>
      </c>
      <c r="X627" s="7" t="n">
        <v>43451</v>
      </c>
      <c r="Y627" s="8" t="n">
        <v>667</v>
      </c>
      <c r="Z627" s="8" t="n">
        <v>133</v>
      </c>
      <c r="AA627" s="9" t="n">
        <v>48091</v>
      </c>
      <c r="AB627" s="10" t="n">
        <v>-5228</v>
      </c>
      <c r="AC627" s="10" t="n">
        <v>-4690</v>
      </c>
      <c r="AD627" s="7" t="n">
        <v>44725</v>
      </c>
      <c r="AE627" s="8" t="n">
        <v>948</v>
      </c>
      <c r="AF627" s="8" t="n">
        <v>1280</v>
      </c>
      <c r="AG627" s="9" t="n">
        <v>19265</v>
      </c>
      <c r="AH627" s="10" t="n">
        <v>-1836</v>
      </c>
      <c r="AI627" s="10" t="n">
        <v>-3095</v>
      </c>
      <c r="AJ627" s="11" t="n">
        <v>13831</v>
      </c>
      <c r="AK627" s="12" t="n">
        <v>-3982</v>
      </c>
      <c r="AL627" s="12" t="n">
        <v>-4969</v>
      </c>
      <c r="AM627" s="13" t="n">
        <v>-28.2</v>
      </c>
      <c r="AN627" s="13" t="n">
        <v>-68.2</v>
      </c>
      <c r="AO627" s="13" t="n">
        <v>-116.9</v>
      </c>
      <c r="AP627" s="13" t="n">
        <v>-697</v>
      </c>
    </row>
    <row r="628">
      <c r="A628" s="5" t="inlineStr">
        <is>
          <t>흥구석유</t>
        </is>
      </c>
      <c r="B628" s="6" t="inlineStr">
        <is>
          <t>024060</t>
        </is>
      </c>
      <c r="C628" s="6" t="inlineStr">
        <is>
          <t>별도</t>
        </is>
      </c>
      <c r="D628" s="6" t="inlineStr">
        <is>
          <t>2026Q2</t>
        </is>
      </c>
      <c r="E628" s="6" t="inlineStr"/>
      <c r="F628" s="7" t="inlineStr"/>
      <c r="G628" s="8" t="inlineStr"/>
      <c r="H628" s="8" t="inlineStr"/>
      <c r="I628" s="9" t="n">
        <v>30580</v>
      </c>
      <c r="J628" s="10" t="n">
        <v>-181</v>
      </c>
      <c r="K628" s="10" t="n">
        <v>127</v>
      </c>
      <c r="L628" s="7" t="n">
        <v>29953</v>
      </c>
      <c r="M628" s="8" t="n">
        <v>-496</v>
      </c>
      <c r="N628" s="8" t="n">
        <v>-334</v>
      </c>
      <c r="O628" s="9" t="n">
        <v>27277</v>
      </c>
      <c r="P628" s="10" t="n">
        <v>174</v>
      </c>
      <c r="Q628" s="10" t="n">
        <v>400</v>
      </c>
      <c r="R628" s="7" t="n">
        <v>29042</v>
      </c>
      <c r="S628" s="8" t="n">
        <v>220</v>
      </c>
      <c r="T628" s="8" t="n">
        <v>427</v>
      </c>
      <c r="U628" s="9" t="n">
        <v>29369</v>
      </c>
      <c r="V628" s="10" t="n">
        <v>-188</v>
      </c>
      <c r="W628" s="10" t="n">
        <v>169</v>
      </c>
      <c r="X628" s="7" t="n">
        <v>26444</v>
      </c>
      <c r="Y628" s="8" t="n">
        <v>-791</v>
      </c>
      <c r="Z628" s="8" t="n">
        <v>-549</v>
      </c>
      <c r="AA628" s="9" t="n">
        <v>25115</v>
      </c>
      <c r="AB628" s="10" t="n">
        <v>-176</v>
      </c>
      <c r="AC628" s="10" t="n">
        <v>177</v>
      </c>
      <c r="AD628" s="7" t="n">
        <v>26924</v>
      </c>
      <c r="AE628" s="8" t="n">
        <v>160</v>
      </c>
      <c r="AF628" s="8" t="n">
        <v>361</v>
      </c>
      <c r="AG628" s="9" t="n">
        <v>27103</v>
      </c>
      <c r="AH628" s="10" t="n">
        <v>561</v>
      </c>
      <c r="AI628" s="10" t="n">
        <v>419</v>
      </c>
      <c r="AJ628" s="11" t="n">
        <v>27393</v>
      </c>
      <c r="AK628" s="12" t="n">
        <v>-691</v>
      </c>
      <c r="AL628" s="12" t="n">
        <v>-542</v>
      </c>
      <c r="AM628" s="13" t="n">
        <v>1.1</v>
      </c>
      <c r="AN628" s="13" t="n">
        <v>3.6</v>
      </c>
      <c r="AO628" s="13" t="n">
        <v>-223.2</v>
      </c>
      <c r="AP628" s="13" t="n">
        <v>12.6</v>
      </c>
    </row>
    <row r="629">
      <c r="A629" s="5" t="inlineStr">
        <is>
          <t>WISCOM</t>
        </is>
      </c>
      <c r="B629" s="6" t="inlineStr">
        <is>
          <t>024070</t>
        </is>
      </c>
      <c r="C629" s="6" t="inlineStr">
        <is>
          <t>연결</t>
        </is>
      </c>
      <c r="D629" s="6" t="inlineStr">
        <is>
          <t>2026Q2</t>
        </is>
      </c>
      <c r="E629" s="6" t="inlineStr"/>
      <c r="F629" s="7" t="inlineStr"/>
      <c r="G629" s="8" t="inlineStr"/>
      <c r="H629" s="8" t="inlineStr"/>
      <c r="I629" s="9" t="n">
        <v>27176</v>
      </c>
      <c r="J629" s="10" t="n">
        <v>-1938</v>
      </c>
      <c r="K629" s="10" t="n">
        <v>-1252</v>
      </c>
      <c r="L629" s="7" t="n">
        <v>25430</v>
      </c>
      <c r="M629" s="8" t="n">
        <v>-1941</v>
      </c>
      <c r="N629" s="8" t="n">
        <v>-1168</v>
      </c>
      <c r="O629" s="9" t="n">
        <v>22239</v>
      </c>
      <c r="P629" s="10" t="n">
        <v>-2106</v>
      </c>
      <c r="Q629" s="10" t="n">
        <v>-1383</v>
      </c>
      <c r="R629" s="7" t="n">
        <v>23692</v>
      </c>
      <c r="S629" s="8" t="n">
        <v>-2878</v>
      </c>
      <c r="T629" s="8" t="n">
        <v>-20114</v>
      </c>
      <c r="U629" s="9" t="n">
        <v>25618</v>
      </c>
      <c r="V629" s="10" t="n">
        <v>-754</v>
      </c>
      <c r="W629" s="10" t="n">
        <v>-308</v>
      </c>
      <c r="X629" s="7" t="n">
        <v>26471</v>
      </c>
      <c r="Y629" s="8" t="n">
        <v>-311</v>
      </c>
      <c r="Z629" s="8" t="n">
        <v>566</v>
      </c>
      <c r="AA629" s="9" t="n">
        <v>27065</v>
      </c>
      <c r="AB629" s="10" t="n">
        <v>-728</v>
      </c>
      <c r="AC629" s="10" t="n">
        <v>-298</v>
      </c>
      <c r="AD629" s="7" t="n">
        <v>24122</v>
      </c>
      <c r="AE629" s="8" t="n">
        <v>1095</v>
      </c>
      <c r="AF629" s="8" t="n">
        <v>1382</v>
      </c>
      <c r="AG629" s="9" t="n">
        <v>28038</v>
      </c>
      <c r="AH629" s="10" t="n">
        <v>-1230</v>
      </c>
      <c r="AI629" s="10" t="n">
        <v>-475</v>
      </c>
      <c r="AJ629" s="11" t="n">
        <v>30753</v>
      </c>
      <c r="AK629" s="12" t="n">
        <v>924</v>
      </c>
      <c r="AL629" s="12" t="n">
        <v>2560</v>
      </c>
      <c r="AM629" s="13" t="n">
        <v>9.699999999999999</v>
      </c>
      <c r="AN629" s="13" t="n">
        <v>16.2</v>
      </c>
      <c r="AO629" s="13" t="n">
        <v>175.1</v>
      </c>
      <c r="AP629" s="13" t="n">
        <v>397.1</v>
      </c>
    </row>
    <row r="630">
      <c r="A630" s="5" t="inlineStr">
        <is>
          <t>디씨엠</t>
        </is>
      </c>
      <c r="B630" s="6" t="inlineStr">
        <is>
          <t>024090</t>
        </is>
      </c>
      <c r="C630" s="6" t="inlineStr">
        <is>
          <t>별도</t>
        </is>
      </c>
      <c r="D630" s="6" t="inlineStr">
        <is>
          <t>2026Q2</t>
        </is>
      </c>
      <c r="E630" s="6" t="inlineStr"/>
      <c r="F630" s="7" t="inlineStr"/>
      <c r="G630" s="8" t="inlineStr"/>
      <c r="H630" s="8" t="inlineStr"/>
      <c r="I630" s="9" t="n">
        <v>62524</v>
      </c>
      <c r="J630" s="10" t="n">
        <v>4849</v>
      </c>
      <c r="K630" s="10" t="n">
        <v>7366</v>
      </c>
      <c r="L630" s="7" t="n">
        <v>68741</v>
      </c>
      <c r="M630" s="8" t="n">
        <v>7424</v>
      </c>
      <c r="N630" s="8" t="n">
        <v>8638</v>
      </c>
      <c r="O630" s="9" t="n">
        <v>58993</v>
      </c>
      <c r="P630" s="10" t="n">
        <v>3117</v>
      </c>
      <c r="Q630" s="10" t="n">
        <v>2257</v>
      </c>
      <c r="R630" s="7" t="n">
        <v>50655</v>
      </c>
      <c r="S630" s="8" t="n">
        <v>1577</v>
      </c>
      <c r="T630" s="8" t="n">
        <v>607</v>
      </c>
      <c r="U630" s="9" t="n">
        <v>65160</v>
      </c>
      <c r="V630" s="10" t="n">
        <v>6117</v>
      </c>
      <c r="W630" s="10" t="n">
        <v>6673</v>
      </c>
      <c r="X630" s="7" t="n">
        <v>57922</v>
      </c>
      <c r="Y630" s="8" t="n">
        <v>1956</v>
      </c>
      <c r="Z630" s="8" t="n">
        <v>1632</v>
      </c>
      <c r="AA630" s="9" t="n">
        <v>48032</v>
      </c>
      <c r="AB630" s="10" t="n">
        <v>-1086</v>
      </c>
      <c r="AC630" s="10" t="n">
        <v>219</v>
      </c>
      <c r="AD630" s="7" t="n">
        <v>55939</v>
      </c>
      <c r="AE630" s="8" t="n">
        <v>2574</v>
      </c>
      <c r="AF630" s="8" t="n">
        <v>3272</v>
      </c>
      <c r="AG630" s="9" t="n">
        <v>49065</v>
      </c>
      <c r="AH630" s="10" t="n">
        <v>1986</v>
      </c>
      <c r="AI630" s="10" t="n">
        <v>4391</v>
      </c>
      <c r="AJ630" s="11" t="n">
        <v>50175</v>
      </c>
      <c r="AK630" s="12" t="n">
        <v>3257</v>
      </c>
      <c r="AL630" s="12" t="n">
        <v>3276</v>
      </c>
      <c r="AM630" s="13" t="n">
        <v>2.3</v>
      </c>
      <c r="AN630" s="13" t="n">
        <v>-13.4</v>
      </c>
      <c r="AO630" s="13" t="n">
        <v>64</v>
      </c>
      <c r="AP630" s="13" t="n">
        <v>66.5</v>
      </c>
    </row>
    <row r="631">
      <c r="A631" s="5" t="inlineStr">
        <is>
          <t>기업은행</t>
        </is>
      </c>
      <c r="B631" s="6" t="inlineStr">
        <is>
          <t>024110</t>
        </is>
      </c>
      <c r="C631" s="6" t="inlineStr">
        <is>
          <t>연결</t>
        </is>
      </c>
      <c r="D631" s="6" t="inlineStr">
        <is>
          <t>2026Q2</t>
        </is>
      </c>
      <c r="E631" s="6" t="inlineStr"/>
      <c r="F631" s="7" t="inlineStr"/>
      <c r="G631" s="8" t="inlineStr"/>
      <c r="H631" s="8" t="inlineStr"/>
      <c r="I631" s="14" t="n">
        <v>9005734</v>
      </c>
      <c r="J631" s="10" t="n">
        <v>1029741</v>
      </c>
      <c r="K631" s="10" t="n">
        <v>784473</v>
      </c>
      <c r="L631" s="14" t="n">
        <v>8402316</v>
      </c>
      <c r="M631" s="8" t="n">
        <v>827586</v>
      </c>
      <c r="N631" s="8" t="n">
        <v>609693</v>
      </c>
      <c r="O631" s="14" t="n">
        <v>6466489</v>
      </c>
      <c r="P631" s="10" t="n">
        <v>1126080</v>
      </c>
      <c r="Q631" s="10" t="n">
        <v>803559</v>
      </c>
      <c r="R631" s="7" t="inlineStr"/>
      <c r="S631" s="8" t="n">
        <v>610680</v>
      </c>
      <c r="T631" s="8" t="n">
        <v>456613</v>
      </c>
      <c r="U631" s="14" t="n">
        <v>7732963</v>
      </c>
      <c r="V631" s="10" t="n">
        <v>1024027</v>
      </c>
      <c r="W631" s="10" t="n">
        <v>814175</v>
      </c>
      <c r="X631" s="14" t="n">
        <v>10244597</v>
      </c>
      <c r="Y631" s="8" t="n">
        <v>927445</v>
      </c>
      <c r="Z631" s="8" t="n">
        <v>694401</v>
      </c>
      <c r="AA631" s="14" t="n">
        <v>5853938</v>
      </c>
      <c r="AB631" s="10" t="n">
        <v>976740</v>
      </c>
      <c r="AC631" s="10" t="n">
        <v>751160</v>
      </c>
      <c r="AD631" s="7" t="inlineStr"/>
      <c r="AE631" s="8" t="n">
        <v>727377</v>
      </c>
      <c r="AF631" s="8" t="n">
        <v>459132</v>
      </c>
      <c r="AG631" s="14" t="n">
        <v>11090954</v>
      </c>
      <c r="AH631" s="10" t="n">
        <v>932546</v>
      </c>
      <c r="AI631" s="10" t="n">
        <v>753413</v>
      </c>
      <c r="AJ631" s="14" t="n">
        <v>9664984</v>
      </c>
      <c r="AK631" s="12" t="n">
        <v>915102</v>
      </c>
      <c r="AL631" s="12" t="n">
        <v>689506</v>
      </c>
      <c r="AM631" s="13" t="n">
        <v>-12.9</v>
      </c>
      <c r="AN631" s="13" t="n">
        <v>-5.7</v>
      </c>
      <c r="AO631" s="13" t="n">
        <v>-1.9</v>
      </c>
      <c r="AP631" s="13" t="n">
        <v>-1.3</v>
      </c>
    </row>
    <row r="632">
      <c r="A632" s="5" t="inlineStr">
        <is>
          <t>KB오토시스</t>
        </is>
      </c>
      <c r="B632" s="6" t="inlineStr">
        <is>
          <t>024120</t>
        </is>
      </c>
      <c r="C632" s="6" t="inlineStr">
        <is>
          <t>연결</t>
        </is>
      </c>
      <c r="D632" s="6" t="inlineStr">
        <is>
          <t>2026Q2</t>
        </is>
      </c>
      <c r="E632" s="6" t="inlineStr"/>
      <c r="F632" s="7" t="inlineStr"/>
      <c r="G632" s="8" t="inlineStr"/>
      <c r="H632" s="8" t="inlineStr"/>
      <c r="I632" s="9" t="n">
        <v>47876</v>
      </c>
      <c r="J632" s="10" t="n">
        <v>-976</v>
      </c>
      <c r="K632" s="10" t="n">
        <v>-1147</v>
      </c>
      <c r="L632" s="7" t="n">
        <v>56529</v>
      </c>
      <c r="M632" s="8" t="n">
        <v>1555</v>
      </c>
      <c r="N632" s="8" t="n">
        <v>1340</v>
      </c>
      <c r="O632" s="9" t="n">
        <v>53383</v>
      </c>
      <c r="P632" s="10" t="n">
        <v>746</v>
      </c>
      <c r="Q632" s="10" t="n">
        <v>-357</v>
      </c>
      <c r="R632" s="7" t="n">
        <v>52443</v>
      </c>
      <c r="S632" s="8" t="n">
        <v>3309</v>
      </c>
      <c r="T632" s="8" t="n">
        <v>3108</v>
      </c>
      <c r="U632" s="9" t="n">
        <v>51262</v>
      </c>
      <c r="V632" s="10" t="n">
        <v>785</v>
      </c>
      <c r="W632" s="10" t="n">
        <v>70</v>
      </c>
      <c r="X632" s="7" t="n">
        <v>55959</v>
      </c>
      <c r="Y632" s="8" t="n">
        <v>3353</v>
      </c>
      <c r="Z632" s="8" t="n">
        <v>273</v>
      </c>
      <c r="AA632" s="9" t="n">
        <v>52616</v>
      </c>
      <c r="AB632" s="10" t="n">
        <v>729</v>
      </c>
      <c r="AC632" s="10" t="n">
        <v>881</v>
      </c>
      <c r="AD632" s="7" t="n">
        <v>55159</v>
      </c>
      <c r="AE632" s="8" t="n">
        <v>3664</v>
      </c>
      <c r="AF632" s="8" t="n">
        <v>2674</v>
      </c>
      <c r="AG632" s="9" t="n">
        <v>57433</v>
      </c>
      <c r="AH632" s="10" t="n">
        <v>1537</v>
      </c>
      <c r="AI632" s="10" t="n">
        <v>2186</v>
      </c>
      <c r="AJ632" s="11" t="n">
        <v>59027</v>
      </c>
      <c r="AK632" s="12" t="n">
        <v>1867</v>
      </c>
      <c r="AL632" s="12" t="n">
        <v>2144</v>
      </c>
      <c r="AM632" s="13" t="n">
        <v>2.8</v>
      </c>
      <c r="AN632" s="13" t="n">
        <v>5.5</v>
      </c>
      <c r="AO632" s="13" t="n">
        <v>21.5</v>
      </c>
      <c r="AP632" s="13" t="n">
        <v>-44.3</v>
      </c>
    </row>
    <row r="633">
      <c r="A633" s="5" t="inlineStr">
        <is>
          <t>콜마홀딩스</t>
        </is>
      </c>
      <c r="B633" s="6" t="inlineStr">
        <is>
          <t>024720</t>
        </is>
      </c>
      <c r="C633" s="6" t="inlineStr">
        <is>
          <t>연결</t>
        </is>
      </c>
      <c r="D633" s="6" t="inlineStr">
        <is>
          <t>2026Q2</t>
        </is>
      </c>
      <c r="E633" s="6" t="inlineStr"/>
      <c r="F633" s="7" t="inlineStr"/>
      <c r="G633" s="8" t="inlineStr"/>
      <c r="H633" s="8" t="inlineStr"/>
      <c r="I633" s="9" t="n">
        <v>176367</v>
      </c>
      <c r="J633" s="10" t="n">
        <v>8827</v>
      </c>
      <c r="K633" s="10" t="n">
        <v>8478</v>
      </c>
      <c r="L633" s="7" t="n">
        <v>180189</v>
      </c>
      <c r="M633" s="8" t="n">
        <v>14207</v>
      </c>
      <c r="N633" s="8" t="n">
        <v>10752</v>
      </c>
      <c r="O633" s="9" t="n">
        <v>162979</v>
      </c>
      <c r="P633" s="10" t="n">
        <v>6737</v>
      </c>
      <c r="Q633" s="10" t="n">
        <v>4992</v>
      </c>
      <c r="R633" s="7" t="n">
        <v>157128</v>
      </c>
      <c r="S633" s="8" t="n">
        <v>8348</v>
      </c>
      <c r="T633" s="8" t="n">
        <v>9173</v>
      </c>
      <c r="U633" s="9" t="n">
        <v>152411</v>
      </c>
      <c r="V633" s="10" t="n">
        <v>3139</v>
      </c>
      <c r="W633" s="10" t="n">
        <v>1088</v>
      </c>
      <c r="X633" s="7" t="n">
        <v>175670</v>
      </c>
      <c r="Y633" s="8" t="n">
        <v>16377</v>
      </c>
      <c r="Z633" s="8" t="n">
        <v>39280</v>
      </c>
      <c r="AA633" s="9" t="n">
        <v>165525</v>
      </c>
      <c r="AB633" s="10" t="n">
        <v>16332</v>
      </c>
      <c r="AC633" s="10" t="n">
        <v>5316</v>
      </c>
      <c r="AD633" s="7" t="n">
        <v>136506</v>
      </c>
      <c r="AE633" s="8" t="n">
        <v>11895</v>
      </c>
      <c r="AF633" s="8" t="n">
        <v>-34540</v>
      </c>
      <c r="AG633" s="9" t="n">
        <v>151926</v>
      </c>
      <c r="AH633" s="10" t="n">
        <v>20402</v>
      </c>
      <c r="AI633" s="10" t="n">
        <v>39787</v>
      </c>
      <c r="AJ633" s="11" t="n">
        <v>142347</v>
      </c>
      <c r="AK633" s="12" t="n">
        <v>25338</v>
      </c>
      <c r="AL633" s="12" t="n">
        <v>35322</v>
      </c>
      <c r="AM633" s="13" t="n">
        <v>-6.3</v>
      </c>
      <c r="AN633" s="13" t="n">
        <v>-19</v>
      </c>
      <c r="AO633" s="13" t="n">
        <v>24.2</v>
      </c>
      <c r="AP633" s="13" t="n">
        <v>54.7</v>
      </c>
    </row>
    <row r="634">
      <c r="A634" s="5" t="inlineStr">
        <is>
          <t>한일단조</t>
        </is>
      </c>
      <c r="B634" s="6" t="inlineStr">
        <is>
          <t>024740</t>
        </is>
      </c>
      <c r="C634" s="6" t="inlineStr">
        <is>
          <t>연결</t>
        </is>
      </c>
      <c r="D634" s="6" t="inlineStr">
        <is>
          <t>2026Q2</t>
        </is>
      </c>
      <c r="E634" s="6" t="inlineStr"/>
      <c r="F634" s="7" t="inlineStr"/>
      <c r="G634" s="8" t="inlineStr"/>
      <c r="H634" s="8" t="inlineStr"/>
      <c r="I634" s="9" t="n">
        <v>40798</v>
      </c>
      <c r="J634" s="10" t="n">
        <v>3143</v>
      </c>
      <c r="K634" s="10" t="n">
        <v>1625</v>
      </c>
      <c r="L634" s="7" t="n">
        <v>37137</v>
      </c>
      <c r="M634" s="8" t="n">
        <v>3504</v>
      </c>
      <c r="N634" s="8" t="n">
        <v>2563</v>
      </c>
      <c r="O634" s="9" t="n">
        <v>32506</v>
      </c>
      <c r="P634" s="10" t="n">
        <v>1001</v>
      </c>
      <c r="Q634" s="10" t="n">
        <v>518</v>
      </c>
      <c r="R634" s="7" t="n">
        <v>28938</v>
      </c>
      <c r="S634" s="8" t="n">
        <v>641</v>
      </c>
      <c r="T634" s="8" t="n">
        <v>1980</v>
      </c>
      <c r="U634" s="9" t="n">
        <v>29901</v>
      </c>
      <c r="V634" s="10" t="n">
        <v>820</v>
      </c>
      <c r="W634" s="10" t="n">
        <v>1230</v>
      </c>
      <c r="X634" s="7" t="n">
        <v>32672</v>
      </c>
      <c r="Y634" s="8" t="n">
        <v>1356</v>
      </c>
      <c r="Z634" s="8" t="n">
        <v>-185</v>
      </c>
      <c r="AA634" s="9" t="n">
        <v>32275</v>
      </c>
      <c r="AB634" s="10" t="n">
        <v>1547</v>
      </c>
      <c r="AC634" s="10" t="n">
        <v>1433</v>
      </c>
      <c r="AD634" s="7" t="n">
        <v>31747</v>
      </c>
      <c r="AE634" s="8" t="n">
        <v>-203</v>
      </c>
      <c r="AF634" s="8" t="n">
        <v>-611</v>
      </c>
      <c r="AG634" s="9" t="n">
        <v>35604</v>
      </c>
      <c r="AH634" s="10" t="n">
        <v>2555</v>
      </c>
      <c r="AI634" s="10" t="n">
        <v>2703</v>
      </c>
      <c r="AJ634" s="11" t="n">
        <v>43149</v>
      </c>
      <c r="AK634" s="12" t="n">
        <v>4991</v>
      </c>
      <c r="AL634" s="12" t="n">
        <v>2951</v>
      </c>
      <c r="AM634" s="13" t="n">
        <v>21.2</v>
      </c>
      <c r="AN634" s="13" t="n">
        <v>32.1</v>
      </c>
      <c r="AO634" s="13" t="n">
        <v>95.3</v>
      </c>
      <c r="AP634" s="13" t="n">
        <v>268.1</v>
      </c>
    </row>
    <row r="635">
      <c r="A635" s="5" t="inlineStr">
        <is>
          <t>유성티엔에스</t>
        </is>
      </c>
      <c r="B635" s="6" t="inlineStr">
        <is>
          <t>024800</t>
        </is>
      </c>
      <c r="C635" s="6" t="inlineStr">
        <is>
          <t>연결</t>
        </is>
      </c>
      <c r="D635" s="6" t="inlineStr">
        <is>
          <t>2026Q2</t>
        </is>
      </c>
      <c r="E635" s="6" t="inlineStr"/>
      <c r="F635" s="7" t="inlineStr"/>
      <c r="G635" s="8" t="inlineStr"/>
      <c r="H635" s="8" t="inlineStr"/>
      <c r="I635" s="9" t="n">
        <v>52088</v>
      </c>
      <c r="J635" s="10" t="n">
        <v>664</v>
      </c>
      <c r="K635" s="10" t="n">
        <v>31686</v>
      </c>
      <c r="L635" s="7" t="n">
        <v>41164</v>
      </c>
      <c r="M635" s="8" t="n">
        <v>1933</v>
      </c>
      <c r="N635" s="8" t="n">
        <v>12006</v>
      </c>
      <c r="O635" s="9" t="n">
        <v>38203</v>
      </c>
      <c r="P635" s="10" t="n">
        <v>104</v>
      </c>
      <c r="Q635" s="10" t="n">
        <v>16208</v>
      </c>
      <c r="R635" s="7" t="n">
        <v>21400</v>
      </c>
      <c r="S635" s="8" t="n">
        <v>2225</v>
      </c>
      <c r="T635" s="8" t="n">
        <v>10962</v>
      </c>
      <c r="U635" s="9" t="n">
        <v>22797</v>
      </c>
      <c r="V635" s="10" t="n">
        <v>287</v>
      </c>
      <c r="W635" s="10" t="n">
        <v>11025</v>
      </c>
      <c r="X635" s="7" t="n">
        <v>16030</v>
      </c>
      <c r="Y635" s="8" t="n">
        <v>807</v>
      </c>
      <c r="Z635" s="8" t="n">
        <v>14306</v>
      </c>
      <c r="AA635" s="9" t="n">
        <v>14950</v>
      </c>
      <c r="AB635" s="10" t="n">
        <v>259</v>
      </c>
      <c r="AC635" s="10" t="n">
        <v>12758</v>
      </c>
      <c r="AD635" s="7" t="n">
        <v>13266</v>
      </c>
      <c r="AE635" s="8" t="n">
        <v>-128</v>
      </c>
      <c r="AF635" s="8" t="n">
        <v>19499</v>
      </c>
      <c r="AG635" s="9" t="n">
        <v>13232</v>
      </c>
      <c r="AH635" s="10" t="n">
        <v>928</v>
      </c>
      <c r="AI635" s="10" t="n">
        <v>7418</v>
      </c>
      <c r="AJ635" s="11" t="n">
        <v>13583</v>
      </c>
      <c r="AK635" s="12" t="n">
        <v>860</v>
      </c>
      <c r="AL635" s="12" t="n">
        <v>59381</v>
      </c>
      <c r="AM635" s="13" t="n">
        <v>2.7</v>
      </c>
      <c r="AN635" s="13" t="n">
        <v>-15.3</v>
      </c>
      <c r="AO635" s="13" t="n">
        <v>-7.3</v>
      </c>
      <c r="AP635" s="13" t="n">
        <v>6.6</v>
      </c>
    </row>
    <row r="636">
      <c r="A636" s="5" t="inlineStr">
        <is>
          <t>세원물산</t>
        </is>
      </c>
      <c r="B636" s="6" t="inlineStr">
        <is>
          <t>024830</t>
        </is>
      </c>
      <c r="C636" s="6" t="inlineStr">
        <is>
          <t>별도</t>
        </is>
      </c>
      <c r="D636" s="6" t="inlineStr">
        <is>
          <t>2026Q2</t>
        </is>
      </c>
      <c r="E636" s="6" t="inlineStr"/>
      <c r="F636" s="7" t="inlineStr"/>
      <c r="G636" s="8" t="inlineStr"/>
      <c r="H636" s="8" t="inlineStr"/>
      <c r="I636" s="9" t="n">
        <v>42055</v>
      </c>
      <c r="J636" s="10" t="n">
        <v>-1355</v>
      </c>
      <c r="K636" s="10" t="n">
        <v>1933</v>
      </c>
      <c r="L636" s="7" t="n">
        <v>62506</v>
      </c>
      <c r="M636" s="8" t="n">
        <v>-283</v>
      </c>
      <c r="N636" s="8" t="n">
        <v>2767</v>
      </c>
      <c r="O636" s="9" t="n">
        <v>59008</v>
      </c>
      <c r="P636" s="10" t="n">
        <v>-814</v>
      </c>
      <c r="Q636" s="10" t="n">
        <v>8272</v>
      </c>
      <c r="R636" s="7" t="n">
        <v>67336</v>
      </c>
      <c r="S636" s="8" t="n">
        <v>3794</v>
      </c>
      <c r="T636" s="8" t="n">
        <v>8999</v>
      </c>
      <c r="U636" s="9" t="n">
        <v>45458</v>
      </c>
      <c r="V636" s="10" t="n">
        <v>-1622</v>
      </c>
      <c r="W636" s="10" t="n">
        <v>2151</v>
      </c>
      <c r="X636" s="7" t="n">
        <v>59687</v>
      </c>
      <c r="Y636" s="8" t="n">
        <v>1915</v>
      </c>
      <c r="Z636" s="8" t="n">
        <v>6488</v>
      </c>
      <c r="AA636" s="9" t="n">
        <v>52337</v>
      </c>
      <c r="AB636" s="10" t="n">
        <v>1669</v>
      </c>
      <c r="AC636" s="10" t="n">
        <v>6078</v>
      </c>
      <c r="AD636" s="7" t="n">
        <v>54134</v>
      </c>
      <c r="AE636" s="8" t="n">
        <v>1095</v>
      </c>
      <c r="AF636" s="8" t="n">
        <v>3901</v>
      </c>
      <c r="AG636" s="9" t="n">
        <v>54343</v>
      </c>
      <c r="AH636" s="10" t="n">
        <v>-1958</v>
      </c>
      <c r="AI636" s="10" t="n">
        <v>1680</v>
      </c>
      <c r="AJ636" s="11" t="n">
        <v>41587</v>
      </c>
      <c r="AK636" s="12" t="n">
        <v>-1732</v>
      </c>
      <c r="AL636" s="12" t="n">
        <v>1951</v>
      </c>
      <c r="AM636" s="13" t="n">
        <v>-23.5</v>
      </c>
      <c r="AN636" s="13" t="n">
        <v>-30.3</v>
      </c>
      <c r="AO636" s="13" t="n">
        <v>11.5</v>
      </c>
      <c r="AP636" s="13" t="n">
        <v>-190.4</v>
      </c>
    </row>
    <row r="637">
      <c r="A637" s="5" t="inlineStr">
        <is>
          <t>KBI메탈</t>
        </is>
      </c>
      <c r="B637" s="6" t="inlineStr">
        <is>
          <t>024840</t>
        </is>
      </c>
      <c r="C637" s="6" t="inlineStr">
        <is>
          <t>연결</t>
        </is>
      </c>
      <c r="D637" s="6" t="inlineStr">
        <is>
          <t>2026Q2</t>
        </is>
      </c>
      <c r="E637" s="6" t="inlineStr"/>
      <c r="F637" s="7" t="inlineStr"/>
      <c r="G637" s="8" t="inlineStr"/>
      <c r="H637" s="8" t="inlineStr"/>
      <c r="I637" s="9" t="n">
        <v>183932</v>
      </c>
      <c r="J637" s="10" t="n">
        <v>4267</v>
      </c>
      <c r="K637" s="10" t="n">
        <v>-792</v>
      </c>
      <c r="L637" s="7" t="n">
        <v>182050</v>
      </c>
      <c r="M637" s="8" t="n">
        <v>13266</v>
      </c>
      <c r="N637" s="8" t="n">
        <v>2748</v>
      </c>
      <c r="O637" s="9" t="n">
        <v>165527</v>
      </c>
      <c r="P637" s="10" t="n">
        <v>-3578</v>
      </c>
      <c r="Q637" s="10" t="n">
        <v>-80</v>
      </c>
      <c r="R637" s="7" t="n">
        <v>171183</v>
      </c>
      <c r="S637" s="8" t="n">
        <v>3540</v>
      </c>
      <c r="T637" s="8" t="n">
        <v>-236</v>
      </c>
      <c r="U637" s="9" t="n">
        <v>184381</v>
      </c>
      <c r="V637" s="10" t="n">
        <v>5138</v>
      </c>
      <c r="W637" s="10" t="n">
        <v>-88</v>
      </c>
      <c r="X637" s="7" t="n">
        <v>201244</v>
      </c>
      <c r="Y637" s="8" t="n">
        <v>-1993</v>
      </c>
      <c r="Z637" s="8" t="n">
        <v>823</v>
      </c>
      <c r="AA637" s="9" t="n">
        <v>196632</v>
      </c>
      <c r="AB637" s="10" t="n">
        <v>3147</v>
      </c>
      <c r="AC637" s="10" t="n">
        <v>-4328</v>
      </c>
      <c r="AD637" s="7" t="n">
        <v>176310</v>
      </c>
      <c r="AE637" s="8" t="n">
        <v>18053</v>
      </c>
      <c r="AF637" s="8" t="n">
        <v>4968</v>
      </c>
      <c r="AG637" s="9" t="n">
        <v>210597</v>
      </c>
      <c r="AH637" s="10" t="n">
        <v>15533</v>
      </c>
      <c r="AI637" s="10" t="n">
        <v>8460</v>
      </c>
      <c r="AJ637" s="11" t="n">
        <v>279853</v>
      </c>
      <c r="AK637" s="12" t="n">
        <v>12866</v>
      </c>
      <c r="AL637" s="12" t="n">
        <v>11310</v>
      </c>
      <c r="AM637" s="13" t="n">
        <v>32.9</v>
      </c>
      <c r="AN637" s="13" t="n">
        <v>39.1</v>
      </c>
      <c r="AO637" s="13" t="n">
        <v>-17.2</v>
      </c>
      <c r="AP637" s="13" t="n">
        <v>745.6</v>
      </c>
    </row>
    <row r="638">
      <c r="A638" s="5" t="inlineStr">
        <is>
          <t>HLB이노베이션</t>
        </is>
      </c>
      <c r="B638" s="6" t="inlineStr">
        <is>
          <t>024850</t>
        </is>
      </c>
      <c r="C638" s="6" t="inlineStr">
        <is>
          <t>연결</t>
        </is>
      </c>
      <c r="D638" s="6" t="inlineStr">
        <is>
          <t>2026Q2</t>
        </is>
      </c>
      <c r="E638" s="6" t="inlineStr"/>
      <c r="F638" s="7" t="inlineStr"/>
      <c r="G638" s="8" t="inlineStr"/>
      <c r="H638" s="8" t="inlineStr"/>
      <c r="I638" s="9" t="n">
        <v>6133</v>
      </c>
      <c r="J638" s="10" t="n">
        <v>-248</v>
      </c>
      <c r="K638" s="10" t="n">
        <v>136</v>
      </c>
      <c r="L638" s="7" t="n">
        <v>6202</v>
      </c>
      <c r="M638" s="8" t="n">
        <v>-195</v>
      </c>
      <c r="N638" s="8" t="n">
        <v>-210</v>
      </c>
      <c r="O638" s="9" t="n">
        <v>5761</v>
      </c>
      <c r="P638" s="10" t="n">
        <v>-918</v>
      </c>
      <c r="Q638" s="10" t="n">
        <v>-3253</v>
      </c>
      <c r="R638" s="7" t="n">
        <v>7260</v>
      </c>
      <c r="S638" s="8" t="n">
        <v>-10522</v>
      </c>
      <c r="T638" s="8" t="n">
        <v>-9043</v>
      </c>
      <c r="U638" s="9" t="n">
        <v>7550</v>
      </c>
      <c r="V638" s="10" t="n">
        <v>-9825</v>
      </c>
      <c r="W638" s="10" t="n">
        <v>-9420</v>
      </c>
      <c r="X638" s="7" t="n">
        <v>8990</v>
      </c>
      <c r="Y638" s="8" t="n">
        <v>-9522</v>
      </c>
      <c r="Z638" s="8" t="n">
        <v>-10017</v>
      </c>
      <c r="AA638" s="9" t="n">
        <v>7564</v>
      </c>
      <c r="AB638" s="10" t="n">
        <v>-9543</v>
      </c>
      <c r="AC638" s="10" t="n">
        <v>-9683</v>
      </c>
      <c r="AD638" s="7" t="n">
        <v>8160</v>
      </c>
      <c r="AE638" s="8" t="n">
        <v>-8661</v>
      </c>
      <c r="AF638" s="8" t="n">
        <v>-4533</v>
      </c>
      <c r="AG638" s="9" t="n">
        <v>9446</v>
      </c>
      <c r="AH638" s="10" t="n">
        <v>-10381</v>
      </c>
      <c r="AI638" s="10" t="n">
        <v>-10414</v>
      </c>
      <c r="AJ638" s="11" t="n">
        <v>10589</v>
      </c>
      <c r="AK638" s="12" t="n">
        <v>-9233</v>
      </c>
      <c r="AL638" s="12" t="n">
        <v>-8409</v>
      </c>
      <c r="AM638" s="13" t="n">
        <v>12.1</v>
      </c>
      <c r="AN638" s="13" t="n">
        <v>17.8</v>
      </c>
      <c r="AO638" s="13" t="n">
        <v>11.1</v>
      </c>
      <c r="AP638" s="13" t="n">
        <v>3</v>
      </c>
    </row>
    <row r="639">
      <c r="A639" s="5" t="inlineStr">
        <is>
          <t>케이피에프</t>
        </is>
      </c>
      <c r="B639" s="6" t="inlineStr">
        <is>
          <t>024880</t>
        </is>
      </c>
      <c r="C639" s="6" t="inlineStr">
        <is>
          <t>연결</t>
        </is>
      </c>
      <c r="D639" s="6" t="inlineStr">
        <is>
          <t>2026Q2</t>
        </is>
      </c>
      <c r="E639" s="6" t="inlineStr"/>
      <c r="F639" s="7" t="inlineStr"/>
      <c r="G639" s="8" t="inlineStr"/>
      <c r="H639" s="8" t="inlineStr"/>
      <c r="I639" s="9" t="n">
        <v>202497</v>
      </c>
      <c r="J639" s="10" t="n">
        <v>12070</v>
      </c>
      <c r="K639" s="10" t="n">
        <v>9409</v>
      </c>
      <c r="L639" s="7" t="n">
        <v>209492</v>
      </c>
      <c r="M639" s="8" t="n">
        <v>12756</v>
      </c>
      <c r="N639" s="8" t="n">
        <v>8278</v>
      </c>
      <c r="O639" s="9" t="n">
        <v>185994</v>
      </c>
      <c r="P639" s="10" t="n">
        <v>7816</v>
      </c>
      <c r="Q639" s="10" t="n">
        <v>872</v>
      </c>
      <c r="R639" s="7" t="n">
        <v>184031</v>
      </c>
      <c r="S639" s="8" t="n">
        <v>6805</v>
      </c>
      <c r="T639" s="8" t="n">
        <v>5430</v>
      </c>
      <c r="U639" s="9" t="n">
        <v>206714</v>
      </c>
      <c r="V639" s="10" t="n">
        <v>13818</v>
      </c>
      <c r="W639" s="10" t="n">
        <v>9250</v>
      </c>
      <c r="X639" s="7" t="n">
        <v>191119</v>
      </c>
      <c r="Y639" s="8" t="n">
        <v>10053</v>
      </c>
      <c r="Z639" s="8" t="n">
        <v>4085</v>
      </c>
      <c r="AA639" s="9" t="n">
        <v>174098</v>
      </c>
      <c r="AB639" s="10" t="n">
        <v>8594</v>
      </c>
      <c r="AC639" s="10" t="n">
        <v>7219</v>
      </c>
      <c r="AD639" s="7" t="n">
        <v>171983</v>
      </c>
      <c r="AE639" s="8" t="n">
        <v>2931</v>
      </c>
      <c r="AF639" s="8" t="n">
        <v>-1509</v>
      </c>
      <c r="AG639" s="9" t="n">
        <v>194246</v>
      </c>
      <c r="AH639" s="10" t="n">
        <v>7824</v>
      </c>
      <c r="AI639" s="10" t="n">
        <v>8360</v>
      </c>
      <c r="AJ639" s="11" t="n">
        <v>213567</v>
      </c>
      <c r="AK639" s="12" t="n">
        <v>8918</v>
      </c>
      <c r="AL639" s="12" t="n">
        <v>5323</v>
      </c>
      <c r="AM639" s="13" t="n">
        <v>9.9</v>
      </c>
      <c r="AN639" s="13" t="n">
        <v>11.7</v>
      </c>
      <c r="AO639" s="13" t="n">
        <v>14</v>
      </c>
      <c r="AP639" s="13" t="n">
        <v>-11.3</v>
      </c>
    </row>
    <row r="640">
      <c r="A640" s="5" t="inlineStr">
        <is>
          <t>대원화성</t>
        </is>
      </c>
      <c r="B640" s="6" t="inlineStr">
        <is>
          <t>024890</t>
        </is>
      </c>
      <c r="C640" s="6" t="inlineStr">
        <is>
          <t>연결</t>
        </is>
      </c>
      <c r="D640" s="6" t="inlineStr">
        <is>
          <t>2026Q2</t>
        </is>
      </c>
      <c r="E640" s="6" t="inlineStr"/>
      <c r="F640" s="7" t="inlineStr"/>
      <c r="G640" s="8" t="inlineStr"/>
      <c r="H640" s="8" t="inlineStr"/>
      <c r="I640" s="9" t="n">
        <v>25599</v>
      </c>
      <c r="J640" s="10" t="n">
        <v>-2762</v>
      </c>
      <c r="K640" s="10" t="n">
        <v>-2680</v>
      </c>
      <c r="L640" s="7" t="n">
        <v>28942</v>
      </c>
      <c r="M640" s="8" t="n">
        <v>-3640</v>
      </c>
      <c r="N640" s="8" t="n">
        <v>-3198</v>
      </c>
      <c r="O640" s="9" t="n">
        <v>34114</v>
      </c>
      <c r="P640" s="10" t="n">
        <v>387</v>
      </c>
      <c r="Q640" s="10" t="n">
        <v>-1027</v>
      </c>
      <c r="R640" s="7" t="n">
        <v>37295</v>
      </c>
      <c r="S640" s="8" t="n">
        <v>-99</v>
      </c>
      <c r="T640" s="8" t="n">
        <v>-5208</v>
      </c>
      <c r="U640" s="9" t="n">
        <v>35324</v>
      </c>
      <c r="V640" s="10" t="n">
        <v>400</v>
      </c>
      <c r="W640" s="10" t="n">
        <v>-745</v>
      </c>
      <c r="X640" s="7" t="n">
        <v>28855</v>
      </c>
      <c r="Y640" s="8" t="n">
        <v>387</v>
      </c>
      <c r="Z640" s="8" t="n">
        <v>-270</v>
      </c>
      <c r="AA640" s="9" t="n">
        <v>31079</v>
      </c>
      <c r="AB640" s="10" t="n">
        <v>846</v>
      </c>
      <c r="AC640" s="10" t="n">
        <v>-2130</v>
      </c>
      <c r="AD640" s="7" t="n">
        <v>31166</v>
      </c>
      <c r="AE640" s="8" t="n">
        <v>-762</v>
      </c>
      <c r="AF640" s="8" t="n">
        <v>6663</v>
      </c>
      <c r="AG640" s="9" t="n">
        <v>34985</v>
      </c>
      <c r="AH640" s="10" t="n">
        <v>493</v>
      </c>
      <c r="AI640" s="10" t="n">
        <v>-308</v>
      </c>
      <c r="AJ640" s="11" t="n">
        <v>34648</v>
      </c>
      <c r="AK640" s="12" t="n">
        <v>-370</v>
      </c>
      <c r="AL640" s="12" t="n">
        <v>-329</v>
      </c>
      <c r="AM640" s="13" t="n">
        <v>-1</v>
      </c>
      <c r="AN640" s="13" t="n">
        <v>20.1</v>
      </c>
      <c r="AO640" s="13" t="n">
        <v>-175.1</v>
      </c>
      <c r="AP640" s="13" t="n">
        <v>-195.6</v>
      </c>
    </row>
    <row r="641">
      <c r="A641" s="5" t="inlineStr">
        <is>
          <t>디와이덕양</t>
        </is>
      </c>
      <c r="B641" s="6" t="inlineStr">
        <is>
          <t>024900</t>
        </is>
      </c>
      <c r="C641" s="6" t="inlineStr">
        <is>
          <t>연결</t>
        </is>
      </c>
      <c r="D641" s="6" t="inlineStr">
        <is>
          <t>2026Q2</t>
        </is>
      </c>
      <c r="E641" s="6" t="inlineStr"/>
      <c r="F641" s="7" t="inlineStr"/>
      <c r="G641" s="8" t="inlineStr"/>
      <c r="H641" s="8" t="inlineStr"/>
      <c r="I641" s="9" t="n">
        <v>466724</v>
      </c>
      <c r="J641" s="10" t="n">
        <v>1695</v>
      </c>
      <c r="K641" s="10" t="n">
        <v>2829</v>
      </c>
      <c r="L641" s="7" t="n">
        <v>501397</v>
      </c>
      <c r="M641" s="8" t="n">
        <v>3459</v>
      </c>
      <c r="N641" s="8" t="n">
        <v>4282</v>
      </c>
      <c r="O641" s="9" t="n">
        <v>429183</v>
      </c>
      <c r="P641" s="10" t="n">
        <v>194</v>
      </c>
      <c r="Q641" s="10" t="n">
        <v>126</v>
      </c>
      <c r="R641" s="7" t="n">
        <v>485982</v>
      </c>
      <c r="S641" s="8" t="n">
        <v>2882</v>
      </c>
      <c r="T641" s="8" t="n">
        <v>9446</v>
      </c>
      <c r="U641" s="9" t="n">
        <v>434953</v>
      </c>
      <c r="V641" s="10" t="n">
        <v>3081</v>
      </c>
      <c r="W641" s="10" t="n">
        <v>3275</v>
      </c>
      <c r="X641" s="7" t="n">
        <v>450564</v>
      </c>
      <c r="Y641" s="8" t="n">
        <v>-594</v>
      </c>
      <c r="Z641" s="8" t="n">
        <v>-3518</v>
      </c>
      <c r="AA641" s="9" t="n">
        <v>413730</v>
      </c>
      <c r="AB641" s="10" t="n">
        <v>-3641</v>
      </c>
      <c r="AC641" s="10" t="n">
        <v>-496</v>
      </c>
      <c r="AD641" s="7" t="n">
        <v>438825</v>
      </c>
      <c r="AE641" s="8" t="n">
        <v>4358</v>
      </c>
      <c r="AF641" s="8" t="n">
        <v>1974</v>
      </c>
      <c r="AG641" s="9" t="n">
        <v>428061</v>
      </c>
      <c r="AH641" s="10" t="n">
        <v>2618</v>
      </c>
      <c r="AI641" s="10" t="n">
        <v>3765</v>
      </c>
      <c r="AJ641" s="11" t="n">
        <v>414823</v>
      </c>
      <c r="AK641" s="12" t="n">
        <v>-7919</v>
      </c>
      <c r="AL641" s="12" t="n">
        <v>-2656</v>
      </c>
      <c r="AM641" s="13" t="n">
        <v>-3.1</v>
      </c>
      <c r="AN641" s="13" t="n">
        <v>-7.9</v>
      </c>
      <c r="AO641" s="13" t="n">
        <v>-402.5</v>
      </c>
      <c r="AP641" s="13" t="n">
        <v>-1233.2</v>
      </c>
    </row>
    <row r="642">
      <c r="A642" s="5" t="inlineStr">
        <is>
          <t>경창산업</t>
        </is>
      </c>
      <c r="B642" s="6" t="inlineStr">
        <is>
          <t>024910</t>
        </is>
      </c>
      <c r="C642" s="6" t="inlineStr">
        <is>
          <t>연결</t>
        </is>
      </c>
      <c r="D642" s="6" t="inlineStr">
        <is>
          <t>2026Q2</t>
        </is>
      </c>
      <c r="E642" s="6" t="inlineStr"/>
      <c r="F642" s="7" t="inlineStr"/>
      <c r="G642" s="8" t="inlineStr"/>
      <c r="H642" s="8" t="inlineStr"/>
      <c r="I642" s="9" t="n">
        <v>155955</v>
      </c>
      <c r="J642" s="10" t="n">
        <v>5360</v>
      </c>
      <c r="K642" s="10" t="n">
        <v>2467</v>
      </c>
      <c r="L642" s="7" t="n">
        <v>163644</v>
      </c>
      <c r="M642" s="8" t="n">
        <v>4307</v>
      </c>
      <c r="N642" s="8" t="n">
        <v>-278</v>
      </c>
      <c r="O642" s="9" t="n">
        <v>159797</v>
      </c>
      <c r="P642" s="10" t="n">
        <v>269</v>
      </c>
      <c r="Q642" s="10" t="n">
        <v>-1346</v>
      </c>
      <c r="R642" s="7" t="n">
        <v>158649</v>
      </c>
      <c r="S642" s="8" t="n">
        <v>-295</v>
      </c>
      <c r="T642" s="8" t="n">
        <v>2579</v>
      </c>
      <c r="U642" s="9" t="n">
        <v>168127</v>
      </c>
      <c r="V642" s="10" t="n">
        <v>3504</v>
      </c>
      <c r="W642" s="10" t="n">
        <v>1692</v>
      </c>
      <c r="X642" s="7" t="n">
        <v>184399</v>
      </c>
      <c r="Y642" s="8" t="n">
        <v>2047</v>
      </c>
      <c r="Z642" s="8" t="n">
        <v>-564</v>
      </c>
      <c r="AA642" s="9" t="n">
        <v>173430</v>
      </c>
      <c r="AB642" s="10" t="n">
        <v>-2474</v>
      </c>
      <c r="AC642" s="10" t="n">
        <v>-2585</v>
      </c>
      <c r="AD642" s="7" t="n">
        <v>179384</v>
      </c>
      <c r="AE642" s="8" t="n">
        <v>4267</v>
      </c>
      <c r="AF642" s="8" t="n">
        <v>-20084</v>
      </c>
      <c r="AG642" s="9" t="n">
        <v>171650</v>
      </c>
      <c r="AH642" s="10" t="n">
        <v>4451</v>
      </c>
      <c r="AI642" s="10" t="n">
        <v>3336</v>
      </c>
      <c r="AJ642" s="11" t="n">
        <v>186526</v>
      </c>
      <c r="AK642" s="12" t="n">
        <v>8405</v>
      </c>
      <c r="AL642" s="12" t="n">
        <v>6024</v>
      </c>
      <c r="AM642" s="13" t="n">
        <v>8.699999999999999</v>
      </c>
      <c r="AN642" s="13" t="n">
        <v>1.2</v>
      </c>
      <c r="AO642" s="13" t="n">
        <v>88.8</v>
      </c>
      <c r="AP642" s="13" t="n">
        <v>310.6</v>
      </c>
    </row>
    <row r="643">
      <c r="A643" s="5" t="inlineStr">
        <is>
          <t>PN풍년</t>
        </is>
      </c>
      <c r="B643" s="6" t="inlineStr">
        <is>
          <t>024940</t>
        </is>
      </c>
      <c r="C643" s="6" t="inlineStr">
        <is>
          <t>연결</t>
        </is>
      </c>
      <c r="D643" s="6" t="inlineStr">
        <is>
          <t>2026Q2</t>
        </is>
      </c>
      <c r="E643" s="6" t="inlineStr"/>
      <c r="F643" s="7" t="inlineStr"/>
      <c r="G643" s="8" t="inlineStr"/>
      <c r="H643" s="8" t="inlineStr"/>
      <c r="I643" s="9" t="n">
        <v>14018</v>
      </c>
      <c r="J643" s="10" t="n">
        <v>703</v>
      </c>
      <c r="K643" s="10" t="n">
        <v>759</v>
      </c>
      <c r="L643" s="7" t="n">
        <v>12407</v>
      </c>
      <c r="M643" s="8" t="n">
        <v>-72</v>
      </c>
      <c r="N643" s="8" t="n">
        <v>214</v>
      </c>
      <c r="O643" s="9" t="n">
        <v>14309</v>
      </c>
      <c r="P643" s="10" t="n">
        <v>48</v>
      </c>
      <c r="Q643" s="10" t="n">
        <v>241</v>
      </c>
      <c r="R643" s="7" t="n">
        <v>14214</v>
      </c>
      <c r="S643" s="8" t="n">
        <v>241</v>
      </c>
      <c r="T643" s="8" t="n">
        <v>373</v>
      </c>
      <c r="U643" s="9" t="n">
        <v>15305</v>
      </c>
      <c r="V643" s="10" t="n">
        <v>783</v>
      </c>
      <c r="W643" s="10" t="n">
        <v>838</v>
      </c>
      <c r="X643" s="7" t="n">
        <v>12803</v>
      </c>
      <c r="Y643" s="8" t="n">
        <v>145</v>
      </c>
      <c r="Z643" s="8" t="n">
        <v>1150</v>
      </c>
      <c r="AA643" s="9" t="n">
        <v>14109</v>
      </c>
      <c r="AB643" s="10" t="n">
        <v>602</v>
      </c>
      <c r="AC643" s="10" t="n">
        <v>646</v>
      </c>
      <c r="AD643" s="7" t="n">
        <v>13823</v>
      </c>
      <c r="AE643" s="8" t="n">
        <v>37</v>
      </c>
      <c r="AF643" s="8" t="n">
        <v>242</v>
      </c>
      <c r="AG643" s="9" t="n">
        <v>14491</v>
      </c>
      <c r="AH643" s="10" t="n">
        <v>749</v>
      </c>
      <c r="AI643" s="10" t="n">
        <v>778</v>
      </c>
      <c r="AJ643" s="11" t="n">
        <v>12504</v>
      </c>
      <c r="AK643" s="12" t="n">
        <v>310</v>
      </c>
      <c r="AL643" s="12" t="n">
        <v>383</v>
      </c>
      <c r="AM643" s="13" t="n">
        <v>-13.7</v>
      </c>
      <c r="AN643" s="13" t="n">
        <v>-2.3</v>
      </c>
      <c r="AO643" s="13" t="n">
        <v>-58.6</v>
      </c>
      <c r="AP643" s="13" t="n">
        <v>113.8</v>
      </c>
    </row>
    <row r="644">
      <c r="A644" s="5" t="inlineStr">
        <is>
          <t>삼천리자전거</t>
        </is>
      </c>
      <c r="B644" s="6" t="inlineStr">
        <is>
          <t>024950</t>
        </is>
      </c>
      <c r="C644" s="6" t="inlineStr">
        <is>
          <t>연결</t>
        </is>
      </c>
      <c r="D644" s="6" t="inlineStr">
        <is>
          <t>2026Q2</t>
        </is>
      </c>
      <c r="E644" s="6" t="inlineStr"/>
      <c r="F644" s="7" t="inlineStr"/>
      <c r="G644" s="8" t="inlineStr"/>
      <c r="H644" s="8" t="inlineStr"/>
      <c r="I644" s="9" t="n">
        <v>42539</v>
      </c>
      <c r="J644" s="10" t="n">
        <v>1227</v>
      </c>
      <c r="K644" s="10" t="n">
        <v>1419</v>
      </c>
      <c r="L644" s="7" t="n">
        <v>48816</v>
      </c>
      <c r="M644" s="8" t="n">
        <v>3004</v>
      </c>
      <c r="N644" s="8" t="n">
        <v>1721</v>
      </c>
      <c r="O644" s="9" t="n">
        <v>43589</v>
      </c>
      <c r="P644" s="10" t="n">
        <v>1246</v>
      </c>
      <c r="Q644" s="10" t="n">
        <v>1355</v>
      </c>
      <c r="R644" s="7" t="n">
        <v>26223</v>
      </c>
      <c r="S644" s="8" t="n">
        <v>-2463</v>
      </c>
      <c r="T644" s="8" t="n">
        <v>-2853</v>
      </c>
      <c r="U644" s="9" t="n">
        <v>47296</v>
      </c>
      <c r="V644" s="10" t="n">
        <v>1306</v>
      </c>
      <c r="W644" s="10" t="n">
        <v>1974</v>
      </c>
      <c r="X644" s="7" t="n">
        <v>49045</v>
      </c>
      <c r="Y644" s="8" t="n">
        <v>6108</v>
      </c>
      <c r="Z644" s="8" t="n">
        <v>5158</v>
      </c>
      <c r="AA644" s="9" t="n">
        <v>40693</v>
      </c>
      <c r="AB644" s="10" t="n">
        <v>6909</v>
      </c>
      <c r="AC644" s="10" t="n">
        <v>6167</v>
      </c>
      <c r="AD644" s="7" t="n">
        <v>38526</v>
      </c>
      <c r="AE644" s="8" t="n">
        <v>-1898</v>
      </c>
      <c r="AF644" s="8" t="n">
        <v>-1721</v>
      </c>
      <c r="AG644" s="9" t="n">
        <v>42465</v>
      </c>
      <c r="AH644" s="10" t="n">
        <v>2263</v>
      </c>
      <c r="AI644" s="10" t="n">
        <v>3926</v>
      </c>
      <c r="AJ644" s="11" t="n">
        <v>49883</v>
      </c>
      <c r="AK644" s="12" t="n">
        <v>3280</v>
      </c>
      <c r="AL644" s="12" t="n">
        <v>3453</v>
      </c>
      <c r="AM644" s="13" t="n">
        <v>17.5</v>
      </c>
      <c r="AN644" s="13" t="n">
        <v>1.7</v>
      </c>
      <c r="AO644" s="13" t="n">
        <v>44.9</v>
      </c>
      <c r="AP644" s="13" t="n">
        <v>-46.3</v>
      </c>
    </row>
    <row r="645">
      <c r="A645" s="5" t="inlineStr">
        <is>
          <t>KPX케미칼</t>
        </is>
      </c>
      <c r="B645" s="6" t="inlineStr">
        <is>
          <t>025000</t>
        </is>
      </c>
      <c r="C645" s="6" t="inlineStr">
        <is>
          <t>연결</t>
        </is>
      </c>
      <c r="D645" s="6" t="inlineStr">
        <is>
          <t>2026Q2</t>
        </is>
      </c>
      <c r="E645" s="6" t="inlineStr"/>
      <c r="F645" s="7" t="inlineStr"/>
      <c r="G645" s="8" t="inlineStr"/>
      <c r="H645" s="8" t="inlineStr"/>
      <c r="I645" s="9" t="n">
        <v>220999</v>
      </c>
      <c r="J645" s="10" t="n">
        <v>14978</v>
      </c>
      <c r="K645" s="10" t="n">
        <v>17785</v>
      </c>
      <c r="L645" s="7" t="n">
        <v>231898</v>
      </c>
      <c r="M645" s="8" t="n">
        <v>11795</v>
      </c>
      <c r="N645" s="8" t="n">
        <v>18143</v>
      </c>
      <c r="O645" s="9" t="n">
        <v>223424</v>
      </c>
      <c r="P645" s="10" t="n">
        <v>11630</v>
      </c>
      <c r="Q645" s="10" t="n">
        <v>9011</v>
      </c>
      <c r="R645" s="7" t="n">
        <v>237046</v>
      </c>
      <c r="S645" s="8" t="n">
        <v>7027</v>
      </c>
      <c r="T645" s="8" t="n">
        <v>18929</v>
      </c>
      <c r="U645" s="9" t="n">
        <v>221262</v>
      </c>
      <c r="V645" s="10" t="n">
        <v>10302</v>
      </c>
      <c r="W645" s="10" t="n">
        <v>3534</v>
      </c>
      <c r="X645" s="7" t="n">
        <v>212643</v>
      </c>
      <c r="Y645" s="8" t="n">
        <v>9783</v>
      </c>
      <c r="Z645" s="8" t="n">
        <v>16073</v>
      </c>
      <c r="AA645" s="9" t="n">
        <v>214226</v>
      </c>
      <c r="AB645" s="10" t="n">
        <v>11942</v>
      </c>
      <c r="AC645" s="10" t="n">
        <v>22493</v>
      </c>
      <c r="AD645" s="7" t="n">
        <v>160220</v>
      </c>
      <c r="AE645" s="8" t="n">
        <v>-4631</v>
      </c>
      <c r="AF645" s="8" t="n">
        <v>9537</v>
      </c>
      <c r="AG645" s="9" t="n">
        <v>197686</v>
      </c>
      <c r="AH645" s="10" t="n">
        <v>5437</v>
      </c>
      <c r="AI645" s="10" t="n">
        <v>10479</v>
      </c>
      <c r="AJ645" s="11" t="n">
        <v>244962</v>
      </c>
      <c r="AK645" s="12" t="n">
        <v>23039</v>
      </c>
      <c r="AL645" s="12" t="n">
        <v>61186</v>
      </c>
      <c r="AM645" s="13" t="n">
        <v>23.9</v>
      </c>
      <c r="AN645" s="13" t="n">
        <v>15.2</v>
      </c>
      <c r="AO645" s="13" t="n">
        <v>323.7</v>
      </c>
      <c r="AP645" s="13" t="n">
        <v>135.5</v>
      </c>
    </row>
    <row r="646">
      <c r="A646" s="5" t="inlineStr">
        <is>
          <t>시노펙스</t>
        </is>
      </c>
      <c r="B646" s="6" t="inlineStr">
        <is>
          <t>025320</t>
        </is>
      </c>
      <c r="C646" s="6" t="inlineStr">
        <is>
          <t>연결</t>
        </is>
      </c>
      <c r="D646" s="6" t="inlineStr">
        <is>
          <t>2026Q2</t>
        </is>
      </c>
      <c r="E646" s="6" t="inlineStr"/>
      <c r="F646" s="7" t="inlineStr"/>
      <c r="G646" s="8" t="inlineStr"/>
      <c r="H646" s="8" t="inlineStr"/>
      <c r="I646" s="9" t="n">
        <v>71166</v>
      </c>
      <c r="J646" s="10" t="n">
        <v>8097</v>
      </c>
      <c r="K646" s="10" t="n">
        <v>7812</v>
      </c>
      <c r="L646" s="7" t="n">
        <v>55760</v>
      </c>
      <c r="M646" s="8" t="n">
        <v>3721</v>
      </c>
      <c r="N646" s="8" t="n">
        <v>5834</v>
      </c>
      <c r="O646" s="9" t="n">
        <v>59686</v>
      </c>
      <c r="P646" s="10" t="n">
        <v>3909</v>
      </c>
      <c r="Q646" s="10" t="n">
        <v>1435</v>
      </c>
      <c r="R646" s="7" t="n">
        <v>51727</v>
      </c>
      <c r="S646" s="8" t="n">
        <v>5502</v>
      </c>
      <c r="T646" s="8" t="n">
        <v>12922</v>
      </c>
      <c r="U646" s="9" t="n">
        <v>67252</v>
      </c>
      <c r="V646" s="10" t="n">
        <v>6777</v>
      </c>
      <c r="W646" s="10" t="n">
        <v>5711</v>
      </c>
      <c r="X646" s="7" t="n">
        <v>67652</v>
      </c>
      <c r="Y646" s="8" t="n">
        <v>5664</v>
      </c>
      <c r="Z646" s="8" t="n">
        <v>2696</v>
      </c>
      <c r="AA646" s="9" t="n">
        <v>70798</v>
      </c>
      <c r="AB646" s="10" t="n">
        <v>829</v>
      </c>
      <c r="AC646" s="10" t="n">
        <v>6171</v>
      </c>
      <c r="AD646" s="7" t="n">
        <v>55836</v>
      </c>
      <c r="AE646" s="8" t="n">
        <v>-6511</v>
      </c>
      <c r="AF646" s="8" t="n">
        <v>-7416</v>
      </c>
      <c r="AG646" s="9" t="n">
        <v>57232</v>
      </c>
      <c r="AH646" s="10" t="n">
        <v>1324</v>
      </c>
      <c r="AI646" s="10" t="n">
        <v>2962</v>
      </c>
      <c r="AJ646" s="11" t="n">
        <v>53807</v>
      </c>
      <c r="AK646" s="12" t="n">
        <v>-1899</v>
      </c>
      <c r="AL646" s="12" t="n">
        <v>-2022</v>
      </c>
      <c r="AM646" s="13" t="n">
        <v>-6</v>
      </c>
      <c r="AN646" s="13" t="n">
        <v>-20.5</v>
      </c>
      <c r="AO646" s="13" t="n">
        <v>-243.4</v>
      </c>
      <c r="AP646" s="13" t="n">
        <v>-133.5</v>
      </c>
    </row>
    <row r="647">
      <c r="A647" s="5" t="inlineStr">
        <is>
          <t>DH오토웨어</t>
        </is>
      </c>
      <c r="B647" s="6" t="inlineStr">
        <is>
          <t>025440</t>
        </is>
      </c>
      <c r="C647" s="6" t="inlineStr">
        <is>
          <t>연결</t>
        </is>
      </c>
      <c r="D647" s="6" t="inlineStr">
        <is>
          <t>2026Q2</t>
        </is>
      </c>
      <c r="E647" s="6" t="inlineStr"/>
      <c r="F647" s="7" t="inlineStr"/>
      <c r="G647" s="8" t="inlineStr"/>
      <c r="H647" s="8" t="inlineStr"/>
      <c r="I647" s="9" t="n">
        <v>94044</v>
      </c>
      <c r="J647" s="10" t="n">
        <v>827</v>
      </c>
      <c r="K647" s="10" t="n">
        <v>243</v>
      </c>
      <c r="L647" s="7" t="n">
        <v>100964</v>
      </c>
      <c r="M647" s="8" t="n">
        <v>-1195</v>
      </c>
      <c r="N647" s="8" t="n">
        <v>1138</v>
      </c>
      <c r="O647" s="9" t="n">
        <v>77751</v>
      </c>
      <c r="P647" s="10" t="n">
        <v>-1173</v>
      </c>
      <c r="Q647" s="10" t="n">
        <v>-1329</v>
      </c>
      <c r="R647" s="7" t="n">
        <v>99172</v>
      </c>
      <c r="S647" s="8" t="n">
        <v>3437</v>
      </c>
      <c r="T647" s="8" t="n">
        <v>-2453</v>
      </c>
      <c r="U647" s="9" t="n">
        <v>91056</v>
      </c>
      <c r="V647" s="10" t="n">
        <v>-1402</v>
      </c>
      <c r="W647" s="10" t="n">
        <v>1419</v>
      </c>
      <c r="X647" s="7" t="n">
        <v>122531</v>
      </c>
      <c r="Y647" s="8" t="n">
        <v>-872</v>
      </c>
      <c r="Z647" s="8" t="n">
        <v>227</v>
      </c>
      <c r="AA647" s="9" t="n">
        <v>134543</v>
      </c>
      <c r="AB647" s="10" t="n">
        <v>-4671</v>
      </c>
      <c r="AC647" s="10" t="n">
        <v>-550</v>
      </c>
      <c r="AD647" s="7" t="n">
        <v>146236</v>
      </c>
      <c r="AE647" s="8" t="n">
        <v>2029</v>
      </c>
      <c r="AF647" s="8" t="n">
        <v>-24551</v>
      </c>
      <c r="AG647" s="9" t="n">
        <v>135408</v>
      </c>
      <c r="AH647" s="10" t="n">
        <v>3160</v>
      </c>
      <c r="AI647" s="10" t="n">
        <v>5236</v>
      </c>
      <c r="AJ647" s="11" t="n">
        <v>136173</v>
      </c>
      <c r="AK647" s="12" t="n">
        <v>-809</v>
      </c>
      <c r="AL647" s="12" t="n">
        <v>2466</v>
      </c>
      <c r="AM647" s="13" t="n">
        <v>0.6</v>
      </c>
      <c r="AN647" s="13" t="n">
        <v>11.1</v>
      </c>
      <c r="AO647" s="13" t="n">
        <v>-125.6</v>
      </c>
      <c r="AP647" s="13" t="n">
        <v>7.2</v>
      </c>
    </row>
    <row r="648">
      <c r="A648" s="5" t="inlineStr">
        <is>
          <t>에스제이엠홀딩스</t>
        </is>
      </c>
      <c r="B648" s="6" t="inlineStr">
        <is>
          <t>025530</t>
        </is>
      </c>
      <c r="C648" s="6" t="inlineStr">
        <is>
          <t>연결</t>
        </is>
      </c>
      <c r="D648" s="6" t="inlineStr">
        <is>
          <t>2026Q2</t>
        </is>
      </c>
      <c r="E648" s="6" t="inlineStr"/>
      <c r="F648" s="7" t="inlineStr"/>
      <c r="G648" s="8" t="inlineStr"/>
      <c r="H648" s="8" t="inlineStr"/>
      <c r="I648" s="9" t="n">
        <v>52182</v>
      </c>
      <c r="J648" s="10" t="n">
        <v>4603</v>
      </c>
      <c r="K648" s="10" t="n">
        <v>6132</v>
      </c>
      <c r="L648" s="7" t="n">
        <v>53639</v>
      </c>
      <c r="M648" s="8" t="n">
        <v>4786</v>
      </c>
      <c r="N648" s="8" t="n">
        <v>6694</v>
      </c>
      <c r="O648" s="9" t="n">
        <v>51482</v>
      </c>
      <c r="P648" s="10" t="n">
        <v>3696</v>
      </c>
      <c r="Q648" s="10" t="n">
        <v>-1196</v>
      </c>
      <c r="R648" s="7" t="n">
        <v>48892</v>
      </c>
      <c r="S648" s="8" t="n">
        <v>634</v>
      </c>
      <c r="T648" s="8" t="n">
        <v>9644</v>
      </c>
      <c r="U648" s="9" t="n">
        <v>54523</v>
      </c>
      <c r="V648" s="10" t="n">
        <v>3950</v>
      </c>
      <c r="W648" s="10" t="n">
        <v>6141</v>
      </c>
      <c r="X648" s="7" t="n">
        <v>49761</v>
      </c>
      <c r="Y648" s="8" t="n">
        <v>4548</v>
      </c>
      <c r="Z648" s="8" t="n">
        <v>1720</v>
      </c>
      <c r="AA648" s="9" t="n">
        <v>51120</v>
      </c>
      <c r="AB648" s="10" t="n">
        <v>3051</v>
      </c>
      <c r="AC648" s="10" t="n">
        <v>6241</v>
      </c>
      <c r="AD648" s="7" t="n">
        <v>50395</v>
      </c>
      <c r="AE648" s="8" t="n">
        <v>-998</v>
      </c>
      <c r="AF648" s="8" t="n">
        <v>469</v>
      </c>
      <c r="AG648" s="9" t="n">
        <v>54301</v>
      </c>
      <c r="AH648" s="10" t="n">
        <v>3197</v>
      </c>
      <c r="AI648" s="10" t="n">
        <v>7865</v>
      </c>
      <c r="AJ648" s="11" t="n">
        <v>53593</v>
      </c>
      <c r="AK648" s="12" t="n">
        <v>4908</v>
      </c>
      <c r="AL648" s="12" t="n">
        <v>10549</v>
      </c>
      <c r="AM648" s="13" t="n">
        <v>-1.3</v>
      </c>
      <c r="AN648" s="13" t="n">
        <v>7.7</v>
      </c>
      <c r="AO648" s="13" t="n">
        <v>53.5</v>
      </c>
      <c r="AP648" s="13" t="n">
        <v>7.9</v>
      </c>
    </row>
    <row r="649">
      <c r="A649" s="5" t="inlineStr">
        <is>
          <t>한국단자공업</t>
        </is>
      </c>
      <c r="B649" s="6" t="inlineStr">
        <is>
          <t>025540</t>
        </is>
      </c>
      <c r="C649" s="6" t="inlineStr">
        <is>
          <t>연결</t>
        </is>
      </c>
      <c r="D649" s="6" t="inlineStr">
        <is>
          <t>2026Q2</t>
        </is>
      </c>
      <c r="E649" s="6" t="inlineStr"/>
      <c r="F649" s="7" t="inlineStr"/>
      <c r="G649" s="8" t="inlineStr"/>
      <c r="H649" s="8" t="inlineStr"/>
      <c r="I649" s="9" t="n">
        <v>352103</v>
      </c>
      <c r="J649" s="10" t="n">
        <v>34745</v>
      </c>
      <c r="K649" s="10" t="n">
        <v>34038</v>
      </c>
      <c r="L649" s="7" t="n">
        <v>391448</v>
      </c>
      <c r="M649" s="8" t="n">
        <v>56810</v>
      </c>
      <c r="N649" s="8" t="n">
        <v>46894</v>
      </c>
      <c r="O649" s="9" t="n">
        <v>377985</v>
      </c>
      <c r="P649" s="10" t="n">
        <v>48545</v>
      </c>
      <c r="Q649" s="10" t="n">
        <v>33743</v>
      </c>
      <c r="R649" s="7" t="n">
        <v>388255</v>
      </c>
      <c r="S649" s="8" t="n">
        <v>31213</v>
      </c>
      <c r="T649" s="8" t="n">
        <v>27848</v>
      </c>
      <c r="U649" s="9" t="n">
        <v>357548</v>
      </c>
      <c r="V649" s="10" t="n">
        <v>28674</v>
      </c>
      <c r="W649" s="10" t="n">
        <v>27104</v>
      </c>
      <c r="X649" s="7" t="n">
        <v>380343</v>
      </c>
      <c r="Y649" s="8" t="n">
        <v>36891</v>
      </c>
      <c r="Z649" s="8" t="n">
        <v>17571</v>
      </c>
      <c r="AA649" s="9" t="n">
        <v>368004</v>
      </c>
      <c r="AB649" s="10" t="n">
        <v>40545</v>
      </c>
      <c r="AC649" s="10" t="n">
        <v>38540</v>
      </c>
      <c r="AD649" s="7" t="n">
        <v>336955</v>
      </c>
      <c r="AE649" s="8" t="n">
        <v>33143</v>
      </c>
      <c r="AF649" s="8" t="n">
        <v>22941</v>
      </c>
      <c r="AG649" s="9" t="n">
        <v>337350</v>
      </c>
      <c r="AH649" s="10" t="n">
        <v>25830</v>
      </c>
      <c r="AI649" s="10" t="n">
        <v>35246</v>
      </c>
      <c r="AJ649" s="11" t="n">
        <v>395077</v>
      </c>
      <c r="AK649" s="12" t="n">
        <v>17838</v>
      </c>
      <c r="AL649" s="12" t="n">
        <v>25210</v>
      </c>
      <c r="AM649" s="13" t="n">
        <v>17.1</v>
      </c>
      <c r="AN649" s="13" t="n">
        <v>3.9</v>
      </c>
      <c r="AO649" s="13" t="n">
        <v>-30.9</v>
      </c>
      <c r="AP649" s="13" t="n">
        <v>-51.6</v>
      </c>
    </row>
    <row r="650">
      <c r="A650" s="5" t="inlineStr">
        <is>
          <t>한국선재</t>
        </is>
      </c>
      <c r="B650" s="6" t="inlineStr">
        <is>
          <t>025550</t>
        </is>
      </c>
      <c r="C650" s="6" t="inlineStr">
        <is>
          <t>연결</t>
        </is>
      </c>
      <c r="D650" s="6" t="inlineStr">
        <is>
          <t>2026Q2</t>
        </is>
      </c>
      <c r="E650" s="6" t="inlineStr"/>
      <c r="F650" s="7" t="inlineStr"/>
      <c r="G650" s="8" t="inlineStr"/>
      <c r="H650" s="8" t="inlineStr"/>
      <c r="I650" s="9" t="n">
        <v>52986</v>
      </c>
      <c r="J650" s="10" t="n">
        <v>1853</v>
      </c>
      <c r="K650" s="10" t="n">
        <v>1241</v>
      </c>
      <c r="L650" s="7" t="n">
        <v>59840</v>
      </c>
      <c r="M650" s="8" t="n">
        <v>2131</v>
      </c>
      <c r="N650" s="8" t="n">
        <v>1018</v>
      </c>
      <c r="O650" s="9" t="n">
        <v>53111</v>
      </c>
      <c r="P650" s="10" t="n">
        <v>1274</v>
      </c>
      <c r="Q650" s="10" t="n">
        <v>-239</v>
      </c>
      <c r="R650" s="7" t="n">
        <v>57511</v>
      </c>
      <c r="S650" s="8" t="n">
        <v>772</v>
      </c>
      <c r="T650" s="8" t="n">
        <v>-1537</v>
      </c>
      <c r="U650" s="9" t="n">
        <v>53367</v>
      </c>
      <c r="V650" s="10" t="n">
        <v>254</v>
      </c>
      <c r="W650" s="10" t="n">
        <v>-518</v>
      </c>
      <c r="X650" s="7" t="n">
        <v>56101</v>
      </c>
      <c r="Y650" s="8" t="n">
        <v>5169</v>
      </c>
      <c r="Z650" s="8" t="n">
        <v>5416</v>
      </c>
      <c r="AA650" s="9" t="n">
        <v>56009</v>
      </c>
      <c r="AB650" s="10" t="n">
        <v>2788</v>
      </c>
      <c r="AC650" s="10" t="n">
        <v>2111</v>
      </c>
      <c r="AD650" s="7" t="n">
        <v>53923</v>
      </c>
      <c r="AE650" s="8" t="n">
        <v>-36</v>
      </c>
      <c r="AF650" s="8" t="n">
        <v>-3318</v>
      </c>
      <c r="AG650" s="9" t="n">
        <v>66120</v>
      </c>
      <c r="AH650" s="10" t="n">
        <v>8160</v>
      </c>
      <c r="AI650" s="10" t="n">
        <v>-4020</v>
      </c>
      <c r="AJ650" s="11" t="n">
        <v>71721</v>
      </c>
      <c r="AK650" s="12" t="n">
        <v>9226</v>
      </c>
      <c r="AL650" s="12" t="n">
        <v>3967</v>
      </c>
      <c r="AM650" s="13" t="n">
        <v>8.5</v>
      </c>
      <c r="AN650" s="13" t="n">
        <v>27.8</v>
      </c>
      <c r="AO650" s="13" t="n">
        <v>13.1</v>
      </c>
      <c r="AP650" s="13" t="n">
        <v>78.5</v>
      </c>
    </row>
    <row r="651">
      <c r="A651" s="5" t="inlineStr">
        <is>
          <t>미래산업</t>
        </is>
      </c>
      <c r="B651" s="6" t="inlineStr">
        <is>
          <t>025560</t>
        </is>
      </c>
      <c r="C651" s="6" t="inlineStr">
        <is>
          <t>연결</t>
        </is>
      </c>
      <c r="D651" s="6" t="inlineStr">
        <is>
          <t>2026Q2</t>
        </is>
      </c>
      <c r="E651" s="6" t="inlineStr"/>
      <c r="F651" s="7" t="inlineStr"/>
      <c r="G651" s="8" t="inlineStr"/>
      <c r="H651" s="8" t="inlineStr"/>
      <c r="I651" s="9" t="n">
        <v>5163</v>
      </c>
      <c r="J651" s="10" t="n">
        <v>2040</v>
      </c>
      <c r="K651" s="10" t="n">
        <v>2880</v>
      </c>
      <c r="L651" s="7" t="n">
        <v>5889</v>
      </c>
      <c r="M651" s="8" t="n">
        <v>303</v>
      </c>
      <c r="N651" s="8" t="n">
        <v>-4653</v>
      </c>
      <c r="O651" s="9" t="n">
        <v>6241</v>
      </c>
      <c r="P651" s="10" t="n">
        <v>7406</v>
      </c>
      <c r="Q651" s="10" t="n">
        <v>7457</v>
      </c>
      <c r="R651" s="7" t="n">
        <v>9749</v>
      </c>
      <c r="S651" s="8" t="n">
        <v>2372</v>
      </c>
      <c r="T651" s="8" t="n">
        <v>920</v>
      </c>
      <c r="U651" s="9" t="n">
        <v>4749</v>
      </c>
      <c r="V651" s="10" t="n">
        <v>292</v>
      </c>
      <c r="W651" s="10" t="n">
        <v>94</v>
      </c>
      <c r="X651" s="7" t="n">
        <v>6806</v>
      </c>
      <c r="Y651" s="8" t="n">
        <v>1037</v>
      </c>
      <c r="Z651" s="8" t="n">
        <v>1314</v>
      </c>
      <c r="AA651" s="9" t="n">
        <v>22628</v>
      </c>
      <c r="AB651" s="10" t="n">
        <v>6002</v>
      </c>
      <c r="AC651" s="10" t="n">
        <v>6408</v>
      </c>
      <c r="AD651" s="7" t="n">
        <v>16595</v>
      </c>
      <c r="AE651" s="8" t="n">
        <v>1812</v>
      </c>
      <c r="AF651" s="8" t="n">
        <v>2296</v>
      </c>
      <c r="AG651" s="9" t="n">
        <v>20738</v>
      </c>
      <c r="AH651" s="10" t="n">
        <v>4886</v>
      </c>
      <c r="AI651" s="10" t="n">
        <v>5913</v>
      </c>
      <c r="AJ651" s="11" t="n">
        <v>30798</v>
      </c>
      <c r="AK651" s="12" t="n">
        <v>10360</v>
      </c>
      <c r="AL651" s="12" t="n">
        <v>10724</v>
      </c>
      <c r="AM651" s="13" t="n">
        <v>48.5</v>
      </c>
      <c r="AN651" s="13" t="n">
        <v>352.5</v>
      </c>
      <c r="AO651" s="13" t="n">
        <v>112</v>
      </c>
      <c r="AP651" s="13" t="n">
        <v>899</v>
      </c>
    </row>
    <row r="652">
      <c r="A652" s="5" t="inlineStr">
        <is>
          <t>차AI헬스케어</t>
        </is>
      </c>
      <c r="B652" s="6" t="inlineStr">
        <is>
          <t>025620</t>
        </is>
      </c>
      <c r="C652" s="6" t="inlineStr">
        <is>
          <t>연결</t>
        </is>
      </c>
      <c r="D652" s="6" t="inlineStr">
        <is>
          <t>2026Q2</t>
        </is>
      </c>
      <c r="E652" s="6" t="inlineStr"/>
      <c r="F652" s="7" t="inlineStr"/>
      <c r="G652" s="8" t="inlineStr"/>
      <c r="H652" s="8" t="inlineStr"/>
      <c r="I652" s="9" t="n">
        <v>5988</v>
      </c>
      <c r="J652" s="10" t="n">
        <v>-1272</v>
      </c>
      <c r="K652" s="10" t="n">
        <v>-414</v>
      </c>
      <c r="L652" s="7" t="n">
        <v>5435</v>
      </c>
      <c r="M652" s="8" t="n">
        <v>213</v>
      </c>
      <c r="N652" s="8" t="n">
        <v>-1141</v>
      </c>
      <c r="O652" s="9" t="n">
        <v>2701</v>
      </c>
      <c r="P652" s="10" t="n">
        <v>-2146</v>
      </c>
      <c r="Q652" s="10" t="n">
        <v>-4173</v>
      </c>
      <c r="R652" s="7" t="n">
        <v>1551</v>
      </c>
      <c r="S652" s="8" t="n">
        <v>-2241</v>
      </c>
      <c r="T652" s="8" t="n">
        <v>-3765</v>
      </c>
      <c r="U652" s="9" t="n">
        <v>1751</v>
      </c>
      <c r="V652" s="10" t="n">
        <v>-1904</v>
      </c>
      <c r="W652" s="10" t="n">
        <v>-2362</v>
      </c>
      <c r="X652" s="7" t="n">
        <v>1965</v>
      </c>
      <c r="Y652" s="8" t="n">
        <v>-1418</v>
      </c>
      <c r="Z652" s="8" t="n">
        <v>1344</v>
      </c>
      <c r="AA652" s="9" t="n">
        <v>1626</v>
      </c>
      <c r="AB652" s="10" t="n">
        <v>-2128</v>
      </c>
      <c r="AC652" s="10" t="n">
        <v>-2179</v>
      </c>
      <c r="AD652" s="7" t="n">
        <v>1963</v>
      </c>
      <c r="AE652" s="8" t="n">
        <v>-2006</v>
      </c>
      <c r="AF652" s="8" t="n">
        <v>4564</v>
      </c>
      <c r="AG652" s="9" t="n">
        <v>1937</v>
      </c>
      <c r="AH652" s="10" t="n">
        <v>-2371</v>
      </c>
      <c r="AI652" s="10" t="n">
        <v>-4627</v>
      </c>
      <c r="AJ652" s="11" t="n">
        <v>2909</v>
      </c>
      <c r="AK652" s="12" t="n">
        <v>-1134</v>
      </c>
      <c r="AL652" s="12" t="n">
        <v>10401</v>
      </c>
      <c r="AM652" s="13" t="n">
        <v>50.2</v>
      </c>
      <c r="AN652" s="13" t="n">
        <v>48</v>
      </c>
      <c r="AO652" s="13" t="n">
        <v>52.2</v>
      </c>
      <c r="AP652" s="13" t="n">
        <v>20</v>
      </c>
    </row>
    <row r="653">
      <c r="A653" s="5" t="inlineStr">
        <is>
          <t>한솔홈데코</t>
        </is>
      </c>
      <c r="B653" s="6" t="inlineStr">
        <is>
          <t>025750</t>
        </is>
      </c>
      <c r="C653" s="6" t="inlineStr">
        <is>
          <t>연결</t>
        </is>
      </c>
      <c r="D653" s="6" t="inlineStr">
        <is>
          <t>2026Q2</t>
        </is>
      </c>
      <c r="E653" s="6" t="inlineStr"/>
      <c r="F653" s="7" t="inlineStr"/>
      <c r="G653" s="8" t="inlineStr"/>
      <c r="H653" s="8" t="inlineStr"/>
      <c r="I653" s="9" t="n">
        <v>81121</v>
      </c>
      <c r="J653" s="10" t="n">
        <v>1764</v>
      </c>
      <c r="K653" s="10" t="n">
        <v>-1181</v>
      </c>
      <c r="L653" s="7" t="n">
        <v>93014</v>
      </c>
      <c r="M653" s="8" t="n">
        <v>4680</v>
      </c>
      <c r="N653" s="8" t="n">
        <v>1469</v>
      </c>
      <c r="O653" s="9" t="n">
        <v>79682</v>
      </c>
      <c r="P653" s="10" t="n">
        <v>1932</v>
      </c>
      <c r="Q653" s="10" t="n">
        <v>-241</v>
      </c>
      <c r="R653" s="7" t="n">
        <v>73442</v>
      </c>
      <c r="S653" s="8" t="n">
        <v>3044</v>
      </c>
      <c r="T653" s="8" t="n">
        <v>-16973</v>
      </c>
      <c r="U653" s="9" t="n">
        <v>74330</v>
      </c>
      <c r="V653" s="10" t="n">
        <v>1182</v>
      </c>
      <c r="W653" s="10" t="n">
        <v>638</v>
      </c>
      <c r="X653" s="7" t="n">
        <v>68617</v>
      </c>
      <c r="Y653" s="8" t="n">
        <v>1595</v>
      </c>
      <c r="Z653" s="8" t="n">
        <v>2640</v>
      </c>
      <c r="AA653" s="9" t="n">
        <v>71971</v>
      </c>
      <c r="AB653" s="10" t="n">
        <v>-553</v>
      </c>
      <c r="AC653" s="10" t="n">
        <v>-2272</v>
      </c>
      <c r="AD653" s="7" t="n">
        <v>64899</v>
      </c>
      <c r="AE653" s="8" t="n">
        <v>109</v>
      </c>
      <c r="AF653" s="8" t="n">
        <v>-23356</v>
      </c>
      <c r="AG653" s="9" t="n">
        <v>69144</v>
      </c>
      <c r="AH653" s="10" t="n">
        <v>2708</v>
      </c>
      <c r="AI653" s="10" t="n">
        <v>3537</v>
      </c>
      <c r="AJ653" s="11" t="n">
        <v>70415</v>
      </c>
      <c r="AK653" s="12" t="n">
        <v>3151</v>
      </c>
      <c r="AL653" s="12" t="n">
        <v>9</v>
      </c>
      <c r="AM653" s="13" t="n">
        <v>1.8</v>
      </c>
      <c r="AN653" s="13" t="n">
        <v>2.6</v>
      </c>
      <c r="AO653" s="13" t="n">
        <v>16.4</v>
      </c>
      <c r="AP653" s="13" t="n">
        <v>97.59999999999999</v>
      </c>
    </row>
    <row r="654">
      <c r="A654" s="5" t="inlineStr">
        <is>
          <t>한국정보통신</t>
        </is>
      </c>
      <c r="B654" s="6" t="inlineStr">
        <is>
          <t>025770</t>
        </is>
      </c>
      <c r="C654" s="6" t="inlineStr">
        <is>
          <t>연결</t>
        </is>
      </c>
      <c r="D654" s="6" t="inlineStr">
        <is>
          <t>2026Q2</t>
        </is>
      </c>
      <c r="E654" s="6" t="inlineStr"/>
      <c r="F654" s="7" t="inlineStr"/>
      <c r="G654" s="8" t="inlineStr"/>
      <c r="H654" s="8" t="inlineStr"/>
      <c r="I654" s="9" t="n">
        <v>194763</v>
      </c>
      <c r="J654" s="10" t="n">
        <v>9122</v>
      </c>
      <c r="K654" s="10" t="n">
        <v>7231</v>
      </c>
      <c r="L654" s="7" t="n">
        <v>202588</v>
      </c>
      <c r="M654" s="8" t="n">
        <v>14710</v>
      </c>
      <c r="N654" s="8" t="n">
        <v>12063</v>
      </c>
      <c r="O654" s="9" t="n">
        <v>199132</v>
      </c>
      <c r="P654" s="10" t="n">
        <v>12971</v>
      </c>
      <c r="Q654" s="10" t="n">
        <v>21914</v>
      </c>
      <c r="R654" s="7" t="n">
        <v>194485</v>
      </c>
      <c r="S654" s="8" t="n">
        <v>2322</v>
      </c>
      <c r="T654" s="8" t="n">
        <v>2336</v>
      </c>
      <c r="U654" s="9" t="n">
        <v>192399</v>
      </c>
      <c r="V654" s="10" t="n">
        <v>10091</v>
      </c>
      <c r="W654" s="10" t="n">
        <v>8560</v>
      </c>
      <c r="X654" s="7" t="n">
        <v>204838</v>
      </c>
      <c r="Y654" s="8" t="n">
        <v>14020</v>
      </c>
      <c r="Z654" s="8" t="n">
        <v>10902</v>
      </c>
      <c r="AA654" s="9" t="n">
        <v>218203</v>
      </c>
      <c r="AB654" s="10" t="n">
        <v>15140</v>
      </c>
      <c r="AC654" s="10" t="n">
        <v>12518</v>
      </c>
      <c r="AD654" s="7" t="n">
        <v>220890</v>
      </c>
      <c r="AE654" s="8" t="n">
        <v>5977</v>
      </c>
      <c r="AF654" s="8" t="n">
        <v>4592</v>
      </c>
      <c r="AG654" s="9" t="n">
        <v>216161</v>
      </c>
      <c r="AH654" s="10" t="n">
        <v>10955</v>
      </c>
      <c r="AI654" s="10" t="n">
        <v>8632</v>
      </c>
      <c r="AJ654" s="11" t="n">
        <v>237611</v>
      </c>
      <c r="AK654" s="12" t="n">
        <v>11942</v>
      </c>
      <c r="AL654" s="12" t="n">
        <v>10183</v>
      </c>
      <c r="AM654" s="13" t="n">
        <v>9.9</v>
      </c>
      <c r="AN654" s="13" t="n">
        <v>16</v>
      </c>
      <c r="AO654" s="13" t="n">
        <v>9</v>
      </c>
      <c r="AP654" s="13" t="n">
        <v>-14.8</v>
      </c>
    </row>
    <row r="655">
      <c r="A655" s="5" t="inlineStr">
        <is>
          <t>이구산업</t>
        </is>
      </c>
      <c r="B655" s="6" t="inlineStr">
        <is>
          <t>025820</t>
        </is>
      </c>
      <c r="C655" s="6" t="inlineStr">
        <is>
          <t>별도</t>
        </is>
      </c>
      <c r="D655" s="6" t="inlineStr">
        <is>
          <t>2026Q2</t>
        </is>
      </c>
      <c r="E655" s="6" t="inlineStr"/>
      <c r="F655" s="7" t="inlineStr"/>
      <c r="G655" s="8" t="inlineStr"/>
      <c r="H655" s="8" t="inlineStr"/>
      <c r="I655" s="9" t="n">
        <v>106389</v>
      </c>
      <c r="J655" s="10" t="n">
        <v>2946</v>
      </c>
      <c r="K655" s="10" t="n">
        <v>615</v>
      </c>
      <c r="L655" s="7" t="n">
        <v>125445</v>
      </c>
      <c r="M655" s="8" t="n">
        <v>12013</v>
      </c>
      <c r="N655" s="8" t="n">
        <v>7440</v>
      </c>
      <c r="O655" s="9" t="n">
        <v>114466</v>
      </c>
      <c r="P655" s="10" t="n">
        <v>6455</v>
      </c>
      <c r="Q655" s="10" t="n">
        <v>5990</v>
      </c>
      <c r="R655" s="7" t="n">
        <v>125992</v>
      </c>
      <c r="S655" s="8" t="n">
        <v>3749</v>
      </c>
      <c r="T655" s="8" t="n">
        <v>-1438</v>
      </c>
      <c r="U655" s="9" t="n">
        <v>128932</v>
      </c>
      <c r="V655" s="10" t="n">
        <v>7656</v>
      </c>
      <c r="W655" s="10" t="n">
        <v>4193</v>
      </c>
      <c r="X655" s="7" t="n">
        <v>125997</v>
      </c>
      <c r="Y655" s="8" t="n">
        <v>4407</v>
      </c>
      <c r="Z655" s="8" t="n">
        <v>5598</v>
      </c>
      <c r="AA655" s="9" t="n">
        <v>131268</v>
      </c>
      <c r="AB655" s="10" t="n">
        <v>3161</v>
      </c>
      <c r="AC655" s="10" t="n">
        <v>-564</v>
      </c>
      <c r="AD655" s="7" t="n">
        <v>121587</v>
      </c>
      <c r="AE655" s="8" t="n">
        <v>9183</v>
      </c>
      <c r="AF655" s="8" t="n">
        <v>1693</v>
      </c>
      <c r="AG655" s="9" t="n">
        <v>151614</v>
      </c>
      <c r="AH655" s="10" t="n">
        <v>21273</v>
      </c>
      <c r="AI655" s="10" t="n">
        <v>14601</v>
      </c>
      <c r="AJ655" s="11" t="n">
        <v>190753</v>
      </c>
      <c r="AK655" s="12" t="n">
        <v>20340</v>
      </c>
      <c r="AL655" s="12" t="n">
        <v>8690</v>
      </c>
      <c r="AM655" s="13" t="n">
        <v>25.8</v>
      </c>
      <c r="AN655" s="13" t="n">
        <v>51.4</v>
      </c>
      <c r="AO655" s="13" t="n">
        <v>-4.4</v>
      </c>
      <c r="AP655" s="13" t="n">
        <v>361.5</v>
      </c>
    </row>
    <row r="656">
      <c r="A656" s="5" t="inlineStr">
        <is>
          <t>남해화학</t>
        </is>
      </c>
      <c r="B656" s="6" t="inlineStr">
        <is>
          <t>025860</t>
        </is>
      </c>
      <c r="C656" s="6" t="inlineStr">
        <is>
          <t>연결</t>
        </is>
      </c>
      <c r="D656" s="6" t="inlineStr">
        <is>
          <t>2026Q2</t>
        </is>
      </c>
      <c r="E656" s="6" t="inlineStr"/>
      <c r="F656" s="7" t="inlineStr"/>
      <c r="G656" s="8" t="inlineStr"/>
      <c r="H656" s="8" t="inlineStr"/>
      <c r="I656" s="9" t="n">
        <v>414490</v>
      </c>
      <c r="J656" s="10" t="n">
        <v>20062</v>
      </c>
      <c r="K656" s="10" t="n">
        <v>13785</v>
      </c>
      <c r="L656" s="7" t="n">
        <v>405299</v>
      </c>
      <c r="M656" s="8" t="n">
        <v>12342</v>
      </c>
      <c r="N656" s="8" t="n">
        <v>8171</v>
      </c>
      <c r="O656" s="9" t="n">
        <v>323804</v>
      </c>
      <c r="P656" s="10" t="n">
        <v>1332</v>
      </c>
      <c r="Q656" s="10" t="n">
        <v>284</v>
      </c>
      <c r="R656" s="7" t="n">
        <v>375516</v>
      </c>
      <c r="S656" s="8" t="n">
        <v>2528</v>
      </c>
      <c r="T656" s="8" t="n">
        <v>-718</v>
      </c>
      <c r="U656" s="9" t="n">
        <v>437663</v>
      </c>
      <c r="V656" s="10" t="n">
        <v>20701</v>
      </c>
      <c r="W656" s="10" t="n">
        <v>13643</v>
      </c>
      <c r="X656" s="7" t="n">
        <v>426193</v>
      </c>
      <c r="Y656" s="8" t="n">
        <v>14154</v>
      </c>
      <c r="Z656" s="8" t="n">
        <v>9398</v>
      </c>
      <c r="AA656" s="9" t="n">
        <v>360330</v>
      </c>
      <c r="AB656" s="10" t="n">
        <v>15693</v>
      </c>
      <c r="AC656" s="10" t="n">
        <v>9681</v>
      </c>
      <c r="AD656" s="7" t="n">
        <v>380235</v>
      </c>
      <c r="AE656" s="8" t="n">
        <v>-7419</v>
      </c>
      <c r="AF656" s="8" t="n">
        <v>-5796</v>
      </c>
      <c r="AG656" s="9" t="n">
        <v>492955</v>
      </c>
      <c r="AH656" s="10" t="n">
        <v>-121</v>
      </c>
      <c r="AI656" s="10" t="n">
        <v>-2509</v>
      </c>
      <c r="AJ656" s="11" t="n">
        <v>504928</v>
      </c>
      <c r="AK656" s="12" t="n">
        <v>12920</v>
      </c>
      <c r="AL656" s="12" t="n">
        <v>8337</v>
      </c>
      <c r="AM656" s="13" t="n">
        <v>2.4</v>
      </c>
      <c r="AN656" s="13" t="n">
        <v>18.5</v>
      </c>
      <c r="AO656" s="13" t="n">
        <v>10777.7</v>
      </c>
      <c r="AP656" s="13" t="n">
        <v>-8.699999999999999</v>
      </c>
    </row>
    <row r="657">
      <c r="A657" s="5" t="inlineStr">
        <is>
          <t>신라에스지</t>
        </is>
      </c>
      <c r="B657" s="6" t="inlineStr">
        <is>
          <t>025870</t>
        </is>
      </c>
      <c r="C657" s="6" t="inlineStr">
        <is>
          <t>연결</t>
        </is>
      </c>
      <c r="D657" s="6" t="inlineStr">
        <is>
          <t>2026Q2</t>
        </is>
      </c>
      <c r="E657" s="6" t="inlineStr"/>
      <c r="F657" s="7" t="inlineStr"/>
      <c r="G657" s="8" t="inlineStr"/>
      <c r="H657" s="8" t="inlineStr"/>
      <c r="I657" s="9" t="n">
        <v>23768</v>
      </c>
      <c r="J657" s="10" t="n">
        <v>71</v>
      </c>
      <c r="K657" s="10" t="n">
        <v>-307</v>
      </c>
      <c r="L657" s="7" t="n">
        <v>23611</v>
      </c>
      <c r="M657" s="8" t="n">
        <v>1044</v>
      </c>
      <c r="N657" s="8" t="n">
        <v>831</v>
      </c>
      <c r="O657" s="9" t="n">
        <v>21453</v>
      </c>
      <c r="P657" s="10" t="n">
        <v>-567</v>
      </c>
      <c r="Q657" s="10" t="n">
        <v>-675</v>
      </c>
      <c r="R657" s="7" t="n">
        <v>16787</v>
      </c>
      <c r="S657" s="8" t="n">
        <v>600</v>
      </c>
      <c r="T657" s="8" t="n">
        <v>272</v>
      </c>
      <c r="U657" s="9" t="n">
        <v>16450</v>
      </c>
      <c r="V657" s="10" t="n">
        <v>-540</v>
      </c>
      <c r="W657" s="10" t="n">
        <v>-752</v>
      </c>
      <c r="X657" s="7" t="n">
        <v>17873</v>
      </c>
      <c r="Y657" s="8" t="n">
        <v>-440</v>
      </c>
      <c r="Z657" s="8" t="n">
        <v>-513</v>
      </c>
      <c r="AA657" s="9" t="n">
        <v>20699</v>
      </c>
      <c r="AB657" s="10" t="n">
        <v>-44</v>
      </c>
      <c r="AC657" s="10" t="n">
        <v>-335</v>
      </c>
      <c r="AD657" s="7" t="n">
        <v>15015</v>
      </c>
      <c r="AE657" s="8" t="n">
        <v>-531</v>
      </c>
      <c r="AF657" s="8" t="n">
        <v>-1738</v>
      </c>
      <c r="AG657" s="9" t="n">
        <v>17633</v>
      </c>
      <c r="AH657" s="10" t="n">
        <v>-581</v>
      </c>
      <c r="AI657" s="10" t="n">
        <v>-263</v>
      </c>
      <c r="AJ657" s="11" t="n">
        <v>20037</v>
      </c>
      <c r="AK657" s="12" t="n">
        <v>802</v>
      </c>
      <c r="AL657" s="12" t="n">
        <v>537</v>
      </c>
      <c r="AM657" s="13" t="n">
        <v>13.6</v>
      </c>
      <c r="AN657" s="13" t="n">
        <v>12.1</v>
      </c>
      <c r="AO657" s="13" t="n">
        <v>238</v>
      </c>
      <c r="AP657" s="13" t="n">
        <v>282.3</v>
      </c>
    </row>
    <row r="658">
      <c r="A658" s="5" t="inlineStr">
        <is>
          <t>케이씨피드</t>
        </is>
      </c>
      <c r="B658" s="6" t="inlineStr">
        <is>
          <t>025880</t>
        </is>
      </c>
      <c r="C658" s="6" t="inlineStr">
        <is>
          <t>연결</t>
        </is>
      </c>
      <c r="D658" s="6" t="inlineStr">
        <is>
          <t>2026Q2</t>
        </is>
      </c>
      <c r="E658" s="6" t="inlineStr"/>
      <c r="F658" s="7" t="inlineStr"/>
      <c r="G658" s="8" t="inlineStr"/>
      <c r="H658" s="8" t="inlineStr"/>
      <c r="I658" s="9" t="n">
        <v>26529</v>
      </c>
      <c r="J658" s="10" t="n">
        <v>2679</v>
      </c>
      <c r="K658" s="10" t="n">
        <v>2349</v>
      </c>
      <c r="L658" s="7" t="n">
        <v>26352</v>
      </c>
      <c r="M658" s="8" t="n">
        <v>2820</v>
      </c>
      <c r="N658" s="8" t="n">
        <v>2494</v>
      </c>
      <c r="O658" s="9" t="n">
        <v>23977</v>
      </c>
      <c r="P658" s="10" t="n">
        <v>2417</v>
      </c>
      <c r="Q658" s="10" t="n">
        <v>2131</v>
      </c>
      <c r="R658" s="7" t="n">
        <v>26101</v>
      </c>
      <c r="S658" s="8" t="n">
        <v>181</v>
      </c>
      <c r="T658" s="8" t="n">
        <v>35</v>
      </c>
      <c r="U658" s="9" t="n">
        <v>25380</v>
      </c>
      <c r="V658" s="10" t="n">
        <v>2172</v>
      </c>
      <c r="W658" s="10" t="n">
        <v>2142</v>
      </c>
      <c r="X658" s="7" t="n">
        <v>32107</v>
      </c>
      <c r="Y658" s="8" t="n">
        <v>2907</v>
      </c>
      <c r="Z658" s="8" t="n">
        <v>2746</v>
      </c>
      <c r="AA658" s="9" t="n">
        <v>31907</v>
      </c>
      <c r="AB658" s="10" t="n">
        <v>4310</v>
      </c>
      <c r="AC658" s="10" t="n">
        <v>3795</v>
      </c>
      <c r="AD658" s="7" t="n">
        <v>32377</v>
      </c>
      <c r="AE658" s="8" t="n">
        <v>2793</v>
      </c>
      <c r="AF658" s="8" t="n">
        <v>1890</v>
      </c>
      <c r="AG658" s="9" t="n">
        <v>27707</v>
      </c>
      <c r="AH658" s="10" t="n">
        <v>1629</v>
      </c>
      <c r="AI658" s="10" t="n">
        <v>2430</v>
      </c>
      <c r="AJ658" s="11" t="n">
        <v>28928</v>
      </c>
      <c r="AK658" s="12" t="n">
        <v>2812</v>
      </c>
      <c r="AL658" s="12" t="n">
        <v>2462</v>
      </c>
      <c r="AM658" s="13" t="n">
        <v>4.4</v>
      </c>
      <c r="AN658" s="13" t="n">
        <v>-9.9</v>
      </c>
      <c r="AO658" s="13" t="n">
        <v>72.59999999999999</v>
      </c>
      <c r="AP658" s="13" t="n">
        <v>-3.3</v>
      </c>
    </row>
    <row r="659">
      <c r="A659" s="5" t="inlineStr">
        <is>
          <t>한국주강</t>
        </is>
      </c>
      <c r="B659" s="6" t="inlineStr">
        <is>
          <t>025890</t>
        </is>
      </c>
      <c r="C659" s="6" t="inlineStr">
        <is>
          <t>별도</t>
        </is>
      </c>
      <c r="D659" s="6" t="inlineStr">
        <is>
          <t>2026Q2</t>
        </is>
      </c>
      <c r="E659" s="6" t="inlineStr"/>
      <c r="F659" s="7" t="inlineStr"/>
      <c r="G659" s="8" t="inlineStr"/>
      <c r="H659" s="8" t="inlineStr"/>
      <c r="I659" s="9" t="n">
        <v>11671</v>
      </c>
      <c r="J659" s="10" t="n">
        <v>62</v>
      </c>
      <c r="K659" s="10" t="n">
        <v>-37</v>
      </c>
      <c r="L659" s="7" t="n">
        <v>11863</v>
      </c>
      <c r="M659" s="8" t="n">
        <v>320</v>
      </c>
      <c r="N659" s="8" t="n">
        <v>168</v>
      </c>
      <c r="O659" s="9" t="n">
        <v>9950</v>
      </c>
      <c r="P659" s="10" t="n">
        <v>-315</v>
      </c>
      <c r="Q659" s="10" t="n">
        <v>-353</v>
      </c>
      <c r="R659" s="7" t="n">
        <v>13800</v>
      </c>
      <c r="S659" s="8" t="n">
        <v>1008</v>
      </c>
      <c r="T659" s="8" t="n">
        <v>984</v>
      </c>
      <c r="U659" s="9" t="n">
        <v>9424</v>
      </c>
      <c r="V659" s="10" t="n">
        <v>74</v>
      </c>
      <c r="W659" s="10" t="n">
        <v>98</v>
      </c>
      <c r="X659" s="7" t="n">
        <v>11673</v>
      </c>
      <c r="Y659" s="8" t="n">
        <v>354</v>
      </c>
      <c r="Z659" s="8" t="n">
        <v>247</v>
      </c>
      <c r="AA659" s="9" t="n">
        <v>9777</v>
      </c>
      <c r="AB659" s="10" t="n">
        <v>-327</v>
      </c>
      <c r="AC659" s="10" t="n">
        <v>-321</v>
      </c>
      <c r="AD659" s="7" t="n">
        <v>8998</v>
      </c>
      <c r="AE659" s="8" t="n">
        <v>-278</v>
      </c>
      <c r="AF659" s="8" t="n">
        <v>-315</v>
      </c>
      <c r="AG659" s="9" t="n">
        <v>8826</v>
      </c>
      <c r="AH659" s="10" t="n">
        <v>59</v>
      </c>
      <c r="AI659" s="10" t="n">
        <v>15</v>
      </c>
      <c r="AJ659" s="11" t="n">
        <v>11076</v>
      </c>
      <c r="AK659" s="12" t="n">
        <v>153</v>
      </c>
      <c r="AL659" s="12" t="n">
        <v>130</v>
      </c>
      <c r="AM659" s="13" t="n">
        <v>25.5</v>
      </c>
      <c r="AN659" s="13" t="n">
        <v>-5.1</v>
      </c>
      <c r="AO659" s="13" t="n">
        <v>159.3</v>
      </c>
      <c r="AP659" s="13" t="n">
        <v>-56.8</v>
      </c>
    </row>
    <row r="660">
      <c r="A660" s="5" t="inlineStr">
        <is>
          <t>동화기업</t>
        </is>
      </c>
      <c r="B660" s="6" t="inlineStr">
        <is>
          <t>025900</t>
        </is>
      </c>
      <c r="C660" s="6" t="inlineStr">
        <is>
          <t>연결</t>
        </is>
      </c>
      <c r="D660" s="6" t="inlineStr">
        <is>
          <t>2026Q2</t>
        </is>
      </c>
      <c r="E660" s="6" t="inlineStr"/>
      <c r="F660" s="7" t="inlineStr"/>
      <c r="G660" s="8" t="inlineStr"/>
      <c r="H660" s="8" t="inlineStr"/>
      <c r="I660" s="9" t="n">
        <v>229431</v>
      </c>
      <c r="J660" s="10" t="n">
        <v>799</v>
      </c>
      <c r="K660" s="10" t="n">
        <v>-12185</v>
      </c>
      <c r="L660" s="7" t="n">
        <v>225377</v>
      </c>
      <c r="M660" s="8" t="n">
        <v>5938</v>
      </c>
      <c r="N660" s="8" t="n">
        <v>-5327</v>
      </c>
      <c r="O660" s="9" t="n">
        <v>224180</v>
      </c>
      <c r="P660" s="10" t="n">
        <v>4069</v>
      </c>
      <c r="Q660" s="10" t="n">
        <v>-13263</v>
      </c>
      <c r="R660" s="7" t="n">
        <v>238989</v>
      </c>
      <c r="S660" s="8" t="n">
        <v>5898</v>
      </c>
      <c r="T660" s="8" t="n">
        <v>14537</v>
      </c>
      <c r="U660" s="9" t="n">
        <v>202301</v>
      </c>
      <c r="V660" s="10" t="n">
        <v>-1785</v>
      </c>
      <c r="W660" s="10" t="n">
        <v>-21733</v>
      </c>
      <c r="X660" s="7" t="n">
        <v>205605</v>
      </c>
      <c r="Y660" s="8" t="n">
        <v>-5009</v>
      </c>
      <c r="Z660" s="8" t="n">
        <v>-846</v>
      </c>
      <c r="AA660" s="9" t="n">
        <v>200937</v>
      </c>
      <c r="AB660" s="10" t="n">
        <v>-2931</v>
      </c>
      <c r="AC660" s="10" t="n">
        <v>-9617</v>
      </c>
      <c r="AD660" s="7" t="n">
        <v>220719</v>
      </c>
      <c r="AE660" s="8" t="n">
        <v>-4070</v>
      </c>
      <c r="AF660" s="8" t="n">
        <v>-23692</v>
      </c>
      <c r="AG660" s="9" t="n">
        <v>218056</v>
      </c>
      <c r="AH660" s="10" t="n">
        <v>-4882</v>
      </c>
      <c r="AI660" s="10" t="n">
        <v>-4692</v>
      </c>
      <c r="AJ660" s="11" t="n">
        <v>233505</v>
      </c>
      <c r="AK660" s="12" t="n">
        <v>-865</v>
      </c>
      <c r="AL660" s="12" t="n">
        <v>-8090</v>
      </c>
      <c r="AM660" s="13" t="n">
        <v>7.1</v>
      </c>
      <c r="AN660" s="13" t="n">
        <v>13.6</v>
      </c>
      <c r="AO660" s="13" t="n">
        <v>82.3</v>
      </c>
      <c r="AP660" s="13" t="n">
        <v>82.7</v>
      </c>
    </row>
    <row r="661">
      <c r="A661" s="5" t="inlineStr">
        <is>
          <t>동신건설</t>
        </is>
      </c>
      <c r="B661" s="6" t="inlineStr">
        <is>
          <t>025950</t>
        </is>
      </c>
      <c r="C661" s="6" t="inlineStr">
        <is>
          <t>별도</t>
        </is>
      </c>
      <c r="D661" s="6" t="inlineStr">
        <is>
          <t>2026Q2</t>
        </is>
      </c>
      <c r="E661" s="6" t="inlineStr"/>
      <c r="F661" s="7" t="inlineStr"/>
      <c r="G661" s="8" t="inlineStr"/>
      <c r="H661" s="8" t="inlineStr"/>
      <c r="I661" s="9" t="n">
        <v>13155</v>
      </c>
      <c r="J661" s="10" t="n">
        <v>97</v>
      </c>
      <c r="K661" s="10" t="n">
        <v>551</v>
      </c>
      <c r="L661" s="7" t="n">
        <v>18700</v>
      </c>
      <c r="M661" s="8" t="n">
        <v>760</v>
      </c>
      <c r="N661" s="8" t="n">
        <v>1514</v>
      </c>
      <c r="O661" s="9" t="n">
        <v>19270</v>
      </c>
      <c r="P661" s="10" t="n">
        <v>1306</v>
      </c>
      <c r="Q661" s="10" t="n">
        <v>1969</v>
      </c>
      <c r="R661" s="7" t="n">
        <v>17846</v>
      </c>
      <c r="S661" s="8" t="n">
        <v>-1577</v>
      </c>
      <c r="T661" s="8" t="n">
        <v>-1033</v>
      </c>
      <c r="U661" s="9" t="n">
        <v>5968</v>
      </c>
      <c r="V661" s="10" t="n">
        <v>-1285</v>
      </c>
      <c r="W661" s="10" t="n">
        <v>-968</v>
      </c>
      <c r="X661" s="7" t="n">
        <v>8774</v>
      </c>
      <c r="Y661" s="8" t="n">
        <v>612</v>
      </c>
      <c r="Z661" s="8" t="n">
        <v>1693</v>
      </c>
      <c r="AA661" s="9" t="n">
        <v>10324</v>
      </c>
      <c r="AB661" s="10" t="n">
        <v>-2046</v>
      </c>
      <c r="AC661" s="10" t="n">
        <v>-1861</v>
      </c>
      <c r="AD661" s="7" t="n">
        <v>8316</v>
      </c>
      <c r="AE661" s="8" t="n">
        <v>513</v>
      </c>
      <c r="AF661" s="8" t="n">
        <v>1283</v>
      </c>
      <c r="AG661" s="9" t="n">
        <v>5665</v>
      </c>
      <c r="AH661" s="10" t="n">
        <v>-250</v>
      </c>
      <c r="AI661" s="10" t="n">
        <v>587</v>
      </c>
      <c r="AJ661" s="11" t="n">
        <v>9753</v>
      </c>
      <c r="AK661" s="12" t="n">
        <v>-573</v>
      </c>
      <c r="AL661" s="12" t="n">
        <v>234</v>
      </c>
      <c r="AM661" s="13" t="n">
        <v>72.2</v>
      </c>
      <c r="AN661" s="13" t="n">
        <v>11.2</v>
      </c>
      <c r="AO661" s="13" t="n">
        <v>-129.2</v>
      </c>
      <c r="AP661" s="13" t="n">
        <v>-193.6</v>
      </c>
    </row>
    <row r="662">
      <c r="A662" s="5" t="inlineStr">
        <is>
          <t>아난티</t>
        </is>
      </c>
      <c r="B662" s="6" t="inlineStr">
        <is>
          <t>025980</t>
        </is>
      </c>
      <c r="C662" s="6" t="inlineStr">
        <is>
          <t>연결</t>
        </is>
      </c>
      <c r="D662" s="6" t="inlineStr">
        <is>
          <t>2026Q2</t>
        </is>
      </c>
      <c r="E662" s="6" t="inlineStr"/>
      <c r="F662" s="7" t="inlineStr"/>
      <c r="G662" s="8" t="inlineStr"/>
      <c r="H662" s="8" t="inlineStr"/>
      <c r="I662" s="9" t="n">
        <v>57311</v>
      </c>
      <c r="J662" s="10" t="n">
        <v>-10213</v>
      </c>
      <c r="K662" s="10" t="n">
        <v>-21761</v>
      </c>
      <c r="L662" s="7" t="n">
        <v>70364</v>
      </c>
      <c r="M662" s="8" t="n">
        <v>-5920</v>
      </c>
      <c r="N662" s="8" t="n">
        <v>-10442</v>
      </c>
      <c r="O662" s="9" t="n">
        <v>87181</v>
      </c>
      <c r="P662" s="10" t="n">
        <v>15719</v>
      </c>
      <c r="Q662" s="10" t="n">
        <v>10927</v>
      </c>
      <c r="R662" s="7" t="n">
        <v>70303</v>
      </c>
      <c r="S662" s="8" t="n">
        <v>1214</v>
      </c>
      <c r="T662" s="8" t="n">
        <v>-11093</v>
      </c>
      <c r="U662" s="9" t="n">
        <v>57256</v>
      </c>
      <c r="V662" s="10" t="n">
        <v>-3225</v>
      </c>
      <c r="W662" s="10" t="n">
        <v>-5775</v>
      </c>
      <c r="X662" s="7" t="n">
        <v>61852</v>
      </c>
      <c r="Y662" s="8" t="n">
        <v>-2505</v>
      </c>
      <c r="Z662" s="8" t="n">
        <v>-29474</v>
      </c>
      <c r="AA662" s="9" t="n">
        <v>73376</v>
      </c>
      <c r="AB662" s="10" t="n">
        <v>9186</v>
      </c>
      <c r="AC662" s="10" t="n">
        <v>7151</v>
      </c>
      <c r="AD662" s="7" t="n">
        <v>65587</v>
      </c>
      <c r="AE662" s="8" t="n">
        <v>4860</v>
      </c>
      <c r="AF662" s="8" t="n">
        <v>-9947</v>
      </c>
      <c r="AG662" s="9" t="n">
        <v>46709</v>
      </c>
      <c r="AH662" s="10" t="n">
        <v>-9508</v>
      </c>
      <c r="AI662" s="10" t="n">
        <v>-18209</v>
      </c>
      <c r="AJ662" s="11" t="n">
        <v>55123</v>
      </c>
      <c r="AK662" s="12" t="n">
        <v>-5365</v>
      </c>
      <c r="AL662" s="12" t="n">
        <v>-9198</v>
      </c>
      <c r="AM662" s="13" t="n">
        <v>18</v>
      </c>
      <c r="AN662" s="13" t="n">
        <v>-10.9</v>
      </c>
      <c r="AO662" s="13" t="n">
        <v>43.6</v>
      </c>
      <c r="AP662" s="13" t="n">
        <v>-114.2</v>
      </c>
    </row>
    <row r="663">
      <c r="A663" s="5" t="inlineStr">
        <is>
          <t>제이에스티나</t>
        </is>
      </c>
      <c r="B663" s="6" t="inlineStr">
        <is>
          <t>026040</t>
        </is>
      </c>
      <c r="C663" s="6" t="inlineStr">
        <is>
          <t>별도</t>
        </is>
      </c>
      <c r="D663" s="6" t="inlineStr">
        <is>
          <t>2026Q2</t>
        </is>
      </c>
      <c r="E663" s="6" t="inlineStr"/>
      <c r="F663" s="7" t="inlineStr"/>
      <c r="G663" s="8" t="inlineStr"/>
      <c r="H663" s="8" t="inlineStr"/>
      <c r="I663" s="9" t="n">
        <v>18875</v>
      </c>
      <c r="J663" s="10" t="n">
        <v>-607</v>
      </c>
      <c r="K663" s="10" t="n">
        <v>-97</v>
      </c>
      <c r="L663" s="7" t="n">
        <v>18547</v>
      </c>
      <c r="M663" s="8" t="n">
        <v>-126</v>
      </c>
      <c r="N663" s="8" t="n">
        <v>-199</v>
      </c>
      <c r="O663" s="9" t="n">
        <v>17884</v>
      </c>
      <c r="P663" s="10" t="n">
        <v>-366</v>
      </c>
      <c r="Q663" s="10" t="n">
        <v>-291</v>
      </c>
      <c r="R663" s="7" t="n">
        <v>19128</v>
      </c>
      <c r="S663" s="8" t="n">
        <v>-1504</v>
      </c>
      <c r="T663" s="8" t="n">
        <v>-908</v>
      </c>
      <c r="U663" s="9" t="n">
        <v>17522</v>
      </c>
      <c r="V663" s="10" t="n">
        <v>647</v>
      </c>
      <c r="W663" s="10" t="n">
        <v>672</v>
      </c>
      <c r="X663" s="7" t="n">
        <v>17177</v>
      </c>
      <c r="Y663" s="8" t="n">
        <v>-144</v>
      </c>
      <c r="Z663" s="8" t="n">
        <v>19</v>
      </c>
      <c r="AA663" s="9" t="n">
        <v>18479</v>
      </c>
      <c r="AB663" s="10" t="n">
        <v>12</v>
      </c>
      <c r="AC663" s="10" t="n">
        <v>238</v>
      </c>
      <c r="AD663" s="7" t="n">
        <v>19065</v>
      </c>
      <c r="AE663" s="8" t="n">
        <v>191</v>
      </c>
      <c r="AF663" s="8" t="n">
        <v>898</v>
      </c>
      <c r="AG663" s="9" t="n">
        <v>18688</v>
      </c>
      <c r="AH663" s="10" t="n">
        <v>-556</v>
      </c>
      <c r="AI663" s="10" t="n">
        <v>-429</v>
      </c>
      <c r="AJ663" s="11" t="n">
        <v>19719</v>
      </c>
      <c r="AK663" s="12" t="n">
        <v>-325</v>
      </c>
      <c r="AL663" s="12" t="n">
        <v>6906</v>
      </c>
      <c r="AM663" s="13" t="n">
        <v>5.5</v>
      </c>
      <c r="AN663" s="13" t="n">
        <v>14.8</v>
      </c>
      <c r="AO663" s="13" t="n">
        <v>41.5</v>
      </c>
      <c r="AP663" s="13" t="n">
        <v>-125.7</v>
      </c>
    </row>
    <row r="664">
      <c r="A664" s="5" t="inlineStr">
        <is>
          <t>특수건설</t>
        </is>
      </c>
      <c r="B664" s="6" t="inlineStr">
        <is>
          <t>026150</t>
        </is>
      </c>
      <c r="C664" s="6" t="inlineStr">
        <is>
          <t>연결</t>
        </is>
      </c>
      <c r="D664" s="6" t="inlineStr">
        <is>
          <t>2026Q2</t>
        </is>
      </c>
      <c r="E664" s="6" t="inlineStr"/>
      <c r="F664" s="7" t="inlineStr"/>
      <c r="G664" s="8" t="inlineStr"/>
      <c r="H664" s="8" t="inlineStr"/>
      <c r="I664" s="9" t="n">
        <v>57281</v>
      </c>
      <c r="J664" s="10" t="n">
        <v>926</v>
      </c>
      <c r="K664" s="10" t="n">
        <v>745</v>
      </c>
      <c r="L664" s="7" t="n">
        <v>50406</v>
      </c>
      <c r="M664" s="8" t="n">
        <v>1032</v>
      </c>
      <c r="N664" s="8" t="n">
        <v>35</v>
      </c>
      <c r="O664" s="9" t="n">
        <v>49552</v>
      </c>
      <c r="P664" s="10" t="n">
        <v>1327</v>
      </c>
      <c r="Q664" s="10" t="n">
        <v>104</v>
      </c>
      <c r="R664" s="7" t="n">
        <v>55291</v>
      </c>
      <c r="S664" s="8" t="n">
        <v>5467</v>
      </c>
      <c r="T664" s="8" t="n">
        <v>4508</v>
      </c>
      <c r="U664" s="9" t="n">
        <v>45860</v>
      </c>
      <c r="V664" s="10" t="n">
        <v>653</v>
      </c>
      <c r="W664" s="10" t="n">
        <v>16720</v>
      </c>
      <c r="X664" s="7" t="n">
        <v>48189</v>
      </c>
      <c r="Y664" s="8" t="n">
        <v>-20</v>
      </c>
      <c r="Z664" s="8" t="n">
        <v>-745</v>
      </c>
      <c r="AA664" s="9" t="n">
        <v>40656</v>
      </c>
      <c r="AB664" s="10" t="n">
        <v>-3938</v>
      </c>
      <c r="AC664" s="10" t="n">
        <v>-4488</v>
      </c>
      <c r="AD664" s="7" t="n">
        <v>14316</v>
      </c>
      <c r="AE664" s="8" t="n">
        <v>-28340</v>
      </c>
      <c r="AF664" s="8" t="n">
        <v>-29694</v>
      </c>
      <c r="AG664" s="9" t="n">
        <v>53196</v>
      </c>
      <c r="AH664" s="10" t="n">
        <v>2590</v>
      </c>
      <c r="AI664" s="10" t="n">
        <v>2026</v>
      </c>
      <c r="AJ664" s="11" t="n">
        <v>55415</v>
      </c>
      <c r="AK664" s="12" t="n">
        <v>1989</v>
      </c>
      <c r="AL664" s="12" t="n">
        <v>1663</v>
      </c>
      <c r="AM664" s="13" t="n">
        <v>4.2</v>
      </c>
      <c r="AN664" s="13" t="n">
        <v>15</v>
      </c>
      <c r="AO664" s="13" t="n">
        <v>-23.2</v>
      </c>
      <c r="AP664" s="13" t="n">
        <v>10045</v>
      </c>
    </row>
    <row r="665">
      <c r="A665" s="5" t="inlineStr">
        <is>
          <t>스틱인베스트먼트</t>
        </is>
      </c>
      <c r="B665" s="6" t="inlineStr">
        <is>
          <t>026890</t>
        </is>
      </c>
      <c r="C665" s="6" t="inlineStr">
        <is>
          <t>연결</t>
        </is>
      </c>
      <c r="D665" s="6" t="inlineStr">
        <is>
          <t>2026Q2</t>
        </is>
      </c>
      <c r="E665" s="6" t="inlineStr"/>
      <c r="F665" s="7" t="inlineStr"/>
      <c r="G665" s="8" t="inlineStr"/>
      <c r="H665" s="8" t="inlineStr"/>
      <c r="I665" s="9" t="n">
        <v>22104</v>
      </c>
      <c r="J665" s="10" t="n">
        <v>10251</v>
      </c>
      <c r="K665" s="10" t="n">
        <v>8472</v>
      </c>
      <c r="L665" s="7" t="n">
        <v>16774</v>
      </c>
      <c r="M665" s="8" t="n">
        <v>62</v>
      </c>
      <c r="N665" s="8" t="n">
        <v>-2607</v>
      </c>
      <c r="O665" s="9" t="n">
        <v>18654</v>
      </c>
      <c r="P665" s="10" t="n">
        <v>6490</v>
      </c>
      <c r="Q665" s="10" t="n">
        <v>5219</v>
      </c>
      <c r="R665" s="7" t="n">
        <v>21934</v>
      </c>
      <c r="S665" s="8" t="n">
        <v>-3385</v>
      </c>
      <c r="T665" s="8" t="n">
        <v>-1753</v>
      </c>
      <c r="U665" s="9" t="n">
        <v>16559</v>
      </c>
      <c r="V665" s="10" t="n">
        <v>-5666</v>
      </c>
      <c r="W665" s="10" t="n">
        <v>-4566</v>
      </c>
      <c r="X665" s="7" t="n">
        <v>26846</v>
      </c>
      <c r="Y665" s="8" t="n">
        <v>4678</v>
      </c>
      <c r="Z665" s="8" t="n">
        <v>3379</v>
      </c>
      <c r="AA665" s="9" t="n">
        <v>17931</v>
      </c>
      <c r="AB665" s="10" t="n">
        <v>4054</v>
      </c>
      <c r="AC665" s="10" t="n">
        <v>3450</v>
      </c>
      <c r="AD665" s="7" t="n">
        <v>29882</v>
      </c>
      <c r="AE665" s="8" t="n">
        <v>14118</v>
      </c>
      <c r="AF665" s="8" t="n">
        <v>12593</v>
      </c>
      <c r="AG665" s="9" t="n">
        <v>16845</v>
      </c>
      <c r="AH665" s="10" t="n">
        <v>4582</v>
      </c>
      <c r="AI665" s="10" t="n">
        <v>3655</v>
      </c>
      <c r="AJ665" s="11" t="n">
        <v>20299</v>
      </c>
      <c r="AK665" s="12" t="n">
        <v>3056</v>
      </c>
      <c r="AL665" s="12" t="n">
        <v>1710</v>
      </c>
      <c r="AM665" s="13" t="n">
        <v>20.5</v>
      </c>
      <c r="AN665" s="13" t="n">
        <v>-24.4</v>
      </c>
      <c r="AO665" s="13" t="n">
        <v>-33.3</v>
      </c>
      <c r="AP665" s="13" t="n">
        <v>-34.7</v>
      </c>
    </row>
    <row r="666">
      <c r="A666" s="5" t="inlineStr">
        <is>
          <t>광진실업</t>
        </is>
      </c>
      <c r="B666" s="6" t="inlineStr">
        <is>
          <t>026910</t>
        </is>
      </c>
      <c r="C666" s="6" t="inlineStr">
        <is>
          <t>연결</t>
        </is>
      </c>
      <c r="D666" s="6" t="inlineStr">
        <is>
          <t>2026Q2</t>
        </is>
      </c>
      <c r="E666" s="6" t="inlineStr"/>
      <c r="F666" s="7" t="inlineStr"/>
      <c r="G666" s="8" t="inlineStr"/>
      <c r="H666" s="8" t="inlineStr"/>
      <c r="I666" s="9" t="n">
        <v>13152</v>
      </c>
      <c r="J666" s="10" t="n">
        <v>-1453</v>
      </c>
      <c r="K666" s="10" t="n">
        <v>-2138</v>
      </c>
      <c r="L666" s="7" t="n">
        <v>16161</v>
      </c>
      <c r="M666" s="8" t="n">
        <v>-2158</v>
      </c>
      <c r="N666" s="8" t="n">
        <v>-1925</v>
      </c>
      <c r="O666" s="9" t="n">
        <v>13969</v>
      </c>
      <c r="P666" s="10" t="n">
        <v>-1775</v>
      </c>
      <c r="Q666" s="10" t="n">
        <v>-1947</v>
      </c>
      <c r="R666" s="7" t="n">
        <v>15245</v>
      </c>
      <c r="S666" s="8" t="n">
        <v>-1937</v>
      </c>
      <c r="T666" s="8" t="n">
        <v>8954</v>
      </c>
      <c r="U666" s="9" t="n">
        <v>14131</v>
      </c>
      <c r="V666" s="10" t="n">
        <v>-1551</v>
      </c>
      <c r="W666" s="10" t="n">
        <v>-1658</v>
      </c>
      <c r="X666" s="7" t="n">
        <v>15231</v>
      </c>
      <c r="Y666" s="8" t="n">
        <v>-794</v>
      </c>
      <c r="Z666" s="8" t="n">
        <v>-581</v>
      </c>
      <c r="AA666" s="9" t="n">
        <v>13522</v>
      </c>
      <c r="AB666" s="10" t="n">
        <v>-616</v>
      </c>
      <c r="AC666" s="10" t="n">
        <v>-1345</v>
      </c>
      <c r="AD666" s="7" t="n">
        <v>14004</v>
      </c>
      <c r="AE666" s="8" t="n">
        <v>-1291</v>
      </c>
      <c r="AF666" s="8" t="n">
        <v>-1279</v>
      </c>
      <c r="AG666" s="9" t="n">
        <v>14459</v>
      </c>
      <c r="AH666" s="10" t="n">
        <v>-272</v>
      </c>
      <c r="AI666" s="10" t="n">
        <v>-1013</v>
      </c>
      <c r="AJ666" s="11" t="n">
        <v>16926</v>
      </c>
      <c r="AK666" s="12" t="n">
        <v>169</v>
      </c>
      <c r="AL666" s="12" t="n">
        <v>-300</v>
      </c>
      <c r="AM666" s="13" t="n">
        <v>17.1</v>
      </c>
      <c r="AN666" s="13" t="n">
        <v>11.1</v>
      </c>
      <c r="AO666" s="13" t="n">
        <v>162.1</v>
      </c>
      <c r="AP666" s="13" t="n">
        <v>121.3</v>
      </c>
    </row>
    <row r="667">
      <c r="A667" s="5" t="inlineStr">
        <is>
          <t>부국철강</t>
        </is>
      </c>
      <c r="B667" s="6" t="inlineStr">
        <is>
          <t>026940</t>
        </is>
      </c>
      <c r="C667" s="6" t="inlineStr">
        <is>
          <t>별도</t>
        </is>
      </c>
      <c r="D667" s="6" t="inlineStr">
        <is>
          <t>2026Q2</t>
        </is>
      </c>
      <c r="E667" s="6" t="inlineStr"/>
      <c r="F667" s="7" t="inlineStr"/>
      <c r="G667" s="8" t="inlineStr"/>
      <c r="H667" s="8" t="inlineStr"/>
      <c r="I667" s="9" t="n">
        <v>47200</v>
      </c>
      <c r="J667" s="10" t="n">
        <v>559</v>
      </c>
      <c r="K667" s="10" t="n">
        <v>929</v>
      </c>
      <c r="L667" s="7" t="n">
        <v>48298</v>
      </c>
      <c r="M667" s="8" t="n">
        <v>651</v>
      </c>
      <c r="N667" s="8" t="n">
        <v>1205</v>
      </c>
      <c r="O667" s="9" t="n">
        <v>39914</v>
      </c>
      <c r="P667" s="10" t="n">
        <v>435</v>
      </c>
      <c r="Q667" s="10" t="n">
        <v>1077</v>
      </c>
      <c r="R667" s="7" t="n">
        <v>46406</v>
      </c>
      <c r="S667" s="8" t="n">
        <v>-1549</v>
      </c>
      <c r="T667" s="8" t="n">
        <v>-876</v>
      </c>
      <c r="U667" s="9" t="n">
        <v>44747</v>
      </c>
      <c r="V667" s="10" t="n">
        <v>534</v>
      </c>
      <c r="W667" s="10" t="n">
        <v>855</v>
      </c>
      <c r="X667" s="7" t="n">
        <v>46828</v>
      </c>
      <c r="Y667" s="8" t="n">
        <v>-382</v>
      </c>
      <c r="Z667" s="8" t="n">
        <v>294</v>
      </c>
      <c r="AA667" s="9" t="n">
        <v>43621</v>
      </c>
      <c r="AB667" s="10" t="n">
        <v>-121</v>
      </c>
      <c r="AC667" s="10" t="n">
        <v>330</v>
      </c>
      <c r="AD667" s="7" t="n">
        <v>44715</v>
      </c>
      <c r="AE667" s="8" t="n">
        <v>231</v>
      </c>
      <c r="AF667" s="8" t="n">
        <v>672</v>
      </c>
      <c r="AG667" s="9" t="n">
        <v>46037</v>
      </c>
      <c r="AH667" s="10" t="n">
        <v>458</v>
      </c>
      <c r="AI667" s="10" t="n">
        <v>708</v>
      </c>
      <c r="AJ667" s="11" t="n">
        <v>57226</v>
      </c>
      <c r="AK667" s="12" t="n">
        <v>-208</v>
      </c>
      <c r="AL667" s="12" t="n">
        <v>369</v>
      </c>
      <c r="AM667" s="13" t="n">
        <v>24.3</v>
      </c>
      <c r="AN667" s="13" t="n">
        <v>22.2</v>
      </c>
      <c r="AO667" s="13" t="n">
        <v>-145.4</v>
      </c>
      <c r="AP667" s="13" t="n">
        <v>45.5</v>
      </c>
    </row>
    <row r="668">
      <c r="A668" s="5" t="inlineStr">
        <is>
          <t>동서</t>
        </is>
      </c>
      <c r="B668" s="6" t="inlineStr">
        <is>
          <t>026960</t>
        </is>
      </c>
      <c r="C668" s="6" t="inlineStr">
        <is>
          <t>연결</t>
        </is>
      </c>
      <c r="D668" s="6" t="inlineStr">
        <is>
          <t>2026Q2</t>
        </is>
      </c>
      <c r="E668" s="6" t="inlineStr"/>
      <c r="F668" s="7" t="inlineStr"/>
      <c r="G668" s="8" t="inlineStr"/>
      <c r="H668" s="8" t="inlineStr"/>
      <c r="I668" s="9" t="n">
        <v>119962</v>
      </c>
      <c r="J668" s="10" t="n">
        <v>11403</v>
      </c>
      <c r="K668" s="10" t="n">
        <v>53175</v>
      </c>
      <c r="L668" s="7" t="n">
        <v>128411</v>
      </c>
      <c r="M668" s="8" t="n">
        <v>11639</v>
      </c>
      <c r="N668" s="8" t="n">
        <v>47043</v>
      </c>
      <c r="O668" s="9" t="n">
        <v>116045</v>
      </c>
      <c r="P668" s="10" t="n">
        <v>10073</v>
      </c>
      <c r="Q668" s="10" t="n">
        <v>32790</v>
      </c>
      <c r="R668" s="7" t="n">
        <v>124442</v>
      </c>
      <c r="S668" s="8" t="n">
        <v>11362</v>
      </c>
      <c r="T668" s="8" t="n">
        <v>26038</v>
      </c>
      <c r="U668" s="9" t="n">
        <v>128790</v>
      </c>
      <c r="V668" s="10" t="n">
        <v>11767</v>
      </c>
      <c r="W668" s="10" t="n">
        <v>44253</v>
      </c>
      <c r="X668" s="7" t="n">
        <v>136891</v>
      </c>
      <c r="Y668" s="8" t="n">
        <v>11739</v>
      </c>
      <c r="Z668" s="8" t="n">
        <v>41004</v>
      </c>
      <c r="AA668" s="9" t="n">
        <v>137322</v>
      </c>
      <c r="AB668" s="10" t="n">
        <v>13459</v>
      </c>
      <c r="AC668" s="10" t="n">
        <v>34036</v>
      </c>
      <c r="AD668" s="7" t="n">
        <v>129876</v>
      </c>
      <c r="AE668" s="8" t="n">
        <v>8372</v>
      </c>
      <c r="AF668" s="8" t="n">
        <v>27171</v>
      </c>
      <c r="AG668" s="9" t="n">
        <v>135284</v>
      </c>
      <c r="AH668" s="10" t="n">
        <v>10388</v>
      </c>
      <c r="AI668" s="10" t="n">
        <v>43628</v>
      </c>
      <c r="AJ668" s="11" t="n">
        <v>135734</v>
      </c>
      <c r="AK668" s="12" t="n">
        <v>9837</v>
      </c>
      <c r="AL668" s="12" t="n">
        <v>41216</v>
      </c>
      <c r="AM668" s="13" t="n">
        <v>0.3</v>
      </c>
      <c r="AN668" s="13" t="n">
        <v>-0.8</v>
      </c>
      <c r="AO668" s="13" t="n">
        <v>-5.3</v>
      </c>
      <c r="AP668" s="13" t="n">
        <v>-16.2</v>
      </c>
    </row>
    <row r="669">
      <c r="A669" s="5" t="inlineStr">
        <is>
          <t>서울전자통신</t>
        </is>
      </c>
      <c r="B669" s="6" t="inlineStr">
        <is>
          <t>027040</t>
        </is>
      </c>
      <c r="C669" s="6" t="inlineStr">
        <is>
          <t>연결</t>
        </is>
      </c>
      <c r="D669" s="6" t="inlineStr">
        <is>
          <t>2026Q2</t>
        </is>
      </c>
      <c r="E669" s="6" t="inlineStr"/>
      <c r="F669" s="7" t="inlineStr"/>
      <c r="G669" s="8" t="inlineStr"/>
      <c r="H669" s="8" t="inlineStr"/>
      <c r="I669" s="9" t="n">
        <v>7488</v>
      </c>
      <c r="J669" s="10" t="n">
        <v>-1004</v>
      </c>
      <c r="K669" s="10" t="n">
        <v>-1302</v>
      </c>
      <c r="L669" s="7" t="n">
        <v>8624</v>
      </c>
      <c r="M669" s="8" t="n">
        <v>-483</v>
      </c>
      <c r="N669" s="8" t="n">
        <v>-885</v>
      </c>
      <c r="O669" s="9" t="n">
        <v>11592</v>
      </c>
      <c r="P669" s="10" t="n">
        <v>-71</v>
      </c>
      <c r="Q669" s="10" t="n">
        <v>2564</v>
      </c>
      <c r="R669" s="7" t="n">
        <v>8118</v>
      </c>
      <c r="S669" s="8" t="n">
        <v>-672</v>
      </c>
      <c r="T669" s="8" t="n">
        <v>-3121</v>
      </c>
      <c r="U669" s="9" t="n">
        <v>8819</v>
      </c>
      <c r="V669" s="10" t="n">
        <v>-187</v>
      </c>
      <c r="W669" s="10" t="n">
        <v>-4146</v>
      </c>
      <c r="X669" s="7" t="n">
        <v>9166</v>
      </c>
      <c r="Y669" s="8" t="n">
        <v>45</v>
      </c>
      <c r="Z669" s="8" t="n">
        <v>0</v>
      </c>
      <c r="AA669" s="9" t="n">
        <v>8688</v>
      </c>
      <c r="AB669" s="10" t="n">
        <v>-306</v>
      </c>
      <c r="AC669" s="10" t="n">
        <v>-156</v>
      </c>
      <c r="AD669" s="7" t="n">
        <v>7056</v>
      </c>
      <c r="AE669" s="8" t="n">
        <v>-1161</v>
      </c>
      <c r="AF669" s="8" t="n">
        <v>-1039</v>
      </c>
      <c r="AG669" s="9" t="n">
        <v>5943</v>
      </c>
      <c r="AH669" s="10" t="n">
        <v>-747</v>
      </c>
      <c r="AI669" s="10" t="n">
        <v>-484</v>
      </c>
      <c r="AJ669" s="11" t="n">
        <v>8802</v>
      </c>
      <c r="AK669" s="12" t="n">
        <v>-782</v>
      </c>
      <c r="AL669" s="12" t="n">
        <v>3095</v>
      </c>
      <c r="AM669" s="13" t="n">
        <v>48.1</v>
      </c>
      <c r="AN669" s="13" t="n">
        <v>-4</v>
      </c>
      <c r="AO669" s="13" t="n">
        <v>-4.7</v>
      </c>
      <c r="AP669" s="13" t="n">
        <v>-1837.8</v>
      </c>
    </row>
    <row r="670">
      <c r="A670" s="5" t="inlineStr">
        <is>
          <t>코리아나</t>
        </is>
      </c>
      <c r="B670" s="6" t="inlineStr">
        <is>
          <t>027050</t>
        </is>
      </c>
      <c r="C670" s="6" t="inlineStr">
        <is>
          <t>연결</t>
        </is>
      </c>
      <c r="D670" s="6" t="inlineStr">
        <is>
          <t>2026Q2</t>
        </is>
      </c>
      <c r="E670" s="6" t="inlineStr"/>
      <c r="F670" s="7" t="inlineStr"/>
      <c r="G670" s="8" t="inlineStr"/>
      <c r="H670" s="8" t="inlineStr"/>
      <c r="I670" s="9" t="n">
        <v>21132</v>
      </c>
      <c r="J670" s="10" t="n">
        <v>149</v>
      </c>
      <c r="K670" s="10" t="n">
        <v>-32</v>
      </c>
      <c r="L670" s="7" t="n">
        <v>21528</v>
      </c>
      <c r="M670" s="8" t="n">
        <v>204</v>
      </c>
      <c r="N670" s="8" t="n">
        <v>253</v>
      </c>
      <c r="O670" s="9" t="n">
        <v>19648</v>
      </c>
      <c r="P670" s="10" t="n">
        <v>226</v>
      </c>
      <c r="Q670" s="10" t="n">
        <v>270</v>
      </c>
      <c r="R670" s="7" t="n">
        <v>20144</v>
      </c>
      <c r="S670" s="8" t="n">
        <v>-138</v>
      </c>
      <c r="T670" s="8" t="n">
        <v>293</v>
      </c>
      <c r="U670" s="9" t="n">
        <v>19071</v>
      </c>
      <c r="V670" s="10" t="n">
        <v>-934</v>
      </c>
      <c r="W670" s="10" t="n">
        <v>-316</v>
      </c>
      <c r="X670" s="7" t="n">
        <v>20506</v>
      </c>
      <c r="Y670" s="8" t="n">
        <v>-507</v>
      </c>
      <c r="Z670" s="8" t="n">
        <v>616</v>
      </c>
      <c r="AA670" s="9" t="n">
        <v>16812</v>
      </c>
      <c r="AB670" s="10" t="n">
        <v>-1558</v>
      </c>
      <c r="AC670" s="10" t="n">
        <v>-2601</v>
      </c>
      <c r="AD670" s="7" t="n">
        <v>17288</v>
      </c>
      <c r="AE670" s="8" t="n">
        <v>-1395</v>
      </c>
      <c r="AF670" s="8" t="n">
        <v>-5446</v>
      </c>
      <c r="AG670" s="9" t="n">
        <v>18616</v>
      </c>
      <c r="AH670" s="10" t="n">
        <v>-465</v>
      </c>
      <c r="AI670" s="10" t="n">
        <v>215</v>
      </c>
      <c r="AJ670" s="11" t="n">
        <v>18934</v>
      </c>
      <c r="AK670" s="12" t="n">
        <v>-1058</v>
      </c>
      <c r="AL670" s="12" t="n">
        <v>-1137</v>
      </c>
      <c r="AM670" s="13" t="n">
        <v>1.7</v>
      </c>
      <c r="AN670" s="13" t="n">
        <v>-7.7</v>
      </c>
      <c r="AO670" s="13" t="n">
        <v>-127.5</v>
      </c>
      <c r="AP670" s="13" t="n">
        <v>-108.7</v>
      </c>
    </row>
    <row r="671">
      <c r="A671" s="5" t="inlineStr">
        <is>
          <t>아주IB투자</t>
        </is>
      </c>
      <c r="B671" s="6" t="inlineStr">
        <is>
          <t>027360</t>
        </is>
      </c>
      <c r="C671" s="6" t="inlineStr">
        <is>
          <t>연결</t>
        </is>
      </c>
      <c r="D671" s="6" t="inlineStr">
        <is>
          <t>2026Q2</t>
        </is>
      </c>
      <c r="E671" s="6" t="inlineStr"/>
      <c r="F671" s="7" t="inlineStr"/>
      <c r="G671" s="8" t="inlineStr"/>
      <c r="H671" s="8" t="inlineStr"/>
      <c r="I671" s="9" t="inlineStr"/>
      <c r="J671" s="10" t="n">
        <v>6283</v>
      </c>
      <c r="K671" s="10" t="n">
        <v>5006</v>
      </c>
      <c r="L671" s="7" t="inlineStr"/>
      <c r="M671" s="8" t="n">
        <v>4522</v>
      </c>
      <c r="N671" s="8" t="n">
        <v>3420</v>
      </c>
      <c r="O671" s="9" t="inlineStr"/>
      <c r="P671" s="10" t="n">
        <v>-14</v>
      </c>
      <c r="Q671" s="10" t="n">
        <v>536</v>
      </c>
      <c r="R671" s="7" t="inlineStr"/>
      <c r="S671" s="8" t="n">
        <v>-2406</v>
      </c>
      <c r="T671" s="8" t="n">
        <v>-643</v>
      </c>
      <c r="U671" s="9" t="inlineStr"/>
      <c r="V671" s="10" t="n">
        <v>772</v>
      </c>
      <c r="W671" s="10" t="n">
        <v>592</v>
      </c>
      <c r="X671" s="7" t="inlineStr"/>
      <c r="Y671" s="8" t="n">
        <v>3094</v>
      </c>
      <c r="Z671" s="8" t="n">
        <v>2425</v>
      </c>
      <c r="AA671" s="9" t="inlineStr"/>
      <c r="AB671" s="10" t="n">
        <v>2329</v>
      </c>
      <c r="AC671" s="10" t="n">
        <v>2133</v>
      </c>
      <c r="AD671" s="7" t="inlineStr"/>
      <c r="AE671" s="8" t="n">
        <v>5691</v>
      </c>
      <c r="AF671" s="8" t="n">
        <v>3168</v>
      </c>
      <c r="AG671" s="9" t="inlineStr"/>
      <c r="AH671" s="10" t="n">
        <v>8051</v>
      </c>
      <c r="AI671" s="10" t="n">
        <v>6053</v>
      </c>
      <c r="AJ671" s="11" t="inlineStr"/>
      <c r="AK671" s="12" t="n">
        <v>38142</v>
      </c>
      <c r="AL671" s="12" t="n">
        <v>30142</v>
      </c>
      <c r="AM671" s="13" t="inlineStr"/>
      <c r="AN671" s="13" t="inlineStr"/>
      <c r="AO671" s="13" t="n">
        <v>373.8</v>
      </c>
      <c r="AP671" s="13" t="n">
        <v>1132.8</v>
      </c>
    </row>
    <row r="672">
      <c r="A672" s="5" t="inlineStr">
        <is>
          <t>BGF</t>
        </is>
      </c>
      <c r="B672" s="6" t="inlineStr">
        <is>
          <t>027410</t>
        </is>
      </c>
      <c r="C672" s="6" t="inlineStr">
        <is>
          <t>연결</t>
        </is>
      </c>
      <c r="D672" s="6" t="inlineStr">
        <is>
          <t>2026Q2</t>
        </is>
      </c>
      <c r="E672" s="6" t="inlineStr">
        <is>
          <t>2023Q4</t>
        </is>
      </c>
      <c r="F672" s="14" t="n">
        <v>123400</v>
      </c>
      <c r="G672" s="15" t="n">
        <v>16100</v>
      </c>
      <c r="H672" s="15" t="n">
        <v>14500</v>
      </c>
      <c r="I672" s="9" t="n">
        <v>118545</v>
      </c>
      <c r="J672" s="10" t="n">
        <v>11321</v>
      </c>
      <c r="K672" s="10" t="n">
        <v>11505</v>
      </c>
      <c r="L672" s="7" t="n">
        <v>113494</v>
      </c>
      <c r="M672" s="8" t="n">
        <v>16526</v>
      </c>
      <c r="N672" s="8" t="n">
        <v>17678</v>
      </c>
      <c r="O672" s="9" t="n">
        <v>110919</v>
      </c>
      <c r="P672" s="10" t="n">
        <v>21096</v>
      </c>
      <c r="Q672" s="10" t="n">
        <v>52328</v>
      </c>
      <c r="R672" s="7" t="n">
        <v>91127</v>
      </c>
      <c r="S672" s="8" t="n">
        <v>6286</v>
      </c>
      <c r="T672" s="8" t="n">
        <v>13266</v>
      </c>
      <c r="U672" s="9" t="n">
        <v>105947</v>
      </c>
      <c r="V672" s="10" t="n">
        <v>5152</v>
      </c>
      <c r="W672" s="10" t="n">
        <v>4505</v>
      </c>
      <c r="X672" s="7" t="n">
        <v>123009</v>
      </c>
      <c r="Y672" s="8" t="n">
        <v>17313</v>
      </c>
      <c r="Z672" s="8" t="n">
        <v>14233</v>
      </c>
      <c r="AA672" s="9" t="n">
        <v>128455</v>
      </c>
      <c r="AB672" s="10" t="n">
        <v>26878</v>
      </c>
      <c r="AC672" s="10" t="n">
        <v>26083</v>
      </c>
      <c r="AD672" s="7" t="n">
        <v>112057</v>
      </c>
      <c r="AE672" s="8" t="n">
        <v>11831</v>
      </c>
      <c r="AF672" s="8" t="n">
        <v>11595</v>
      </c>
      <c r="AG672" s="9" t="n">
        <v>104892</v>
      </c>
      <c r="AH672" s="10" t="n">
        <v>8482</v>
      </c>
      <c r="AI672" s="10" t="n">
        <v>9056</v>
      </c>
      <c r="AJ672" s="11" t="n">
        <v>123573</v>
      </c>
      <c r="AK672" s="12" t="n">
        <v>13646</v>
      </c>
      <c r="AL672" s="12" t="n">
        <v>14491</v>
      </c>
      <c r="AM672" s="13" t="n">
        <v>17.8</v>
      </c>
      <c r="AN672" s="13" t="n">
        <v>0.5</v>
      </c>
      <c r="AO672" s="13" t="n">
        <v>60.9</v>
      </c>
      <c r="AP672" s="13" t="n">
        <v>-21.2</v>
      </c>
    </row>
    <row r="673">
      <c r="A673" s="5" t="inlineStr">
        <is>
          <t>상보</t>
        </is>
      </c>
      <c r="B673" s="6" t="inlineStr">
        <is>
          <t>027580</t>
        </is>
      </c>
      <c r="C673" s="6" t="inlineStr">
        <is>
          <t>연결</t>
        </is>
      </c>
      <c r="D673" s="6" t="inlineStr">
        <is>
          <t>2026Q2</t>
        </is>
      </c>
      <c r="E673" s="6" t="inlineStr"/>
      <c r="F673" s="7" t="inlineStr"/>
      <c r="G673" s="8" t="inlineStr"/>
      <c r="H673" s="8" t="inlineStr"/>
      <c r="I673" s="9" t="n">
        <v>13224</v>
      </c>
      <c r="J673" s="10" t="n">
        <v>-1898</v>
      </c>
      <c r="K673" s="10" t="n">
        <v>-522</v>
      </c>
      <c r="L673" s="7" t="n">
        <v>15531</v>
      </c>
      <c r="M673" s="8" t="n">
        <v>647</v>
      </c>
      <c r="N673" s="8" t="n">
        <v>1227</v>
      </c>
      <c r="O673" s="9" t="n">
        <v>14484</v>
      </c>
      <c r="P673" s="10" t="n">
        <v>75</v>
      </c>
      <c r="Q673" s="10" t="n">
        <v>-1074</v>
      </c>
      <c r="R673" s="7" t="n">
        <v>10588</v>
      </c>
      <c r="S673" s="8" t="n">
        <v>-6855</v>
      </c>
      <c r="T673" s="8" t="n">
        <v>-10575</v>
      </c>
      <c r="U673" s="9" t="n">
        <v>12138</v>
      </c>
      <c r="V673" s="10" t="n">
        <v>-1671</v>
      </c>
      <c r="W673" s="10" t="n">
        <v>-2441</v>
      </c>
      <c r="X673" s="7" t="n">
        <v>15240</v>
      </c>
      <c r="Y673" s="8" t="n">
        <v>-466</v>
      </c>
      <c r="Z673" s="8" t="n">
        <v>-1829</v>
      </c>
      <c r="AA673" s="9" t="n">
        <v>12720</v>
      </c>
      <c r="AB673" s="10" t="n">
        <v>-2118</v>
      </c>
      <c r="AC673" s="10" t="n">
        <v>-1330</v>
      </c>
      <c r="AD673" s="7" t="n">
        <v>10007</v>
      </c>
      <c r="AE673" s="8" t="n">
        <v>-4653</v>
      </c>
      <c r="AF673" s="8" t="n">
        <v>-7457</v>
      </c>
      <c r="AG673" s="9" t="n">
        <v>8885</v>
      </c>
      <c r="AH673" s="10" t="n">
        <v>-3386</v>
      </c>
      <c r="AI673" s="10" t="n">
        <v>-2725</v>
      </c>
      <c r="AJ673" s="11" t="n">
        <v>10220</v>
      </c>
      <c r="AK673" s="12" t="n">
        <v>-2572</v>
      </c>
      <c r="AL673" s="12" t="n">
        <v>-2649</v>
      </c>
      <c r="AM673" s="13" t="n">
        <v>15</v>
      </c>
      <c r="AN673" s="13" t="n">
        <v>-32.9</v>
      </c>
      <c r="AO673" s="13" t="n">
        <v>24</v>
      </c>
      <c r="AP673" s="13" t="n">
        <v>-451.9</v>
      </c>
    </row>
    <row r="674">
      <c r="A674" s="5" t="inlineStr">
        <is>
          <t>팜스토리</t>
        </is>
      </c>
      <c r="B674" s="6" t="inlineStr">
        <is>
          <t>027710</t>
        </is>
      </c>
      <c r="C674" s="6" t="inlineStr">
        <is>
          <t>연결</t>
        </is>
      </c>
      <c r="D674" s="6" t="inlineStr">
        <is>
          <t>2026Q2</t>
        </is>
      </c>
      <c r="E674" s="6" t="inlineStr"/>
      <c r="F674" s="7" t="inlineStr"/>
      <c r="G674" s="8" t="inlineStr"/>
      <c r="H674" s="8" t="inlineStr"/>
      <c r="I674" s="9" t="n">
        <v>361518</v>
      </c>
      <c r="J674" s="10" t="n">
        <v>15160</v>
      </c>
      <c r="K674" s="10" t="n">
        <v>3174</v>
      </c>
      <c r="L674" s="7" t="n">
        <v>364440</v>
      </c>
      <c r="M674" s="8" t="n">
        <v>19786</v>
      </c>
      <c r="N674" s="8" t="n">
        <v>8317</v>
      </c>
      <c r="O674" s="9" t="n">
        <v>345858</v>
      </c>
      <c r="P674" s="10" t="n">
        <v>7355</v>
      </c>
      <c r="Q674" s="10" t="n">
        <v>12939</v>
      </c>
      <c r="R674" s="7" t="n">
        <v>382085</v>
      </c>
      <c r="S674" s="8" t="n">
        <v>-1522</v>
      </c>
      <c r="T674" s="8" t="n">
        <v>-19267</v>
      </c>
      <c r="U674" s="9" t="n">
        <v>356387</v>
      </c>
      <c r="V674" s="10" t="n">
        <v>3684</v>
      </c>
      <c r="W674" s="10" t="n">
        <v>4059</v>
      </c>
      <c r="X674" s="7" t="n">
        <v>371508</v>
      </c>
      <c r="Y674" s="8" t="n">
        <v>15890</v>
      </c>
      <c r="Z674" s="8" t="n">
        <v>18599</v>
      </c>
      <c r="AA674" s="9" t="n">
        <v>361354</v>
      </c>
      <c r="AB674" s="10" t="n">
        <v>19330</v>
      </c>
      <c r="AC674" s="10" t="n">
        <v>12485</v>
      </c>
      <c r="AD674" s="7" t="n">
        <v>366602</v>
      </c>
      <c r="AE674" s="8" t="n">
        <v>-3935</v>
      </c>
      <c r="AF674" s="8" t="n">
        <v>-4474</v>
      </c>
      <c r="AG674" s="9" t="n">
        <v>347114</v>
      </c>
      <c r="AH674" s="10" t="n">
        <v>8691</v>
      </c>
      <c r="AI674" s="10" t="n">
        <v>-2060</v>
      </c>
      <c r="AJ674" s="11" t="n">
        <v>362985</v>
      </c>
      <c r="AK674" s="12" t="n">
        <v>17636</v>
      </c>
      <c r="AL674" s="12" t="n">
        <v>13337</v>
      </c>
      <c r="AM674" s="13" t="n">
        <v>4.6</v>
      </c>
      <c r="AN674" s="13" t="n">
        <v>-2.3</v>
      </c>
      <c r="AO674" s="13" t="n">
        <v>102.9</v>
      </c>
      <c r="AP674" s="13" t="n">
        <v>11</v>
      </c>
    </row>
    <row r="675">
      <c r="A675" s="5" t="inlineStr">
        <is>
          <t>마니커</t>
        </is>
      </c>
      <c r="B675" s="6" t="inlineStr">
        <is>
          <t>027740</t>
        </is>
      </c>
      <c r="C675" s="6" t="inlineStr">
        <is>
          <t>연결</t>
        </is>
      </c>
      <c r="D675" s="6" t="inlineStr">
        <is>
          <t>2026Q2</t>
        </is>
      </c>
      <c r="E675" s="6" t="inlineStr"/>
      <c r="F675" s="7" t="inlineStr"/>
      <c r="G675" s="8" t="inlineStr"/>
      <c r="H675" s="8" t="inlineStr"/>
      <c r="I675" s="9" t="n">
        <v>79970</v>
      </c>
      <c r="J675" s="10" t="n">
        <v>-2470</v>
      </c>
      <c r="K675" s="10" t="n">
        <v>-1922</v>
      </c>
      <c r="L675" s="7" t="n">
        <v>85294</v>
      </c>
      <c r="M675" s="8" t="n">
        <v>-2561</v>
      </c>
      <c r="N675" s="8" t="n">
        <v>-3074</v>
      </c>
      <c r="O675" s="9" t="n">
        <v>87680</v>
      </c>
      <c r="P675" s="10" t="n">
        <v>641</v>
      </c>
      <c r="Q675" s="10" t="n">
        <v>128</v>
      </c>
      <c r="R675" s="7" t="n">
        <v>79844</v>
      </c>
      <c r="S675" s="8" t="n">
        <v>-4661</v>
      </c>
      <c r="T675" s="8" t="n">
        <v>-5840</v>
      </c>
      <c r="U675" s="9" t="n">
        <v>76558</v>
      </c>
      <c r="V675" s="10" t="n">
        <v>-3392</v>
      </c>
      <c r="W675" s="10" t="n">
        <v>-3874</v>
      </c>
      <c r="X675" s="7" t="n">
        <v>87072</v>
      </c>
      <c r="Y675" s="8" t="n">
        <v>2055</v>
      </c>
      <c r="Z675" s="8" t="n">
        <v>1399</v>
      </c>
      <c r="AA675" s="9" t="n">
        <v>103285</v>
      </c>
      <c r="AB675" s="10" t="n">
        <v>1320</v>
      </c>
      <c r="AC675" s="10" t="n">
        <v>838</v>
      </c>
      <c r="AD675" s="7" t="n">
        <v>101976</v>
      </c>
      <c r="AE675" s="8" t="n">
        <v>2028</v>
      </c>
      <c r="AF675" s="8" t="n">
        <v>1320</v>
      </c>
      <c r="AG675" s="9" t="n">
        <v>99732</v>
      </c>
      <c r="AH675" s="10" t="n">
        <v>-3091</v>
      </c>
      <c r="AI675" s="10" t="n">
        <v>-3679</v>
      </c>
      <c r="AJ675" s="11" t="n">
        <v>106725</v>
      </c>
      <c r="AK675" s="12" t="n">
        <v>-16</v>
      </c>
      <c r="AL675" s="12" t="n">
        <v>-759</v>
      </c>
      <c r="AM675" s="13" t="n">
        <v>7</v>
      </c>
      <c r="AN675" s="13" t="n">
        <v>22.6</v>
      </c>
      <c r="AO675" s="13" t="n">
        <v>99.5</v>
      </c>
      <c r="AP675" s="13" t="n">
        <v>-100.8</v>
      </c>
    </row>
    <row r="676">
      <c r="A676" s="5" t="inlineStr">
        <is>
          <t>대성창투</t>
        </is>
      </c>
      <c r="B676" s="6" t="inlineStr">
        <is>
          <t>027830</t>
        </is>
      </c>
      <c r="C676" s="6" t="inlineStr">
        <is>
          <t>별도</t>
        </is>
      </c>
      <c r="D676" s="6" t="inlineStr">
        <is>
          <t>2026Q2</t>
        </is>
      </c>
      <c r="E676" s="6" t="inlineStr"/>
      <c r="F676" s="7" t="inlineStr"/>
      <c r="G676" s="8" t="inlineStr"/>
      <c r="H676" s="8" t="inlineStr"/>
      <c r="I676" s="9" t="n">
        <v>3317</v>
      </c>
      <c r="J676" s="10" t="n">
        <v>1433</v>
      </c>
      <c r="K676" s="10" t="n">
        <v>1810</v>
      </c>
      <c r="L676" s="7" t="n">
        <v>8648</v>
      </c>
      <c r="M676" s="8" t="n">
        <v>7053</v>
      </c>
      <c r="N676" s="8" t="n">
        <v>6009</v>
      </c>
      <c r="O676" s="9" t="n">
        <v>4499</v>
      </c>
      <c r="P676" s="10" t="n">
        <v>1202</v>
      </c>
      <c r="Q676" s="10" t="n">
        <v>911</v>
      </c>
      <c r="R676" s="7" t="n">
        <v>3624</v>
      </c>
      <c r="S676" s="8" t="n">
        <v>550</v>
      </c>
      <c r="T676" s="8" t="n">
        <v>5116</v>
      </c>
      <c r="U676" s="9" t="n">
        <v>2049</v>
      </c>
      <c r="V676" s="10" t="n">
        <v>502</v>
      </c>
      <c r="W676" s="10" t="n">
        <v>323</v>
      </c>
      <c r="X676" s="7" t="n">
        <v>2566</v>
      </c>
      <c r="Y676" s="8" t="n">
        <v>29</v>
      </c>
      <c r="Z676" s="8" t="n">
        <v>-2802</v>
      </c>
      <c r="AA676" s="9" t="n">
        <v>1701</v>
      </c>
      <c r="AB676" s="10" t="n">
        <v>29</v>
      </c>
      <c r="AC676" s="10" t="n">
        <v>1212</v>
      </c>
      <c r="AD676" s="7" t="n">
        <v>2936</v>
      </c>
      <c r="AE676" s="8" t="n">
        <v>237</v>
      </c>
      <c r="AF676" s="8" t="n">
        <v>1581</v>
      </c>
      <c r="AG676" s="9" t="n">
        <v>1415</v>
      </c>
      <c r="AH676" s="10" t="n">
        <v>-349</v>
      </c>
      <c r="AI676" s="10" t="n">
        <v>230</v>
      </c>
      <c r="AJ676" s="11" t="n">
        <v>4566</v>
      </c>
      <c r="AK676" s="12" t="n">
        <v>2994</v>
      </c>
      <c r="AL676" s="12" t="n">
        <v>2343</v>
      </c>
      <c r="AM676" s="13" t="n">
        <v>222.7</v>
      </c>
      <c r="AN676" s="13" t="n">
        <v>77.90000000000001</v>
      </c>
      <c r="AO676" s="13" t="n">
        <v>957.9</v>
      </c>
      <c r="AP676" s="13" t="n">
        <v>10224.1</v>
      </c>
    </row>
    <row r="677">
      <c r="A677" s="5" t="inlineStr">
        <is>
          <t>한국제지</t>
        </is>
      </c>
      <c r="B677" s="6" t="inlineStr">
        <is>
          <t>027970</t>
        </is>
      </c>
      <c r="C677" s="6" t="inlineStr">
        <is>
          <t>연결</t>
        </is>
      </c>
      <c r="D677" s="6" t="inlineStr">
        <is>
          <t>2026Q2</t>
        </is>
      </c>
      <c r="E677" s="6" t="inlineStr"/>
      <c r="F677" s="7" t="inlineStr"/>
      <c r="G677" s="8" t="inlineStr"/>
      <c r="H677" s="8" t="inlineStr"/>
      <c r="I677" s="9" t="n">
        <v>197078</v>
      </c>
      <c r="J677" s="10" t="n">
        <v>12296</v>
      </c>
      <c r="K677" s="10" t="n">
        <v>5641</v>
      </c>
      <c r="L677" s="7" t="n">
        <v>199546</v>
      </c>
      <c r="M677" s="8" t="n">
        <v>10653</v>
      </c>
      <c r="N677" s="8" t="n">
        <v>4478</v>
      </c>
      <c r="O677" s="9" t="n">
        <v>196863</v>
      </c>
      <c r="P677" s="10" t="n">
        <v>563</v>
      </c>
      <c r="Q677" s="10" t="n">
        <v>1622</v>
      </c>
      <c r="R677" s="7" t="n">
        <v>198602</v>
      </c>
      <c r="S677" s="8" t="n">
        <v>-4192</v>
      </c>
      <c r="T677" s="8" t="n">
        <v>-7644</v>
      </c>
      <c r="U677" s="9" t="n">
        <v>199079</v>
      </c>
      <c r="V677" s="10" t="n">
        <v>4170</v>
      </c>
      <c r="W677" s="10" t="n">
        <v>3093</v>
      </c>
      <c r="X677" s="7" t="n">
        <v>191957</v>
      </c>
      <c r="Y677" s="8" t="n">
        <v>2019</v>
      </c>
      <c r="Z677" s="8" t="n">
        <v>3100</v>
      </c>
      <c r="AA677" s="9" t="n">
        <v>181636</v>
      </c>
      <c r="AB677" s="10" t="n">
        <v>193</v>
      </c>
      <c r="AC677" s="10" t="n">
        <v>-584</v>
      </c>
      <c r="AD677" s="7" t="n">
        <v>181007</v>
      </c>
      <c r="AE677" s="8" t="n">
        <v>-3259</v>
      </c>
      <c r="AF677" s="8" t="n">
        <v>-39062</v>
      </c>
      <c r="AG677" s="9" t="n">
        <v>198967</v>
      </c>
      <c r="AH677" s="10" t="n">
        <v>4559</v>
      </c>
      <c r="AI677" s="10" t="n">
        <v>-47593</v>
      </c>
      <c r="AJ677" s="11" t="n">
        <v>220386</v>
      </c>
      <c r="AK677" s="12" t="n">
        <v>4682</v>
      </c>
      <c r="AL677" s="12" t="n">
        <v>1149</v>
      </c>
      <c r="AM677" s="13" t="n">
        <v>10.8</v>
      </c>
      <c r="AN677" s="13" t="n">
        <v>14.8</v>
      </c>
      <c r="AO677" s="13" t="n">
        <v>2.7</v>
      </c>
      <c r="AP677" s="13" t="n">
        <v>131.9</v>
      </c>
    </row>
    <row r="678">
      <c r="A678" s="5" t="inlineStr">
        <is>
          <t>삼성E&amp;A</t>
        </is>
      </c>
      <c r="B678" s="6" t="inlineStr">
        <is>
          <t>028050</t>
        </is>
      </c>
      <c r="C678" s="6" t="inlineStr">
        <is>
          <t>연결</t>
        </is>
      </c>
      <c r="D678" s="6" t="inlineStr">
        <is>
          <t>2026Q2</t>
        </is>
      </c>
      <c r="E678" s="6" t="inlineStr">
        <is>
          <t>2023Q4</t>
        </is>
      </c>
      <c r="F678" s="14" t="n">
        <v>2827466</v>
      </c>
      <c r="G678" s="15" t="n">
        <v>269850</v>
      </c>
      <c r="H678" s="15" t="n">
        <v>112419</v>
      </c>
      <c r="I678" s="9" t="n">
        <v>2384735</v>
      </c>
      <c r="J678" s="10" t="n">
        <v>209350</v>
      </c>
      <c r="K678" s="10" t="n">
        <v>164126</v>
      </c>
      <c r="L678" s="7" t="n">
        <v>2686276</v>
      </c>
      <c r="M678" s="8" t="n">
        <v>262573</v>
      </c>
      <c r="N678" s="8" t="n">
        <v>205264</v>
      </c>
      <c r="O678" s="9" t="n">
        <v>2317033</v>
      </c>
      <c r="P678" s="10" t="n">
        <v>203927</v>
      </c>
      <c r="Q678" s="10" t="n">
        <v>158247</v>
      </c>
      <c r="R678" s="7" t="n">
        <v>2578507</v>
      </c>
      <c r="S678" s="8" t="n">
        <v>295762</v>
      </c>
      <c r="T678" s="8" t="n">
        <v>111035</v>
      </c>
      <c r="U678" s="9" t="n">
        <v>2097955</v>
      </c>
      <c r="V678" s="10" t="n">
        <v>157304</v>
      </c>
      <c r="W678" s="10" t="n">
        <v>157212</v>
      </c>
      <c r="X678" s="7" t="n">
        <v>2178023</v>
      </c>
      <c r="Y678" s="8" t="n">
        <v>180857</v>
      </c>
      <c r="Z678" s="8" t="n">
        <v>141717</v>
      </c>
      <c r="AA678" s="9" t="n">
        <v>1995609</v>
      </c>
      <c r="AB678" s="10" t="n">
        <v>176547</v>
      </c>
      <c r="AC678" s="10" t="n">
        <v>157372</v>
      </c>
      <c r="AD678" s="7" t="n">
        <v>2757182</v>
      </c>
      <c r="AE678" s="8" t="n">
        <v>277371</v>
      </c>
      <c r="AF678" s="8" t="n">
        <v>192007</v>
      </c>
      <c r="AG678" s="9" t="n">
        <v>2267383</v>
      </c>
      <c r="AH678" s="10" t="n">
        <v>188194</v>
      </c>
      <c r="AI678" s="10" t="n">
        <v>163278</v>
      </c>
      <c r="AJ678" s="11" t="n">
        <v>2609331</v>
      </c>
      <c r="AK678" s="12" t="n">
        <v>273088</v>
      </c>
      <c r="AL678" s="12" t="n">
        <v>182508</v>
      </c>
      <c r="AM678" s="13" t="n">
        <v>15.1</v>
      </c>
      <c r="AN678" s="13" t="n">
        <v>19.8</v>
      </c>
      <c r="AO678" s="13" t="n">
        <v>45.1</v>
      </c>
      <c r="AP678" s="13" t="n">
        <v>51</v>
      </c>
    </row>
    <row r="679">
      <c r="A679" s="5" t="inlineStr">
        <is>
          <t>휴맥스홀딩스</t>
        </is>
      </c>
      <c r="B679" s="6" t="inlineStr">
        <is>
          <t>028080</t>
        </is>
      </c>
      <c r="C679" s="6" t="inlineStr">
        <is>
          <t>연결</t>
        </is>
      </c>
      <c r="D679" s="6" t="inlineStr">
        <is>
          <t>2026Q2</t>
        </is>
      </c>
      <c r="E679" s="6" t="inlineStr">
        <is>
          <t>2023Q4</t>
        </is>
      </c>
      <c r="F679" s="14" t="n">
        <v>659925</v>
      </c>
      <c r="G679" s="15" t="n">
        <v>11821</v>
      </c>
      <c r="H679" s="15" t="n">
        <v>-71986</v>
      </c>
      <c r="I679" s="9" t="n">
        <v>184831</v>
      </c>
      <c r="J679" s="10" t="n">
        <v>6167</v>
      </c>
      <c r="K679" s="10" t="n">
        <v>-11026</v>
      </c>
      <c r="L679" s="7" t="n">
        <v>119770</v>
      </c>
      <c r="M679" s="8" t="n">
        <v>2703</v>
      </c>
      <c r="N679" s="8" t="n">
        <v>-28808</v>
      </c>
      <c r="O679" s="9" t="n">
        <v>112821</v>
      </c>
      <c r="P679" s="10" t="n">
        <v>1763</v>
      </c>
      <c r="Q679" s="10" t="n">
        <v>-8464</v>
      </c>
      <c r="R679" s="7" t="n">
        <v>125241</v>
      </c>
      <c r="S679" s="8" t="n">
        <v>-4647</v>
      </c>
      <c r="T679" s="8" t="n">
        <v>-13739</v>
      </c>
      <c r="U679" s="9" t="n">
        <v>99399</v>
      </c>
      <c r="V679" s="10" t="n">
        <v>-7083</v>
      </c>
      <c r="W679" s="10" t="n">
        <v>-19134</v>
      </c>
      <c r="X679" s="7" t="n">
        <v>113550</v>
      </c>
      <c r="Y679" s="8" t="n">
        <v>-5740</v>
      </c>
      <c r="Z679" s="8" t="n">
        <v>-37710</v>
      </c>
      <c r="AA679" s="9" t="n">
        <v>99237</v>
      </c>
      <c r="AB679" s="10" t="n">
        <v>-1737</v>
      </c>
      <c r="AC679" s="10" t="n">
        <v>79</v>
      </c>
      <c r="AD679" s="7" t="n">
        <v>88542</v>
      </c>
      <c r="AE679" s="8" t="n">
        <v>-14099</v>
      </c>
      <c r="AF679" s="8" t="n">
        <v>-26915</v>
      </c>
      <c r="AG679" s="9" t="n">
        <v>93945</v>
      </c>
      <c r="AH679" s="10" t="n">
        <v>2344</v>
      </c>
      <c r="AI679" s="10" t="n">
        <v>34640</v>
      </c>
      <c r="AJ679" s="11" t="n">
        <v>111009</v>
      </c>
      <c r="AK679" s="12" t="n">
        <v>-1720</v>
      </c>
      <c r="AL679" s="12" t="n">
        <v>2564</v>
      </c>
      <c r="AM679" s="13" t="n">
        <v>18.2</v>
      </c>
      <c r="AN679" s="13" t="n">
        <v>-2.2</v>
      </c>
      <c r="AO679" s="13" t="n">
        <v>-173.4</v>
      </c>
      <c r="AP679" s="13" t="n">
        <v>70</v>
      </c>
    </row>
    <row r="680">
      <c r="A680" s="5" t="inlineStr">
        <is>
          <t>동아지질</t>
        </is>
      </c>
      <c r="B680" s="6" t="inlineStr">
        <is>
          <t>028100</t>
        </is>
      </c>
      <c r="C680" s="6" t="inlineStr">
        <is>
          <t>연결</t>
        </is>
      </c>
      <c r="D680" s="6" t="inlineStr">
        <is>
          <t>2026Q2</t>
        </is>
      </c>
      <c r="E680" s="6" t="inlineStr"/>
      <c r="F680" s="7" t="inlineStr"/>
      <c r="G680" s="8" t="inlineStr"/>
      <c r="H680" s="8" t="inlineStr"/>
      <c r="I680" s="9" t="n">
        <v>91220</v>
      </c>
      <c r="J680" s="10" t="n">
        <v>2179</v>
      </c>
      <c r="K680" s="10" t="n">
        <v>3552</v>
      </c>
      <c r="L680" s="7" t="n">
        <v>94219</v>
      </c>
      <c r="M680" s="8" t="n">
        <v>1584</v>
      </c>
      <c r="N680" s="8" t="n">
        <v>2429</v>
      </c>
      <c r="O680" s="9" t="n">
        <v>98812</v>
      </c>
      <c r="P680" s="10" t="n">
        <v>2287</v>
      </c>
      <c r="Q680" s="10" t="n">
        <v>1855</v>
      </c>
      <c r="R680" s="7" t="n">
        <v>109242</v>
      </c>
      <c r="S680" s="8" t="n">
        <v>3562</v>
      </c>
      <c r="T680" s="8" t="n">
        <v>3552</v>
      </c>
      <c r="U680" s="9" t="n">
        <v>103883</v>
      </c>
      <c r="V680" s="10" t="n">
        <v>3518</v>
      </c>
      <c r="W680" s="10" t="n">
        <v>2865</v>
      </c>
      <c r="X680" s="7" t="n">
        <v>105472</v>
      </c>
      <c r="Y680" s="8" t="n">
        <v>4190</v>
      </c>
      <c r="Z680" s="8" t="n">
        <v>4292</v>
      </c>
      <c r="AA680" s="9" t="n">
        <v>130920</v>
      </c>
      <c r="AB680" s="10" t="n">
        <v>5244</v>
      </c>
      <c r="AC680" s="10" t="n">
        <v>4948</v>
      </c>
      <c r="AD680" s="7" t="n">
        <v>127451</v>
      </c>
      <c r="AE680" s="8" t="n">
        <v>5117</v>
      </c>
      <c r="AF680" s="8" t="n">
        <v>6616</v>
      </c>
      <c r="AG680" s="9" t="n">
        <v>123785</v>
      </c>
      <c r="AH680" s="10" t="n">
        <v>5052</v>
      </c>
      <c r="AI680" s="10" t="n">
        <v>4237</v>
      </c>
      <c r="AJ680" s="11" t="n">
        <v>111944</v>
      </c>
      <c r="AK680" s="12" t="n">
        <v>5036</v>
      </c>
      <c r="AL680" s="12" t="n">
        <v>5525</v>
      </c>
      <c r="AM680" s="13" t="n">
        <v>-9.6</v>
      </c>
      <c r="AN680" s="13" t="n">
        <v>6.1</v>
      </c>
      <c r="AO680" s="13" t="n">
        <v>-0.3</v>
      </c>
      <c r="AP680" s="13" t="n">
        <v>20.2</v>
      </c>
    </row>
    <row r="681">
      <c r="A681" s="5" t="inlineStr">
        <is>
          <t>삼성물산</t>
        </is>
      </c>
      <c r="B681" s="6" t="inlineStr">
        <is>
          <t>028260</t>
        </is>
      </c>
      <c r="C681" s="6" t="inlineStr">
        <is>
          <t>연결</t>
        </is>
      </c>
      <c r="D681" s="6" t="inlineStr">
        <is>
          <t>2026Q2</t>
        </is>
      </c>
      <c r="E681" s="6" t="inlineStr">
        <is>
          <t>2023Q4</t>
        </is>
      </c>
      <c r="F681" s="14" t="n">
        <v>10099746</v>
      </c>
      <c r="G681" s="15" t="n">
        <v>626967</v>
      </c>
      <c r="H681" s="15" t="n">
        <v>571314</v>
      </c>
      <c r="I681" s="9" t="n">
        <v>10795789</v>
      </c>
      <c r="J681" s="10" t="n">
        <v>712311</v>
      </c>
      <c r="K681" s="10" t="n">
        <v>822138</v>
      </c>
      <c r="L681" s="7" t="n">
        <v>11004819</v>
      </c>
      <c r="M681" s="8" t="n">
        <v>900372</v>
      </c>
      <c r="N681" s="8" t="n">
        <v>734036</v>
      </c>
      <c r="O681" s="9" t="n">
        <v>10309867</v>
      </c>
      <c r="P681" s="10" t="n">
        <v>736150</v>
      </c>
      <c r="Q681" s="10" t="n">
        <v>560030</v>
      </c>
      <c r="R681" s="7" t="n">
        <v>9992763</v>
      </c>
      <c r="S681" s="8" t="n">
        <v>634564</v>
      </c>
      <c r="T681" s="8" t="n">
        <v>655808</v>
      </c>
      <c r="U681" s="9" t="n">
        <v>9736781</v>
      </c>
      <c r="V681" s="10" t="n">
        <v>724421</v>
      </c>
      <c r="W681" s="10" t="n">
        <v>937243</v>
      </c>
      <c r="X681" s="7" t="n">
        <v>10022076</v>
      </c>
      <c r="Y681" s="8" t="n">
        <v>752614</v>
      </c>
      <c r="Z681" s="8" t="n">
        <v>526524</v>
      </c>
      <c r="AA681" s="9" t="n">
        <v>10150951</v>
      </c>
      <c r="AB681" s="10" t="n">
        <v>993429</v>
      </c>
      <c r="AC681" s="10" t="n">
        <v>884596</v>
      </c>
      <c r="AD681" s="7" t="n">
        <v>10832433</v>
      </c>
      <c r="AE681" s="8" t="n">
        <v>822283</v>
      </c>
      <c r="AF681" s="8" t="n">
        <v>1558290</v>
      </c>
      <c r="AG681" s="9" t="n">
        <v>10465823</v>
      </c>
      <c r="AH681" s="10" t="n">
        <v>720364</v>
      </c>
      <c r="AI681" s="10" t="n">
        <v>1085870</v>
      </c>
      <c r="AJ681" s="11" t="n">
        <v>11995056</v>
      </c>
      <c r="AK681" s="12" t="n">
        <v>1031736</v>
      </c>
      <c r="AL681" s="12" t="n">
        <v>915544</v>
      </c>
      <c r="AM681" s="13" t="n">
        <v>14.6</v>
      </c>
      <c r="AN681" s="13" t="n">
        <v>19.7</v>
      </c>
      <c r="AO681" s="13" t="n">
        <v>43.2</v>
      </c>
      <c r="AP681" s="13" t="n">
        <v>37.1</v>
      </c>
    </row>
    <row r="682">
      <c r="A682" s="5" t="inlineStr">
        <is>
          <t>HLB</t>
        </is>
      </c>
      <c r="B682" s="6" t="inlineStr">
        <is>
          <t>028300</t>
        </is>
      </c>
      <c r="C682" s="6" t="inlineStr">
        <is>
          <t>연결</t>
        </is>
      </c>
      <c r="D682" s="6" t="inlineStr">
        <is>
          <t>2026Q2</t>
        </is>
      </c>
      <c r="E682" s="6" t="inlineStr"/>
      <c r="F682" s="7" t="inlineStr"/>
      <c r="G682" s="8" t="inlineStr"/>
      <c r="H682" s="8" t="inlineStr"/>
      <c r="I682" s="9" t="n">
        <v>11154</v>
      </c>
      <c r="J682" s="10" t="n">
        <v>-35771</v>
      </c>
      <c r="K682" s="10" t="n">
        <v>28304</v>
      </c>
      <c r="L682" s="7" t="n">
        <v>14794</v>
      </c>
      <c r="M682" s="8" t="n">
        <v>-37470</v>
      </c>
      <c r="N682" s="8" t="n">
        <v>-107224</v>
      </c>
      <c r="O682" s="9" t="n">
        <v>16953</v>
      </c>
      <c r="P682" s="10" t="n">
        <v>-19559</v>
      </c>
      <c r="Q682" s="10" t="n">
        <v>590</v>
      </c>
      <c r="R682" s="7" t="n">
        <v>25225</v>
      </c>
      <c r="S682" s="8" t="n">
        <v>-25716</v>
      </c>
      <c r="T682" s="8" t="n">
        <v>-29697</v>
      </c>
      <c r="U682" s="9" t="n">
        <v>17664</v>
      </c>
      <c r="V682" s="10" t="n">
        <v>-28757</v>
      </c>
      <c r="W682" s="10" t="n">
        <v>-68925</v>
      </c>
      <c r="X682" s="7" t="n">
        <v>15732</v>
      </c>
      <c r="Y682" s="8" t="n">
        <v>-23061</v>
      </c>
      <c r="Z682" s="8" t="n">
        <v>-60752</v>
      </c>
      <c r="AA682" s="9" t="n">
        <v>22111</v>
      </c>
      <c r="AB682" s="10" t="n">
        <v>-23028</v>
      </c>
      <c r="AC682" s="10" t="n">
        <v>-76435</v>
      </c>
      <c r="AD682" s="7" t="n">
        <v>28666</v>
      </c>
      <c r="AE682" s="8" t="n">
        <v>-29371</v>
      </c>
      <c r="AF682" s="8" t="n">
        <v>-29303</v>
      </c>
      <c r="AG682" s="9" t="n">
        <v>18689</v>
      </c>
      <c r="AH682" s="10" t="n">
        <v>-23193</v>
      </c>
      <c r="AI682" s="10" t="n">
        <v>-40896</v>
      </c>
      <c r="AJ682" s="11" t="n">
        <v>28002</v>
      </c>
      <c r="AK682" s="12" t="n">
        <v>-22520</v>
      </c>
      <c r="AL682" s="12" t="n">
        <v>-80395</v>
      </c>
      <c r="AM682" s="13" t="n">
        <v>49.8</v>
      </c>
      <c r="AN682" s="13" t="n">
        <v>78</v>
      </c>
      <c r="AO682" s="13" t="n">
        <v>2.9</v>
      </c>
      <c r="AP682" s="13" t="n">
        <v>2.3</v>
      </c>
    </row>
    <row r="683">
      <c r="A683" s="5" t="inlineStr">
        <is>
          <t>팬오션</t>
        </is>
      </c>
      <c r="B683" s="6" t="inlineStr">
        <is>
          <t>028670</t>
        </is>
      </c>
      <c r="C683" s="6" t="inlineStr">
        <is>
          <t>연결</t>
        </is>
      </c>
      <c r="D683" s="6" t="inlineStr">
        <is>
          <t>2026Q2</t>
        </is>
      </c>
      <c r="E683" s="6" t="inlineStr"/>
      <c r="F683" s="7" t="inlineStr"/>
      <c r="G683" s="8" t="inlineStr"/>
      <c r="H683" s="8" t="inlineStr"/>
      <c r="I683" s="9" t="n">
        <v>975515</v>
      </c>
      <c r="J683" s="10" t="n">
        <v>98175</v>
      </c>
      <c r="K683" s="10" t="n">
        <v>60440</v>
      </c>
      <c r="L683" s="7" t="n">
        <v>1233427</v>
      </c>
      <c r="M683" s="8" t="n">
        <v>135151</v>
      </c>
      <c r="N683" s="8" t="n">
        <v>109636</v>
      </c>
      <c r="O683" s="9" t="n">
        <v>1276787</v>
      </c>
      <c r="P683" s="10" t="n">
        <v>128074</v>
      </c>
      <c r="Q683" s="10" t="n">
        <v>130946</v>
      </c>
      <c r="R683" s="7" t="n">
        <v>1675489</v>
      </c>
      <c r="S683" s="8" t="n">
        <v>109780</v>
      </c>
      <c r="T683" s="8" t="n">
        <v>-32879</v>
      </c>
      <c r="U683" s="9" t="n">
        <v>1393446</v>
      </c>
      <c r="V683" s="10" t="n">
        <v>113293</v>
      </c>
      <c r="W683" s="10" t="n">
        <v>72023</v>
      </c>
      <c r="X683" s="7" t="n">
        <v>1293649</v>
      </c>
      <c r="Y683" s="8" t="n">
        <v>123034</v>
      </c>
      <c r="Z683" s="8" t="n">
        <v>122785</v>
      </c>
      <c r="AA683" s="9" t="n">
        <v>1269455</v>
      </c>
      <c r="AB683" s="10" t="n">
        <v>125195</v>
      </c>
      <c r="AC683" s="10" t="n">
        <v>57932</v>
      </c>
      <c r="AD683" s="7" t="n">
        <v>1476338</v>
      </c>
      <c r="AE683" s="8" t="n">
        <v>130426</v>
      </c>
      <c r="AF683" s="8" t="n">
        <v>48667</v>
      </c>
      <c r="AG683" s="9" t="n">
        <v>1508925</v>
      </c>
      <c r="AH683" s="10" t="n">
        <v>140923</v>
      </c>
      <c r="AI683" s="10" t="n">
        <v>94516</v>
      </c>
      <c r="AJ683" s="11" t="n">
        <v>1913665</v>
      </c>
      <c r="AK683" s="12" t="n">
        <v>193695</v>
      </c>
      <c r="AL683" s="12" t="n">
        <v>137448</v>
      </c>
      <c r="AM683" s="13" t="n">
        <v>26.8</v>
      </c>
      <c r="AN683" s="13" t="n">
        <v>47.9</v>
      </c>
      <c r="AO683" s="13" t="n">
        <v>37.4</v>
      </c>
      <c r="AP683" s="13" t="n">
        <v>57.4</v>
      </c>
    </row>
    <row r="684">
      <c r="A684" s="5" t="inlineStr">
        <is>
          <t>케이씨</t>
        </is>
      </c>
      <c r="B684" s="6" t="inlineStr">
        <is>
          <t>029460</t>
        </is>
      </c>
      <c r="C684" s="6" t="inlineStr">
        <is>
          <t>연결</t>
        </is>
      </c>
      <c r="D684" s="6" t="inlineStr">
        <is>
          <t>2026Q2</t>
        </is>
      </c>
      <c r="E684" s="6" t="inlineStr"/>
      <c r="F684" s="7" t="inlineStr"/>
      <c r="G684" s="8" t="inlineStr"/>
      <c r="H684" s="8" t="inlineStr"/>
      <c r="I684" s="9" t="n">
        <v>203183</v>
      </c>
      <c r="J684" s="10" t="n">
        <v>10666</v>
      </c>
      <c r="K684" s="10" t="n">
        <v>16582</v>
      </c>
      <c r="L684" s="7" t="n">
        <v>172308</v>
      </c>
      <c r="M684" s="8" t="n">
        <v>-5615</v>
      </c>
      <c r="N684" s="8" t="n">
        <v>-3964</v>
      </c>
      <c r="O684" s="9" t="n">
        <v>145023</v>
      </c>
      <c r="P684" s="10" t="n">
        <v>-6651</v>
      </c>
      <c r="Q684" s="10" t="n">
        <v>-7133</v>
      </c>
      <c r="R684" s="7" t="n">
        <v>217974</v>
      </c>
      <c r="S684" s="8" t="n">
        <v>29578</v>
      </c>
      <c r="T684" s="8" t="n">
        <v>45977</v>
      </c>
      <c r="U684" s="9" t="n">
        <v>236738</v>
      </c>
      <c r="V684" s="10" t="n">
        <v>25543</v>
      </c>
      <c r="W684" s="10" t="n">
        <v>26545</v>
      </c>
      <c r="X684" s="7" t="n">
        <v>209505</v>
      </c>
      <c r="Y684" s="8" t="n">
        <v>14635</v>
      </c>
      <c r="Z684" s="8" t="n">
        <v>13428</v>
      </c>
      <c r="AA684" s="9" t="n">
        <v>174998</v>
      </c>
      <c r="AB684" s="10" t="n">
        <v>2726</v>
      </c>
      <c r="AC684" s="10" t="n">
        <v>6541</v>
      </c>
      <c r="AD684" s="7" t="n">
        <v>176103</v>
      </c>
      <c r="AE684" s="8" t="n">
        <v>3559</v>
      </c>
      <c r="AF684" s="8" t="n">
        <v>3926</v>
      </c>
      <c r="AG684" s="9" t="n">
        <v>212510</v>
      </c>
      <c r="AH684" s="10" t="n">
        <v>13975</v>
      </c>
      <c r="AI684" s="10" t="n">
        <v>26039</v>
      </c>
      <c r="AJ684" s="11" t="n">
        <v>250416</v>
      </c>
      <c r="AK684" s="12" t="n">
        <v>22174</v>
      </c>
      <c r="AL684" s="12" t="n">
        <v>25460</v>
      </c>
      <c r="AM684" s="13" t="n">
        <v>17.8</v>
      </c>
      <c r="AN684" s="13" t="n">
        <v>19.5</v>
      </c>
      <c r="AO684" s="13" t="n">
        <v>58.7</v>
      </c>
      <c r="AP684" s="13" t="n">
        <v>51.5</v>
      </c>
    </row>
    <row r="685">
      <c r="A685" s="5" t="inlineStr">
        <is>
          <t>광무</t>
        </is>
      </c>
      <c r="B685" s="6" t="inlineStr">
        <is>
          <t>029480</t>
        </is>
      </c>
      <c r="C685" s="6" t="inlineStr">
        <is>
          <t>연결</t>
        </is>
      </c>
      <c r="D685" s="6" t="inlineStr">
        <is>
          <t>2026Q2</t>
        </is>
      </c>
      <c r="E685" s="6" t="inlineStr"/>
      <c r="F685" s="7" t="inlineStr"/>
      <c r="G685" s="8" t="inlineStr"/>
      <c r="H685" s="8" t="inlineStr"/>
      <c r="I685" s="9" t="n">
        <v>1619</v>
      </c>
      <c r="J685" s="10" t="n">
        <v>-676</v>
      </c>
      <c r="K685" s="10" t="n">
        <v>92766</v>
      </c>
      <c r="L685" s="7" t="n">
        <v>1412</v>
      </c>
      <c r="M685" s="8" t="n">
        <v>-262</v>
      </c>
      <c r="N685" s="8" t="n">
        <v>47636</v>
      </c>
      <c r="O685" s="9" t="n">
        <v>1397</v>
      </c>
      <c r="P685" s="10" t="n">
        <v>-1247</v>
      </c>
      <c r="Q685" s="10" t="n">
        <v>-10157</v>
      </c>
      <c r="R685" s="7" t="n">
        <v>2099</v>
      </c>
      <c r="S685" s="8" t="n">
        <v>-2524</v>
      </c>
      <c r="T685" s="8" t="n">
        <v>-26073</v>
      </c>
      <c r="U685" s="9" t="n">
        <v>1452</v>
      </c>
      <c r="V685" s="10" t="n">
        <v>-1110</v>
      </c>
      <c r="W685" s="10" t="n">
        <v>-40582</v>
      </c>
      <c r="X685" s="7" t="n">
        <v>2453</v>
      </c>
      <c r="Y685" s="8" t="n">
        <v>-1125</v>
      </c>
      <c r="Z685" s="8" t="n">
        <v>13127</v>
      </c>
      <c r="AA685" s="9" t="n">
        <v>2018</v>
      </c>
      <c r="AB685" s="10" t="n">
        <v>-1181</v>
      </c>
      <c r="AC685" s="10" t="n">
        <v>2475</v>
      </c>
      <c r="AD685" s="7" t="n">
        <v>1649</v>
      </c>
      <c r="AE685" s="8" t="n">
        <v>-812</v>
      </c>
      <c r="AF685" s="8" t="n">
        <v>-4113</v>
      </c>
      <c r="AG685" s="9" t="n">
        <v>1176</v>
      </c>
      <c r="AH685" s="10" t="n">
        <v>-892</v>
      </c>
      <c r="AI685" s="10" t="n">
        <v>18795</v>
      </c>
      <c r="AJ685" s="11" t="n">
        <v>952</v>
      </c>
      <c r="AK685" s="12" t="n">
        <v>-891</v>
      </c>
      <c r="AL685" s="12" t="n">
        <v>13443</v>
      </c>
      <c r="AM685" s="13" t="n">
        <v>-19</v>
      </c>
      <c r="AN685" s="13" t="n">
        <v>-61.2</v>
      </c>
      <c r="AO685" s="13" t="n">
        <v>0.1</v>
      </c>
      <c r="AP685" s="13" t="n">
        <v>20.8</v>
      </c>
    </row>
    <row r="686">
      <c r="A686" s="5" t="inlineStr">
        <is>
          <t>신도리코</t>
        </is>
      </c>
      <c r="B686" s="6" t="inlineStr">
        <is>
          <t>029530</t>
        </is>
      </c>
      <c r="C686" s="6" t="inlineStr">
        <is>
          <t>연결</t>
        </is>
      </c>
      <c r="D686" s="6" t="inlineStr">
        <is>
          <t>2026Q2</t>
        </is>
      </c>
      <c r="E686" s="6" t="inlineStr"/>
      <c r="F686" s="7" t="inlineStr"/>
      <c r="G686" s="8" t="inlineStr"/>
      <c r="H686" s="8" t="inlineStr"/>
      <c r="I686" s="9" t="n">
        <v>94128</v>
      </c>
      <c r="J686" s="10" t="n">
        <v>7892</v>
      </c>
      <c r="K686" s="10" t="n">
        <v>20955</v>
      </c>
      <c r="L686" s="7" t="n">
        <v>91332</v>
      </c>
      <c r="M686" s="8" t="n">
        <v>5868</v>
      </c>
      <c r="N686" s="8" t="n">
        <v>15950</v>
      </c>
      <c r="O686" s="9" t="n">
        <v>79798</v>
      </c>
      <c r="P686" s="10" t="n">
        <v>2494</v>
      </c>
      <c r="Q686" s="10" t="n">
        <v>4719</v>
      </c>
      <c r="R686" s="7" t="n">
        <v>75737</v>
      </c>
      <c r="S686" s="8" t="n">
        <v>3903</v>
      </c>
      <c r="T686" s="8" t="n">
        <v>31571</v>
      </c>
      <c r="U686" s="9" t="n">
        <v>79042</v>
      </c>
      <c r="V686" s="10" t="n">
        <v>3426</v>
      </c>
      <c r="W686" s="10" t="n">
        <v>13043</v>
      </c>
      <c r="X686" s="7" t="n">
        <v>71241</v>
      </c>
      <c r="Y686" s="8" t="n">
        <v>-1787</v>
      </c>
      <c r="Z686" s="8" t="n">
        <v>-14560</v>
      </c>
      <c r="AA686" s="9" t="n">
        <v>80372</v>
      </c>
      <c r="AB686" s="10" t="n">
        <v>1452</v>
      </c>
      <c r="AC686" s="10" t="n">
        <v>13546</v>
      </c>
      <c r="AD686" s="7" t="n">
        <v>86673</v>
      </c>
      <c r="AE686" s="8" t="n">
        <v>3157</v>
      </c>
      <c r="AF686" s="8" t="n">
        <v>8040</v>
      </c>
      <c r="AG686" s="9" t="n">
        <v>85189</v>
      </c>
      <c r="AH686" s="10" t="n">
        <v>2924</v>
      </c>
      <c r="AI686" s="10" t="n">
        <v>19403</v>
      </c>
      <c r="AJ686" s="11" t="n">
        <v>71265</v>
      </c>
      <c r="AK686" s="12" t="n">
        <v>-8791</v>
      </c>
      <c r="AL686" s="12" t="n">
        <v>-2158</v>
      </c>
      <c r="AM686" s="13" t="n">
        <v>-16.3</v>
      </c>
      <c r="AN686" s="13" t="n">
        <v>0</v>
      </c>
      <c r="AO686" s="13" t="n">
        <v>-400.6</v>
      </c>
      <c r="AP686" s="13" t="n">
        <v>-391.9</v>
      </c>
    </row>
    <row r="687">
      <c r="A687" s="5" t="inlineStr">
        <is>
          <t>삼성카드</t>
        </is>
      </c>
      <c r="B687" s="6" t="inlineStr">
        <is>
          <t>029780</t>
        </is>
      </c>
      <c r="C687" s="6" t="inlineStr">
        <is>
          <t>연결</t>
        </is>
      </c>
      <c r="D687" s="6" t="inlineStr">
        <is>
          <t>2026Q2</t>
        </is>
      </c>
      <c r="E687" s="6" t="inlineStr">
        <is>
          <t>2023Q4</t>
        </is>
      </c>
      <c r="F687" s="14" t="n">
        <v>933300</v>
      </c>
      <c r="G687" s="15" t="n">
        <v>238800</v>
      </c>
      <c r="H687" s="15" t="n">
        <v>179400</v>
      </c>
      <c r="I687" s="9" t="n">
        <v>1106002</v>
      </c>
      <c r="J687" s="10" t="n">
        <v>241190</v>
      </c>
      <c r="K687" s="10" t="n">
        <v>177875</v>
      </c>
      <c r="L687" s="7" t="n">
        <v>1089698</v>
      </c>
      <c r="M687" s="8" t="n">
        <v>248627</v>
      </c>
      <c r="N687" s="8" t="n">
        <v>184901</v>
      </c>
      <c r="O687" s="9" t="n">
        <v>883267</v>
      </c>
      <c r="P687" s="10" t="n">
        <v>223839</v>
      </c>
      <c r="Q687" s="10" t="n">
        <v>168700</v>
      </c>
      <c r="R687" s="7" t="n">
        <v>1304243</v>
      </c>
      <c r="S687" s="8" t="n">
        <v>171765</v>
      </c>
      <c r="T687" s="8" t="n">
        <v>133117</v>
      </c>
      <c r="U687" s="9" t="n">
        <v>1067408</v>
      </c>
      <c r="V687" s="10" t="n">
        <v>244918</v>
      </c>
      <c r="W687" s="10" t="n">
        <v>184440</v>
      </c>
      <c r="X687" s="14" t="n">
        <v>1257200</v>
      </c>
      <c r="Y687" s="8" t="n">
        <v>200490</v>
      </c>
      <c r="Z687" s="8" t="n">
        <v>151199</v>
      </c>
      <c r="AA687" s="14" t="n">
        <v>1007800</v>
      </c>
      <c r="AB687" s="10" t="n">
        <v>213639</v>
      </c>
      <c r="AC687" s="10" t="n">
        <v>161690</v>
      </c>
      <c r="AD687" s="14" t="n">
        <v>1050400</v>
      </c>
      <c r="AE687" s="8" t="n">
        <v>194648</v>
      </c>
      <c r="AF687" s="8" t="n">
        <v>148594</v>
      </c>
      <c r="AG687" s="14" t="n">
        <v>1285800</v>
      </c>
      <c r="AH687" s="10" t="n">
        <v>210015</v>
      </c>
      <c r="AI687" s="10" t="n">
        <v>156284</v>
      </c>
      <c r="AJ687" s="14" t="n">
        <v>1177500</v>
      </c>
      <c r="AK687" s="12" t="n">
        <v>208636</v>
      </c>
      <c r="AL687" s="12" t="n">
        <v>154202</v>
      </c>
      <c r="AM687" s="13" t="n">
        <v>-8.4</v>
      </c>
      <c r="AN687" s="13" t="n">
        <v>-6.3</v>
      </c>
      <c r="AO687" s="13" t="n">
        <v>-0.7</v>
      </c>
      <c r="AP687" s="13" t="n">
        <v>4.1</v>
      </c>
    </row>
    <row r="688">
      <c r="A688" s="5" t="inlineStr">
        <is>
          <t>제일기획</t>
        </is>
      </c>
      <c r="B688" s="6" t="inlineStr">
        <is>
          <t>030000</t>
        </is>
      </c>
      <c r="C688" s="6" t="inlineStr">
        <is>
          <t>연결</t>
        </is>
      </c>
      <c r="D688" s="6" t="inlineStr">
        <is>
          <t>2026Q2</t>
        </is>
      </c>
      <c r="E688" s="6" t="inlineStr">
        <is>
          <t>2023Q4</t>
        </is>
      </c>
      <c r="F688" s="14" t="n">
        <v>1146964</v>
      </c>
      <c r="G688" s="15" t="n">
        <v>75985</v>
      </c>
      <c r="H688" s="15" t="n">
        <v>17300</v>
      </c>
      <c r="I688" s="9" t="n">
        <v>1018010</v>
      </c>
      <c r="J688" s="10" t="n">
        <v>54543</v>
      </c>
      <c r="K688" s="10" t="n">
        <v>14722</v>
      </c>
      <c r="L688" s="7" t="n">
        <v>1089447</v>
      </c>
      <c r="M688" s="8" t="n">
        <v>88210</v>
      </c>
      <c r="N688" s="8" t="n">
        <v>65323</v>
      </c>
      <c r="O688" s="9" t="n">
        <v>1072538</v>
      </c>
      <c r="P688" s="10" t="n">
        <v>95571</v>
      </c>
      <c r="Q688" s="10" t="n">
        <v>29442</v>
      </c>
      <c r="R688" s="7" t="n">
        <v>1164262</v>
      </c>
      <c r="S688" s="8" t="n">
        <v>82397</v>
      </c>
      <c r="T688" s="8" t="n">
        <v>98856</v>
      </c>
      <c r="U688" s="9" t="n">
        <v>1039417</v>
      </c>
      <c r="V688" s="10" t="n">
        <v>58492</v>
      </c>
      <c r="W688" s="10" t="n">
        <v>28033</v>
      </c>
      <c r="X688" s="7" t="n">
        <v>1118834</v>
      </c>
      <c r="Y688" s="8" t="n">
        <v>92118</v>
      </c>
      <c r="Z688" s="8" t="n">
        <v>51245</v>
      </c>
      <c r="AA688" s="9" t="n">
        <v>1188923</v>
      </c>
      <c r="AB688" s="10" t="n">
        <v>95889</v>
      </c>
      <c r="AC688" s="10" t="n">
        <v>64901</v>
      </c>
      <c r="AD688" s="7" t="n">
        <v>1199721</v>
      </c>
      <c r="AE688" s="8" t="n">
        <v>90391</v>
      </c>
      <c r="AF688" s="8" t="n">
        <v>64434</v>
      </c>
      <c r="AG688" s="9" t="n">
        <v>1017566</v>
      </c>
      <c r="AH688" s="10" t="n">
        <v>36510</v>
      </c>
      <c r="AI688" s="10" t="n">
        <v>28263</v>
      </c>
      <c r="AJ688" s="11" t="n">
        <v>1074518</v>
      </c>
      <c r="AK688" s="12" t="n">
        <v>92694</v>
      </c>
      <c r="AL688" s="12" t="n">
        <v>63537</v>
      </c>
      <c r="AM688" s="13" t="n">
        <v>5.6</v>
      </c>
      <c r="AN688" s="13" t="n">
        <v>-4</v>
      </c>
      <c r="AO688" s="13" t="n">
        <v>153.9</v>
      </c>
      <c r="AP688" s="13" t="n">
        <v>0.6</v>
      </c>
    </row>
    <row r="689">
      <c r="A689" s="5" t="inlineStr">
        <is>
          <t>NICE평가정보</t>
        </is>
      </c>
      <c r="B689" s="6" t="inlineStr">
        <is>
          <t>030190</t>
        </is>
      </c>
      <c r="C689" s="6" t="inlineStr">
        <is>
          <t>연결</t>
        </is>
      </c>
      <c r="D689" s="6" t="inlineStr">
        <is>
          <t>2026Q2</t>
        </is>
      </c>
      <c r="E689" s="6" t="inlineStr"/>
      <c r="F689" s="7" t="inlineStr"/>
      <c r="G689" s="8" t="inlineStr"/>
      <c r="H689" s="8" t="inlineStr"/>
      <c r="I689" s="9" t="n">
        <v>122799</v>
      </c>
      <c r="J689" s="10" t="n">
        <v>17433</v>
      </c>
      <c r="K689" s="10" t="n">
        <v>17627</v>
      </c>
      <c r="L689" s="7" t="n">
        <v>131148</v>
      </c>
      <c r="M689" s="8" t="n">
        <v>24088</v>
      </c>
      <c r="N689" s="8" t="n">
        <v>18748</v>
      </c>
      <c r="O689" s="9" t="n">
        <v>134383</v>
      </c>
      <c r="P689" s="10" t="n">
        <v>22615</v>
      </c>
      <c r="Q689" s="10" t="n">
        <v>18868</v>
      </c>
      <c r="R689" s="7" t="n">
        <v>146702</v>
      </c>
      <c r="S689" s="8" t="n">
        <v>22652</v>
      </c>
      <c r="T689" s="8" t="n">
        <v>20788</v>
      </c>
      <c r="U689" s="9" t="n">
        <v>142178</v>
      </c>
      <c r="V689" s="10" t="n">
        <v>24972</v>
      </c>
      <c r="W689" s="10" t="n">
        <v>19492</v>
      </c>
      <c r="X689" s="7" t="n">
        <v>151339</v>
      </c>
      <c r="Y689" s="8" t="n">
        <v>27573</v>
      </c>
      <c r="Z689" s="8" t="n">
        <v>22605</v>
      </c>
      <c r="AA689" s="9" t="n">
        <v>151051</v>
      </c>
      <c r="AB689" s="10" t="n">
        <v>26997</v>
      </c>
      <c r="AC689" s="10" t="n">
        <v>22960</v>
      </c>
      <c r="AD689" s="7" t="n">
        <v>157579</v>
      </c>
      <c r="AE689" s="8" t="n">
        <v>24847</v>
      </c>
      <c r="AF689" s="8" t="n">
        <v>13018</v>
      </c>
      <c r="AG689" s="9" t="n">
        <v>155990</v>
      </c>
      <c r="AH689" s="10" t="n">
        <v>29402</v>
      </c>
      <c r="AI689" s="10" t="n">
        <v>25811</v>
      </c>
      <c r="AJ689" s="11" t="n">
        <v>163185</v>
      </c>
      <c r="AK689" s="12" t="n">
        <v>32870</v>
      </c>
      <c r="AL689" s="12" t="n">
        <v>25834</v>
      </c>
      <c r="AM689" s="13" t="n">
        <v>4.6</v>
      </c>
      <c r="AN689" s="13" t="n">
        <v>7.8</v>
      </c>
      <c r="AO689" s="13" t="n">
        <v>11.8</v>
      </c>
      <c r="AP689" s="13" t="n">
        <v>19.2</v>
      </c>
    </row>
    <row r="690">
      <c r="A690" s="5" t="inlineStr">
        <is>
          <t>케이티</t>
        </is>
      </c>
      <c r="B690" s="6" t="inlineStr">
        <is>
          <t>030200</t>
        </is>
      </c>
      <c r="C690" s="6" t="inlineStr">
        <is>
          <t>연결</t>
        </is>
      </c>
      <c r="D690" s="6" t="inlineStr">
        <is>
          <t>2026Q2</t>
        </is>
      </c>
      <c r="E690" s="6" t="inlineStr">
        <is>
          <t>2023Q4</t>
        </is>
      </c>
      <c r="F690" s="14" t="n">
        <v>6698400</v>
      </c>
      <c r="G690" s="15" t="n">
        <v>265600</v>
      </c>
      <c r="H690" s="15" t="n">
        <v>-41700</v>
      </c>
      <c r="I690" s="9" t="n">
        <v>6654574</v>
      </c>
      <c r="J690" s="10" t="n">
        <v>506500</v>
      </c>
      <c r="K690" s="10" t="n">
        <v>393003</v>
      </c>
      <c r="L690" s="7" t="n">
        <v>6546399</v>
      </c>
      <c r="M690" s="8" t="n">
        <v>493986</v>
      </c>
      <c r="N690" s="8" t="n">
        <v>410541</v>
      </c>
      <c r="O690" s="9" t="n">
        <v>6654615</v>
      </c>
      <c r="P690" s="10" t="n">
        <v>464110</v>
      </c>
      <c r="Q690" s="10" t="n">
        <v>383171</v>
      </c>
      <c r="R690" s="7" t="n">
        <v>6575616</v>
      </c>
      <c r="S690" s="8" t="n">
        <v>-655125</v>
      </c>
      <c r="T690" s="8" t="n">
        <v>-769621</v>
      </c>
      <c r="U690" s="9" t="n">
        <v>6845117</v>
      </c>
      <c r="V690" s="10" t="n">
        <v>688771</v>
      </c>
      <c r="W690" s="10" t="n">
        <v>566799</v>
      </c>
      <c r="X690" s="7" t="n">
        <v>7427337</v>
      </c>
      <c r="Y690" s="8" t="n">
        <v>1014818</v>
      </c>
      <c r="Z690" s="8" t="n">
        <v>733282</v>
      </c>
      <c r="AA690" s="9" t="n">
        <v>7126734</v>
      </c>
      <c r="AB690" s="10" t="n">
        <v>538181</v>
      </c>
      <c r="AC690" s="10" t="n">
        <v>445253</v>
      </c>
      <c r="AD690" s="7" t="n">
        <v>6844973</v>
      </c>
      <c r="AE690" s="8" t="n">
        <v>227363</v>
      </c>
      <c r="AF690" s="8" t="n">
        <v>91436</v>
      </c>
      <c r="AG690" s="9" t="n">
        <v>6778448</v>
      </c>
      <c r="AH690" s="10" t="n">
        <v>482701</v>
      </c>
      <c r="AI690" s="10" t="n">
        <v>388321</v>
      </c>
      <c r="AJ690" s="11" t="n">
        <v>6679866</v>
      </c>
      <c r="AK690" s="12" t="n">
        <v>648315</v>
      </c>
      <c r="AL690" s="12" t="n">
        <v>480536</v>
      </c>
      <c r="AM690" s="13" t="n">
        <v>-1.5</v>
      </c>
      <c r="AN690" s="13" t="n">
        <v>-10.1</v>
      </c>
      <c r="AO690" s="13" t="n">
        <v>34.3</v>
      </c>
      <c r="AP690" s="13" t="n">
        <v>-36.1</v>
      </c>
    </row>
    <row r="691">
      <c r="A691" s="5" t="inlineStr">
        <is>
          <t>다올투자증권</t>
        </is>
      </c>
      <c r="B691" s="6" t="inlineStr">
        <is>
          <t>030210</t>
        </is>
      </c>
      <c r="C691" s="6" t="inlineStr">
        <is>
          <t>연결</t>
        </is>
      </c>
      <c r="D691" s="6" t="inlineStr">
        <is>
          <t>2026Q2</t>
        </is>
      </c>
      <c r="E691" s="6" t="inlineStr">
        <is>
          <t>2023Q4</t>
        </is>
      </c>
      <c r="F691" s="14" t="n">
        <v>384679</v>
      </c>
      <c r="G691" s="15" t="n">
        <v>4723</v>
      </c>
      <c r="H691" s="15" t="n">
        <v>1046</v>
      </c>
      <c r="I691" s="9" t="n">
        <v>365071</v>
      </c>
      <c r="J691" s="10" t="n">
        <v>6503</v>
      </c>
      <c r="K691" s="10" t="n">
        <v>6704</v>
      </c>
      <c r="L691" s="7" t="n">
        <v>299716</v>
      </c>
      <c r="M691" s="8" t="n">
        <v>-38939</v>
      </c>
      <c r="N691" s="8" t="n">
        <v>-28372</v>
      </c>
      <c r="O691" s="9" t="n">
        <v>281465</v>
      </c>
      <c r="P691" s="10" t="n">
        <v>2478</v>
      </c>
      <c r="Q691" s="10" t="n">
        <v>4559</v>
      </c>
      <c r="R691" s="7" t="n">
        <v>496315</v>
      </c>
      <c r="S691" s="8" t="n">
        <v>-44972</v>
      </c>
      <c r="T691" s="8" t="n">
        <v>-28345</v>
      </c>
      <c r="U691" s="9" t="n">
        <v>437162</v>
      </c>
      <c r="V691" s="10" t="n">
        <v>6015</v>
      </c>
      <c r="W691" s="10" t="n">
        <v>9490</v>
      </c>
      <c r="X691" s="7" t="n">
        <v>503184</v>
      </c>
      <c r="Y691" s="8" t="n">
        <v>19572</v>
      </c>
      <c r="Z691" s="8" t="n">
        <v>22369</v>
      </c>
      <c r="AA691" s="9" t="n">
        <v>300972</v>
      </c>
      <c r="AB691" s="10" t="n">
        <v>11515</v>
      </c>
      <c r="AC691" s="10" t="n">
        <v>9749</v>
      </c>
      <c r="AD691" s="7" t="n">
        <v>473133</v>
      </c>
      <c r="AE691" s="8" t="n">
        <v>-3379</v>
      </c>
      <c r="AF691" s="8" t="n">
        <v>2249</v>
      </c>
      <c r="AG691" s="9" t="n">
        <v>769063</v>
      </c>
      <c r="AH691" s="10" t="n">
        <v>9185</v>
      </c>
      <c r="AI691" s="10" t="n">
        <v>15037</v>
      </c>
      <c r="AJ691" s="11" t="n">
        <v>1060503</v>
      </c>
      <c r="AK691" s="12" t="n">
        <v>17114</v>
      </c>
      <c r="AL691" s="12" t="n">
        <v>17113</v>
      </c>
      <c r="AM691" s="13" t="n">
        <v>37.9</v>
      </c>
      <c r="AN691" s="13" t="n">
        <v>110.8</v>
      </c>
      <c r="AO691" s="13" t="n">
        <v>86.3</v>
      </c>
      <c r="AP691" s="13" t="n">
        <v>-12.6</v>
      </c>
    </row>
    <row r="692">
      <c r="A692" s="5" t="inlineStr">
        <is>
          <t>드래곤플라이</t>
        </is>
      </c>
      <c r="B692" s="6" t="inlineStr">
        <is>
          <t>030350</t>
        </is>
      </c>
      <c r="C692" s="6" t="inlineStr">
        <is>
          <t>연결</t>
        </is>
      </c>
      <c r="D692" s="6" t="inlineStr">
        <is>
          <t>2026Q2</t>
        </is>
      </c>
      <c r="E692" s="6" t="inlineStr"/>
      <c r="F692" s="7" t="inlineStr"/>
      <c r="G692" s="8" t="inlineStr"/>
      <c r="H692" s="8" t="inlineStr"/>
      <c r="I692" s="9" t="n">
        <v>11497</v>
      </c>
      <c r="J692" s="10" t="n">
        <v>-3109</v>
      </c>
      <c r="K692" s="10" t="n">
        <v>-3215</v>
      </c>
      <c r="L692" s="7" t="n">
        <v>5253</v>
      </c>
      <c r="M692" s="8" t="n">
        <v>-1676</v>
      </c>
      <c r="N692" s="8" t="n">
        <v>-4858</v>
      </c>
      <c r="O692" s="9" t="n">
        <v>4795</v>
      </c>
      <c r="P692" s="10" t="n">
        <v>-2614</v>
      </c>
      <c r="Q692" s="10" t="n">
        <v>-1107</v>
      </c>
      <c r="R692" s="7" t="n">
        <v>4082</v>
      </c>
      <c r="S692" s="8" t="n">
        <v>-2251</v>
      </c>
      <c r="T692" s="8" t="n">
        <v>-5020</v>
      </c>
      <c r="U692" s="9" t="n">
        <v>4258</v>
      </c>
      <c r="V692" s="10" t="n">
        <v>-497</v>
      </c>
      <c r="W692" s="10" t="n">
        <v>-719</v>
      </c>
      <c r="X692" s="7" t="n">
        <v>4086</v>
      </c>
      <c r="Y692" s="8" t="n">
        <v>-246</v>
      </c>
      <c r="Z692" s="8" t="n">
        <v>-813</v>
      </c>
      <c r="AA692" s="9" t="n">
        <v>4154</v>
      </c>
      <c r="AB692" s="10" t="n">
        <v>-434</v>
      </c>
      <c r="AC692" s="10" t="n">
        <v>-968</v>
      </c>
      <c r="AD692" s="7" t="n">
        <v>3381</v>
      </c>
      <c r="AE692" s="8" t="n">
        <v>-768</v>
      </c>
      <c r="AF692" s="8" t="n">
        <v>-6355</v>
      </c>
      <c r="AG692" s="9" t="n">
        <v>2931</v>
      </c>
      <c r="AH692" s="10" t="n">
        <v>-535</v>
      </c>
      <c r="AI692" s="10" t="n">
        <v>-489</v>
      </c>
      <c r="AJ692" s="11" t="n">
        <v>2719</v>
      </c>
      <c r="AK692" s="12" t="n">
        <v>-279</v>
      </c>
      <c r="AL692" s="12" t="n">
        <v>-324</v>
      </c>
      <c r="AM692" s="13" t="n">
        <v>-7.2</v>
      </c>
      <c r="AN692" s="13" t="n">
        <v>-33.5</v>
      </c>
      <c r="AO692" s="13" t="n">
        <v>47.9</v>
      </c>
      <c r="AP692" s="13" t="n">
        <v>-13.4</v>
      </c>
    </row>
    <row r="693">
      <c r="A693" s="5" t="inlineStr">
        <is>
          <t>한글과컴퓨터</t>
        </is>
      </c>
      <c r="B693" s="6" t="inlineStr">
        <is>
          <t>030520</t>
        </is>
      </c>
      <c r="C693" s="6" t="inlineStr">
        <is>
          <t>연결</t>
        </is>
      </c>
      <c r="D693" s="6" t="inlineStr">
        <is>
          <t>2026Q2</t>
        </is>
      </c>
      <c r="E693" s="6" t="inlineStr"/>
      <c r="F693" s="7" t="inlineStr"/>
      <c r="G693" s="8" t="inlineStr"/>
      <c r="H693" s="8" t="inlineStr"/>
      <c r="I693" s="9" t="n">
        <v>54615</v>
      </c>
      <c r="J693" s="10" t="n">
        <v>6365</v>
      </c>
      <c r="K693" s="10" t="n">
        <v>6003</v>
      </c>
      <c r="L693" s="7" t="n">
        <v>90519</v>
      </c>
      <c r="M693" s="8" t="n">
        <v>19920</v>
      </c>
      <c r="N693" s="8" t="n">
        <v>21195</v>
      </c>
      <c r="O693" s="9" t="n">
        <v>71160</v>
      </c>
      <c r="P693" s="10" t="n">
        <v>8480</v>
      </c>
      <c r="Q693" s="10" t="n">
        <v>5569</v>
      </c>
      <c r="R693" s="7" t="n">
        <v>88479</v>
      </c>
      <c r="S693" s="8" t="n">
        <v>5658</v>
      </c>
      <c r="T693" s="8" t="n">
        <v>-18771</v>
      </c>
      <c r="U693" s="9" t="n">
        <v>60916</v>
      </c>
      <c r="V693" s="10" t="n">
        <v>8386</v>
      </c>
      <c r="W693" s="10" t="n">
        <v>6518</v>
      </c>
      <c r="X693" s="7" t="n">
        <v>86413</v>
      </c>
      <c r="Y693" s="8" t="n">
        <v>16405</v>
      </c>
      <c r="Z693" s="8" t="n">
        <v>15084</v>
      </c>
      <c r="AA693" s="9" t="n">
        <v>84066</v>
      </c>
      <c r="AB693" s="10" t="n">
        <v>12356</v>
      </c>
      <c r="AC693" s="10" t="n">
        <v>12285</v>
      </c>
      <c r="AD693" s="7" t="n">
        <v>95350</v>
      </c>
      <c r="AE693" s="8" t="n">
        <v>-750</v>
      </c>
      <c r="AF693" s="8" t="n">
        <v>-9309</v>
      </c>
      <c r="AG693" s="9" t="n">
        <v>63616</v>
      </c>
      <c r="AH693" s="10" t="n">
        <v>8564</v>
      </c>
      <c r="AI693" s="10" t="n">
        <v>6839</v>
      </c>
      <c r="AJ693" s="11" t="n">
        <v>119952</v>
      </c>
      <c r="AK693" s="12" t="n">
        <v>14337</v>
      </c>
      <c r="AL693" s="12" t="n">
        <v>24144</v>
      </c>
      <c r="AM693" s="13" t="n">
        <v>88.59999999999999</v>
      </c>
      <c r="AN693" s="13" t="n">
        <v>38.8</v>
      </c>
      <c r="AO693" s="13" t="n">
        <v>67.40000000000001</v>
      </c>
      <c r="AP693" s="13" t="n">
        <v>-12.6</v>
      </c>
    </row>
    <row r="694">
      <c r="A694" s="5" t="inlineStr">
        <is>
          <t>원익홀딩스</t>
        </is>
      </c>
      <c r="B694" s="6" t="inlineStr">
        <is>
          <t>030530</t>
        </is>
      </c>
      <c r="C694" s="6" t="inlineStr">
        <is>
          <t>연결</t>
        </is>
      </c>
      <c r="D694" s="6" t="inlineStr">
        <is>
          <t>2026Q2</t>
        </is>
      </c>
      <c r="E694" s="6" t="inlineStr"/>
      <c r="F694" s="7" t="inlineStr"/>
      <c r="G694" s="8" t="inlineStr"/>
      <c r="H694" s="8" t="inlineStr"/>
      <c r="I694" s="9" t="n">
        <v>116811</v>
      </c>
      <c r="J694" s="10" t="n">
        <v>-2905</v>
      </c>
      <c r="K694" s="10" t="n">
        <v>-23975</v>
      </c>
      <c r="L694" s="7" t="n">
        <v>175201</v>
      </c>
      <c r="M694" s="8" t="n">
        <v>9542</v>
      </c>
      <c r="N694" s="8" t="n">
        <v>-902</v>
      </c>
      <c r="O694" s="9" t="n">
        <v>146286</v>
      </c>
      <c r="P694" s="10" t="n">
        <v>10963</v>
      </c>
      <c r="Q694" s="10" t="n">
        <v>-425</v>
      </c>
      <c r="R694" s="7" t="n">
        <v>207175</v>
      </c>
      <c r="S694" s="8" t="n">
        <v>13014</v>
      </c>
      <c r="T694" s="8" t="n">
        <v>-35761</v>
      </c>
      <c r="U694" s="9" t="n">
        <v>171019</v>
      </c>
      <c r="V694" s="10" t="n">
        <v>10233</v>
      </c>
      <c r="W694" s="10" t="n">
        <v>11553</v>
      </c>
      <c r="X694" s="7" t="n">
        <v>157557</v>
      </c>
      <c r="Y694" s="8" t="n">
        <v>-1860</v>
      </c>
      <c r="Z694" s="8" t="n">
        <v>-2991</v>
      </c>
      <c r="AA694" s="9" t="n">
        <v>143396</v>
      </c>
      <c r="AB694" s="10" t="n">
        <v>-8068</v>
      </c>
      <c r="AC694" s="10" t="n">
        <v>29967</v>
      </c>
      <c r="AD694" s="7" t="n">
        <v>151020</v>
      </c>
      <c r="AE694" s="8" t="n">
        <v>-723</v>
      </c>
      <c r="AF694" s="8" t="n">
        <v>11898</v>
      </c>
      <c r="AG694" s="9" t="n">
        <v>117144</v>
      </c>
      <c r="AH694" s="10" t="n">
        <v>-2316</v>
      </c>
      <c r="AI694" s="10" t="n">
        <v>4836</v>
      </c>
      <c r="AJ694" s="11" t="n">
        <v>176453</v>
      </c>
      <c r="AK694" s="12" t="n">
        <v>12779</v>
      </c>
      <c r="AL694" s="12" t="n">
        <v>33874</v>
      </c>
      <c r="AM694" s="13" t="n">
        <v>50.6</v>
      </c>
      <c r="AN694" s="13" t="n">
        <v>12</v>
      </c>
      <c r="AO694" s="13" t="n">
        <v>651.8</v>
      </c>
      <c r="AP694" s="13" t="n">
        <v>787</v>
      </c>
    </row>
    <row r="695">
      <c r="A695" s="5" t="inlineStr">
        <is>
          <t>교보증권</t>
        </is>
      </c>
      <c r="B695" s="6" t="inlineStr">
        <is>
          <t>030610</t>
        </is>
      </c>
      <c r="C695" s="6" t="inlineStr">
        <is>
          <t>연결</t>
        </is>
      </c>
      <c r="D695" s="6" t="inlineStr">
        <is>
          <t>2026Q2</t>
        </is>
      </c>
      <c r="E695" s="6" t="inlineStr"/>
      <c r="F695" s="7" t="inlineStr"/>
      <c r="G695" s="8" t="inlineStr"/>
      <c r="H695" s="8" t="inlineStr"/>
      <c r="I695" s="9" t="n">
        <v>1133257</v>
      </c>
      <c r="J695" s="10" t="n">
        <v>40117</v>
      </c>
      <c r="K695" s="10" t="n">
        <v>31974</v>
      </c>
      <c r="L695" s="7" t="n">
        <v>440000</v>
      </c>
      <c r="M695" s="8" t="n">
        <v>35016</v>
      </c>
      <c r="N695" s="8" t="n">
        <v>41053</v>
      </c>
      <c r="O695" s="9" t="n">
        <v>535124</v>
      </c>
      <c r="P695" s="10" t="n">
        <v>80462</v>
      </c>
      <c r="Q695" s="10" t="n">
        <v>59943</v>
      </c>
      <c r="R695" s="7" t="n">
        <v>1057941</v>
      </c>
      <c r="S695" s="8" t="n">
        <v>-41669</v>
      </c>
      <c r="T695" s="8" t="n">
        <v>-15292</v>
      </c>
      <c r="U695" s="9" t="n">
        <v>1108267</v>
      </c>
      <c r="V695" s="10" t="n">
        <v>67179</v>
      </c>
      <c r="W695" s="10" t="n">
        <v>51710</v>
      </c>
      <c r="X695" s="7" t="n">
        <v>1257802</v>
      </c>
      <c r="Y695" s="8" t="n">
        <v>70518</v>
      </c>
      <c r="Z695" s="8" t="n">
        <v>54333</v>
      </c>
      <c r="AA695" s="9" t="n">
        <v>830434</v>
      </c>
      <c r="AB695" s="10" t="n">
        <v>40633</v>
      </c>
      <c r="AC695" s="10" t="n">
        <v>30830</v>
      </c>
      <c r="AD695" s="7" t="n">
        <v>1310292</v>
      </c>
      <c r="AE695" s="8" t="n">
        <v>12113</v>
      </c>
      <c r="AF695" s="8" t="n">
        <v>6038</v>
      </c>
      <c r="AG695" s="9" t="n">
        <v>2395698</v>
      </c>
      <c r="AH695" s="10" t="n">
        <v>95907</v>
      </c>
      <c r="AI695" s="10" t="n">
        <v>68411</v>
      </c>
      <c r="AJ695" s="11" t="n">
        <v>2714652</v>
      </c>
      <c r="AK695" s="12" t="n">
        <v>115972</v>
      </c>
      <c r="AL695" s="12" t="n">
        <v>90111</v>
      </c>
      <c r="AM695" s="13" t="n">
        <v>13.3</v>
      </c>
      <c r="AN695" s="13" t="n">
        <v>115.8</v>
      </c>
      <c r="AO695" s="13" t="n">
        <v>20.9</v>
      </c>
      <c r="AP695" s="13" t="n">
        <v>64.5</v>
      </c>
    </row>
    <row r="696">
      <c r="A696" s="5" t="inlineStr">
        <is>
          <t>동원수산</t>
        </is>
      </c>
      <c r="B696" s="6" t="inlineStr">
        <is>
          <t>030720</t>
        </is>
      </c>
      <c r="C696" s="6" t="inlineStr">
        <is>
          <t>연결</t>
        </is>
      </c>
      <c r="D696" s="6" t="inlineStr">
        <is>
          <t>2026Q2</t>
        </is>
      </c>
      <c r="E696" s="6" t="inlineStr"/>
      <c r="F696" s="7" t="inlineStr"/>
      <c r="G696" s="8" t="inlineStr"/>
      <c r="H696" s="8" t="inlineStr"/>
      <c r="I696" s="9" t="n">
        <v>44971</v>
      </c>
      <c r="J696" s="10" t="n">
        <v>2528</v>
      </c>
      <c r="K696" s="10" t="n">
        <v>2035</v>
      </c>
      <c r="L696" s="7" t="n">
        <v>51248</v>
      </c>
      <c r="M696" s="8" t="n">
        <v>2512</v>
      </c>
      <c r="N696" s="8" t="n">
        <v>2104</v>
      </c>
      <c r="O696" s="9" t="n">
        <v>51205</v>
      </c>
      <c r="P696" s="10" t="n">
        <v>43</v>
      </c>
      <c r="Q696" s="10" t="n">
        <v>115</v>
      </c>
      <c r="R696" s="7" t="n">
        <v>36226</v>
      </c>
      <c r="S696" s="8" t="n">
        <v>241</v>
      </c>
      <c r="T696" s="8" t="n">
        <v>954</v>
      </c>
      <c r="U696" s="9" t="n">
        <v>45098</v>
      </c>
      <c r="V696" s="10" t="n">
        <v>2211</v>
      </c>
      <c r="W696" s="10" t="n">
        <v>1812</v>
      </c>
      <c r="X696" s="7" t="n">
        <v>52275</v>
      </c>
      <c r="Y696" s="8" t="n">
        <v>3905</v>
      </c>
      <c r="Z696" s="8" t="n">
        <v>2791</v>
      </c>
      <c r="AA696" s="9" t="n">
        <v>36245</v>
      </c>
      <c r="AB696" s="10" t="n">
        <v>1516</v>
      </c>
      <c r="AC696" s="10" t="n">
        <v>1664</v>
      </c>
      <c r="AD696" s="7" t="n">
        <v>38974</v>
      </c>
      <c r="AE696" s="8" t="n">
        <v>1194</v>
      </c>
      <c r="AF696" s="8" t="n">
        <v>1479</v>
      </c>
      <c r="AG696" s="9" t="n">
        <v>39804</v>
      </c>
      <c r="AH696" s="10" t="n">
        <v>3636</v>
      </c>
      <c r="AI696" s="10" t="n">
        <v>3236</v>
      </c>
      <c r="AJ696" s="11" t="n">
        <v>50044</v>
      </c>
      <c r="AK696" s="12" t="n">
        <v>4500</v>
      </c>
      <c r="AL696" s="12" t="n">
        <v>4262</v>
      </c>
      <c r="AM696" s="13" t="n">
        <v>25.7</v>
      </c>
      <c r="AN696" s="13" t="n">
        <v>-4.3</v>
      </c>
      <c r="AO696" s="13" t="n">
        <v>23.8</v>
      </c>
      <c r="AP696" s="13" t="n">
        <v>15.2</v>
      </c>
    </row>
    <row r="697">
      <c r="A697" s="5" t="inlineStr">
        <is>
          <t>양지사</t>
        </is>
      </c>
      <c r="B697" s="6" t="inlineStr">
        <is>
          <t>030960</t>
        </is>
      </c>
      <c r="C697" s="6" t="inlineStr">
        <is>
          <t>별도</t>
        </is>
      </c>
      <c r="D697" s="6" t="inlineStr">
        <is>
          <t>2025Q4</t>
        </is>
      </c>
      <c r="E697" s="6" t="inlineStr"/>
      <c r="F697" s="7" t="inlineStr"/>
      <c r="G697" s="8" t="inlineStr"/>
      <c r="H697" s="8" t="inlineStr"/>
      <c r="I697" s="9" t="n">
        <v>10892</v>
      </c>
      <c r="J697" s="10" t="n">
        <v>-611</v>
      </c>
      <c r="K697" s="10" t="n">
        <v>28</v>
      </c>
      <c r="L697" s="7" t="n">
        <v>26747</v>
      </c>
      <c r="M697" s="8" t="n">
        <v>2553</v>
      </c>
      <c r="N697" s="8" t="n">
        <v>3237</v>
      </c>
      <c r="O697" s="9" t="n">
        <v>8793</v>
      </c>
      <c r="P697" s="10" t="n">
        <v>188</v>
      </c>
      <c r="Q697" s="10" t="n">
        <v>1295</v>
      </c>
      <c r="R697" s="7" t="n">
        <v>11719</v>
      </c>
      <c r="S697" s="8" t="n">
        <v>-1974</v>
      </c>
      <c r="T697" s="8" t="n">
        <v>-112</v>
      </c>
      <c r="U697" s="9" t="n">
        <v>10020</v>
      </c>
      <c r="V697" s="10" t="n">
        <v>-737</v>
      </c>
      <c r="W697" s="10" t="n">
        <v>150</v>
      </c>
      <c r="X697" s="7" t="n">
        <v>25060</v>
      </c>
      <c r="Y697" s="8" t="n">
        <v>1322</v>
      </c>
      <c r="Z697" s="8" t="n">
        <v>1763</v>
      </c>
      <c r="AA697" s="9" t="n">
        <v>9339</v>
      </c>
      <c r="AB697" s="10" t="n">
        <v>-3981</v>
      </c>
      <c r="AC697" s="10" t="n">
        <v>-2337</v>
      </c>
      <c r="AD697" s="7" t="n">
        <v>11445</v>
      </c>
      <c r="AE697" s="8" t="n">
        <v>-2684</v>
      </c>
      <c r="AF697" s="8" t="n">
        <v>-1171</v>
      </c>
      <c r="AG697" s="9" t="inlineStr"/>
      <c r="AH697" s="10" t="inlineStr"/>
      <c r="AI697" s="10" t="inlineStr"/>
      <c r="AJ697" s="11" t="inlineStr"/>
      <c r="AK697" s="12" t="inlineStr"/>
      <c r="AL697" s="12" t="inlineStr"/>
      <c r="AM697" s="13" t="inlineStr"/>
      <c r="AN697" s="13" t="inlineStr"/>
      <c r="AO697" s="13" t="inlineStr"/>
      <c r="AP697" s="13" t="inlineStr"/>
    </row>
    <row r="698">
      <c r="A698" s="5" t="inlineStr">
        <is>
          <t>서울보증보험</t>
        </is>
      </c>
      <c r="B698" s="6" t="inlineStr">
        <is>
          <t>031210</t>
        </is>
      </c>
      <c r="C698" s="6" t="inlineStr">
        <is>
          <t>연결</t>
        </is>
      </c>
      <c r="D698" s="6" t="inlineStr">
        <is>
          <t>2026Q2</t>
        </is>
      </c>
      <c r="E698" s="6" t="inlineStr"/>
      <c r="F698" s="7" t="inlineStr"/>
      <c r="G698" s="8" t="inlineStr"/>
      <c r="H698" s="8" t="inlineStr"/>
      <c r="I698" s="9" t="inlineStr"/>
      <c r="J698" s="10" t="inlineStr"/>
      <c r="K698" s="10" t="inlineStr"/>
      <c r="L698" s="7" t="inlineStr"/>
      <c r="M698" s="8" t="inlineStr"/>
      <c r="N698" s="8" t="inlineStr"/>
      <c r="O698" s="9" t="inlineStr"/>
      <c r="P698" s="10" t="inlineStr"/>
      <c r="Q698" s="10" t="inlineStr"/>
      <c r="R698" s="7" t="inlineStr"/>
      <c r="S698" s="8" t="inlineStr"/>
      <c r="T698" s="8" t="inlineStr"/>
      <c r="U698" s="9" t="inlineStr"/>
      <c r="V698" s="10" t="n">
        <v>27271</v>
      </c>
      <c r="W698" s="10" t="n">
        <v>19374</v>
      </c>
      <c r="X698" s="7" t="inlineStr"/>
      <c r="Y698" s="8" t="n">
        <v>84546</v>
      </c>
      <c r="Z698" s="8" t="n">
        <v>65423</v>
      </c>
      <c r="AA698" s="9" t="inlineStr"/>
      <c r="AB698" s="10" t="n">
        <v>80947</v>
      </c>
      <c r="AC698" s="10" t="n">
        <v>61844</v>
      </c>
      <c r="AD698" s="14" t="n">
        <v>670061</v>
      </c>
      <c r="AE698" s="8" t="n">
        <v>182938</v>
      </c>
      <c r="AF698" s="8" t="n">
        <v>121770</v>
      </c>
      <c r="AG698" s="9" t="inlineStr"/>
      <c r="AH698" s="10" t="n">
        <v>93471</v>
      </c>
      <c r="AI698" s="10" t="n">
        <v>57493</v>
      </c>
      <c r="AJ698" s="14" t="n">
        <v>682207</v>
      </c>
      <c r="AK698" s="12" t="n">
        <v>87021</v>
      </c>
      <c r="AL698" s="12" t="n">
        <v>65998</v>
      </c>
      <c r="AM698" s="13" t="inlineStr"/>
      <c r="AN698" s="13" t="inlineStr"/>
      <c r="AO698" s="13" t="n">
        <v>-6.9</v>
      </c>
      <c r="AP698" s="13" t="n">
        <v>2.9</v>
      </c>
    </row>
    <row r="699">
      <c r="A699" s="5" t="inlineStr">
        <is>
          <t>아이즈비전</t>
        </is>
      </c>
      <c r="B699" s="6" t="inlineStr">
        <is>
          <t>031310</t>
        </is>
      </c>
      <c r="C699" s="6" t="inlineStr">
        <is>
          <t>연결</t>
        </is>
      </c>
      <c r="D699" s="6" t="inlineStr">
        <is>
          <t>2026Q2</t>
        </is>
      </c>
      <c r="E699" s="6" t="inlineStr"/>
      <c r="F699" s="7" t="inlineStr"/>
      <c r="G699" s="8" t="inlineStr"/>
      <c r="H699" s="8" t="inlineStr"/>
      <c r="I699" s="9" t="n">
        <v>44929</v>
      </c>
      <c r="J699" s="10" t="n">
        <v>1433</v>
      </c>
      <c r="K699" s="10" t="n">
        <v>11746</v>
      </c>
      <c r="L699" s="7" t="n">
        <v>48318</v>
      </c>
      <c r="M699" s="8" t="n">
        <v>30</v>
      </c>
      <c r="N699" s="8" t="n">
        <v>-1083</v>
      </c>
      <c r="O699" s="9" t="n">
        <v>44287</v>
      </c>
      <c r="P699" s="10" t="n">
        <v>625</v>
      </c>
      <c r="Q699" s="10" t="n">
        <v>943</v>
      </c>
      <c r="R699" s="7" t="n">
        <v>45249</v>
      </c>
      <c r="S699" s="8" t="n">
        <v>-1063</v>
      </c>
      <c r="T699" s="8" t="n">
        <v>-12464</v>
      </c>
      <c r="U699" s="9" t="n">
        <v>36040</v>
      </c>
      <c r="V699" s="10" t="n">
        <v>-915</v>
      </c>
      <c r="W699" s="10" t="n">
        <v>-482</v>
      </c>
      <c r="X699" s="7" t="n">
        <v>47205</v>
      </c>
      <c r="Y699" s="8" t="n">
        <v>1502</v>
      </c>
      <c r="Z699" s="8" t="n">
        <v>2921</v>
      </c>
      <c r="AA699" s="9" t="n">
        <v>46599</v>
      </c>
      <c r="AB699" s="10" t="n">
        <v>1611</v>
      </c>
      <c r="AC699" s="10" t="n">
        <v>7454</v>
      </c>
      <c r="AD699" s="7" t="n">
        <v>64532</v>
      </c>
      <c r="AE699" s="8" t="n">
        <v>1180</v>
      </c>
      <c r="AF699" s="8" t="n">
        <v>-1089</v>
      </c>
      <c r="AG699" s="9" t="n">
        <v>46733</v>
      </c>
      <c r="AH699" s="10" t="n">
        <v>-17</v>
      </c>
      <c r="AI699" s="10" t="n">
        <v>1289</v>
      </c>
      <c r="AJ699" s="11" t="n">
        <v>53290</v>
      </c>
      <c r="AK699" s="12" t="n">
        <v>2220</v>
      </c>
      <c r="AL699" s="12" t="n">
        <v>-6209</v>
      </c>
      <c r="AM699" s="13" t="n">
        <v>14</v>
      </c>
      <c r="AN699" s="13" t="n">
        <v>12.9</v>
      </c>
      <c r="AO699" s="13" t="n">
        <v>13158.8</v>
      </c>
      <c r="AP699" s="13" t="n">
        <v>47.8</v>
      </c>
    </row>
    <row r="700">
      <c r="A700" s="5" t="inlineStr">
        <is>
          <t>에스에이엠티</t>
        </is>
      </c>
      <c r="B700" s="6" t="inlineStr">
        <is>
          <t>031330</t>
        </is>
      </c>
      <c r="C700" s="6" t="inlineStr">
        <is>
          <t>연결</t>
        </is>
      </c>
      <c r="D700" s="6" t="inlineStr">
        <is>
          <t>2026Q2</t>
        </is>
      </c>
      <c r="E700" s="6" t="inlineStr"/>
      <c r="F700" s="7" t="inlineStr"/>
      <c r="G700" s="8" t="inlineStr"/>
      <c r="H700" s="8" t="inlineStr"/>
      <c r="I700" s="9" t="n">
        <v>689914</v>
      </c>
      <c r="J700" s="10" t="n">
        <v>21493</v>
      </c>
      <c r="K700" s="10" t="n">
        <v>15961</v>
      </c>
      <c r="L700" s="7" t="n">
        <v>718131</v>
      </c>
      <c r="M700" s="8" t="n">
        <v>14864</v>
      </c>
      <c r="N700" s="8" t="n">
        <v>21599</v>
      </c>
      <c r="O700" s="9" t="n">
        <v>734085</v>
      </c>
      <c r="P700" s="10" t="n">
        <v>14709</v>
      </c>
      <c r="Q700" s="10" t="n">
        <v>7908</v>
      </c>
      <c r="R700" s="7" t="n">
        <v>747343</v>
      </c>
      <c r="S700" s="8" t="n">
        <v>16304</v>
      </c>
      <c r="T700" s="8" t="n">
        <v>8894</v>
      </c>
      <c r="U700" s="9" t="n">
        <v>764365</v>
      </c>
      <c r="V700" s="10" t="n">
        <v>19538</v>
      </c>
      <c r="W700" s="10" t="n">
        <v>11909</v>
      </c>
      <c r="X700" s="7" t="n">
        <v>918011</v>
      </c>
      <c r="Y700" s="8" t="n">
        <v>22252</v>
      </c>
      <c r="Z700" s="8" t="n">
        <v>14632</v>
      </c>
      <c r="AA700" s="9" t="n">
        <v>1028643</v>
      </c>
      <c r="AB700" s="10" t="n">
        <v>27158</v>
      </c>
      <c r="AC700" s="10" t="n">
        <v>14921</v>
      </c>
      <c r="AD700" s="7" t="n">
        <v>1045575</v>
      </c>
      <c r="AE700" s="8" t="n">
        <v>44953</v>
      </c>
      <c r="AF700" s="8" t="n">
        <v>34367</v>
      </c>
      <c r="AG700" s="9" t="n">
        <v>1795379</v>
      </c>
      <c r="AH700" s="10" t="n">
        <v>327303</v>
      </c>
      <c r="AI700" s="10" t="n">
        <v>242009</v>
      </c>
      <c r="AJ700" s="11" t="n">
        <v>2580464</v>
      </c>
      <c r="AK700" s="12" t="n">
        <v>147642</v>
      </c>
      <c r="AL700" s="12" t="n">
        <v>105128</v>
      </c>
      <c r="AM700" s="13" t="n">
        <v>43.7</v>
      </c>
      <c r="AN700" s="13" t="n">
        <v>181.1</v>
      </c>
      <c r="AO700" s="13" t="n">
        <v>-54.9</v>
      </c>
      <c r="AP700" s="13" t="n">
        <v>563.5</v>
      </c>
    </row>
    <row r="701">
      <c r="A701" s="5" t="inlineStr">
        <is>
          <t>신세계인터내셔날</t>
        </is>
      </c>
      <c r="B701" s="6" t="inlineStr">
        <is>
          <t>031430</t>
        </is>
      </c>
      <c r="C701" s="6" t="inlineStr">
        <is>
          <t>연결</t>
        </is>
      </c>
      <c r="D701" s="6" t="inlineStr">
        <is>
          <t>2026Q2</t>
        </is>
      </c>
      <c r="E701" s="6" t="inlineStr">
        <is>
          <t>2023Q4</t>
        </is>
      </c>
      <c r="F701" s="14" t="n">
        <v>392503</v>
      </c>
      <c r="G701" s="15" t="n">
        <v>14041</v>
      </c>
      <c r="H701" s="15" t="n">
        <v>8724</v>
      </c>
      <c r="I701" s="9" t="n">
        <v>309449</v>
      </c>
      <c r="J701" s="10" t="n">
        <v>11188</v>
      </c>
      <c r="K701" s="10" t="n">
        <v>12594</v>
      </c>
      <c r="L701" s="7" t="n">
        <v>320892</v>
      </c>
      <c r="M701" s="8" t="n">
        <v>13275</v>
      </c>
      <c r="N701" s="8" t="n">
        <v>15553</v>
      </c>
      <c r="O701" s="9" t="n">
        <v>296035</v>
      </c>
      <c r="P701" s="10" t="n">
        <v>2081</v>
      </c>
      <c r="Q701" s="10" t="n">
        <v>4912</v>
      </c>
      <c r="R701" s="7" t="n">
        <v>382258</v>
      </c>
      <c r="S701" s="8" t="n">
        <v>296</v>
      </c>
      <c r="T701" s="8" t="n">
        <v>-383</v>
      </c>
      <c r="U701" s="9" t="n">
        <v>304192</v>
      </c>
      <c r="V701" s="10" t="n">
        <v>4668</v>
      </c>
      <c r="W701" s="10" t="n">
        <v>4509</v>
      </c>
      <c r="X701" s="7" t="n">
        <v>308601</v>
      </c>
      <c r="Y701" s="8" t="n">
        <v>-2303</v>
      </c>
      <c r="Z701" s="8" t="n">
        <v>53</v>
      </c>
      <c r="AA701" s="9" t="n">
        <v>310431</v>
      </c>
      <c r="AB701" s="10" t="n">
        <v>-2031</v>
      </c>
      <c r="AC701" s="10" t="n">
        <v>-2026</v>
      </c>
      <c r="AD701" s="7" t="n">
        <v>186745</v>
      </c>
      <c r="AE701" s="8" t="n">
        <v>-11831</v>
      </c>
      <c r="AF701" s="8" t="n">
        <v>1584</v>
      </c>
      <c r="AG701" s="9" t="n">
        <v>295645</v>
      </c>
      <c r="AH701" s="10" t="n">
        <v>14829</v>
      </c>
      <c r="AI701" s="10" t="n">
        <v>14197</v>
      </c>
      <c r="AJ701" s="11" t="n">
        <v>291576</v>
      </c>
      <c r="AK701" s="12" t="n">
        <v>6965</v>
      </c>
      <c r="AL701" s="12" t="n">
        <v>6809</v>
      </c>
      <c r="AM701" s="13" t="n">
        <v>-1.4</v>
      </c>
      <c r="AN701" s="13" t="n">
        <v>-5.5</v>
      </c>
      <c r="AO701" s="13" t="n">
        <v>-53</v>
      </c>
      <c r="AP701" s="13" t="n">
        <v>402.4</v>
      </c>
    </row>
    <row r="702">
      <c r="A702" s="5" t="inlineStr">
        <is>
          <t>신세계푸드</t>
        </is>
      </c>
      <c r="B702" s="6" t="inlineStr">
        <is>
          <t>031440</t>
        </is>
      </c>
      <c r="C702" s="6" t="inlineStr">
        <is>
          <t>연결</t>
        </is>
      </c>
      <c r="D702" s="6" t="inlineStr">
        <is>
          <t>2026Q2</t>
        </is>
      </c>
      <c r="E702" s="6" t="inlineStr"/>
      <c r="F702" s="7" t="inlineStr"/>
      <c r="G702" s="8" t="inlineStr"/>
      <c r="H702" s="8" t="inlineStr"/>
      <c r="I702" s="9" t="n">
        <v>381816</v>
      </c>
      <c r="J702" s="10" t="n">
        <v>4644</v>
      </c>
      <c r="K702" s="10" t="n">
        <v>4704</v>
      </c>
      <c r="L702" s="7" t="n">
        <v>393946</v>
      </c>
      <c r="M702" s="8" t="n">
        <v>9666</v>
      </c>
      <c r="N702" s="8" t="n">
        <v>5090</v>
      </c>
      <c r="O702" s="9" t="n">
        <v>385385</v>
      </c>
      <c r="P702" s="10" t="n">
        <v>8467</v>
      </c>
      <c r="Q702" s="10" t="n">
        <v>4007</v>
      </c>
      <c r="R702" s="7" t="n">
        <v>373653</v>
      </c>
      <c r="S702" s="8" t="n">
        <v>-2012</v>
      </c>
      <c r="T702" s="8" t="n">
        <v>-2603</v>
      </c>
      <c r="U702" s="9" t="n">
        <v>358620</v>
      </c>
      <c r="V702" s="10" t="n">
        <v>7881</v>
      </c>
      <c r="W702" s="10" t="n">
        <v>5379</v>
      </c>
      <c r="X702" s="7" t="n">
        <v>371488</v>
      </c>
      <c r="Y702" s="8" t="n">
        <v>13482</v>
      </c>
      <c r="Z702" s="8" t="n">
        <v>14233</v>
      </c>
      <c r="AA702" s="9" t="n">
        <v>319184</v>
      </c>
      <c r="AB702" s="10" t="n">
        <v>1686</v>
      </c>
      <c r="AC702" s="10" t="n">
        <v>6746</v>
      </c>
      <c r="AD702" s="7" t="n">
        <v>183948</v>
      </c>
      <c r="AE702" s="8" t="n">
        <v>-18280</v>
      </c>
      <c r="AF702" s="8" t="n">
        <v>50856</v>
      </c>
      <c r="AG702" s="9" t="n">
        <v>309398</v>
      </c>
      <c r="AH702" s="10" t="n">
        <v>3450</v>
      </c>
      <c r="AI702" s="10" t="n">
        <v>4126</v>
      </c>
      <c r="AJ702" s="11" t="n">
        <v>320403</v>
      </c>
      <c r="AK702" s="12" t="n">
        <v>6332</v>
      </c>
      <c r="AL702" s="12" t="n">
        <v>3875</v>
      </c>
      <c r="AM702" s="13" t="n">
        <v>3.6</v>
      </c>
      <c r="AN702" s="13" t="n">
        <v>-13.8</v>
      </c>
      <c r="AO702" s="13" t="n">
        <v>83.5</v>
      </c>
      <c r="AP702" s="13" t="n">
        <v>-53</v>
      </c>
    </row>
    <row r="703">
      <c r="A703" s="5" t="inlineStr">
        <is>
          <t>오스템</t>
        </is>
      </c>
      <c r="B703" s="6" t="inlineStr">
        <is>
          <t>031510</t>
        </is>
      </c>
      <c r="C703" s="6" t="inlineStr">
        <is>
          <t>연결</t>
        </is>
      </c>
      <c r="D703" s="6" t="inlineStr">
        <is>
          <t>2026Q2</t>
        </is>
      </c>
      <c r="E703" s="6" t="inlineStr"/>
      <c r="F703" s="7" t="inlineStr"/>
      <c r="G703" s="8" t="inlineStr"/>
      <c r="H703" s="8" t="inlineStr"/>
      <c r="I703" s="9" t="n">
        <v>39904</v>
      </c>
      <c r="J703" s="10" t="n">
        <v>2558</v>
      </c>
      <c r="K703" s="10" t="n">
        <v>-1107</v>
      </c>
      <c r="L703" s="7" t="n">
        <v>30632</v>
      </c>
      <c r="M703" s="8" t="n">
        <v>1392</v>
      </c>
      <c r="N703" s="8" t="n">
        <v>-3591</v>
      </c>
      <c r="O703" s="9" t="n">
        <v>22303</v>
      </c>
      <c r="P703" s="10" t="n">
        <v>-3682</v>
      </c>
      <c r="Q703" s="10" t="n">
        <v>-8810</v>
      </c>
      <c r="R703" s="7" t="n">
        <v>35026</v>
      </c>
      <c r="S703" s="8" t="n">
        <v>167</v>
      </c>
      <c r="T703" s="8" t="n">
        <v>-25527</v>
      </c>
      <c r="U703" s="9" t="n">
        <v>24267</v>
      </c>
      <c r="V703" s="10" t="n">
        <v>-2659</v>
      </c>
      <c r="W703" s="10" t="n">
        <v>-2512</v>
      </c>
      <c r="X703" s="7" t="n">
        <v>30117</v>
      </c>
      <c r="Y703" s="8" t="n">
        <v>2386</v>
      </c>
      <c r="Z703" s="8" t="n">
        <v>1863</v>
      </c>
      <c r="AA703" s="9" t="n">
        <v>40908</v>
      </c>
      <c r="AB703" s="10" t="n">
        <v>3840</v>
      </c>
      <c r="AC703" s="10" t="n">
        <v>2273</v>
      </c>
      <c r="AD703" s="7" t="n">
        <v>33257</v>
      </c>
      <c r="AE703" s="8" t="n">
        <v>581</v>
      </c>
      <c r="AF703" s="8" t="n">
        <v>-821</v>
      </c>
      <c r="AG703" s="9" t="n">
        <v>34161</v>
      </c>
      <c r="AH703" s="10" t="n">
        <v>2708</v>
      </c>
      <c r="AI703" s="10" t="n">
        <v>8402</v>
      </c>
      <c r="AJ703" s="11" t="n">
        <v>30382</v>
      </c>
      <c r="AK703" s="12" t="n">
        <v>668</v>
      </c>
      <c r="AL703" s="12" t="n">
        <v>1433</v>
      </c>
      <c r="AM703" s="13" t="n">
        <v>-11.1</v>
      </c>
      <c r="AN703" s="13" t="n">
        <v>0.9</v>
      </c>
      <c r="AO703" s="13" t="n">
        <v>-75.3</v>
      </c>
      <c r="AP703" s="13" t="n">
        <v>-72</v>
      </c>
    </row>
    <row r="704">
      <c r="A704" s="5" t="inlineStr">
        <is>
          <t>아이티센씨티에스</t>
        </is>
      </c>
      <c r="B704" s="6" t="inlineStr">
        <is>
          <t>031820</t>
        </is>
      </c>
      <c r="C704" s="6" t="inlineStr">
        <is>
          <t>연결</t>
        </is>
      </c>
      <c r="D704" s="6" t="inlineStr">
        <is>
          <t>2026Q2</t>
        </is>
      </c>
      <c r="E704" s="6" t="inlineStr"/>
      <c r="F704" s="7" t="inlineStr"/>
      <c r="G704" s="8" t="inlineStr"/>
      <c r="H704" s="8" t="inlineStr"/>
      <c r="I704" s="9" t="n">
        <v>172253</v>
      </c>
      <c r="J704" s="10" t="n">
        <v>-1282</v>
      </c>
      <c r="K704" s="10" t="n">
        <v>616</v>
      </c>
      <c r="L704" s="7" t="n">
        <v>201194</v>
      </c>
      <c r="M704" s="8" t="n">
        <v>2530</v>
      </c>
      <c r="N704" s="8" t="n">
        <v>7380</v>
      </c>
      <c r="O704" s="9" t="n">
        <v>228375</v>
      </c>
      <c r="P704" s="10" t="n">
        <v>3561</v>
      </c>
      <c r="Q704" s="10" t="n">
        <v>6005</v>
      </c>
      <c r="R704" s="7" t="n">
        <v>393499</v>
      </c>
      <c r="S704" s="8" t="n">
        <v>16201</v>
      </c>
      <c r="T704" s="8" t="n">
        <v>10641</v>
      </c>
      <c r="U704" s="9" t="n">
        <v>201045</v>
      </c>
      <c r="V704" s="10" t="n">
        <v>-7691</v>
      </c>
      <c r="W704" s="10" t="n">
        <v>-5977</v>
      </c>
      <c r="X704" s="7" t="n">
        <v>258707</v>
      </c>
      <c r="Y704" s="8" t="n">
        <v>803</v>
      </c>
      <c r="Z704" s="8" t="n">
        <v>627</v>
      </c>
      <c r="AA704" s="9" t="n">
        <v>258807</v>
      </c>
      <c r="AB704" s="10" t="n">
        <v>11043</v>
      </c>
      <c r="AC704" s="10" t="n">
        <v>26587</v>
      </c>
      <c r="AD704" s="7" t="n">
        <v>376655</v>
      </c>
      <c r="AE704" s="8" t="n">
        <v>19395</v>
      </c>
      <c r="AF704" s="8" t="n">
        <v>71366</v>
      </c>
      <c r="AG704" s="9" t="n">
        <v>248846</v>
      </c>
      <c r="AH704" s="10" t="n">
        <v>3474</v>
      </c>
      <c r="AI704" s="10" t="n">
        <v>38775</v>
      </c>
      <c r="AJ704" s="11" t="n">
        <v>260611</v>
      </c>
      <c r="AK704" s="12" t="n">
        <v>6818</v>
      </c>
      <c r="AL704" s="12" t="n">
        <v>11517</v>
      </c>
      <c r="AM704" s="13" t="n">
        <v>4.7</v>
      </c>
      <c r="AN704" s="13" t="n">
        <v>0.7</v>
      </c>
      <c r="AO704" s="13" t="n">
        <v>96.3</v>
      </c>
      <c r="AP704" s="13" t="n">
        <v>749.1</v>
      </c>
    </row>
    <row r="705">
      <c r="A705" s="5" t="inlineStr">
        <is>
          <t>디에이치엑스컴퍼니</t>
        </is>
      </c>
      <c r="B705" s="6" t="inlineStr">
        <is>
          <t>031860</t>
        </is>
      </c>
      <c r="C705" s="6" t="inlineStr">
        <is>
          <t>연결</t>
        </is>
      </c>
      <c r="D705" s="6" t="inlineStr">
        <is>
          <t>2026Q2</t>
        </is>
      </c>
      <c r="E705" s="6" t="inlineStr"/>
      <c r="F705" s="7" t="inlineStr"/>
      <c r="G705" s="8" t="inlineStr"/>
      <c r="H705" s="8" t="inlineStr"/>
      <c r="I705" s="9" t="n">
        <v>2695</v>
      </c>
      <c r="J705" s="10" t="n">
        <v>-3376</v>
      </c>
      <c r="K705" s="10" t="n">
        <v>-3323</v>
      </c>
      <c r="L705" s="7" t="n">
        <v>2949</v>
      </c>
      <c r="M705" s="8" t="n">
        <v>-1947</v>
      </c>
      <c r="N705" s="8" t="n">
        <v>948</v>
      </c>
      <c r="O705" s="9" t="n">
        <v>3103</v>
      </c>
      <c r="P705" s="10" t="n">
        <v>-2193</v>
      </c>
      <c r="Q705" s="10" t="n">
        <v>-3856</v>
      </c>
      <c r="R705" s="7" t="n">
        <v>797</v>
      </c>
      <c r="S705" s="8" t="n">
        <v>1396</v>
      </c>
      <c r="T705" s="8" t="n">
        <v>-12037</v>
      </c>
      <c r="U705" s="9" t="n">
        <v>3771</v>
      </c>
      <c r="V705" s="10" t="n">
        <v>-1974</v>
      </c>
      <c r="W705" s="10" t="n">
        <v>-2665</v>
      </c>
      <c r="X705" s="7" t="n">
        <v>3695</v>
      </c>
      <c r="Y705" s="8" t="n">
        <v>-1900</v>
      </c>
      <c r="Z705" s="8" t="n">
        <v>-6363</v>
      </c>
      <c r="AA705" s="9" t="n">
        <v>4009</v>
      </c>
      <c r="AB705" s="10" t="n">
        <v>-1497</v>
      </c>
      <c r="AC705" s="10" t="n">
        <v>-1849</v>
      </c>
      <c r="AD705" s="7" t="n">
        <v>3037</v>
      </c>
      <c r="AE705" s="8" t="n">
        <v>-2462</v>
      </c>
      <c r="AF705" s="8" t="n">
        <v>-23475</v>
      </c>
      <c r="AG705" s="9" t="n">
        <v>3195</v>
      </c>
      <c r="AH705" s="10" t="n">
        <v>-1942</v>
      </c>
      <c r="AI705" s="10" t="n">
        <v>-1905</v>
      </c>
      <c r="AJ705" s="11" t="n">
        <v>3418</v>
      </c>
      <c r="AK705" s="12" t="n">
        <v>-1140</v>
      </c>
      <c r="AL705" s="12" t="n">
        <v>-1485</v>
      </c>
      <c r="AM705" s="13" t="n">
        <v>7</v>
      </c>
      <c r="AN705" s="13" t="n">
        <v>-7.5</v>
      </c>
      <c r="AO705" s="13" t="n">
        <v>41.3</v>
      </c>
      <c r="AP705" s="13" t="n">
        <v>40</v>
      </c>
    </row>
    <row r="706">
      <c r="A706" s="5" t="inlineStr">
        <is>
          <t>피에스케이홀딩스</t>
        </is>
      </c>
      <c r="B706" s="6" t="inlineStr">
        <is>
          <t>031980</t>
        </is>
      </c>
      <c r="C706" s="6" t="inlineStr">
        <is>
          <t>연결</t>
        </is>
      </c>
      <c r="D706" s="6" t="inlineStr">
        <is>
          <t>2026Q2</t>
        </is>
      </c>
      <c r="E706" s="6" t="inlineStr"/>
      <c r="F706" s="7" t="inlineStr"/>
      <c r="G706" s="8" t="inlineStr"/>
      <c r="H706" s="8" t="inlineStr"/>
      <c r="I706" s="9" t="n">
        <v>38094</v>
      </c>
      <c r="J706" s="10" t="n">
        <v>15421</v>
      </c>
      <c r="K706" s="10" t="n">
        <v>18972</v>
      </c>
      <c r="L706" s="7" t="n">
        <v>40524</v>
      </c>
      <c r="M706" s="8" t="n">
        <v>15575</v>
      </c>
      <c r="N706" s="8" t="n">
        <v>15163</v>
      </c>
      <c r="O706" s="9" t="n">
        <v>39057</v>
      </c>
      <c r="P706" s="10" t="n">
        <v>14278</v>
      </c>
      <c r="Q706" s="10" t="n">
        <v>19838</v>
      </c>
      <c r="R706" s="7" t="n">
        <v>97833</v>
      </c>
      <c r="S706" s="8" t="n">
        <v>43209</v>
      </c>
      <c r="T706" s="8" t="n">
        <v>41847</v>
      </c>
      <c r="U706" s="9" t="n">
        <v>31151</v>
      </c>
      <c r="V706" s="10" t="n">
        <v>9539</v>
      </c>
      <c r="W706" s="10" t="n">
        <v>15629</v>
      </c>
      <c r="X706" s="7" t="n">
        <v>34657</v>
      </c>
      <c r="Y706" s="8" t="n">
        <v>8450</v>
      </c>
      <c r="Z706" s="8" t="n">
        <v>17382</v>
      </c>
      <c r="AA706" s="9" t="n">
        <v>90555</v>
      </c>
      <c r="AB706" s="10" t="n">
        <v>41238</v>
      </c>
      <c r="AC706" s="10" t="n">
        <v>38918</v>
      </c>
      <c r="AD706" s="7" t="n">
        <v>51401</v>
      </c>
      <c r="AE706" s="8" t="n">
        <v>14174</v>
      </c>
      <c r="AF706" s="8" t="n">
        <v>19756</v>
      </c>
      <c r="AG706" s="9" t="n">
        <v>27985</v>
      </c>
      <c r="AH706" s="10" t="n">
        <v>9171</v>
      </c>
      <c r="AI706" s="10" t="n">
        <v>20058</v>
      </c>
      <c r="AJ706" s="11" t="n">
        <v>47323</v>
      </c>
      <c r="AK706" s="12" t="n">
        <v>13796</v>
      </c>
      <c r="AL706" s="12" t="n">
        <v>24385</v>
      </c>
      <c r="AM706" s="13" t="n">
        <v>69.09999999999999</v>
      </c>
      <c r="AN706" s="13" t="n">
        <v>36.5</v>
      </c>
      <c r="AO706" s="13" t="n">
        <v>50.4</v>
      </c>
      <c r="AP706" s="13" t="n">
        <v>63.3</v>
      </c>
    </row>
    <row r="707">
      <c r="A707" s="5" t="inlineStr">
        <is>
          <t>아즈텍WB</t>
        </is>
      </c>
      <c r="B707" s="6" t="inlineStr">
        <is>
          <t>032080</t>
        </is>
      </c>
      <c r="C707" s="6" t="inlineStr">
        <is>
          <t>별도</t>
        </is>
      </c>
      <c r="D707" s="6" t="inlineStr">
        <is>
          <t>2026Q2</t>
        </is>
      </c>
      <c r="E707" s="6" t="inlineStr"/>
      <c r="F707" s="7" t="inlineStr"/>
      <c r="G707" s="8" t="inlineStr"/>
      <c r="H707" s="8" t="inlineStr"/>
      <c r="I707" s="9" t="n">
        <v>8553</v>
      </c>
      <c r="J707" s="10" t="n">
        <v>370</v>
      </c>
      <c r="K707" s="10" t="n">
        <v>215</v>
      </c>
      <c r="L707" s="7" t="n">
        <v>8191</v>
      </c>
      <c r="M707" s="8" t="n">
        <v>-437</v>
      </c>
      <c r="N707" s="8" t="n">
        <v>-456</v>
      </c>
      <c r="O707" s="9" t="n">
        <v>9544</v>
      </c>
      <c r="P707" s="10" t="n">
        <v>399</v>
      </c>
      <c r="Q707" s="10" t="n">
        <v>1233</v>
      </c>
      <c r="R707" s="7" t="n">
        <v>9078</v>
      </c>
      <c r="S707" s="8" t="n">
        <v>213</v>
      </c>
      <c r="T707" s="8" t="n">
        <v>-3036</v>
      </c>
      <c r="U707" s="9" t="n">
        <v>6204</v>
      </c>
      <c r="V707" s="10" t="n">
        <v>-189</v>
      </c>
      <c r="W707" s="10" t="n">
        <v>415</v>
      </c>
      <c r="X707" s="7" t="n">
        <v>6895</v>
      </c>
      <c r="Y707" s="8" t="n">
        <v>-375</v>
      </c>
      <c r="Z707" s="8" t="n">
        <v>2136</v>
      </c>
      <c r="AA707" s="9" t="n">
        <v>7935</v>
      </c>
      <c r="AB707" s="10" t="n">
        <v>-257</v>
      </c>
      <c r="AC707" s="10" t="n">
        <v>396</v>
      </c>
      <c r="AD707" s="7" t="n">
        <v>9195</v>
      </c>
      <c r="AE707" s="8" t="n">
        <v>1280</v>
      </c>
      <c r="AF707" s="8" t="n">
        <v>-2018</v>
      </c>
      <c r="AG707" s="9" t="n">
        <v>4830</v>
      </c>
      <c r="AH707" s="10" t="n">
        <v>-1077</v>
      </c>
      <c r="AI707" s="10" t="n">
        <v>350</v>
      </c>
      <c r="AJ707" s="11" t="n">
        <v>5818</v>
      </c>
      <c r="AK707" s="12" t="n">
        <v>-1447</v>
      </c>
      <c r="AL707" s="12" t="n">
        <v>773</v>
      </c>
      <c r="AM707" s="13" t="n">
        <v>20.5</v>
      </c>
      <c r="AN707" s="13" t="n">
        <v>-15.6</v>
      </c>
      <c r="AO707" s="13" t="n">
        <v>-34.4</v>
      </c>
      <c r="AP707" s="13" t="n">
        <v>-285.9</v>
      </c>
    </row>
    <row r="708">
      <c r="A708" s="5" t="inlineStr">
        <is>
          <t>다우데이타</t>
        </is>
      </c>
      <c r="B708" s="6" t="inlineStr">
        <is>
          <t>032190</t>
        </is>
      </c>
      <c r="C708" s="6" t="inlineStr">
        <is>
          <t>연결</t>
        </is>
      </c>
      <c r="D708" s="6" t="inlineStr">
        <is>
          <t>2026Q2</t>
        </is>
      </c>
      <c r="E708" s="6" t="inlineStr"/>
      <c r="F708" s="7" t="inlineStr"/>
      <c r="G708" s="8" t="inlineStr"/>
      <c r="H708" s="8" t="inlineStr"/>
      <c r="I708" s="9" t="n">
        <v>2850320</v>
      </c>
      <c r="J708" s="10" t="n">
        <v>368465</v>
      </c>
      <c r="K708" s="10" t="n">
        <v>276530</v>
      </c>
      <c r="L708" s="7" t="n">
        <v>2488697</v>
      </c>
      <c r="M708" s="8" t="n">
        <v>340673</v>
      </c>
      <c r="N708" s="8" t="n">
        <v>237402</v>
      </c>
      <c r="O708" s="9" t="n">
        <v>2925682</v>
      </c>
      <c r="P708" s="10" t="n">
        <v>296478</v>
      </c>
      <c r="Q708" s="10" t="n">
        <v>218309</v>
      </c>
      <c r="R708" s="7" t="n">
        <v>3871424</v>
      </c>
      <c r="S708" s="8" t="n">
        <v>200254</v>
      </c>
      <c r="T708" s="8" t="n">
        <v>133663</v>
      </c>
      <c r="U708" s="9" t="n">
        <v>3876536</v>
      </c>
      <c r="V708" s="10" t="n">
        <v>349834</v>
      </c>
      <c r="W708" s="10" t="n">
        <v>240344</v>
      </c>
      <c r="X708" s="7" t="n">
        <v>4728979</v>
      </c>
      <c r="Y708" s="8" t="n">
        <v>438789</v>
      </c>
      <c r="Z708" s="8" t="n">
        <v>327590</v>
      </c>
      <c r="AA708" s="9" t="n">
        <v>3599355</v>
      </c>
      <c r="AB708" s="10" t="n">
        <v>442010</v>
      </c>
      <c r="AC708" s="10" t="n">
        <v>335527</v>
      </c>
      <c r="AD708" s="7" t="n">
        <v>5847091</v>
      </c>
      <c r="AE708" s="8" t="n">
        <v>369248</v>
      </c>
      <c r="AF708" s="8" t="n">
        <v>296222</v>
      </c>
      <c r="AG708" s="9" t="n">
        <v>9637213</v>
      </c>
      <c r="AH708" s="10" t="n">
        <v>647316</v>
      </c>
      <c r="AI708" s="10" t="n">
        <v>482609</v>
      </c>
      <c r="AJ708" s="11" t="n">
        <v>16370868</v>
      </c>
      <c r="AK708" s="12" t="n">
        <v>831561</v>
      </c>
      <c r="AL708" s="12" t="n">
        <v>684798</v>
      </c>
      <c r="AM708" s="13" t="n">
        <v>69.90000000000001</v>
      </c>
      <c r="AN708" s="13" t="n">
        <v>246.2</v>
      </c>
      <c r="AO708" s="13" t="n">
        <v>28.5</v>
      </c>
      <c r="AP708" s="13" t="n">
        <v>89.5</v>
      </c>
    </row>
    <row r="709">
      <c r="A709" s="5" t="inlineStr">
        <is>
          <t>삼일</t>
        </is>
      </c>
      <c r="B709" s="6" t="inlineStr">
        <is>
          <t>032280</t>
        </is>
      </c>
      <c r="C709" s="6" t="inlineStr">
        <is>
          <t>별도</t>
        </is>
      </c>
      <c r="D709" s="6" t="inlineStr">
        <is>
          <t>2026Q2</t>
        </is>
      </c>
      <c r="E709" s="6" t="inlineStr"/>
      <c r="F709" s="7" t="inlineStr"/>
      <c r="G709" s="8" t="inlineStr"/>
      <c r="H709" s="8" t="inlineStr"/>
      <c r="I709" s="9" t="n">
        <v>26830</v>
      </c>
      <c r="J709" s="10" t="n">
        <v>626</v>
      </c>
      <c r="K709" s="10" t="n">
        <v>448</v>
      </c>
      <c r="L709" s="7" t="n">
        <v>26633</v>
      </c>
      <c r="M709" s="8" t="n">
        <v>839</v>
      </c>
      <c r="N709" s="8" t="n">
        <v>435</v>
      </c>
      <c r="O709" s="9" t="n">
        <v>25527</v>
      </c>
      <c r="P709" s="10" t="n">
        <v>685</v>
      </c>
      <c r="Q709" s="10" t="n">
        <v>339</v>
      </c>
      <c r="R709" s="7" t="n">
        <v>26119</v>
      </c>
      <c r="S709" s="8" t="n">
        <v>324</v>
      </c>
      <c r="T709" s="8" t="n">
        <v>15</v>
      </c>
      <c r="U709" s="9" t="n">
        <v>24443</v>
      </c>
      <c r="V709" s="10" t="n">
        <v>562</v>
      </c>
      <c r="W709" s="10" t="n">
        <v>638</v>
      </c>
      <c r="X709" s="7" t="n">
        <v>24797</v>
      </c>
      <c r="Y709" s="8" t="n">
        <v>453</v>
      </c>
      <c r="Z709" s="8" t="n">
        <v>82</v>
      </c>
      <c r="AA709" s="9" t="n">
        <v>26017</v>
      </c>
      <c r="AB709" s="10" t="n">
        <v>642</v>
      </c>
      <c r="AC709" s="10" t="n">
        <v>341</v>
      </c>
      <c r="AD709" s="7" t="n">
        <v>24733</v>
      </c>
      <c r="AE709" s="8" t="n">
        <v>472</v>
      </c>
      <c r="AF709" s="8" t="n">
        <v>-100</v>
      </c>
      <c r="AG709" s="9" t="n">
        <v>24351</v>
      </c>
      <c r="AH709" s="10" t="n">
        <v>424</v>
      </c>
      <c r="AI709" s="10" t="n">
        <v>791</v>
      </c>
      <c r="AJ709" s="11" t="n">
        <v>25888</v>
      </c>
      <c r="AK709" s="12" t="n">
        <v>514</v>
      </c>
      <c r="AL709" s="12" t="n">
        <v>371</v>
      </c>
      <c r="AM709" s="13" t="n">
        <v>6.3</v>
      </c>
      <c r="AN709" s="13" t="n">
        <v>4.4</v>
      </c>
      <c r="AO709" s="13" t="n">
        <v>21.2</v>
      </c>
      <c r="AP709" s="13" t="n">
        <v>13.5</v>
      </c>
    </row>
    <row r="710">
      <c r="A710" s="5" t="inlineStr">
        <is>
          <t>한국파마</t>
        </is>
      </c>
      <c r="B710" s="6" t="inlineStr">
        <is>
          <t>032300</t>
        </is>
      </c>
      <c r="C710" s="6" t="inlineStr">
        <is>
          <t>별도</t>
        </is>
      </c>
      <c r="D710" s="6" t="inlineStr">
        <is>
          <t>2026Q2</t>
        </is>
      </c>
      <c r="E710" s="6" t="inlineStr"/>
      <c r="F710" s="7" t="inlineStr"/>
      <c r="G710" s="8" t="inlineStr"/>
      <c r="H710" s="8" t="inlineStr"/>
      <c r="I710" s="9" t="n">
        <v>20281</v>
      </c>
      <c r="J710" s="10" t="n">
        <v>1682</v>
      </c>
      <c r="K710" s="10" t="n">
        <v>1317</v>
      </c>
      <c r="L710" s="7" t="n">
        <v>19831</v>
      </c>
      <c r="M710" s="8" t="n">
        <v>1384</v>
      </c>
      <c r="N710" s="8" t="n">
        <v>1165</v>
      </c>
      <c r="O710" s="9" t="n">
        <v>19222</v>
      </c>
      <c r="P710" s="10" t="n">
        <v>1097</v>
      </c>
      <c r="Q710" s="10" t="n">
        <v>1253</v>
      </c>
      <c r="R710" s="7" t="n">
        <v>21943</v>
      </c>
      <c r="S710" s="8" t="n">
        <v>1923</v>
      </c>
      <c r="T710" s="8" t="n">
        <v>57</v>
      </c>
      <c r="U710" s="9" t="n">
        <v>20786</v>
      </c>
      <c r="V710" s="10" t="n">
        <v>831</v>
      </c>
      <c r="W710" s="10" t="n">
        <v>515</v>
      </c>
      <c r="X710" s="7" t="n">
        <v>23386</v>
      </c>
      <c r="Y710" s="8" t="n">
        <v>83</v>
      </c>
      <c r="Z710" s="8" t="n">
        <v>-376</v>
      </c>
      <c r="AA710" s="9" t="n">
        <v>23996</v>
      </c>
      <c r="AB710" s="10" t="n">
        <v>507</v>
      </c>
      <c r="AC710" s="10" t="n">
        <v>-21</v>
      </c>
      <c r="AD710" s="7" t="n">
        <v>19433</v>
      </c>
      <c r="AE710" s="8" t="n">
        <v>-2308</v>
      </c>
      <c r="AF710" s="8" t="n">
        <v>-2758</v>
      </c>
      <c r="AG710" s="9" t="n">
        <v>24602</v>
      </c>
      <c r="AH710" s="10" t="n">
        <v>1306</v>
      </c>
      <c r="AI710" s="10" t="n">
        <v>682</v>
      </c>
      <c r="AJ710" s="11" t="n">
        <v>25906</v>
      </c>
      <c r="AK710" s="12" t="n">
        <v>2165</v>
      </c>
      <c r="AL710" s="12" t="n">
        <v>1323</v>
      </c>
      <c r="AM710" s="13" t="n">
        <v>5.3</v>
      </c>
      <c r="AN710" s="13" t="n">
        <v>10.8</v>
      </c>
      <c r="AO710" s="13" t="n">
        <v>65.8</v>
      </c>
      <c r="AP710" s="13" t="n">
        <v>2508.4</v>
      </c>
    </row>
    <row r="711">
      <c r="A711" s="5" t="inlineStr">
        <is>
          <t>롯데관광개발</t>
        </is>
      </c>
      <c r="B711" s="6" t="inlineStr">
        <is>
          <t>032350</t>
        </is>
      </c>
      <c r="C711" s="6" t="inlineStr">
        <is>
          <t>연결</t>
        </is>
      </c>
      <c r="D711" s="6" t="inlineStr">
        <is>
          <t>2026Q2</t>
        </is>
      </c>
      <c r="E711" s="6" t="inlineStr"/>
      <c r="F711" s="7" t="inlineStr"/>
      <c r="G711" s="8" t="inlineStr"/>
      <c r="H711" s="8" t="inlineStr"/>
      <c r="I711" s="9" t="n">
        <v>106227</v>
      </c>
      <c r="J711" s="10" t="n">
        <v>8791</v>
      </c>
      <c r="K711" s="10" t="n">
        <v>-38432</v>
      </c>
      <c r="L711" s="7" t="n">
        <v>116078</v>
      </c>
      <c r="M711" s="8" t="n">
        <v>5887</v>
      </c>
      <c r="N711" s="8" t="n">
        <v>-2521</v>
      </c>
      <c r="O711" s="9" t="n">
        <v>139149</v>
      </c>
      <c r="P711" s="10" t="n">
        <v>22164</v>
      </c>
      <c r="Q711" s="10" t="n">
        <v>-29037</v>
      </c>
      <c r="R711" s="7" t="n">
        <v>110014</v>
      </c>
      <c r="S711" s="8" t="n">
        <v>2165</v>
      </c>
      <c r="T711" s="8" t="n">
        <v>-46583</v>
      </c>
      <c r="U711" s="9" t="n">
        <v>121948</v>
      </c>
      <c r="V711" s="10" t="n">
        <v>13025</v>
      </c>
      <c r="W711" s="10" t="n">
        <v>-23685</v>
      </c>
      <c r="X711" s="7" t="n">
        <v>157682</v>
      </c>
      <c r="Y711" s="8" t="n">
        <v>33114</v>
      </c>
      <c r="Z711" s="8" t="n">
        <v>5915</v>
      </c>
      <c r="AA711" s="9" t="n">
        <v>186670</v>
      </c>
      <c r="AB711" s="10" t="n">
        <v>52957</v>
      </c>
      <c r="AC711" s="10" t="n">
        <v>6489</v>
      </c>
      <c r="AD711" s="7" t="n">
        <v>187148</v>
      </c>
      <c r="AE711" s="8" t="n">
        <v>44232</v>
      </c>
      <c r="AF711" s="8" t="n">
        <v>38878</v>
      </c>
      <c r="AG711" s="9" t="n">
        <v>156182</v>
      </c>
      <c r="AH711" s="10" t="n">
        <v>28785</v>
      </c>
      <c r="AI711" s="10" t="n">
        <v>-7462</v>
      </c>
      <c r="AJ711" s="11" t="n">
        <v>203273</v>
      </c>
      <c r="AK711" s="12" t="n">
        <v>51929</v>
      </c>
      <c r="AL711" s="12" t="n">
        <v>14631</v>
      </c>
      <c r="AM711" s="13" t="n">
        <v>30.2</v>
      </c>
      <c r="AN711" s="13" t="n">
        <v>28.9</v>
      </c>
      <c r="AO711" s="13" t="n">
        <v>80.40000000000001</v>
      </c>
      <c r="AP711" s="13" t="n">
        <v>56.8</v>
      </c>
    </row>
    <row r="712">
      <c r="A712" s="5" t="inlineStr">
        <is>
          <t>케이엠더블유</t>
        </is>
      </c>
      <c r="B712" s="6" t="inlineStr">
        <is>
          <t>032500</t>
        </is>
      </c>
      <c r="C712" s="6" t="inlineStr">
        <is>
          <t>연결</t>
        </is>
      </c>
      <c r="D712" s="6" t="inlineStr">
        <is>
          <t>2026Q2</t>
        </is>
      </c>
      <c r="E712" s="6" t="inlineStr"/>
      <c r="F712" s="7" t="inlineStr"/>
      <c r="G712" s="8" t="inlineStr"/>
      <c r="H712" s="8" t="inlineStr"/>
      <c r="I712" s="9" t="n">
        <v>19738</v>
      </c>
      <c r="J712" s="10" t="n">
        <v>-11771</v>
      </c>
      <c r="K712" s="10" t="n">
        <v>-10351</v>
      </c>
      <c r="L712" s="7" t="n">
        <v>17691</v>
      </c>
      <c r="M712" s="8" t="n">
        <v>-13422</v>
      </c>
      <c r="N712" s="8" t="n">
        <v>-14930</v>
      </c>
      <c r="O712" s="9" t="n">
        <v>21800</v>
      </c>
      <c r="P712" s="10" t="n">
        <v>-11901</v>
      </c>
      <c r="Q712" s="10" t="n">
        <v>-11745</v>
      </c>
      <c r="R712" s="7" t="n">
        <v>28128</v>
      </c>
      <c r="S712" s="8" t="n">
        <v>-8387</v>
      </c>
      <c r="T712" s="8" t="n">
        <v>-1578</v>
      </c>
      <c r="U712" s="9" t="n">
        <v>26131</v>
      </c>
      <c r="V712" s="10" t="n">
        <v>-7014</v>
      </c>
      <c r="W712" s="10" t="n">
        <v>-5743</v>
      </c>
      <c r="X712" s="7" t="n">
        <v>25284</v>
      </c>
      <c r="Y712" s="8" t="n">
        <v>-4626</v>
      </c>
      <c r="Z712" s="8" t="n">
        <v>-14376</v>
      </c>
      <c r="AA712" s="9" t="n">
        <v>20504</v>
      </c>
      <c r="AB712" s="10" t="n">
        <v>-7023</v>
      </c>
      <c r="AC712" s="10" t="n">
        <v>-6142</v>
      </c>
      <c r="AD712" s="7" t="n">
        <v>25600</v>
      </c>
      <c r="AE712" s="8" t="n">
        <v>-5103</v>
      </c>
      <c r="AF712" s="8" t="n">
        <v>-772</v>
      </c>
      <c r="AG712" s="9" t="n">
        <v>21485</v>
      </c>
      <c r="AH712" s="10" t="n">
        <v>-5732</v>
      </c>
      <c r="AI712" s="10" t="n">
        <v>-5117</v>
      </c>
      <c r="AJ712" s="11" t="n">
        <v>24322</v>
      </c>
      <c r="AK712" s="12" t="n">
        <v>-6264</v>
      </c>
      <c r="AL712" s="12" t="n">
        <v>-14945</v>
      </c>
      <c r="AM712" s="13" t="n">
        <v>13.2</v>
      </c>
      <c r="AN712" s="13" t="n">
        <v>-3.8</v>
      </c>
      <c r="AO712" s="13" t="n">
        <v>-9.300000000000001</v>
      </c>
      <c r="AP712" s="13" t="n">
        <v>-35.4</v>
      </c>
    </row>
    <row r="713">
      <c r="A713" s="5" t="inlineStr">
        <is>
          <t>TJ미디어</t>
        </is>
      </c>
      <c r="B713" s="6" t="inlineStr">
        <is>
          <t>032540</t>
        </is>
      </c>
      <c r="C713" s="6" t="inlineStr">
        <is>
          <t>연결</t>
        </is>
      </c>
      <c r="D713" s="6" t="inlineStr">
        <is>
          <t>2026Q2</t>
        </is>
      </c>
      <c r="E713" s="6" t="inlineStr"/>
      <c r="F713" s="7" t="inlineStr"/>
      <c r="G713" s="8" t="inlineStr"/>
      <c r="H713" s="8" t="inlineStr"/>
      <c r="I713" s="9" t="n">
        <v>23428</v>
      </c>
      <c r="J713" s="10" t="n">
        <v>1064</v>
      </c>
      <c r="K713" s="10" t="n">
        <v>731</v>
      </c>
      <c r="L713" s="7" t="n">
        <v>23170</v>
      </c>
      <c r="M713" s="8" t="n">
        <v>1809</v>
      </c>
      <c r="N713" s="8" t="n">
        <v>1382</v>
      </c>
      <c r="O713" s="9" t="n">
        <v>20356</v>
      </c>
      <c r="P713" s="10" t="n">
        <v>458</v>
      </c>
      <c r="Q713" s="10" t="n">
        <v>47</v>
      </c>
      <c r="R713" s="7" t="n">
        <v>24918</v>
      </c>
      <c r="S713" s="8" t="n">
        <v>1333</v>
      </c>
      <c r="T713" s="8" t="n">
        <v>2486</v>
      </c>
      <c r="U713" s="9" t="n">
        <v>21380</v>
      </c>
      <c r="V713" s="10" t="n">
        <v>663</v>
      </c>
      <c r="W713" s="10" t="n">
        <v>488</v>
      </c>
      <c r="X713" s="7" t="n">
        <v>27490</v>
      </c>
      <c r="Y713" s="8" t="n">
        <v>332</v>
      </c>
      <c r="Z713" s="8" t="n">
        <v>125</v>
      </c>
      <c r="AA713" s="9" t="n">
        <v>24820</v>
      </c>
      <c r="AB713" s="10" t="n">
        <v>1747</v>
      </c>
      <c r="AC713" s="10" t="n">
        <v>1622</v>
      </c>
      <c r="AD713" s="7" t="n">
        <v>20745</v>
      </c>
      <c r="AE713" s="8" t="n">
        <v>546</v>
      </c>
      <c r="AF713" s="8" t="n">
        <v>1752</v>
      </c>
      <c r="AG713" s="9" t="n">
        <v>17404</v>
      </c>
      <c r="AH713" s="10" t="n">
        <v>-676</v>
      </c>
      <c r="AI713" s="10" t="n">
        <v>111</v>
      </c>
      <c r="AJ713" s="11" t="n">
        <v>19623</v>
      </c>
      <c r="AK713" s="12" t="n">
        <v>768</v>
      </c>
      <c r="AL713" s="12" t="n">
        <v>379</v>
      </c>
      <c r="AM713" s="13" t="n">
        <v>12.7</v>
      </c>
      <c r="AN713" s="13" t="n">
        <v>-28.6</v>
      </c>
      <c r="AO713" s="13" t="n">
        <v>213.6</v>
      </c>
      <c r="AP713" s="13" t="n">
        <v>131.3</v>
      </c>
    </row>
    <row r="714">
      <c r="A714" s="5" t="inlineStr">
        <is>
          <t>황금에스티</t>
        </is>
      </c>
      <c r="B714" s="6" t="inlineStr">
        <is>
          <t>032560</t>
        </is>
      </c>
      <c r="C714" s="6" t="inlineStr">
        <is>
          <t>연결</t>
        </is>
      </c>
      <c r="D714" s="6" t="inlineStr">
        <is>
          <t>2026Q2</t>
        </is>
      </c>
      <c r="E714" s="6" t="inlineStr"/>
      <c r="F714" s="7" t="inlineStr"/>
      <c r="G714" s="8" t="inlineStr"/>
      <c r="H714" s="8" t="inlineStr"/>
      <c r="I714" s="9" t="n">
        <v>74315</v>
      </c>
      <c r="J714" s="10" t="n">
        <v>1797</v>
      </c>
      <c r="K714" s="10" t="n">
        <v>2769</v>
      </c>
      <c r="L714" s="7" t="n">
        <v>82986</v>
      </c>
      <c r="M714" s="8" t="n">
        <v>6681</v>
      </c>
      <c r="N714" s="8" t="n">
        <v>6797</v>
      </c>
      <c r="O714" s="9" t="n">
        <v>75014</v>
      </c>
      <c r="P714" s="10" t="n">
        <v>4623</v>
      </c>
      <c r="Q714" s="10" t="n">
        <v>6455</v>
      </c>
      <c r="R714" s="7" t="n">
        <v>88776</v>
      </c>
      <c r="S714" s="8" t="n">
        <v>6271</v>
      </c>
      <c r="T714" s="8" t="n">
        <v>3832</v>
      </c>
      <c r="U714" s="9" t="n">
        <v>72583</v>
      </c>
      <c r="V714" s="10" t="n">
        <v>5111</v>
      </c>
      <c r="W714" s="10" t="n">
        <v>6340</v>
      </c>
      <c r="X714" s="7" t="n">
        <v>79109</v>
      </c>
      <c r="Y714" s="8" t="n">
        <v>4117</v>
      </c>
      <c r="Z714" s="8" t="n">
        <v>5625</v>
      </c>
      <c r="AA714" s="9" t="n">
        <v>79519</v>
      </c>
      <c r="AB714" s="10" t="n">
        <v>4023</v>
      </c>
      <c r="AC714" s="10" t="n">
        <v>4542</v>
      </c>
      <c r="AD714" s="7" t="n">
        <v>85318</v>
      </c>
      <c r="AE714" s="8" t="n">
        <v>4738</v>
      </c>
      <c r="AF714" s="8" t="n">
        <v>4723</v>
      </c>
      <c r="AG714" s="9" t="n">
        <v>87692</v>
      </c>
      <c r="AH714" s="10" t="n">
        <v>8782</v>
      </c>
      <c r="AI714" s="10" t="n">
        <v>9478</v>
      </c>
      <c r="AJ714" s="11" t="n">
        <v>103997</v>
      </c>
      <c r="AK714" s="12" t="n">
        <v>12363</v>
      </c>
      <c r="AL714" s="12" t="n">
        <v>12101</v>
      </c>
      <c r="AM714" s="13" t="n">
        <v>18.6</v>
      </c>
      <c r="AN714" s="13" t="n">
        <v>31.5</v>
      </c>
      <c r="AO714" s="13" t="n">
        <v>40.8</v>
      </c>
      <c r="AP714" s="13" t="n">
        <v>200.3</v>
      </c>
    </row>
    <row r="715">
      <c r="A715" s="5" t="inlineStr">
        <is>
          <t>피델릭스</t>
        </is>
      </c>
      <c r="B715" s="6" t="inlineStr">
        <is>
          <t>032580</t>
        </is>
      </c>
      <c r="C715" s="6" t="inlineStr">
        <is>
          <t>별도</t>
        </is>
      </c>
      <c r="D715" s="6" t="inlineStr">
        <is>
          <t>2026Q2</t>
        </is>
      </c>
      <c r="E715" s="6" t="inlineStr"/>
      <c r="F715" s="7" t="inlineStr"/>
      <c r="G715" s="8" t="inlineStr"/>
      <c r="H715" s="8" t="inlineStr"/>
      <c r="I715" s="9" t="n">
        <v>9665</v>
      </c>
      <c r="J715" s="10" t="n">
        <v>-1572</v>
      </c>
      <c r="K715" s="10" t="n">
        <v>-956</v>
      </c>
      <c r="L715" s="7" t="n">
        <v>10021</v>
      </c>
      <c r="M715" s="8" t="n">
        <v>-473</v>
      </c>
      <c r="N715" s="8" t="n">
        <v>194</v>
      </c>
      <c r="O715" s="9" t="n">
        <v>12360</v>
      </c>
      <c r="P715" s="10" t="n">
        <v>-678</v>
      </c>
      <c r="Q715" s="10" t="n">
        <v>-1422</v>
      </c>
      <c r="R715" s="7" t="n">
        <v>12764</v>
      </c>
      <c r="S715" s="8" t="n">
        <v>-1805</v>
      </c>
      <c r="T715" s="8" t="n">
        <v>-22</v>
      </c>
      <c r="U715" s="9" t="n">
        <v>10880</v>
      </c>
      <c r="V715" s="10" t="n">
        <v>-624</v>
      </c>
      <c r="W715" s="10" t="n">
        <v>-767</v>
      </c>
      <c r="X715" s="7" t="n">
        <v>11948</v>
      </c>
      <c r="Y715" s="8" t="n">
        <v>-1587</v>
      </c>
      <c r="Z715" s="8" t="n">
        <v>-2870</v>
      </c>
      <c r="AA715" s="9" t="n">
        <v>12540</v>
      </c>
      <c r="AB715" s="10" t="n">
        <v>-894</v>
      </c>
      <c r="AC715" s="10" t="n">
        <v>-581</v>
      </c>
      <c r="AD715" s="7" t="n">
        <v>18248</v>
      </c>
      <c r="AE715" s="8" t="n">
        <v>1039</v>
      </c>
      <c r="AF715" s="8" t="n">
        <v>1255</v>
      </c>
      <c r="AG715" s="9" t="n">
        <v>21489</v>
      </c>
      <c r="AH715" s="10" t="n">
        <v>4332</v>
      </c>
      <c r="AI715" s="10" t="n">
        <v>5254</v>
      </c>
      <c r="AJ715" s="11" t="n">
        <v>33434</v>
      </c>
      <c r="AK715" s="12" t="n">
        <v>9612</v>
      </c>
      <c r="AL715" s="12" t="n">
        <v>9529</v>
      </c>
      <c r="AM715" s="13" t="n">
        <v>55.6</v>
      </c>
      <c r="AN715" s="13" t="n">
        <v>179.8</v>
      </c>
      <c r="AO715" s="13" t="n">
        <v>121.9</v>
      </c>
      <c r="AP715" s="13" t="n">
        <v>705.7</v>
      </c>
    </row>
    <row r="716">
      <c r="A716" s="5" t="inlineStr">
        <is>
          <t>GC메디아이</t>
        </is>
      </c>
      <c r="B716" s="6" t="inlineStr">
        <is>
          <t>032620</t>
        </is>
      </c>
      <c r="C716" s="6" t="inlineStr">
        <is>
          <t>연결</t>
        </is>
      </c>
      <c r="D716" s="6" t="inlineStr">
        <is>
          <t>2026Q2</t>
        </is>
      </c>
      <c r="E716" s="6" t="inlineStr">
        <is>
          <t>2023Q4</t>
        </is>
      </c>
      <c r="F716" s="14" t="n">
        <v>154041</v>
      </c>
      <c r="G716" s="15" t="n">
        <v>3509</v>
      </c>
      <c r="H716" s="15" t="n">
        <v>-961</v>
      </c>
      <c r="I716" s="9" t="n">
        <v>45499</v>
      </c>
      <c r="J716" s="10" t="n">
        <v>95</v>
      </c>
      <c r="K716" s="10" t="n">
        <v>-315</v>
      </c>
      <c r="L716" s="7" t="n">
        <v>46560</v>
      </c>
      <c r="M716" s="8" t="n">
        <v>77</v>
      </c>
      <c r="N716" s="8" t="n">
        <v>-1039</v>
      </c>
      <c r="O716" s="9" t="n">
        <v>46871</v>
      </c>
      <c r="P716" s="10" t="n">
        <v>609</v>
      </c>
      <c r="Q716" s="10" t="n">
        <v>-1018</v>
      </c>
      <c r="R716" s="7" t="n">
        <v>51667</v>
      </c>
      <c r="S716" s="8" t="n">
        <v>4382</v>
      </c>
      <c r="T716" s="8" t="n">
        <v>806</v>
      </c>
      <c r="U716" s="9" t="n">
        <v>45306</v>
      </c>
      <c r="V716" s="10" t="n">
        <v>430</v>
      </c>
      <c r="W716" s="10" t="n">
        <v>2314</v>
      </c>
      <c r="X716" s="7" t="n">
        <v>48674</v>
      </c>
      <c r="Y716" s="8" t="n">
        <v>1112</v>
      </c>
      <c r="Z716" s="8" t="n">
        <v>36712</v>
      </c>
      <c r="AA716" s="9" t="n">
        <v>50646</v>
      </c>
      <c r="AB716" s="10" t="n">
        <v>2996</v>
      </c>
      <c r="AC716" s="10" t="n">
        <v>2401</v>
      </c>
      <c r="AD716" s="7" t="n">
        <v>53070</v>
      </c>
      <c r="AE716" s="8" t="n">
        <v>2984</v>
      </c>
      <c r="AF716" s="8" t="n">
        <v>-3608</v>
      </c>
      <c r="AG716" s="9" t="n">
        <v>49841</v>
      </c>
      <c r="AH716" s="10" t="n">
        <v>2241</v>
      </c>
      <c r="AI716" s="10" t="n">
        <v>482</v>
      </c>
      <c r="AJ716" s="11" t="n">
        <v>51525</v>
      </c>
      <c r="AK716" s="12" t="n">
        <v>3960</v>
      </c>
      <c r="AL716" s="12" t="n">
        <v>155</v>
      </c>
      <c r="AM716" s="13" t="n">
        <v>3.4</v>
      </c>
      <c r="AN716" s="13" t="n">
        <v>5.9</v>
      </c>
      <c r="AO716" s="13" t="n">
        <v>76.7</v>
      </c>
      <c r="AP716" s="13" t="n">
        <v>256.1</v>
      </c>
    </row>
    <row r="717">
      <c r="A717" s="5" t="inlineStr">
        <is>
          <t>LG유플러스</t>
        </is>
      </c>
      <c r="B717" s="6" t="inlineStr">
        <is>
          <t>032640</t>
        </is>
      </c>
      <c r="C717" s="6" t="inlineStr">
        <is>
          <t>연결</t>
        </is>
      </c>
      <c r="D717" s="6" t="inlineStr">
        <is>
          <t>2026Q2</t>
        </is>
      </c>
      <c r="E717" s="6" t="inlineStr">
        <is>
          <t>2023Q4</t>
        </is>
      </c>
      <c r="F717" s="14" t="n">
        <v>3820900</v>
      </c>
      <c r="G717" s="15" t="n">
        <v>195500</v>
      </c>
      <c r="H717" s="15" t="n">
        <v>105200</v>
      </c>
      <c r="I717" s="9" t="n">
        <v>3576966</v>
      </c>
      <c r="J717" s="10" t="n">
        <v>220931</v>
      </c>
      <c r="K717" s="10" t="n">
        <v>130422</v>
      </c>
      <c r="L717" s="7" t="n">
        <v>3493696</v>
      </c>
      <c r="M717" s="8" t="n">
        <v>254011</v>
      </c>
      <c r="N717" s="8" t="n">
        <v>164618</v>
      </c>
      <c r="O717" s="9" t="n">
        <v>3801331</v>
      </c>
      <c r="P717" s="10" t="n">
        <v>246026</v>
      </c>
      <c r="Q717" s="10" t="n">
        <v>134887</v>
      </c>
      <c r="R717" s="7" t="n">
        <v>3753205</v>
      </c>
      <c r="S717" s="8" t="n">
        <v>142162</v>
      </c>
      <c r="T717" s="8" t="n">
        <v>-115325</v>
      </c>
      <c r="U717" s="9" t="n">
        <v>3748090</v>
      </c>
      <c r="V717" s="10" t="n">
        <v>255427</v>
      </c>
      <c r="W717" s="10" t="n">
        <v>162472</v>
      </c>
      <c r="X717" s="7" t="n">
        <v>3844385</v>
      </c>
      <c r="Y717" s="8" t="n">
        <v>304506</v>
      </c>
      <c r="Z717" s="8" t="n">
        <v>217079</v>
      </c>
      <c r="AA717" s="9" t="n">
        <v>4010838</v>
      </c>
      <c r="AB717" s="10" t="n">
        <v>161670</v>
      </c>
      <c r="AC717" s="10" t="n">
        <v>49107</v>
      </c>
      <c r="AD717" s="7" t="n">
        <v>3848432</v>
      </c>
      <c r="AE717" s="8" t="n">
        <v>170528</v>
      </c>
      <c r="AF717" s="8" t="n">
        <v>80568</v>
      </c>
      <c r="AG717" s="9" t="n">
        <v>3803749</v>
      </c>
      <c r="AH717" s="10" t="n">
        <v>272273</v>
      </c>
      <c r="AI717" s="10" t="n">
        <v>176046</v>
      </c>
      <c r="AJ717" s="11" t="n">
        <v>3694913</v>
      </c>
      <c r="AK717" s="12" t="n">
        <v>344472</v>
      </c>
      <c r="AL717" s="12" t="n">
        <v>217683</v>
      </c>
      <c r="AM717" s="13" t="n">
        <v>-2.9</v>
      </c>
      <c r="AN717" s="13" t="n">
        <v>-3.9</v>
      </c>
      <c r="AO717" s="13" t="n">
        <v>26.5</v>
      </c>
      <c r="AP717" s="13" t="n">
        <v>13.1</v>
      </c>
    </row>
    <row r="718">
      <c r="A718" s="5" t="inlineStr">
        <is>
          <t>소프트센</t>
        </is>
      </c>
      <c r="B718" s="6" t="inlineStr">
        <is>
          <t>032680</t>
        </is>
      </c>
      <c r="C718" s="6" t="inlineStr">
        <is>
          <t>연결</t>
        </is>
      </c>
      <c r="D718" s="6" t="inlineStr">
        <is>
          <t>2026Q2</t>
        </is>
      </c>
      <c r="E718" s="6" t="inlineStr"/>
      <c r="F718" s="7" t="inlineStr"/>
      <c r="G718" s="8" t="inlineStr"/>
      <c r="H718" s="8" t="inlineStr"/>
      <c r="I718" s="9" t="n">
        <v>10159</v>
      </c>
      <c r="J718" s="10" t="n">
        <v>-17</v>
      </c>
      <c r="K718" s="10" t="n">
        <v>-293</v>
      </c>
      <c r="L718" s="7" t="n">
        <v>17276</v>
      </c>
      <c r="M718" s="8" t="n">
        <v>-734</v>
      </c>
      <c r="N718" s="8" t="n">
        <v>96</v>
      </c>
      <c r="O718" s="9" t="n">
        <v>13261</v>
      </c>
      <c r="P718" s="10" t="n">
        <v>140</v>
      </c>
      <c r="Q718" s="10" t="n">
        <v>177</v>
      </c>
      <c r="R718" s="7" t="n">
        <v>19205</v>
      </c>
      <c r="S718" s="8" t="n">
        <v>-764</v>
      </c>
      <c r="T718" s="8" t="n">
        <v>-2777</v>
      </c>
      <c r="U718" s="9" t="n">
        <v>8530</v>
      </c>
      <c r="V718" s="10" t="n">
        <v>-354</v>
      </c>
      <c r="W718" s="10" t="n">
        <v>-959</v>
      </c>
      <c r="X718" s="7" t="n">
        <v>10345</v>
      </c>
      <c r="Y718" s="8" t="n">
        <v>308</v>
      </c>
      <c r="Z718" s="8" t="n">
        <v>-1187</v>
      </c>
      <c r="AA718" s="9" t="n">
        <v>18275</v>
      </c>
      <c r="AB718" s="10" t="n">
        <v>378</v>
      </c>
      <c r="AC718" s="10" t="n">
        <v>-530</v>
      </c>
      <c r="AD718" s="7" t="n">
        <v>17665</v>
      </c>
      <c r="AE718" s="8" t="n">
        <v>-576</v>
      </c>
      <c r="AF718" s="8" t="n">
        <v>1689</v>
      </c>
      <c r="AG718" s="9" t="n">
        <v>10510</v>
      </c>
      <c r="AH718" s="10" t="n">
        <v>162</v>
      </c>
      <c r="AI718" s="10" t="n">
        <v>-306</v>
      </c>
      <c r="AJ718" s="11" t="n">
        <v>13180</v>
      </c>
      <c r="AK718" s="12" t="n">
        <v>467</v>
      </c>
      <c r="AL718" s="12" t="n">
        <v>134</v>
      </c>
      <c r="AM718" s="13" t="n">
        <v>25.4</v>
      </c>
      <c r="AN718" s="13" t="n">
        <v>27.4</v>
      </c>
      <c r="AO718" s="13" t="n">
        <v>188.3</v>
      </c>
      <c r="AP718" s="13" t="n">
        <v>51.6</v>
      </c>
    </row>
    <row r="719">
      <c r="A719" s="5" t="inlineStr">
        <is>
          <t>삼진</t>
        </is>
      </c>
      <c r="B719" s="6" t="inlineStr">
        <is>
          <t>032750</t>
        </is>
      </c>
      <c r="C719" s="6" t="inlineStr">
        <is>
          <t>연결</t>
        </is>
      </c>
      <c r="D719" s="6" t="inlineStr">
        <is>
          <t>2026Q2</t>
        </is>
      </c>
      <c r="E719" s="6" t="inlineStr"/>
      <c r="F719" s="7" t="inlineStr"/>
      <c r="G719" s="8" t="inlineStr"/>
      <c r="H719" s="8" t="inlineStr"/>
      <c r="I719" s="9" t="n">
        <v>39976</v>
      </c>
      <c r="J719" s="10" t="n">
        <v>1713</v>
      </c>
      <c r="K719" s="10" t="n">
        <v>1661</v>
      </c>
      <c r="L719" s="7" t="n">
        <v>39421</v>
      </c>
      <c r="M719" s="8" t="n">
        <v>1953</v>
      </c>
      <c r="N719" s="8" t="n">
        <v>2761</v>
      </c>
      <c r="O719" s="9" t="n">
        <v>40605</v>
      </c>
      <c r="P719" s="10" t="n">
        <v>1698</v>
      </c>
      <c r="Q719" s="10" t="n">
        <v>2660</v>
      </c>
      <c r="R719" s="7" t="n">
        <v>39162</v>
      </c>
      <c r="S719" s="8" t="n">
        <v>1884</v>
      </c>
      <c r="T719" s="8" t="n">
        <v>1963</v>
      </c>
      <c r="U719" s="9" t="n">
        <v>40636</v>
      </c>
      <c r="V719" s="10" t="n">
        <v>2614</v>
      </c>
      <c r="W719" s="10" t="n">
        <v>2615</v>
      </c>
      <c r="X719" s="7" t="n">
        <v>36156</v>
      </c>
      <c r="Y719" s="8" t="n">
        <v>1544</v>
      </c>
      <c r="Z719" s="8" t="n">
        <v>305</v>
      </c>
      <c r="AA719" s="9" t="n">
        <v>27709</v>
      </c>
      <c r="AB719" s="10" t="n">
        <v>1019</v>
      </c>
      <c r="AC719" s="10" t="n">
        <v>1534</v>
      </c>
      <c r="AD719" s="7" t="n">
        <v>43822</v>
      </c>
      <c r="AE719" s="8" t="n">
        <v>646</v>
      </c>
      <c r="AF719" s="8" t="n">
        <v>-564</v>
      </c>
      <c r="AG719" s="9" t="n">
        <v>35518</v>
      </c>
      <c r="AH719" s="10" t="n">
        <v>1364</v>
      </c>
      <c r="AI719" s="10" t="n">
        <v>2209</v>
      </c>
      <c r="AJ719" s="11" t="n">
        <v>29075</v>
      </c>
      <c r="AK719" s="12" t="n">
        <v>787</v>
      </c>
      <c r="AL719" s="12" t="n">
        <v>1045</v>
      </c>
      <c r="AM719" s="13" t="n">
        <v>-18.1</v>
      </c>
      <c r="AN719" s="13" t="n">
        <v>-19.6</v>
      </c>
      <c r="AO719" s="13" t="n">
        <v>-42.3</v>
      </c>
      <c r="AP719" s="13" t="n">
        <v>-49</v>
      </c>
    </row>
    <row r="720">
      <c r="A720" s="5" t="inlineStr">
        <is>
          <t>엠젠솔루션</t>
        </is>
      </c>
      <c r="B720" s="6" t="inlineStr">
        <is>
          <t>032790</t>
        </is>
      </c>
      <c r="C720" s="6" t="inlineStr">
        <is>
          <t>연결</t>
        </is>
      </c>
      <c r="D720" s="6" t="inlineStr">
        <is>
          <t>2026Q2</t>
        </is>
      </c>
      <c r="E720" s="6" t="inlineStr"/>
      <c r="F720" s="7" t="inlineStr"/>
      <c r="G720" s="8" t="inlineStr"/>
      <c r="H720" s="8" t="inlineStr"/>
      <c r="I720" s="9" t="n">
        <v>21803</v>
      </c>
      <c r="J720" s="10" t="n">
        <v>-2559</v>
      </c>
      <c r="K720" s="10" t="n">
        <v>-2275</v>
      </c>
      <c r="L720" s="7" t="n">
        <v>28776</v>
      </c>
      <c r="M720" s="8" t="n">
        <v>-864</v>
      </c>
      <c r="N720" s="8" t="n">
        <v>-790</v>
      </c>
      <c r="O720" s="9" t="n">
        <v>12725</v>
      </c>
      <c r="P720" s="10" t="n">
        <v>-1682</v>
      </c>
      <c r="Q720" s="10" t="n">
        <v>115</v>
      </c>
      <c r="R720" s="7" t="n">
        <v>-20635</v>
      </c>
      <c r="S720" s="8" t="n">
        <v>1123</v>
      </c>
      <c r="T720" s="8" t="n">
        <v>5810</v>
      </c>
      <c r="U720" s="9" t="n">
        <v>10308</v>
      </c>
      <c r="V720" s="10" t="n">
        <v>-1345</v>
      </c>
      <c r="W720" s="10" t="n">
        <v>-2511</v>
      </c>
      <c r="X720" s="7" t="n">
        <v>9624</v>
      </c>
      <c r="Y720" s="8" t="n">
        <v>-2211</v>
      </c>
      <c r="Z720" s="8" t="n">
        <v>-4410</v>
      </c>
      <c r="AA720" s="9" t="n">
        <v>5333</v>
      </c>
      <c r="AB720" s="10" t="n">
        <v>-3285</v>
      </c>
      <c r="AC720" s="10" t="n">
        <v>-3667</v>
      </c>
      <c r="AD720" s="7" t="n">
        <v>3326</v>
      </c>
      <c r="AE720" s="8" t="n">
        <v>-3433</v>
      </c>
      <c r="AF720" s="8" t="n">
        <v>-5742</v>
      </c>
      <c r="AG720" s="9" t="n">
        <v>4020</v>
      </c>
      <c r="AH720" s="10" t="n">
        <v>-3789</v>
      </c>
      <c r="AI720" s="10" t="n">
        <v>-3629</v>
      </c>
      <c r="AJ720" s="11" t="n">
        <v>4945</v>
      </c>
      <c r="AK720" s="12" t="n">
        <v>-2949</v>
      </c>
      <c r="AL720" s="12" t="n">
        <v>-2541</v>
      </c>
      <c r="AM720" s="13" t="n">
        <v>23</v>
      </c>
      <c r="AN720" s="13" t="n">
        <v>-48.6</v>
      </c>
      <c r="AO720" s="13" t="n">
        <v>22.2</v>
      </c>
      <c r="AP720" s="13" t="n">
        <v>-33.4</v>
      </c>
    </row>
    <row r="721">
      <c r="A721" s="5" t="inlineStr">
        <is>
          <t>판타지오</t>
        </is>
      </c>
      <c r="B721" s="6" t="inlineStr">
        <is>
          <t>032800</t>
        </is>
      </c>
      <c r="C721" s="6" t="inlineStr">
        <is>
          <t>연결</t>
        </is>
      </c>
      <c r="D721" s="6" t="inlineStr">
        <is>
          <t>2025Q4</t>
        </is>
      </c>
      <c r="E721" s="6" t="inlineStr"/>
      <c r="F721" s="7" t="inlineStr"/>
      <c r="G721" s="8" t="inlineStr"/>
      <c r="H721" s="8" t="inlineStr"/>
      <c r="I721" s="9" t="n">
        <v>7544</v>
      </c>
      <c r="J721" s="10" t="n">
        <v>-1183</v>
      </c>
      <c r="K721" s="10" t="n">
        <v>-1573</v>
      </c>
      <c r="L721" s="7" t="n">
        <v>9369</v>
      </c>
      <c r="M721" s="8" t="n">
        <v>-933</v>
      </c>
      <c r="N721" s="8" t="n">
        <v>1581</v>
      </c>
      <c r="O721" s="9" t="n">
        <v>16868</v>
      </c>
      <c r="P721" s="10" t="n">
        <v>-308</v>
      </c>
      <c r="Q721" s="10" t="n">
        <v>-435</v>
      </c>
      <c r="R721" s="7" t="n">
        <v>38554</v>
      </c>
      <c r="S721" s="8" t="n">
        <v>884</v>
      </c>
      <c r="T721" s="8" t="n">
        <v>-6005</v>
      </c>
      <c r="U721" s="9" t="n">
        <v>10394</v>
      </c>
      <c r="V721" s="10" t="n">
        <v>-915</v>
      </c>
      <c r="W721" s="10" t="n">
        <v>-1172</v>
      </c>
      <c r="X721" s="7" t="n">
        <v>9275</v>
      </c>
      <c r="Y721" s="8" t="n">
        <v>-1388</v>
      </c>
      <c r="Z721" s="8" t="n">
        <v>-1439</v>
      </c>
      <c r="AA721" s="9" t="n">
        <v>8604</v>
      </c>
      <c r="AB721" s="10" t="n">
        <v>-733</v>
      </c>
      <c r="AC721" s="10" t="n">
        <v>-1097</v>
      </c>
      <c r="AD721" s="7" t="n">
        <v>9919</v>
      </c>
      <c r="AE721" s="8" t="n">
        <v>-4996</v>
      </c>
      <c r="AF721" s="8" t="n">
        <v>-5492</v>
      </c>
      <c r="AG721" s="9" t="inlineStr"/>
      <c r="AH721" s="10" t="inlineStr"/>
      <c r="AI721" s="10" t="inlineStr"/>
      <c r="AJ721" s="11" t="inlineStr"/>
      <c r="AK721" s="12" t="inlineStr"/>
      <c r="AL721" s="12" t="inlineStr"/>
      <c r="AM721" s="13" t="inlineStr"/>
      <c r="AN721" s="13" t="inlineStr"/>
      <c r="AO721" s="13" t="inlineStr"/>
      <c r="AP721" s="13" t="inlineStr"/>
    </row>
    <row r="722">
      <c r="A722" s="5" t="inlineStr">
        <is>
          <t>우리기술</t>
        </is>
      </c>
      <c r="B722" s="6" t="inlineStr">
        <is>
          <t>032820</t>
        </is>
      </c>
      <c r="C722" s="6" t="inlineStr">
        <is>
          <t>연결</t>
        </is>
      </c>
      <c r="D722" s="6" t="inlineStr">
        <is>
          <t>2026Q2</t>
        </is>
      </c>
      <c r="E722" s="6" t="inlineStr"/>
      <c r="F722" s="7" t="inlineStr"/>
      <c r="G722" s="8" t="inlineStr"/>
      <c r="H722" s="8" t="inlineStr"/>
      <c r="I722" s="9" t="n">
        <v>15472</v>
      </c>
      <c r="J722" s="10" t="n">
        <v>-400</v>
      </c>
      <c r="K722" s="10" t="n">
        <v>-157</v>
      </c>
      <c r="L722" s="7" t="n">
        <v>12863</v>
      </c>
      <c r="M722" s="8" t="n">
        <v>-1228</v>
      </c>
      <c r="N722" s="8" t="n">
        <v>-763</v>
      </c>
      <c r="O722" s="9" t="n">
        <v>17058</v>
      </c>
      <c r="P722" s="10" t="n">
        <v>-1602</v>
      </c>
      <c r="Q722" s="10" t="n">
        <v>-942</v>
      </c>
      <c r="R722" s="7" t="n">
        <v>25857</v>
      </c>
      <c r="S722" s="8" t="n">
        <v>3784</v>
      </c>
      <c r="T722" s="8" t="n">
        <v>-2540</v>
      </c>
      <c r="U722" s="9" t="n">
        <v>18536</v>
      </c>
      <c r="V722" s="10" t="n">
        <v>-2998</v>
      </c>
      <c r="W722" s="10" t="n">
        <v>-5477</v>
      </c>
      <c r="X722" s="7" t="n">
        <v>22584</v>
      </c>
      <c r="Y722" s="8" t="n">
        <v>-659</v>
      </c>
      <c r="Z722" s="8" t="n">
        <v>20151</v>
      </c>
      <c r="AA722" s="9" t="n">
        <v>21183</v>
      </c>
      <c r="AB722" s="10" t="n">
        <v>-650</v>
      </c>
      <c r="AC722" s="10" t="n">
        <v>-3290</v>
      </c>
      <c r="AD722" s="7" t="n">
        <v>24832</v>
      </c>
      <c r="AE722" s="8" t="n">
        <v>-1180</v>
      </c>
      <c r="AF722" s="8" t="n">
        <v>-15489</v>
      </c>
      <c r="AG722" s="9" t="n">
        <v>16957</v>
      </c>
      <c r="AH722" s="10" t="n">
        <v>-6738</v>
      </c>
      <c r="AI722" s="10" t="n">
        <v>27425</v>
      </c>
      <c r="AJ722" s="11" t="n">
        <v>19794</v>
      </c>
      <c r="AK722" s="12" t="n">
        <v>-1134</v>
      </c>
      <c r="AL722" s="12" t="n">
        <v>20080</v>
      </c>
      <c r="AM722" s="13" t="n">
        <v>16.7</v>
      </c>
      <c r="AN722" s="13" t="n">
        <v>-12.4</v>
      </c>
      <c r="AO722" s="13" t="n">
        <v>83.2</v>
      </c>
      <c r="AP722" s="13" t="n">
        <v>-72.09999999999999</v>
      </c>
    </row>
    <row r="723">
      <c r="A723" s="5" t="inlineStr">
        <is>
          <t>삼성생명</t>
        </is>
      </c>
      <c r="B723" s="6" t="inlineStr">
        <is>
          <t>032830</t>
        </is>
      </c>
      <c r="C723" s="6" t="inlineStr">
        <is>
          <t>연결</t>
        </is>
      </c>
      <c r="D723" s="6" t="inlineStr">
        <is>
          <t>2026Q2</t>
        </is>
      </c>
      <c r="E723" s="6" t="inlineStr"/>
      <c r="F723" s="7" t="inlineStr"/>
      <c r="G723" s="8" t="inlineStr"/>
      <c r="H723" s="8" t="inlineStr"/>
      <c r="I723" s="14" t="n">
        <v>9318986</v>
      </c>
      <c r="J723" s="10" t="n">
        <v>746310</v>
      </c>
      <c r="K723" s="10" t="n">
        <v>663292</v>
      </c>
      <c r="L723" s="7" t="inlineStr"/>
      <c r="M723" s="8" t="n">
        <v>905530</v>
      </c>
      <c r="N723" s="8" t="n">
        <v>788837</v>
      </c>
      <c r="O723" s="9" t="inlineStr"/>
      <c r="P723" s="10" t="n">
        <v>796235</v>
      </c>
      <c r="Q723" s="10" t="n">
        <v>713819</v>
      </c>
      <c r="R723" s="7" t="inlineStr"/>
      <c r="S723" s="8" t="n">
        <v>51676</v>
      </c>
      <c r="T723" s="8" t="n">
        <v>94307</v>
      </c>
      <c r="U723" s="9" t="inlineStr"/>
      <c r="V723" s="10" t="n">
        <v>753958</v>
      </c>
      <c r="W723" s="10" t="n">
        <v>677496</v>
      </c>
      <c r="X723" s="14" t="n">
        <v>10911075</v>
      </c>
      <c r="Y723" s="8" t="n">
        <v>915407</v>
      </c>
      <c r="Z723" s="8" t="n">
        <v>793580</v>
      </c>
      <c r="AA723" s="14" t="n">
        <v>7486528</v>
      </c>
      <c r="AB723" s="10" t="n">
        <v>815840</v>
      </c>
      <c r="AC723" s="10" t="n">
        <v>760947</v>
      </c>
      <c r="AD723" s="7" t="inlineStr"/>
      <c r="AE723" s="8" t="n">
        <v>95264</v>
      </c>
      <c r="AF723" s="8" t="n">
        <v>219492</v>
      </c>
      <c r="AG723" s="14" t="n">
        <v>14719366</v>
      </c>
      <c r="AH723" s="10" t="n">
        <v>1357813</v>
      </c>
      <c r="AI723" s="10" t="n">
        <v>1240307</v>
      </c>
      <c r="AJ723" s="14" t="n">
        <v>18759919</v>
      </c>
      <c r="AK723" s="12" t="n">
        <v>622617</v>
      </c>
      <c r="AL723" s="12" t="n">
        <v>727366</v>
      </c>
      <c r="AM723" s="13" t="n">
        <v>27.5</v>
      </c>
      <c r="AN723" s="13" t="n">
        <v>71.90000000000001</v>
      </c>
      <c r="AO723" s="13" t="n">
        <v>-54.1</v>
      </c>
      <c r="AP723" s="13" t="n">
        <v>-32</v>
      </c>
    </row>
    <row r="724">
      <c r="A724" s="5" t="inlineStr">
        <is>
          <t>비트컴퓨터</t>
        </is>
      </c>
      <c r="B724" s="6" t="inlineStr">
        <is>
          <t>032850</t>
        </is>
      </c>
      <c r="C724" s="6" t="inlineStr">
        <is>
          <t>연결</t>
        </is>
      </c>
      <c r="D724" s="6" t="inlineStr">
        <is>
          <t>2026Q2</t>
        </is>
      </c>
      <c r="E724" s="6" t="inlineStr"/>
      <c r="F724" s="7" t="inlineStr"/>
      <c r="G724" s="8" t="inlineStr"/>
      <c r="H724" s="8" t="inlineStr"/>
      <c r="I724" s="9" t="n">
        <v>9465</v>
      </c>
      <c r="J724" s="10" t="n">
        <v>1611</v>
      </c>
      <c r="K724" s="10" t="n">
        <v>1989</v>
      </c>
      <c r="L724" s="7" t="n">
        <v>8820</v>
      </c>
      <c r="M724" s="8" t="n">
        <v>1700</v>
      </c>
      <c r="N724" s="8" t="n">
        <v>1906</v>
      </c>
      <c r="O724" s="9" t="n">
        <v>8433</v>
      </c>
      <c r="P724" s="10" t="n">
        <v>2274</v>
      </c>
      <c r="Q724" s="10" t="n">
        <v>1878</v>
      </c>
      <c r="R724" s="7" t="n">
        <v>10357</v>
      </c>
      <c r="S724" s="8" t="n">
        <v>1085</v>
      </c>
      <c r="T724" s="8" t="n">
        <v>1696</v>
      </c>
      <c r="U724" s="9" t="n">
        <v>8595</v>
      </c>
      <c r="V724" s="10" t="n">
        <v>1490</v>
      </c>
      <c r="W724" s="10" t="n">
        <v>1587</v>
      </c>
      <c r="X724" s="7" t="n">
        <v>8225</v>
      </c>
      <c r="Y724" s="8" t="n">
        <v>1546</v>
      </c>
      <c r="Z724" s="8" t="n">
        <v>2264</v>
      </c>
      <c r="AA724" s="9" t="n">
        <v>8451</v>
      </c>
      <c r="AB724" s="10" t="n">
        <v>1469</v>
      </c>
      <c r="AC724" s="10" t="n">
        <v>1616</v>
      </c>
      <c r="AD724" s="7" t="n">
        <v>10712</v>
      </c>
      <c r="AE724" s="8" t="n">
        <v>1356</v>
      </c>
      <c r="AF724" s="8" t="n">
        <v>1864</v>
      </c>
      <c r="AG724" s="9" t="n">
        <v>9611</v>
      </c>
      <c r="AH724" s="10" t="n">
        <v>1771</v>
      </c>
      <c r="AI724" s="10" t="n">
        <v>1816</v>
      </c>
      <c r="AJ724" s="11" t="n">
        <v>9786</v>
      </c>
      <c r="AK724" s="12" t="n">
        <v>1818</v>
      </c>
      <c r="AL724" s="12" t="n">
        <v>2388</v>
      </c>
      <c r="AM724" s="13" t="n">
        <v>1.8</v>
      </c>
      <c r="AN724" s="13" t="n">
        <v>19</v>
      </c>
      <c r="AO724" s="13" t="n">
        <v>2.7</v>
      </c>
      <c r="AP724" s="13" t="n">
        <v>17.6</v>
      </c>
    </row>
    <row r="725">
      <c r="A725" s="5" t="inlineStr">
        <is>
          <t>더라미</t>
        </is>
      </c>
      <c r="B725" s="6" t="inlineStr">
        <is>
          <t>032860</t>
        </is>
      </c>
      <c r="C725" s="6" t="inlineStr">
        <is>
          <t>별도</t>
        </is>
      </c>
      <c r="D725" s="6" t="inlineStr">
        <is>
          <t>2026Q2</t>
        </is>
      </c>
      <c r="E725" s="6" t="inlineStr"/>
      <c r="F725" s="7" t="inlineStr"/>
      <c r="G725" s="8" t="inlineStr"/>
      <c r="H725" s="8" t="inlineStr"/>
      <c r="I725" s="9" t="n">
        <v>22558</v>
      </c>
      <c r="J725" s="10" t="n">
        <v>1105</v>
      </c>
      <c r="K725" s="10" t="n">
        <v>1464</v>
      </c>
      <c r="L725" s="7" t="n">
        <v>20151</v>
      </c>
      <c r="M725" s="8" t="n">
        <v>1444</v>
      </c>
      <c r="N725" s="8" t="n">
        <v>1452</v>
      </c>
      <c r="O725" s="9" t="n">
        <v>14599</v>
      </c>
      <c r="P725" s="10" t="n">
        <v>199</v>
      </c>
      <c r="Q725" s="10" t="n">
        <v>-103</v>
      </c>
      <c r="R725" s="7" t="n">
        <v>12469</v>
      </c>
      <c r="S725" s="8" t="n">
        <v>-1130</v>
      </c>
      <c r="T725" s="8" t="n">
        <v>-336</v>
      </c>
      <c r="U725" s="9" t="n">
        <v>13399</v>
      </c>
      <c r="V725" s="10" t="n">
        <v>-776</v>
      </c>
      <c r="W725" s="10" t="n">
        <v>418</v>
      </c>
      <c r="X725" s="7" t="n">
        <v>12413</v>
      </c>
      <c r="Y725" s="8" t="n">
        <v>-369</v>
      </c>
      <c r="Z725" s="8" t="n">
        <v>-329</v>
      </c>
      <c r="AA725" s="9" t="n">
        <v>11810</v>
      </c>
      <c r="AB725" s="10" t="n">
        <v>-495</v>
      </c>
      <c r="AC725" s="10" t="n">
        <v>-391</v>
      </c>
      <c r="AD725" s="7" t="n">
        <v>13298</v>
      </c>
      <c r="AE725" s="8" t="n">
        <v>-80</v>
      </c>
      <c r="AF725" s="8" t="n">
        <v>-4344</v>
      </c>
      <c r="AG725" s="9" t="n">
        <v>10139</v>
      </c>
      <c r="AH725" s="10" t="n">
        <v>-668</v>
      </c>
      <c r="AI725" s="10" t="n">
        <v>-752</v>
      </c>
      <c r="AJ725" s="11" t="n">
        <v>12788</v>
      </c>
      <c r="AK725" s="12" t="n">
        <v>-805</v>
      </c>
      <c r="AL725" s="12" t="n">
        <v>-791</v>
      </c>
      <c r="AM725" s="13" t="n">
        <v>26.1</v>
      </c>
      <c r="AN725" s="13" t="n">
        <v>3</v>
      </c>
      <c r="AO725" s="13" t="n">
        <v>-20.5</v>
      </c>
      <c r="AP725" s="13" t="n">
        <v>-118.2</v>
      </c>
    </row>
    <row r="726">
      <c r="A726" s="5" t="inlineStr">
        <is>
          <t>원익</t>
        </is>
      </c>
      <c r="B726" s="6" t="inlineStr">
        <is>
          <t>032940</t>
        </is>
      </c>
      <c r="C726" s="6" t="inlineStr">
        <is>
          <t>연결</t>
        </is>
      </c>
      <c r="D726" s="6" t="inlineStr">
        <is>
          <t>2026Q2</t>
        </is>
      </c>
      <c r="E726" s="6" t="inlineStr"/>
      <c r="F726" s="7" t="inlineStr"/>
      <c r="G726" s="8" t="inlineStr"/>
      <c r="H726" s="8" t="inlineStr"/>
      <c r="I726" s="9" t="n">
        <v>34097</v>
      </c>
      <c r="J726" s="10" t="n">
        <v>3578</v>
      </c>
      <c r="K726" s="10" t="n">
        <v>-3385</v>
      </c>
      <c r="L726" s="7" t="n">
        <v>41261</v>
      </c>
      <c r="M726" s="8" t="n">
        <v>4469</v>
      </c>
      <c r="N726" s="8" t="n">
        <v>1341</v>
      </c>
      <c r="O726" s="9" t="n">
        <v>33535</v>
      </c>
      <c r="P726" s="10" t="n">
        <v>1850</v>
      </c>
      <c r="Q726" s="10" t="n">
        <v>5364</v>
      </c>
      <c r="R726" s="7" t="n">
        <v>29842</v>
      </c>
      <c r="S726" s="8" t="n">
        <v>-579</v>
      </c>
      <c r="T726" s="8" t="n">
        <v>18071</v>
      </c>
      <c r="U726" s="9" t="n">
        <v>36591</v>
      </c>
      <c r="V726" s="10" t="n">
        <v>2639</v>
      </c>
      <c r="W726" s="10" t="n">
        <v>3268</v>
      </c>
      <c r="X726" s="7" t="n">
        <v>43886</v>
      </c>
      <c r="Y726" s="8" t="n">
        <v>4141</v>
      </c>
      <c r="Z726" s="8" t="n">
        <v>-61</v>
      </c>
      <c r="AA726" s="9" t="n">
        <v>39638</v>
      </c>
      <c r="AB726" s="10" t="n">
        <v>2148</v>
      </c>
      <c r="AC726" s="10" t="n">
        <v>8267</v>
      </c>
      <c r="AD726" s="7" t="n">
        <v>30620</v>
      </c>
      <c r="AE726" s="8" t="n">
        <v>-5</v>
      </c>
      <c r="AF726" s="8" t="n">
        <v>179</v>
      </c>
      <c r="AG726" s="9" t="n">
        <v>36955</v>
      </c>
      <c r="AH726" s="10" t="n">
        <v>2672</v>
      </c>
      <c r="AI726" s="10" t="n">
        <v>1269</v>
      </c>
      <c r="AJ726" s="11" t="n">
        <v>54031</v>
      </c>
      <c r="AK726" s="12" t="n">
        <v>3922</v>
      </c>
      <c r="AL726" s="12" t="n">
        <v>11243</v>
      </c>
      <c r="AM726" s="13" t="n">
        <v>46.2</v>
      </c>
      <c r="AN726" s="13" t="n">
        <v>23.1</v>
      </c>
      <c r="AO726" s="13" t="n">
        <v>46.8</v>
      </c>
      <c r="AP726" s="13" t="n">
        <v>-5.3</v>
      </c>
    </row>
    <row r="727">
      <c r="A727" s="5" t="inlineStr">
        <is>
          <t>동일기연</t>
        </is>
      </c>
      <c r="B727" s="6" t="inlineStr">
        <is>
          <t>032960</t>
        </is>
      </c>
      <c r="C727" s="6" t="inlineStr">
        <is>
          <t>연결</t>
        </is>
      </c>
      <c r="D727" s="6" t="inlineStr">
        <is>
          <t>2026Q2</t>
        </is>
      </c>
      <c r="E727" s="6" t="inlineStr"/>
      <c r="F727" s="7" t="inlineStr"/>
      <c r="G727" s="8" t="inlineStr"/>
      <c r="H727" s="8" t="inlineStr"/>
      <c r="I727" s="9" t="n">
        <v>6386</v>
      </c>
      <c r="J727" s="10" t="n">
        <v>409</v>
      </c>
      <c r="K727" s="10" t="n">
        <v>1167</v>
      </c>
      <c r="L727" s="7" t="n">
        <v>6367</v>
      </c>
      <c r="M727" s="8" t="n">
        <v>108</v>
      </c>
      <c r="N727" s="8" t="n">
        <v>1449</v>
      </c>
      <c r="O727" s="9" t="n">
        <v>5212</v>
      </c>
      <c r="P727" s="10" t="n">
        <v>-304</v>
      </c>
      <c r="Q727" s="10" t="n">
        <v>-1144</v>
      </c>
      <c r="R727" s="7" t="n">
        <v>6145</v>
      </c>
      <c r="S727" s="8" t="n">
        <v>-21</v>
      </c>
      <c r="T727" s="8" t="n">
        <v>-697</v>
      </c>
      <c r="U727" s="9" t="n">
        <v>6097</v>
      </c>
      <c r="V727" s="10" t="n">
        <v>55</v>
      </c>
      <c r="W727" s="10" t="n">
        <v>553</v>
      </c>
      <c r="X727" s="7" t="n">
        <v>4860</v>
      </c>
      <c r="Y727" s="8" t="n">
        <v>-263</v>
      </c>
      <c r="Z727" s="8" t="n">
        <v>1843</v>
      </c>
      <c r="AA727" s="9" t="n">
        <v>5357</v>
      </c>
      <c r="AB727" s="10" t="n">
        <v>301</v>
      </c>
      <c r="AC727" s="10" t="n">
        <v>1427</v>
      </c>
      <c r="AD727" s="7" t="n">
        <v>5237</v>
      </c>
      <c r="AE727" s="8" t="n">
        <v>-155</v>
      </c>
      <c r="AF727" s="8" t="n">
        <v>2717</v>
      </c>
      <c r="AG727" s="9" t="n">
        <v>6145</v>
      </c>
      <c r="AH727" s="10" t="n">
        <v>589</v>
      </c>
      <c r="AI727" s="10" t="n">
        <v>3522</v>
      </c>
      <c r="AJ727" s="11" t="n">
        <v>6376</v>
      </c>
      <c r="AK727" s="12" t="n">
        <v>-95</v>
      </c>
      <c r="AL727" s="12" t="n">
        <v>2878</v>
      </c>
      <c r="AM727" s="13" t="n">
        <v>3.8</v>
      </c>
      <c r="AN727" s="13" t="n">
        <v>31.2</v>
      </c>
      <c r="AO727" s="13" t="n">
        <v>-116.1</v>
      </c>
      <c r="AP727" s="13" t="n">
        <v>63.9</v>
      </c>
    </row>
    <row r="728">
      <c r="A728" s="5" t="inlineStr">
        <is>
          <t>바이온</t>
        </is>
      </c>
      <c r="B728" s="6" t="inlineStr">
        <is>
          <t>032980</t>
        </is>
      </c>
      <c r="C728" s="6" t="inlineStr">
        <is>
          <t>연결</t>
        </is>
      </c>
      <c r="D728" s="6" t="inlineStr">
        <is>
          <t>2026Q2</t>
        </is>
      </c>
      <c r="E728" s="6" t="inlineStr"/>
      <c r="F728" s="7" t="inlineStr"/>
      <c r="G728" s="8" t="inlineStr"/>
      <c r="H728" s="8" t="inlineStr"/>
      <c r="I728" s="9" t="n">
        <v>3363</v>
      </c>
      <c r="J728" s="10" t="n">
        <v>-975</v>
      </c>
      <c r="K728" s="10" t="n">
        <v>-894</v>
      </c>
      <c r="L728" s="7" t="n">
        <v>7051</v>
      </c>
      <c r="M728" s="8" t="n">
        <v>-615</v>
      </c>
      <c r="N728" s="8" t="n">
        <v>-2961</v>
      </c>
      <c r="O728" s="9" t="n">
        <v>8827</v>
      </c>
      <c r="P728" s="10" t="n">
        <v>2931</v>
      </c>
      <c r="Q728" s="10" t="n">
        <v>1839</v>
      </c>
      <c r="R728" s="7" t="n">
        <v>7715</v>
      </c>
      <c r="S728" s="8" t="n">
        <v>-4593</v>
      </c>
      <c r="T728" s="8" t="n">
        <v>-8168</v>
      </c>
      <c r="U728" s="9" t="n">
        <v>9182</v>
      </c>
      <c r="V728" s="10" t="n">
        <v>81</v>
      </c>
      <c r="W728" s="10" t="n">
        <v>-636</v>
      </c>
      <c r="X728" s="7" t="n">
        <v>7483</v>
      </c>
      <c r="Y728" s="8" t="n">
        <v>11</v>
      </c>
      <c r="Z728" s="8" t="n">
        <v>-1382</v>
      </c>
      <c r="AA728" s="9" t="n">
        <v>3106</v>
      </c>
      <c r="AB728" s="10" t="n">
        <v>281</v>
      </c>
      <c r="AC728" s="10" t="n">
        <v>-970</v>
      </c>
      <c r="AD728" s="7" t="n">
        <v>825</v>
      </c>
      <c r="AE728" s="8" t="n">
        <v>-2169</v>
      </c>
      <c r="AF728" s="8" t="n">
        <v>-2555</v>
      </c>
      <c r="AG728" s="9" t="n">
        <v>512</v>
      </c>
      <c r="AH728" s="10" t="n">
        <v>-968</v>
      </c>
      <c r="AI728" s="10" t="n">
        <v>-720</v>
      </c>
      <c r="AJ728" s="11" t="n">
        <v>2</v>
      </c>
      <c r="AK728" s="12" t="n">
        <v>-112</v>
      </c>
      <c r="AL728" s="12" t="n">
        <v>-307</v>
      </c>
      <c r="AM728" s="13" t="n">
        <v>-99.59999999999999</v>
      </c>
      <c r="AN728" s="13" t="n">
        <v>-100</v>
      </c>
      <c r="AO728" s="13" t="n">
        <v>88.40000000000001</v>
      </c>
      <c r="AP728" s="13" t="n">
        <v>-1118.2</v>
      </c>
    </row>
    <row r="729">
      <c r="A729" s="5" t="inlineStr">
        <is>
          <t>제이엠아이</t>
        </is>
      </c>
      <c r="B729" s="6" t="inlineStr">
        <is>
          <t>033050</t>
        </is>
      </c>
      <c r="C729" s="6" t="inlineStr">
        <is>
          <t>연결</t>
        </is>
      </c>
      <c r="D729" s="6" t="inlineStr">
        <is>
          <t>2026Q2</t>
        </is>
      </c>
      <c r="E729" s="6" t="inlineStr"/>
      <c r="F729" s="7" t="inlineStr"/>
      <c r="G729" s="8" t="inlineStr"/>
      <c r="H729" s="8" t="inlineStr"/>
      <c r="I729" s="9" t="n">
        <v>17795</v>
      </c>
      <c r="J729" s="10" t="n">
        <v>415</v>
      </c>
      <c r="K729" s="10" t="n">
        <v>510</v>
      </c>
      <c r="L729" s="7" t="n">
        <v>21258</v>
      </c>
      <c r="M729" s="8" t="n">
        <v>1399</v>
      </c>
      <c r="N729" s="8" t="n">
        <v>1329</v>
      </c>
      <c r="O729" s="9" t="n">
        <v>20613</v>
      </c>
      <c r="P729" s="10" t="n">
        <v>1344</v>
      </c>
      <c r="Q729" s="10" t="n">
        <v>1087</v>
      </c>
      <c r="R729" s="7" t="n">
        <v>20771</v>
      </c>
      <c r="S729" s="8" t="n">
        <v>888</v>
      </c>
      <c r="T729" s="8" t="n">
        <v>844</v>
      </c>
      <c r="U729" s="9" t="n">
        <v>19831</v>
      </c>
      <c r="V729" s="10" t="n">
        <v>985</v>
      </c>
      <c r="W729" s="10" t="n">
        <v>494</v>
      </c>
      <c r="X729" s="7" t="n">
        <v>21368</v>
      </c>
      <c r="Y729" s="8" t="n">
        <v>440</v>
      </c>
      <c r="Z729" s="8" t="n">
        <v>-252</v>
      </c>
      <c r="AA729" s="9" t="n">
        <v>21850</v>
      </c>
      <c r="AB729" s="10" t="n">
        <v>1387</v>
      </c>
      <c r="AC729" s="10" t="n">
        <v>1497</v>
      </c>
      <c r="AD729" s="7" t="n">
        <v>26754</v>
      </c>
      <c r="AE729" s="8" t="n">
        <v>1257</v>
      </c>
      <c r="AF729" s="8" t="n">
        <v>1691</v>
      </c>
      <c r="AG729" s="9" t="n">
        <v>31144</v>
      </c>
      <c r="AH729" s="10" t="n">
        <v>1035</v>
      </c>
      <c r="AI729" s="10" t="n">
        <v>1511</v>
      </c>
      <c r="AJ729" s="11" t="n">
        <v>30578</v>
      </c>
      <c r="AK729" s="12" t="n">
        <v>1782</v>
      </c>
      <c r="AL729" s="12" t="n">
        <v>1978</v>
      </c>
      <c r="AM729" s="13" t="n">
        <v>-1.8</v>
      </c>
      <c r="AN729" s="13" t="n">
        <v>43.1</v>
      </c>
      <c r="AO729" s="13" t="n">
        <v>72.2</v>
      </c>
      <c r="AP729" s="13" t="n">
        <v>305</v>
      </c>
    </row>
    <row r="730">
      <c r="A730" s="5" t="inlineStr">
        <is>
          <t>제룡전기</t>
        </is>
      </c>
      <c r="B730" s="6" t="inlineStr">
        <is>
          <t>033100</t>
        </is>
      </c>
      <c r="C730" s="6" t="inlineStr">
        <is>
          <t>별도</t>
        </is>
      </c>
      <c r="D730" s="6" t="inlineStr">
        <is>
          <t>2026Q2</t>
        </is>
      </c>
      <c r="E730" s="6" t="inlineStr"/>
      <c r="F730" s="7" t="inlineStr"/>
      <c r="G730" s="8" t="inlineStr"/>
      <c r="H730" s="8" t="inlineStr"/>
      <c r="I730" s="9" t="n">
        <v>64961</v>
      </c>
      <c r="J730" s="10" t="n">
        <v>25751</v>
      </c>
      <c r="K730" s="10" t="n">
        <v>21747</v>
      </c>
      <c r="L730" s="7" t="n">
        <v>77573</v>
      </c>
      <c r="M730" s="8" t="n">
        <v>32762</v>
      </c>
      <c r="N730" s="8" t="n">
        <v>27213</v>
      </c>
      <c r="O730" s="9" t="n">
        <v>69436</v>
      </c>
      <c r="P730" s="10" t="n">
        <v>26630</v>
      </c>
      <c r="Q730" s="10" t="n">
        <v>20446</v>
      </c>
      <c r="R730" s="7" t="n">
        <v>50766</v>
      </c>
      <c r="S730" s="8" t="n">
        <v>12702</v>
      </c>
      <c r="T730" s="8" t="n">
        <v>10515</v>
      </c>
      <c r="U730" s="9" t="n">
        <v>50203</v>
      </c>
      <c r="V730" s="10" t="n">
        <v>16068</v>
      </c>
      <c r="W730" s="10" t="n">
        <v>14731</v>
      </c>
      <c r="X730" s="7" t="n">
        <v>60358</v>
      </c>
      <c r="Y730" s="8" t="n">
        <v>20408</v>
      </c>
      <c r="Z730" s="8" t="n">
        <v>15121</v>
      </c>
      <c r="AA730" s="9" t="n">
        <v>69750</v>
      </c>
      <c r="AB730" s="10" t="n">
        <v>22530</v>
      </c>
      <c r="AC730" s="10" t="n">
        <v>19979</v>
      </c>
      <c r="AD730" s="7" t="n">
        <v>43706</v>
      </c>
      <c r="AE730" s="8" t="n">
        <v>8021</v>
      </c>
      <c r="AF730" s="8" t="n">
        <v>8881</v>
      </c>
      <c r="AG730" s="9" t="n">
        <v>34673</v>
      </c>
      <c r="AH730" s="10" t="n">
        <v>5888</v>
      </c>
      <c r="AI730" s="10" t="n">
        <v>8058</v>
      </c>
      <c r="AJ730" s="11" t="n">
        <v>35649</v>
      </c>
      <c r="AK730" s="12" t="n">
        <v>5234</v>
      </c>
      <c r="AL730" s="12" t="n">
        <v>18028</v>
      </c>
      <c r="AM730" s="13" t="n">
        <v>2.8</v>
      </c>
      <c r="AN730" s="13" t="n">
        <v>-40.9</v>
      </c>
      <c r="AO730" s="13" t="n">
        <v>-11.1</v>
      </c>
      <c r="AP730" s="13" t="n">
        <v>-74.40000000000001</v>
      </c>
    </row>
    <row r="731">
      <c r="A731" s="5" t="inlineStr">
        <is>
          <t>디지틀조선</t>
        </is>
      </c>
      <c r="B731" s="6" t="inlineStr">
        <is>
          <t>033130</t>
        </is>
      </c>
      <c r="C731" s="6" t="inlineStr">
        <is>
          <t>연결</t>
        </is>
      </c>
      <c r="D731" s="6" t="inlineStr">
        <is>
          <t>2026Q2</t>
        </is>
      </c>
      <c r="E731" s="6" t="inlineStr"/>
      <c r="F731" s="7" t="inlineStr"/>
      <c r="G731" s="8" t="inlineStr"/>
      <c r="H731" s="8" t="inlineStr"/>
      <c r="I731" s="9" t="n">
        <v>8486</v>
      </c>
      <c r="J731" s="10" t="n">
        <v>-283</v>
      </c>
      <c r="K731" s="10" t="n">
        <v>461</v>
      </c>
      <c r="L731" s="7" t="n">
        <v>9050</v>
      </c>
      <c r="M731" s="8" t="n">
        <v>950</v>
      </c>
      <c r="N731" s="8" t="n">
        <v>994</v>
      </c>
      <c r="O731" s="9" t="n">
        <v>9319</v>
      </c>
      <c r="P731" s="10" t="n">
        <v>869</v>
      </c>
      <c r="Q731" s="10" t="n">
        <v>1130</v>
      </c>
      <c r="R731" s="7" t="n">
        <v>10100</v>
      </c>
      <c r="S731" s="8" t="n">
        <v>829</v>
      </c>
      <c r="T731" s="8" t="n">
        <v>1170</v>
      </c>
      <c r="U731" s="9" t="n">
        <v>8217</v>
      </c>
      <c r="V731" s="10" t="n">
        <v>-1013</v>
      </c>
      <c r="W731" s="10" t="n">
        <v>-404</v>
      </c>
      <c r="X731" s="7" t="n">
        <v>10114</v>
      </c>
      <c r="Y731" s="8" t="n">
        <v>2090</v>
      </c>
      <c r="Z731" s="8" t="n">
        <v>1595</v>
      </c>
      <c r="AA731" s="9" t="n">
        <v>10012</v>
      </c>
      <c r="AB731" s="10" t="n">
        <v>2197</v>
      </c>
      <c r="AC731" s="10" t="n">
        <v>1938</v>
      </c>
      <c r="AD731" s="7" t="n">
        <v>11559</v>
      </c>
      <c r="AE731" s="8" t="n">
        <v>2235</v>
      </c>
      <c r="AF731" s="8" t="n">
        <v>2285</v>
      </c>
      <c r="AG731" s="9" t="n">
        <v>10257</v>
      </c>
      <c r="AH731" s="10" t="n">
        <v>2383</v>
      </c>
      <c r="AI731" s="10" t="n">
        <v>2180</v>
      </c>
      <c r="AJ731" s="11" t="n">
        <v>11216</v>
      </c>
      <c r="AK731" s="12" t="n">
        <v>3750</v>
      </c>
      <c r="AL731" s="12" t="n">
        <v>3222</v>
      </c>
      <c r="AM731" s="13" t="n">
        <v>9.300000000000001</v>
      </c>
      <c r="AN731" s="13" t="n">
        <v>10.9</v>
      </c>
      <c r="AO731" s="13" t="n">
        <v>57.4</v>
      </c>
      <c r="AP731" s="13" t="n">
        <v>79.40000000000001</v>
      </c>
    </row>
    <row r="732">
      <c r="A732" s="5" t="inlineStr">
        <is>
          <t>엠케이전자</t>
        </is>
      </c>
      <c r="B732" s="6" t="inlineStr">
        <is>
          <t>033160</t>
        </is>
      </c>
      <c r="C732" s="6" t="inlineStr">
        <is>
          <t>연결</t>
        </is>
      </c>
      <c r="D732" s="6" t="inlineStr">
        <is>
          <t>2026Q2</t>
        </is>
      </c>
      <c r="E732" s="6" t="inlineStr"/>
      <c r="F732" s="7" t="inlineStr"/>
      <c r="G732" s="8" t="inlineStr"/>
      <c r="H732" s="8" t="inlineStr"/>
      <c r="I732" s="9" t="n">
        <v>272003</v>
      </c>
      <c r="J732" s="10" t="n">
        <v>8707</v>
      </c>
      <c r="K732" s="10" t="n">
        <v>-6187</v>
      </c>
      <c r="L732" s="7" t="n">
        <v>295142</v>
      </c>
      <c r="M732" s="8" t="n">
        <v>21259</v>
      </c>
      <c r="N732" s="8" t="n">
        <v>-19172</v>
      </c>
      <c r="O732" s="9" t="n">
        <v>267906</v>
      </c>
      <c r="P732" s="10" t="n">
        <v>4873</v>
      </c>
      <c r="Q732" s="10" t="n">
        <v>4249</v>
      </c>
      <c r="R732" s="7" t="n">
        <v>335549</v>
      </c>
      <c r="S732" s="8" t="n">
        <v>21237</v>
      </c>
      <c r="T732" s="8" t="n">
        <v>-16587</v>
      </c>
      <c r="U732" s="9" t="n">
        <v>283652</v>
      </c>
      <c r="V732" s="10" t="n">
        <v>-1148</v>
      </c>
      <c r="W732" s="10" t="n">
        <v>5463</v>
      </c>
      <c r="X732" s="7" t="n">
        <v>336132</v>
      </c>
      <c r="Y732" s="8" t="n">
        <v>11766</v>
      </c>
      <c r="Z732" s="8" t="n">
        <v>6268</v>
      </c>
      <c r="AA732" s="9" t="n">
        <v>376944</v>
      </c>
      <c r="AB732" s="10" t="n">
        <v>-6429</v>
      </c>
      <c r="AC732" s="10" t="n">
        <v>-7929</v>
      </c>
      <c r="AD732" s="7" t="n">
        <v>407095</v>
      </c>
      <c r="AE732" s="8" t="n">
        <v>9997</v>
      </c>
      <c r="AF732" s="8" t="n">
        <v>9963</v>
      </c>
      <c r="AG732" s="9" t="n">
        <v>450123</v>
      </c>
      <c r="AH732" s="10" t="n">
        <v>15149</v>
      </c>
      <c r="AI732" s="10" t="n">
        <v>11513</v>
      </c>
      <c r="AJ732" s="11" t="n">
        <v>488955</v>
      </c>
      <c r="AK732" s="12" t="n">
        <v>25238</v>
      </c>
      <c r="AL732" s="12" t="n">
        <v>33225</v>
      </c>
      <c r="AM732" s="13" t="n">
        <v>8.6</v>
      </c>
      <c r="AN732" s="13" t="n">
        <v>45.5</v>
      </c>
      <c r="AO732" s="13" t="n">
        <v>66.59999999999999</v>
      </c>
      <c r="AP732" s="13" t="n">
        <v>114.5</v>
      </c>
    </row>
    <row r="733">
      <c r="A733" s="5" t="inlineStr">
        <is>
          <t>시그네틱스</t>
        </is>
      </c>
      <c r="B733" s="6" t="inlineStr">
        <is>
          <t>033170</t>
        </is>
      </c>
      <c r="C733" s="6" t="inlineStr">
        <is>
          <t>연결</t>
        </is>
      </c>
      <c r="D733" s="6" t="inlineStr">
        <is>
          <t>2026Q2</t>
        </is>
      </c>
      <c r="E733" s="6" t="inlineStr"/>
      <c r="F733" s="7" t="inlineStr"/>
      <c r="G733" s="8" t="inlineStr"/>
      <c r="H733" s="8" t="inlineStr"/>
      <c r="I733" s="9" t="n">
        <v>34507</v>
      </c>
      <c r="J733" s="10" t="n">
        <v>-5443</v>
      </c>
      <c r="K733" s="10" t="n">
        <v>-5477</v>
      </c>
      <c r="L733" s="7" t="n">
        <v>31475</v>
      </c>
      <c r="M733" s="8" t="n">
        <v>-5931</v>
      </c>
      <c r="N733" s="8" t="n">
        <v>-5279</v>
      </c>
      <c r="O733" s="9" t="n">
        <v>25659</v>
      </c>
      <c r="P733" s="10" t="n">
        <v>-7577</v>
      </c>
      <c r="Q733" s="10" t="n">
        <v>-7620</v>
      </c>
      <c r="R733" s="7" t="n">
        <v>26510</v>
      </c>
      <c r="S733" s="8" t="n">
        <v>-6883</v>
      </c>
      <c r="T733" s="8" t="n">
        <v>-32544</v>
      </c>
      <c r="U733" s="9" t="n">
        <v>25057</v>
      </c>
      <c r="V733" s="10" t="n">
        <v>-13010</v>
      </c>
      <c r="W733" s="10" t="n">
        <v>-11078</v>
      </c>
      <c r="X733" s="7" t="n">
        <v>26540</v>
      </c>
      <c r="Y733" s="8" t="n">
        <v>-3034</v>
      </c>
      <c r="Z733" s="8" t="n">
        <v>-2796</v>
      </c>
      <c r="AA733" s="9" t="n">
        <v>25758</v>
      </c>
      <c r="AB733" s="10" t="n">
        <v>-3988</v>
      </c>
      <c r="AC733" s="10" t="n">
        <v>-3868</v>
      </c>
      <c r="AD733" s="7" t="n">
        <v>25692</v>
      </c>
      <c r="AE733" s="8" t="n">
        <v>-3800</v>
      </c>
      <c r="AF733" s="8" t="n">
        <v>-566</v>
      </c>
      <c r="AG733" s="9" t="n">
        <v>26533</v>
      </c>
      <c r="AH733" s="10" t="n">
        <v>-1976</v>
      </c>
      <c r="AI733" s="10" t="n">
        <v>-3198</v>
      </c>
      <c r="AJ733" s="11" t="n">
        <v>33513</v>
      </c>
      <c r="AK733" s="12" t="n">
        <v>-461</v>
      </c>
      <c r="AL733" s="12" t="n">
        <v>-526</v>
      </c>
      <c r="AM733" s="13" t="n">
        <v>26.3</v>
      </c>
      <c r="AN733" s="13" t="n">
        <v>26.3</v>
      </c>
      <c r="AO733" s="13" t="n">
        <v>76.7</v>
      </c>
      <c r="AP733" s="13" t="n">
        <v>84.8</v>
      </c>
    </row>
    <row r="734">
      <c r="A734" s="5" t="inlineStr">
        <is>
          <t>모아텍</t>
        </is>
      </c>
      <c r="B734" s="6" t="inlineStr">
        <is>
          <t>033200</t>
        </is>
      </c>
      <c r="C734" s="6" t="inlineStr">
        <is>
          <t>연결</t>
        </is>
      </c>
      <c r="D734" s="6" t="inlineStr">
        <is>
          <t>2026Q1</t>
        </is>
      </c>
      <c r="E734" s="6" t="inlineStr"/>
      <c r="F734" s="7" t="inlineStr"/>
      <c r="G734" s="8" t="inlineStr"/>
      <c r="H734" s="8" t="inlineStr"/>
      <c r="I734" s="9" t="n">
        <v>7493</v>
      </c>
      <c r="J734" s="10" t="n">
        <v>-598</v>
      </c>
      <c r="K734" s="10" t="n">
        <v>-231</v>
      </c>
      <c r="L734" s="7" t="n">
        <v>8035</v>
      </c>
      <c r="M734" s="8" t="n">
        <v>-646</v>
      </c>
      <c r="N734" s="8" t="n">
        <v>-434</v>
      </c>
      <c r="O734" s="9" t="n">
        <v>7552</v>
      </c>
      <c r="P734" s="10" t="n">
        <v>-834</v>
      </c>
      <c r="Q734" s="10" t="n">
        <v>-447</v>
      </c>
      <c r="R734" s="7" t="n">
        <v>7504</v>
      </c>
      <c r="S734" s="8" t="n">
        <v>-92</v>
      </c>
      <c r="T734" s="8" t="n">
        <v>1180</v>
      </c>
      <c r="U734" s="9" t="n">
        <v>10516</v>
      </c>
      <c r="V734" s="10" t="n">
        <v>-436</v>
      </c>
      <c r="W734" s="10" t="n">
        <v>-71</v>
      </c>
      <c r="X734" s="7" t="n">
        <v>10116</v>
      </c>
      <c r="Y734" s="8" t="n">
        <v>-555</v>
      </c>
      <c r="Z734" s="8" t="n">
        <v>-191</v>
      </c>
      <c r="AA734" s="9" t="n">
        <v>9928</v>
      </c>
      <c r="AB734" s="10" t="n">
        <v>-448</v>
      </c>
      <c r="AC734" s="10" t="n">
        <v>-333</v>
      </c>
      <c r="AD734" s="7" t="n">
        <v>941</v>
      </c>
      <c r="AE734" s="8" t="n">
        <v>-1719</v>
      </c>
      <c r="AF734" s="8" t="n">
        <v>-1377</v>
      </c>
      <c r="AG734" s="9" t="n">
        <v>14420</v>
      </c>
      <c r="AH734" s="10" t="n">
        <v>-130</v>
      </c>
      <c r="AI734" s="10" t="n">
        <v>1</v>
      </c>
      <c r="AJ734" s="11" t="inlineStr"/>
      <c r="AK734" s="12" t="inlineStr"/>
      <c r="AL734" s="12" t="inlineStr"/>
      <c r="AM734" s="13" t="inlineStr"/>
      <c r="AN734" s="13" t="inlineStr"/>
      <c r="AO734" s="13" t="inlineStr"/>
      <c r="AP734" s="13" t="inlineStr"/>
    </row>
    <row r="735">
      <c r="A735" s="5" t="inlineStr">
        <is>
          <t>인성정보</t>
        </is>
      </c>
      <c r="B735" s="6" t="inlineStr">
        <is>
          <t>033230</t>
        </is>
      </c>
      <c r="C735" s="6" t="inlineStr">
        <is>
          <t>연결</t>
        </is>
      </c>
      <c r="D735" s="6" t="inlineStr">
        <is>
          <t>2026Q2</t>
        </is>
      </c>
      <c r="E735" s="6" t="inlineStr"/>
      <c r="F735" s="7" t="inlineStr"/>
      <c r="G735" s="8" t="inlineStr"/>
      <c r="H735" s="8" t="inlineStr"/>
      <c r="I735" s="9" t="n">
        <v>73819</v>
      </c>
      <c r="J735" s="10" t="n">
        <v>-2610</v>
      </c>
      <c r="K735" s="10" t="n">
        <v>-3835</v>
      </c>
      <c r="L735" s="7" t="n">
        <v>83791</v>
      </c>
      <c r="M735" s="8" t="n">
        <v>-1718</v>
      </c>
      <c r="N735" s="8" t="n">
        <v>-2750</v>
      </c>
      <c r="O735" s="9" t="n">
        <v>84973</v>
      </c>
      <c r="P735" s="10" t="n">
        <v>145</v>
      </c>
      <c r="Q735" s="10" t="n">
        <v>-1558</v>
      </c>
      <c r="R735" s="7" t="n">
        <v>117004</v>
      </c>
      <c r="S735" s="8" t="n">
        <v>-563</v>
      </c>
      <c r="T735" s="8" t="n">
        <v>-1265</v>
      </c>
      <c r="U735" s="9" t="n">
        <v>60990</v>
      </c>
      <c r="V735" s="10" t="n">
        <v>-3633</v>
      </c>
      <c r="W735" s="10" t="n">
        <v>-3785</v>
      </c>
      <c r="X735" s="7" t="n">
        <v>75158</v>
      </c>
      <c r="Y735" s="8" t="n">
        <v>-3612</v>
      </c>
      <c r="Z735" s="8" t="n">
        <v>-3868</v>
      </c>
      <c r="AA735" s="9" t="n">
        <v>80534</v>
      </c>
      <c r="AB735" s="10" t="n">
        <v>-252</v>
      </c>
      <c r="AC735" s="10" t="n">
        <v>-361</v>
      </c>
      <c r="AD735" s="7" t="n">
        <v>126056</v>
      </c>
      <c r="AE735" s="8" t="n">
        <v>3220</v>
      </c>
      <c r="AF735" s="8" t="n">
        <v>2903</v>
      </c>
      <c r="AG735" s="9" t="n">
        <v>74575</v>
      </c>
      <c r="AH735" s="10" t="n">
        <v>-1976</v>
      </c>
      <c r="AI735" s="10" t="n">
        <v>-1772</v>
      </c>
      <c r="AJ735" s="11" t="n">
        <v>99991</v>
      </c>
      <c r="AK735" s="12" t="n">
        <v>869</v>
      </c>
      <c r="AL735" s="12" t="n">
        <v>3024</v>
      </c>
      <c r="AM735" s="13" t="n">
        <v>34.1</v>
      </c>
      <c r="AN735" s="13" t="n">
        <v>33</v>
      </c>
      <c r="AO735" s="13" t="n">
        <v>144</v>
      </c>
      <c r="AP735" s="13" t="n">
        <v>124.1</v>
      </c>
    </row>
    <row r="736">
      <c r="A736" s="5" t="inlineStr">
        <is>
          <t>자화전자</t>
        </is>
      </c>
      <c r="B736" s="6" t="inlineStr">
        <is>
          <t>033240</t>
        </is>
      </c>
      <c r="C736" s="6" t="inlineStr">
        <is>
          <t>연결</t>
        </is>
      </c>
      <c r="D736" s="6" t="inlineStr">
        <is>
          <t>2026Q2</t>
        </is>
      </c>
      <c r="E736" s="6" t="inlineStr"/>
      <c r="F736" s="7" t="inlineStr"/>
      <c r="G736" s="8" t="inlineStr"/>
      <c r="H736" s="8" t="inlineStr"/>
      <c r="I736" s="9" t="n">
        <v>183576</v>
      </c>
      <c r="J736" s="10" t="n">
        <v>17780</v>
      </c>
      <c r="K736" s="10" t="n">
        <v>11551</v>
      </c>
      <c r="L736" s="7" t="n">
        <v>131259</v>
      </c>
      <c r="M736" s="8" t="n">
        <v>6802</v>
      </c>
      <c r="N736" s="8" t="n">
        <v>732</v>
      </c>
      <c r="O736" s="9" t="n">
        <v>177552</v>
      </c>
      <c r="P736" s="10" t="n">
        <v>6499</v>
      </c>
      <c r="Q736" s="10" t="n">
        <v>-202</v>
      </c>
      <c r="R736" s="7" t="n">
        <v>188758</v>
      </c>
      <c r="S736" s="8" t="n">
        <v>13880</v>
      </c>
      <c r="T736" s="8" t="n">
        <v>4538</v>
      </c>
      <c r="U736" s="9" t="n">
        <v>161203</v>
      </c>
      <c r="V736" s="10" t="n">
        <v>5040</v>
      </c>
      <c r="W736" s="10" t="n">
        <v>5131</v>
      </c>
      <c r="X736" s="7" t="n">
        <v>167831</v>
      </c>
      <c r="Y736" s="8" t="n">
        <v>-9200</v>
      </c>
      <c r="Z736" s="8" t="n">
        <v>-16128</v>
      </c>
      <c r="AA736" s="9" t="n">
        <v>255905</v>
      </c>
      <c r="AB736" s="10" t="n">
        <v>19423</v>
      </c>
      <c r="AC736" s="10" t="n">
        <v>23944</v>
      </c>
      <c r="AD736" s="7" t="n">
        <v>263981</v>
      </c>
      <c r="AE736" s="8" t="n">
        <v>26734</v>
      </c>
      <c r="AF736" s="8" t="n">
        <v>34184</v>
      </c>
      <c r="AG736" s="9" t="n">
        <v>260684</v>
      </c>
      <c r="AH736" s="10" t="n">
        <v>24646</v>
      </c>
      <c r="AI736" s="10" t="n">
        <v>36595</v>
      </c>
      <c r="AJ736" s="11" t="n">
        <v>235194</v>
      </c>
      <c r="AK736" s="12" t="n">
        <v>22450</v>
      </c>
      <c r="AL736" s="12" t="n">
        <v>17462</v>
      </c>
      <c r="AM736" s="13" t="n">
        <v>-9.800000000000001</v>
      </c>
      <c r="AN736" s="13" t="n">
        <v>40.1</v>
      </c>
      <c r="AO736" s="13" t="n">
        <v>-8.9</v>
      </c>
      <c r="AP736" s="13" t="n">
        <v>344</v>
      </c>
    </row>
    <row r="737">
      <c r="A737" s="5" t="inlineStr">
        <is>
          <t>체시스</t>
        </is>
      </c>
      <c r="B737" s="6" t="inlineStr">
        <is>
          <t>033250</t>
        </is>
      </c>
      <c r="C737" s="6" t="inlineStr">
        <is>
          <t>연결</t>
        </is>
      </c>
      <c r="D737" s="6" t="inlineStr">
        <is>
          <t>2026Q2</t>
        </is>
      </c>
      <c r="E737" s="6" t="inlineStr"/>
      <c r="F737" s="7" t="inlineStr"/>
      <c r="G737" s="8" t="inlineStr"/>
      <c r="H737" s="8" t="inlineStr"/>
      <c r="I737" s="9" t="n">
        <v>21641</v>
      </c>
      <c r="J737" s="10" t="n">
        <v>1334</v>
      </c>
      <c r="K737" s="10" t="n">
        <v>1591</v>
      </c>
      <c r="L737" s="7" t="n">
        <v>24316</v>
      </c>
      <c r="M737" s="8" t="n">
        <v>1898</v>
      </c>
      <c r="N737" s="8" t="n">
        <v>2180</v>
      </c>
      <c r="O737" s="9" t="n">
        <v>18136</v>
      </c>
      <c r="P737" s="10" t="n">
        <v>-1078</v>
      </c>
      <c r="Q737" s="10" t="n">
        <v>-2596</v>
      </c>
      <c r="R737" s="7" t="n">
        <v>26170</v>
      </c>
      <c r="S737" s="8" t="n">
        <v>2522</v>
      </c>
      <c r="T737" s="8" t="n">
        <v>4899</v>
      </c>
      <c r="U737" s="9" t="n">
        <v>24435</v>
      </c>
      <c r="V737" s="10" t="n">
        <v>2452</v>
      </c>
      <c r="W737" s="10" t="n">
        <v>2393</v>
      </c>
      <c r="X737" s="7" t="n">
        <v>26424</v>
      </c>
      <c r="Y737" s="8" t="n">
        <v>2425</v>
      </c>
      <c r="Z737" s="8" t="n">
        <v>1308</v>
      </c>
      <c r="AA737" s="9" t="n">
        <v>18580</v>
      </c>
      <c r="AB737" s="10" t="n">
        <v>502</v>
      </c>
      <c r="AC737" s="10" t="n">
        <v>183</v>
      </c>
      <c r="AD737" s="7" t="n">
        <v>24400</v>
      </c>
      <c r="AE737" s="8" t="n">
        <v>2149</v>
      </c>
      <c r="AF737" s="8" t="n">
        <v>2417</v>
      </c>
      <c r="AG737" s="9" t="n">
        <v>24576</v>
      </c>
      <c r="AH737" s="10" t="n">
        <v>1441</v>
      </c>
      <c r="AI737" s="10" t="n">
        <v>2185</v>
      </c>
      <c r="AJ737" s="11" t="n">
        <v>26657</v>
      </c>
      <c r="AK737" s="12" t="n">
        <v>1484</v>
      </c>
      <c r="AL737" s="12" t="n">
        <v>1897</v>
      </c>
      <c r="AM737" s="13" t="n">
        <v>8.5</v>
      </c>
      <c r="AN737" s="13" t="n">
        <v>0.9</v>
      </c>
      <c r="AO737" s="13" t="n">
        <v>3</v>
      </c>
      <c r="AP737" s="13" t="n">
        <v>-38.8</v>
      </c>
    </row>
    <row r="738">
      <c r="A738" s="5" t="inlineStr">
        <is>
          <t>유나이티드</t>
        </is>
      </c>
      <c r="B738" s="6" t="inlineStr">
        <is>
          <t>033270</t>
        </is>
      </c>
      <c r="C738" s="6" t="inlineStr">
        <is>
          <t>별도</t>
        </is>
      </c>
      <c r="D738" s="6" t="inlineStr">
        <is>
          <t>2026Q2</t>
        </is>
      </c>
      <c r="E738" s="6" t="inlineStr"/>
      <c r="F738" s="7" t="inlineStr"/>
      <c r="G738" s="8" t="inlineStr"/>
      <c r="H738" s="8" t="inlineStr"/>
      <c r="I738" s="9" t="n">
        <v>73173</v>
      </c>
      <c r="J738" s="10" t="n">
        <v>16867</v>
      </c>
      <c r="K738" s="10" t="n">
        <v>19187</v>
      </c>
      <c r="L738" s="7" t="n">
        <v>70994</v>
      </c>
      <c r="M738" s="8" t="n">
        <v>12530</v>
      </c>
      <c r="N738" s="8" t="n">
        <v>-6386</v>
      </c>
      <c r="O738" s="9" t="n">
        <v>71356</v>
      </c>
      <c r="P738" s="10" t="n">
        <v>15055</v>
      </c>
      <c r="Q738" s="10" t="n">
        <v>5252</v>
      </c>
      <c r="R738" s="7" t="n">
        <v>73184</v>
      </c>
      <c r="S738" s="8" t="n">
        <v>11831</v>
      </c>
      <c r="T738" s="8" t="n">
        <v>14400</v>
      </c>
      <c r="U738" s="9" t="n">
        <v>71348</v>
      </c>
      <c r="V738" s="10" t="n">
        <v>13776</v>
      </c>
      <c r="W738" s="10" t="n">
        <v>12656</v>
      </c>
      <c r="X738" s="7" t="n">
        <v>70374</v>
      </c>
      <c r="Y738" s="8" t="n">
        <v>10759</v>
      </c>
      <c r="Z738" s="8" t="n">
        <v>1180</v>
      </c>
      <c r="AA738" s="9" t="n">
        <v>74393</v>
      </c>
      <c r="AB738" s="10" t="n">
        <v>12510</v>
      </c>
      <c r="AC738" s="10" t="n">
        <v>13544</v>
      </c>
      <c r="AD738" s="7" t="n">
        <v>72650</v>
      </c>
      <c r="AE738" s="8" t="n">
        <v>12540</v>
      </c>
      <c r="AF738" s="8" t="n">
        <v>10928</v>
      </c>
      <c r="AG738" s="9" t="n">
        <v>73817</v>
      </c>
      <c r="AH738" s="10" t="n">
        <v>11256</v>
      </c>
      <c r="AI738" s="10" t="n">
        <v>13984</v>
      </c>
      <c r="AJ738" s="11" t="n">
        <v>77221</v>
      </c>
      <c r="AK738" s="12" t="n">
        <v>13298</v>
      </c>
      <c r="AL738" s="12" t="n">
        <v>37706</v>
      </c>
      <c r="AM738" s="13" t="n">
        <v>4.6</v>
      </c>
      <c r="AN738" s="13" t="n">
        <v>9.699999999999999</v>
      </c>
      <c r="AO738" s="13" t="n">
        <v>18.1</v>
      </c>
      <c r="AP738" s="13" t="n">
        <v>23.6</v>
      </c>
    </row>
    <row r="739">
      <c r="A739" s="5" t="inlineStr">
        <is>
          <t>로젠</t>
        </is>
      </c>
      <c r="B739" s="6" t="inlineStr">
        <is>
          <t>033290</t>
        </is>
      </c>
      <c r="C739" s="6" t="inlineStr">
        <is>
          <t>연결</t>
        </is>
      </c>
      <c r="D739" s="6" t="inlineStr">
        <is>
          <t>2026Q2</t>
        </is>
      </c>
      <c r="E739" s="6" t="inlineStr"/>
      <c r="F739" s="7" t="inlineStr"/>
      <c r="G739" s="8" t="inlineStr"/>
      <c r="H739" s="8" t="inlineStr"/>
      <c r="I739" s="9" t="n">
        <v>197991</v>
      </c>
      <c r="J739" s="10" t="n">
        <v>9732</v>
      </c>
      <c r="K739" s="10" t="n">
        <v>5717</v>
      </c>
      <c r="L739" s="7" t="n">
        <v>197487</v>
      </c>
      <c r="M739" s="8" t="n">
        <v>9534</v>
      </c>
      <c r="N739" s="8" t="n">
        <v>3275</v>
      </c>
      <c r="O739" s="9" t="n">
        <v>194325</v>
      </c>
      <c r="P739" s="10" t="n">
        <v>6322</v>
      </c>
      <c r="Q739" s="10" t="n">
        <v>1548</v>
      </c>
      <c r="R739" s="7" t="n">
        <v>218824</v>
      </c>
      <c r="S739" s="8" t="n">
        <v>7493</v>
      </c>
      <c r="T739" s="8" t="n">
        <v>7888</v>
      </c>
      <c r="U739" s="9" t="n">
        <v>191077</v>
      </c>
      <c r="V739" s="10" t="n">
        <v>8347</v>
      </c>
      <c r="W739" s="10" t="n">
        <v>3796</v>
      </c>
      <c r="X739" s="7" t="n">
        <v>192759</v>
      </c>
      <c r="Y739" s="8" t="n">
        <v>7669</v>
      </c>
      <c r="Z739" s="8" t="n">
        <v>11106</v>
      </c>
      <c r="AA739" s="9" t="n">
        <v>201598</v>
      </c>
      <c r="AB739" s="10" t="n">
        <v>4296</v>
      </c>
      <c r="AC739" s="10" t="n">
        <v>-582</v>
      </c>
      <c r="AD739" s="7" t="n">
        <v>207734</v>
      </c>
      <c r="AE739" s="8" t="n">
        <v>2356</v>
      </c>
      <c r="AF739" s="8" t="n">
        <v>6370</v>
      </c>
      <c r="AG739" s="9" t="n">
        <v>192486</v>
      </c>
      <c r="AH739" s="10" t="n">
        <v>3024</v>
      </c>
      <c r="AI739" s="10" t="n">
        <v>97</v>
      </c>
      <c r="AJ739" s="11" t="n">
        <v>190148</v>
      </c>
      <c r="AK739" s="12" t="n">
        <v>2881</v>
      </c>
      <c r="AL739" s="12" t="n">
        <v>-1812</v>
      </c>
      <c r="AM739" s="13" t="n">
        <v>-1.2</v>
      </c>
      <c r="AN739" s="13" t="n">
        <v>-1.4</v>
      </c>
      <c r="AO739" s="13" t="n">
        <v>-4.7</v>
      </c>
      <c r="AP739" s="13" t="n">
        <v>-62.4</v>
      </c>
    </row>
    <row r="740">
      <c r="A740" s="5" t="inlineStr">
        <is>
          <t>엠투엔</t>
        </is>
      </c>
      <c r="B740" s="6" t="inlineStr">
        <is>
          <t>033310</t>
        </is>
      </c>
      <c r="C740" s="6" t="inlineStr">
        <is>
          <t>연결</t>
        </is>
      </c>
      <c r="D740" s="6" t="inlineStr">
        <is>
          <t>2026Q2</t>
        </is>
      </c>
      <c r="E740" s="6" t="inlineStr"/>
      <c r="F740" s="7" t="inlineStr"/>
      <c r="G740" s="8" t="inlineStr"/>
      <c r="H740" s="8" t="inlineStr"/>
      <c r="I740" s="9" t="n">
        <v>23307</v>
      </c>
      <c r="J740" s="10" t="n">
        <v>1256</v>
      </c>
      <c r="K740" s="10" t="n">
        <v>-450</v>
      </c>
      <c r="L740" s="7" t="n">
        <v>24157</v>
      </c>
      <c r="M740" s="8" t="n">
        <v>1728</v>
      </c>
      <c r="N740" s="8" t="n">
        <v>5127</v>
      </c>
      <c r="O740" s="9" t="n">
        <v>22013</v>
      </c>
      <c r="P740" s="10" t="n">
        <v>769</v>
      </c>
      <c r="Q740" s="10" t="n">
        <v>-491</v>
      </c>
      <c r="R740" s="7" t="n">
        <v>21733</v>
      </c>
      <c r="S740" s="8" t="n">
        <v>-9</v>
      </c>
      <c r="T740" s="8" t="n">
        <v>-671</v>
      </c>
      <c r="U740" s="9" t="n">
        <v>21577</v>
      </c>
      <c r="V740" s="10" t="n">
        <v>768</v>
      </c>
      <c r="W740" s="10" t="n">
        <v>-1604</v>
      </c>
      <c r="X740" s="7" t="n">
        <v>24159</v>
      </c>
      <c r="Y740" s="8" t="n">
        <v>1510</v>
      </c>
      <c r="Z740" s="8" t="n">
        <v>2349</v>
      </c>
      <c r="AA740" s="9" t="n">
        <v>21518</v>
      </c>
      <c r="AB740" s="10" t="n">
        <v>1062</v>
      </c>
      <c r="AC740" s="10" t="n">
        <v>-185</v>
      </c>
      <c r="AD740" s="7" t="n">
        <v>19296</v>
      </c>
      <c r="AE740" s="8" t="n">
        <v>-572</v>
      </c>
      <c r="AF740" s="8" t="n">
        <v>-1156</v>
      </c>
      <c r="AG740" s="9" t="n">
        <v>21935</v>
      </c>
      <c r="AH740" s="10" t="n">
        <v>709</v>
      </c>
      <c r="AI740" s="10" t="n">
        <v>81</v>
      </c>
      <c r="AJ740" s="11" t="n">
        <v>22849</v>
      </c>
      <c r="AK740" s="12" t="n">
        <v>659</v>
      </c>
      <c r="AL740" s="12" t="n">
        <v>4279</v>
      </c>
      <c r="AM740" s="13" t="n">
        <v>4.2</v>
      </c>
      <c r="AN740" s="13" t="n">
        <v>-5.4</v>
      </c>
      <c r="AO740" s="13" t="n">
        <v>-7.1</v>
      </c>
      <c r="AP740" s="13" t="n">
        <v>-56.4</v>
      </c>
    </row>
    <row r="741">
      <c r="A741" s="5" t="inlineStr">
        <is>
          <t>제이씨현시스템</t>
        </is>
      </c>
      <c r="B741" s="6" t="inlineStr">
        <is>
          <t>033320</t>
        </is>
      </c>
      <c r="C741" s="6" t="inlineStr">
        <is>
          <t>연결</t>
        </is>
      </c>
      <c r="D741" s="6" t="inlineStr">
        <is>
          <t>2026Q2</t>
        </is>
      </c>
      <c r="E741" s="6" t="inlineStr"/>
      <c r="F741" s="7" t="inlineStr"/>
      <c r="G741" s="8" t="inlineStr"/>
      <c r="H741" s="8" t="inlineStr"/>
      <c r="I741" s="9" t="n">
        <v>70974</v>
      </c>
      <c r="J741" s="10" t="n">
        <v>2490</v>
      </c>
      <c r="K741" s="10" t="n">
        <v>1989</v>
      </c>
      <c r="L741" s="7" t="n">
        <v>58609</v>
      </c>
      <c r="M741" s="8" t="n">
        <v>175</v>
      </c>
      <c r="N741" s="8" t="n">
        <v>91</v>
      </c>
      <c r="O741" s="9" t="n">
        <v>60880</v>
      </c>
      <c r="P741" s="10" t="n">
        <v>81</v>
      </c>
      <c r="Q741" s="10" t="n">
        <v>816</v>
      </c>
      <c r="R741" s="7" t="n">
        <v>73437</v>
      </c>
      <c r="S741" s="8" t="n">
        <v>897</v>
      </c>
      <c r="T741" s="8" t="n">
        <v>-820</v>
      </c>
      <c r="U741" s="9" t="n">
        <v>70585</v>
      </c>
      <c r="V741" s="10" t="n">
        <v>3933</v>
      </c>
      <c r="W741" s="10" t="n">
        <v>3632</v>
      </c>
      <c r="X741" s="7" t="n">
        <v>70507</v>
      </c>
      <c r="Y741" s="8" t="n">
        <v>266</v>
      </c>
      <c r="Z741" s="8" t="n">
        <v>2348</v>
      </c>
      <c r="AA741" s="9" t="n">
        <v>80490</v>
      </c>
      <c r="AB741" s="10" t="n">
        <v>841</v>
      </c>
      <c r="AC741" s="10" t="n">
        <v>462</v>
      </c>
      <c r="AD741" s="7" t="n">
        <v>92257</v>
      </c>
      <c r="AE741" s="8" t="n">
        <v>2660</v>
      </c>
      <c r="AF741" s="8" t="n">
        <v>2859</v>
      </c>
      <c r="AG741" s="9" t="n">
        <v>74273</v>
      </c>
      <c r="AH741" s="10" t="n">
        <v>3583</v>
      </c>
      <c r="AI741" s="10" t="n">
        <v>2813</v>
      </c>
      <c r="AJ741" s="11" t="n">
        <v>75982</v>
      </c>
      <c r="AK741" s="12" t="n">
        <v>499</v>
      </c>
      <c r="AL741" s="12" t="n">
        <v>2250</v>
      </c>
      <c r="AM741" s="13" t="n">
        <v>2.3</v>
      </c>
      <c r="AN741" s="13" t="n">
        <v>7.8</v>
      </c>
      <c r="AO741" s="13" t="n">
        <v>-86.09999999999999</v>
      </c>
      <c r="AP741" s="13" t="n">
        <v>87.59999999999999</v>
      </c>
    </row>
    <row r="742">
      <c r="A742" s="5" t="inlineStr">
        <is>
          <t>좋은사람들</t>
        </is>
      </c>
      <c r="B742" s="6" t="inlineStr">
        <is>
          <t>033340</t>
        </is>
      </c>
      <c r="C742" s="6" t="inlineStr">
        <is>
          <t>연결</t>
        </is>
      </c>
      <c r="D742" s="6" t="inlineStr">
        <is>
          <t>2026Q2</t>
        </is>
      </c>
      <c r="E742" s="6" t="inlineStr"/>
      <c r="F742" s="7" t="inlineStr"/>
      <c r="G742" s="8" t="inlineStr"/>
      <c r="H742" s="8" t="inlineStr"/>
      <c r="I742" s="9" t="n">
        <v>19923</v>
      </c>
      <c r="J742" s="10" t="n">
        <v>711</v>
      </c>
      <c r="K742" s="10" t="n">
        <v>840</v>
      </c>
      <c r="L742" s="7" t="n">
        <v>24294</v>
      </c>
      <c r="M742" s="8" t="n">
        <v>961</v>
      </c>
      <c r="N742" s="8" t="n">
        <v>980</v>
      </c>
      <c r="O742" s="9" t="n">
        <v>23621</v>
      </c>
      <c r="P742" s="10" t="n">
        <v>243</v>
      </c>
      <c r="Q742" s="10" t="n">
        <v>465</v>
      </c>
      <c r="R742" s="7" t="n">
        <v>22346</v>
      </c>
      <c r="S742" s="8" t="n">
        <v>-618</v>
      </c>
      <c r="T742" s="8" t="n">
        <v>-1944</v>
      </c>
      <c r="U742" s="9" t="n">
        <v>15987</v>
      </c>
      <c r="V742" s="10" t="n">
        <v>-2242</v>
      </c>
      <c r="W742" s="10" t="n">
        <v>-2305</v>
      </c>
      <c r="X742" s="7" t="n">
        <v>20616</v>
      </c>
      <c r="Y742" s="8" t="n">
        <v>-973</v>
      </c>
      <c r="Z742" s="8" t="n">
        <v>-860</v>
      </c>
      <c r="AA742" s="9" t="n">
        <v>19795</v>
      </c>
      <c r="AB742" s="10" t="n">
        <v>-1377</v>
      </c>
      <c r="AC742" s="10" t="n">
        <v>-2156</v>
      </c>
      <c r="AD742" s="7" t="n">
        <v>16201</v>
      </c>
      <c r="AE742" s="8" t="n">
        <v>-1492</v>
      </c>
      <c r="AF742" s="8" t="n">
        <v>-8407</v>
      </c>
      <c r="AG742" s="9" t="n">
        <v>15320</v>
      </c>
      <c r="AH742" s="10" t="n">
        <v>-1455</v>
      </c>
      <c r="AI742" s="10" t="n">
        <v>-1483</v>
      </c>
      <c r="AJ742" s="11" t="n">
        <v>19390</v>
      </c>
      <c r="AK742" s="12" t="n">
        <v>-1796</v>
      </c>
      <c r="AL742" s="12" t="n">
        <v>-2003</v>
      </c>
      <c r="AM742" s="13" t="n">
        <v>26.6</v>
      </c>
      <c r="AN742" s="13" t="n">
        <v>-5.9</v>
      </c>
      <c r="AO742" s="13" t="n">
        <v>-23.4</v>
      </c>
      <c r="AP742" s="13" t="n">
        <v>-84.59999999999999</v>
      </c>
    </row>
    <row r="743">
      <c r="A743" s="5" t="inlineStr">
        <is>
          <t>동성화인텍</t>
        </is>
      </c>
      <c r="B743" s="6" t="inlineStr">
        <is>
          <t>033500</t>
        </is>
      </c>
      <c r="C743" s="6" t="inlineStr">
        <is>
          <t>연결</t>
        </is>
      </c>
      <c r="D743" s="6" t="inlineStr">
        <is>
          <t>2026Q2</t>
        </is>
      </c>
      <c r="E743" s="6" t="inlineStr"/>
      <c r="F743" s="7" t="inlineStr"/>
      <c r="G743" s="8" t="inlineStr"/>
      <c r="H743" s="8" t="inlineStr"/>
      <c r="I743" s="9" t="n">
        <v>137271</v>
      </c>
      <c r="J743" s="10" t="n">
        <v>10126</v>
      </c>
      <c r="K743" s="10" t="n">
        <v>8693</v>
      </c>
      <c r="L743" s="7" t="n">
        <v>137846</v>
      </c>
      <c r="M743" s="8" t="n">
        <v>12332</v>
      </c>
      <c r="N743" s="8" t="n">
        <v>3267</v>
      </c>
      <c r="O743" s="9" t="n">
        <v>136546</v>
      </c>
      <c r="P743" s="10" t="n">
        <v>11419</v>
      </c>
      <c r="Q743" s="10" t="n">
        <v>8702</v>
      </c>
      <c r="R743" s="7" t="n">
        <v>185747</v>
      </c>
      <c r="S743" s="8" t="n">
        <v>20112</v>
      </c>
      <c r="T743" s="8" t="n">
        <v>18681</v>
      </c>
      <c r="U743" s="9" t="n">
        <v>172366</v>
      </c>
      <c r="V743" s="10" t="n">
        <v>12533</v>
      </c>
      <c r="W743" s="10" t="n">
        <v>9025</v>
      </c>
      <c r="X743" s="7" t="n">
        <v>193322</v>
      </c>
      <c r="Y743" s="8" t="n">
        <v>16932</v>
      </c>
      <c r="Z743" s="8" t="n">
        <v>11028</v>
      </c>
      <c r="AA743" s="9" t="n">
        <v>201106</v>
      </c>
      <c r="AB743" s="10" t="n">
        <v>23510</v>
      </c>
      <c r="AC743" s="10" t="n">
        <v>20488</v>
      </c>
      <c r="AD743" s="7" t="n">
        <v>175392</v>
      </c>
      <c r="AE743" s="8" t="n">
        <v>19584</v>
      </c>
      <c r="AF743" s="8" t="n">
        <v>15342</v>
      </c>
      <c r="AG743" s="9" t="n">
        <v>169129</v>
      </c>
      <c r="AH743" s="10" t="n">
        <v>19854</v>
      </c>
      <c r="AI743" s="10" t="n">
        <v>17123</v>
      </c>
      <c r="AJ743" s="11" t="n">
        <v>224534</v>
      </c>
      <c r="AK743" s="12" t="n">
        <v>35940</v>
      </c>
      <c r="AL743" s="12" t="n">
        <v>26572</v>
      </c>
      <c r="AM743" s="13" t="n">
        <v>32.8</v>
      </c>
      <c r="AN743" s="13" t="n">
        <v>16.1</v>
      </c>
      <c r="AO743" s="13" t="n">
        <v>81</v>
      </c>
      <c r="AP743" s="13" t="n">
        <v>112.3</v>
      </c>
    </row>
    <row r="744">
      <c r="A744" s="5" t="inlineStr">
        <is>
          <t>SJG세종</t>
        </is>
      </c>
      <c r="B744" s="6" t="inlineStr">
        <is>
          <t>033530</t>
        </is>
      </c>
      <c r="C744" s="6" t="inlineStr">
        <is>
          <t>연결</t>
        </is>
      </c>
      <c r="D744" s="6" t="inlineStr">
        <is>
          <t>2026Q2</t>
        </is>
      </c>
      <c r="E744" s="6" t="inlineStr"/>
      <c r="F744" s="7" t="inlineStr"/>
      <c r="G744" s="8" t="inlineStr"/>
      <c r="H744" s="8" t="inlineStr"/>
      <c r="I744" s="9" t="n">
        <v>464830</v>
      </c>
      <c r="J744" s="10" t="n">
        <v>15693</v>
      </c>
      <c r="K744" s="10" t="n">
        <v>15452</v>
      </c>
      <c r="L744" s="7" t="n">
        <v>460942</v>
      </c>
      <c r="M744" s="8" t="n">
        <v>24014</v>
      </c>
      <c r="N744" s="8" t="n">
        <v>19584</v>
      </c>
      <c r="O744" s="9" t="n">
        <v>439866</v>
      </c>
      <c r="P744" s="10" t="n">
        <v>13784</v>
      </c>
      <c r="Q744" s="10" t="n">
        <v>656</v>
      </c>
      <c r="R744" s="7" t="n">
        <v>450957</v>
      </c>
      <c r="S744" s="8" t="n">
        <v>7121</v>
      </c>
      <c r="T744" s="8" t="n">
        <v>-1662</v>
      </c>
      <c r="U744" s="9" t="n">
        <v>453587</v>
      </c>
      <c r="V744" s="10" t="n">
        <v>22194</v>
      </c>
      <c r="W744" s="10" t="n">
        <v>23244</v>
      </c>
      <c r="X744" s="7" t="n">
        <v>481457</v>
      </c>
      <c r="Y744" s="8" t="n">
        <v>37208</v>
      </c>
      <c r="Z744" s="8" t="n">
        <v>22908</v>
      </c>
      <c r="AA744" s="9" t="n">
        <v>468771</v>
      </c>
      <c r="AB744" s="10" t="n">
        <v>24708</v>
      </c>
      <c r="AC744" s="10" t="n">
        <v>24328</v>
      </c>
      <c r="AD744" s="7" t="n">
        <v>493068</v>
      </c>
      <c r="AE744" s="8" t="n">
        <v>1285</v>
      </c>
      <c r="AF744" s="8" t="n">
        <v>-1793</v>
      </c>
      <c r="AG744" s="9" t="n">
        <v>484788</v>
      </c>
      <c r="AH744" s="10" t="n">
        <v>36249</v>
      </c>
      <c r="AI744" s="10" t="n">
        <v>38764</v>
      </c>
      <c r="AJ744" s="11" t="n">
        <v>524581</v>
      </c>
      <c r="AK744" s="12" t="n">
        <v>34025</v>
      </c>
      <c r="AL744" s="12" t="n">
        <v>33486</v>
      </c>
      <c r="AM744" s="13" t="n">
        <v>8.199999999999999</v>
      </c>
      <c r="AN744" s="13" t="n">
        <v>9</v>
      </c>
      <c r="AO744" s="13" t="n">
        <v>-6.1</v>
      </c>
      <c r="AP744" s="13" t="n">
        <v>-8.6</v>
      </c>
    </row>
    <row r="745">
      <c r="A745" s="5" t="inlineStr">
        <is>
          <t>파라텍</t>
        </is>
      </c>
      <c r="B745" s="6" t="inlineStr">
        <is>
          <t>033540</t>
        </is>
      </c>
      <c r="C745" s="6" t="inlineStr">
        <is>
          <t>연결</t>
        </is>
      </c>
      <c r="D745" s="6" t="inlineStr">
        <is>
          <t>2026Q2</t>
        </is>
      </c>
      <c r="E745" s="6" t="inlineStr"/>
      <c r="F745" s="7" t="inlineStr"/>
      <c r="G745" s="8" t="inlineStr"/>
      <c r="H745" s="8" t="inlineStr"/>
      <c r="I745" s="9" t="n">
        <v>69435</v>
      </c>
      <c r="J745" s="10" t="n">
        <v>1939</v>
      </c>
      <c r="K745" s="10" t="n">
        <v>1228</v>
      </c>
      <c r="L745" s="7" t="n">
        <v>75375</v>
      </c>
      <c r="M745" s="8" t="n">
        <v>1094</v>
      </c>
      <c r="N745" s="8" t="n">
        <v>214</v>
      </c>
      <c r="O745" s="9" t="n">
        <v>69984</v>
      </c>
      <c r="P745" s="10" t="n">
        <v>725</v>
      </c>
      <c r="Q745" s="10" t="n">
        <v>236</v>
      </c>
      <c r="R745" s="7" t="n">
        <v>63221</v>
      </c>
      <c r="S745" s="8" t="n">
        <v>-43</v>
      </c>
      <c r="T745" s="8" t="n">
        <v>-5</v>
      </c>
      <c r="U745" s="9" t="n">
        <v>47672</v>
      </c>
      <c r="V745" s="10" t="n">
        <v>-1829</v>
      </c>
      <c r="W745" s="10" t="n">
        <v>-2424</v>
      </c>
      <c r="X745" s="7" t="n">
        <v>44084</v>
      </c>
      <c r="Y745" s="8" t="n">
        <v>209</v>
      </c>
      <c r="Z745" s="8" t="n">
        <v>-1113</v>
      </c>
      <c r="AA745" s="9" t="n">
        <v>43309</v>
      </c>
      <c r="AB745" s="10" t="n">
        <v>-4996</v>
      </c>
      <c r="AC745" s="10" t="n">
        <v>-4890</v>
      </c>
      <c r="AD745" s="7" t="n">
        <v>38865</v>
      </c>
      <c r="AE745" s="8" t="n">
        <v>-7126</v>
      </c>
      <c r="AF745" s="8" t="n">
        <v>-13540</v>
      </c>
      <c r="AG745" s="9" t="n">
        <v>27202</v>
      </c>
      <c r="AH745" s="10" t="n">
        <v>-6158</v>
      </c>
      <c r="AI745" s="10" t="n">
        <v>-5495</v>
      </c>
      <c r="AJ745" s="11" t="n">
        <v>26030</v>
      </c>
      <c r="AK745" s="12" t="n">
        <v>-1127</v>
      </c>
      <c r="AL745" s="12" t="n">
        <v>-1484</v>
      </c>
      <c r="AM745" s="13" t="n">
        <v>-4.3</v>
      </c>
      <c r="AN745" s="13" t="n">
        <v>-41</v>
      </c>
      <c r="AO745" s="13" t="n">
        <v>81.7</v>
      </c>
      <c r="AP745" s="13" t="n">
        <v>-639.2</v>
      </c>
    </row>
    <row r="746">
      <c r="A746" s="5" t="inlineStr">
        <is>
          <t>블루콤</t>
        </is>
      </c>
      <c r="B746" s="6" t="inlineStr">
        <is>
          <t>033560</t>
        </is>
      </c>
      <c r="C746" s="6" t="inlineStr">
        <is>
          <t>연결</t>
        </is>
      </c>
      <c r="D746" s="6" t="inlineStr">
        <is>
          <t>2026Q2</t>
        </is>
      </c>
      <c r="E746" s="6" t="inlineStr"/>
      <c r="F746" s="7" t="inlineStr"/>
      <c r="G746" s="8" t="inlineStr"/>
      <c r="H746" s="8" t="inlineStr"/>
      <c r="I746" s="9" t="n">
        <v>4834</v>
      </c>
      <c r="J746" s="10" t="n">
        <v>-1365</v>
      </c>
      <c r="K746" s="10" t="n">
        <v>666</v>
      </c>
      <c r="L746" s="7" t="n">
        <v>4185</v>
      </c>
      <c r="M746" s="8" t="n">
        <v>-728</v>
      </c>
      <c r="N746" s="8" t="n">
        <v>62</v>
      </c>
      <c r="O746" s="9" t="n">
        <v>8537</v>
      </c>
      <c r="P746" s="10" t="n">
        <v>-368</v>
      </c>
      <c r="Q746" s="10" t="n">
        <v>422</v>
      </c>
      <c r="R746" s="7" t="n">
        <v>756</v>
      </c>
      <c r="S746" s="8" t="n">
        <v>-342</v>
      </c>
      <c r="T746" s="8" t="n">
        <v>1226</v>
      </c>
      <c r="U746" s="9" t="n">
        <v>581</v>
      </c>
      <c r="V746" s="10" t="n">
        <v>-1322</v>
      </c>
      <c r="W746" s="10" t="n">
        <v>13465</v>
      </c>
      <c r="X746" s="7" t="n">
        <v>2898</v>
      </c>
      <c r="Y746" s="8" t="n">
        <v>239</v>
      </c>
      <c r="Z746" s="8" t="n">
        <v>-2692</v>
      </c>
      <c r="AA746" s="9" t="n">
        <v>1685</v>
      </c>
      <c r="AB746" s="10" t="n">
        <v>192</v>
      </c>
      <c r="AC746" s="10" t="n">
        <v>3580</v>
      </c>
      <c r="AD746" s="7" t="n">
        <v>643</v>
      </c>
      <c r="AE746" s="8" t="n">
        <v>1539</v>
      </c>
      <c r="AF746" s="8" t="n">
        <v>2015</v>
      </c>
      <c r="AG746" s="9" t="n">
        <v>1824</v>
      </c>
      <c r="AH746" s="10" t="n">
        <v>603</v>
      </c>
      <c r="AI746" s="10" t="n">
        <v>1550</v>
      </c>
      <c r="AJ746" s="11" t="n">
        <v>1942</v>
      </c>
      <c r="AK746" s="12" t="n">
        <v>159</v>
      </c>
      <c r="AL746" s="12" t="n">
        <v>573</v>
      </c>
      <c r="AM746" s="13" t="n">
        <v>6.5</v>
      </c>
      <c r="AN746" s="13" t="n">
        <v>-33</v>
      </c>
      <c r="AO746" s="13" t="n">
        <v>-73.59999999999999</v>
      </c>
      <c r="AP746" s="13" t="n">
        <v>-33.5</v>
      </c>
    </row>
    <row r="747">
      <c r="A747" s="5" t="inlineStr">
        <is>
          <t>네패스</t>
        </is>
      </c>
      <c r="B747" s="6" t="inlineStr">
        <is>
          <t>033640</t>
        </is>
      </c>
      <c r="C747" s="6" t="inlineStr">
        <is>
          <t>연결</t>
        </is>
      </c>
      <c r="D747" s="6" t="inlineStr">
        <is>
          <t>2026Q2</t>
        </is>
      </c>
      <c r="E747" s="6" t="inlineStr"/>
      <c r="F747" s="7" t="inlineStr"/>
      <c r="G747" s="8" t="inlineStr"/>
      <c r="H747" s="8" t="inlineStr"/>
      <c r="I747" s="9" t="n">
        <v>121578</v>
      </c>
      <c r="J747" s="10" t="n">
        <v>-7219</v>
      </c>
      <c r="K747" s="10" t="n">
        <v>-12409</v>
      </c>
      <c r="L747" s="7" t="n">
        <v>128580</v>
      </c>
      <c r="M747" s="8" t="n">
        <v>-3417</v>
      </c>
      <c r="N747" s="8" t="n">
        <v>-36235</v>
      </c>
      <c r="O747" s="9" t="n">
        <v>108895</v>
      </c>
      <c r="P747" s="10" t="n">
        <v>-15681</v>
      </c>
      <c r="Q747" s="10" t="n">
        <v>-21466</v>
      </c>
      <c r="R747" s="7" t="n">
        <v>105279</v>
      </c>
      <c r="S747" s="8" t="n">
        <v>29719</v>
      </c>
      <c r="T747" s="8" t="n">
        <v>-9290</v>
      </c>
      <c r="U747" s="9" t="n">
        <v>129370</v>
      </c>
      <c r="V747" s="10" t="n">
        <v>3636</v>
      </c>
      <c r="W747" s="10" t="n">
        <v>8482</v>
      </c>
      <c r="X747" s="7" t="n">
        <v>130909</v>
      </c>
      <c r="Y747" s="8" t="n">
        <v>7999</v>
      </c>
      <c r="Z747" s="8" t="n">
        <v>13243</v>
      </c>
      <c r="AA747" s="9" t="n">
        <v>137481</v>
      </c>
      <c r="AB747" s="10" t="n">
        <v>10776</v>
      </c>
      <c r="AC747" s="10" t="n">
        <v>4117</v>
      </c>
      <c r="AD747" s="7" t="n">
        <v>123679</v>
      </c>
      <c r="AE747" s="8" t="n">
        <v>1350</v>
      </c>
      <c r="AF747" s="8" t="n">
        <v>-5683</v>
      </c>
      <c r="AG747" s="9" t="n">
        <v>133962</v>
      </c>
      <c r="AH747" s="10" t="n">
        <v>10870</v>
      </c>
      <c r="AI747" s="10" t="n">
        <v>1161</v>
      </c>
      <c r="AJ747" s="11" t="n">
        <v>153705</v>
      </c>
      <c r="AK747" s="12" t="n">
        <v>14595</v>
      </c>
      <c r="AL747" s="12" t="n">
        <v>18273</v>
      </c>
      <c r="AM747" s="13" t="n">
        <v>14.7</v>
      </c>
      <c r="AN747" s="13" t="n">
        <v>17.4</v>
      </c>
      <c r="AO747" s="13" t="n">
        <v>34.3</v>
      </c>
      <c r="AP747" s="13" t="n">
        <v>82.5</v>
      </c>
    </row>
    <row r="748">
      <c r="A748" s="5" t="inlineStr">
        <is>
          <t>케이티앤지</t>
        </is>
      </c>
      <c r="B748" s="6" t="inlineStr">
        <is>
          <t>033780</t>
        </is>
      </c>
      <c r="C748" s="6" t="inlineStr">
        <is>
          <t>연결</t>
        </is>
      </c>
      <c r="D748" s="6" t="inlineStr">
        <is>
          <t>2026Q2</t>
        </is>
      </c>
      <c r="E748" s="6" t="inlineStr"/>
      <c r="F748" s="7" t="inlineStr"/>
      <c r="G748" s="8" t="inlineStr"/>
      <c r="H748" s="8" t="inlineStr"/>
      <c r="I748" s="9" t="n">
        <v>1292261</v>
      </c>
      <c r="J748" s="10" t="n">
        <v>236570</v>
      </c>
      <c r="K748" s="10" t="n">
        <v>285613</v>
      </c>
      <c r="L748" s="7" t="n">
        <v>1423774</v>
      </c>
      <c r="M748" s="8" t="n">
        <v>321993</v>
      </c>
      <c r="N748" s="8" t="n">
        <v>312760</v>
      </c>
      <c r="O748" s="9" t="n">
        <v>1636347</v>
      </c>
      <c r="P748" s="10" t="n">
        <v>417750</v>
      </c>
      <c r="Q748" s="10" t="n">
        <v>241480</v>
      </c>
      <c r="R748" s="7" t="n">
        <v>1556410</v>
      </c>
      <c r="S748" s="8" t="n">
        <v>212501</v>
      </c>
      <c r="T748" s="8" t="n">
        <v>325146</v>
      </c>
      <c r="U748" s="9" t="n">
        <v>1491108</v>
      </c>
      <c r="V748" s="10" t="n">
        <v>285560</v>
      </c>
      <c r="W748" s="10" t="n">
        <v>257929</v>
      </c>
      <c r="X748" s="7" t="n">
        <v>1547903</v>
      </c>
      <c r="Y748" s="8" t="n">
        <v>349882</v>
      </c>
      <c r="Z748" s="8" t="n">
        <v>143514</v>
      </c>
      <c r="AA748" s="9" t="n">
        <v>1826896</v>
      </c>
      <c r="AB748" s="10" t="n">
        <v>465289</v>
      </c>
      <c r="AC748" s="10" t="n">
        <v>418712</v>
      </c>
      <c r="AD748" s="7" t="n">
        <v>1713800</v>
      </c>
      <c r="AE748" s="8" t="n">
        <v>242935</v>
      </c>
      <c r="AF748" s="8" t="n">
        <v>282161</v>
      </c>
      <c r="AG748" s="9" t="n">
        <v>1703598</v>
      </c>
      <c r="AH748" s="10" t="n">
        <v>364536</v>
      </c>
      <c r="AI748" s="10" t="n">
        <v>378240</v>
      </c>
      <c r="AJ748" s="11" t="n">
        <v>1701557</v>
      </c>
      <c r="AK748" s="12" t="n">
        <v>414452</v>
      </c>
      <c r="AL748" s="12" t="n">
        <v>362086</v>
      </c>
      <c r="AM748" s="13" t="n">
        <v>-0.1</v>
      </c>
      <c r="AN748" s="13" t="n">
        <v>9.9</v>
      </c>
      <c r="AO748" s="13" t="n">
        <v>13.7</v>
      </c>
      <c r="AP748" s="13" t="n">
        <v>18.5</v>
      </c>
    </row>
    <row r="749">
      <c r="A749" s="5" t="inlineStr">
        <is>
          <t>피노</t>
        </is>
      </c>
      <c r="B749" s="6" t="inlineStr">
        <is>
          <t>033790</t>
        </is>
      </c>
      <c r="C749" s="6" t="inlineStr">
        <is>
          <t>연결</t>
        </is>
      </c>
      <c r="D749" s="6" t="inlineStr">
        <is>
          <t>2026Q2</t>
        </is>
      </c>
      <c r="E749" s="6" t="inlineStr"/>
      <c r="F749" s="7" t="inlineStr"/>
      <c r="G749" s="8" t="inlineStr"/>
      <c r="H749" s="8" t="inlineStr"/>
      <c r="I749" s="9" t="n">
        <v>4324</v>
      </c>
      <c r="J749" s="10" t="n">
        <v>269</v>
      </c>
      <c r="K749" s="10" t="n">
        <v>264</v>
      </c>
      <c r="L749" s="7" t="n">
        <v>841</v>
      </c>
      <c r="M749" s="8" t="n">
        <v>-381</v>
      </c>
      <c r="N749" s="8" t="n">
        <v>-379</v>
      </c>
      <c r="O749" s="9" t="n">
        <v>12280</v>
      </c>
      <c r="P749" s="10" t="n">
        <v>-222</v>
      </c>
      <c r="Q749" s="10" t="n">
        <v>-1144</v>
      </c>
      <c r="R749" s="7" t="n">
        <v>13231</v>
      </c>
      <c r="S749" s="8" t="n">
        <v>342</v>
      </c>
      <c r="T749" s="8" t="n">
        <v>-1207</v>
      </c>
      <c r="U749" s="9" t="n">
        <v>55431</v>
      </c>
      <c r="V749" s="10" t="n">
        <v>53</v>
      </c>
      <c r="W749" s="10" t="n">
        <v>-2173</v>
      </c>
      <c r="X749" s="7" t="n">
        <v>46751</v>
      </c>
      <c r="Y749" s="8" t="n">
        <v>630</v>
      </c>
      <c r="Z749" s="8" t="n">
        <v>-1479</v>
      </c>
      <c r="AA749" s="9" t="n">
        <v>75613</v>
      </c>
      <c r="AB749" s="10" t="n">
        <v>1249</v>
      </c>
      <c r="AC749" s="10" t="n">
        <v>235</v>
      </c>
      <c r="AD749" s="7" t="n">
        <v>86966</v>
      </c>
      <c r="AE749" s="8" t="n">
        <v>6915</v>
      </c>
      <c r="AF749" s="8" t="n">
        <v>-2435</v>
      </c>
      <c r="AG749" s="9" t="n">
        <v>109097</v>
      </c>
      <c r="AH749" s="10" t="n">
        <v>9468</v>
      </c>
      <c r="AI749" s="10" t="n">
        <v>8866</v>
      </c>
      <c r="AJ749" s="11" t="n">
        <v>104407</v>
      </c>
      <c r="AK749" s="12" t="n">
        <v>2324</v>
      </c>
      <c r="AL749" s="12" t="n">
        <v>-1740</v>
      </c>
      <c r="AM749" s="13" t="n">
        <v>-4.3</v>
      </c>
      <c r="AN749" s="13" t="n">
        <v>123.3</v>
      </c>
      <c r="AO749" s="13" t="n">
        <v>-75.5</v>
      </c>
      <c r="AP749" s="13" t="n">
        <v>268.9</v>
      </c>
    </row>
    <row r="750">
      <c r="A750" s="5" t="inlineStr">
        <is>
          <t>티비씨</t>
        </is>
      </c>
      <c r="B750" s="6" t="inlineStr">
        <is>
          <t>033830</t>
        </is>
      </c>
      <c r="C750" s="6" t="inlineStr">
        <is>
          <t>연결</t>
        </is>
      </c>
      <c r="D750" s="6" t="inlineStr">
        <is>
          <t>2026Q2</t>
        </is>
      </c>
      <c r="E750" s="6" t="inlineStr"/>
      <c r="F750" s="7" t="inlineStr"/>
      <c r="G750" s="8" t="inlineStr"/>
      <c r="H750" s="8" t="inlineStr"/>
      <c r="I750" s="9" t="n">
        <v>9458</v>
      </c>
      <c r="J750" s="10" t="n">
        <v>-188</v>
      </c>
      <c r="K750" s="10" t="n">
        <v>485</v>
      </c>
      <c r="L750" s="7" t="n">
        <v>8541</v>
      </c>
      <c r="M750" s="8" t="n">
        <v>13</v>
      </c>
      <c r="N750" s="8" t="n">
        <v>807</v>
      </c>
      <c r="O750" s="9" t="n">
        <v>8364</v>
      </c>
      <c r="P750" s="10" t="n">
        <v>322</v>
      </c>
      <c r="Q750" s="10" t="n">
        <v>847</v>
      </c>
      <c r="R750" s="7" t="n">
        <v>13921</v>
      </c>
      <c r="S750" s="8" t="n">
        <v>1309</v>
      </c>
      <c r="T750" s="8" t="n">
        <v>1663</v>
      </c>
      <c r="U750" s="9" t="n">
        <v>9675</v>
      </c>
      <c r="V750" s="10" t="n">
        <v>189</v>
      </c>
      <c r="W750" s="10" t="n">
        <v>811</v>
      </c>
      <c r="X750" s="7" t="n">
        <v>9885</v>
      </c>
      <c r="Y750" s="8" t="n">
        <v>2</v>
      </c>
      <c r="Z750" s="8" t="n">
        <v>685</v>
      </c>
      <c r="AA750" s="9" t="n">
        <v>9626</v>
      </c>
      <c r="AB750" s="10" t="n">
        <v>151</v>
      </c>
      <c r="AC750" s="10" t="n">
        <v>729</v>
      </c>
      <c r="AD750" s="7" t="n">
        <v>13505</v>
      </c>
      <c r="AE750" s="8" t="n">
        <v>1143</v>
      </c>
      <c r="AF750" s="8" t="n">
        <v>1574</v>
      </c>
      <c r="AG750" s="9" t="n">
        <v>7373</v>
      </c>
      <c r="AH750" s="10" t="n">
        <v>-455</v>
      </c>
      <c r="AI750" s="10" t="n">
        <v>206</v>
      </c>
      <c r="AJ750" s="11" t="n">
        <v>8930</v>
      </c>
      <c r="AK750" s="12" t="n">
        <v>-268</v>
      </c>
      <c r="AL750" s="12" t="n">
        <v>474</v>
      </c>
      <c r="AM750" s="13" t="n">
        <v>21.1</v>
      </c>
      <c r="AN750" s="13" t="n">
        <v>-9.699999999999999</v>
      </c>
      <c r="AO750" s="13" t="n">
        <v>41.1</v>
      </c>
      <c r="AP750" s="13" t="n">
        <v>-13500</v>
      </c>
    </row>
    <row r="751">
      <c r="A751" s="5" t="inlineStr">
        <is>
          <t>무학</t>
        </is>
      </c>
      <c r="B751" s="6" t="inlineStr">
        <is>
          <t>033920</t>
        </is>
      </c>
      <c r="C751" s="6" t="inlineStr">
        <is>
          <t>연결</t>
        </is>
      </c>
      <c r="D751" s="6" t="inlineStr">
        <is>
          <t>2026Q2</t>
        </is>
      </c>
      <c r="E751" s="6" t="inlineStr"/>
      <c r="F751" s="7" t="inlineStr"/>
      <c r="G751" s="8" t="inlineStr"/>
      <c r="H751" s="8" t="inlineStr"/>
      <c r="I751" s="9" t="n">
        <v>38331</v>
      </c>
      <c r="J751" s="10" t="n">
        <v>5210</v>
      </c>
      <c r="K751" s="10" t="n">
        <v>16261</v>
      </c>
      <c r="L751" s="7" t="n">
        <v>40200</v>
      </c>
      <c r="M751" s="8" t="n">
        <v>5156</v>
      </c>
      <c r="N751" s="8" t="n">
        <v>14924</v>
      </c>
      <c r="O751" s="9" t="n">
        <v>36401</v>
      </c>
      <c r="P751" s="10" t="n">
        <v>2331</v>
      </c>
      <c r="Q751" s="10" t="n">
        <v>6331</v>
      </c>
      <c r="R751" s="7" t="n">
        <v>37127</v>
      </c>
      <c r="S751" s="8" t="n">
        <v>4179</v>
      </c>
      <c r="T751" s="8" t="n">
        <v>10906</v>
      </c>
      <c r="U751" s="9" t="n">
        <v>37391</v>
      </c>
      <c r="V751" s="10" t="n">
        <v>3001</v>
      </c>
      <c r="W751" s="10" t="n">
        <v>11164</v>
      </c>
      <c r="X751" s="7" t="n">
        <v>38746</v>
      </c>
      <c r="Y751" s="8" t="n">
        <v>4157</v>
      </c>
      <c r="Z751" s="8" t="n">
        <v>19546</v>
      </c>
      <c r="AA751" s="9" t="n">
        <v>32827</v>
      </c>
      <c r="AB751" s="10" t="n">
        <v>915</v>
      </c>
      <c r="AC751" s="10" t="n">
        <v>10096</v>
      </c>
      <c r="AD751" s="7" t="n">
        <v>34866</v>
      </c>
      <c r="AE751" s="8" t="n">
        <v>2162</v>
      </c>
      <c r="AF751" s="8" t="n">
        <v>9516</v>
      </c>
      <c r="AG751" s="9" t="n">
        <v>35689</v>
      </c>
      <c r="AH751" s="10" t="n">
        <v>659</v>
      </c>
      <c r="AI751" s="10" t="n">
        <v>-11624</v>
      </c>
      <c r="AJ751" s="11" t="n">
        <v>37902</v>
      </c>
      <c r="AK751" s="12" t="n">
        <v>2411</v>
      </c>
      <c r="AL751" s="12" t="n">
        <v>25545</v>
      </c>
      <c r="AM751" s="13" t="n">
        <v>6.2</v>
      </c>
      <c r="AN751" s="13" t="n">
        <v>-2.2</v>
      </c>
      <c r="AO751" s="13" t="n">
        <v>265.9</v>
      </c>
      <c r="AP751" s="13" t="n">
        <v>-42</v>
      </c>
    </row>
    <row r="752">
      <c r="A752" s="5" t="inlineStr">
        <is>
          <t>두산에너빌리티</t>
        </is>
      </c>
      <c r="B752" s="6" t="inlineStr">
        <is>
          <t>034020</t>
        </is>
      </c>
      <c r="C752" s="6" t="inlineStr">
        <is>
          <t>연결</t>
        </is>
      </c>
      <c r="D752" s="6" t="inlineStr">
        <is>
          <t>2026Q2</t>
        </is>
      </c>
      <c r="E752" s="6" t="inlineStr"/>
      <c r="F752" s="7" t="inlineStr"/>
      <c r="G752" s="8" t="inlineStr"/>
      <c r="H752" s="8" t="inlineStr"/>
      <c r="I752" s="9" t="n">
        <v>4097867</v>
      </c>
      <c r="J752" s="10" t="n">
        <v>358071</v>
      </c>
      <c r="K752" s="10" t="n">
        <v>261052</v>
      </c>
      <c r="L752" s="7" t="n">
        <v>4150487</v>
      </c>
      <c r="M752" s="8" t="n">
        <v>309790</v>
      </c>
      <c r="N752" s="8" t="n">
        <v>220767</v>
      </c>
      <c r="O752" s="9" t="n">
        <v>3395569</v>
      </c>
      <c r="P752" s="10" t="n">
        <v>114790</v>
      </c>
      <c r="Q752" s="10" t="n">
        <v>-26474</v>
      </c>
      <c r="R752" s="7" t="n">
        <v>4589132</v>
      </c>
      <c r="S752" s="8" t="n">
        <v>234949</v>
      </c>
      <c r="T752" s="8" t="n">
        <v>-60656</v>
      </c>
      <c r="U752" s="9" t="n">
        <v>3748574</v>
      </c>
      <c r="V752" s="10" t="n">
        <v>142475</v>
      </c>
      <c r="W752" s="10" t="n">
        <v>-21157</v>
      </c>
      <c r="X752" s="7" t="n">
        <v>4569021</v>
      </c>
      <c r="Y752" s="8" t="n">
        <v>271106</v>
      </c>
      <c r="Z752" s="8" t="n">
        <v>197809</v>
      </c>
      <c r="AA752" s="9" t="n">
        <v>3880350</v>
      </c>
      <c r="AB752" s="10" t="n">
        <v>137059</v>
      </c>
      <c r="AC752" s="10" t="n">
        <v>-24028</v>
      </c>
      <c r="AD752" s="7" t="n">
        <v>4859931</v>
      </c>
      <c r="AE752" s="8" t="n">
        <v>212072</v>
      </c>
      <c r="AF752" s="8" t="n">
        <v>52539</v>
      </c>
      <c r="AG752" s="9" t="n">
        <v>4261130</v>
      </c>
      <c r="AH752" s="10" t="n">
        <v>233514</v>
      </c>
      <c r="AI752" s="10" t="n">
        <v>60226</v>
      </c>
      <c r="AJ752" s="11" t="n">
        <v>4724808</v>
      </c>
      <c r="AK752" s="12" t="n">
        <v>314260</v>
      </c>
      <c r="AL752" s="12" t="n">
        <v>226368</v>
      </c>
      <c r="AM752" s="13" t="n">
        <v>10.9</v>
      </c>
      <c r="AN752" s="13" t="n">
        <v>3.4</v>
      </c>
      <c r="AO752" s="13" t="n">
        <v>34.6</v>
      </c>
      <c r="AP752" s="13" t="n">
        <v>15.9</v>
      </c>
    </row>
    <row r="753">
      <c r="A753" s="5" t="inlineStr">
        <is>
          <t>SBS</t>
        </is>
      </c>
      <c r="B753" s="6" t="inlineStr">
        <is>
          <t>034120</t>
        </is>
      </c>
      <c r="C753" s="6" t="inlineStr">
        <is>
          <t>연결</t>
        </is>
      </c>
      <c r="D753" s="6" t="inlineStr">
        <is>
          <t>2026Q2</t>
        </is>
      </c>
      <c r="E753" s="6" t="inlineStr"/>
      <c r="F753" s="7" t="inlineStr"/>
      <c r="G753" s="8" t="inlineStr"/>
      <c r="H753" s="8" t="inlineStr"/>
      <c r="I753" s="9" t="n">
        <v>209553</v>
      </c>
      <c r="J753" s="10" t="n">
        <v>-12029</v>
      </c>
      <c r="K753" s="10" t="n">
        <v>12971</v>
      </c>
      <c r="L753" s="7" t="n">
        <v>275030</v>
      </c>
      <c r="M753" s="8" t="n">
        <v>9570</v>
      </c>
      <c r="N753" s="8" t="n">
        <v>4938</v>
      </c>
      <c r="O753" s="9" t="n">
        <v>331318</v>
      </c>
      <c r="P753" s="10" t="n">
        <v>-25329</v>
      </c>
      <c r="Q753" s="10" t="n">
        <v>-21483</v>
      </c>
      <c r="R753" s="7" t="n">
        <v>230750</v>
      </c>
      <c r="S753" s="8" t="n">
        <v>8603</v>
      </c>
      <c r="T753" s="8" t="n">
        <v>37352</v>
      </c>
      <c r="U753" s="9" t="n">
        <v>206259</v>
      </c>
      <c r="V753" s="10" t="n">
        <v>-6884</v>
      </c>
      <c r="W753" s="10" t="n">
        <v>-6898</v>
      </c>
      <c r="X753" s="7" t="n">
        <v>268242</v>
      </c>
      <c r="Y753" s="8" t="n">
        <v>6991</v>
      </c>
      <c r="Z753" s="8" t="n">
        <v>5670</v>
      </c>
      <c r="AA753" s="9" t="n">
        <v>239222</v>
      </c>
      <c r="AB753" s="10" t="n">
        <v>13062</v>
      </c>
      <c r="AC753" s="10" t="n">
        <v>10403</v>
      </c>
      <c r="AD753" s="7" t="n">
        <v>294735</v>
      </c>
      <c r="AE753" s="8" t="n">
        <v>4982</v>
      </c>
      <c r="AF753" s="8" t="n">
        <v>-1250</v>
      </c>
      <c r="AG753" s="9" t="n">
        <v>190381</v>
      </c>
      <c r="AH753" s="10" t="n">
        <v>-17632</v>
      </c>
      <c r="AI753" s="10" t="n">
        <v>-13909</v>
      </c>
      <c r="AJ753" s="11" t="n">
        <v>285351</v>
      </c>
      <c r="AK753" s="12" t="n">
        <v>7793</v>
      </c>
      <c r="AL753" s="12" t="n">
        <v>6610</v>
      </c>
      <c r="AM753" s="13" t="n">
        <v>49.9</v>
      </c>
      <c r="AN753" s="13" t="n">
        <v>6.4</v>
      </c>
      <c r="AO753" s="13" t="n">
        <v>144.2</v>
      </c>
      <c r="AP753" s="13" t="n">
        <v>11.5</v>
      </c>
    </row>
    <row r="754">
      <c r="A754" s="5" t="inlineStr">
        <is>
          <t>LG디스플레이</t>
        </is>
      </c>
      <c r="B754" s="6" t="inlineStr">
        <is>
          <t>034220</t>
        </is>
      </c>
      <c r="C754" s="6" t="inlineStr">
        <is>
          <t>연결</t>
        </is>
      </c>
      <c r="D754" s="6" t="inlineStr">
        <is>
          <t>2026Q2</t>
        </is>
      </c>
      <c r="E754" s="6" t="inlineStr">
        <is>
          <t>2023Q4</t>
        </is>
      </c>
      <c r="F754" s="14" t="n">
        <v>7395905</v>
      </c>
      <c r="G754" s="15" t="n">
        <v>131744</v>
      </c>
      <c r="H754" s="15" t="n">
        <v>50539</v>
      </c>
      <c r="I754" s="9" t="n">
        <v>5252975</v>
      </c>
      <c r="J754" s="10" t="n">
        <v>-469432</v>
      </c>
      <c r="K754" s="10" t="n">
        <v>-761276</v>
      </c>
      <c r="L754" s="7" t="n">
        <v>6708199</v>
      </c>
      <c r="M754" s="8" t="n">
        <v>-93673</v>
      </c>
      <c r="N754" s="8" t="n">
        <v>-470798</v>
      </c>
      <c r="O754" s="9" t="n">
        <v>6821301</v>
      </c>
      <c r="P754" s="10" t="n">
        <v>-80599</v>
      </c>
      <c r="Q754" s="10" t="n">
        <v>-338108</v>
      </c>
      <c r="R754" s="7" t="n">
        <v>7832872</v>
      </c>
      <c r="S754" s="8" t="n">
        <v>83108</v>
      </c>
      <c r="T754" s="8" t="n">
        <v>-839118</v>
      </c>
      <c r="U754" s="9" t="n">
        <v>6065298</v>
      </c>
      <c r="V754" s="10" t="n">
        <v>33464</v>
      </c>
      <c r="W754" s="10" t="n">
        <v>-237032</v>
      </c>
      <c r="X754" s="7" t="n">
        <v>5586956</v>
      </c>
      <c r="Y754" s="8" t="n">
        <v>-116033</v>
      </c>
      <c r="Z754" s="8" t="n">
        <v>890771</v>
      </c>
      <c r="AA754" s="9" t="n">
        <v>6956978</v>
      </c>
      <c r="AB754" s="10" t="n">
        <v>431037</v>
      </c>
      <c r="AC754" s="10" t="n">
        <v>1247</v>
      </c>
      <c r="AD754" s="7" t="n">
        <v>7200850</v>
      </c>
      <c r="AE754" s="8" t="n">
        <v>168509</v>
      </c>
      <c r="AF754" s="8" t="n">
        <v>-351179</v>
      </c>
      <c r="AG754" s="9" t="n">
        <v>5534002</v>
      </c>
      <c r="AH754" s="10" t="n">
        <v>146719</v>
      </c>
      <c r="AI754" s="10" t="n">
        <v>-575714</v>
      </c>
      <c r="AJ754" s="11" t="n">
        <v>5612063</v>
      </c>
      <c r="AK754" s="12" t="n">
        <v>-107728</v>
      </c>
      <c r="AL754" s="12" t="n">
        <v>-418831</v>
      </c>
      <c r="AM754" s="13" t="n">
        <v>1.4</v>
      </c>
      <c r="AN754" s="13" t="n">
        <v>0.4</v>
      </c>
      <c r="AO754" s="13" t="n">
        <v>-173.4</v>
      </c>
      <c r="AP754" s="13" t="n">
        <v>7.2</v>
      </c>
    </row>
    <row r="755">
      <c r="A755" s="5" t="inlineStr">
        <is>
          <t>파라다이스</t>
        </is>
      </c>
      <c r="B755" s="6" t="inlineStr">
        <is>
          <t>034230</t>
        </is>
      </c>
      <c r="C755" s="6" t="inlineStr">
        <is>
          <t>연결</t>
        </is>
      </c>
      <c r="D755" s="6" t="inlineStr">
        <is>
          <t>2026Q2</t>
        </is>
      </c>
      <c r="E755" s="6" t="inlineStr">
        <is>
          <t>2023Q4</t>
        </is>
      </c>
      <c r="F755" s="14" t="n">
        <v>241813</v>
      </c>
      <c r="G755" s="15" t="n">
        <v>14728</v>
      </c>
      <c r="H755" s="15" t="n">
        <v>-5702</v>
      </c>
      <c r="I755" s="9" t="n">
        <v>264770</v>
      </c>
      <c r="J755" s="10" t="n">
        <v>48404</v>
      </c>
      <c r="K755" s="10" t="n">
        <v>36980</v>
      </c>
      <c r="L755" s="7" t="n">
        <v>273264</v>
      </c>
      <c r="M755" s="8" t="n">
        <v>32009</v>
      </c>
      <c r="N755" s="8" t="n">
        <v>17568</v>
      </c>
      <c r="O755" s="9" t="n">
        <v>268245</v>
      </c>
      <c r="P755" s="10" t="n">
        <v>36205</v>
      </c>
      <c r="Q755" s="10" t="n">
        <v>19662</v>
      </c>
      <c r="R755" s="7" t="n">
        <v>265830</v>
      </c>
      <c r="S755" s="8" t="n">
        <v>19437</v>
      </c>
      <c r="T755" s="8" t="n">
        <v>36483</v>
      </c>
      <c r="U755" s="9" t="n">
        <v>283305</v>
      </c>
      <c r="V755" s="10" t="n">
        <v>57276</v>
      </c>
      <c r="W755" s="10" t="n">
        <v>43104</v>
      </c>
      <c r="X755" s="7" t="n">
        <v>284461</v>
      </c>
      <c r="Y755" s="8" t="n">
        <v>42852</v>
      </c>
      <c r="Z755" s="8" t="n">
        <v>32352</v>
      </c>
      <c r="AA755" s="9" t="n">
        <v>288247</v>
      </c>
      <c r="AB755" s="10" t="n">
        <v>39512</v>
      </c>
      <c r="AC755" s="10" t="n">
        <v>33431</v>
      </c>
      <c r="AD755" s="7" t="n">
        <v>293854</v>
      </c>
      <c r="AE755" s="8" t="n">
        <v>16176</v>
      </c>
      <c r="AF755" s="8" t="n">
        <v>35894</v>
      </c>
      <c r="AG755" s="9" t="n">
        <v>293966</v>
      </c>
      <c r="AH755" s="10" t="n">
        <v>37305</v>
      </c>
      <c r="AI755" s="10" t="n">
        <v>18667</v>
      </c>
      <c r="AJ755" s="11" t="n">
        <v>318089</v>
      </c>
      <c r="AK755" s="12" t="n">
        <v>35550</v>
      </c>
      <c r="AL755" s="12" t="n">
        <v>21023</v>
      </c>
      <c r="AM755" s="13" t="n">
        <v>8.199999999999999</v>
      </c>
      <c r="AN755" s="13" t="n">
        <v>11.8</v>
      </c>
      <c r="AO755" s="13" t="n">
        <v>-4.7</v>
      </c>
      <c r="AP755" s="13" t="n">
        <v>-17</v>
      </c>
    </row>
    <row r="756">
      <c r="A756" s="5" t="inlineStr">
        <is>
          <t>NICE</t>
        </is>
      </c>
      <c r="B756" s="6" t="inlineStr">
        <is>
          <t>034310</t>
        </is>
      </c>
      <c r="C756" s="6" t="inlineStr">
        <is>
          <t>연결</t>
        </is>
      </c>
      <c r="D756" s="6" t="inlineStr">
        <is>
          <t>2026Q2</t>
        </is>
      </c>
      <c r="E756" s="6" t="inlineStr"/>
      <c r="F756" s="7" t="inlineStr"/>
      <c r="G756" s="8" t="inlineStr"/>
      <c r="H756" s="8" t="inlineStr"/>
      <c r="I756" s="9" t="inlineStr"/>
      <c r="J756" s="10" t="n">
        <v>25614</v>
      </c>
      <c r="K756" s="10" t="n">
        <v>15821</v>
      </c>
      <c r="L756" s="7" t="inlineStr"/>
      <c r="M756" s="8" t="n">
        <v>60094</v>
      </c>
      <c r="N756" s="8" t="n">
        <v>34254</v>
      </c>
      <c r="O756" s="9" t="inlineStr"/>
      <c r="P756" s="10" t="n">
        <v>48450</v>
      </c>
      <c r="Q756" s="10" t="n">
        <v>11323</v>
      </c>
      <c r="R756" s="7" t="inlineStr"/>
      <c r="S756" s="8" t="n">
        <v>40106</v>
      </c>
      <c r="T756" s="8" t="n">
        <v>39486</v>
      </c>
      <c r="U756" s="9" t="inlineStr"/>
      <c r="V756" s="10" t="n">
        <v>30598</v>
      </c>
      <c r="W756" s="10" t="n">
        <v>15172</v>
      </c>
      <c r="X756" s="7" t="inlineStr"/>
      <c r="Y756" s="8" t="n">
        <v>68532</v>
      </c>
      <c r="Z756" s="8" t="n">
        <v>27436</v>
      </c>
      <c r="AA756" s="9" t="inlineStr"/>
      <c r="AB756" s="10" t="n">
        <v>61371</v>
      </c>
      <c r="AC756" s="10" t="n">
        <v>36420</v>
      </c>
      <c r="AD756" s="7" t="inlineStr"/>
      <c r="AE756" s="8" t="n">
        <v>37596</v>
      </c>
      <c r="AF756" s="8" t="n">
        <v>-2456</v>
      </c>
      <c r="AG756" s="9" t="n">
        <v>788825</v>
      </c>
      <c r="AH756" s="10" t="n">
        <v>42397</v>
      </c>
      <c r="AI756" s="10" t="n">
        <v>34802</v>
      </c>
      <c r="AJ756" s="11" t="n">
        <v>802369</v>
      </c>
      <c r="AK756" s="12" t="n">
        <v>74856</v>
      </c>
      <c r="AL756" s="12" t="n">
        <v>-14552</v>
      </c>
      <c r="AM756" s="13" t="n">
        <v>1.7</v>
      </c>
      <c r="AN756" s="13" t="inlineStr"/>
      <c r="AO756" s="13" t="n">
        <v>76.59999999999999</v>
      </c>
      <c r="AP756" s="13" t="n">
        <v>9.199999999999999</v>
      </c>
    </row>
    <row r="757">
      <c r="A757" s="5" t="inlineStr">
        <is>
          <t>인천도시가스</t>
        </is>
      </c>
      <c r="B757" s="6" t="inlineStr">
        <is>
          <t>034590</t>
        </is>
      </c>
      <c r="C757" s="6" t="inlineStr">
        <is>
          <t>별도</t>
        </is>
      </c>
      <c r="D757" s="6" t="inlineStr">
        <is>
          <t>2026Q2</t>
        </is>
      </c>
      <c r="E757" s="6" t="inlineStr"/>
      <c r="F757" s="7" t="inlineStr"/>
      <c r="G757" s="8" t="inlineStr"/>
      <c r="H757" s="8" t="inlineStr"/>
      <c r="I757" s="9" t="n">
        <v>316255</v>
      </c>
      <c r="J757" s="10" t="n">
        <v>9165</v>
      </c>
      <c r="K757" s="10" t="n">
        <v>8322</v>
      </c>
      <c r="L757" s="7" t="n">
        <v>174286</v>
      </c>
      <c r="M757" s="8" t="n">
        <v>1062</v>
      </c>
      <c r="N757" s="8" t="n">
        <v>1861</v>
      </c>
      <c r="O757" s="9" t="n">
        <v>163995</v>
      </c>
      <c r="P757" s="10" t="n">
        <v>-19</v>
      </c>
      <c r="Q757" s="10" t="n">
        <v>785</v>
      </c>
      <c r="R757" s="7" t="n">
        <v>289077</v>
      </c>
      <c r="S757" s="8" t="n">
        <v>9214</v>
      </c>
      <c r="T757" s="8" t="n">
        <v>8304</v>
      </c>
      <c r="U757" s="9" t="n">
        <v>350534</v>
      </c>
      <c r="V757" s="10" t="n">
        <v>3875</v>
      </c>
      <c r="W757" s="10" t="n">
        <v>4131</v>
      </c>
      <c r="X757" s="7" t="n">
        <v>222232</v>
      </c>
      <c r="Y757" s="8" t="n">
        <v>5740</v>
      </c>
      <c r="Z757" s="8" t="n">
        <v>6144</v>
      </c>
      <c r="AA757" s="9" t="n">
        <v>139045</v>
      </c>
      <c r="AB757" s="10" t="n">
        <v>-1583</v>
      </c>
      <c r="AC757" s="10" t="n">
        <v>-519</v>
      </c>
      <c r="AD757" s="7" t="n">
        <v>251183</v>
      </c>
      <c r="AE757" s="8" t="n">
        <v>11117</v>
      </c>
      <c r="AF757" s="8" t="n">
        <v>9411</v>
      </c>
      <c r="AG757" s="9" t="n">
        <v>319519</v>
      </c>
      <c r="AH757" s="10" t="n">
        <v>6948</v>
      </c>
      <c r="AI757" s="10" t="n">
        <v>6585</v>
      </c>
      <c r="AJ757" s="11" t="n">
        <v>196532</v>
      </c>
      <c r="AK757" s="12" t="n">
        <v>3300</v>
      </c>
      <c r="AL757" s="12" t="n">
        <v>4171</v>
      </c>
      <c r="AM757" s="13" t="n">
        <v>-38.5</v>
      </c>
      <c r="AN757" s="13" t="n">
        <v>-11.6</v>
      </c>
      <c r="AO757" s="13" t="n">
        <v>-52.5</v>
      </c>
      <c r="AP757" s="13" t="n">
        <v>-42.5</v>
      </c>
    </row>
    <row r="758">
      <c r="A758" s="5" t="inlineStr">
        <is>
          <t>SK</t>
        </is>
      </c>
      <c r="B758" s="6" t="inlineStr">
        <is>
          <t>034730</t>
        </is>
      </c>
      <c r="C758" s="6" t="inlineStr">
        <is>
          <t>연결</t>
        </is>
      </c>
      <c r="D758" s="6" t="inlineStr">
        <is>
          <t>2026Q2</t>
        </is>
      </c>
      <c r="E758" s="6" t="inlineStr"/>
      <c r="F758" s="7" t="inlineStr"/>
      <c r="G758" s="8" t="inlineStr"/>
      <c r="H758" s="8" t="inlineStr"/>
      <c r="I758" s="9" t="n">
        <v>33026813</v>
      </c>
      <c r="J758" s="10" t="n">
        <v>1537210</v>
      </c>
      <c r="K758" s="10" t="n">
        <v>725252</v>
      </c>
      <c r="L758" s="7" t="n">
        <v>31197130</v>
      </c>
      <c r="M758" s="8" t="n">
        <v>756204</v>
      </c>
      <c r="N758" s="8" t="n">
        <v>454132</v>
      </c>
      <c r="O758" s="9" t="n">
        <v>30637299</v>
      </c>
      <c r="P758" s="10" t="n">
        <v>513076</v>
      </c>
      <c r="Q758" s="10" t="n">
        <v>1147873</v>
      </c>
      <c r="R758" s="7" t="n">
        <v>29829197</v>
      </c>
      <c r="S758" s="8" t="n">
        <v>-451200</v>
      </c>
      <c r="T758" s="8" t="n">
        <v>-1798447</v>
      </c>
      <c r="U758" s="9" t="n">
        <v>31229933</v>
      </c>
      <c r="V758" s="10" t="n">
        <v>399781</v>
      </c>
      <c r="W758" s="10" t="n">
        <v>3590712</v>
      </c>
      <c r="X758" s="7" t="n">
        <v>30141963</v>
      </c>
      <c r="Y758" s="8" t="n">
        <v>199554</v>
      </c>
      <c r="Z758" s="8" t="n">
        <v>976811</v>
      </c>
      <c r="AA758" s="9" t="n">
        <v>31041366</v>
      </c>
      <c r="AB758" s="10" t="n">
        <v>827400</v>
      </c>
      <c r="AC758" s="10" t="n">
        <v>2679989</v>
      </c>
      <c r="AD758" s="7" t="n">
        <v>30290076</v>
      </c>
      <c r="AE758" s="8" t="n">
        <v>391741</v>
      </c>
      <c r="AF758" s="8" t="n">
        <v>-3692266</v>
      </c>
      <c r="AG758" s="9" t="n">
        <v>36751262</v>
      </c>
      <c r="AH758" s="10" t="n">
        <v>3673119</v>
      </c>
      <c r="AI758" s="10" t="n">
        <v>9906258</v>
      </c>
      <c r="AJ758" s="11" t="n">
        <v>42124676</v>
      </c>
      <c r="AK758" s="12" t="n">
        <v>4841247</v>
      </c>
      <c r="AL758" s="12" t="n">
        <v>19108555</v>
      </c>
      <c r="AM758" s="13" t="n">
        <v>14.6</v>
      </c>
      <c r="AN758" s="13" t="n">
        <v>39.8</v>
      </c>
      <c r="AO758" s="13" t="n">
        <v>31.8</v>
      </c>
      <c r="AP758" s="13" t="n">
        <v>2326</v>
      </c>
    </row>
    <row r="759">
      <c r="A759" s="5" t="inlineStr">
        <is>
          <t>해성산업</t>
        </is>
      </c>
      <c r="B759" s="6" t="inlineStr">
        <is>
          <t>034810</t>
        </is>
      </c>
      <c r="C759" s="6" t="inlineStr">
        <is>
          <t>연결</t>
        </is>
      </c>
      <c r="D759" s="6" t="inlineStr">
        <is>
          <t>2026Q2</t>
        </is>
      </c>
      <c r="E759" s="6" t="inlineStr"/>
      <c r="F759" s="7" t="inlineStr"/>
      <c r="G759" s="8" t="inlineStr"/>
      <c r="H759" s="8" t="inlineStr"/>
      <c r="I759" s="9" t="n">
        <v>559201</v>
      </c>
      <c r="J759" s="10" t="n">
        <v>35114</v>
      </c>
      <c r="K759" s="10" t="n">
        <v>23097</v>
      </c>
      <c r="L759" s="7" t="n">
        <v>567617</v>
      </c>
      <c r="M759" s="8" t="n">
        <v>29333</v>
      </c>
      <c r="N759" s="8" t="n">
        <v>21836</v>
      </c>
      <c r="O759" s="9" t="n">
        <v>548737</v>
      </c>
      <c r="P759" s="10" t="n">
        <v>9963</v>
      </c>
      <c r="Q759" s="10" t="n">
        <v>877</v>
      </c>
      <c r="R759" s="7" t="n">
        <v>544873</v>
      </c>
      <c r="S759" s="8" t="n">
        <v>-2992</v>
      </c>
      <c r="T759" s="8" t="n">
        <v>-49213</v>
      </c>
      <c r="U759" s="9" t="n">
        <v>545503</v>
      </c>
      <c r="V759" s="10" t="n">
        <v>6514</v>
      </c>
      <c r="W759" s="10" t="n">
        <v>4520</v>
      </c>
      <c r="X759" s="7" t="n">
        <v>568066</v>
      </c>
      <c r="Y759" s="8" t="n">
        <v>5283</v>
      </c>
      <c r="Z759" s="8" t="n">
        <v>-4085</v>
      </c>
      <c r="AA759" s="9" t="n">
        <v>576695</v>
      </c>
      <c r="AB759" s="10" t="n">
        <v>20920</v>
      </c>
      <c r="AC759" s="10" t="n">
        <v>18061</v>
      </c>
      <c r="AD759" s="7" t="n">
        <v>569815</v>
      </c>
      <c r="AE759" s="8" t="n">
        <v>9124</v>
      </c>
      <c r="AF759" s="8" t="n">
        <v>-63381</v>
      </c>
      <c r="AG759" s="9" t="n">
        <v>599357</v>
      </c>
      <c r="AH759" s="10" t="n">
        <v>18207</v>
      </c>
      <c r="AI759" s="10" t="n">
        <v>-34044</v>
      </c>
      <c r="AJ759" s="11" t="n">
        <v>659043</v>
      </c>
      <c r="AK759" s="12" t="n">
        <v>27316</v>
      </c>
      <c r="AL759" s="12" t="n">
        <v>14588</v>
      </c>
      <c r="AM759" s="13" t="n">
        <v>10</v>
      </c>
      <c r="AN759" s="13" t="n">
        <v>16</v>
      </c>
      <c r="AO759" s="13" t="n">
        <v>50</v>
      </c>
      <c r="AP759" s="13" t="n">
        <v>417.1</v>
      </c>
    </row>
    <row r="760">
      <c r="A760" s="5" t="inlineStr">
        <is>
          <t>한국토지신탁</t>
        </is>
      </c>
      <c r="B760" s="6" t="inlineStr">
        <is>
          <t>034830</t>
        </is>
      </c>
      <c r="C760" s="6" t="inlineStr">
        <is>
          <t>연결</t>
        </is>
      </c>
      <c r="D760" s="6" t="inlineStr">
        <is>
          <t>2026Q2</t>
        </is>
      </c>
      <c r="E760" s="6" t="inlineStr"/>
      <c r="F760" s="7" t="inlineStr"/>
      <c r="G760" s="8" t="inlineStr"/>
      <c r="H760" s="8" t="inlineStr"/>
      <c r="I760" s="9" t="n">
        <v>51325</v>
      </c>
      <c r="J760" s="10" t="n">
        <v>7282</v>
      </c>
      <c r="K760" s="10" t="n">
        <v>-883</v>
      </c>
      <c r="L760" s="7" t="n">
        <v>44481</v>
      </c>
      <c r="M760" s="8" t="n">
        <v>12403</v>
      </c>
      <c r="N760" s="8" t="n">
        <v>-20274</v>
      </c>
      <c r="O760" s="9" t="n">
        <v>42340</v>
      </c>
      <c r="P760" s="10" t="n">
        <v>2141</v>
      </c>
      <c r="Q760" s="10" t="n">
        <v>2965</v>
      </c>
      <c r="R760" s="7" t="n">
        <v>98192</v>
      </c>
      <c r="S760" s="8" t="n">
        <v>12117</v>
      </c>
      <c r="T760" s="8" t="n">
        <v>-668</v>
      </c>
      <c r="U760" s="9" t="n">
        <v>37242</v>
      </c>
      <c r="V760" s="10" t="n">
        <v>-4619</v>
      </c>
      <c r="W760" s="10" t="n">
        <v>8447</v>
      </c>
      <c r="X760" s="7" t="n">
        <v>39945</v>
      </c>
      <c r="Y760" s="8" t="n">
        <v>4023</v>
      </c>
      <c r="Z760" s="8" t="n">
        <v>890</v>
      </c>
      <c r="AA760" s="9" t="n">
        <v>47511</v>
      </c>
      <c r="AB760" s="10" t="n">
        <v>-14978</v>
      </c>
      <c r="AC760" s="10" t="n">
        <v>-11655</v>
      </c>
      <c r="AD760" s="7" t="n">
        <v>59662</v>
      </c>
      <c r="AE760" s="8" t="n">
        <v>-5306</v>
      </c>
      <c r="AF760" s="8" t="n">
        <v>21746</v>
      </c>
      <c r="AG760" s="9" t="n">
        <v>43691</v>
      </c>
      <c r="AH760" s="10" t="n">
        <v>479</v>
      </c>
      <c r="AI760" s="10" t="n">
        <v>9891</v>
      </c>
      <c r="AJ760" s="11" t="n">
        <v>55220</v>
      </c>
      <c r="AK760" s="12" t="n">
        <v>4404</v>
      </c>
      <c r="AL760" s="12" t="n">
        <v>19151</v>
      </c>
      <c r="AM760" s="13" t="n">
        <v>26.4</v>
      </c>
      <c r="AN760" s="13" t="n">
        <v>38.2</v>
      </c>
      <c r="AO760" s="13" t="n">
        <v>819.4</v>
      </c>
      <c r="AP760" s="13" t="n">
        <v>9.5</v>
      </c>
    </row>
    <row r="761">
      <c r="A761" s="5" t="inlineStr">
        <is>
          <t>조아제약</t>
        </is>
      </c>
      <c r="B761" s="6" t="inlineStr">
        <is>
          <t>034940</t>
        </is>
      </c>
      <c r="C761" s="6" t="inlineStr">
        <is>
          <t>연결</t>
        </is>
      </c>
      <c r="D761" s="6" t="inlineStr">
        <is>
          <t>2026Q2</t>
        </is>
      </c>
      <c r="E761" s="6" t="inlineStr"/>
      <c r="F761" s="7" t="inlineStr"/>
      <c r="G761" s="8" t="inlineStr"/>
      <c r="H761" s="8" t="inlineStr"/>
      <c r="I761" s="9" t="n">
        <v>15138</v>
      </c>
      <c r="J761" s="10" t="n">
        <v>-1730</v>
      </c>
      <c r="K761" s="10" t="n">
        <v>-1665</v>
      </c>
      <c r="L761" s="7" t="n">
        <v>15313</v>
      </c>
      <c r="M761" s="8" t="n">
        <v>-1776</v>
      </c>
      <c r="N761" s="8" t="n">
        <v>-1580</v>
      </c>
      <c r="O761" s="9" t="n">
        <v>15237</v>
      </c>
      <c r="P761" s="10" t="n">
        <v>-2701</v>
      </c>
      <c r="Q761" s="10" t="n">
        <v>-2839</v>
      </c>
      <c r="R761" s="7" t="n">
        <v>17006</v>
      </c>
      <c r="S761" s="8" t="n">
        <v>-3442</v>
      </c>
      <c r="T761" s="8" t="n">
        <v>-4084</v>
      </c>
      <c r="U761" s="9" t="n">
        <v>14375</v>
      </c>
      <c r="V761" s="10" t="n">
        <v>-2106</v>
      </c>
      <c r="W761" s="10" t="n">
        <v>-2204</v>
      </c>
      <c r="X761" s="7" t="n">
        <v>13640</v>
      </c>
      <c r="Y761" s="8" t="n">
        <v>-1503</v>
      </c>
      <c r="Z761" s="8" t="n">
        <v>-1577</v>
      </c>
      <c r="AA761" s="9" t="n">
        <v>15479</v>
      </c>
      <c r="AB761" s="10" t="n">
        <v>-1488</v>
      </c>
      <c r="AC761" s="10" t="n">
        <v>-415</v>
      </c>
      <c r="AD761" s="7" t="n">
        <v>15817</v>
      </c>
      <c r="AE761" s="8" t="n">
        <v>-1501</v>
      </c>
      <c r="AF761" s="8" t="n">
        <v>-3167</v>
      </c>
      <c r="AG761" s="9" t="n">
        <v>14684</v>
      </c>
      <c r="AH761" s="10" t="n">
        <v>-1120</v>
      </c>
      <c r="AI761" s="10" t="n">
        <v>-150</v>
      </c>
      <c r="AJ761" s="11" t="n">
        <v>15182</v>
      </c>
      <c r="AK761" s="12" t="n">
        <v>-23</v>
      </c>
      <c r="AL761" s="12" t="n">
        <v>377</v>
      </c>
      <c r="AM761" s="13" t="n">
        <v>3.4</v>
      </c>
      <c r="AN761" s="13" t="n">
        <v>11.3</v>
      </c>
      <c r="AO761" s="13" t="n">
        <v>97.90000000000001</v>
      </c>
      <c r="AP761" s="13" t="n">
        <v>98.5</v>
      </c>
    </row>
    <row r="762">
      <c r="A762" s="5" t="inlineStr">
        <is>
          <t>한국기업평가</t>
        </is>
      </c>
      <c r="B762" s="6" t="inlineStr">
        <is>
          <t>034950</t>
        </is>
      </c>
      <c r="C762" s="6" t="inlineStr">
        <is>
          <t>연결</t>
        </is>
      </c>
      <c r="D762" s="6" t="inlineStr">
        <is>
          <t>2026Q2</t>
        </is>
      </c>
      <c r="E762" s="6" t="inlineStr"/>
      <c r="F762" s="7" t="inlineStr"/>
      <c r="G762" s="8" t="inlineStr"/>
      <c r="H762" s="8" t="inlineStr"/>
      <c r="I762" s="9" t="n">
        <v>20625</v>
      </c>
      <c r="J762" s="10" t="n">
        <v>3538</v>
      </c>
      <c r="K762" s="10" t="n">
        <v>3480</v>
      </c>
      <c r="L762" s="7" t="n">
        <v>38945</v>
      </c>
      <c r="M762" s="8" t="n">
        <v>18802</v>
      </c>
      <c r="N762" s="8" t="n">
        <v>15411</v>
      </c>
      <c r="O762" s="9" t="n">
        <v>22808</v>
      </c>
      <c r="P762" s="10" t="n">
        <v>5788</v>
      </c>
      <c r="Q762" s="10" t="n">
        <v>5452</v>
      </c>
      <c r="R762" s="7" t="n">
        <v>21679</v>
      </c>
      <c r="S762" s="8" t="n">
        <v>4552</v>
      </c>
      <c r="T762" s="8" t="n">
        <v>4253</v>
      </c>
      <c r="U762" s="9" t="n">
        <v>22056</v>
      </c>
      <c r="V762" s="10" t="n">
        <v>4781</v>
      </c>
      <c r="W762" s="10" t="n">
        <v>4294</v>
      </c>
      <c r="X762" s="7" t="n">
        <v>42660</v>
      </c>
      <c r="Y762" s="8" t="n">
        <v>20779</v>
      </c>
      <c r="Z762" s="8" t="n">
        <v>16807</v>
      </c>
      <c r="AA762" s="9" t="n">
        <v>22175</v>
      </c>
      <c r="AB762" s="10" t="n">
        <v>4589</v>
      </c>
      <c r="AC762" s="10" t="n">
        <v>4201</v>
      </c>
      <c r="AD762" s="7" t="n">
        <v>22890</v>
      </c>
      <c r="AE762" s="8" t="n">
        <v>4191</v>
      </c>
      <c r="AF762" s="8" t="n">
        <v>4078</v>
      </c>
      <c r="AG762" s="9" t="n">
        <v>22684</v>
      </c>
      <c r="AH762" s="10" t="n">
        <v>4713</v>
      </c>
      <c r="AI762" s="10" t="n">
        <v>4696</v>
      </c>
      <c r="AJ762" s="11" t="n">
        <v>42983</v>
      </c>
      <c r="AK762" s="12" t="n">
        <v>20867</v>
      </c>
      <c r="AL762" s="12" t="n">
        <v>16629</v>
      </c>
      <c r="AM762" s="13" t="n">
        <v>89.5</v>
      </c>
      <c r="AN762" s="13" t="n">
        <v>0.8</v>
      </c>
      <c r="AO762" s="13" t="n">
        <v>342.8</v>
      </c>
      <c r="AP762" s="13" t="n">
        <v>0.4</v>
      </c>
    </row>
    <row r="763">
      <c r="A763" s="5" t="inlineStr">
        <is>
          <t>HS애드</t>
        </is>
      </c>
      <c r="B763" s="6" t="inlineStr">
        <is>
          <t>035000</t>
        </is>
      </c>
      <c r="C763" s="6" t="inlineStr">
        <is>
          <t>연결</t>
        </is>
      </c>
      <c r="D763" s="6" t="inlineStr">
        <is>
          <t>2026Q2</t>
        </is>
      </c>
      <c r="E763" s="6" t="inlineStr">
        <is>
          <t>2023Q4</t>
        </is>
      </c>
      <c r="F763" s="14" t="n">
        <v>190063</v>
      </c>
      <c r="G763" s="15" t="n">
        <v>17471</v>
      </c>
      <c r="H763" s="15" t="n">
        <v>11313</v>
      </c>
      <c r="I763" s="9" t="n">
        <v>86301</v>
      </c>
      <c r="J763" s="10" t="n">
        <v>-7527</v>
      </c>
      <c r="K763" s="10" t="n">
        <v>-7511</v>
      </c>
      <c r="L763" s="7" t="n">
        <v>124782</v>
      </c>
      <c r="M763" s="8" t="n">
        <v>6152</v>
      </c>
      <c r="N763" s="8" t="n">
        <v>6806</v>
      </c>
      <c r="O763" s="9" t="n">
        <v>116463</v>
      </c>
      <c r="P763" s="10" t="n">
        <v>7582</v>
      </c>
      <c r="Q763" s="10" t="n">
        <v>5554</v>
      </c>
      <c r="R763" s="7" t="n">
        <v>227184</v>
      </c>
      <c r="S763" s="8" t="n">
        <v>23366</v>
      </c>
      <c r="T763" s="8" t="n">
        <v>17837</v>
      </c>
      <c r="U763" s="9" t="n">
        <v>80768</v>
      </c>
      <c r="V763" s="10" t="n">
        <v>-9519</v>
      </c>
      <c r="W763" s="10" t="n">
        <v>-7799</v>
      </c>
      <c r="X763" s="7" t="n">
        <v>98998</v>
      </c>
      <c r="Y763" s="8" t="n">
        <v>461</v>
      </c>
      <c r="Z763" s="8" t="n">
        <v>-612</v>
      </c>
      <c r="AA763" s="9" t="n">
        <v>92195</v>
      </c>
      <c r="AB763" s="10" t="n">
        <v>5209</v>
      </c>
      <c r="AC763" s="10" t="n">
        <v>3455</v>
      </c>
      <c r="AD763" s="7" t="n">
        <v>211890</v>
      </c>
      <c r="AE763" s="8" t="n">
        <v>31344</v>
      </c>
      <c r="AF763" s="8" t="n">
        <v>22333</v>
      </c>
      <c r="AG763" s="9" t="n">
        <v>72120</v>
      </c>
      <c r="AH763" s="10" t="n">
        <v>-12144</v>
      </c>
      <c r="AI763" s="10" t="n">
        <v>-10031</v>
      </c>
      <c r="AJ763" s="11" t="n">
        <v>102766</v>
      </c>
      <c r="AK763" s="12" t="n">
        <v>3770</v>
      </c>
      <c r="AL763" s="12" t="n">
        <v>2756</v>
      </c>
      <c r="AM763" s="13" t="n">
        <v>42.5</v>
      </c>
      <c r="AN763" s="13" t="n">
        <v>3.8</v>
      </c>
      <c r="AO763" s="13" t="n">
        <v>131</v>
      </c>
      <c r="AP763" s="13" t="n">
        <v>717.8</v>
      </c>
    </row>
    <row r="764">
      <c r="A764" s="5" t="inlineStr">
        <is>
          <t>그래디언트</t>
        </is>
      </c>
      <c r="B764" s="6" t="inlineStr">
        <is>
          <t>035080</t>
        </is>
      </c>
      <c r="C764" s="6" t="inlineStr">
        <is>
          <t>연결</t>
        </is>
      </c>
      <c r="D764" s="6" t="inlineStr">
        <is>
          <t>2026Q2</t>
        </is>
      </c>
      <c r="E764" s="6" t="inlineStr"/>
      <c r="F764" s="7" t="inlineStr"/>
      <c r="G764" s="8" t="inlineStr"/>
      <c r="H764" s="8" t="inlineStr"/>
      <c r="I764" s="9" t="n">
        <v>901833</v>
      </c>
      <c r="J764" s="10" t="n">
        <v>487</v>
      </c>
      <c r="K764" s="10" t="n">
        <v>2023</v>
      </c>
      <c r="L764" s="7" t="n">
        <v>816122</v>
      </c>
      <c r="M764" s="8" t="n">
        <v>-2329</v>
      </c>
      <c r="N764" s="8" t="n">
        <v>-21215</v>
      </c>
      <c r="O764" s="9" t="n">
        <v>783887</v>
      </c>
      <c r="P764" s="10" t="n">
        <v>-2591</v>
      </c>
      <c r="Q764" s="10" t="n">
        <v>-2752</v>
      </c>
      <c r="R764" s="7" t="n">
        <v>816068</v>
      </c>
      <c r="S764" s="8" t="n">
        <v>-1080</v>
      </c>
      <c r="T764" s="8" t="n">
        <v>-4011</v>
      </c>
      <c r="U764" s="9" t="n">
        <v>748939</v>
      </c>
      <c r="V764" s="10" t="n">
        <v>-2298</v>
      </c>
      <c r="W764" s="10" t="n">
        <v>-7140</v>
      </c>
      <c r="X764" s="7" t="n">
        <v>736448</v>
      </c>
      <c r="Y764" s="8" t="n">
        <v>-7269</v>
      </c>
      <c r="Z764" s="8" t="n">
        <v>3285</v>
      </c>
      <c r="AA764" s="9" t="n">
        <v>764959</v>
      </c>
      <c r="AB764" s="10" t="n">
        <v>-6237</v>
      </c>
      <c r="AC764" s="10" t="n">
        <v>-5350</v>
      </c>
      <c r="AD764" s="7" t="n">
        <v>811247</v>
      </c>
      <c r="AE764" s="8" t="n">
        <v>-13777</v>
      </c>
      <c r="AF764" s="8" t="n">
        <v>-15501</v>
      </c>
      <c r="AG764" s="9" t="n">
        <v>843284</v>
      </c>
      <c r="AH764" s="10" t="n">
        <v>5815</v>
      </c>
      <c r="AI764" s="10" t="n">
        <v>4865</v>
      </c>
      <c r="AJ764" s="11" t="n">
        <v>1008380</v>
      </c>
      <c r="AK764" s="12" t="n">
        <v>7838</v>
      </c>
      <c r="AL764" s="12" t="n">
        <v>13972</v>
      </c>
      <c r="AM764" s="13" t="n">
        <v>19.6</v>
      </c>
      <c r="AN764" s="13" t="n">
        <v>36.9</v>
      </c>
      <c r="AO764" s="13" t="n">
        <v>34.8</v>
      </c>
      <c r="AP764" s="13" t="n">
        <v>207.8</v>
      </c>
    </row>
    <row r="765">
      <c r="A765" s="5" t="inlineStr">
        <is>
          <t>백산</t>
        </is>
      </c>
      <c r="B765" s="6" t="inlineStr">
        <is>
          <t>035150</t>
        </is>
      </c>
      <c r="C765" s="6" t="inlineStr">
        <is>
          <t>연결</t>
        </is>
      </c>
      <c r="D765" s="6" t="inlineStr">
        <is>
          <t>2026Q2</t>
        </is>
      </c>
      <c r="E765" s="6" t="inlineStr"/>
      <c r="F765" s="7" t="inlineStr"/>
      <c r="G765" s="8" t="inlineStr"/>
      <c r="H765" s="8" t="inlineStr"/>
      <c r="I765" s="9" t="n">
        <v>119028</v>
      </c>
      <c r="J765" s="10" t="n">
        <v>20211</v>
      </c>
      <c r="K765" s="10" t="n">
        <v>17966</v>
      </c>
      <c r="L765" s="7" t="n">
        <v>115572</v>
      </c>
      <c r="M765" s="8" t="n">
        <v>18072</v>
      </c>
      <c r="N765" s="8" t="n">
        <v>12429</v>
      </c>
      <c r="O765" s="9" t="n">
        <v>128839</v>
      </c>
      <c r="P765" s="10" t="n">
        <v>18157</v>
      </c>
      <c r="Q765" s="10" t="n">
        <v>13272</v>
      </c>
      <c r="R765" s="7" t="n">
        <v>133519</v>
      </c>
      <c r="S765" s="8" t="n">
        <v>20091</v>
      </c>
      <c r="T765" s="8" t="n">
        <v>16210</v>
      </c>
      <c r="U765" s="9" t="n">
        <v>134180</v>
      </c>
      <c r="V765" s="10" t="n">
        <v>19004</v>
      </c>
      <c r="W765" s="10" t="n">
        <v>13108</v>
      </c>
      <c r="X765" s="7" t="n">
        <v>122110</v>
      </c>
      <c r="Y765" s="8" t="n">
        <v>14280</v>
      </c>
      <c r="Z765" s="8" t="n">
        <v>6638</v>
      </c>
      <c r="AA765" s="9" t="n">
        <v>134396</v>
      </c>
      <c r="AB765" s="10" t="n">
        <v>12890</v>
      </c>
      <c r="AC765" s="10" t="n">
        <v>8964</v>
      </c>
      <c r="AD765" s="7" t="n">
        <v>114236</v>
      </c>
      <c r="AE765" s="8" t="n">
        <v>7427</v>
      </c>
      <c r="AF765" s="8" t="n">
        <v>4483</v>
      </c>
      <c r="AG765" s="9" t="n">
        <v>130076</v>
      </c>
      <c r="AH765" s="10" t="n">
        <v>12663</v>
      </c>
      <c r="AI765" s="10" t="n">
        <v>12917</v>
      </c>
      <c r="AJ765" s="11" t="n">
        <v>126465</v>
      </c>
      <c r="AK765" s="12" t="n">
        <v>16339</v>
      </c>
      <c r="AL765" s="12" t="n">
        <v>9116</v>
      </c>
      <c r="AM765" s="13" t="n">
        <v>-2.8</v>
      </c>
      <c r="AN765" s="13" t="n">
        <v>3.6</v>
      </c>
      <c r="AO765" s="13" t="n">
        <v>29</v>
      </c>
      <c r="AP765" s="13" t="n">
        <v>14.4</v>
      </c>
    </row>
    <row r="766">
      <c r="A766" s="5" t="inlineStr">
        <is>
          <t>프럼파스트</t>
        </is>
      </c>
      <c r="B766" s="6" t="inlineStr">
        <is>
          <t>035200</t>
        </is>
      </c>
      <c r="C766" s="6" t="inlineStr">
        <is>
          <t>연결</t>
        </is>
      </c>
      <c r="D766" s="6" t="inlineStr">
        <is>
          <t>2026Q2</t>
        </is>
      </c>
      <c r="E766" s="6" t="inlineStr"/>
      <c r="F766" s="7" t="inlineStr"/>
      <c r="G766" s="8" t="inlineStr"/>
      <c r="H766" s="8" t="inlineStr"/>
      <c r="I766" s="9" t="n">
        <v>6403</v>
      </c>
      <c r="J766" s="10" t="n">
        <v>317</v>
      </c>
      <c r="K766" s="10" t="n">
        <v>394</v>
      </c>
      <c r="L766" s="7" t="n">
        <v>7642</v>
      </c>
      <c r="M766" s="8" t="n">
        <v>678</v>
      </c>
      <c r="N766" s="8" t="n">
        <v>669</v>
      </c>
      <c r="O766" s="9" t="n">
        <v>7123</v>
      </c>
      <c r="P766" s="10" t="n">
        <v>269</v>
      </c>
      <c r="Q766" s="10" t="n">
        <v>344</v>
      </c>
      <c r="R766" s="7" t="n">
        <v>8492</v>
      </c>
      <c r="S766" s="8" t="n">
        <v>360</v>
      </c>
      <c r="T766" s="8" t="n">
        <v>511</v>
      </c>
      <c r="U766" s="9" t="n">
        <v>6577</v>
      </c>
      <c r="V766" s="10" t="n">
        <v>70</v>
      </c>
      <c r="W766" s="10" t="n">
        <v>139</v>
      </c>
      <c r="X766" s="7" t="n">
        <v>6713</v>
      </c>
      <c r="Y766" s="8" t="n">
        <v>44</v>
      </c>
      <c r="Z766" s="8" t="n">
        <v>184</v>
      </c>
      <c r="AA766" s="9" t="n">
        <v>6020</v>
      </c>
      <c r="AB766" s="10" t="n">
        <v>-116</v>
      </c>
      <c r="AC766" s="10" t="n">
        <v>974</v>
      </c>
      <c r="AD766" s="7" t="n">
        <v>5921</v>
      </c>
      <c r="AE766" s="8" t="n">
        <v>-442</v>
      </c>
      <c r="AF766" s="8" t="n">
        <v>-275</v>
      </c>
      <c r="AG766" s="9" t="n">
        <v>5178</v>
      </c>
      <c r="AH766" s="10" t="n">
        <v>-331</v>
      </c>
      <c r="AI766" s="10" t="n">
        <v>-328</v>
      </c>
      <c r="AJ766" s="11" t="n">
        <v>7234</v>
      </c>
      <c r="AK766" s="12" t="n">
        <v>37</v>
      </c>
      <c r="AL766" s="12" t="n">
        <v>159</v>
      </c>
      <c r="AM766" s="13" t="n">
        <v>39.7</v>
      </c>
      <c r="AN766" s="13" t="n">
        <v>7.8</v>
      </c>
      <c r="AO766" s="13" t="n">
        <v>111.2</v>
      </c>
      <c r="AP766" s="13" t="n">
        <v>-15.9</v>
      </c>
    </row>
    <row r="767">
      <c r="A767" s="5" t="inlineStr">
        <is>
          <t>강원랜드</t>
        </is>
      </c>
      <c r="B767" s="6" t="inlineStr">
        <is>
          <t>035250</t>
        </is>
      </c>
      <c r="C767" s="6" t="inlineStr">
        <is>
          <t>연결</t>
        </is>
      </c>
      <c r="D767" s="6" t="inlineStr">
        <is>
          <t>2026Q2</t>
        </is>
      </c>
      <c r="E767" s="6" t="inlineStr">
        <is>
          <t>2023Q4</t>
        </is>
      </c>
      <c r="F767" s="14" t="n">
        <v>325349</v>
      </c>
      <c r="G767" s="15" t="n">
        <v>42053</v>
      </c>
      <c r="H767" s="15" t="n">
        <v>77972</v>
      </c>
      <c r="I767" s="9" t="n">
        <v>368374</v>
      </c>
      <c r="J767" s="10" t="n">
        <v>75804</v>
      </c>
      <c r="K767" s="10" t="n">
        <v>92833</v>
      </c>
      <c r="L767" s="7" t="n">
        <v>337951</v>
      </c>
      <c r="M767" s="8" t="n">
        <v>73930</v>
      </c>
      <c r="N767" s="8" t="n">
        <v>160985</v>
      </c>
      <c r="O767" s="9" t="n">
        <v>375916</v>
      </c>
      <c r="P767" s="10" t="n">
        <v>93332</v>
      </c>
      <c r="Q767" s="10" t="n">
        <v>90878</v>
      </c>
      <c r="R767" s="7" t="n">
        <v>344622</v>
      </c>
      <c r="S767" s="8" t="n">
        <v>42724</v>
      </c>
      <c r="T767" s="8" t="n">
        <v>112197</v>
      </c>
      <c r="U767" s="9" t="n">
        <v>366311</v>
      </c>
      <c r="V767" s="10" t="n">
        <v>74263</v>
      </c>
      <c r="W767" s="10" t="n">
        <v>74619</v>
      </c>
      <c r="X767" s="7" t="n">
        <v>360822</v>
      </c>
      <c r="Y767" s="8" t="n">
        <v>58514</v>
      </c>
      <c r="Z767" s="8" t="n">
        <v>62811</v>
      </c>
      <c r="AA767" s="9" t="n">
        <v>384147</v>
      </c>
      <c r="AB767" s="10" t="n">
        <v>72702</v>
      </c>
      <c r="AC767" s="10" t="n">
        <v>113070</v>
      </c>
      <c r="AD767" s="7" t="n">
        <v>365447</v>
      </c>
      <c r="AE767" s="8" t="n">
        <v>29832</v>
      </c>
      <c r="AF767" s="8" t="n">
        <v>67693</v>
      </c>
      <c r="AG767" s="9" t="n">
        <v>378924</v>
      </c>
      <c r="AH767" s="10" t="n">
        <v>68915</v>
      </c>
      <c r="AI767" s="10" t="n">
        <v>39664</v>
      </c>
      <c r="AJ767" s="11" t="n">
        <v>345635</v>
      </c>
      <c r="AK767" s="12" t="n">
        <v>43804</v>
      </c>
      <c r="AL767" s="12" t="n">
        <v>109866</v>
      </c>
      <c r="AM767" s="13" t="n">
        <v>-8.800000000000001</v>
      </c>
      <c r="AN767" s="13" t="n">
        <v>-4.2</v>
      </c>
      <c r="AO767" s="13" t="n">
        <v>-36.4</v>
      </c>
      <c r="AP767" s="13" t="n">
        <v>-25.1</v>
      </c>
    </row>
    <row r="768">
      <c r="A768" s="5" t="inlineStr">
        <is>
          <t>골드앤에스</t>
        </is>
      </c>
      <c r="B768" s="6" t="inlineStr">
        <is>
          <t>035290</t>
        </is>
      </c>
      <c r="C768" s="6" t="inlineStr">
        <is>
          <t>별도</t>
        </is>
      </c>
      <c r="D768" s="6" t="inlineStr">
        <is>
          <t>2026Q2</t>
        </is>
      </c>
      <c r="E768" s="6" t="inlineStr"/>
      <c r="F768" s="7" t="inlineStr"/>
      <c r="G768" s="8" t="inlineStr"/>
      <c r="H768" s="8" t="inlineStr"/>
      <c r="I768" s="9" t="n">
        <v>2883</v>
      </c>
      <c r="J768" s="10" t="n">
        <v>-222</v>
      </c>
      <c r="K768" s="10" t="n">
        <v>-120</v>
      </c>
      <c r="L768" s="7" t="n">
        <v>2302</v>
      </c>
      <c r="M768" s="8" t="n">
        <v>-178</v>
      </c>
      <c r="N768" s="8" t="n">
        <v>-37</v>
      </c>
      <c r="O768" s="9" t="n">
        <v>2275</v>
      </c>
      <c r="P768" s="10" t="n">
        <v>-118</v>
      </c>
      <c r="Q768" s="10" t="n">
        <v>17</v>
      </c>
      <c r="R768" s="7" t="n">
        <v>2134</v>
      </c>
      <c r="S768" s="8" t="n">
        <v>32</v>
      </c>
      <c r="T768" s="8" t="n">
        <v>201</v>
      </c>
      <c r="U768" s="9" t="n">
        <v>2205</v>
      </c>
      <c r="V768" s="10" t="n">
        <v>-590</v>
      </c>
      <c r="W768" s="10" t="n">
        <v>-465</v>
      </c>
      <c r="X768" s="7" t="n">
        <v>2108</v>
      </c>
      <c r="Y768" s="8" t="n">
        <v>-427</v>
      </c>
      <c r="Z768" s="8" t="n">
        <v>-356</v>
      </c>
      <c r="AA768" s="9" t="n">
        <v>2487</v>
      </c>
      <c r="AB768" s="10" t="n">
        <v>-311</v>
      </c>
      <c r="AC768" s="10" t="n">
        <v>-215</v>
      </c>
      <c r="AD768" s="7" t="n">
        <v>2220</v>
      </c>
      <c r="AE768" s="8" t="n">
        <v>-550</v>
      </c>
      <c r="AF768" s="8" t="n">
        <v>-438</v>
      </c>
      <c r="AG768" s="9" t="n">
        <v>7653</v>
      </c>
      <c r="AH768" s="10" t="n">
        <v>653</v>
      </c>
      <c r="AI768" s="10" t="n">
        <v>730</v>
      </c>
      <c r="AJ768" s="11" t="n">
        <v>5765</v>
      </c>
      <c r="AK768" s="12" t="n">
        <v>187</v>
      </c>
      <c r="AL768" s="12" t="n">
        <v>1219</v>
      </c>
      <c r="AM768" s="13" t="n">
        <v>-24.7</v>
      </c>
      <c r="AN768" s="13" t="n">
        <v>173.5</v>
      </c>
      <c r="AO768" s="13" t="n">
        <v>-71.40000000000001</v>
      </c>
      <c r="AP768" s="13" t="n">
        <v>143.8</v>
      </c>
    </row>
    <row r="769">
      <c r="A769" s="5" t="inlineStr">
        <is>
          <t>NAVER</t>
        </is>
      </c>
      <c r="B769" s="6" t="inlineStr">
        <is>
          <t>035420</t>
        </is>
      </c>
      <c r="C769" s="6" t="inlineStr">
        <is>
          <t>연결</t>
        </is>
      </c>
      <c r="D769" s="6" t="inlineStr">
        <is>
          <t>2026Q2</t>
        </is>
      </c>
      <c r="E769" s="6" t="inlineStr">
        <is>
          <t>2023Q4</t>
        </is>
      </c>
      <c r="F769" s="14" t="n">
        <v>2537000</v>
      </c>
      <c r="G769" s="15" t="n">
        <v>405500</v>
      </c>
      <c r="H769" s="15" t="n">
        <v>301800</v>
      </c>
      <c r="I769" s="9" t="n">
        <v>2526055</v>
      </c>
      <c r="J769" s="10" t="n">
        <v>439293</v>
      </c>
      <c r="K769" s="10" t="n">
        <v>555803</v>
      </c>
      <c r="L769" s="7" t="n">
        <v>2610486</v>
      </c>
      <c r="M769" s="8" t="n">
        <v>472685</v>
      </c>
      <c r="N769" s="8" t="n">
        <v>332057</v>
      </c>
      <c r="O769" s="9" t="n">
        <v>2715557</v>
      </c>
      <c r="P769" s="10" t="n">
        <v>525270</v>
      </c>
      <c r="Q769" s="10" t="n">
        <v>530078</v>
      </c>
      <c r="R769" s="7" t="n">
        <v>2885621</v>
      </c>
      <c r="S769" s="8" t="n">
        <v>542015</v>
      </c>
      <c r="T769" s="8" t="n">
        <v>514038</v>
      </c>
      <c r="U769" s="9" t="n">
        <v>2786783</v>
      </c>
      <c r="V769" s="10" t="n">
        <v>505301</v>
      </c>
      <c r="W769" s="10" t="n">
        <v>423661</v>
      </c>
      <c r="X769" s="7" t="n">
        <v>2915085</v>
      </c>
      <c r="Y769" s="8" t="n">
        <v>521554</v>
      </c>
      <c r="Z769" s="8" t="n">
        <v>497358</v>
      </c>
      <c r="AA769" s="9" t="n">
        <v>3138055</v>
      </c>
      <c r="AB769" s="10" t="n">
        <v>570647</v>
      </c>
      <c r="AC769" s="10" t="n">
        <v>734724</v>
      </c>
      <c r="AD769" s="7" t="n">
        <v>3195084</v>
      </c>
      <c r="AE769" s="8" t="n">
        <v>610636</v>
      </c>
      <c r="AF769" s="8" t="n">
        <v>163003</v>
      </c>
      <c r="AG769" s="9" t="n">
        <v>3241061</v>
      </c>
      <c r="AH769" s="10" t="n">
        <v>541757</v>
      </c>
      <c r="AI769" s="10" t="n">
        <v>291022</v>
      </c>
      <c r="AJ769" s="11" t="n">
        <v>3388755</v>
      </c>
      <c r="AK769" s="12" t="n">
        <v>520309</v>
      </c>
      <c r="AL769" s="12" t="n">
        <v>704273</v>
      </c>
      <c r="AM769" s="13" t="n">
        <v>4.6</v>
      </c>
      <c r="AN769" s="13" t="n">
        <v>16.2</v>
      </c>
      <c r="AO769" s="13" t="n">
        <v>-4</v>
      </c>
      <c r="AP769" s="13" t="n">
        <v>-0.2</v>
      </c>
    </row>
    <row r="770">
      <c r="A770" s="5" t="inlineStr">
        <is>
          <t>기산텔레콤</t>
        </is>
      </c>
      <c r="B770" s="6" t="inlineStr">
        <is>
          <t>035460</t>
        </is>
      </c>
      <c r="C770" s="6" t="inlineStr">
        <is>
          <t>연결</t>
        </is>
      </c>
      <c r="D770" s="6" t="inlineStr">
        <is>
          <t>2026Q2</t>
        </is>
      </c>
      <c r="E770" s="6" t="inlineStr"/>
      <c r="F770" s="7" t="inlineStr"/>
      <c r="G770" s="8" t="inlineStr"/>
      <c r="H770" s="8" t="inlineStr"/>
      <c r="I770" s="9" t="n">
        <v>11352</v>
      </c>
      <c r="J770" s="10" t="n">
        <v>-859</v>
      </c>
      <c r="K770" s="10" t="n">
        <v>-720</v>
      </c>
      <c r="L770" s="7" t="n">
        <v>17730</v>
      </c>
      <c r="M770" s="8" t="n">
        <v>-1881</v>
      </c>
      <c r="N770" s="8" t="n">
        <v>-1713</v>
      </c>
      <c r="O770" s="9" t="n">
        <v>23482</v>
      </c>
      <c r="P770" s="10" t="n">
        <v>-1181</v>
      </c>
      <c r="Q770" s="10" t="n">
        <v>-1849</v>
      </c>
      <c r="R770" s="7" t="n">
        <v>40514</v>
      </c>
      <c r="S770" s="8" t="n">
        <v>8868</v>
      </c>
      <c r="T770" s="8" t="n">
        <v>12373</v>
      </c>
      <c r="U770" s="9" t="n">
        <v>18175</v>
      </c>
      <c r="V770" s="10" t="n">
        <v>378</v>
      </c>
      <c r="W770" s="10" t="n">
        <v>260</v>
      </c>
      <c r="X770" s="7" t="n">
        <v>18981</v>
      </c>
      <c r="Y770" s="8" t="n">
        <v>-1993</v>
      </c>
      <c r="Z770" s="8" t="n">
        <v>-3447</v>
      </c>
      <c r="AA770" s="9" t="n">
        <v>20742</v>
      </c>
      <c r="AB770" s="10" t="n">
        <v>3617</v>
      </c>
      <c r="AC770" s="10" t="n">
        <v>4254</v>
      </c>
      <c r="AD770" s="7" t="n">
        <v>41575</v>
      </c>
      <c r="AE770" s="8" t="n">
        <v>6076</v>
      </c>
      <c r="AF770" s="8" t="n">
        <v>4729</v>
      </c>
      <c r="AG770" s="9" t="n">
        <v>17837</v>
      </c>
      <c r="AH770" s="10" t="n">
        <v>3136</v>
      </c>
      <c r="AI770" s="10" t="n">
        <v>4058</v>
      </c>
      <c r="AJ770" s="11" t="n">
        <v>19900</v>
      </c>
      <c r="AK770" s="12" t="n">
        <v>5331</v>
      </c>
      <c r="AL770" s="12" t="n">
        <v>3904</v>
      </c>
      <c r="AM770" s="13" t="n">
        <v>11.6</v>
      </c>
      <c r="AN770" s="13" t="n">
        <v>4.8</v>
      </c>
      <c r="AO770" s="13" t="n">
        <v>70</v>
      </c>
      <c r="AP770" s="13" t="n">
        <v>367.5</v>
      </c>
    </row>
    <row r="771">
      <c r="A771" s="5" t="inlineStr">
        <is>
          <t>신세계I&amp;C</t>
        </is>
      </c>
      <c r="B771" s="6" t="inlineStr">
        <is>
          <t>035510</t>
        </is>
      </c>
      <c r="C771" s="6" t="inlineStr">
        <is>
          <t>연결</t>
        </is>
      </c>
      <c r="D771" s="6" t="inlineStr">
        <is>
          <t>2026Q2</t>
        </is>
      </c>
      <c r="E771" s="6" t="inlineStr">
        <is>
          <t>2023Q4</t>
        </is>
      </c>
      <c r="F771" s="14" t="n">
        <v>160549</v>
      </c>
      <c r="G771" s="15" t="n">
        <v>11841</v>
      </c>
      <c r="H771" s="15" t="n">
        <v>6411</v>
      </c>
      <c r="I771" s="9" t="n">
        <v>157100</v>
      </c>
      <c r="J771" s="10" t="n">
        <v>7142</v>
      </c>
      <c r="K771" s="10" t="n">
        <v>6895</v>
      </c>
      <c r="L771" s="7" t="n">
        <v>144794</v>
      </c>
      <c r="M771" s="8" t="n">
        <v>10507</v>
      </c>
      <c r="N771" s="8" t="n">
        <v>9481</v>
      </c>
      <c r="O771" s="9" t="n">
        <v>144096</v>
      </c>
      <c r="P771" s="10" t="n">
        <v>5706</v>
      </c>
      <c r="Q771" s="10" t="n">
        <v>5096</v>
      </c>
      <c r="R771" s="7" t="n">
        <v>179726</v>
      </c>
      <c r="S771" s="8" t="n">
        <v>13598</v>
      </c>
      <c r="T771" s="8" t="n">
        <v>12376</v>
      </c>
      <c r="U771" s="9" t="n">
        <v>172108</v>
      </c>
      <c r="V771" s="10" t="n">
        <v>10664</v>
      </c>
      <c r="W771" s="10" t="n">
        <v>9394</v>
      </c>
      <c r="X771" s="7" t="n">
        <v>181435</v>
      </c>
      <c r="Y771" s="8" t="n">
        <v>13454</v>
      </c>
      <c r="Z771" s="8" t="n">
        <v>11747</v>
      </c>
      <c r="AA771" s="9" t="n">
        <v>163558</v>
      </c>
      <c r="AB771" s="10" t="n">
        <v>12551</v>
      </c>
      <c r="AC771" s="10" t="n">
        <v>12604</v>
      </c>
      <c r="AD771" s="7" t="n">
        <v>170099</v>
      </c>
      <c r="AE771" s="8" t="n">
        <v>12444</v>
      </c>
      <c r="AF771" s="8" t="n">
        <v>-5406</v>
      </c>
      <c r="AG771" s="9" t="n">
        <v>178613</v>
      </c>
      <c r="AH771" s="10" t="n">
        <v>12445</v>
      </c>
      <c r="AI771" s="10" t="n">
        <v>10267</v>
      </c>
      <c r="AJ771" s="11" t="n">
        <v>174955</v>
      </c>
      <c r="AK771" s="12" t="n">
        <v>15237</v>
      </c>
      <c r="AL771" s="12" t="n">
        <v>12842</v>
      </c>
      <c r="AM771" s="13" t="n">
        <v>-2</v>
      </c>
      <c r="AN771" s="13" t="n">
        <v>-3.6</v>
      </c>
      <c r="AO771" s="13" t="n">
        <v>22.4</v>
      </c>
      <c r="AP771" s="13" t="n">
        <v>13.3</v>
      </c>
    </row>
    <row r="772">
      <c r="A772" s="5" t="inlineStr">
        <is>
          <t>KG이니시스</t>
        </is>
      </c>
      <c r="B772" s="6" t="inlineStr">
        <is>
          <t>035600</t>
        </is>
      </c>
      <c r="C772" s="6" t="inlineStr">
        <is>
          <t>연결</t>
        </is>
      </c>
      <c r="D772" s="6" t="inlineStr">
        <is>
          <t>2026Q2</t>
        </is>
      </c>
      <c r="E772" s="6" t="inlineStr">
        <is>
          <t>2023Q4</t>
        </is>
      </c>
      <c r="F772" s="14" t="n">
        <v>353451</v>
      </c>
      <c r="G772" s="15" t="n">
        <v>28689</v>
      </c>
      <c r="H772" s="15" t="n">
        <v>29469</v>
      </c>
      <c r="I772" s="9" t="n">
        <v>367765</v>
      </c>
      <c r="J772" s="10" t="n">
        <v>29935</v>
      </c>
      <c r="K772" s="10" t="n">
        <v>22943</v>
      </c>
      <c r="L772" s="7" t="n">
        <v>348031</v>
      </c>
      <c r="M772" s="8" t="n">
        <v>26782</v>
      </c>
      <c r="N772" s="8" t="n">
        <v>20014</v>
      </c>
      <c r="O772" s="9" t="n">
        <v>337879</v>
      </c>
      <c r="P772" s="10" t="n">
        <v>-4988</v>
      </c>
      <c r="Q772" s="10" t="n">
        <v>-6382</v>
      </c>
      <c r="R772" s="7" t="n">
        <v>300662</v>
      </c>
      <c r="S772" s="8" t="n">
        <v>9264</v>
      </c>
      <c r="T772" s="8" t="n">
        <v>8139</v>
      </c>
      <c r="U772" s="9" t="n">
        <v>328562</v>
      </c>
      <c r="V772" s="10" t="n">
        <v>24319</v>
      </c>
      <c r="W772" s="10" t="n">
        <v>17524</v>
      </c>
      <c r="X772" s="7" t="n">
        <v>323310</v>
      </c>
      <c r="Y772" s="8" t="n">
        <v>24862</v>
      </c>
      <c r="Z772" s="8" t="n">
        <v>16547</v>
      </c>
      <c r="AA772" s="9" t="n">
        <v>355928</v>
      </c>
      <c r="AB772" s="10" t="n">
        <v>28305</v>
      </c>
      <c r="AC772" s="10" t="n">
        <v>20461</v>
      </c>
      <c r="AD772" s="7" t="n">
        <v>351085</v>
      </c>
      <c r="AE772" s="8" t="n">
        <v>21072</v>
      </c>
      <c r="AF772" s="8" t="n">
        <v>3251</v>
      </c>
      <c r="AG772" s="9" t="n">
        <v>381672</v>
      </c>
      <c r="AH772" s="10" t="n">
        <v>25462</v>
      </c>
      <c r="AI772" s="10" t="n">
        <v>17448</v>
      </c>
      <c r="AJ772" s="11" t="n">
        <v>371847</v>
      </c>
      <c r="AK772" s="12" t="n">
        <v>28611</v>
      </c>
      <c r="AL772" s="12" t="n">
        <v>19682</v>
      </c>
      <c r="AM772" s="13" t="n">
        <v>-2.6</v>
      </c>
      <c r="AN772" s="13" t="n">
        <v>15</v>
      </c>
      <c r="AO772" s="13" t="n">
        <v>12.4</v>
      </c>
      <c r="AP772" s="13" t="n">
        <v>15.1</v>
      </c>
    </row>
    <row r="773">
      <c r="A773" s="5" t="inlineStr">
        <is>
          <t>솔본</t>
        </is>
      </c>
      <c r="B773" s="6" t="inlineStr">
        <is>
          <t>035610</t>
        </is>
      </c>
      <c r="C773" s="6" t="inlineStr">
        <is>
          <t>연결</t>
        </is>
      </c>
      <c r="D773" s="6" t="inlineStr">
        <is>
          <t>2026Q2</t>
        </is>
      </c>
      <c r="E773" s="6" t="inlineStr"/>
      <c r="F773" s="7" t="inlineStr"/>
      <c r="G773" s="8" t="inlineStr"/>
      <c r="H773" s="8" t="inlineStr"/>
      <c r="I773" s="9" t="n">
        <v>25892</v>
      </c>
      <c r="J773" s="10" t="n">
        <v>614</v>
      </c>
      <c r="K773" s="10" t="n">
        <v>14102</v>
      </c>
      <c r="L773" s="7" t="n">
        <v>31211</v>
      </c>
      <c r="M773" s="8" t="n">
        <v>9274</v>
      </c>
      <c r="N773" s="8" t="n">
        <v>14507</v>
      </c>
      <c r="O773" s="9" t="n">
        <v>27320</v>
      </c>
      <c r="P773" s="10" t="n">
        <v>5293</v>
      </c>
      <c r="Q773" s="10" t="n">
        <v>4393</v>
      </c>
      <c r="R773" s="7" t="n">
        <v>31658</v>
      </c>
      <c r="S773" s="8" t="n">
        <v>5993</v>
      </c>
      <c r="T773" s="8" t="n">
        <v>21348</v>
      </c>
      <c r="U773" s="9" t="n">
        <v>24821</v>
      </c>
      <c r="V773" s="10" t="n">
        <v>-5966</v>
      </c>
      <c r="W773" s="10" t="n">
        <v>-9243</v>
      </c>
      <c r="X773" s="7" t="n">
        <v>40179</v>
      </c>
      <c r="Y773" s="8" t="n">
        <v>21781</v>
      </c>
      <c r="Z773" s="8" t="n">
        <v>20537</v>
      </c>
      <c r="AA773" s="9" t="n">
        <v>26985</v>
      </c>
      <c r="AB773" s="10" t="n">
        <v>4447</v>
      </c>
      <c r="AC773" s="10" t="n">
        <v>22119</v>
      </c>
      <c r="AD773" s="7" t="n">
        <v>28666</v>
      </c>
      <c r="AE773" s="8" t="n">
        <v>4359</v>
      </c>
      <c r="AF773" s="8" t="n">
        <v>1110</v>
      </c>
      <c r="AG773" s="9" t="n">
        <v>35301</v>
      </c>
      <c r="AH773" s="10" t="n">
        <v>3630</v>
      </c>
      <c r="AI773" s="10" t="n">
        <v>8246</v>
      </c>
      <c r="AJ773" s="11" t="n">
        <v>34988</v>
      </c>
      <c r="AK773" s="12" t="n">
        <v>16044</v>
      </c>
      <c r="AL773" s="12" t="n">
        <v>37302</v>
      </c>
      <c r="AM773" s="13" t="n">
        <v>-0.9</v>
      </c>
      <c r="AN773" s="13" t="n">
        <v>-12.9</v>
      </c>
      <c r="AO773" s="13" t="n">
        <v>342</v>
      </c>
      <c r="AP773" s="13" t="n">
        <v>-26.3</v>
      </c>
    </row>
    <row r="774">
      <c r="A774" s="5" t="inlineStr">
        <is>
          <t>바른손이앤에이</t>
        </is>
      </c>
      <c r="B774" s="6" t="inlineStr">
        <is>
          <t>035620</t>
        </is>
      </c>
      <c r="C774" s="6" t="inlineStr">
        <is>
          <t>연결</t>
        </is>
      </c>
      <c r="D774" s="6" t="inlineStr">
        <is>
          <t>2026Q2</t>
        </is>
      </c>
      <c r="E774" s="6" t="inlineStr"/>
      <c r="F774" s="7" t="inlineStr"/>
      <c r="G774" s="8" t="inlineStr"/>
      <c r="H774" s="8" t="inlineStr"/>
      <c r="I774" s="9" t="inlineStr"/>
      <c r="J774" s="10" t="n">
        <v>427</v>
      </c>
      <c r="K774" s="10" t="n">
        <v>-442</v>
      </c>
      <c r="L774" s="7" t="n">
        <v>2144</v>
      </c>
      <c r="M774" s="8" t="n">
        <v>161</v>
      </c>
      <c r="N774" s="8" t="n">
        <v>-1361</v>
      </c>
      <c r="O774" s="9" t="n">
        <v>1983</v>
      </c>
      <c r="P774" s="10" t="n">
        <v>-1209</v>
      </c>
      <c r="Q774" s="10" t="n">
        <v>-3086</v>
      </c>
      <c r="R774" s="7" t="inlineStr"/>
      <c r="S774" s="8" t="n">
        <v>355</v>
      </c>
      <c r="T774" s="8" t="n">
        <v>-286</v>
      </c>
      <c r="U774" s="9" t="n">
        <v>4435</v>
      </c>
      <c r="V774" s="10" t="n">
        <v>225</v>
      </c>
      <c r="W774" s="10" t="n">
        <v>519</v>
      </c>
      <c r="X774" s="7" t="n">
        <v>2372</v>
      </c>
      <c r="Y774" s="8" t="n">
        <v>32</v>
      </c>
      <c r="Z774" s="8" t="n">
        <v>-761</v>
      </c>
      <c r="AA774" s="9" t="n">
        <v>967</v>
      </c>
      <c r="AB774" s="10" t="n">
        <v>-724</v>
      </c>
      <c r="AC774" s="10" t="n">
        <v>581</v>
      </c>
      <c r="AD774" s="7" t="n">
        <v>3830</v>
      </c>
      <c r="AE774" s="8" t="n">
        <v>-1809</v>
      </c>
      <c r="AF774" s="8" t="n">
        <v>-7232</v>
      </c>
      <c r="AG774" s="9" t="n">
        <v>2303</v>
      </c>
      <c r="AH774" s="10" t="n">
        <v>-109</v>
      </c>
      <c r="AI774" s="10" t="n">
        <v>-109</v>
      </c>
      <c r="AJ774" s="11" t="n">
        <v>2237</v>
      </c>
      <c r="AK774" s="12" t="n">
        <v>-259</v>
      </c>
      <c r="AL774" s="12" t="n">
        <v>414</v>
      </c>
      <c r="AM774" s="13" t="n">
        <v>-2.9</v>
      </c>
      <c r="AN774" s="13" t="n">
        <v>-5.7</v>
      </c>
      <c r="AO774" s="13" t="n">
        <v>-137.6</v>
      </c>
      <c r="AP774" s="13" t="n">
        <v>-909.4</v>
      </c>
    </row>
    <row r="775">
      <c r="A775" s="5" t="inlineStr">
        <is>
          <t>카카오</t>
        </is>
      </c>
      <c r="B775" s="6" t="inlineStr">
        <is>
          <t>035720</t>
        </is>
      </c>
      <c r="C775" s="6" t="inlineStr">
        <is>
          <t>연결</t>
        </is>
      </c>
      <c r="D775" s="6" t="inlineStr">
        <is>
          <t>2026Q2</t>
        </is>
      </c>
      <c r="E775" s="6" t="inlineStr">
        <is>
          <t>2023Q4</t>
        </is>
      </c>
      <c r="F775" s="14" t="n">
        <v>2171086</v>
      </c>
      <c r="G775" s="15" t="n">
        <v>189176</v>
      </c>
      <c r="H775" s="15" t="n">
        <v>-1657475</v>
      </c>
      <c r="I775" s="9" t="n">
        <v>1988350</v>
      </c>
      <c r="J775" s="10" t="n">
        <v>120294</v>
      </c>
      <c r="K775" s="10" t="n">
        <v>67675</v>
      </c>
      <c r="L775" s="7" t="n">
        <v>2004898</v>
      </c>
      <c r="M775" s="8" t="n">
        <v>133964</v>
      </c>
      <c r="N775" s="8" t="n">
        <v>87149</v>
      </c>
      <c r="O775" s="9" t="n">
        <v>1921398</v>
      </c>
      <c r="P775" s="10" t="n">
        <v>130526</v>
      </c>
      <c r="Q775" s="10" t="n">
        <v>78513</v>
      </c>
      <c r="R775" s="7" t="n">
        <v>1957046</v>
      </c>
      <c r="S775" s="8" t="n">
        <v>75428</v>
      </c>
      <c r="T775" s="8" t="n">
        <v>-395208</v>
      </c>
      <c r="U775" s="9" t="n">
        <v>1863731</v>
      </c>
      <c r="V775" s="10" t="n">
        <v>105401</v>
      </c>
      <c r="W775" s="10" t="n">
        <v>200334</v>
      </c>
      <c r="X775" s="7" t="n">
        <v>2028313</v>
      </c>
      <c r="Y775" s="8" t="n">
        <v>185926</v>
      </c>
      <c r="Z775" s="8" t="n">
        <v>171815</v>
      </c>
      <c r="AA775" s="9" t="n">
        <v>2086580</v>
      </c>
      <c r="AB775" s="10" t="n">
        <v>208048</v>
      </c>
      <c r="AC775" s="10" t="n">
        <v>192863</v>
      </c>
      <c r="AD775" s="7" t="n">
        <v>2120524</v>
      </c>
      <c r="AE775" s="8" t="n">
        <v>232662</v>
      </c>
      <c r="AF775" s="8" t="n">
        <v>-47052</v>
      </c>
      <c r="AG775" s="9" t="n">
        <v>1942077</v>
      </c>
      <c r="AH775" s="10" t="n">
        <v>211398</v>
      </c>
      <c r="AI775" s="10" t="n">
        <v>226836</v>
      </c>
      <c r="AJ775" s="11" t="n">
        <v>2098456</v>
      </c>
      <c r="AK775" s="12" t="n">
        <v>277016</v>
      </c>
      <c r="AL775" s="12" t="n">
        <v>17980</v>
      </c>
      <c r="AM775" s="13" t="n">
        <v>8.1</v>
      </c>
      <c r="AN775" s="13" t="n">
        <v>3.5</v>
      </c>
      <c r="AO775" s="13" t="n">
        <v>31</v>
      </c>
      <c r="AP775" s="13" t="n">
        <v>49</v>
      </c>
    </row>
    <row r="776">
      <c r="A776" s="5" t="inlineStr">
        <is>
          <t>CJ ENM</t>
        </is>
      </c>
      <c r="B776" s="6" t="inlineStr">
        <is>
          <t>035760</t>
        </is>
      </c>
      <c r="C776" s="6" t="inlineStr">
        <is>
          <t>연결</t>
        </is>
      </c>
      <c r="D776" s="6" t="inlineStr">
        <is>
          <t>2026Q2</t>
        </is>
      </c>
      <c r="E776" s="6" t="inlineStr">
        <is>
          <t>2023Q4</t>
        </is>
      </c>
      <c r="F776" s="14" t="n">
        <v>1259628</v>
      </c>
      <c r="G776" s="15" t="n">
        <v>58701</v>
      </c>
      <c r="H776" s="15" t="n">
        <v>-135154</v>
      </c>
      <c r="I776" s="9" t="n">
        <v>1154143</v>
      </c>
      <c r="J776" s="10" t="n">
        <v>12333</v>
      </c>
      <c r="K776" s="10" t="n">
        <v>-34786</v>
      </c>
      <c r="L776" s="7" t="n">
        <v>1164731</v>
      </c>
      <c r="M776" s="8" t="n">
        <v>35327</v>
      </c>
      <c r="N776" s="8" t="n">
        <v>10150</v>
      </c>
      <c r="O776" s="9" t="n">
        <v>1124550</v>
      </c>
      <c r="P776" s="10" t="n">
        <v>15834</v>
      </c>
      <c r="Q776" s="10" t="n">
        <v>-531424</v>
      </c>
      <c r="R776" s="7" t="n">
        <v>1787936</v>
      </c>
      <c r="S776" s="8" t="n">
        <v>40984</v>
      </c>
      <c r="T776" s="8" t="n">
        <v>-24787</v>
      </c>
      <c r="U776" s="9" t="n">
        <v>1138278</v>
      </c>
      <c r="V776" s="10" t="n">
        <v>705</v>
      </c>
      <c r="W776" s="10" t="n">
        <v>-82169</v>
      </c>
      <c r="X776" s="7" t="n">
        <v>1312870</v>
      </c>
      <c r="Y776" s="8" t="n">
        <v>28610</v>
      </c>
      <c r="Z776" s="8" t="n">
        <v>114588</v>
      </c>
      <c r="AA776" s="9" t="n">
        <v>1245607</v>
      </c>
      <c r="AB776" s="10" t="n">
        <v>17571</v>
      </c>
      <c r="AC776" s="10" t="n">
        <v>79778</v>
      </c>
      <c r="AD776" s="7" t="n">
        <v>1437756</v>
      </c>
      <c r="AE776" s="8" t="n">
        <v>86002</v>
      </c>
      <c r="AF776" s="8" t="n">
        <v>-95183</v>
      </c>
      <c r="AG776" s="9" t="n">
        <v>1329666</v>
      </c>
      <c r="AH776" s="10" t="n">
        <v>1460</v>
      </c>
      <c r="AI776" s="10" t="n">
        <v>-6104</v>
      </c>
      <c r="AJ776" s="11" t="n">
        <v>1203275</v>
      </c>
      <c r="AK776" s="12" t="n">
        <v>33447</v>
      </c>
      <c r="AL776" s="12" t="n">
        <v>22248</v>
      </c>
      <c r="AM776" s="13" t="n">
        <v>-9.5</v>
      </c>
      <c r="AN776" s="13" t="n">
        <v>-8.300000000000001</v>
      </c>
      <c r="AO776" s="13" t="n">
        <v>2190.9</v>
      </c>
      <c r="AP776" s="13" t="n">
        <v>16.9</v>
      </c>
    </row>
    <row r="777">
      <c r="A777" s="5" t="inlineStr">
        <is>
          <t>이지홀딩스</t>
        </is>
      </c>
      <c r="B777" s="6" t="inlineStr">
        <is>
          <t>035810</t>
        </is>
      </c>
      <c r="C777" s="6" t="inlineStr">
        <is>
          <t>연결</t>
        </is>
      </c>
      <c r="D777" s="6" t="inlineStr">
        <is>
          <t>2026Q2</t>
        </is>
      </c>
      <c r="E777" s="6" t="inlineStr"/>
      <c r="F777" s="7" t="inlineStr"/>
      <c r="G777" s="8" t="inlineStr"/>
      <c r="H777" s="8" t="inlineStr"/>
      <c r="I777" s="9" t="n">
        <v>782569</v>
      </c>
      <c r="J777" s="10" t="n">
        <v>22919</v>
      </c>
      <c r="K777" s="10" t="n">
        <v>10584</v>
      </c>
      <c r="L777" s="7" t="n">
        <v>826799</v>
      </c>
      <c r="M777" s="8" t="n">
        <v>56202</v>
      </c>
      <c r="N777" s="8" t="n">
        <v>34402</v>
      </c>
      <c r="O777" s="9" t="n">
        <v>804349</v>
      </c>
      <c r="P777" s="10" t="n">
        <v>34504</v>
      </c>
      <c r="Q777" s="10" t="n">
        <v>31059</v>
      </c>
      <c r="R777" s="7" t="n">
        <v>871259</v>
      </c>
      <c r="S777" s="8" t="n">
        <v>9771</v>
      </c>
      <c r="T777" s="8" t="n">
        <v>-40949</v>
      </c>
      <c r="U777" s="9" t="n">
        <v>845697</v>
      </c>
      <c r="V777" s="10" t="n">
        <v>17408</v>
      </c>
      <c r="W777" s="10" t="n">
        <v>7749</v>
      </c>
      <c r="X777" s="7" t="n">
        <v>828164</v>
      </c>
      <c r="Y777" s="8" t="n">
        <v>54664</v>
      </c>
      <c r="Z777" s="8" t="n">
        <v>45848</v>
      </c>
      <c r="AA777" s="9" t="n">
        <v>839979</v>
      </c>
      <c r="AB777" s="10" t="n">
        <v>64319</v>
      </c>
      <c r="AC777" s="10" t="n">
        <v>48203</v>
      </c>
      <c r="AD777" s="7" t="n">
        <v>875064</v>
      </c>
      <c r="AE777" s="8" t="n">
        <v>14959</v>
      </c>
      <c r="AF777" s="8" t="n">
        <v>-32549</v>
      </c>
      <c r="AG777" s="9" t="n">
        <v>860948</v>
      </c>
      <c r="AH777" s="10" t="n">
        <v>34166</v>
      </c>
      <c r="AI777" s="10" t="n">
        <v>10270</v>
      </c>
      <c r="AJ777" s="11" t="n">
        <v>913908</v>
      </c>
      <c r="AK777" s="12" t="n">
        <v>56653</v>
      </c>
      <c r="AL777" s="12" t="n">
        <v>38966</v>
      </c>
      <c r="AM777" s="13" t="n">
        <v>6.2</v>
      </c>
      <c r="AN777" s="13" t="n">
        <v>10.4</v>
      </c>
      <c r="AO777" s="13" t="n">
        <v>65.8</v>
      </c>
      <c r="AP777" s="13" t="n">
        <v>3.6</v>
      </c>
    </row>
    <row r="778">
      <c r="A778" s="5" t="inlineStr">
        <is>
          <t>서희건설</t>
        </is>
      </c>
      <c r="B778" s="6" t="inlineStr">
        <is>
          <t>035890</t>
        </is>
      </c>
      <c r="C778" s="6" t="inlineStr">
        <is>
          <t>연결</t>
        </is>
      </c>
      <c r="D778" s="6" t="inlineStr">
        <is>
          <t>2026Q2</t>
        </is>
      </c>
      <c r="E778" s="6" t="inlineStr"/>
      <c r="F778" s="7" t="inlineStr"/>
      <c r="G778" s="8" t="inlineStr"/>
      <c r="H778" s="8" t="inlineStr"/>
      <c r="I778" s="9" t="n">
        <v>364785</v>
      </c>
      <c r="J778" s="10" t="n">
        <v>48748</v>
      </c>
      <c r="K778" s="10" t="n">
        <v>67014</v>
      </c>
      <c r="L778" s="7" t="n">
        <v>407559</v>
      </c>
      <c r="M778" s="8" t="n">
        <v>63706</v>
      </c>
      <c r="N778" s="8" t="n">
        <v>23001</v>
      </c>
      <c r="O778" s="9" t="n">
        <v>341372</v>
      </c>
      <c r="P778" s="10" t="n">
        <v>59797</v>
      </c>
      <c r="Q778" s="10" t="n">
        <v>32589</v>
      </c>
      <c r="R778" s="7" t="n">
        <v>359890</v>
      </c>
      <c r="S778" s="8" t="n">
        <v>63492</v>
      </c>
      <c r="T778" s="8" t="n">
        <v>36680</v>
      </c>
      <c r="U778" s="9" t="n">
        <v>286979</v>
      </c>
      <c r="V778" s="10" t="n">
        <v>50908</v>
      </c>
      <c r="W778" s="10" t="n">
        <v>16600</v>
      </c>
      <c r="X778" s="7" t="n">
        <v>302859</v>
      </c>
      <c r="Y778" s="8" t="n">
        <v>39119</v>
      </c>
      <c r="Z778" s="8" t="n">
        <v>29685</v>
      </c>
      <c r="AA778" s="9" t="n">
        <v>236864</v>
      </c>
      <c r="AB778" s="10" t="n">
        <v>28304</v>
      </c>
      <c r="AC778" s="10" t="n">
        <v>32762</v>
      </c>
      <c r="AD778" s="7" t="n">
        <v>273428</v>
      </c>
      <c r="AE778" s="8" t="n">
        <v>26058</v>
      </c>
      <c r="AF778" s="8" t="n">
        <v>41554</v>
      </c>
      <c r="AG778" s="9" t="n">
        <v>191679</v>
      </c>
      <c r="AH778" s="10" t="n">
        <v>10460</v>
      </c>
      <c r="AI778" s="10" t="n">
        <v>19352</v>
      </c>
      <c r="AJ778" s="11" t="n">
        <v>200542</v>
      </c>
      <c r="AK778" s="12" t="n">
        <v>36427</v>
      </c>
      <c r="AL778" s="12" t="n">
        <v>150189</v>
      </c>
      <c r="AM778" s="13" t="n">
        <v>4.6</v>
      </c>
      <c r="AN778" s="13" t="n">
        <v>-33.8</v>
      </c>
      <c r="AO778" s="13" t="n">
        <v>248.3</v>
      </c>
      <c r="AP778" s="13" t="n">
        <v>-6.9</v>
      </c>
    </row>
    <row r="779">
      <c r="A779" s="5" t="inlineStr">
        <is>
          <t>JYP Ent.</t>
        </is>
      </c>
      <c r="B779" s="6" t="inlineStr">
        <is>
          <t>035900</t>
        </is>
      </c>
      <c r="C779" s="6" t="inlineStr">
        <is>
          <t>연결</t>
        </is>
      </c>
      <c r="D779" s="6" t="inlineStr">
        <is>
          <t>2026Q2</t>
        </is>
      </c>
      <c r="E779" s="6" t="inlineStr"/>
      <c r="F779" s="7" t="inlineStr"/>
      <c r="G779" s="8" t="inlineStr"/>
      <c r="H779" s="8" t="inlineStr"/>
      <c r="I779" s="9" t="n">
        <v>136502</v>
      </c>
      <c r="J779" s="10" t="n">
        <v>33612</v>
      </c>
      <c r="K779" s="10" t="n">
        <v>31464</v>
      </c>
      <c r="L779" s="7" t="n">
        <v>95708</v>
      </c>
      <c r="M779" s="8" t="n">
        <v>9342</v>
      </c>
      <c r="N779" s="8" t="n">
        <v>1279</v>
      </c>
      <c r="O779" s="9" t="n">
        <v>170473</v>
      </c>
      <c r="P779" s="10" t="n">
        <v>48400</v>
      </c>
      <c r="Q779" s="10" t="n">
        <v>38792</v>
      </c>
      <c r="R779" s="7" t="n">
        <v>199105</v>
      </c>
      <c r="S779" s="8" t="n">
        <v>36908</v>
      </c>
      <c r="T779" s="8" t="n">
        <v>26180</v>
      </c>
      <c r="U779" s="9" t="n">
        <v>140759</v>
      </c>
      <c r="V779" s="10" t="n">
        <v>19628</v>
      </c>
      <c r="W779" s="10" t="n">
        <v>69280</v>
      </c>
      <c r="X779" s="7" t="n">
        <v>215832</v>
      </c>
      <c r="Y779" s="8" t="n">
        <v>52908</v>
      </c>
      <c r="Z779" s="8" t="n">
        <v>36259</v>
      </c>
      <c r="AA779" s="9" t="n">
        <v>232626</v>
      </c>
      <c r="AB779" s="10" t="n">
        <v>40792</v>
      </c>
      <c r="AC779" s="10" t="n">
        <v>27166</v>
      </c>
      <c r="AD779" s="7" t="n">
        <v>232638</v>
      </c>
      <c r="AE779" s="8" t="n">
        <v>41918</v>
      </c>
      <c r="AF779" s="8" t="n">
        <v>27858</v>
      </c>
      <c r="AG779" s="9" t="n">
        <v>185960</v>
      </c>
      <c r="AH779" s="10" t="n">
        <v>33374</v>
      </c>
      <c r="AI779" s="10" t="n">
        <v>31905</v>
      </c>
      <c r="AJ779" s="11" t="n">
        <v>183143</v>
      </c>
      <c r="AK779" s="12" t="n">
        <v>30998</v>
      </c>
      <c r="AL779" s="12" t="n">
        <v>21661</v>
      </c>
      <c r="AM779" s="13" t="n">
        <v>-1.5</v>
      </c>
      <c r="AN779" s="13" t="n">
        <v>-15.1</v>
      </c>
      <c r="AO779" s="13" t="n">
        <v>-7.1</v>
      </c>
      <c r="AP779" s="13" t="n">
        <v>-41.4</v>
      </c>
    </row>
    <row r="780">
      <c r="A780" s="5" t="inlineStr">
        <is>
          <t>예림당</t>
        </is>
      </c>
      <c r="B780" s="6" t="inlineStr">
        <is>
          <t>036000</t>
        </is>
      </c>
      <c r="C780" s="6" t="inlineStr">
        <is>
          <t>별도</t>
        </is>
      </c>
      <c r="D780" s="6" t="inlineStr">
        <is>
          <t>2026Q2</t>
        </is>
      </c>
      <c r="E780" s="6" t="inlineStr"/>
      <c r="F780" s="7" t="inlineStr"/>
      <c r="G780" s="8" t="inlineStr"/>
      <c r="H780" s="8" t="inlineStr"/>
      <c r="I780" s="9" t="n">
        <v>3795</v>
      </c>
      <c r="J780" s="10" t="n">
        <v>-1239</v>
      </c>
      <c r="K780" s="10" t="n">
        <v>8388</v>
      </c>
      <c r="L780" s="7" t="n">
        <v>3737</v>
      </c>
      <c r="M780" s="8" t="n">
        <v>-1576</v>
      </c>
      <c r="N780" s="8" t="n">
        <v>-2562</v>
      </c>
      <c r="O780" s="9" t="n">
        <v>4681</v>
      </c>
      <c r="P780" s="10" t="n">
        <v>-1070</v>
      </c>
      <c r="Q780" s="10" t="n">
        <v>-1436</v>
      </c>
      <c r="R780" s="7" t="n">
        <v>4793</v>
      </c>
      <c r="S780" s="8" t="n">
        <v>-1014</v>
      </c>
      <c r="T780" s="8" t="n">
        <v>-26355</v>
      </c>
      <c r="U780" s="9" t="n">
        <v>2742</v>
      </c>
      <c r="V780" s="10" t="n">
        <v>-144</v>
      </c>
      <c r="W780" s="10" t="n">
        <v>-13948</v>
      </c>
      <c r="X780" s="7" t="n">
        <v>2558</v>
      </c>
      <c r="Y780" s="8" t="n">
        <v>-264</v>
      </c>
      <c r="Z780" s="8" t="n">
        <v>139545</v>
      </c>
      <c r="AA780" s="9" t="n">
        <v>2524</v>
      </c>
      <c r="AB780" s="10" t="n">
        <v>-640</v>
      </c>
      <c r="AC780" s="10" t="n">
        <v>1063</v>
      </c>
      <c r="AD780" s="7" t="n">
        <v>2434</v>
      </c>
      <c r="AE780" s="8" t="n">
        <v>-372</v>
      </c>
      <c r="AF780" s="8" t="n">
        <v>-465</v>
      </c>
      <c r="AG780" s="9" t="n">
        <v>3184</v>
      </c>
      <c r="AH780" s="10" t="n">
        <v>140</v>
      </c>
      <c r="AI780" s="10" t="n">
        <v>-881</v>
      </c>
      <c r="AJ780" s="11" t="n">
        <v>2400</v>
      </c>
      <c r="AK780" s="12" t="n">
        <v>-263</v>
      </c>
      <c r="AL780" s="12" t="n">
        <v>9767</v>
      </c>
      <c r="AM780" s="13" t="n">
        <v>-24.6</v>
      </c>
      <c r="AN780" s="13" t="n">
        <v>-6.2</v>
      </c>
      <c r="AO780" s="13" t="n">
        <v>-287.9</v>
      </c>
      <c r="AP780" s="13" t="n">
        <v>0.4</v>
      </c>
    </row>
    <row r="781">
      <c r="A781" s="5" t="inlineStr">
        <is>
          <t>아비코전자</t>
        </is>
      </c>
      <c r="B781" s="6" t="inlineStr">
        <is>
          <t>036010</t>
        </is>
      </c>
      <c r="C781" s="6" t="inlineStr">
        <is>
          <t>연결</t>
        </is>
      </c>
      <c r="D781" s="6" t="inlineStr">
        <is>
          <t>2026Q2</t>
        </is>
      </c>
      <c r="E781" s="6" t="inlineStr"/>
      <c r="F781" s="7" t="inlineStr"/>
      <c r="G781" s="8" t="inlineStr"/>
      <c r="H781" s="8" t="inlineStr"/>
      <c r="I781" s="9" t="n">
        <v>29598</v>
      </c>
      <c r="J781" s="10" t="n">
        <v>-1545</v>
      </c>
      <c r="K781" s="10" t="n">
        <v>-346</v>
      </c>
      <c r="L781" s="7" t="n">
        <v>32061</v>
      </c>
      <c r="M781" s="8" t="n">
        <v>-734</v>
      </c>
      <c r="N781" s="8" t="n">
        <v>-188</v>
      </c>
      <c r="O781" s="9" t="n">
        <v>30002</v>
      </c>
      <c r="P781" s="10" t="n">
        <v>-1259</v>
      </c>
      <c r="Q781" s="10" t="n">
        <v>-474</v>
      </c>
      <c r="R781" s="7" t="n">
        <v>29269</v>
      </c>
      <c r="S781" s="8" t="n">
        <v>-1339</v>
      </c>
      <c r="T781" s="8" t="n">
        <v>-4815</v>
      </c>
      <c r="U781" s="9" t="n">
        <v>31422</v>
      </c>
      <c r="V781" s="10" t="n">
        <v>935</v>
      </c>
      <c r="W781" s="10" t="n">
        <v>920</v>
      </c>
      <c r="X781" s="7" t="n">
        <v>33578</v>
      </c>
      <c r="Y781" s="8" t="n">
        <v>2845</v>
      </c>
      <c r="Z781" s="8" t="n">
        <v>3418</v>
      </c>
      <c r="AA781" s="9" t="n">
        <v>34702</v>
      </c>
      <c r="AB781" s="10" t="n">
        <v>2418</v>
      </c>
      <c r="AC781" s="10" t="n">
        <v>2812</v>
      </c>
      <c r="AD781" s="7" t="n">
        <v>34151</v>
      </c>
      <c r="AE781" s="8" t="n">
        <v>2116</v>
      </c>
      <c r="AF781" s="8" t="n">
        <v>2372</v>
      </c>
      <c r="AG781" s="9" t="n">
        <v>35262</v>
      </c>
      <c r="AH781" s="10" t="n">
        <v>1946</v>
      </c>
      <c r="AI781" s="10" t="n">
        <v>2614</v>
      </c>
      <c r="AJ781" s="11" t="inlineStr"/>
      <c r="AK781" s="12" t="n">
        <v>4026</v>
      </c>
      <c r="AL781" s="12" t="n">
        <v>4479</v>
      </c>
      <c r="AM781" s="13" t="inlineStr"/>
      <c r="AN781" s="13" t="inlineStr"/>
      <c r="AO781" s="13" t="n">
        <v>106.9</v>
      </c>
      <c r="AP781" s="13" t="n">
        <v>41.5</v>
      </c>
    </row>
    <row r="782">
      <c r="A782" s="5" t="inlineStr">
        <is>
          <t>케이티알파</t>
        </is>
      </c>
      <c r="B782" s="6" t="inlineStr">
        <is>
          <t>036030</t>
        </is>
      </c>
      <c r="C782" s="6" t="inlineStr">
        <is>
          <t>별도</t>
        </is>
      </c>
      <c r="D782" s="6" t="inlineStr">
        <is>
          <t>2026Q2</t>
        </is>
      </c>
      <c r="E782" s="6" t="inlineStr"/>
      <c r="F782" s="7" t="inlineStr"/>
      <c r="G782" s="8" t="inlineStr"/>
      <c r="H782" s="8" t="inlineStr"/>
      <c r="I782" s="9" t="n">
        <v>106464</v>
      </c>
      <c r="J782" s="10" t="n">
        <v>8665</v>
      </c>
      <c r="K782" s="10" t="n">
        <v>8235</v>
      </c>
      <c r="L782" s="7" t="n">
        <v>107860</v>
      </c>
      <c r="M782" s="8" t="n">
        <v>8735</v>
      </c>
      <c r="N782" s="8" t="n">
        <v>2756</v>
      </c>
      <c r="O782" s="9" t="n">
        <v>99382</v>
      </c>
      <c r="P782" s="10" t="n">
        <v>3263</v>
      </c>
      <c r="Q782" s="10" t="n">
        <v>4399</v>
      </c>
      <c r="R782" s="7" t="n">
        <v>74464</v>
      </c>
      <c r="S782" s="8" t="n">
        <v>3932</v>
      </c>
      <c r="T782" s="8" t="n">
        <v>4285</v>
      </c>
      <c r="U782" s="9" t="n">
        <v>96547</v>
      </c>
      <c r="V782" s="10" t="n">
        <v>12242</v>
      </c>
      <c r="W782" s="10" t="n">
        <v>10817</v>
      </c>
      <c r="X782" s="7" t="n">
        <v>100066</v>
      </c>
      <c r="Y782" s="8" t="n">
        <v>13916</v>
      </c>
      <c r="Z782" s="8" t="n">
        <v>13267</v>
      </c>
      <c r="AA782" s="9" t="n">
        <v>96300</v>
      </c>
      <c r="AB782" s="10" t="n">
        <v>11346</v>
      </c>
      <c r="AC782" s="10" t="n">
        <v>12795</v>
      </c>
      <c r="AD782" s="7" t="n">
        <v>102973</v>
      </c>
      <c r="AE782" s="8" t="n">
        <v>6658</v>
      </c>
      <c r="AF782" s="8" t="n">
        <v>6765</v>
      </c>
      <c r="AG782" s="9" t="n">
        <v>96159</v>
      </c>
      <c r="AH782" s="10" t="n">
        <v>13527</v>
      </c>
      <c r="AI782" s="10" t="n">
        <v>11426</v>
      </c>
      <c r="AJ782" s="11" t="n">
        <v>96366</v>
      </c>
      <c r="AK782" s="12" t="n">
        <v>12722</v>
      </c>
      <c r="AL782" s="12" t="n">
        <v>13322</v>
      </c>
      <c r="AM782" s="13" t="n">
        <v>0.2</v>
      </c>
      <c r="AN782" s="13" t="n">
        <v>-3.7</v>
      </c>
      <c r="AO782" s="13" t="n">
        <v>-6</v>
      </c>
      <c r="AP782" s="13" t="n">
        <v>-8.6</v>
      </c>
    </row>
    <row r="783">
      <c r="A783" s="5" t="inlineStr">
        <is>
          <t>위지트</t>
        </is>
      </c>
      <c r="B783" s="6" t="inlineStr">
        <is>
          <t>036090</t>
        </is>
      </c>
      <c r="C783" s="6" t="inlineStr">
        <is>
          <t>연결</t>
        </is>
      </c>
      <c r="D783" s="6" t="inlineStr">
        <is>
          <t>2026Q2</t>
        </is>
      </c>
      <c r="E783" s="6" t="inlineStr"/>
      <c r="F783" s="7" t="inlineStr"/>
      <c r="G783" s="8" t="inlineStr"/>
      <c r="H783" s="8" t="inlineStr"/>
      <c r="I783" s="9" t="n">
        <v>62908</v>
      </c>
      <c r="J783" s="10" t="n">
        <v>3344</v>
      </c>
      <c r="K783" s="10" t="n">
        <v>7372</v>
      </c>
      <c r="L783" s="7" t="n">
        <v>74762</v>
      </c>
      <c r="M783" s="8" t="n">
        <v>4399</v>
      </c>
      <c r="N783" s="8" t="n">
        <v>4826</v>
      </c>
      <c r="O783" s="9" t="n">
        <v>115477</v>
      </c>
      <c r="P783" s="10" t="n">
        <v>3811</v>
      </c>
      <c r="Q783" s="10" t="n">
        <v>6733</v>
      </c>
      <c r="R783" s="7" t="n">
        <v>104614</v>
      </c>
      <c r="S783" s="8" t="n">
        <v>2293</v>
      </c>
      <c r="T783" s="8" t="n">
        <v>-17259</v>
      </c>
      <c r="U783" s="9" t="n">
        <v>114129</v>
      </c>
      <c r="V783" s="10" t="n">
        <v>4582</v>
      </c>
      <c r="W783" s="10" t="n">
        <v>3212</v>
      </c>
      <c r="X783" s="7" t="n">
        <v>125054</v>
      </c>
      <c r="Y783" s="8" t="n">
        <v>9519</v>
      </c>
      <c r="Z783" s="8" t="n">
        <v>7362</v>
      </c>
      <c r="AA783" s="9" t="n">
        <v>110355</v>
      </c>
      <c r="AB783" s="10" t="n">
        <v>7251</v>
      </c>
      <c r="AC783" s="10" t="n">
        <v>10823</v>
      </c>
      <c r="AD783" s="7" t="n">
        <v>133488</v>
      </c>
      <c r="AE783" s="8" t="n">
        <v>4488</v>
      </c>
      <c r="AF783" s="8" t="n">
        <v>2564</v>
      </c>
      <c r="AG783" s="9" t="n">
        <v>116016</v>
      </c>
      <c r="AH783" s="10" t="n">
        <v>4026</v>
      </c>
      <c r="AI783" s="10" t="n">
        <v>1884</v>
      </c>
      <c r="AJ783" s="11" t="n">
        <v>114697</v>
      </c>
      <c r="AK783" s="12" t="n">
        <v>7812</v>
      </c>
      <c r="AL783" s="12" t="n">
        <v>-1779</v>
      </c>
      <c r="AM783" s="13" t="n">
        <v>-1.1</v>
      </c>
      <c r="AN783" s="13" t="n">
        <v>-8.300000000000001</v>
      </c>
      <c r="AO783" s="13" t="n">
        <v>94</v>
      </c>
      <c r="AP783" s="13" t="n">
        <v>-17.9</v>
      </c>
    </row>
    <row r="784">
      <c r="A784" s="5" t="inlineStr">
        <is>
          <t>서울평가정보</t>
        </is>
      </c>
      <c r="B784" s="6" t="inlineStr">
        <is>
          <t>036120</t>
        </is>
      </c>
      <c r="C784" s="6" t="inlineStr">
        <is>
          <t>연결</t>
        </is>
      </c>
      <c r="D784" s="6" t="inlineStr">
        <is>
          <t>2026Q2</t>
        </is>
      </c>
      <c r="E784" s="6" t="inlineStr"/>
      <c r="F784" s="7" t="inlineStr"/>
      <c r="G784" s="8" t="inlineStr"/>
      <c r="H784" s="8" t="inlineStr"/>
      <c r="I784" s="9" t="n">
        <v>8086</v>
      </c>
      <c r="J784" s="10" t="n">
        <v>-130</v>
      </c>
      <c r="K784" s="10" t="n">
        <v>-759</v>
      </c>
      <c r="L784" s="7" t="n">
        <v>13846</v>
      </c>
      <c r="M784" s="8" t="n">
        <v>5198</v>
      </c>
      <c r="N784" s="8" t="n">
        <v>3946</v>
      </c>
      <c r="O784" s="9" t="n">
        <v>8061</v>
      </c>
      <c r="P784" s="10" t="n">
        <v>214</v>
      </c>
      <c r="Q784" s="10" t="n">
        <v>-94</v>
      </c>
      <c r="R784" s="7" t="n">
        <v>8089</v>
      </c>
      <c r="S784" s="8" t="n">
        <v>-122</v>
      </c>
      <c r="T784" s="8" t="n">
        <v>-403</v>
      </c>
      <c r="U784" s="9" t="n">
        <v>8569</v>
      </c>
      <c r="V784" s="10" t="n">
        <v>242</v>
      </c>
      <c r="W784" s="10" t="n">
        <v>312</v>
      </c>
      <c r="X784" s="7" t="n">
        <v>15454</v>
      </c>
      <c r="Y784" s="8" t="n">
        <v>6508</v>
      </c>
      <c r="Z784" s="8" t="n">
        <v>5182</v>
      </c>
      <c r="AA784" s="9" t="n">
        <v>8912</v>
      </c>
      <c r="AB784" s="10" t="n">
        <v>772</v>
      </c>
      <c r="AC784" s="10" t="n">
        <v>1027</v>
      </c>
      <c r="AD784" s="7" t="n">
        <v>8323</v>
      </c>
      <c r="AE784" s="8" t="n">
        <v>-764</v>
      </c>
      <c r="AF784" s="8" t="n">
        <v>274</v>
      </c>
      <c r="AG784" s="9" t="n">
        <v>8832</v>
      </c>
      <c r="AH784" s="10" t="n">
        <v>268</v>
      </c>
      <c r="AI784" s="10" t="n">
        <v>-571</v>
      </c>
      <c r="AJ784" s="11" t="n">
        <v>17328</v>
      </c>
      <c r="AK784" s="12" t="n">
        <v>7396</v>
      </c>
      <c r="AL784" s="12" t="n">
        <v>5810</v>
      </c>
      <c r="AM784" s="13" t="n">
        <v>96.2</v>
      </c>
      <c r="AN784" s="13" t="n">
        <v>12.1</v>
      </c>
      <c r="AO784" s="13" t="n">
        <v>2659.7</v>
      </c>
      <c r="AP784" s="13" t="n">
        <v>13.6</v>
      </c>
    </row>
    <row r="785">
      <c r="A785" s="5" t="inlineStr">
        <is>
          <t>에이치엠넥스</t>
        </is>
      </c>
      <c r="B785" s="6" t="inlineStr">
        <is>
          <t>036170</t>
        </is>
      </c>
      <c r="C785" s="6" t="inlineStr">
        <is>
          <t>연결</t>
        </is>
      </c>
      <c r="D785" s="6" t="inlineStr">
        <is>
          <t>2026Q2</t>
        </is>
      </c>
      <c r="E785" s="6" t="inlineStr"/>
      <c r="F785" s="7" t="inlineStr"/>
      <c r="G785" s="8" t="inlineStr"/>
      <c r="H785" s="8" t="inlineStr"/>
      <c r="I785" s="9" t="n">
        <v>3596</v>
      </c>
      <c r="J785" s="10" t="n">
        <v>-4</v>
      </c>
      <c r="K785" s="10" t="n">
        <v>2618</v>
      </c>
      <c r="L785" s="7" t="n">
        <v>3954</v>
      </c>
      <c r="M785" s="8" t="n">
        <v>202</v>
      </c>
      <c r="N785" s="8" t="n">
        <v>3363</v>
      </c>
      <c r="O785" s="9" t="n">
        <v>3527</v>
      </c>
      <c r="P785" s="10" t="n">
        <v>-8</v>
      </c>
      <c r="Q785" s="10" t="n">
        <v>755</v>
      </c>
      <c r="R785" s="7" t="n">
        <v>4086</v>
      </c>
      <c r="S785" s="8" t="n">
        <v>128</v>
      </c>
      <c r="T785" s="8" t="n">
        <v>-1223</v>
      </c>
      <c r="U785" s="9" t="n">
        <v>3818</v>
      </c>
      <c r="V785" s="10" t="n">
        <v>31</v>
      </c>
      <c r="W785" s="10" t="n">
        <v>1808</v>
      </c>
      <c r="X785" s="7" t="n">
        <v>4754</v>
      </c>
      <c r="Y785" s="8" t="n">
        <v>157</v>
      </c>
      <c r="Z785" s="8" t="n">
        <v>1730</v>
      </c>
      <c r="AA785" s="9" t="n">
        <v>11308</v>
      </c>
      <c r="AB785" s="10" t="n">
        <v>1278</v>
      </c>
      <c r="AC785" s="10" t="n">
        <v>3528</v>
      </c>
      <c r="AD785" s="7" t="n">
        <v>11827</v>
      </c>
      <c r="AE785" s="8" t="n">
        <v>901</v>
      </c>
      <c r="AF785" s="8" t="n">
        <v>3844</v>
      </c>
      <c r="AG785" s="9" t="n">
        <v>11568</v>
      </c>
      <c r="AH785" s="10" t="n">
        <v>868</v>
      </c>
      <c r="AI785" s="10" t="n">
        <v>2697</v>
      </c>
      <c r="AJ785" s="11" t="n">
        <v>13363</v>
      </c>
      <c r="AK785" s="12" t="n">
        <v>1383</v>
      </c>
      <c r="AL785" s="12" t="n">
        <v>1255</v>
      </c>
      <c r="AM785" s="13" t="n">
        <v>15.5</v>
      </c>
      <c r="AN785" s="13" t="n">
        <v>181.1</v>
      </c>
      <c r="AO785" s="13" t="n">
        <v>59.3</v>
      </c>
      <c r="AP785" s="13" t="n">
        <v>780.9</v>
      </c>
    </row>
    <row r="786">
      <c r="A786" s="5" t="inlineStr">
        <is>
          <t>금화피에스시</t>
        </is>
      </c>
      <c r="B786" s="6" t="inlineStr">
        <is>
          <t>036190</t>
        </is>
      </c>
      <c r="C786" s="6" t="inlineStr">
        <is>
          <t>연결</t>
        </is>
      </c>
      <c r="D786" s="6" t="inlineStr">
        <is>
          <t>2026Q2</t>
        </is>
      </c>
      <c r="E786" s="6" t="inlineStr"/>
      <c r="F786" s="7" t="inlineStr"/>
      <c r="G786" s="8" t="inlineStr"/>
      <c r="H786" s="8" t="inlineStr"/>
      <c r="I786" s="9" t="n">
        <v>66821</v>
      </c>
      <c r="J786" s="10" t="n">
        <v>5406</v>
      </c>
      <c r="K786" s="10" t="n">
        <v>7880</v>
      </c>
      <c r="L786" s="7" t="n">
        <v>109360</v>
      </c>
      <c r="M786" s="8" t="n">
        <v>25442</v>
      </c>
      <c r="N786" s="8" t="n">
        <v>21275</v>
      </c>
      <c r="O786" s="9" t="n">
        <v>65637</v>
      </c>
      <c r="P786" s="10" t="n">
        <v>2875</v>
      </c>
      <c r="Q786" s="10" t="n">
        <v>2869</v>
      </c>
      <c r="R786" s="7" t="n">
        <v>98409</v>
      </c>
      <c r="S786" s="8" t="n">
        <v>2475</v>
      </c>
      <c r="T786" s="8" t="n">
        <v>8015</v>
      </c>
      <c r="U786" s="9" t="n">
        <v>86967</v>
      </c>
      <c r="V786" s="10" t="n">
        <v>6246</v>
      </c>
      <c r="W786" s="10" t="n">
        <v>3970</v>
      </c>
      <c r="X786" s="7" t="n">
        <v>110574</v>
      </c>
      <c r="Y786" s="8" t="n">
        <v>18278</v>
      </c>
      <c r="Z786" s="8" t="n">
        <v>13800</v>
      </c>
      <c r="AA786" s="9" t="n">
        <v>93792</v>
      </c>
      <c r="AB786" s="10" t="n">
        <v>3762</v>
      </c>
      <c r="AC786" s="10" t="n">
        <v>3110</v>
      </c>
      <c r="AD786" s="7" t="n">
        <v>132101</v>
      </c>
      <c r="AE786" s="8" t="n">
        <v>15515</v>
      </c>
      <c r="AF786" s="8" t="n">
        <v>9712</v>
      </c>
      <c r="AG786" s="9" t="n">
        <v>84919</v>
      </c>
      <c r="AH786" s="10" t="n">
        <v>1284</v>
      </c>
      <c r="AI786" s="10" t="n">
        <v>2925</v>
      </c>
      <c r="AJ786" s="11" t="n">
        <v>137038</v>
      </c>
      <c r="AK786" s="12" t="n">
        <v>16824</v>
      </c>
      <c r="AL786" s="12" t="n">
        <v>14229</v>
      </c>
      <c r="AM786" s="13" t="n">
        <v>61.4</v>
      </c>
      <c r="AN786" s="13" t="n">
        <v>23.9</v>
      </c>
      <c r="AO786" s="13" t="n">
        <v>1210.3</v>
      </c>
      <c r="AP786" s="13" t="n">
        <v>-8</v>
      </c>
    </row>
    <row r="787">
      <c r="A787" s="5" t="inlineStr">
        <is>
          <t>유니셈</t>
        </is>
      </c>
      <c r="B787" s="6" t="inlineStr">
        <is>
          <t>036200</t>
        </is>
      </c>
      <c r="C787" s="6" t="inlineStr">
        <is>
          <t>연결</t>
        </is>
      </c>
      <c r="D787" s="6" t="inlineStr">
        <is>
          <t>2026Q2</t>
        </is>
      </c>
      <c r="E787" s="6" t="inlineStr"/>
      <c r="F787" s="7" t="inlineStr"/>
      <c r="G787" s="8" t="inlineStr"/>
      <c r="H787" s="8" t="inlineStr"/>
      <c r="I787" s="9" t="n">
        <v>55187</v>
      </c>
      <c r="J787" s="10" t="n">
        <v>4560</v>
      </c>
      <c r="K787" s="10" t="n">
        <v>6033</v>
      </c>
      <c r="L787" s="7" t="n">
        <v>45062</v>
      </c>
      <c r="M787" s="8" t="n">
        <v>-500</v>
      </c>
      <c r="N787" s="8" t="n">
        <v>1558</v>
      </c>
      <c r="O787" s="9" t="n">
        <v>56386</v>
      </c>
      <c r="P787" s="10" t="n">
        <v>3174</v>
      </c>
      <c r="Q787" s="10" t="n">
        <v>1465</v>
      </c>
      <c r="R787" s="7" t="n">
        <v>61526</v>
      </c>
      <c r="S787" s="8" t="n">
        <v>2740</v>
      </c>
      <c r="T787" s="8" t="n">
        <v>6449</v>
      </c>
      <c r="U787" s="9" t="n">
        <v>60512</v>
      </c>
      <c r="V787" s="10" t="n">
        <v>4777</v>
      </c>
      <c r="W787" s="10" t="n">
        <v>4130</v>
      </c>
      <c r="X787" s="7" t="n">
        <v>80043</v>
      </c>
      <c r="Y787" s="8" t="n">
        <v>2106</v>
      </c>
      <c r="Z787" s="8" t="n">
        <v>-736</v>
      </c>
      <c r="AA787" s="9" t="n">
        <v>56821</v>
      </c>
      <c r="AB787" s="10" t="n">
        <v>1747</v>
      </c>
      <c r="AC787" s="10" t="n">
        <v>3294</v>
      </c>
      <c r="AD787" s="7" t="n">
        <v>75954</v>
      </c>
      <c r="AE787" s="8" t="n">
        <v>2272</v>
      </c>
      <c r="AF787" s="8" t="n">
        <v>2277</v>
      </c>
      <c r="AG787" s="9" t="n">
        <v>74838</v>
      </c>
      <c r="AH787" s="10" t="n">
        <v>5122</v>
      </c>
      <c r="AI787" s="10" t="n">
        <v>5531</v>
      </c>
      <c r="AJ787" s="11" t="n">
        <v>80144</v>
      </c>
      <c r="AK787" s="12" t="n">
        <v>5348</v>
      </c>
      <c r="AL787" s="12" t="n">
        <v>5258</v>
      </c>
      <c r="AM787" s="13" t="n">
        <v>7.1</v>
      </c>
      <c r="AN787" s="13" t="n">
        <v>0.1</v>
      </c>
      <c r="AO787" s="13" t="n">
        <v>4.4</v>
      </c>
      <c r="AP787" s="13" t="n">
        <v>153.9</v>
      </c>
    </row>
    <row r="788">
      <c r="A788" s="5" t="inlineStr">
        <is>
          <t>오상헬스케어</t>
        </is>
      </c>
      <c r="B788" s="6" t="inlineStr">
        <is>
          <t>036220</t>
        </is>
      </c>
      <c r="C788" s="6" t="inlineStr">
        <is>
          <t>연결</t>
        </is>
      </c>
      <c r="D788" s="6" t="inlineStr">
        <is>
          <t>2026Q2</t>
        </is>
      </c>
      <c r="E788" s="6" t="inlineStr"/>
      <c r="F788" s="7" t="inlineStr"/>
      <c r="G788" s="8" t="inlineStr"/>
      <c r="H788" s="8" t="inlineStr"/>
      <c r="I788" s="9" t="n">
        <v>20684</v>
      </c>
      <c r="J788" s="10" t="n">
        <v>-5097</v>
      </c>
      <c r="K788" s="10" t="n">
        <v>1318</v>
      </c>
      <c r="L788" s="7" t="n">
        <v>19998</v>
      </c>
      <c r="M788" s="8" t="n">
        <v>-4371</v>
      </c>
      <c r="N788" s="8" t="n">
        <v>-5841</v>
      </c>
      <c r="O788" s="9" t="n">
        <v>20432</v>
      </c>
      <c r="P788" s="10" t="n">
        <v>-7146</v>
      </c>
      <c r="Q788" s="10" t="n">
        <v>-5455</v>
      </c>
      <c r="R788" s="7" t="n">
        <v>19374</v>
      </c>
      <c r="S788" s="8" t="n">
        <v>-8171</v>
      </c>
      <c r="T788" s="8" t="n">
        <v>-1413</v>
      </c>
      <c r="U788" s="9" t="n">
        <v>32129</v>
      </c>
      <c r="V788" s="10" t="n">
        <v>4070</v>
      </c>
      <c r="W788" s="10" t="n">
        <v>3945</v>
      </c>
      <c r="X788" s="7" t="n">
        <v>42035</v>
      </c>
      <c r="Y788" s="8" t="n">
        <v>6409</v>
      </c>
      <c r="Z788" s="8" t="n">
        <v>-237</v>
      </c>
      <c r="AA788" s="9" t="n">
        <v>25493</v>
      </c>
      <c r="AB788" s="10" t="n">
        <v>-4862</v>
      </c>
      <c r="AC788" s="10" t="n">
        <v>3005</v>
      </c>
      <c r="AD788" s="7" t="n">
        <v>28972</v>
      </c>
      <c r="AE788" s="8" t="n">
        <v>-3191</v>
      </c>
      <c r="AF788" s="8" t="n">
        <v>-3606</v>
      </c>
      <c r="AG788" s="9" t="n">
        <v>22876</v>
      </c>
      <c r="AH788" s="10" t="n">
        <v>-4385</v>
      </c>
      <c r="AI788" s="10" t="n">
        <v>-3602</v>
      </c>
      <c r="AJ788" s="11" t="n">
        <v>19137</v>
      </c>
      <c r="AK788" s="12" t="n">
        <v>-8083</v>
      </c>
      <c r="AL788" s="12" t="n">
        <v>-4271</v>
      </c>
      <c r="AM788" s="13" t="n">
        <v>-16.3</v>
      </c>
      <c r="AN788" s="13" t="n">
        <v>-54.5</v>
      </c>
      <c r="AO788" s="13" t="n">
        <v>-84.3</v>
      </c>
      <c r="AP788" s="13" t="n">
        <v>-226.1</v>
      </c>
    </row>
    <row r="789">
      <c r="A789" s="5" t="inlineStr">
        <is>
          <t>콘텐트리중앙</t>
        </is>
      </c>
      <c r="B789" s="6" t="inlineStr">
        <is>
          <t>036420</t>
        </is>
      </c>
      <c r="C789" s="6" t="inlineStr">
        <is>
          <t>연결</t>
        </is>
      </c>
      <c r="D789" s="6" t="inlineStr">
        <is>
          <t>2026Q2</t>
        </is>
      </c>
      <c r="E789" s="6" t="inlineStr">
        <is>
          <t>2023Q4</t>
        </is>
      </c>
      <c r="F789" s="14" t="n">
        <v>256935</v>
      </c>
      <c r="G789" s="15" t="n">
        <v>-49624</v>
      </c>
      <c r="H789" s="15" t="n">
        <v>-58464</v>
      </c>
      <c r="I789" s="9" t="n">
        <v>220944</v>
      </c>
      <c r="J789" s="10" t="n">
        <v>-10035</v>
      </c>
      <c r="K789" s="10" t="n">
        <v>-30480</v>
      </c>
      <c r="L789" s="7" t="n">
        <v>226785</v>
      </c>
      <c r="M789" s="8" t="n">
        <v>-6519</v>
      </c>
      <c r="N789" s="8" t="n">
        <v>-25542</v>
      </c>
      <c r="O789" s="9" t="n">
        <v>228220</v>
      </c>
      <c r="P789" s="10" t="n">
        <v>-12829</v>
      </c>
      <c r="Q789" s="10" t="n">
        <v>-33908</v>
      </c>
      <c r="R789" s="7" t="n">
        <v>203514</v>
      </c>
      <c r="S789" s="8" t="n">
        <v>-17996</v>
      </c>
      <c r="T789" s="8" t="n">
        <v>-1973</v>
      </c>
      <c r="U789" s="9" t="n">
        <v>225161</v>
      </c>
      <c r="V789" s="10" t="n">
        <v>-12119</v>
      </c>
      <c r="W789" s="10" t="n">
        <v>-37410</v>
      </c>
      <c r="X789" s="7" t="n">
        <v>315521</v>
      </c>
      <c r="Y789" s="8" t="n">
        <v>1664</v>
      </c>
      <c r="Z789" s="8" t="n">
        <v>-47411</v>
      </c>
      <c r="AA789" s="9" t="n">
        <v>278699</v>
      </c>
      <c r="AB789" s="10" t="n">
        <v>11387</v>
      </c>
      <c r="AC789" s="10" t="n">
        <v>2029</v>
      </c>
      <c r="AD789" s="7" t="n">
        <v>263907</v>
      </c>
      <c r="AE789" s="8" t="n">
        <v>7913</v>
      </c>
      <c r="AF789" s="8" t="n">
        <v>-10348</v>
      </c>
      <c r="AG789" s="9" t="n">
        <v>191787</v>
      </c>
      <c r="AH789" s="10" t="n">
        <v>-1560</v>
      </c>
      <c r="AI789" s="10" t="n">
        <v>-23740</v>
      </c>
      <c r="AJ789" s="11" t="n">
        <v>228541</v>
      </c>
      <c r="AK789" s="12" t="n">
        <v>-59770</v>
      </c>
      <c r="AL789" s="12" t="n">
        <v>-88687</v>
      </c>
      <c r="AM789" s="13" t="n">
        <v>19.2</v>
      </c>
      <c r="AN789" s="13" t="n">
        <v>-27.6</v>
      </c>
      <c r="AO789" s="13" t="n">
        <v>-3731.4</v>
      </c>
      <c r="AP789" s="13" t="n">
        <v>-3691.9</v>
      </c>
    </row>
    <row r="790">
      <c r="A790" s="5" t="inlineStr">
        <is>
          <t>한국가스공사</t>
        </is>
      </c>
      <c r="B790" s="6" t="inlineStr">
        <is>
          <t>036460</t>
        </is>
      </c>
      <c r="C790" s="6" t="inlineStr">
        <is>
          <t>연결</t>
        </is>
      </c>
      <c r="D790" s="6" t="inlineStr">
        <is>
          <t>2026Q2</t>
        </is>
      </c>
      <c r="E790" s="6" t="inlineStr">
        <is>
          <t>2023Q4</t>
        </is>
      </c>
      <c r="F790" s="14" t="n">
        <v>10609167</v>
      </c>
      <c r="G790" s="15" t="n">
        <v>529639</v>
      </c>
      <c r="H790" s="15" t="n">
        <v>-657269</v>
      </c>
      <c r="I790" s="9" t="n">
        <v>12810655</v>
      </c>
      <c r="J790" s="10" t="n">
        <v>921577</v>
      </c>
      <c r="K790" s="10" t="n">
        <v>406925</v>
      </c>
      <c r="L790" s="7" t="n">
        <v>7533827</v>
      </c>
      <c r="M790" s="8" t="n">
        <v>465719</v>
      </c>
      <c r="N790" s="8" t="n">
        <v>253309</v>
      </c>
      <c r="O790" s="9" t="n">
        <v>8109308</v>
      </c>
      <c r="P790" s="10" t="n">
        <v>439728</v>
      </c>
      <c r="Q790" s="10" t="n">
        <v>155208</v>
      </c>
      <c r="R790" s="7" t="n">
        <v>9934950</v>
      </c>
      <c r="S790" s="8" t="n">
        <v>1176339</v>
      </c>
      <c r="T790" s="8" t="n">
        <v>333543</v>
      </c>
      <c r="U790" s="9" t="n">
        <v>12732709</v>
      </c>
      <c r="V790" s="10" t="n">
        <v>833935</v>
      </c>
      <c r="W790" s="10" t="n">
        <v>367174</v>
      </c>
      <c r="X790" s="7" t="n">
        <v>7630102</v>
      </c>
      <c r="Y790" s="8" t="n">
        <v>404628</v>
      </c>
      <c r="Z790" s="8" t="n">
        <v>85109</v>
      </c>
      <c r="AA790" s="9" t="n">
        <v>6372167</v>
      </c>
      <c r="AB790" s="10" t="n">
        <v>388997</v>
      </c>
      <c r="AC790" s="10" t="n">
        <v>86803</v>
      </c>
      <c r="AD790" s="7" t="n">
        <v>8992358</v>
      </c>
      <c r="AE790" s="8" t="n">
        <v>473591</v>
      </c>
      <c r="AF790" s="8" t="n">
        <v>-406835</v>
      </c>
      <c r="AG790" s="9" t="n">
        <v>11802205</v>
      </c>
      <c r="AH790" s="10" t="n">
        <v>910003</v>
      </c>
      <c r="AI790" s="10" t="n">
        <v>548328</v>
      </c>
      <c r="AJ790" s="11" t="n">
        <v>7507962</v>
      </c>
      <c r="AK790" s="12" t="n">
        <v>675294</v>
      </c>
      <c r="AL790" s="12" t="n">
        <v>338815</v>
      </c>
      <c r="AM790" s="13" t="n">
        <v>-36.4</v>
      </c>
      <c r="AN790" s="13" t="n">
        <v>-1.6</v>
      </c>
      <c r="AO790" s="13" t="n">
        <v>-25.8</v>
      </c>
      <c r="AP790" s="13" t="n">
        <v>66.90000000000001</v>
      </c>
    </row>
    <row r="791">
      <c r="A791" s="5" t="inlineStr">
        <is>
          <t>대성미생물</t>
        </is>
      </c>
      <c r="B791" s="6" t="inlineStr">
        <is>
          <t>036480</t>
        </is>
      </c>
      <c r="C791" s="6" t="inlineStr">
        <is>
          <t>별도</t>
        </is>
      </c>
      <c r="D791" s="6" t="inlineStr">
        <is>
          <t>2026Q2</t>
        </is>
      </c>
      <c r="E791" s="6" t="inlineStr"/>
      <c r="F791" s="7" t="inlineStr"/>
      <c r="G791" s="8" t="inlineStr"/>
      <c r="H791" s="8" t="inlineStr"/>
      <c r="I791" s="9" t="n">
        <v>5594</v>
      </c>
      <c r="J791" s="10" t="n">
        <v>-333</v>
      </c>
      <c r="K791" s="10" t="n">
        <v>-315</v>
      </c>
      <c r="L791" s="7" t="n">
        <v>5604</v>
      </c>
      <c r="M791" s="8" t="n">
        <v>-1007</v>
      </c>
      <c r="N791" s="8" t="inlineStr"/>
      <c r="O791" s="9" t="n">
        <v>5817</v>
      </c>
      <c r="P791" s="10" t="n">
        <v>-941</v>
      </c>
      <c r="Q791" s="10" t="inlineStr"/>
      <c r="R791" s="7" t="n">
        <v>6789</v>
      </c>
      <c r="S791" s="8" t="n">
        <v>729</v>
      </c>
      <c r="T791" s="8" t="inlineStr"/>
      <c r="U791" s="9" t="n">
        <v>5202</v>
      </c>
      <c r="V791" s="10" t="n">
        <v>-334</v>
      </c>
      <c r="W791" s="10" t="n">
        <v>-264</v>
      </c>
      <c r="X791" s="7" t="n">
        <v>6686</v>
      </c>
      <c r="Y791" s="8" t="n">
        <v>728</v>
      </c>
      <c r="Z791" s="8" t="n">
        <v>-134</v>
      </c>
      <c r="AA791" s="9" t="n">
        <v>7185</v>
      </c>
      <c r="AB791" s="10" t="n">
        <v>591</v>
      </c>
      <c r="AC791" s="10" t="n">
        <v>753</v>
      </c>
      <c r="AD791" s="7" t="n">
        <v>6916</v>
      </c>
      <c r="AE791" s="8" t="n">
        <v>-271</v>
      </c>
      <c r="AF791" s="8" t="n">
        <v>243</v>
      </c>
      <c r="AG791" s="9" t="n">
        <v>5082</v>
      </c>
      <c r="AH791" s="10" t="n">
        <v>-516</v>
      </c>
      <c r="AI791" s="10" t="inlineStr"/>
      <c r="AJ791" s="11" t="n">
        <v>6013</v>
      </c>
      <c r="AK791" s="12" t="n">
        <v>-472</v>
      </c>
      <c r="AL791" s="12" t="inlineStr"/>
      <c r="AM791" s="13" t="n">
        <v>18.3</v>
      </c>
      <c r="AN791" s="13" t="n">
        <v>-10.1</v>
      </c>
      <c r="AO791" s="13" t="n">
        <v>8.5</v>
      </c>
      <c r="AP791" s="13" t="n">
        <v>-164.8</v>
      </c>
    </row>
    <row r="792">
      <c r="A792" s="5" t="inlineStr">
        <is>
          <t>SNT홀딩스</t>
        </is>
      </c>
      <c r="B792" s="6" t="inlineStr">
        <is>
          <t>036530</t>
        </is>
      </c>
      <c r="C792" s="6" t="inlineStr">
        <is>
          <t>연결</t>
        </is>
      </c>
      <c r="D792" s="6" t="inlineStr">
        <is>
          <t>2026Q2</t>
        </is>
      </c>
      <c r="E792" s="6" t="inlineStr"/>
      <c r="F792" s="7" t="inlineStr"/>
      <c r="G792" s="8" t="inlineStr"/>
      <c r="H792" s="8" t="inlineStr"/>
      <c r="I792" s="9" t="n">
        <v>386192</v>
      </c>
      <c r="J792" s="10" t="n">
        <v>36299</v>
      </c>
      <c r="K792" s="10" t="n">
        <v>47795</v>
      </c>
      <c r="L792" s="7" t="n">
        <v>439479</v>
      </c>
      <c r="M792" s="8" t="n">
        <v>87487</v>
      </c>
      <c r="N792" s="8" t="n">
        <v>81983</v>
      </c>
      <c r="O792" s="9" t="n">
        <v>436377</v>
      </c>
      <c r="P792" s="10" t="n">
        <v>44701</v>
      </c>
      <c r="Q792" s="10" t="n">
        <v>45661</v>
      </c>
      <c r="R792" s="7" t="n">
        <v>558466</v>
      </c>
      <c r="S792" s="8" t="n">
        <v>62672</v>
      </c>
      <c r="T792" s="8" t="n">
        <v>71072</v>
      </c>
      <c r="U792" s="9" t="n">
        <v>466634</v>
      </c>
      <c r="V792" s="10" t="n">
        <v>53077</v>
      </c>
      <c r="W792" s="10" t="n">
        <v>46154</v>
      </c>
      <c r="X792" s="7" t="n">
        <v>561175</v>
      </c>
      <c r="Y792" s="8" t="n">
        <v>84316</v>
      </c>
      <c r="Z792" s="8" t="n">
        <v>55026</v>
      </c>
      <c r="AA792" s="9" t="n">
        <v>516913</v>
      </c>
      <c r="AB792" s="10" t="n">
        <v>65891</v>
      </c>
      <c r="AC792" s="10" t="n">
        <v>64016</v>
      </c>
      <c r="AD792" s="7" t="n">
        <v>690972</v>
      </c>
      <c r="AE792" s="8" t="n">
        <v>97372</v>
      </c>
      <c r="AF792" s="8" t="n">
        <v>54475</v>
      </c>
      <c r="AG792" s="9" t="n">
        <v>480488</v>
      </c>
      <c r="AH792" s="10" t="n">
        <v>64613</v>
      </c>
      <c r="AI792" s="10" t="n">
        <v>47742</v>
      </c>
      <c r="AJ792" s="11" t="n">
        <v>523773</v>
      </c>
      <c r="AK792" s="12" t="n">
        <v>63980</v>
      </c>
      <c r="AL792" s="12" t="n">
        <v>31164</v>
      </c>
      <c r="AM792" s="13" t="n">
        <v>9</v>
      </c>
      <c r="AN792" s="13" t="n">
        <v>-6.7</v>
      </c>
      <c r="AO792" s="13" t="n">
        <v>-1</v>
      </c>
      <c r="AP792" s="13" t="n">
        <v>-24.1</v>
      </c>
    </row>
    <row r="793">
      <c r="A793" s="5" t="inlineStr">
        <is>
          <t>SFA반도체</t>
        </is>
      </c>
      <c r="B793" s="6" t="inlineStr">
        <is>
          <t>036540</t>
        </is>
      </c>
      <c r="C793" s="6" t="inlineStr">
        <is>
          <t>연결</t>
        </is>
      </c>
      <c r="D793" s="6" t="inlineStr">
        <is>
          <t>2026Q2</t>
        </is>
      </c>
      <c r="E793" s="6" t="inlineStr">
        <is>
          <t>2023Q4</t>
        </is>
      </c>
      <c r="F793" s="14" t="n">
        <v>96910</v>
      </c>
      <c r="G793" s="15" t="n">
        <v>-5731</v>
      </c>
      <c r="H793" s="15" t="n">
        <v>-6053</v>
      </c>
      <c r="I793" s="9" t="n">
        <v>122063</v>
      </c>
      <c r="J793" s="10" t="n">
        <v>2463</v>
      </c>
      <c r="K793" s="10" t="n">
        <v>17560</v>
      </c>
      <c r="L793" s="7" t="n">
        <v>111351</v>
      </c>
      <c r="M793" s="8" t="n">
        <v>476</v>
      </c>
      <c r="N793" s="8" t="n">
        <v>1002</v>
      </c>
      <c r="O793" s="9" t="n">
        <v>95087</v>
      </c>
      <c r="P793" s="10" t="n">
        <v>253</v>
      </c>
      <c r="Q793" s="10" t="n">
        <v>11514</v>
      </c>
      <c r="R793" s="7" t="n">
        <v>71982</v>
      </c>
      <c r="S793" s="8" t="n">
        <v>-3223</v>
      </c>
      <c r="T793" s="8" t="n">
        <v>-9617</v>
      </c>
      <c r="U793" s="9" t="n">
        <v>75259</v>
      </c>
      <c r="V793" s="10" t="n">
        <v>-6014</v>
      </c>
      <c r="W793" s="10" t="n">
        <v>-5857</v>
      </c>
      <c r="X793" s="7" t="n">
        <v>76104</v>
      </c>
      <c r="Y793" s="8" t="n">
        <v>-6722</v>
      </c>
      <c r="Z793" s="8" t="n">
        <v>-7152</v>
      </c>
      <c r="AA793" s="9" t="n">
        <v>96472</v>
      </c>
      <c r="AB793" s="10" t="n">
        <v>-6301</v>
      </c>
      <c r="AC793" s="10" t="n">
        <v>-4971</v>
      </c>
      <c r="AD793" s="7" t="n">
        <v>119554</v>
      </c>
      <c r="AE793" s="8" t="n">
        <v>-590</v>
      </c>
      <c r="AF793" s="8" t="n">
        <v>-1151</v>
      </c>
      <c r="AG793" s="9" t="n">
        <v>107319</v>
      </c>
      <c r="AH793" s="10" t="n">
        <v>-6178</v>
      </c>
      <c r="AI793" s="10" t="n">
        <v>1187</v>
      </c>
      <c r="AJ793" s="11" t="n">
        <v>126288</v>
      </c>
      <c r="AK793" s="12" t="n">
        <v>-6151</v>
      </c>
      <c r="AL793" s="12" t="n">
        <v>-5350</v>
      </c>
      <c r="AM793" s="13" t="n">
        <v>17.7</v>
      </c>
      <c r="AN793" s="13" t="n">
        <v>65.90000000000001</v>
      </c>
      <c r="AO793" s="13" t="n">
        <v>0.4</v>
      </c>
      <c r="AP793" s="13" t="n">
        <v>8.5</v>
      </c>
    </row>
    <row r="794">
      <c r="A794" s="5" t="inlineStr">
        <is>
          <t>KZ정밀</t>
        </is>
      </c>
      <c r="B794" s="6" t="inlineStr">
        <is>
          <t>036560</t>
        </is>
      </c>
      <c r="C794" s="6" t="inlineStr">
        <is>
          <t>별도</t>
        </is>
      </c>
      <c r="D794" s="6" t="inlineStr">
        <is>
          <t>2026Q2</t>
        </is>
      </c>
      <c r="E794" s="6" t="inlineStr">
        <is>
          <t>2023Q4</t>
        </is>
      </c>
      <c r="F794" s="14" t="n">
        <v>36869</v>
      </c>
      <c r="G794" s="15" t="n">
        <v>4547</v>
      </c>
      <c r="H794" s="15" t="n">
        <v>4466</v>
      </c>
      <c r="I794" s="9" t="n">
        <v>31842</v>
      </c>
      <c r="J794" s="10" t="n">
        <v>7227</v>
      </c>
      <c r="K794" s="10" t="n">
        <v>8734</v>
      </c>
      <c r="L794" s="7" t="n">
        <v>27105</v>
      </c>
      <c r="M794" s="8" t="n">
        <v>4019</v>
      </c>
      <c r="N794" s="8" t="n">
        <v>3922</v>
      </c>
      <c r="O794" s="9" t="n">
        <v>18897</v>
      </c>
      <c r="P794" s="10" t="n">
        <v>1161</v>
      </c>
      <c r="Q794" s="10" t="n">
        <v>4410</v>
      </c>
      <c r="R794" s="7" t="n">
        <v>34869</v>
      </c>
      <c r="S794" s="8" t="n">
        <v>2796</v>
      </c>
      <c r="T794" s="8" t="n">
        <v>2133</v>
      </c>
      <c r="U794" s="9" t="n">
        <v>21715</v>
      </c>
      <c r="V794" s="10" t="n">
        <v>1909</v>
      </c>
      <c r="W794" s="10" t="n">
        <v>2648</v>
      </c>
      <c r="X794" s="7" t="n">
        <v>32133</v>
      </c>
      <c r="Y794" s="8" t="n">
        <v>4006</v>
      </c>
      <c r="Z794" s="8" t="n">
        <v>4073</v>
      </c>
      <c r="AA794" s="9" t="n">
        <v>27989</v>
      </c>
      <c r="AB794" s="10" t="n">
        <v>2890</v>
      </c>
      <c r="AC794" s="10" t="n">
        <v>2272</v>
      </c>
      <c r="AD794" s="7" t="n">
        <v>28676</v>
      </c>
      <c r="AE794" s="8" t="n">
        <v>1375</v>
      </c>
      <c r="AF794" s="8" t="n">
        <v>310</v>
      </c>
      <c r="AG794" s="9" t="n">
        <v>22968</v>
      </c>
      <c r="AH794" s="10" t="n">
        <v>1826</v>
      </c>
      <c r="AI794" s="10" t="n">
        <v>8524</v>
      </c>
      <c r="AJ794" s="11" t="n">
        <v>34270</v>
      </c>
      <c r="AK794" s="12" t="n">
        <v>6979</v>
      </c>
      <c r="AL794" s="12" t="n">
        <v>6856</v>
      </c>
      <c r="AM794" s="13" t="n">
        <v>49.2</v>
      </c>
      <c r="AN794" s="13" t="n">
        <v>6.7</v>
      </c>
      <c r="AO794" s="13" t="n">
        <v>282.2</v>
      </c>
      <c r="AP794" s="13" t="n">
        <v>74.2</v>
      </c>
    </row>
    <row r="795">
      <c r="A795" s="5" t="inlineStr">
        <is>
          <t>NC</t>
        </is>
      </c>
      <c r="B795" s="6" t="inlineStr">
        <is>
          <t>036570</t>
        </is>
      </c>
      <c r="C795" s="6" t="inlineStr">
        <is>
          <t>연결</t>
        </is>
      </c>
      <c r="D795" s="6" t="inlineStr">
        <is>
          <t>2026Q2</t>
        </is>
      </c>
      <c r="E795" s="6" t="inlineStr">
        <is>
          <t>2023Q4</t>
        </is>
      </c>
      <c r="F795" s="14" t="n">
        <v>437709</v>
      </c>
      <c r="G795" s="15" t="n">
        <v>3853</v>
      </c>
      <c r="H795" s="15" t="n">
        <v>25190</v>
      </c>
      <c r="I795" s="9" t="n">
        <v>397911</v>
      </c>
      <c r="J795" s="10" t="n">
        <v>25723</v>
      </c>
      <c r="K795" s="10" t="n">
        <v>57122</v>
      </c>
      <c r="L795" s="7" t="n">
        <v>368869</v>
      </c>
      <c r="M795" s="8" t="n">
        <v>8844</v>
      </c>
      <c r="N795" s="8" t="n">
        <v>71107</v>
      </c>
      <c r="O795" s="9" t="n">
        <v>401937</v>
      </c>
      <c r="P795" s="10" t="n">
        <v>-14291</v>
      </c>
      <c r="Q795" s="10" t="n">
        <v>-26524</v>
      </c>
      <c r="R795" s="7" t="n">
        <v>409406</v>
      </c>
      <c r="S795" s="8" t="n">
        <v>-129491</v>
      </c>
      <c r="T795" s="8" t="n">
        <v>-7589</v>
      </c>
      <c r="U795" s="9" t="n">
        <v>360278</v>
      </c>
      <c r="V795" s="10" t="n">
        <v>5220</v>
      </c>
      <c r="W795" s="10" t="n">
        <v>37507</v>
      </c>
      <c r="X795" s="7" t="n">
        <v>382393</v>
      </c>
      <c r="Y795" s="8" t="n">
        <v>15079</v>
      </c>
      <c r="Z795" s="8" t="n">
        <v>-35953</v>
      </c>
      <c r="AA795" s="9" t="n">
        <v>360036</v>
      </c>
      <c r="AB795" s="10" t="n">
        <v>-7467</v>
      </c>
      <c r="AC795" s="10" t="n">
        <v>347360</v>
      </c>
      <c r="AD795" s="7" t="n">
        <v>404218</v>
      </c>
      <c r="AE795" s="8" t="n">
        <v>3246</v>
      </c>
      <c r="AF795" s="8" t="n">
        <v>-1492</v>
      </c>
      <c r="AG795" s="9" t="n">
        <v>557383</v>
      </c>
      <c r="AH795" s="10" t="n">
        <v>113277</v>
      </c>
      <c r="AI795" s="10" t="n">
        <v>152428</v>
      </c>
      <c r="AJ795" s="11" t="n">
        <v>770501</v>
      </c>
      <c r="AK795" s="12" t="n">
        <v>173861</v>
      </c>
      <c r="AL795" s="12" t="n">
        <v>131181</v>
      </c>
      <c r="AM795" s="13" t="n">
        <v>38.2</v>
      </c>
      <c r="AN795" s="13" t="n">
        <v>101.5</v>
      </c>
      <c r="AO795" s="13" t="n">
        <v>53.5</v>
      </c>
      <c r="AP795" s="13" t="n">
        <v>1053</v>
      </c>
    </row>
    <row r="796">
      <c r="A796" s="5" t="inlineStr">
        <is>
          <t>팜스코</t>
        </is>
      </c>
      <c r="B796" s="6" t="inlineStr">
        <is>
          <t>036580</t>
        </is>
      </c>
      <c r="C796" s="6" t="inlineStr">
        <is>
          <t>연결</t>
        </is>
      </c>
      <c r="D796" s="6" t="inlineStr">
        <is>
          <t>2026Q2</t>
        </is>
      </c>
      <c r="E796" s="6" t="inlineStr"/>
      <c r="F796" s="7" t="inlineStr"/>
      <c r="G796" s="8" t="inlineStr"/>
      <c r="H796" s="8" t="inlineStr"/>
      <c r="I796" s="9" t="n">
        <v>405589</v>
      </c>
      <c r="J796" s="10" t="n">
        <v>23303</v>
      </c>
      <c r="K796" s="10" t="n">
        <v>-19230</v>
      </c>
      <c r="L796" s="7" t="n">
        <v>392701</v>
      </c>
      <c r="M796" s="8" t="n">
        <v>13787</v>
      </c>
      <c r="N796" s="8" t="n">
        <v>-13103</v>
      </c>
      <c r="O796" s="9" t="n">
        <v>374697</v>
      </c>
      <c r="P796" s="10" t="n">
        <v>19423</v>
      </c>
      <c r="Q796" s="10" t="n">
        <v>42221</v>
      </c>
      <c r="R796" s="7" t="n">
        <v>401648</v>
      </c>
      <c r="S796" s="8" t="n">
        <v>-2574</v>
      </c>
      <c r="T796" s="8" t="n">
        <v>-80081</v>
      </c>
      <c r="U796" s="9" t="n">
        <v>374501</v>
      </c>
      <c r="V796" s="10" t="n">
        <v>20030</v>
      </c>
      <c r="W796" s="10" t="n">
        <v>1342</v>
      </c>
      <c r="X796" s="7" t="n">
        <v>382791</v>
      </c>
      <c r="Y796" s="8" t="n">
        <v>16968</v>
      </c>
      <c r="Z796" s="8" t="n">
        <v>43343</v>
      </c>
      <c r="AA796" s="9" t="n">
        <v>392495</v>
      </c>
      <c r="AB796" s="10" t="n">
        <v>27489</v>
      </c>
      <c r="AC796" s="10" t="n">
        <v>3179</v>
      </c>
      <c r="AD796" s="7" t="n">
        <v>404348</v>
      </c>
      <c r="AE796" s="8" t="n">
        <v>15720</v>
      </c>
      <c r="AF796" s="8" t="n">
        <v>-6065</v>
      </c>
      <c r="AG796" s="9" t="n">
        <v>399050</v>
      </c>
      <c r="AH796" s="10" t="n">
        <v>19664</v>
      </c>
      <c r="AI796" s="10" t="n">
        <v>-8164</v>
      </c>
      <c r="AJ796" s="11" t="n">
        <v>433735</v>
      </c>
      <c r="AK796" s="12" t="n">
        <v>20265</v>
      </c>
      <c r="AL796" s="12" t="n">
        <v>-3912</v>
      </c>
      <c r="AM796" s="13" t="n">
        <v>8.699999999999999</v>
      </c>
      <c r="AN796" s="13" t="n">
        <v>13.3</v>
      </c>
      <c r="AO796" s="13" t="n">
        <v>3.1</v>
      </c>
      <c r="AP796" s="13" t="n">
        <v>19.4</v>
      </c>
    </row>
    <row r="797">
      <c r="A797" s="5" t="inlineStr">
        <is>
          <t>감성코퍼레이션</t>
        </is>
      </c>
      <c r="B797" s="6" t="inlineStr">
        <is>
          <t>036620</t>
        </is>
      </c>
      <c r="C797" s="6" t="inlineStr">
        <is>
          <t>별도</t>
        </is>
      </c>
      <c r="D797" s="6" t="inlineStr">
        <is>
          <t>2026Q2</t>
        </is>
      </c>
      <c r="E797" s="6" t="inlineStr"/>
      <c r="F797" s="7" t="inlineStr"/>
      <c r="G797" s="8" t="inlineStr"/>
      <c r="H797" s="8" t="inlineStr"/>
      <c r="I797" s="9" t="n">
        <v>37181</v>
      </c>
      <c r="J797" s="10" t="n">
        <v>4621</v>
      </c>
      <c r="K797" s="10" t="n">
        <v>5112</v>
      </c>
      <c r="L797" s="7" t="n">
        <v>50076</v>
      </c>
      <c r="M797" s="8" t="n">
        <v>10032</v>
      </c>
      <c r="N797" s="8" t="n">
        <v>6945</v>
      </c>
      <c r="O797" s="9" t="n">
        <v>43062</v>
      </c>
      <c r="P797" s="10" t="n">
        <v>5052</v>
      </c>
      <c r="Q797" s="10" t="n">
        <v>3984</v>
      </c>
      <c r="R797" s="7" t="n">
        <v>90078</v>
      </c>
      <c r="S797" s="8" t="n">
        <v>16348</v>
      </c>
      <c r="T797" s="8" t="n">
        <v>13219</v>
      </c>
      <c r="U797" s="9" t="n">
        <v>46677</v>
      </c>
      <c r="V797" s="10" t="n">
        <v>6847</v>
      </c>
      <c r="W797" s="10" t="n">
        <v>5708</v>
      </c>
      <c r="X797" s="7" t="n">
        <v>53624</v>
      </c>
      <c r="Y797" s="8" t="n">
        <v>8742</v>
      </c>
      <c r="Z797" s="8" t="n">
        <v>6854</v>
      </c>
      <c r="AA797" s="9" t="n">
        <v>45909</v>
      </c>
      <c r="AB797" s="10" t="n">
        <v>6201</v>
      </c>
      <c r="AC797" s="10" t="n">
        <v>4679</v>
      </c>
      <c r="AD797" s="7" t="n">
        <v>103985</v>
      </c>
      <c r="AE797" s="8" t="n">
        <v>22841</v>
      </c>
      <c r="AF797" s="8" t="n">
        <v>18176</v>
      </c>
      <c r="AG797" s="9" t="n">
        <v>58502</v>
      </c>
      <c r="AH797" s="10" t="n">
        <v>9472</v>
      </c>
      <c r="AI797" s="10" t="n">
        <v>8504</v>
      </c>
      <c r="AJ797" s="11" t="n">
        <v>58549</v>
      </c>
      <c r="AK797" s="12" t="n">
        <v>9099</v>
      </c>
      <c r="AL797" s="12" t="n">
        <v>7229</v>
      </c>
      <c r="AM797" s="13" t="n">
        <v>0.1</v>
      </c>
      <c r="AN797" s="13" t="n">
        <v>9.199999999999999</v>
      </c>
      <c r="AO797" s="13" t="n">
        <v>-3.9</v>
      </c>
      <c r="AP797" s="13" t="n">
        <v>4.1</v>
      </c>
    </row>
    <row r="798">
      <c r="A798" s="5" t="inlineStr">
        <is>
          <t>세종텔레콤</t>
        </is>
      </c>
      <c r="B798" s="6" t="inlineStr">
        <is>
          <t>036630</t>
        </is>
      </c>
      <c r="C798" s="6" t="inlineStr">
        <is>
          <t>연결</t>
        </is>
      </c>
      <c r="D798" s="6" t="inlineStr">
        <is>
          <t>2026Q2</t>
        </is>
      </c>
      <c r="E798" s="6" t="inlineStr"/>
      <c r="F798" s="7" t="inlineStr"/>
      <c r="G798" s="8" t="inlineStr"/>
      <c r="H798" s="8" t="inlineStr"/>
      <c r="I798" s="9" t="n">
        <v>91150</v>
      </c>
      <c r="J798" s="10" t="n">
        <v>-5653</v>
      </c>
      <c r="K798" s="10" t="n">
        <v>15537</v>
      </c>
      <c r="L798" s="7" t="n">
        <v>95676</v>
      </c>
      <c r="M798" s="8" t="n">
        <v>-5707</v>
      </c>
      <c r="N798" s="8" t="n">
        <v>-9980</v>
      </c>
      <c r="O798" s="9" t="n">
        <v>90846</v>
      </c>
      <c r="P798" s="10" t="n">
        <v>-62</v>
      </c>
      <c r="Q798" s="10" t="n">
        <v>-20298</v>
      </c>
      <c r="R798" s="7" t="n">
        <v>93719</v>
      </c>
      <c r="S798" s="8" t="n">
        <v>-714</v>
      </c>
      <c r="T798" s="8" t="n">
        <v>-18451</v>
      </c>
      <c r="U798" s="9" t="n">
        <v>77132</v>
      </c>
      <c r="V798" s="10" t="n">
        <v>-2274</v>
      </c>
      <c r="W798" s="10" t="n">
        <v>-359</v>
      </c>
      <c r="X798" s="7" t="n">
        <v>67497</v>
      </c>
      <c r="Y798" s="8" t="n">
        <v>-4030</v>
      </c>
      <c r="Z798" s="8" t="n">
        <v>17069</v>
      </c>
      <c r="AA798" s="9" t="n">
        <v>71894</v>
      </c>
      <c r="AB798" s="10" t="n">
        <v>-3584</v>
      </c>
      <c r="AC798" s="10" t="n">
        <v>-5504</v>
      </c>
      <c r="AD798" s="7" t="n">
        <v>67672</v>
      </c>
      <c r="AE798" s="8" t="n">
        <v>-865</v>
      </c>
      <c r="AF798" s="8" t="n">
        <v>-3197</v>
      </c>
      <c r="AG798" s="9" t="n">
        <v>68795</v>
      </c>
      <c r="AH798" s="10" t="n">
        <v>-1587</v>
      </c>
      <c r="AI798" s="10" t="n">
        <v>-2727</v>
      </c>
      <c r="AJ798" s="11" t="n">
        <v>69478</v>
      </c>
      <c r="AK798" s="12" t="n">
        <v>1378</v>
      </c>
      <c r="AL798" s="12" t="n">
        <v>-166</v>
      </c>
      <c r="AM798" s="13" t="n">
        <v>1</v>
      </c>
      <c r="AN798" s="13" t="n">
        <v>2.9</v>
      </c>
      <c r="AO798" s="13" t="n">
        <v>186.8</v>
      </c>
      <c r="AP798" s="13" t="n">
        <v>134.2</v>
      </c>
    </row>
    <row r="799">
      <c r="A799" s="5" t="inlineStr">
        <is>
          <t>HRS</t>
        </is>
      </c>
      <c r="B799" s="6" t="inlineStr">
        <is>
          <t>036640</t>
        </is>
      </c>
      <c r="C799" s="6" t="inlineStr">
        <is>
          <t>연결</t>
        </is>
      </c>
      <c r="D799" s="6" t="inlineStr">
        <is>
          <t>2026Q2</t>
        </is>
      </c>
      <c r="E799" s="6" t="inlineStr"/>
      <c r="F799" s="7" t="inlineStr"/>
      <c r="G799" s="8" t="inlineStr"/>
      <c r="H799" s="8" t="inlineStr"/>
      <c r="I799" s="9" t="n">
        <v>20469</v>
      </c>
      <c r="J799" s="10" t="n">
        <v>4132</v>
      </c>
      <c r="K799" s="10" t="n">
        <v>3882</v>
      </c>
      <c r="L799" s="7" t="n">
        <v>21622</v>
      </c>
      <c r="M799" s="8" t="n">
        <v>4204</v>
      </c>
      <c r="N799" s="8" t="n">
        <v>3825</v>
      </c>
      <c r="O799" s="9" t="n">
        <v>18881</v>
      </c>
      <c r="P799" s="10" t="n">
        <v>3393</v>
      </c>
      <c r="Q799" s="10" t="n">
        <v>3104</v>
      </c>
      <c r="R799" s="7" t="n">
        <v>19262</v>
      </c>
      <c r="S799" s="8" t="n">
        <v>3211</v>
      </c>
      <c r="T799" s="8" t="n">
        <v>4299</v>
      </c>
      <c r="U799" s="9" t="n">
        <v>18828</v>
      </c>
      <c r="V799" s="10" t="n">
        <v>3150</v>
      </c>
      <c r="W799" s="10" t="n">
        <v>3219</v>
      </c>
      <c r="X799" s="7" t="n">
        <v>20261</v>
      </c>
      <c r="Y799" s="8" t="n">
        <v>3936</v>
      </c>
      <c r="Z799" s="8" t="n">
        <v>3814</v>
      </c>
      <c r="AA799" s="9" t="n">
        <v>20778</v>
      </c>
      <c r="AB799" s="10" t="n">
        <v>3943</v>
      </c>
      <c r="AC799" s="10" t="n">
        <v>3720</v>
      </c>
      <c r="AD799" s="7" t="n">
        <v>19043</v>
      </c>
      <c r="AE799" s="8" t="n">
        <v>2389</v>
      </c>
      <c r="AF799" s="8" t="n">
        <v>2773</v>
      </c>
      <c r="AG799" s="9" t="n">
        <v>20872</v>
      </c>
      <c r="AH799" s="10" t="n">
        <v>3068</v>
      </c>
      <c r="AI799" s="10" t="n">
        <v>3001</v>
      </c>
      <c r="AJ799" s="11" t="n">
        <v>24723</v>
      </c>
      <c r="AK799" s="12" t="n">
        <v>4382</v>
      </c>
      <c r="AL799" s="12" t="n">
        <v>6916</v>
      </c>
      <c r="AM799" s="13" t="n">
        <v>18.5</v>
      </c>
      <c r="AN799" s="13" t="n">
        <v>22</v>
      </c>
      <c r="AO799" s="13" t="n">
        <v>42.8</v>
      </c>
      <c r="AP799" s="13" t="n">
        <v>11.3</v>
      </c>
    </row>
    <row r="800">
      <c r="A800" s="5" t="inlineStr">
        <is>
          <t>삼양케이씨아이</t>
        </is>
      </c>
      <c r="B800" s="6" t="inlineStr">
        <is>
          <t>036670</t>
        </is>
      </c>
      <c r="C800" s="6" t="inlineStr">
        <is>
          <t>별도</t>
        </is>
      </c>
      <c r="D800" s="6" t="inlineStr">
        <is>
          <t>2026Q2</t>
        </is>
      </c>
      <c r="E800" s="6" t="inlineStr"/>
      <c r="F800" s="7" t="inlineStr"/>
      <c r="G800" s="8" t="inlineStr"/>
      <c r="H800" s="8" t="inlineStr"/>
      <c r="I800" s="9" t="n">
        <v>28075</v>
      </c>
      <c r="J800" s="10" t="n">
        <v>3322</v>
      </c>
      <c r="K800" s="10" t="n">
        <v>3168</v>
      </c>
      <c r="L800" s="7" t="n">
        <v>31247</v>
      </c>
      <c r="M800" s="8" t="n">
        <v>6019</v>
      </c>
      <c r="N800" s="8" t="n">
        <v>5839</v>
      </c>
      <c r="O800" s="9" t="n">
        <v>25579</v>
      </c>
      <c r="P800" s="10" t="n">
        <v>3115</v>
      </c>
      <c r="Q800" s="10" t="n">
        <v>2497</v>
      </c>
      <c r="R800" s="7" t="n">
        <v>25284</v>
      </c>
      <c r="S800" s="8" t="n">
        <v>2566</v>
      </c>
      <c r="T800" s="8" t="n">
        <v>3209</v>
      </c>
      <c r="U800" s="9" t="n">
        <v>28299</v>
      </c>
      <c r="V800" s="10" t="n">
        <v>4087</v>
      </c>
      <c r="W800" s="10" t="n">
        <v>3412</v>
      </c>
      <c r="X800" s="7" t="n">
        <v>32059</v>
      </c>
      <c r="Y800" s="8" t="n">
        <v>3579</v>
      </c>
      <c r="Z800" s="8" t="n">
        <v>2882</v>
      </c>
      <c r="AA800" s="9" t="n">
        <v>28669</v>
      </c>
      <c r="AB800" s="10" t="n">
        <v>1118</v>
      </c>
      <c r="AC800" s="10" t="n">
        <v>1390</v>
      </c>
      <c r="AD800" s="7" t="n">
        <v>27813</v>
      </c>
      <c r="AE800" s="8" t="n">
        <v>2110</v>
      </c>
      <c r="AF800" s="8" t="n">
        <v>2059</v>
      </c>
      <c r="AG800" s="9" t="n">
        <v>29903</v>
      </c>
      <c r="AH800" s="10" t="n">
        <v>2077</v>
      </c>
      <c r="AI800" s="10" t="n">
        <v>2276</v>
      </c>
      <c r="AJ800" s="11" t="n">
        <v>35513</v>
      </c>
      <c r="AK800" s="12" t="n">
        <v>3819</v>
      </c>
      <c r="AL800" s="12" t="n">
        <v>3034</v>
      </c>
      <c r="AM800" s="13" t="n">
        <v>18.8</v>
      </c>
      <c r="AN800" s="13" t="n">
        <v>10.8</v>
      </c>
      <c r="AO800" s="13" t="n">
        <v>83.90000000000001</v>
      </c>
      <c r="AP800" s="13" t="n">
        <v>6.7</v>
      </c>
    </row>
    <row r="801">
      <c r="A801" s="5" t="inlineStr">
        <is>
          <t>코맥스</t>
        </is>
      </c>
      <c r="B801" s="6" t="inlineStr">
        <is>
          <t>036690</t>
        </is>
      </c>
      <c r="C801" s="6" t="inlineStr">
        <is>
          <t>연결</t>
        </is>
      </c>
      <c r="D801" s="6" t="inlineStr">
        <is>
          <t>2026Q2</t>
        </is>
      </c>
      <c r="E801" s="6" t="inlineStr"/>
      <c r="F801" s="7" t="inlineStr"/>
      <c r="G801" s="8" t="inlineStr"/>
      <c r="H801" s="8" t="inlineStr"/>
      <c r="I801" s="9" t="n">
        <v>29550</v>
      </c>
      <c r="J801" s="10" t="n">
        <v>1235</v>
      </c>
      <c r="K801" s="10" t="n">
        <v>488</v>
      </c>
      <c r="L801" s="7" t="n">
        <v>37336</v>
      </c>
      <c r="M801" s="8" t="n">
        <v>-7980</v>
      </c>
      <c r="N801" s="8" t="n">
        <v>-8410</v>
      </c>
      <c r="O801" s="9" t="n">
        <v>26987</v>
      </c>
      <c r="P801" s="10" t="n">
        <v>-7236</v>
      </c>
      <c r="Q801" s="10" t="n">
        <v>-7413</v>
      </c>
      <c r="R801" s="7" t="n">
        <v>23289</v>
      </c>
      <c r="S801" s="8" t="n">
        <v>1645</v>
      </c>
      <c r="T801" s="8" t="n">
        <v>-1461</v>
      </c>
      <c r="U801" s="9" t="n">
        <v>23259</v>
      </c>
      <c r="V801" s="10" t="n">
        <v>-2216</v>
      </c>
      <c r="W801" s="10" t="n">
        <v>-2674</v>
      </c>
      <c r="X801" s="7" t="n">
        <v>17686</v>
      </c>
      <c r="Y801" s="8" t="n">
        <v>-1016</v>
      </c>
      <c r="Z801" s="8" t="n">
        <v>813</v>
      </c>
      <c r="AA801" s="9" t="n">
        <v>23667</v>
      </c>
      <c r="AB801" s="10" t="n">
        <v>-1666</v>
      </c>
      <c r="AC801" s="10" t="n">
        <v>-2056</v>
      </c>
      <c r="AD801" s="7" t="n">
        <v>20514</v>
      </c>
      <c r="AE801" s="8" t="n">
        <v>-9277</v>
      </c>
      <c r="AF801" s="8" t="n">
        <v>-11201</v>
      </c>
      <c r="AG801" s="9" t="n">
        <v>19704</v>
      </c>
      <c r="AH801" s="10" t="n">
        <v>3239</v>
      </c>
      <c r="AI801" s="10" t="n">
        <v>2291</v>
      </c>
      <c r="AJ801" s="11" t="n">
        <v>18265</v>
      </c>
      <c r="AK801" s="12" t="n">
        <v>2237</v>
      </c>
      <c r="AL801" s="12" t="n">
        <v>1697</v>
      </c>
      <c r="AM801" s="13" t="n">
        <v>-7.3</v>
      </c>
      <c r="AN801" s="13" t="n">
        <v>3.3</v>
      </c>
      <c r="AO801" s="13" t="n">
        <v>-30.9</v>
      </c>
      <c r="AP801" s="13" t="n">
        <v>320.2</v>
      </c>
    </row>
    <row r="802">
      <c r="A802" s="5" t="inlineStr">
        <is>
          <t>심텍홀딩스</t>
        </is>
      </c>
      <c r="B802" s="6" t="inlineStr">
        <is>
          <t>036710</t>
        </is>
      </c>
      <c r="C802" s="6" t="inlineStr">
        <is>
          <t>연결</t>
        </is>
      </c>
      <c r="D802" s="6" t="inlineStr">
        <is>
          <t>2026Q2</t>
        </is>
      </c>
      <c r="E802" s="6" t="inlineStr"/>
      <c r="F802" s="7" t="inlineStr"/>
      <c r="G802" s="8" t="inlineStr"/>
      <c r="H802" s="8" t="inlineStr"/>
      <c r="I802" s="9" t="n">
        <v>301302</v>
      </c>
      <c r="J802" s="10" t="n">
        <v>-46393</v>
      </c>
      <c r="K802" s="10" t="n">
        <v>-54914</v>
      </c>
      <c r="L802" s="7" t="n">
        <v>317863</v>
      </c>
      <c r="M802" s="8" t="n">
        <v>-16225</v>
      </c>
      <c r="N802" s="8" t="n">
        <v>-35683</v>
      </c>
      <c r="O802" s="9" t="n">
        <v>342045</v>
      </c>
      <c r="P802" s="10" t="n">
        <v>-16179</v>
      </c>
      <c r="Q802" s="10" t="n">
        <v>36334</v>
      </c>
      <c r="R802" s="7" t="n">
        <v>340902</v>
      </c>
      <c r="S802" s="8" t="n">
        <v>-52716</v>
      </c>
      <c r="T802" s="8" t="n">
        <v>-58056</v>
      </c>
      <c r="U802" s="9" t="n">
        <v>324355</v>
      </c>
      <c r="V802" s="10" t="n">
        <v>-36836</v>
      </c>
      <c r="W802" s="10" t="n">
        <v>-54865</v>
      </c>
      <c r="X802" s="7" t="n">
        <v>368115</v>
      </c>
      <c r="Y802" s="8" t="n">
        <v>-3709</v>
      </c>
      <c r="Z802" s="8" t="n">
        <v>-9364</v>
      </c>
      <c r="AA802" s="9" t="n">
        <v>398053</v>
      </c>
      <c r="AB802" s="10" t="n">
        <v>2533</v>
      </c>
      <c r="AC802" s="10" t="n">
        <v>2464</v>
      </c>
      <c r="AD802" s="7" t="n">
        <v>437561</v>
      </c>
      <c r="AE802" s="8" t="n">
        <v>3748</v>
      </c>
      <c r="AF802" s="8" t="n">
        <v>-89321</v>
      </c>
      <c r="AG802" s="9" t="n">
        <v>443178</v>
      </c>
      <c r="AH802" s="10" t="n">
        <v>965</v>
      </c>
      <c r="AI802" s="10" t="n">
        <v>205</v>
      </c>
      <c r="AJ802" s="11" t="n">
        <v>558207</v>
      </c>
      <c r="AK802" s="12" t="n">
        <v>57559</v>
      </c>
      <c r="AL802" s="12" t="n">
        <v>30117</v>
      </c>
      <c r="AM802" s="13" t="n">
        <v>26</v>
      </c>
      <c r="AN802" s="13" t="n">
        <v>51.6</v>
      </c>
      <c r="AO802" s="13" t="n">
        <v>5864.7</v>
      </c>
      <c r="AP802" s="13" t="n">
        <v>1651.9</v>
      </c>
    </row>
    <row r="803">
      <c r="A803" s="5" t="inlineStr">
        <is>
          <t>나이스정보통신</t>
        </is>
      </c>
      <c r="B803" s="6" t="inlineStr">
        <is>
          <t>036800</t>
        </is>
      </c>
      <c r="C803" s="6" t="inlineStr">
        <is>
          <t>연결</t>
        </is>
      </c>
      <c r="D803" s="6" t="inlineStr">
        <is>
          <t>2026Q2</t>
        </is>
      </c>
      <c r="E803" s="6" t="inlineStr"/>
      <c r="F803" s="7" t="inlineStr"/>
      <c r="G803" s="8" t="inlineStr"/>
      <c r="H803" s="8" t="inlineStr"/>
      <c r="I803" s="9" t="n">
        <v>234398</v>
      </c>
      <c r="J803" s="10" t="n">
        <v>8100</v>
      </c>
      <c r="K803" s="10" t="n">
        <v>12086</v>
      </c>
      <c r="L803" s="7" t="n">
        <v>246163</v>
      </c>
      <c r="M803" s="8" t="n">
        <v>12198</v>
      </c>
      <c r="N803" s="8" t="n">
        <v>9742</v>
      </c>
      <c r="O803" s="9" t="n">
        <v>246462</v>
      </c>
      <c r="P803" s="10" t="n">
        <v>9721</v>
      </c>
      <c r="Q803" s="10" t="n">
        <v>6239</v>
      </c>
      <c r="R803" s="7" t="n">
        <v>248114</v>
      </c>
      <c r="S803" s="8" t="n">
        <v>9856</v>
      </c>
      <c r="T803" s="8" t="n">
        <v>9585</v>
      </c>
      <c r="U803" s="9" t="n">
        <v>257407</v>
      </c>
      <c r="V803" s="10" t="n">
        <v>9650</v>
      </c>
      <c r="W803" s="10" t="n">
        <v>8790</v>
      </c>
      <c r="X803" s="7" t="n">
        <v>266705</v>
      </c>
      <c r="Y803" s="8" t="n">
        <v>15618</v>
      </c>
      <c r="Z803" s="8" t="n">
        <v>10840</v>
      </c>
      <c r="AA803" s="9" t="n">
        <v>286397</v>
      </c>
      <c r="AB803" s="10" t="n">
        <v>17761</v>
      </c>
      <c r="AC803" s="10" t="n">
        <v>16852</v>
      </c>
      <c r="AD803" s="7" t="n">
        <v>284175</v>
      </c>
      <c r="AE803" s="8" t="n">
        <v>12264</v>
      </c>
      <c r="AF803" s="8" t="n">
        <v>8744</v>
      </c>
      <c r="AG803" s="9" t="n">
        <v>285693</v>
      </c>
      <c r="AH803" s="10" t="n">
        <v>14899</v>
      </c>
      <c r="AI803" s="10" t="n">
        <v>15116</v>
      </c>
      <c r="AJ803" s="11" t="n">
        <v>316161</v>
      </c>
      <c r="AK803" s="12" t="n">
        <v>21283</v>
      </c>
      <c r="AL803" s="12" t="n">
        <v>19485</v>
      </c>
      <c r="AM803" s="13" t="n">
        <v>10.7</v>
      </c>
      <c r="AN803" s="13" t="n">
        <v>18.5</v>
      </c>
      <c r="AO803" s="13" t="n">
        <v>42.8</v>
      </c>
      <c r="AP803" s="13" t="n">
        <v>36.3</v>
      </c>
    </row>
    <row r="804">
      <c r="A804" s="5" t="inlineStr">
        <is>
          <t>에프에스티</t>
        </is>
      </c>
      <c r="B804" s="6" t="inlineStr">
        <is>
          <t>036810</t>
        </is>
      </c>
      <c r="C804" s="6" t="inlineStr">
        <is>
          <t>연결</t>
        </is>
      </c>
      <c r="D804" s="6" t="inlineStr">
        <is>
          <t>2026Q2</t>
        </is>
      </c>
      <c r="E804" s="6" t="inlineStr"/>
      <c r="F804" s="7" t="inlineStr"/>
      <c r="G804" s="8" t="inlineStr"/>
      <c r="H804" s="8" t="inlineStr"/>
      <c r="I804" s="9" t="n">
        <v>49614</v>
      </c>
      <c r="J804" s="10" t="n">
        <v>-2980</v>
      </c>
      <c r="K804" s="10" t="n">
        <v>-8166</v>
      </c>
      <c r="L804" s="7" t="n">
        <v>51265</v>
      </c>
      <c r="M804" s="8" t="n">
        <v>657</v>
      </c>
      <c r="N804" s="8" t="n">
        <v>-670</v>
      </c>
      <c r="O804" s="9" t="n">
        <v>58451</v>
      </c>
      <c r="P804" s="10" t="n">
        <v>297</v>
      </c>
      <c r="Q804" s="10" t="n">
        <v>-1515</v>
      </c>
      <c r="R804" s="7" t="n">
        <v>78078</v>
      </c>
      <c r="S804" s="8" t="n">
        <v>4313</v>
      </c>
      <c r="T804" s="8" t="n">
        <v>8713</v>
      </c>
      <c r="U804" s="9" t="n">
        <v>68494</v>
      </c>
      <c r="V804" s="10" t="n">
        <v>2754</v>
      </c>
      <c r="W804" s="10" t="n">
        <v>-235</v>
      </c>
      <c r="X804" s="7" t="n">
        <v>75999</v>
      </c>
      <c r="Y804" s="8" t="n">
        <v>1730</v>
      </c>
      <c r="Z804" s="8" t="n">
        <v>-3609</v>
      </c>
      <c r="AA804" s="9" t="n">
        <v>65500</v>
      </c>
      <c r="AB804" s="10" t="n">
        <v>-1872</v>
      </c>
      <c r="AC804" s="10" t="n">
        <v>-6766</v>
      </c>
      <c r="AD804" s="7" t="n">
        <v>70270</v>
      </c>
      <c r="AE804" s="8" t="n">
        <v>-3159</v>
      </c>
      <c r="AF804" s="8" t="n">
        <v>-3720</v>
      </c>
      <c r="AG804" s="9" t="n">
        <v>69556</v>
      </c>
      <c r="AH804" s="10" t="n">
        <v>1421</v>
      </c>
      <c r="AI804" s="10" t="n">
        <v>-2819</v>
      </c>
      <c r="AJ804" s="11" t="n">
        <v>89303</v>
      </c>
      <c r="AK804" s="12" t="n">
        <v>9622</v>
      </c>
      <c r="AL804" s="12" t="n">
        <v>7000</v>
      </c>
      <c r="AM804" s="13" t="n">
        <v>28.4</v>
      </c>
      <c r="AN804" s="13" t="n">
        <v>17.5</v>
      </c>
      <c r="AO804" s="13" t="n">
        <v>577.1</v>
      </c>
      <c r="AP804" s="13" t="n">
        <v>456.2</v>
      </c>
    </row>
    <row r="805">
      <c r="A805" s="5" t="inlineStr">
        <is>
          <t>솔브레인홀딩스</t>
        </is>
      </c>
      <c r="B805" s="6" t="inlineStr">
        <is>
          <t>036830</t>
        </is>
      </c>
      <c r="C805" s="6" t="inlineStr">
        <is>
          <t>연결</t>
        </is>
      </c>
      <c r="D805" s="6" t="inlineStr">
        <is>
          <t>2026Q2</t>
        </is>
      </c>
      <c r="E805" s="6" t="inlineStr"/>
      <c r="F805" s="7" t="inlineStr"/>
      <c r="G805" s="8" t="inlineStr"/>
      <c r="H805" s="8" t="inlineStr"/>
      <c r="I805" s="9" t="n">
        <v>136257</v>
      </c>
      <c r="J805" s="10" t="n">
        <v>26021</v>
      </c>
      <c r="K805" s="10" t="n">
        <v>21183</v>
      </c>
      <c r="L805" s="7" t="n">
        <v>129059</v>
      </c>
      <c r="M805" s="8" t="n">
        <v>31803</v>
      </c>
      <c r="N805" s="8" t="n">
        <v>47960</v>
      </c>
      <c r="O805" s="9" t="n">
        <v>115980</v>
      </c>
      <c r="P805" s="10" t="n">
        <v>20019</v>
      </c>
      <c r="Q805" s="10" t="n">
        <v>6227</v>
      </c>
      <c r="R805" s="7" t="n">
        <v>134083</v>
      </c>
      <c r="S805" s="8" t="n">
        <v>7470</v>
      </c>
      <c r="T805" s="8" t="n">
        <v>-19629</v>
      </c>
      <c r="U805" s="9" t="n">
        <v>148570</v>
      </c>
      <c r="V805" s="10" t="n">
        <v>23175</v>
      </c>
      <c r="W805" s="10" t="n">
        <v>12635</v>
      </c>
      <c r="X805" s="7" t="n">
        <v>169414</v>
      </c>
      <c r="Y805" s="8" t="n">
        <v>19411</v>
      </c>
      <c r="Z805" s="8" t="n">
        <v>22847</v>
      </c>
      <c r="AA805" s="9" t="n">
        <v>140897</v>
      </c>
      <c r="AB805" s="10" t="n">
        <v>11002</v>
      </c>
      <c r="AC805" s="10" t="n">
        <v>71651</v>
      </c>
      <c r="AD805" s="7" t="n">
        <v>97766</v>
      </c>
      <c r="AE805" s="8" t="n">
        <v>-44728</v>
      </c>
      <c r="AF805" s="8" t="n">
        <v>388425</v>
      </c>
      <c r="AG805" s="9" t="n">
        <v>176320</v>
      </c>
      <c r="AH805" s="10" t="n">
        <v>1492</v>
      </c>
      <c r="AI805" s="10" t="n">
        <v>23573</v>
      </c>
      <c r="AJ805" s="11" t="n">
        <v>208793</v>
      </c>
      <c r="AK805" s="12" t="n">
        <v>31892</v>
      </c>
      <c r="AL805" s="12" t="n">
        <v>107806</v>
      </c>
      <c r="AM805" s="13" t="n">
        <v>18.4</v>
      </c>
      <c r="AN805" s="13" t="n">
        <v>23.2</v>
      </c>
      <c r="AO805" s="13" t="n">
        <v>2037.5</v>
      </c>
      <c r="AP805" s="13" t="n">
        <v>64.3</v>
      </c>
    </row>
    <row r="806">
      <c r="A806" s="5" t="inlineStr">
        <is>
          <t>진성티이씨</t>
        </is>
      </c>
      <c r="B806" s="6" t="inlineStr">
        <is>
          <t>036890</t>
        </is>
      </c>
      <c r="C806" s="6" t="inlineStr">
        <is>
          <t>연결</t>
        </is>
      </c>
      <c r="D806" s="6" t="inlineStr">
        <is>
          <t>2026Q2</t>
        </is>
      </c>
      <c r="E806" s="6" t="inlineStr"/>
      <c r="F806" s="7" t="inlineStr"/>
      <c r="G806" s="8" t="inlineStr"/>
      <c r="H806" s="8" t="inlineStr"/>
      <c r="I806" s="9" t="n">
        <v>106985</v>
      </c>
      <c r="J806" s="10" t="n">
        <v>5672</v>
      </c>
      <c r="K806" s="10" t="n">
        <v>4997</v>
      </c>
      <c r="L806" s="7" t="n">
        <v>100308</v>
      </c>
      <c r="M806" s="8" t="n">
        <v>6188</v>
      </c>
      <c r="N806" s="8" t="n">
        <v>5204</v>
      </c>
      <c r="O806" s="9" t="n">
        <v>93677</v>
      </c>
      <c r="P806" s="10" t="n">
        <v>4096</v>
      </c>
      <c r="Q806" s="10" t="n">
        <v>334</v>
      </c>
      <c r="R806" s="7" t="n">
        <v>89545</v>
      </c>
      <c r="S806" s="8" t="n">
        <v>8486</v>
      </c>
      <c r="T806" s="8" t="n">
        <v>10426</v>
      </c>
      <c r="U806" s="9" t="n">
        <v>106563</v>
      </c>
      <c r="V806" s="10" t="n">
        <v>9067</v>
      </c>
      <c r="W806" s="10" t="n">
        <v>6600</v>
      </c>
      <c r="X806" s="7" t="n">
        <v>116719</v>
      </c>
      <c r="Y806" s="8" t="n">
        <v>14611</v>
      </c>
      <c r="Z806" s="8" t="n">
        <v>6422</v>
      </c>
      <c r="AA806" s="9" t="n">
        <v>118335</v>
      </c>
      <c r="AB806" s="10" t="n">
        <v>12653</v>
      </c>
      <c r="AC806" s="10" t="n">
        <v>10876</v>
      </c>
      <c r="AD806" s="7" t="n">
        <v>122203</v>
      </c>
      <c r="AE806" s="8" t="n">
        <v>11612</v>
      </c>
      <c r="AF806" s="8" t="n">
        <v>8745</v>
      </c>
      <c r="AG806" s="9" t="n">
        <v>136376</v>
      </c>
      <c r="AH806" s="10" t="n">
        <v>12950</v>
      </c>
      <c r="AI806" s="10" t="n">
        <v>13893</v>
      </c>
      <c r="AJ806" s="11" t="n">
        <v>152845</v>
      </c>
      <c r="AK806" s="12" t="n">
        <v>11492</v>
      </c>
      <c r="AL806" s="12" t="n">
        <v>33984</v>
      </c>
      <c r="AM806" s="13" t="n">
        <v>12.1</v>
      </c>
      <c r="AN806" s="13" t="n">
        <v>31</v>
      </c>
      <c r="AO806" s="13" t="n">
        <v>-11.3</v>
      </c>
      <c r="AP806" s="13" t="n">
        <v>-21.3</v>
      </c>
    </row>
    <row r="807">
      <c r="A807" s="5" t="inlineStr">
        <is>
          <t>주성엔지니어링</t>
        </is>
      </c>
      <c r="B807" s="6" t="inlineStr">
        <is>
          <t>036930</t>
        </is>
      </c>
      <c r="C807" s="6" t="inlineStr">
        <is>
          <t>연결</t>
        </is>
      </c>
      <c r="D807" s="6" t="inlineStr">
        <is>
          <t>2026Q2</t>
        </is>
      </c>
      <c r="E807" s="6" t="inlineStr"/>
      <c r="F807" s="7" t="inlineStr"/>
      <c r="G807" s="8" t="inlineStr"/>
      <c r="H807" s="8" t="inlineStr"/>
      <c r="I807" s="9" t="n">
        <v>56571</v>
      </c>
      <c r="J807" s="10" t="n">
        <v>7030</v>
      </c>
      <c r="K807" s="10" t="n">
        <v>16084</v>
      </c>
      <c r="L807" s="7" t="n">
        <v>97333</v>
      </c>
      <c r="M807" s="8" t="n">
        <v>36063</v>
      </c>
      <c r="N807" s="8" t="n">
        <v>33073</v>
      </c>
      <c r="O807" s="9" t="n">
        <v>147205</v>
      </c>
      <c r="P807" s="10" t="n">
        <v>52171</v>
      </c>
      <c r="Q807" s="10" t="n">
        <v>35601</v>
      </c>
      <c r="R807" s="7" t="n">
        <v>108284</v>
      </c>
      <c r="S807" s="8" t="n">
        <v>1932</v>
      </c>
      <c r="T807" s="8" t="n">
        <v>22056</v>
      </c>
      <c r="U807" s="9" t="n">
        <v>120846</v>
      </c>
      <c r="V807" s="10" t="n">
        <v>33908</v>
      </c>
      <c r="W807" s="10" t="n">
        <v>27716</v>
      </c>
      <c r="X807" s="7" t="n">
        <v>78792</v>
      </c>
      <c r="Y807" s="8" t="n">
        <v>6575</v>
      </c>
      <c r="Z807" s="8" t="n">
        <v>5040</v>
      </c>
      <c r="AA807" s="9" t="n">
        <v>58773</v>
      </c>
      <c r="AB807" s="10" t="n">
        <v>3356</v>
      </c>
      <c r="AC807" s="10" t="n">
        <v>7634</v>
      </c>
      <c r="AD807" s="7" t="n">
        <v>52282</v>
      </c>
      <c r="AE807" s="8" t="n">
        <v>-12581</v>
      </c>
      <c r="AF807" s="8" t="n">
        <v>-4697</v>
      </c>
      <c r="AG807" s="9" t="n">
        <v>54879</v>
      </c>
      <c r="AH807" s="10" t="n">
        <v>-7031</v>
      </c>
      <c r="AI807" s="10" t="n">
        <v>-1191</v>
      </c>
      <c r="AJ807" s="11" t="n">
        <v>59882</v>
      </c>
      <c r="AK807" s="12" t="n">
        <v>1423</v>
      </c>
      <c r="AL807" s="12" t="n">
        <v>5501</v>
      </c>
      <c r="AM807" s="13" t="n">
        <v>9.1</v>
      </c>
      <c r="AN807" s="13" t="n">
        <v>-24</v>
      </c>
      <c r="AO807" s="13" t="n">
        <v>120.2</v>
      </c>
      <c r="AP807" s="13" t="n">
        <v>-78.40000000000001</v>
      </c>
    </row>
    <row r="808">
      <c r="A808" s="5" t="inlineStr">
        <is>
          <t>파워넷</t>
        </is>
      </c>
      <c r="B808" s="6" t="inlineStr">
        <is>
          <t>037030</t>
        </is>
      </c>
      <c r="C808" s="6" t="inlineStr">
        <is>
          <t>연결</t>
        </is>
      </c>
      <c r="D808" s="6" t="inlineStr">
        <is>
          <t>2026Q2</t>
        </is>
      </c>
      <c r="E808" s="6" t="inlineStr"/>
      <c r="F808" s="7" t="inlineStr"/>
      <c r="G808" s="8" t="inlineStr"/>
      <c r="H808" s="8" t="inlineStr"/>
      <c r="I808" s="9" t="n">
        <v>53574</v>
      </c>
      <c r="J808" s="10" t="n">
        <v>2599</v>
      </c>
      <c r="K808" s="10" t="n">
        <v>6569</v>
      </c>
      <c r="L808" s="7" t="n">
        <v>64820</v>
      </c>
      <c r="M808" s="8" t="n">
        <v>3587</v>
      </c>
      <c r="N808" s="8" t="n">
        <v>5289</v>
      </c>
      <c r="O808" s="9" t="n">
        <v>108277</v>
      </c>
      <c r="P808" s="10" t="n">
        <v>4701</v>
      </c>
      <c r="Q808" s="10" t="n">
        <v>11343</v>
      </c>
      <c r="R808" s="7" t="n">
        <v>96014</v>
      </c>
      <c r="S808" s="8" t="n">
        <v>2418</v>
      </c>
      <c r="T808" s="8" t="n">
        <v>-10396</v>
      </c>
      <c r="U808" s="9" t="n">
        <v>105993</v>
      </c>
      <c r="V808" s="10" t="n">
        <v>4419</v>
      </c>
      <c r="W808" s="10" t="n">
        <v>3414</v>
      </c>
      <c r="X808" s="7" t="n">
        <v>116612</v>
      </c>
      <c r="Y808" s="8" t="n">
        <v>9621</v>
      </c>
      <c r="Z808" s="8" t="n">
        <v>7522</v>
      </c>
      <c r="AA808" s="9" t="n">
        <v>100518</v>
      </c>
      <c r="AB808" s="10" t="n">
        <v>6670</v>
      </c>
      <c r="AC808" s="10" t="n">
        <v>10082</v>
      </c>
      <c r="AD808" s="7" t="n">
        <v>123914</v>
      </c>
      <c r="AE808" s="8" t="n">
        <v>3898</v>
      </c>
      <c r="AF808" s="8" t="n">
        <v>317</v>
      </c>
      <c r="AG808" s="9" t="n">
        <v>106575</v>
      </c>
      <c r="AH808" s="10" t="n">
        <v>3639</v>
      </c>
      <c r="AI808" s="10" t="n">
        <v>1576</v>
      </c>
      <c r="AJ808" s="11" t="n">
        <v>104244</v>
      </c>
      <c r="AK808" s="12" t="n">
        <v>6900</v>
      </c>
      <c r="AL808" s="12" t="n">
        <v>374</v>
      </c>
      <c r="AM808" s="13" t="n">
        <v>-2.2</v>
      </c>
      <c r="AN808" s="13" t="n">
        <v>-10.6</v>
      </c>
      <c r="AO808" s="13" t="n">
        <v>89.59999999999999</v>
      </c>
      <c r="AP808" s="13" t="n">
        <v>-28.3</v>
      </c>
    </row>
    <row r="809">
      <c r="A809" s="5" t="inlineStr">
        <is>
          <t>파세코</t>
        </is>
      </c>
      <c r="B809" s="6" t="inlineStr">
        <is>
          <t>037070</t>
        </is>
      </c>
      <c r="C809" s="6" t="inlineStr">
        <is>
          <t>별도</t>
        </is>
      </c>
      <c r="D809" s="6" t="inlineStr">
        <is>
          <t>2026Q2</t>
        </is>
      </c>
      <c r="E809" s="6" t="inlineStr"/>
      <c r="F809" s="7" t="inlineStr"/>
      <c r="G809" s="8" t="inlineStr"/>
      <c r="H809" s="8" t="inlineStr"/>
      <c r="I809" s="9" t="n">
        <v>28790</v>
      </c>
      <c r="J809" s="10" t="n">
        <v>-3195</v>
      </c>
      <c r="K809" s="10" t="n">
        <v>-2024</v>
      </c>
      <c r="L809" s="7" t="n">
        <v>38470</v>
      </c>
      <c r="M809" s="8" t="n">
        <v>-3560</v>
      </c>
      <c r="N809" s="8" t="n">
        <v>-982</v>
      </c>
      <c r="O809" s="9" t="n">
        <v>51591</v>
      </c>
      <c r="P809" s="10" t="n">
        <v>-1267</v>
      </c>
      <c r="Q809" s="10" t="n">
        <v>-1425</v>
      </c>
      <c r="R809" s="7" t="n">
        <v>38906</v>
      </c>
      <c r="S809" s="8" t="n">
        <v>-8784</v>
      </c>
      <c r="T809" s="8" t="n">
        <v>-12346</v>
      </c>
      <c r="U809" s="9" t="n">
        <v>34297</v>
      </c>
      <c r="V809" s="10" t="n">
        <v>-2288</v>
      </c>
      <c r="W809" s="10" t="n">
        <v>-2067</v>
      </c>
      <c r="X809" s="7" t="n">
        <v>47503</v>
      </c>
      <c r="Y809" s="8" t="n">
        <v>1718</v>
      </c>
      <c r="Z809" s="8" t="n">
        <v>2234</v>
      </c>
      <c r="AA809" s="9" t="n">
        <v>56426</v>
      </c>
      <c r="AB809" s="10" t="n">
        <v>5360</v>
      </c>
      <c r="AC809" s="10" t="n">
        <v>5488</v>
      </c>
      <c r="AD809" s="7" t="n">
        <v>29684</v>
      </c>
      <c r="AE809" s="8" t="n">
        <v>-1489</v>
      </c>
      <c r="AF809" s="8" t="n">
        <v>-1954</v>
      </c>
      <c r="AG809" s="9" t="n">
        <v>28101</v>
      </c>
      <c r="AH809" s="10" t="n">
        <v>-3366</v>
      </c>
      <c r="AI809" s="10" t="n">
        <v>-2875</v>
      </c>
      <c r="AJ809" s="11" t="n">
        <v>46702</v>
      </c>
      <c r="AK809" s="12" t="n">
        <v>2352</v>
      </c>
      <c r="AL809" s="12" t="n">
        <v>2420</v>
      </c>
      <c r="AM809" s="13" t="n">
        <v>66.2</v>
      </c>
      <c r="AN809" s="13" t="n">
        <v>-1.7</v>
      </c>
      <c r="AO809" s="13" t="n">
        <v>169.9</v>
      </c>
      <c r="AP809" s="13" t="n">
        <v>36.9</v>
      </c>
    </row>
    <row r="810">
      <c r="A810" s="5" t="inlineStr">
        <is>
          <t>한국팩키지</t>
        </is>
      </c>
      <c r="B810" s="6" t="inlineStr">
        <is>
          <t>037230</t>
        </is>
      </c>
      <c r="C810" s="6" t="inlineStr">
        <is>
          <t>별도</t>
        </is>
      </c>
      <c r="D810" s="6" t="inlineStr">
        <is>
          <t>2026Q2</t>
        </is>
      </c>
      <c r="E810" s="6" t="inlineStr"/>
      <c r="F810" s="7" t="inlineStr"/>
      <c r="G810" s="8" t="inlineStr"/>
      <c r="H810" s="8" t="inlineStr"/>
      <c r="I810" s="9" t="n">
        <v>56962</v>
      </c>
      <c r="J810" s="10" t="n">
        <v>1792</v>
      </c>
      <c r="K810" s="10" t="n">
        <v>463</v>
      </c>
      <c r="L810" s="7" t="n">
        <v>57278</v>
      </c>
      <c r="M810" s="8" t="n">
        <v>2368</v>
      </c>
      <c r="N810" s="8" t="n">
        <v>663</v>
      </c>
      <c r="O810" s="9" t="n">
        <v>55510</v>
      </c>
      <c r="P810" s="10" t="n">
        <v>1288</v>
      </c>
      <c r="Q810" s="10" t="n">
        <v>395</v>
      </c>
      <c r="R810" s="7" t="n">
        <v>55851</v>
      </c>
      <c r="S810" s="8" t="n">
        <v>1346</v>
      </c>
      <c r="T810" s="8" t="n">
        <v>-278</v>
      </c>
      <c r="U810" s="9" t="n">
        <v>56058</v>
      </c>
      <c r="V810" s="10" t="n">
        <v>2306</v>
      </c>
      <c r="W810" s="10" t="n">
        <v>1080</v>
      </c>
      <c r="X810" s="7" t="n">
        <v>56755</v>
      </c>
      <c r="Y810" s="8" t="n">
        <v>3094</v>
      </c>
      <c r="Z810" s="8" t="n">
        <v>3127</v>
      </c>
      <c r="AA810" s="9" t="n">
        <v>57235</v>
      </c>
      <c r="AB810" s="10" t="n">
        <v>2873</v>
      </c>
      <c r="AC810" s="10" t="n">
        <v>1512</v>
      </c>
      <c r="AD810" s="7" t="n">
        <v>54031</v>
      </c>
      <c r="AE810" s="8" t="n">
        <v>1672</v>
      </c>
      <c r="AF810" s="8" t="n">
        <v>-27</v>
      </c>
      <c r="AG810" s="9" t="n">
        <v>54995</v>
      </c>
      <c r="AH810" s="10" t="n">
        <v>1184</v>
      </c>
      <c r="AI810" s="10" t="n">
        <v>717</v>
      </c>
      <c r="AJ810" s="11" t="n">
        <v>62614</v>
      </c>
      <c r="AK810" s="12" t="n">
        <v>2059</v>
      </c>
      <c r="AL810" s="12" t="n">
        <v>1061</v>
      </c>
      <c r="AM810" s="13" t="n">
        <v>13.9</v>
      </c>
      <c r="AN810" s="13" t="n">
        <v>10.3</v>
      </c>
      <c r="AO810" s="13" t="n">
        <v>73.90000000000001</v>
      </c>
      <c r="AP810" s="13" t="n">
        <v>-33.5</v>
      </c>
    </row>
    <row r="811">
      <c r="A811" s="5" t="inlineStr">
        <is>
          <t>YG PLUS</t>
        </is>
      </c>
      <c r="B811" s="6" t="inlineStr">
        <is>
          <t>037270</t>
        </is>
      </c>
      <c r="C811" s="6" t="inlineStr">
        <is>
          <t>연결</t>
        </is>
      </c>
      <c r="D811" s="6" t="inlineStr">
        <is>
          <t>2026Q2</t>
        </is>
      </c>
      <c r="E811" s="6" t="inlineStr"/>
      <c r="F811" s="7" t="inlineStr"/>
      <c r="G811" s="8" t="inlineStr"/>
      <c r="H811" s="8" t="inlineStr"/>
      <c r="I811" s="9" t="n">
        <v>41460</v>
      </c>
      <c r="J811" s="10" t="n">
        <v>-2032</v>
      </c>
      <c r="K811" s="10" t="n">
        <v>-77</v>
      </c>
      <c r="L811" s="7" t="n">
        <v>48093</v>
      </c>
      <c r="M811" s="8" t="n">
        <v>371</v>
      </c>
      <c r="N811" s="8" t="n">
        <v>2180</v>
      </c>
      <c r="O811" s="9" t="n">
        <v>40998</v>
      </c>
      <c r="P811" s="10" t="n">
        <v>-1115</v>
      </c>
      <c r="Q811" s="10" t="n">
        <v>-1012</v>
      </c>
      <c r="R811" s="7" t="n">
        <v>54352</v>
      </c>
      <c r="S811" s="8" t="n">
        <v>2044</v>
      </c>
      <c r="T811" s="8" t="n">
        <v>906</v>
      </c>
      <c r="U811" s="9" t="n">
        <v>59010</v>
      </c>
      <c r="V811" s="10" t="n">
        <v>8718</v>
      </c>
      <c r="W811" s="10" t="n">
        <v>6958</v>
      </c>
      <c r="X811" s="7" t="n">
        <v>48323</v>
      </c>
      <c r="Y811" s="8" t="n">
        <v>4191</v>
      </c>
      <c r="Z811" s="8" t="n">
        <v>4539</v>
      </c>
      <c r="AA811" s="9" t="n">
        <v>69889</v>
      </c>
      <c r="AB811" s="10" t="n">
        <v>14068</v>
      </c>
      <c r="AC811" s="10" t="n">
        <v>10460</v>
      </c>
      <c r="AD811" s="7" t="n">
        <v>58825</v>
      </c>
      <c r="AE811" s="8" t="n">
        <v>5358</v>
      </c>
      <c r="AF811" s="8" t="n">
        <v>1660</v>
      </c>
      <c r="AG811" s="9" t="n">
        <v>53458</v>
      </c>
      <c r="AH811" s="10" t="n">
        <v>5274</v>
      </c>
      <c r="AI811" s="10" t="n">
        <v>6973</v>
      </c>
      <c r="AJ811" s="11" t="n">
        <v>62117</v>
      </c>
      <c r="AK811" s="12" t="n">
        <v>4760</v>
      </c>
      <c r="AL811" s="12" t="n">
        <v>2749</v>
      </c>
      <c r="AM811" s="13" t="n">
        <v>16.2</v>
      </c>
      <c r="AN811" s="13" t="n">
        <v>28.5</v>
      </c>
      <c r="AO811" s="13" t="n">
        <v>-9.699999999999999</v>
      </c>
      <c r="AP811" s="13" t="n">
        <v>13.6</v>
      </c>
    </row>
    <row r="812">
      <c r="A812" s="5" t="inlineStr">
        <is>
          <t>인지디스플레</t>
        </is>
      </c>
      <c r="B812" s="6" t="inlineStr">
        <is>
          <t>037330</t>
        </is>
      </c>
      <c r="C812" s="6" t="inlineStr">
        <is>
          <t>연결</t>
        </is>
      </c>
      <c r="D812" s="6" t="inlineStr">
        <is>
          <t>2026Q2</t>
        </is>
      </c>
      <c r="E812" s="6" t="inlineStr"/>
      <c r="F812" s="7" t="inlineStr"/>
      <c r="G812" s="8" t="inlineStr"/>
      <c r="H812" s="8" t="inlineStr"/>
      <c r="I812" s="9" t="n">
        <v>178787</v>
      </c>
      <c r="J812" s="10" t="n">
        <v>2419</v>
      </c>
      <c r="K812" s="10" t="n">
        <v>2369</v>
      </c>
      <c r="L812" s="7" t="n">
        <v>178832</v>
      </c>
      <c r="M812" s="8" t="n">
        <v>2782</v>
      </c>
      <c r="N812" s="8" t="n">
        <v>858</v>
      </c>
      <c r="O812" s="9" t="n">
        <v>204622</v>
      </c>
      <c r="P812" s="10" t="n">
        <v>3245</v>
      </c>
      <c r="Q812" s="10" t="n">
        <v>-1523</v>
      </c>
      <c r="R812" s="7" t="n">
        <v>170428</v>
      </c>
      <c r="S812" s="8" t="n">
        <v>2483</v>
      </c>
      <c r="T812" s="8" t="n">
        <v>-2969</v>
      </c>
      <c r="U812" s="9" t="n">
        <v>193002</v>
      </c>
      <c r="V812" s="10" t="n">
        <v>6064</v>
      </c>
      <c r="W812" s="10" t="n">
        <v>3485</v>
      </c>
      <c r="X812" s="7" t="n">
        <v>179024</v>
      </c>
      <c r="Y812" s="8" t="n">
        <v>5258</v>
      </c>
      <c r="Z812" s="8" t="n">
        <v>1533</v>
      </c>
      <c r="AA812" s="9" t="n">
        <v>191245</v>
      </c>
      <c r="AB812" s="10" t="n">
        <v>5802</v>
      </c>
      <c r="AC812" s="10" t="n">
        <v>5120</v>
      </c>
      <c r="AD812" s="7" t="n">
        <v>158543</v>
      </c>
      <c r="AE812" s="8" t="n">
        <v>-21</v>
      </c>
      <c r="AF812" s="8" t="n">
        <v>-390</v>
      </c>
      <c r="AG812" s="9" t="n">
        <v>164177</v>
      </c>
      <c r="AH812" s="10" t="n">
        <v>386</v>
      </c>
      <c r="AI812" s="10" t="n">
        <v>-466</v>
      </c>
      <c r="AJ812" s="11" t="n">
        <v>163989</v>
      </c>
      <c r="AK812" s="12" t="n">
        <v>-2106</v>
      </c>
      <c r="AL812" s="12" t="n">
        <v>2407</v>
      </c>
      <c r="AM812" s="13" t="n">
        <v>-0.1</v>
      </c>
      <c r="AN812" s="13" t="n">
        <v>-8.4</v>
      </c>
      <c r="AO812" s="13" t="n">
        <v>-645.6</v>
      </c>
      <c r="AP812" s="13" t="n">
        <v>-140.1</v>
      </c>
    </row>
    <row r="813">
      <c r="A813" s="5" t="inlineStr">
        <is>
          <t>성도이엔지</t>
        </is>
      </c>
      <c r="B813" s="6" t="inlineStr">
        <is>
          <t>037350</t>
        </is>
      </c>
      <c r="C813" s="6" t="inlineStr">
        <is>
          <t>연결</t>
        </is>
      </c>
      <c r="D813" s="6" t="inlineStr">
        <is>
          <t>2026Q2</t>
        </is>
      </c>
      <c r="E813" s="6" t="inlineStr"/>
      <c r="F813" s="7" t="inlineStr"/>
      <c r="G813" s="8" t="inlineStr"/>
      <c r="H813" s="8" t="inlineStr"/>
      <c r="I813" s="9" t="n">
        <v>189998</v>
      </c>
      <c r="J813" s="10" t="n">
        <v>6844</v>
      </c>
      <c r="K813" s="10" t="n">
        <v>5873</v>
      </c>
      <c r="L813" s="7" t="n">
        <v>261405</v>
      </c>
      <c r="M813" s="8" t="n">
        <v>26134</v>
      </c>
      <c r="N813" s="8" t="n">
        <v>19433</v>
      </c>
      <c r="O813" s="9" t="n">
        <v>279451</v>
      </c>
      <c r="P813" s="10" t="n">
        <v>11633</v>
      </c>
      <c r="Q813" s="10" t="n">
        <v>5701</v>
      </c>
      <c r="R813" s="7" t="n">
        <v>268757</v>
      </c>
      <c r="S813" s="8" t="n">
        <v>-17315</v>
      </c>
      <c r="T813" s="8" t="n">
        <v>-15698</v>
      </c>
      <c r="U813" s="9" t="n">
        <v>200331</v>
      </c>
      <c r="V813" s="10" t="n">
        <v>8015</v>
      </c>
      <c r="W813" s="10" t="n">
        <v>6684</v>
      </c>
      <c r="X813" s="7" t="n">
        <v>201245</v>
      </c>
      <c r="Y813" s="8" t="n">
        <v>25490</v>
      </c>
      <c r="Z813" s="8" t="n">
        <v>17371</v>
      </c>
      <c r="AA813" s="9" t="n">
        <v>176138</v>
      </c>
      <c r="AB813" s="10" t="n">
        <v>14713</v>
      </c>
      <c r="AC813" s="10" t="n">
        <v>12623</v>
      </c>
      <c r="AD813" s="7" t="n">
        <v>165692</v>
      </c>
      <c r="AE813" s="8" t="n">
        <v>9480</v>
      </c>
      <c r="AF813" s="8" t="n">
        <v>-8524</v>
      </c>
      <c r="AG813" s="9" t="n">
        <v>144597</v>
      </c>
      <c r="AH813" s="10" t="n">
        <v>7798</v>
      </c>
      <c r="AI813" s="10" t="n">
        <v>9988</v>
      </c>
      <c r="AJ813" s="11" t="n">
        <v>174640</v>
      </c>
      <c r="AK813" s="12" t="n">
        <v>10238</v>
      </c>
      <c r="AL813" s="12" t="n">
        <v>5672</v>
      </c>
      <c r="AM813" s="13" t="n">
        <v>20.8</v>
      </c>
      <c r="AN813" s="13" t="n">
        <v>-13.2</v>
      </c>
      <c r="AO813" s="13" t="n">
        <v>31.3</v>
      </c>
      <c r="AP813" s="13" t="n">
        <v>-59.8</v>
      </c>
    </row>
    <row r="814">
      <c r="A814" s="5" t="inlineStr">
        <is>
          <t>EG</t>
        </is>
      </c>
      <c r="B814" s="6" t="inlineStr">
        <is>
          <t>037370</t>
        </is>
      </c>
      <c r="C814" s="6" t="inlineStr">
        <is>
          <t>연결</t>
        </is>
      </c>
      <c r="D814" s="6" t="inlineStr">
        <is>
          <t>2026Q2</t>
        </is>
      </c>
      <c r="E814" s="6" t="inlineStr"/>
      <c r="F814" s="7" t="inlineStr"/>
      <c r="G814" s="8" t="inlineStr"/>
      <c r="H814" s="8" t="inlineStr"/>
      <c r="I814" s="9" t="n">
        <v>15643</v>
      </c>
      <c r="J814" s="10" t="n">
        <v>-2055</v>
      </c>
      <c r="K814" s="10" t="n">
        <v>-5330</v>
      </c>
      <c r="L814" s="7" t="n">
        <v>15556</v>
      </c>
      <c r="M814" s="8" t="n">
        <v>-1314</v>
      </c>
      <c r="N814" s="8" t="n">
        <v>-1723</v>
      </c>
      <c r="O814" s="9" t="n">
        <v>16427</v>
      </c>
      <c r="P814" s="10" t="n">
        <v>-1443</v>
      </c>
      <c r="Q814" s="10" t="n">
        <v>-1699</v>
      </c>
      <c r="R814" s="7" t="n">
        <v>17587</v>
      </c>
      <c r="S814" s="8" t="n">
        <v>-654</v>
      </c>
      <c r="T814" s="8" t="n">
        <v>2003</v>
      </c>
      <c r="U814" s="9" t="n">
        <v>14917</v>
      </c>
      <c r="V814" s="10" t="n">
        <v>-1020</v>
      </c>
      <c r="W814" s="10" t="n">
        <v>-2667</v>
      </c>
      <c r="X814" s="7" t="n">
        <v>15603</v>
      </c>
      <c r="Y814" s="8" t="n">
        <v>-173</v>
      </c>
      <c r="Z814" s="8" t="n">
        <v>-1298</v>
      </c>
      <c r="AA814" s="9" t="n">
        <v>15773</v>
      </c>
      <c r="AB814" s="10" t="n">
        <v>-189</v>
      </c>
      <c r="AC814" s="10" t="n">
        <v>-1418</v>
      </c>
      <c r="AD814" s="7" t="n">
        <v>16458</v>
      </c>
      <c r="AE814" s="8" t="n">
        <v>-784</v>
      </c>
      <c r="AF814" s="8" t="n">
        <v>-2294</v>
      </c>
      <c r="AG814" s="9" t="n">
        <v>15637</v>
      </c>
      <c r="AH814" s="10" t="n">
        <v>-721</v>
      </c>
      <c r="AI814" s="10" t="n">
        <v>-2280</v>
      </c>
      <c r="AJ814" s="11" t="n">
        <v>18680</v>
      </c>
      <c r="AK814" s="12" t="n">
        <v>1038</v>
      </c>
      <c r="AL814" s="12" t="n">
        <v>-1640</v>
      </c>
      <c r="AM814" s="13" t="n">
        <v>19.5</v>
      </c>
      <c r="AN814" s="13" t="n">
        <v>19.7</v>
      </c>
      <c r="AO814" s="13" t="n">
        <v>244</v>
      </c>
      <c r="AP814" s="13" t="n">
        <v>700</v>
      </c>
    </row>
    <row r="815">
      <c r="A815" s="5" t="inlineStr">
        <is>
          <t>우리엔터프라이즈</t>
        </is>
      </c>
      <c r="B815" s="6" t="inlineStr">
        <is>
          <t>037400</t>
        </is>
      </c>
      <c r="C815" s="6" t="inlineStr">
        <is>
          <t>연결</t>
        </is>
      </c>
      <c r="D815" s="6" t="inlineStr">
        <is>
          <t>2026Q2</t>
        </is>
      </c>
      <c r="E815" s="6" t="inlineStr"/>
      <c r="F815" s="7" t="inlineStr"/>
      <c r="G815" s="8" t="inlineStr"/>
      <c r="H815" s="8" t="inlineStr"/>
      <c r="I815" s="9" t="n">
        <v>298557</v>
      </c>
      <c r="J815" s="10" t="n">
        <v>3617</v>
      </c>
      <c r="K815" s="10" t="n">
        <v>4400</v>
      </c>
      <c r="L815" s="7" t="n">
        <v>311727</v>
      </c>
      <c r="M815" s="8" t="n">
        <v>10277</v>
      </c>
      <c r="N815" s="8" t="n">
        <v>8275</v>
      </c>
      <c r="O815" s="9" t="n">
        <v>353010</v>
      </c>
      <c r="P815" s="10" t="n">
        <v>6096</v>
      </c>
      <c r="Q815" s="10" t="n">
        <v>1572</v>
      </c>
      <c r="R815" s="7" t="n">
        <v>295843</v>
      </c>
      <c r="S815" s="8" t="n">
        <v>-3743</v>
      </c>
      <c r="T815" s="8" t="n">
        <v>-5465</v>
      </c>
      <c r="U815" s="9" t="n">
        <v>303514</v>
      </c>
      <c r="V815" s="10" t="n">
        <v>772</v>
      </c>
      <c r="W815" s="10" t="n">
        <v>-605</v>
      </c>
      <c r="X815" s="7" t="n">
        <v>235816</v>
      </c>
      <c r="Y815" s="8" t="n">
        <v>-2323</v>
      </c>
      <c r="Z815" s="8" t="n">
        <v>-10139</v>
      </c>
      <c r="AA815" s="9" t="n">
        <v>270140</v>
      </c>
      <c r="AB815" s="10" t="n">
        <v>2684</v>
      </c>
      <c r="AC815" s="10" t="n">
        <v>2913</v>
      </c>
      <c r="AD815" s="7" t="n">
        <v>255747</v>
      </c>
      <c r="AE815" s="8" t="n">
        <v>8</v>
      </c>
      <c r="AF815" s="8" t="n">
        <v>-2395</v>
      </c>
      <c r="AG815" s="9" t="n">
        <v>274040</v>
      </c>
      <c r="AH815" s="10" t="n">
        <v>-4508</v>
      </c>
      <c r="AI815" s="10" t="n">
        <v>-101</v>
      </c>
      <c r="AJ815" s="11" t="n">
        <v>321592</v>
      </c>
      <c r="AK815" s="12" t="n">
        <v>-2714</v>
      </c>
      <c r="AL815" s="12" t="n">
        <v>-3238</v>
      </c>
      <c r="AM815" s="13" t="n">
        <v>17.4</v>
      </c>
      <c r="AN815" s="13" t="n">
        <v>36.4</v>
      </c>
      <c r="AO815" s="13" t="n">
        <v>39.8</v>
      </c>
      <c r="AP815" s="13" t="n">
        <v>-16.8</v>
      </c>
    </row>
    <row r="816">
      <c r="A816" s="5" t="inlineStr">
        <is>
          <t>희림</t>
        </is>
      </c>
      <c r="B816" s="6" t="inlineStr">
        <is>
          <t>037440</t>
        </is>
      </c>
      <c r="C816" s="6" t="inlineStr">
        <is>
          <t>연결</t>
        </is>
      </c>
      <c r="D816" s="6" t="inlineStr">
        <is>
          <t>2026Q2</t>
        </is>
      </c>
      <c r="E816" s="6" t="inlineStr"/>
      <c r="F816" s="7" t="inlineStr"/>
      <c r="G816" s="8" t="inlineStr"/>
      <c r="H816" s="8" t="inlineStr"/>
      <c r="I816" s="9" t="n">
        <v>56257</v>
      </c>
      <c r="J816" s="10" t="n">
        <v>1786</v>
      </c>
      <c r="K816" s="10" t="n">
        <v>3166</v>
      </c>
      <c r="L816" s="7" t="n">
        <v>61716</v>
      </c>
      <c r="M816" s="8" t="n">
        <v>3614</v>
      </c>
      <c r="N816" s="8" t="n">
        <v>2168</v>
      </c>
      <c r="O816" s="9" t="n">
        <v>57567</v>
      </c>
      <c r="P816" s="10" t="n">
        <v>4363</v>
      </c>
      <c r="Q816" s="10" t="n">
        <v>2602</v>
      </c>
      <c r="R816" s="7" t="n">
        <v>65421</v>
      </c>
      <c r="S816" s="8" t="n">
        <v>5516</v>
      </c>
      <c r="T816" s="8" t="n">
        <v>5492</v>
      </c>
      <c r="U816" s="9" t="n">
        <v>57308</v>
      </c>
      <c r="V816" s="10" t="n">
        <v>2412</v>
      </c>
      <c r="W816" s="10" t="n">
        <v>956</v>
      </c>
      <c r="X816" s="7" t="n">
        <v>60005</v>
      </c>
      <c r="Y816" s="8" t="n">
        <v>2751</v>
      </c>
      <c r="Z816" s="8" t="n">
        <v>1596</v>
      </c>
      <c r="AA816" s="9" t="n">
        <v>55780</v>
      </c>
      <c r="AB816" s="10" t="n">
        <v>73</v>
      </c>
      <c r="AC816" s="10" t="n">
        <v>420</v>
      </c>
      <c r="AD816" s="7" t="n">
        <v>58780</v>
      </c>
      <c r="AE816" s="8" t="n">
        <v>3905</v>
      </c>
      <c r="AF816" s="8" t="n">
        <v>4844</v>
      </c>
      <c r="AG816" s="9" t="n">
        <v>59677</v>
      </c>
      <c r="AH816" s="10" t="n">
        <v>1157</v>
      </c>
      <c r="AI816" s="10" t="n">
        <v>323</v>
      </c>
      <c r="AJ816" s="11" t="n">
        <v>56745</v>
      </c>
      <c r="AK816" s="12" t="n">
        <v>2248</v>
      </c>
      <c r="AL816" s="12" t="n">
        <v>2008</v>
      </c>
      <c r="AM816" s="13" t="n">
        <v>-4.9</v>
      </c>
      <c r="AN816" s="13" t="n">
        <v>-5.4</v>
      </c>
      <c r="AO816" s="13" t="n">
        <v>94.3</v>
      </c>
      <c r="AP816" s="13" t="n">
        <v>-18.3</v>
      </c>
    </row>
    <row r="817">
      <c r="A817" s="5" t="inlineStr">
        <is>
          <t>삼지전자</t>
        </is>
      </c>
      <c r="B817" s="6" t="inlineStr">
        <is>
          <t>037460</t>
        </is>
      </c>
      <c r="C817" s="6" t="inlineStr">
        <is>
          <t>연결</t>
        </is>
      </c>
      <c r="D817" s="6" t="inlineStr">
        <is>
          <t>2026Q2</t>
        </is>
      </c>
      <c r="E817" s="6" t="inlineStr"/>
      <c r="F817" s="7" t="inlineStr"/>
      <c r="G817" s="8" t="inlineStr"/>
      <c r="H817" s="8" t="inlineStr"/>
      <c r="I817" s="9" t="n">
        <v>785669</v>
      </c>
      <c r="J817" s="10" t="n">
        <v>20561</v>
      </c>
      <c r="K817" s="10" t="n">
        <v>14719</v>
      </c>
      <c r="L817" s="7" t="n">
        <v>834519</v>
      </c>
      <c r="M817" s="8" t="n">
        <v>25252</v>
      </c>
      <c r="N817" s="8" t="n">
        <v>30429</v>
      </c>
      <c r="O817" s="9" t="n">
        <v>829695</v>
      </c>
      <c r="P817" s="10" t="n">
        <v>20452</v>
      </c>
      <c r="Q817" s="10" t="n">
        <v>14283</v>
      </c>
      <c r="R817" s="7" t="n">
        <v>909798</v>
      </c>
      <c r="S817" s="8" t="n">
        <v>49348</v>
      </c>
      <c r="T817" s="8" t="n">
        <v>34670</v>
      </c>
      <c r="U817" s="9" t="n">
        <v>891841</v>
      </c>
      <c r="V817" s="10" t="n">
        <v>24935</v>
      </c>
      <c r="W817" s="10" t="n">
        <v>17384</v>
      </c>
      <c r="X817" s="7" t="n">
        <v>1054956</v>
      </c>
      <c r="Y817" s="8" t="n">
        <v>29226</v>
      </c>
      <c r="Z817" s="8" t="n">
        <v>20772</v>
      </c>
      <c r="AA817" s="9" t="n">
        <v>1160539</v>
      </c>
      <c r="AB817" s="10" t="n">
        <v>44104</v>
      </c>
      <c r="AC817" s="10" t="n">
        <v>28782</v>
      </c>
      <c r="AD817" s="7" t="n">
        <v>1183761</v>
      </c>
      <c r="AE817" s="8" t="n">
        <v>64183</v>
      </c>
      <c r="AF817" s="8" t="n">
        <v>51411</v>
      </c>
      <c r="AG817" s="9" t="n">
        <v>1904436</v>
      </c>
      <c r="AH817" s="10" t="n">
        <v>334209</v>
      </c>
      <c r="AI817" s="10" t="n">
        <v>248376</v>
      </c>
      <c r="AJ817" s="11" t="n">
        <v>2690378</v>
      </c>
      <c r="AK817" s="12" t="n">
        <v>158401</v>
      </c>
      <c r="AL817" s="12" t="n">
        <v>113402</v>
      </c>
      <c r="AM817" s="13" t="n">
        <v>41.3</v>
      </c>
      <c r="AN817" s="13" t="n">
        <v>155</v>
      </c>
      <c r="AO817" s="13" t="n">
        <v>-52.6</v>
      </c>
      <c r="AP817" s="13" t="n">
        <v>442</v>
      </c>
    </row>
    <row r="818">
      <c r="A818" s="5" t="inlineStr">
        <is>
          <t>LG헬로비전</t>
        </is>
      </c>
      <c r="B818" s="6" t="inlineStr">
        <is>
          <t>037560</t>
        </is>
      </c>
      <c r="C818" s="6" t="inlineStr">
        <is>
          <t>연결</t>
        </is>
      </c>
      <c r="D818" s="6" t="inlineStr">
        <is>
          <t>2026Q2</t>
        </is>
      </c>
      <c r="E818" s="6" t="inlineStr">
        <is>
          <t>2023Q4</t>
        </is>
      </c>
      <c r="F818" s="14" t="n">
        <v>337346</v>
      </c>
      <c r="G818" s="15" t="n">
        <v>12700</v>
      </c>
      <c r="H818" s="15" t="n">
        <v>-73868</v>
      </c>
      <c r="I818" s="9" t="n">
        <v>267196</v>
      </c>
      <c r="J818" s="10" t="n">
        <v>4110</v>
      </c>
      <c r="K818" s="10" t="n">
        <v>1539</v>
      </c>
      <c r="L818" s="7" t="n">
        <v>283611</v>
      </c>
      <c r="M818" s="8" t="n">
        <v>7405</v>
      </c>
      <c r="N818" s="8" t="n">
        <v>5132</v>
      </c>
      <c r="O818" s="9" t="n">
        <v>323302</v>
      </c>
      <c r="P818" s="10" t="n">
        <v>3291</v>
      </c>
      <c r="Q818" s="10" t="n">
        <v>2191</v>
      </c>
      <c r="R818" s="7" t="n">
        <v>322326</v>
      </c>
      <c r="S818" s="8" t="n">
        <v>-1333</v>
      </c>
      <c r="T818" s="8" t="n">
        <v>-115090</v>
      </c>
      <c r="U818" s="9" t="n">
        <v>313517</v>
      </c>
      <c r="V818" s="10" t="n">
        <v>7115</v>
      </c>
      <c r="W818" s="10" t="n">
        <v>2976</v>
      </c>
      <c r="X818" s="7" t="n">
        <v>354115</v>
      </c>
      <c r="Y818" s="8" t="n">
        <v>10493</v>
      </c>
      <c r="Z818" s="8" t="n">
        <v>7207</v>
      </c>
      <c r="AA818" s="9" t="n">
        <v>298483</v>
      </c>
      <c r="AB818" s="10" t="n">
        <v>8977</v>
      </c>
      <c r="AC818" s="10" t="n">
        <v>2010</v>
      </c>
      <c r="AD818" s="7" t="n">
        <v>299537</v>
      </c>
      <c r="AE818" s="8" t="n">
        <v>-7855</v>
      </c>
      <c r="AF818" s="8" t="n">
        <v>-10412</v>
      </c>
      <c r="AG818" s="9" t="n">
        <v>255386</v>
      </c>
      <c r="AH818" s="10" t="n">
        <v>5096</v>
      </c>
      <c r="AI818" s="10" t="n">
        <v>3021</v>
      </c>
      <c r="AJ818" s="11" t="n">
        <v>243276</v>
      </c>
      <c r="AK818" s="12" t="n">
        <v>2968</v>
      </c>
      <c r="AL818" s="12" t="n">
        <v>1144</v>
      </c>
      <c r="AM818" s="13" t="n">
        <v>-4.7</v>
      </c>
      <c r="AN818" s="13" t="n">
        <v>-31.3</v>
      </c>
      <c r="AO818" s="13" t="n">
        <v>-41.8</v>
      </c>
      <c r="AP818" s="13" t="n">
        <v>-71.7</v>
      </c>
    </row>
    <row r="819">
      <c r="A819" s="5" t="inlineStr">
        <is>
          <t>광주신세계</t>
        </is>
      </c>
      <c r="B819" s="6" t="inlineStr">
        <is>
          <t>037710</t>
        </is>
      </c>
      <c r="C819" s="6" t="inlineStr">
        <is>
          <t>별도</t>
        </is>
      </c>
      <c r="D819" s="6" t="inlineStr">
        <is>
          <t>2026Q2</t>
        </is>
      </c>
      <c r="E819" s="6" t="inlineStr">
        <is>
          <t>2023Q4</t>
        </is>
      </c>
      <c r="F819" s="14" t="n">
        <v>14338</v>
      </c>
      <c r="G819" s="8" t="inlineStr"/>
      <c r="H819" s="8" t="inlineStr"/>
      <c r="I819" s="9" t="n">
        <v>44126</v>
      </c>
      <c r="J819" s="10" t="n">
        <v>13105</v>
      </c>
      <c r="K819" s="10" t="n">
        <v>12976</v>
      </c>
      <c r="L819" s="7" t="n">
        <v>43243</v>
      </c>
      <c r="M819" s="8" t="n">
        <v>12120</v>
      </c>
      <c r="N819" s="8" t="n">
        <v>12015</v>
      </c>
      <c r="O819" s="9" t="n">
        <v>43057</v>
      </c>
      <c r="P819" s="10" t="n">
        <v>10692</v>
      </c>
      <c r="Q819" s="10" t="n">
        <v>9327</v>
      </c>
      <c r="R819" s="7" t="n">
        <v>53149</v>
      </c>
      <c r="S819" s="8" t="n">
        <v>16411</v>
      </c>
      <c r="T819" s="8" t="n">
        <v>11858</v>
      </c>
      <c r="U819" s="9" t="n">
        <v>45468</v>
      </c>
      <c r="V819" s="10" t="n">
        <v>12893</v>
      </c>
      <c r="W819" s="10" t="n">
        <v>11290</v>
      </c>
      <c r="X819" s="7" t="n">
        <v>44527</v>
      </c>
      <c r="Y819" s="8" t="n">
        <v>11776</v>
      </c>
      <c r="Z819" s="8" t="n">
        <v>9507</v>
      </c>
      <c r="AA819" s="9" t="n">
        <v>41379</v>
      </c>
      <c r="AB819" s="10" t="n">
        <v>10081</v>
      </c>
      <c r="AC819" s="10" t="n">
        <v>8468</v>
      </c>
      <c r="AD819" s="7" t="n">
        <v>52837</v>
      </c>
      <c r="AE819" s="8" t="n">
        <v>17722</v>
      </c>
      <c r="AF819" s="8" t="n">
        <v>15202</v>
      </c>
      <c r="AG819" s="9" t="n">
        <v>48707</v>
      </c>
      <c r="AH819" s="10" t="n">
        <v>15674</v>
      </c>
      <c r="AI819" s="10" t="n">
        <v>13445</v>
      </c>
      <c r="AJ819" s="11" t="n">
        <v>48352</v>
      </c>
      <c r="AK819" s="12" t="n">
        <v>13897</v>
      </c>
      <c r="AL819" s="12" t="n">
        <v>12104</v>
      </c>
      <c r="AM819" s="13" t="n">
        <v>-0.7</v>
      </c>
      <c r="AN819" s="13" t="n">
        <v>8.6</v>
      </c>
      <c r="AO819" s="13" t="n">
        <v>-11.3</v>
      </c>
      <c r="AP819" s="13" t="n">
        <v>18</v>
      </c>
    </row>
    <row r="820">
      <c r="A820" s="5" t="inlineStr">
        <is>
          <t>쎄니트</t>
        </is>
      </c>
      <c r="B820" s="6" t="inlineStr">
        <is>
          <t>037760</t>
        </is>
      </c>
      <c r="C820" s="6" t="inlineStr">
        <is>
          <t>연결</t>
        </is>
      </c>
      <c r="D820" s="6" t="inlineStr">
        <is>
          <t>2026Q2</t>
        </is>
      </c>
      <c r="E820" s="6" t="inlineStr"/>
      <c r="F820" s="7" t="inlineStr"/>
      <c r="G820" s="8" t="inlineStr"/>
      <c r="H820" s="8" t="inlineStr"/>
      <c r="I820" s="9" t="n">
        <v>30819</v>
      </c>
      <c r="J820" s="10" t="n">
        <v>237</v>
      </c>
      <c r="K820" s="10" t="n">
        <v>-224</v>
      </c>
      <c r="L820" s="7" t="n">
        <v>38908</v>
      </c>
      <c r="M820" s="8" t="n">
        <v>2711</v>
      </c>
      <c r="N820" s="8" t="n">
        <v>1710</v>
      </c>
      <c r="O820" s="9" t="n">
        <v>29027</v>
      </c>
      <c r="P820" s="10" t="n">
        <v>112</v>
      </c>
      <c r="Q820" s="10" t="n">
        <v>-605</v>
      </c>
      <c r="R820" s="7" t="n">
        <v>33686</v>
      </c>
      <c r="S820" s="8" t="n">
        <v>201</v>
      </c>
      <c r="T820" s="8" t="n">
        <v>-1617</v>
      </c>
      <c r="U820" s="9" t="n">
        <v>28711</v>
      </c>
      <c r="V820" s="10" t="n">
        <v>-1500</v>
      </c>
      <c r="W820" s="10" t="n">
        <v>-1902</v>
      </c>
      <c r="X820" s="7" t="n">
        <v>34591</v>
      </c>
      <c r="Y820" s="8" t="n">
        <v>-192</v>
      </c>
      <c r="Z820" s="8" t="n">
        <v>-1917</v>
      </c>
      <c r="AA820" s="9" t="n">
        <v>31750</v>
      </c>
      <c r="AB820" s="10" t="n">
        <v>323</v>
      </c>
      <c r="AC820" s="10" t="n">
        <v>-855</v>
      </c>
      <c r="AD820" s="7" t="n">
        <v>31936</v>
      </c>
      <c r="AE820" s="8" t="n">
        <v>286</v>
      </c>
      <c r="AF820" s="8" t="n">
        <v>-1239</v>
      </c>
      <c r="AG820" s="9" t="n">
        <v>31117</v>
      </c>
      <c r="AH820" s="10" t="n">
        <v>-1283</v>
      </c>
      <c r="AI820" s="10" t="n">
        <v>-946</v>
      </c>
      <c r="AJ820" s="11" t="n">
        <v>36525</v>
      </c>
      <c r="AK820" s="12" t="n">
        <v>726</v>
      </c>
      <c r="AL820" s="12" t="n">
        <v>-258</v>
      </c>
      <c r="AM820" s="13" t="n">
        <v>17.4</v>
      </c>
      <c r="AN820" s="13" t="n">
        <v>5.6</v>
      </c>
      <c r="AO820" s="13" t="n">
        <v>156.6</v>
      </c>
      <c r="AP820" s="13" t="n">
        <v>478.1</v>
      </c>
    </row>
    <row r="821">
      <c r="A821" s="5" t="inlineStr">
        <is>
          <t>엘컴텍</t>
        </is>
      </c>
      <c r="B821" s="6" t="inlineStr">
        <is>
          <t>037950</t>
        </is>
      </c>
      <c r="C821" s="6" t="inlineStr">
        <is>
          <t>연결</t>
        </is>
      </c>
      <c r="D821" s="6" t="inlineStr">
        <is>
          <t>2026Q2</t>
        </is>
      </c>
      <c r="E821" s="6" t="inlineStr"/>
      <c r="F821" s="7" t="inlineStr"/>
      <c r="G821" s="8" t="inlineStr"/>
      <c r="H821" s="8" t="inlineStr"/>
      <c r="I821" s="9" t="n">
        <v>12258</v>
      </c>
      <c r="J821" s="10" t="n">
        <v>459</v>
      </c>
      <c r="K821" s="10" t="n">
        <v>933</v>
      </c>
      <c r="L821" s="7" t="n">
        <v>16128</v>
      </c>
      <c r="M821" s="8" t="n">
        <v>1269</v>
      </c>
      <c r="N821" s="8" t="n">
        <v>1451</v>
      </c>
      <c r="O821" s="9" t="n">
        <v>16968</v>
      </c>
      <c r="P821" s="10" t="n">
        <v>1410</v>
      </c>
      <c r="Q821" s="10" t="n">
        <v>974</v>
      </c>
      <c r="R821" s="7" t="n">
        <v>12031</v>
      </c>
      <c r="S821" s="8" t="n">
        <v>417</v>
      </c>
      <c r="T821" s="8" t="n">
        <v>1182</v>
      </c>
      <c r="U821" s="9" t="n">
        <v>9780</v>
      </c>
      <c r="V821" s="10" t="n">
        <v>633</v>
      </c>
      <c r="W821" s="10" t="n">
        <v>613</v>
      </c>
      <c r="X821" s="7" t="n">
        <v>12028</v>
      </c>
      <c r="Y821" s="8" t="n">
        <v>676</v>
      </c>
      <c r="Z821" s="8" t="n">
        <v>-7</v>
      </c>
      <c r="AA821" s="9" t="n">
        <v>11807</v>
      </c>
      <c r="AB821" s="10" t="n">
        <v>334</v>
      </c>
      <c r="AC821" s="10" t="n">
        <v>766</v>
      </c>
      <c r="AD821" s="7" t="n">
        <v>12676</v>
      </c>
      <c r="AE821" s="8" t="n">
        <v>574</v>
      </c>
      <c r="AF821" s="8" t="n">
        <v>592</v>
      </c>
      <c r="AG821" s="9" t="n">
        <v>17919</v>
      </c>
      <c r="AH821" s="10" t="n">
        <v>1491</v>
      </c>
      <c r="AI821" s="10" t="n">
        <v>1528</v>
      </c>
      <c r="AJ821" s="11" t="n">
        <v>20690</v>
      </c>
      <c r="AK821" s="12" t="n">
        <v>1807</v>
      </c>
      <c r="AL821" s="12" t="n">
        <v>1876</v>
      </c>
      <c r="AM821" s="13" t="n">
        <v>15.5</v>
      </c>
      <c r="AN821" s="13" t="n">
        <v>72</v>
      </c>
      <c r="AO821" s="13" t="n">
        <v>21.2</v>
      </c>
      <c r="AP821" s="13" t="n">
        <v>167.3</v>
      </c>
    </row>
    <row r="822">
      <c r="A822" s="5" t="inlineStr">
        <is>
          <t>제일테크노스</t>
        </is>
      </c>
      <c r="B822" s="6" t="inlineStr">
        <is>
          <t>038010</t>
        </is>
      </c>
      <c r="C822" s="6" t="inlineStr">
        <is>
          <t>연결</t>
        </is>
      </c>
      <c r="D822" s="6" t="inlineStr">
        <is>
          <t>2026Q2</t>
        </is>
      </c>
      <c r="E822" s="6" t="inlineStr"/>
      <c r="F822" s="7" t="inlineStr"/>
      <c r="G822" s="8" t="inlineStr"/>
      <c r="H822" s="8" t="inlineStr"/>
      <c r="I822" s="9" t="n">
        <v>51766</v>
      </c>
      <c r="J822" s="10" t="n">
        <v>8439</v>
      </c>
      <c r="K822" s="10" t="n">
        <v>6120</v>
      </c>
      <c r="L822" s="7" t="n">
        <v>54711</v>
      </c>
      <c r="M822" s="8" t="n">
        <v>8842</v>
      </c>
      <c r="N822" s="8" t="n">
        <v>6801</v>
      </c>
      <c r="O822" s="9" t="n">
        <v>37461</v>
      </c>
      <c r="P822" s="10" t="n">
        <v>3228</v>
      </c>
      <c r="Q822" s="10" t="n">
        <v>3940</v>
      </c>
      <c r="R822" s="7" t="n">
        <v>39988</v>
      </c>
      <c r="S822" s="8" t="n">
        <v>180</v>
      </c>
      <c r="T822" s="8" t="n">
        <v>4115</v>
      </c>
      <c r="U822" s="9" t="n">
        <v>34570</v>
      </c>
      <c r="V822" s="10" t="n">
        <v>1960</v>
      </c>
      <c r="W822" s="10" t="n">
        <v>1360</v>
      </c>
      <c r="X822" s="7" t="n">
        <v>35404</v>
      </c>
      <c r="Y822" s="8" t="n">
        <v>2634</v>
      </c>
      <c r="Z822" s="8" t="n">
        <v>6350</v>
      </c>
      <c r="AA822" s="9" t="n">
        <v>30756</v>
      </c>
      <c r="AB822" s="10" t="n">
        <v>2817</v>
      </c>
      <c r="AC822" s="10" t="n">
        <v>3514</v>
      </c>
      <c r="AD822" s="7" t="n">
        <v>32849</v>
      </c>
      <c r="AE822" s="8" t="n">
        <v>-269</v>
      </c>
      <c r="AF822" s="8" t="n">
        <v>-1003</v>
      </c>
      <c r="AG822" s="9" t="n">
        <v>34774</v>
      </c>
      <c r="AH822" s="10" t="n">
        <v>2128</v>
      </c>
      <c r="AI822" s="10" t="n">
        <v>3356</v>
      </c>
      <c r="AJ822" s="11" t="n">
        <v>40616</v>
      </c>
      <c r="AK822" s="12" t="n">
        <v>2670</v>
      </c>
      <c r="AL822" s="12" t="n">
        <v>7627</v>
      </c>
      <c r="AM822" s="13" t="n">
        <v>16.8</v>
      </c>
      <c r="AN822" s="13" t="n">
        <v>14.7</v>
      </c>
      <c r="AO822" s="13" t="n">
        <v>25.5</v>
      </c>
      <c r="AP822" s="13" t="n">
        <v>1.4</v>
      </c>
    </row>
    <row r="823">
      <c r="A823" s="5" t="inlineStr">
        <is>
          <t>루멘스</t>
        </is>
      </c>
      <c r="B823" s="6" t="inlineStr">
        <is>
          <t>038060</t>
        </is>
      </c>
      <c r="C823" s="6" t="inlineStr">
        <is>
          <t>연결</t>
        </is>
      </c>
      <c r="D823" s="6" t="inlineStr">
        <is>
          <t>2026Q2</t>
        </is>
      </c>
      <c r="E823" s="6" t="inlineStr"/>
      <c r="F823" s="7" t="inlineStr"/>
      <c r="G823" s="8" t="inlineStr"/>
      <c r="H823" s="8" t="inlineStr"/>
      <c r="I823" s="9" t="n">
        <v>39187</v>
      </c>
      <c r="J823" s="10" t="n">
        <v>1249</v>
      </c>
      <c r="K823" s="10" t="n">
        <v>3163</v>
      </c>
      <c r="L823" s="7" t="n">
        <v>41676</v>
      </c>
      <c r="M823" s="8" t="n">
        <v>885</v>
      </c>
      <c r="N823" s="8" t="n">
        <v>1354</v>
      </c>
      <c r="O823" s="9" t="n">
        <v>47966</v>
      </c>
      <c r="P823" s="10" t="n">
        <v>824</v>
      </c>
      <c r="Q823" s="10" t="n">
        <v>498</v>
      </c>
      <c r="R823" s="7" t="n">
        <v>45399</v>
      </c>
      <c r="S823" s="8" t="n">
        <v>-4578</v>
      </c>
      <c r="T823" s="8" t="n">
        <v>3822</v>
      </c>
      <c r="U823" s="9" t="n">
        <v>47904</v>
      </c>
      <c r="V823" s="10" t="n">
        <v>845</v>
      </c>
      <c r="W823" s="10" t="n">
        <v>695</v>
      </c>
      <c r="X823" s="7" t="n">
        <v>36720</v>
      </c>
      <c r="Y823" s="8" t="n">
        <v>-2057</v>
      </c>
      <c r="Z823" s="8" t="n">
        <v>-5085</v>
      </c>
      <c r="AA823" s="9" t="n">
        <v>44401</v>
      </c>
      <c r="AB823" s="10" t="n">
        <v>-1939</v>
      </c>
      <c r="AC823" s="10" t="n">
        <v>-139</v>
      </c>
      <c r="AD823" s="7" t="n">
        <v>46513</v>
      </c>
      <c r="AE823" s="8" t="n">
        <v>-1875</v>
      </c>
      <c r="AF823" s="8" t="n">
        <v>-2122</v>
      </c>
      <c r="AG823" s="9" t="n">
        <v>38235</v>
      </c>
      <c r="AH823" s="10" t="n">
        <v>913</v>
      </c>
      <c r="AI823" s="10" t="n">
        <v>2319</v>
      </c>
      <c r="AJ823" s="11" t="n">
        <v>34680</v>
      </c>
      <c r="AK823" s="12" t="n">
        <v>-1799</v>
      </c>
      <c r="AL823" s="12" t="n">
        <v>-817</v>
      </c>
      <c r="AM823" s="13" t="n">
        <v>-9.300000000000001</v>
      </c>
      <c r="AN823" s="13" t="n">
        <v>-5.6</v>
      </c>
      <c r="AO823" s="13" t="n">
        <v>-297</v>
      </c>
      <c r="AP823" s="13" t="n">
        <v>12.5</v>
      </c>
    </row>
    <row r="824">
      <c r="A824" s="5" t="inlineStr">
        <is>
          <t>서린바이오</t>
        </is>
      </c>
      <c r="B824" s="6" t="inlineStr">
        <is>
          <t>038070</t>
        </is>
      </c>
      <c r="C824" s="6" t="inlineStr">
        <is>
          <t>연결</t>
        </is>
      </c>
      <c r="D824" s="6" t="inlineStr">
        <is>
          <t>2026Q2</t>
        </is>
      </c>
      <c r="E824" s="6" t="inlineStr"/>
      <c r="F824" s="7" t="inlineStr"/>
      <c r="G824" s="8" t="inlineStr"/>
      <c r="H824" s="8" t="inlineStr"/>
      <c r="I824" s="9" t="n">
        <v>18872</v>
      </c>
      <c r="J824" s="10" t="n">
        <v>798</v>
      </c>
      <c r="K824" s="10" t="n">
        <v>553</v>
      </c>
      <c r="L824" s="7" t="n">
        <v>19794</v>
      </c>
      <c r="M824" s="8" t="n">
        <v>198</v>
      </c>
      <c r="N824" s="8" t="n">
        <v>658</v>
      </c>
      <c r="O824" s="9" t="n">
        <v>17136</v>
      </c>
      <c r="P824" s="10" t="n">
        <v>152</v>
      </c>
      <c r="Q824" s="10" t="n">
        <v>240</v>
      </c>
      <c r="R824" s="7" t="n">
        <v>19608</v>
      </c>
      <c r="S824" s="8" t="n">
        <v>-195</v>
      </c>
      <c r="T824" s="8" t="n">
        <v>1689</v>
      </c>
      <c r="U824" s="9" t="n">
        <v>18034</v>
      </c>
      <c r="V824" s="10" t="n">
        <v>97</v>
      </c>
      <c r="W824" s="10" t="n">
        <v>291</v>
      </c>
      <c r="X824" s="7" t="n">
        <v>16222</v>
      </c>
      <c r="Y824" s="8" t="n">
        <v>-332</v>
      </c>
      <c r="Z824" s="8" t="n">
        <v>-68</v>
      </c>
      <c r="AA824" s="9" t="n">
        <v>22874</v>
      </c>
      <c r="AB824" s="10" t="n">
        <v>785</v>
      </c>
      <c r="AC824" s="10" t="n">
        <v>755</v>
      </c>
      <c r="AD824" s="7" t="n">
        <v>19961</v>
      </c>
      <c r="AE824" s="8" t="n">
        <v>142</v>
      </c>
      <c r="AF824" s="8" t="n">
        <v>-404</v>
      </c>
      <c r="AG824" s="9" t="n">
        <v>19527</v>
      </c>
      <c r="AH824" s="10" t="n">
        <v>175</v>
      </c>
      <c r="AI824" s="10" t="n">
        <v>151</v>
      </c>
      <c r="AJ824" s="11" t="n">
        <v>20803</v>
      </c>
      <c r="AK824" s="12" t="n">
        <v>-597</v>
      </c>
      <c r="AL824" s="12" t="n">
        <v>342</v>
      </c>
      <c r="AM824" s="13" t="n">
        <v>6.5</v>
      </c>
      <c r="AN824" s="13" t="n">
        <v>28.2</v>
      </c>
      <c r="AO824" s="13" t="n">
        <v>-441.1</v>
      </c>
      <c r="AP824" s="13" t="n">
        <v>-79.8</v>
      </c>
    </row>
    <row r="825">
      <c r="A825" s="5" t="inlineStr">
        <is>
          <t>에코플라스틱</t>
        </is>
      </c>
      <c r="B825" s="6" t="inlineStr">
        <is>
          <t>038110</t>
        </is>
      </c>
      <c r="C825" s="6" t="inlineStr">
        <is>
          <t>연결</t>
        </is>
      </c>
      <c r="D825" s="6" t="inlineStr">
        <is>
          <t>2026Q2</t>
        </is>
      </c>
      <c r="E825" s="6" t="inlineStr"/>
      <c r="F825" s="7" t="inlineStr"/>
      <c r="G825" s="8" t="inlineStr"/>
      <c r="H825" s="8" t="inlineStr"/>
      <c r="I825" s="9" t="n">
        <v>562653</v>
      </c>
      <c r="J825" s="10" t="n">
        <v>19082</v>
      </c>
      <c r="K825" s="10" t="n">
        <v>9547</v>
      </c>
      <c r="L825" s="7" t="n">
        <v>561458</v>
      </c>
      <c r="M825" s="8" t="n">
        <v>18912</v>
      </c>
      <c r="N825" s="8" t="n">
        <v>9554</v>
      </c>
      <c r="O825" s="9" t="n">
        <v>556163</v>
      </c>
      <c r="P825" s="10" t="n">
        <v>5934</v>
      </c>
      <c r="Q825" s="10" t="n">
        <v>-7256</v>
      </c>
      <c r="R825" s="7" t="n">
        <v>574846</v>
      </c>
      <c r="S825" s="8" t="n">
        <v>-11039</v>
      </c>
      <c r="T825" s="8" t="n">
        <v>1368</v>
      </c>
      <c r="U825" s="9" t="n">
        <v>605937</v>
      </c>
      <c r="V825" s="10" t="n">
        <v>19724</v>
      </c>
      <c r="W825" s="10" t="n">
        <v>12617</v>
      </c>
      <c r="X825" s="7" t="n">
        <v>697707</v>
      </c>
      <c r="Y825" s="8" t="n">
        <v>17060</v>
      </c>
      <c r="Z825" s="8" t="n">
        <v>-5449</v>
      </c>
      <c r="AA825" s="9" t="n">
        <v>612140</v>
      </c>
      <c r="AB825" s="10" t="n">
        <v>2289</v>
      </c>
      <c r="AC825" s="10" t="n">
        <v>353</v>
      </c>
      <c r="AD825" s="7" t="n">
        <v>646242</v>
      </c>
      <c r="AE825" s="8" t="n">
        <v>-3328</v>
      </c>
      <c r="AF825" s="8" t="n">
        <v>-5530</v>
      </c>
      <c r="AG825" s="9" t="n">
        <v>600475</v>
      </c>
      <c r="AH825" s="10" t="n">
        <v>6778</v>
      </c>
      <c r="AI825" s="10" t="n">
        <v>4375</v>
      </c>
      <c r="AJ825" s="11" t="n">
        <v>633464</v>
      </c>
      <c r="AK825" s="12" t="n">
        <v>25880</v>
      </c>
      <c r="AL825" s="12" t="n">
        <v>18042</v>
      </c>
      <c r="AM825" s="13" t="n">
        <v>5.5</v>
      </c>
      <c r="AN825" s="13" t="n">
        <v>-9.199999999999999</v>
      </c>
      <c r="AO825" s="13" t="n">
        <v>281.8</v>
      </c>
      <c r="AP825" s="13" t="n">
        <v>51.7</v>
      </c>
    </row>
    <row r="826">
      <c r="A826" s="5" t="inlineStr">
        <is>
          <t>마크로젠</t>
        </is>
      </c>
      <c r="B826" s="6" t="inlineStr">
        <is>
          <t>038290</t>
        </is>
      </c>
      <c r="C826" s="6" t="inlineStr">
        <is>
          <t>연결</t>
        </is>
      </c>
      <c r="D826" s="6" t="inlineStr">
        <is>
          <t>2026Q2</t>
        </is>
      </c>
      <c r="E826" s="6" t="inlineStr"/>
      <c r="F826" s="7" t="inlineStr"/>
      <c r="G826" s="8" t="inlineStr"/>
      <c r="H826" s="8" t="inlineStr"/>
      <c r="I826" s="9" t="n">
        <v>31640</v>
      </c>
      <c r="J826" s="10" t="n">
        <v>-1244</v>
      </c>
      <c r="K826" s="10" t="n">
        <v>-2059</v>
      </c>
      <c r="L826" s="7" t="n">
        <v>30163</v>
      </c>
      <c r="M826" s="8" t="n">
        <v>-1575</v>
      </c>
      <c r="N826" s="8" t="n">
        <v>-3011</v>
      </c>
      <c r="O826" s="9" t="n">
        <v>33003</v>
      </c>
      <c r="P826" s="10" t="n">
        <v>-589</v>
      </c>
      <c r="Q826" s="10" t="n">
        <v>-3458</v>
      </c>
      <c r="R826" s="7" t="n">
        <v>40971</v>
      </c>
      <c r="S826" s="8" t="n">
        <v>-3056</v>
      </c>
      <c r="T826" s="8" t="n">
        <v>744</v>
      </c>
      <c r="U826" s="9" t="n">
        <v>40960</v>
      </c>
      <c r="V826" s="10" t="n">
        <v>-3046</v>
      </c>
      <c r="W826" s="10" t="n">
        <v>-3175</v>
      </c>
      <c r="X826" s="7" t="n">
        <v>48985</v>
      </c>
      <c r="Y826" s="8" t="n">
        <v>-1528</v>
      </c>
      <c r="Z826" s="8" t="n">
        <v>-2263</v>
      </c>
      <c r="AA826" s="9" t="n">
        <v>49064</v>
      </c>
      <c r="AB826" s="10" t="n">
        <v>1114</v>
      </c>
      <c r="AC826" s="10" t="n">
        <v>2091</v>
      </c>
      <c r="AD826" s="7" t="n">
        <v>56259</v>
      </c>
      <c r="AE826" s="8" t="n">
        <v>3641</v>
      </c>
      <c r="AF826" s="8" t="n">
        <v>3145</v>
      </c>
      <c r="AG826" s="9" t="n">
        <v>45292</v>
      </c>
      <c r="AH826" s="10" t="n">
        <v>-509</v>
      </c>
      <c r="AI826" s="10" t="n">
        <v>-827</v>
      </c>
      <c r="AJ826" s="11" t="n">
        <v>51004</v>
      </c>
      <c r="AK826" s="12" t="n">
        <v>698</v>
      </c>
      <c r="AL826" s="12" t="n">
        <v>4299</v>
      </c>
      <c r="AM826" s="13" t="n">
        <v>12.6</v>
      </c>
      <c r="AN826" s="13" t="n">
        <v>4.1</v>
      </c>
      <c r="AO826" s="13" t="n">
        <v>237.1</v>
      </c>
      <c r="AP826" s="13" t="n">
        <v>145.7</v>
      </c>
    </row>
    <row r="827">
      <c r="A827" s="5" t="inlineStr">
        <is>
          <t>레드캡투어</t>
        </is>
      </c>
      <c r="B827" s="6" t="inlineStr">
        <is>
          <t>038390</t>
        </is>
      </c>
      <c r="C827" s="6" t="inlineStr">
        <is>
          <t>연결</t>
        </is>
      </c>
      <c r="D827" s="6" t="inlineStr">
        <is>
          <t>2026Q2</t>
        </is>
      </c>
      <c r="E827" s="6" t="inlineStr">
        <is>
          <t>2023Q4</t>
        </is>
      </c>
      <c r="F827" s="14" t="n">
        <v>88911</v>
      </c>
      <c r="G827" s="15" t="n">
        <v>9708</v>
      </c>
      <c r="H827" s="15" t="n">
        <v>3964</v>
      </c>
      <c r="I827" s="9" t="n">
        <v>94186</v>
      </c>
      <c r="J827" s="10" t="n">
        <v>13030</v>
      </c>
      <c r="K827" s="10" t="n">
        <v>6297</v>
      </c>
      <c r="L827" s="7" t="n">
        <v>90269</v>
      </c>
      <c r="M827" s="8" t="n">
        <v>12184</v>
      </c>
      <c r="N827" s="8" t="n">
        <v>6236</v>
      </c>
      <c r="O827" s="9" t="n">
        <v>83141</v>
      </c>
      <c r="P827" s="10" t="n">
        <v>9957</v>
      </c>
      <c r="Q827" s="10" t="n">
        <v>4156</v>
      </c>
      <c r="R827" s="7" t="n">
        <v>91281</v>
      </c>
      <c r="S827" s="8" t="n">
        <v>8395</v>
      </c>
      <c r="T827" s="8" t="n">
        <v>3561</v>
      </c>
      <c r="U827" s="9" t="n">
        <v>105253</v>
      </c>
      <c r="V827" s="10" t="n">
        <v>17859</v>
      </c>
      <c r="W827" s="10" t="n">
        <v>10566</v>
      </c>
      <c r="X827" s="7" t="n">
        <v>94773</v>
      </c>
      <c r="Y827" s="8" t="n">
        <v>13526</v>
      </c>
      <c r="Z827" s="8" t="n">
        <v>7473</v>
      </c>
      <c r="AA827" s="9" t="n">
        <v>88927</v>
      </c>
      <c r="AB827" s="10" t="n">
        <v>10292</v>
      </c>
      <c r="AC827" s="10" t="n">
        <v>4978</v>
      </c>
      <c r="AD827" s="7" t="n">
        <v>76600</v>
      </c>
      <c r="AE827" s="8" t="n">
        <v>5098</v>
      </c>
      <c r="AF827" s="8" t="n">
        <v>666</v>
      </c>
      <c r="AG827" s="9" t="n">
        <v>92351</v>
      </c>
      <c r="AH827" s="10" t="n">
        <v>17921</v>
      </c>
      <c r="AI827" s="10" t="n">
        <v>10865</v>
      </c>
      <c r="AJ827" s="11" t="n">
        <v>98227</v>
      </c>
      <c r="AK827" s="12" t="n">
        <v>15737</v>
      </c>
      <c r="AL827" s="12" t="n">
        <v>9129</v>
      </c>
      <c r="AM827" s="13" t="n">
        <v>6.4</v>
      </c>
      <c r="AN827" s="13" t="n">
        <v>3.6</v>
      </c>
      <c r="AO827" s="13" t="n">
        <v>-12.2</v>
      </c>
      <c r="AP827" s="13" t="n">
        <v>16.3</v>
      </c>
    </row>
    <row r="828">
      <c r="A828" s="5" t="inlineStr">
        <is>
          <t>바이오스마트</t>
        </is>
      </c>
      <c r="B828" s="6" t="inlineStr">
        <is>
          <t>038460</t>
        </is>
      </c>
      <c r="C828" s="6" t="inlineStr">
        <is>
          <t>연결</t>
        </is>
      </c>
      <c r="D828" s="6" t="inlineStr">
        <is>
          <t>2026Q2</t>
        </is>
      </c>
      <c r="E828" s="6" t="inlineStr"/>
      <c r="F828" s="7" t="inlineStr"/>
      <c r="G828" s="8" t="inlineStr"/>
      <c r="H828" s="8" t="inlineStr"/>
      <c r="I828" s="9" t="n">
        <v>118695</v>
      </c>
      <c r="J828" s="10" t="n">
        <v>4330</v>
      </c>
      <c r="K828" s="10" t="n">
        <v>4874</v>
      </c>
      <c r="L828" s="7" t="n">
        <v>130061</v>
      </c>
      <c r="M828" s="8" t="n">
        <v>4966</v>
      </c>
      <c r="N828" s="8" t="n">
        <v>-4667</v>
      </c>
      <c r="O828" s="9" t="n">
        <v>119095</v>
      </c>
      <c r="P828" s="10" t="n">
        <v>3764</v>
      </c>
      <c r="Q828" s="10" t="n">
        <v>-1507</v>
      </c>
      <c r="R828" s="7" t="n">
        <v>116459</v>
      </c>
      <c r="S828" s="8" t="n">
        <v>7175</v>
      </c>
      <c r="T828" s="8" t="n">
        <v>2355</v>
      </c>
      <c r="U828" s="9" t="n">
        <v>112288</v>
      </c>
      <c r="V828" s="10" t="n">
        <v>5617</v>
      </c>
      <c r="W828" s="10" t="n">
        <v>2835</v>
      </c>
      <c r="X828" s="7" t="n">
        <v>120765</v>
      </c>
      <c r="Y828" s="8" t="n">
        <v>4183</v>
      </c>
      <c r="Z828" s="8" t="n">
        <v>-2777</v>
      </c>
      <c r="AA828" s="9" t="n">
        <v>125520</v>
      </c>
      <c r="AB828" s="10" t="n">
        <v>7631</v>
      </c>
      <c r="AC828" s="10" t="n">
        <v>4927</v>
      </c>
      <c r="AD828" s="7" t="n">
        <v>124203</v>
      </c>
      <c r="AE828" s="8" t="n">
        <v>5138</v>
      </c>
      <c r="AF828" s="8" t="n">
        <v>4001</v>
      </c>
      <c r="AG828" s="9" t="n">
        <v>145332</v>
      </c>
      <c r="AH828" s="10" t="n">
        <v>10075</v>
      </c>
      <c r="AI828" s="10" t="n">
        <v>7178</v>
      </c>
      <c r="AJ828" s="11" t="n">
        <v>167623</v>
      </c>
      <c r="AK828" s="12" t="n">
        <v>5119</v>
      </c>
      <c r="AL828" s="12" t="n">
        <v>2158</v>
      </c>
      <c r="AM828" s="13" t="n">
        <v>15.3</v>
      </c>
      <c r="AN828" s="13" t="n">
        <v>38.8</v>
      </c>
      <c r="AO828" s="13" t="n">
        <v>-49.2</v>
      </c>
      <c r="AP828" s="13" t="n">
        <v>22.4</v>
      </c>
    </row>
    <row r="829">
      <c r="A829" s="5" t="inlineStr">
        <is>
          <t>삼표시멘트</t>
        </is>
      </c>
      <c r="B829" s="6" t="inlineStr">
        <is>
          <t>038500</t>
        </is>
      </c>
      <c r="C829" s="6" t="inlineStr">
        <is>
          <t>연결</t>
        </is>
      </c>
      <c r="D829" s="6" t="inlineStr">
        <is>
          <t>2026Q2</t>
        </is>
      </c>
      <c r="E829" s="6" t="inlineStr"/>
      <c r="F829" s="7" t="inlineStr"/>
      <c r="G829" s="8" t="inlineStr"/>
      <c r="H829" s="8" t="inlineStr"/>
      <c r="I829" s="9" t="n">
        <v>188575</v>
      </c>
      <c r="J829" s="10" t="n">
        <v>17672</v>
      </c>
      <c r="K829" s="10" t="n">
        <v>5609</v>
      </c>
      <c r="L829" s="7" t="n">
        <v>214269</v>
      </c>
      <c r="M829" s="8" t="n">
        <v>40244</v>
      </c>
      <c r="N829" s="8" t="n">
        <v>26057</v>
      </c>
      <c r="O829" s="9" t="n">
        <v>172266</v>
      </c>
      <c r="P829" s="10" t="n">
        <v>25187</v>
      </c>
      <c r="Q829" s="10" t="n">
        <v>11587</v>
      </c>
      <c r="R829" s="7" t="n">
        <v>215677</v>
      </c>
      <c r="S829" s="8" t="n">
        <v>20827</v>
      </c>
      <c r="T829" s="8" t="n">
        <v>22847</v>
      </c>
      <c r="U829" s="9" t="n">
        <v>151549</v>
      </c>
      <c r="V829" s="10" t="n">
        <v>2109</v>
      </c>
      <c r="W829" s="10" t="n">
        <v>-5782</v>
      </c>
      <c r="X829" s="7" t="n">
        <v>177820</v>
      </c>
      <c r="Y829" s="8" t="n">
        <v>28376</v>
      </c>
      <c r="Z829" s="8" t="n">
        <v>18337</v>
      </c>
      <c r="AA829" s="9" t="n">
        <v>156321</v>
      </c>
      <c r="AB829" s="10" t="n">
        <v>12869</v>
      </c>
      <c r="AC829" s="10" t="n">
        <v>4599</v>
      </c>
      <c r="AD829" s="7" t="n">
        <v>191237</v>
      </c>
      <c r="AE829" s="8" t="n">
        <v>33229</v>
      </c>
      <c r="AF829" s="8" t="n">
        <v>23650</v>
      </c>
      <c r="AG829" s="9" t="n">
        <v>166702</v>
      </c>
      <c r="AH829" s="10" t="n">
        <v>10029</v>
      </c>
      <c r="AI829" s="10" t="n">
        <v>2647</v>
      </c>
      <c r="AJ829" s="11" t="n">
        <v>182126</v>
      </c>
      <c r="AK829" s="12" t="n">
        <v>11652</v>
      </c>
      <c r="AL829" s="12" t="n">
        <v>4693</v>
      </c>
      <c r="AM829" s="13" t="n">
        <v>9.300000000000001</v>
      </c>
      <c r="AN829" s="13" t="n">
        <v>2.4</v>
      </c>
      <c r="AO829" s="13" t="n">
        <v>16.2</v>
      </c>
      <c r="AP829" s="13" t="n">
        <v>-58.9</v>
      </c>
    </row>
    <row r="830">
      <c r="A830" s="5" t="inlineStr">
        <is>
          <t>케이바이오랩스</t>
        </is>
      </c>
      <c r="B830" s="6" t="inlineStr">
        <is>
          <t>038530</t>
        </is>
      </c>
      <c r="C830" s="6" t="inlineStr">
        <is>
          <t>연결</t>
        </is>
      </c>
      <c r="D830" s="6" t="inlineStr">
        <is>
          <t>2026Q2</t>
        </is>
      </c>
      <c r="E830" s="6" t="inlineStr"/>
      <c r="F830" s="7" t="inlineStr"/>
      <c r="G830" s="8" t="inlineStr"/>
      <c r="H830" s="8" t="inlineStr"/>
      <c r="I830" s="9" t="n">
        <v>16044</v>
      </c>
      <c r="J830" s="10" t="n">
        <v>-661</v>
      </c>
      <c r="K830" s="10" t="n">
        <v>214</v>
      </c>
      <c r="L830" s="7" t="n">
        <v>19022</v>
      </c>
      <c r="M830" s="8" t="n">
        <v>-44</v>
      </c>
      <c r="N830" s="8" t="n">
        <v>4469</v>
      </c>
      <c r="O830" s="9" t="n">
        <v>16522</v>
      </c>
      <c r="P830" s="10" t="n">
        <v>56</v>
      </c>
      <c r="Q830" s="10" t="n">
        <v>648</v>
      </c>
      <c r="R830" s="7" t="n">
        <v>24926</v>
      </c>
      <c r="S830" s="8" t="n">
        <v>1442</v>
      </c>
      <c r="T830" s="8" t="n">
        <v>-15324</v>
      </c>
      <c r="U830" s="9" t="n">
        <v>20542</v>
      </c>
      <c r="V830" s="10" t="n">
        <v>341</v>
      </c>
      <c r="W830" s="10" t="n">
        <v>48</v>
      </c>
      <c r="X830" s="7" t="n">
        <v>20799</v>
      </c>
      <c r="Y830" s="8" t="n">
        <v>9</v>
      </c>
      <c r="Z830" s="8" t="n">
        <v>-3309</v>
      </c>
      <c r="AA830" s="9" t="n">
        <v>17582</v>
      </c>
      <c r="AB830" s="10" t="n">
        <v>-125</v>
      </c>
      <c r="AC830" s="10" t="n">
        <v>-137</v>
      </c>
      <c r="AD830" s="7" t="n">
        <v>28389</v>
      </c>
      <c r="AE830" s="8" t="n">
        <v>1297</v>
      </c>
      <c r="AF830" s="8" t="n">
        <v>-1645</v>
      </c>
      <c r="AG830" s="9" t="n">
        <v>15869</v>
      </c>
      <c r="AH830" s="10" t="n">
        <v>-808</v>
      </c>
      <c r="AI830" s="10" t="n">
        <v>2310</v>
      </c>
      <c r="AJ830" s="11" t="n">
        <v>12242</v>
      </c>
      <c r="AK830" s="12" t="n">
        <v>520</v>
      </c>
      <c r="AL830" s="12" t="n">
        <v>-42252</v>
      </c>
      <c r="AM830" s="13" t="n">
        <v>-22.9</v>
      </c>
      <c r="AN830" s="13" t="n">
        <v>-41.1</v>
      </c>
      <c r="AO830" s="13" t="n">
        <v>164.4</v>
      </c>
      <c r="AP830" s="13" t="n">
        <v>5677.8</v>
      </c>
    </row>
    <row r="831">
      <c r="A831" s="5" t="inlineStr">
        <is>
          <t>상상인</t>
        </is>
      </c>
      <c r="B831" s="6" t="inlineStr">
        <is>
          <t>038540</t>
        </is>
      </c>
      <c r="C831" s="6" t="inlineStr">
        <is>
          <t>연결</t>
        </is>
      </c>
      <c r="D831" s="6" t="inlineStr">
        <is>
          <t>2026Q2</t>
        </is>
      </c>
      <c r="E831" s="6" t="inlineStr"/>
      <c r="F831" s="7" t="inlineStr"/>
      <c r="G831" s="8" t="inlineStr"/>
      <c r="H831" s="8" t="inlineStr"/>
      <c r="I831" s="9" t="n">
        <v>228512</v>
      </c>
      <c r="J831" s="10" t="n">
        <v>-59175</v>
      </c>
      <c r="K831" s="10" t="n">
        <v>18157</v>
      </c>
      <c r="L831" s="7" t="n">
        <v>189052</v>
      </c>
      <c r="M831" s="8" t="n">
        <v>-83798</v>
      </c>
      <c r="N831" s="8" t="n">
        <v>-79065</v>
      </c>
      <c r="O831" s="9" t="n">
        <v>233893</v>
      </c>
      <c r="P831" s="10" t="n">
        <v>-65859</v>
      </c>
      <c r="Q831" s="10" t="n">
        <v>-49652</v>
      </c>
      <c r="R831" s="7" t="n">
        <v>218793</v>
      </c>
      <c r="S831" s="8" t="n">
        <v>-5997</v>
      </c>
      <c r="T831" s="8" t="n">
        <v>-104494</v>
      </c>
      <c r="U831" s="9" t="n">
        <v>180349</v>
      </c>
      <c r="V831" s="10" t="n">
        <v>3114</v>
      </c>
      <c r="W831" s="10" t="n">
        <v>2892</v>
      </c>
      <c r="X831" s="7" t="n">
        <v>188699</v>
      </c>
      <c r="Y831" s="8" t="n">
        <v>-14663</v>
      </c>
      <c r="Z831" s="8" t="n">
        <v>-11539</v>
      </c>
      <c r="AA831" s="9" t="n">
        <v>153463</v>
      </c>
      <c r="AB831" s="10" t="n">
        <v>-59137</v>
      </c>
      <c r="AC831" s="10" t="n">
        <v>-48157</v>
      </c>
      <c r="AD831" s="7" t="n">
        <v>-103950</v>
      </c>
      <c r="AE831" s="8" t="n">
        <v>22473</v>
      </c>
      <c r="AF831" s="8" t="n">
        <v>-66280</v>
      </c>
      <c r="AG831" s="9" t="n">
        <v>126894</v>
      </c>
      <c r="AH831" s="10" t="n">
        <v>14738</v>
      </c>
      <c r="AI831" s="10" t="n">
        <v>11755</v>
      </c>
      <c r="AJ831" s="11" t="n">
        <v>126036</v>
      </c>
      <c r="AK831" s="12" t="n">
        <v>-4517</v>
      </c>
      <c r="AL831" s="12" t="n">
        <v>-6364</v>
      </c>
      <c r="AM831" s="13" t="n">
        <v>-0.7</v>
      </c>
      <c r="AN831" s="13" t="n">
        <v>-33.2</v>
      </c>
      <c r="AO831" s="13" t="n">
        <v>-130.6</v>
      </c>
      <c r="AP831" s="13" t="n">
        <v>69.2</v>
      </c>
    </row>
    <row r="832">
      <c r="A832" s="5" t="inlineStr">
        <is>
          <t>위즈코프</t>
        </is>
      </c>
      <c r="B832" s="6" t="inlineStr">
        <is>
          <t>038620</t>
        </is>
      </c>
      <c r="C832" s="6" t="inlineStr">
        <is>
          <t>연결</t>
        </is>
      </c>
      <c r="D832" s="6" t="inlineStr">
        <is>
          <t>2026Q2</t>
        </is>
      </c>
      <c r="E832" s="6" t="inlineStr"/>
      <c r="F832" s="7" t="inlineStr"/>
      <c r="G832" s="8" t="inlineStr"/>
      <c r="H832" s="8" t="inlineStr"/>
      <c r="I832" s="9" t="n">
        <v>22959</v>
      </c>
      <c r="J832" s="10" t="n">
        <v>847</v>
      </c>
      <c r="K832" s="10" t="n">
        <v>462</v>
      </c>
      <c r="L832" s="7" t="n">
        <v>24777</v>
      </c>
      <c r="M832" s="8" t="n">
        <v>1083</v>
      </c>
      <c r="N832" s="8" t="n">
        <v>241</v>
      </c>
      <c r="O832" s="9" t="n">
        <v>27912</v>
      </c>
      <c r="P832" s="10" t="n">
        <v>740</v>
      </c>
      <c r="Q832" s="10" t="n">
        <v>792</v>
      </c>
      <c r="R832" s="7" t="n">
        <v>29004</v>
      </c>
      <c r="S832" s="8" t="n">
        <v>121</v>
      </c>
      <c r="T832" s="8" t="n">
        <v>-409</v>
      </c>
      <c r="U832" s="9" t="n">
        <v>25151</v>
      </c>
      <c r="V832" s="10" t="n">
        <v>518</v>
      </c>
      <c r="W832" s="10" t="n">
        <v>561</v>
      </c>
      <c r="X832" s="7" t="n">
        <v>27565</v>
      </c>
      <c r="Y832" s="8" t="n">
        <v>1077</v>
      </c>
      <c r="Z832" s="8" t="n">
        <v>1198</v>
      </c>
      <c r="AA832" s="9" t="n">
        <v>30069</v>
      </c>
      <c r="AB832" s="10" t="n">
        <v>477</v>
      </c>
      <c r="AC832" s="10" t="n">
        <v>2312</v>
      </c>
      <c r="AD832" s="7" t="n">
        <v>29851</v>
      </c>
      <c r="AE832" s="8" t="n">
        <v>418</v>
      </c>
      <c r="AF832" s="8" t="n">
        <v>598</v>
      </c>
      <c r="AG832" s="9" t="n">
        <v>27514</v>
      </c>
      <c r="AH832" s="10" t="n">
        <v>1496</v>
      </c>
      <c r="AI832" s="10" t="n">
        <v>4301</v>
      </c>
      <c r="AJ832" s="11" t="n">
        <v>27205</v>
      </c>
      <c r="AK832" s="12" t="n">
        <v>2223</v>
      </c>
      <c r="AL832" s="12" t="n">
        <v>8187</v>
      </c>
      <c r="AM832" s="13" t="n">
        <v>-1.1</v>
      </c>
      <c r="AN832" s="13" t="n">
        <v>-1.3</v>
      </c>
      <c r="AO832" s="13" t="n">
        <v>48.6</v>
      </c>
      <c r="AP832" s="13" t="n">
        <v>106.4</v>
      </c>
    </row>
    <row r="833">
      <c r="A833" s="5" t="inlineStr">
        <is>
          <t>에스넷</t>
        </is>
      </c>
      <c r="B833" s="6" t="inlineStr">
        <is>
          <t>038680</t>
        </is>
      </c>
      <c r="C833" s="6" t="inlineStr">
        <is>
          <t>연결</t>
        </is>
      </c>
      <c r="D833" s="6" t="inlineStr">
        <is>
          <t>2026Q2</t>
        </is>
      </c>
      <c r="E833" s="6" t="inlineStr"/>
      <c r="F833" s="7" t="inlineStr"/>
      <c r="G833" s="8" t="inlineStr"/>
      <c r="H833" s="8" t="inlineStr"/>
      <c r="I833" s="9" t="n">
        <v>74460</v>
      </c>
      <c r="J833" s="10" t="n">
        <v>-2860</v>
      </c>
      <c r="K833" s="10" t="n">
        <v>-3896</v>
      </c>
      <c r="L833" s="7" t="n">
        <v>102455</v>
      </c>
      <c r="M833" s="8" t="n">
        <v>-2245</v>
      </c>
      <c r="N833" s="8" t="n">
        <v>-2243</v>
      </c>
      <c r="O833" s="9" t="n">
        <v>110450</v>
      </c>
      <c r="P833" s="10" t="n">
        <v>2652</v>
      </c>
      <c r="Q833" s="10" t="n">
        <v>1650</v>
      </c>
      <c r="R833" s="7" t="n">
        <v>162562</v>
      </c>
      <c r="S833" s="8" t="n">
        <v>13109</v>
      </c>
      <c r="T833" s="8" t="n">
        <v>11153</v>
      </c>
      <c r="U833" s="9" t="n">
        <v>79392</v>
      </c>
      <c r="V833" s="10" t="n">
        <v>-765</v>
      </c>
      <c r="W833" s="10" t="n">
        <v>-2854</v>
      </c>
      <c r="X833" s="7" t="n">
        <v>91894</v>
      </c>
      <c r="Y833" s="8" t="n">
        <v>1736</v>
      </c>
      <c r="Z833" s="8" t="n">
        <v>544</v>
      </c>
      <c r="AA833" s="9" t="n">
        <v>94697</v>
      </c>
      <c r="AB833" s="10" t="n">
        <v>-1877</v>
      </c>
      <c r="AC833" s="10" t="n">
        <v>-2253</v>
      </c>
      <c r="AD833" s="7" t="n">
        <v>191424</v>
      </c>
      <c r="AE833" s="8" t="n">
        <v>11566</v>
      </c>
      <c r="AF833" s="8" t="n">
        <v>9590</v>
      </c>
      <c r="AG833" s="9" t="n">
        <v>77798</v>
      </c>
      <c r="AH833" s="10" t="n">
        <v>51</v>
      </c>
      <c r="AI833" s="10" t="n">
        <v>-556</v>
      </c>
      <c r="AJ833" s="11" t="n">
        <v>186052</v>
      </c>
      <c r="AK833" s="12" t="n">
        <v>3123</v>
      </c>
      <c r="AL833" s="12" t="n">
        <v>2732</v>
      </c>
      <c r="AM833" s="13" t="n">
        <v>139.1</v>
      </c>
      <c r="AN833" s="13" t="n">
        <v>102.5</v>
      </c>
      <c r="AO833" s="13" t="n">
        <v>6023.5</v>
      </c>
      <c r="AP833" s="13" t="n">
        <v>79.90000000000001</v>
      </c>
    </row>
    <row r="834">
      <c r="A834" s="5" t="inlineStr">
        <is>
          <t>에코심플렉스</t>
        </is>
      </c>
      <c r="B834" s="6" t="inlineStr">
        <is>
          <t>038870</t>
        </is>
      </c>
      <c r="C834" s="6" t="inlineStr">
        <is>
          <t>연결</t>
        </is>
      </c>
      <c r="D834" s="6" t="inlineStr">
        <is>
          <t>2026Q2</t>
        </is>
      </c>
      <c r="E834" s="6" t="inlineStr"/>
      <c r="F834" s="7" t="inlineStr"/>
      <c r="G834" s="8" t="inlineStr"/>
      <c r="H834" s="8" t="inlineStr"/>
      <c r="I834" s="9" t="n">
        <v>4059</v>
      </c>
      <c r="J834" s="10" t="n">
        <v>-853</v>
      </c>
      <c r="K834" s="10" t="n">
        <v>-591</v>
      </c>
      <c r="L834" s="7" t="n">
        <v>5068</v>
      </c>
      <c r="M834" s="8" t="n">
        <v>-749</v>
      </c>
      <c r="N834" s="8" t="n">
        <v>238</v>
      </c>
      <c r="O834" s="9" t="n">
        <v>3357</v>
      </c>
      <c r="P834" s="10" t="n">
        <v>-1735</v>
      </c>
      <c r="Q834" s="10" t="n">
        <v>-870</v>
      </c>
      <c r="R834" s="7" t="n">
        <v>5536</v>
      </c>
      <c r="S834" s="8" t="n">
        <v>976</v>
      </c>
      <c r="T834" s="8" t="n">
        <v>-4241</v>
      </c>
      <c r="U834" s="9" t="n">
        <v>4087</v>
      </c>
      <c r="V834" s="10" t="n">
        <v>-1179</v>
      </c>
      <c r="W834" s="10" t="n">
        <v>-513</v>
      </c>
      <c r="X834" s="7" t="n">
        <v>4695</v>
      </c>
      <c r="Y834" s="8" t="n">
        <v>251</v>
      </c>
      <c r="Z834" s="8" t="n">
        <v>-687</v>
      </c>
      <c r="AA834" s="9" t="n">
        <v>4123</v>
      </c>
      <c r="AB834" s="10" t="n">
        <v>-548</v>
      </c>
      <c r="AC834" s="10" t="n">
        <v>-13</v>
      </c>
      <c r="AD834" s="7" t="n">
        <v>4335</v>
      </c>
      <c r="AE834" s="8" t="n">
        <v>-1185</v>
      </c>
      <c r="AF834" s="8" t="n">
        <v>-6092</v>
      </c>
      <c r="AG834" s="9" t="n">
        <v>2849</v>
      </c>
      <c r="AH834" s="10" t="n">
        <v>-986</v>
      </c>
      <c r="AI834" s="10" t="n">
        <v>-375</v>
      </c>
      <c r="AJ834" s="11" t="n">
        <v>3480</v>
      </c>
      <c r="AK834" s="12" t="n">
        <v>-531</v>
      </c>
      <c r="AL834" s="12" t="n">
        <v>2038</v>
      </c>
      <c r="AM834" s="13" t="n">
        <v>22.1</v>
      </c>
      <c r="AN834" s="13" t="n">
        <v>-25.9</v>
      </c>
      <c r="AO834" s="13" t="n">
        <v>46.1</v>
      </c>
      <c r="AP834" s="13" t="n">
        <v>-311.6</v>
      </c>
    </row>
    <row r="835">
      <c r="A835" s="5" t="inlineStr">
        <is>
          <t>아이에이</t>
        </is>
      </c>
      <c r="B835" s="6" t="inlineStr">
        <is>
          <t>038880</t>
        </is>
      </c>
      <c r="C835" s="6" t="inlineStr">
        <is>
          <t>연결</t>
        </is>
      </c>
      <c r="D835" s="6" t="inlineStr">
        <is>
          <t>2026Q2</t>
        </is>
      </c>
      <c r="E835" s="6" t="inlineStr"/>
      <c r="F835" s="7" t="inlineStr"/>
      <c r="G835" s="8" t="inlineStr"/>
      <c r="H835" s="8" t="inlineStr"/>
      <c r="I835" s="9" t="n">
        <v>12648</v>
      </c>
      <c r="J835" s="10" t="n">
        <v>-1660</v>
      </c>
      <c r="K835" s="10" t="n">
        <v>-4034</v>
      </c>
      <c r="L835" s="7" t="n">
        <v>13437</v>
      </c>
      <c r="M835" s="8" t="n">
        <v>-592</v>
      </c>
      <c r="N835" s="8" t="n">
        <v>-2124</v>
      </c>
      <c r="O835" s="9" t="n">
        <v>11613</v>
      </c>
      <c r="P835" s="10" t="n">
        <v>-1084</v>
      </c>
      <c r="Q835" s="10" t="n">
        <v>-2777</v>
      </c>
      <c r="R835" s="7" t="n">
        <v>13025</v>
      </c>
      <c r="S835" s="8" t="n">
        <v>-3105</v>
      </c>
      <c r="T835" s="8" t="n">
        <v>-17096</v>
      </c>
      <c r="U835" s="9" t="n">
        <v>13300</v>
      </c>
      <c r="V835" s="10" t="n">
        <v>-1693</v>
      </c>
      <c r="W835" s="10" t="n">
        <v>-5723</v>
      </c>
      <c r="X835" s="7" t="n">
        <v>10424</v>
      </c>
      <c r="Y835" s="8" t="n">
        <v>-1711</v>
      </c>
      <c r="Z835" s="8" t="n">
        <v>-4179</v>
      </c>
      <c r="AA835" s="9" t="n">
        <v>8832</v>
      </c>
      <c r="AB835" s="10" t="n">
        <v>-1811</v>
      </c>
      <c r="AC835" s="10" t="n">
        <v>-1457</v>
      </c>
      <c r="AD835" s="7" t="n">
        <v>8627</v>
      </c>
      <c r="AE835" s="8" t="n">
        <v>-2104</v>
      </c>
      <c r="AF835" s="8" t="n">
        <v>-33180</v>
      </c>
      <c r="AG835" s="9" t="n">
        <v>27613</v>
      </c>
      <c r="AH835" s="10" t="n">
        <v>185</v>
      </c>
      <c r="AI835" s="10" t="n">
        <v>-851</v>
      </c>
      <c r="AJ835" s="11" t="n">
        <v>30060</v>
      </c>
      <c r="AK835" s="12" t="n">
        <v>1544</v>
      </c>
      <c r="AL835" s="12" t="n">
        <v>70</v>
      </c>
      <c r="AM835" s="13" t="n">
        <v>8.9</v>
      </c>
      <c r="AN835" s="13" t="n">
        <v>188.4</v>
      </c>
      <c r="AO835" s="13" t="n">
        <v>734.6</v>
      </c>
      <c r="AP835" s="13" t="n">
        <v>190.2</v>
      </c>
    </row>
    <row r="836">
      <c r="A836" s="5" t="inlineStr">
        <is>
          <t>파인디지털</t>
        </is>
      </c>
      <c r="B836" s="6" t="inlineStr">
        <is>
          <t>038950</t>
        </is>
      </c>
      <c r="C836" s="6" t="inlineStr">
        <is>
          <t>연결</t>
        </is>
      </c>
      <c r="D836" s="6" t="inlineStr">
        <is>
          <t>2026Q2</t>
        </is>
      </c>
      <c r="E836" s="6" t="inlineStr"/>
      <c r="F836" s="7" t="inlineStr"/>
      <c r="G836" s="8" t="inlineStr"/>
      <c r="H836" s="8" t="inlineStr"/>
      <c r="I836" s="9" t="n">
        <v>15718</v>
      </c>
      <c r="J836" s="10" t="n">
        <v>-2162</v>
      </c>
      <c r="K836" s="10" t="n">
        <v>-1484</v>
      </c>
      <c r="L836" s="7" t="n">
        <v>21182</v>
      </c>
      <c r="M836" s="8" t="n">
        <v>-136</v>
      </c>
      <c r="N836" s="8" t="n">
        <v>1013</v>
      </c>
      <c r="O836" s="9" t="n">
        <v>16379</v>
      </c>
      <c r="P836" s="10" t="n">
        <v>-1425</v>
      </c>
      <c r="Q836" s="10" t="n">
        <v>-728</v>
      </c>
      <c r="R836" s="7" t="n">
        <v>17522</v>
      </c>
      <c r="S836" s="8" t="n">
        <v>-855</v>
      </c>
      <c r="T836" s="8" t="n">
        <v>-391</v>
      </c>
      <c r="U836" s="9" t="n">
        <v>16182</v>
      </c>
      <c r="V836" s="10" t="n">
        <v>-2011</v>
      </c>
      <c r="W836" s="10" t="n">
        <v>-1219</v>
      </c>
      <c r="X836" s="7" t="n">
        <v>14897</v>
      </c>
      <c r="Y836" s="8" t="n">
        <v>-1409</v>
      </c>
      <c r="Z836" s="8" t="n">
        <v>-1002</v>
      </c>
      <c r="AA836" s="9" t="n">
        <v>15676</v>
      </c>
      <c r="AB836" s="10" t="n">
        <v>-1292</v>
      </c>
      <c r="AC836" s="10" t="n">
        <v>-475</v>
      </c>
      <c r="AD836" s="7" t="n">
        <v>16095</v>
      </c>
      <c r="AE836" s="8" t="n">
        <v>129</v>
      </c>
      <c r="AF836" s="8" t="n">
        <v>1481</v>
      </c>
      <c r="AG836" s="9" t="n">
        <v>14684</v>
      </c>
      <c r="AH836" s="10" t="n">
        <v>-1620</v>
      </c>
      <c r="AI836" s="10" t="n">
        <v>-544</v>
      </c>
      <c r="AJ836" s="11" t="n">
        <v>13492</v>
      </c>
      <c r="AK836" s="12" t="n">
        <v>-1770</v>
      </c>
      <c r="AL836" s="12" t="n">
        <v>-1879</v>
      </c>
      <c r="AM836" s="13" t="n">
        <v>-8.1</v>
      </c>
      <c r="AN836" s="13" t="n">
        <v>-9.4</v>
      </c>
      <c r="AO836" s="13" t="n">
        <v>-9.300000000000001</v>
      </c>
      <c r="AP836" s="13" t="n">
        <v>-25.6</v>
      </c>
    </row>
    <row r="837">
      <c r="A837" s="5" t="inlineStr">
        <is>
          <t>현대에이치티</t>
        </is>
      </c>
      <c r="B837" s="6" t="inlineStr">
        <is>
          <t>039010</t>
        </is>
      </c>
      <c r="C837" s="6" t="inlineStr">
        <is>
          <t>연결</t>
        </is>
      </c>
      <c r="D837" s="6" t="inlineStr">
        <is>
          <t>2026Q2</t>
        </is>
      </c>
      <c r="E837" s="6" t="inlineStr"/>
      <c r="F837" s="7" t="inlineStr"/>
      <c r="G837" s="8" t="inlineStr"/>
      <c r="H837" s="8" t="inlineStr"/>
      <c r="I837" s="9" t="n">
        <v>40815</v>
      </c>
      <c r="J837" s="10" t="n">
        <v>2532</v>
      </c>
      <c r="K837" s="10" t="n">
        <v>2812</v>
      </c>
      <c r="L837" s="7" t="n">
        <v>44191</v>
      </c>
      <c r="M837" s="8" t="n">
        <v>3540</v>
      </c>
      <c r="N837" s="8" t="n">
        <v>5110</v>
      </c>
      <c r="O837" s="9" t="n">
        <v>34925</v>
      </c>
      <c r="P837" s="10" t="n">
        <v>2021</v>
      </c>
      <c r="Q837" s="10" t="n">
        <v>1858</v>
      </c>
      <c r="R837" s="7" t="n">
        <v>48976</v>
      </c>
      <c r="S837" s="8" t="n">
        <v>2963</v>
      </c>
      <c r="T837" s="8" t="n">
        <v>4154</v>
      </c>
      <c r="U837" s="9" t="n">
        <v>40363</v>
      </c>
      <c r="V837" s="10" t="n">
        <v>2386</v>
      </c>
      <c r="W837" s="10" t="n">
        <v>1907</v>
      </c>
      <c r="X837" s="7" t="n">
        <v>38934</v>
      </c>
      <c r="Y837" s="8" t="n">
        <v>2677</v>
      </c>
      <c r="Z837" s="8" t="n">
        <v>4951</v>
      </c>
      <c r="AA837" s="9" t="n">
        <v>39028</v>
      </c>
      <c r="AB837" s="10" t="n">
        <v>1201</v>
      </c>
      <c r="AC837" s="10" t="n">
        <v>1798</v>
      </c>
      <c r="AD837" s="7" t="n">
        <v>35008</v>
      </c>
      <c r="AE837" s="8" t="n">
        <v>751</v>
      </c>
      <c r="AF837" s="8" t="n">
        <v>1967</v>
      </c>
      <c r="AG837" s="9" t="n">
        <v>30965</v>
      </c>
      <c r="AH837" s="10" t="n">
        <v>-1334</v>
      </c>
      <c r="AI837" s="10" t="n">
        <v>-1551</v>
      </c>
      <c r="AJ837" s="11" t="n">
        <v>36435</v>
      </c>
      <c r="AK837" s="12" t="n">
        <v>201</v>
      </c>
      <c r="AL837" s="12" t="n">
        <v>-1491</v>
      </c>
      <c r="AM837" s="13" t="n">
        <v>17.7</v>
      </c>
      <c r="AN837" s="13" t="n">
        <v>-6.4</v>
      </c>
      <c r="AO837" s="13" t="n">
        <v>115.1</v>
      </c>
      <c r="AP837" s="13" t="n">
        <v>-92.5</v>
      </c>
    </row>
    <row r="838">
      <c r="A838" s="5" t="inlineStr">
        <is>
          <t>이건홀딩스</t>
        </is>
      </c>
      <c r="B838" s="6" t="inlineStr">
        <is>
          <t>039020</t>
        </is>
      </c>
      <c r="C838" s="6" t="inlineStr">
        <is>
          <t>연결</t>
        </is>
      </c>
      <c r="D838" s="6" t="inlineStr">
        <is>
          <t>2026Q2</t>
        </is>
      </c>
      <c r="E838" s="6" t="inlineStr"/>
      <c r="F838" s="7" t="inlineStr"/>
      <c r="G838" s="8" t="inlineStr"/>
      <c r="H838" s="8" t="inlineStr"/>
      <c r="I838" s="9" t="n">
        <v>110659</v>
      </c>
      <c r="J838" s="10" t="n">
        <v>-387</v>
      </c>
      <c r="K838" s="10" t="n">
        <v>-3369</v>
      </c>
      <c r="L838" s="7" t="n">
        <v>112438</v>
      </c>
      <c r="M838" s="8" t="n">
        <v>-2316</v>
      </c>
      <c r="N838" s="8" t="n">
        <v>-5554</v>
      </c>
      <c r="O838" s="9" t="n">
        <v>120236</v>
      </c>
      <c r="P838" s="10" t="n">
        <v>1440</v>
      </c>
      <c r="Q838" s="10" t="n">
        <v>-1909</v>
      </c>
      <c r="R838" s="7" t="n">
        <v>154040</v>
      </c>
      <c r="S838" s="8" t="n">
        <v>7823</v>
      </c>
      <c r="T838" s="8" t="n">
        <v>-5264</v>
      </c>
      <c r="U838" s="9" t="n">
        <v>123379</v>
      </c>
      <c r="V838" s="10" t="n">
        <v>4119</v>
      </c>
      <c r="W838" s="10" t="n">
        <v>863</v>
      </c>
      <c r="X838" s="7" t="n">
        <v>114745</v>
      </c>
      <c r="Y838" s="8" t="n">
        <v>2346</v>
      </c>
      <c r="Z838" s="8" t="n">
        <v>-1059</v>
      </c>
      <c r="AA838" s="9" t="n">
        <v>111383</v>
      </c>
      <c r="AB838" s="10" t="n">
        <v>-623</v>
      </c>
      <c r="AC838" s="10" t="n">
        <v>-5270</v>
      </c>
      <c r="AD838" s="7" t="n">
        <v>97608</v>
      </c>
      <c r="AE838" s="8" t="n">
        <v>-7085</v>
      </c>
      <c r="AF838" s="8" t="n">
        <v>-5855</v>
      </c>
      <c r="AG838" s="9" t="n">
        <v>101113</v>
      </c>
      <c r="AH838" s="10" t="n">
        <v>3244</v>
      </c>
      <c r="AI838" s="10" t="n">
        <v>-370</v>
      </c>
      <c r="AJ838" s="11" t="n">
        <v>126605</v>
      </c>
      <c r="AK838" s="12" t="n">
        <v>11564</v>
      </c>
      <c r="AL838" s="12" t="n">
        <v>7010</v>
      </c>
      <c r="AM838" s="13" t="n">
        <v>25.2</v>
      </c>
      <c r="AN838" s="13" t="n">
        <v>10.3</v>
      </c>
      <c r="AO838" s="13" t="n">
        <v>256.5</v>
      </c>
      <c r="AP838" s="13" t="n">
        <v>392.9</v>
      </c>
    </row>
    <row r="839">
      <c r="A839" s="5" t="inlineStr">
        <is>
          <t>이오테크닉스</t>
        </is>
      </c>
      <c r="B839" s="6" t="inlineStr">
        <is>
          <t>039030</t>
        </is>
      </c>
      <c r="C839" s="6" t="inlineStr">
        <is>
          <t>연결</t>
        </is>
      </c>
      <c r="D839" s="6" t="inlineStr">
        <is>
          <t>2026Q2</t>
        </is>
      </c>
      <c r="E839" s="6" t="inlineStr"/>
      <c r="F839" s="7" t="inlineStr"/>
      <c r="G839" s="8" t="inlineStr"/>
      <c r="H839" s="8" t="inlineStr"/>
      <c r="I839" s="9" t="n">
        <v>72840</v>
      </c>
      <c r="J839" s="10" t="n">
        <v>5549</v>
      </c>
      <c r="K839" s="10" t="n">
        <v>10469</v>
      </c>
      <c r="L839" s="7" t="n">
        <v>74427</v>
      </c>
      <c r="M839" s="8" t="n">
        <v>6574</v>
      </c>
      <c r="N839" s="8" t="n">
        <v>10870</v>
      </c>
      <c r="O839" s="9" t="n">
        <v>82969</v>
      </c>
      <c r="P839" s="10" t="n">
        <v>10429</v>
      </c>
      <c r="Q839" s="10" t="n">
        <v>4734</v>
      </c>
      <c r="R839" s="7" t="n">
        <v>90709</v>
      </c>
      <c r="S839" s="8" t="n">
        <v>8649</v>
      </c>
      <c r="T839" s="8" t="n">
        <v>16597</v>
      </c>
      <c r="U839" s="9" t="n">
        <v>84825</v>
      </c>
      <c r="V839" s="10" t="n">
        <v>14482</v>
      </c>
      <c r="W839" s="10" t="n">
        <v>14461</v>
      </c>
      <c r="X839" s="7" t="n">
        <v>94250</v>
      </c>
      <c r="Y839" s="8" t="n">
        <v>25825</v>
      </c>
      <c r="Z839" s="8" t="n">
        <v>2794</v>
      </c>
      <c r="AA839" s="9" t="n">
        <v>100514</v>
      </c>
      <c r="AB839" s="10" t="n">
        <v>26002</v>
      </c>
      <c r="AC839" s="10" t="n">
        <v>23171</v>
      </c>
      <c r="AD839" s="7" t="n">
        <v>101302</v>
      </c>
      <c r="AE839" s="8" t="n">
        <v>14444</v>
      </c>
      <c r="AF839" s="8" t="n">
        <v>17139</v>
      </c>
      <c r="AG839" s="9" t="n">
        <v>115102</v>
      </c>
      <c r="AH839" s="10" t="n">
        <v>29798</v>
      </c>
      <c r="AI839" s="10" t="n">
        <v>31213</v>
      </c>
      <c r="AJ839" s="11" t="n">
        <v>127799</v>
      </c>
      <c r="AK839" s="12" t="n">
        <v>39088</v>
      </c>
      <c r="AL839" s="12" t="n">
        <v>36993</v>
      </c>
      <c r="AM839" s="13" t="n">
        <v>11</v>
      </c>
      <c r="AN839" s="13" t="n">
        <v>35.6</v>
      </c>
      <c r="AO839" s="13" t="n">
        <v>31.2</v>
      </c>
      <c r="AP839" s="13" t="n">
        <v>51.4</v>
      </c>
    </row>
    <row r="840">
      <c r="A840" s="5" t="inlineStr">
        <is>
          <t>하나투어</t>
        </is>
      </c>
      <c r="B840" s="6" t="inlineStr">
        <is>
          <t>039130</t>
        </is>
      </c>
      <c r="C840" s="6" t="inlineStr">
        <is>
          <t>연결</t>
        </is>
      </c>
      <c r="D840" s="6" t="inlineStr">
        <is>
          <t>2026Q2</t>
        </is>
      </c>
      <c r="E840" s="6" t="inlineStr">
        <is>
          <t>2023Q4</t>
        </is>
      </c>
      <c r="F840" s="14" t="n">
        <v>119536</v>
      </c>
      <c r="G840" s="15" t="n">
        <v>11447</v>
      </c>
      <c r="H840" s="15" t="n">
        <v>15391</v>
      </c>
      <c r="I840" s="9" t="n">
        <v>183336</v>
      </c>
      <c r="J840" s="10" t="n">
        <v>21630</v>
      </c>
      <c r="K840" s="10" t="n">
        <v>24161</v>
      </c>
      <c r="L840" s="7" t="n">
        <v>131668</v>
      </c>
      <c r="M840" s="8" t="n">
        <v>3666</v>
      </c>
      <c r="N840" s="8" t="n">
        <v>12638</v>
      </c>
      <c r="O840" s="9" t="n">
        <v>159393</v>
      </c>
      <c r="P840" s="10" t="n">
        <v>12026</v>
      </c>
      <c r="Q840" s="10" t="n">
        <v>13609</v>
      </c>
      <c r="R840" s="7" t="n">
        <v>142210</v>
      </c>
      <c r="S840" s="8" t="n">
        <v>13597</v>
      </c>
      <c r="T840" s="8" t="n">
        <v>48671</v>
      </c>
      <c r="U840" s="9" t="n">
        <v>168451</v>
      </c>
      <c r="V840" s="10" t="n">
        <v>12282</v>
      </c>
      <c r="W840" s="10" t="n">
        <v>14365</v>
      </c>
      <c r="X840" s="7" t="n">
        <v>119937</v>
      </c>
      <c r="Y840" s="8" t="n">
        <v>9650</v>
      </c>
      <c r="Z840" s="8" t="n">
        <v>11147</v>
      </c>
      <c r="AA840" s="9" t="n">
        <v>123287</v>
      </c>
      <c r="AB840" s="10" t="n">
        <v>8281</v>
      </c>
      <c r="AC840" s="10" t="n">
        <v>9162</v>
      </c>
      <c r="AD840" s="7" t="n">
        <v>175228</v>
      </c>
      <c r="AE840" s="8" t="n">
        <v>27414</v>
      </c>
      <c r="AF840" s="8" t="n">
        <v>13418</v>
      </c>
      <c r="AG840" s="9" t="n">
        <v>174829</v>
      </c>
      <c r="AH840" s="10" t="n">
        <v>16763</v>
      </c>
      <c r="AI840" s="10" t="n">
        <v>25293</v>
      </c>
      <c r="AJ840" s="11" t="n">
        <v>115435</v>
      </c>
      <c r="AK840" s="12" t="n">
        <v>5440</v>
      </c>
      <c r="AL840" s="12" t="n">
        <v>6948</v>
      </c>
      <c r="AM840" s="13" t="n">
        <v>-34</v>
      </c>
      <c r="AN840" s="13" t="n">
        <v>-3.8</v>
      </c>
      <c r="AO840" s="13" t="n">
        <v>-67.5</v>
      </c>
      <c r="AP840" s="13" t="n">
        <v>-43.6</v>
      </c>
    </row>
    <row r="841">
      <c r="A841" s="5" t="inlineStr">
        <is>
          <t>오스코텍</t>
        </is>
      </c>
      <c r="B841" s="6" t="inlineStr">
        <is>
          <t>039200</t>
        </is>
      </c>
      <c r="C841" s="6" t="inlineStr">
        <is>
          <t>연결</t>
        </is>
      </c>
      <c r="D841" s="6" t="inlineStr">
        <is>
          <t>2026Q2</t>
        </is>
      </c>
      <c r="E841" s="6" t="inlineStr"/>
      <c r="F841" s="7" t="inlineStr"/>
      <c r="G841" s="8" t="inlineStr"/>
      <c r="H841" s="8" t="inlineStr"/>
      <c r="I841" s="9" t="n">
        <v>1062</v>
      </c>
      <c r="J841" s="10" t="n">
        <v>-7975</v>
      </c>
      <c r="K841" s="10" t="n">
        <v>-6638</v>
      </c>
      <c r="L841" s="7" t="n">
        <v>1554</v>
      </c>
      <c r="M841" s="8" t="n">
        <v>-7369</v>
      </c>
      <c r="N841" s="8" t="n">
        <v>-7346</v>
      </c>
      <c r="O841" s="9" t="n">
        <v>29056</v>
      </c>
      <c r="P841" s="10" t="n">
        <v>19646</v>
      </c>
      <c r="Q841" s="10" t="n">
        <v>19261</v>
      </c>
      <c r="R841" s="7" t="n">
        <v>2336</v>
      </c>
      <c r="S841" s="8" t="n">
        <v>-7036</v>
      </c>
      <c r="T841" s="8" t="n">
        <v>-6867</v>
      </c>
      <c r="U841" s="9" t="n">
        <v>1936</v>
      </c>
      <c r="V841" s="10" t="n">
        <v>-8323</v>
      </c>
      <c r="W841" s="10" t="n">
        <v>-7767</v>
      </c>
      <c r="X841" s="7" t="n">
        <v>10017</v>
      </c>
      <c r="Y841" s="8" t="n">
        <v>-632</v>
      </c>
      <c r="Z841" s="8" t="n">
        <v>-2504</v>
      </c>
      <c r="AA841" s="9" t="n">
        <v>8945</v>
      </c>
      <c r="AB841" s="10" t="n">
        <v>-373</v>
      </c>
      <c r="AC841" s="10" t="n">
        <v>648</v>
      </c>
      <c r="AD841" s="7" t="n">
        <v>78941</v>
      </c>
      <c r="AE841" s="8" t="n">
        <v>61409</v>
      </c>
      <c r="AF841" s="8" t="n">
        <v>64020</v>
      </c>
      <c r="AG841" s="9" t="n">
        <v>3648</v>
      </c>
      <c r="AH841" s="10" t="n">
        <v>-9990</v>
      </c>
      <c r="AI841" s="10" t="n">
        <v>-4991</v>
      </c>
      <c r="AJ841" s="11" t="n">
        <v>52649</v>
      </c>
      <c r="AK841" s="12" t="n">
        <v>38672</v>
      </c>
      <c r="AL841" s="12" t="n">
        <v>40755</v>
      </c>
      <c r="AM841" s="13" t="n">
        <v>1343.2</v>
      </c>
      <c r="AN841" s="13" t="n">
        <v>425.6</v>
      </c>
      <c r="AO841" s="13" t="n">
        <v>487.1</v>
      </c>
      <c r="AP841" s="13" t="n">
        <v>6219</v>
      </c>
    </row>
    <row r="842">
      <c r="A842" s="5" t="inlineStr">
        <is>
          <t>경남스틸</t>
        </is>
      </c>
      <c r="B842" s="6" t="inlineStr">
        <is>
          <t>039240</t>
        </is>
      </c>
      <c r="C842" s="6" t="inlineStr">
        <is>
          <t>별도</t>
        </is>
      </c>
      <c r="D842" s="6" t="inlineStr">
        <is>
          <t>2026Q2</t>
        </is>
      </c>
      <c r="E842" s="6" t="inlineStr"/>
      <c r="F842" s="7" t="inlineStr"/>
      <c r="G842" s="8" t="inlineStr"/>
      <c r="H842" s="8" t="inlineStr"/>
      <c r="I842" s="9" t="n">
        <v>96756</v>
      </c>
      <c r="J842" s="10" t="n">
        <v>1349</v>
      </c>
      <c r="K842" s="10" t="n">
        <v>1420</v>
      </c>
      <c r="L842" s="7" t="n">
        <v>107139</v>
      </c>
      <c r="M842" s="8" t="n">
        <v>2598</v>
      </c>
      <c r="N842" s="8" t="n">
        <v>1888</v>
      </c>
      <c r="O842" s="9" t="n">
        <v>92685</v>
      </c>
      <c r="P842" s="10" t="n">
        <v>502</v>
      </c>
      <c r="Q842" s="10" t="n">
        <v>211</v>
      </c>
      <c r="R842" s="7" t="n">
        <v>98910</v>
      </c>
      <c r="S842" s="8" t="n">
        <v>4999</v>
      </c>
      <c r="T842" s="8" t="n">
        <v>3936</v>
      </c>
      <c r="U842" s="9" t="n">
        <v>92669</v>
      </c>
      <c r="V842" s="10" t="n">
        <v>1479</v>
      </c>
      <c r="W842" s="10" t="n">
        <v>1005</v>
      </c>
      <c r="X842" s="7" t="n">
        <v>96348</v>
      </c>
      <c r="Y842" s="8" t="n">
        <v>2257</v>
      </c>
      <c r="Z842" s="8" t="n">
        <v>1677</v>
      </c>
      <c r="AA842" s="9" t="n">
        <v>86386</v>
      </c>
      <c r="AB842" s="10" t="n">
        <v>1711</v>
      </c>
      <c r="AC842" s="10" t="n">
        <v>1394</v>
      </c>
      <c r="AD842" s="7" t="n">
        <v>81736</v>
      </c>
      <c r="AE842" s="8" t="n">
        <v>511</v>
      </c>
      <c r="AF842" s="8" t="n">
        <v>557</v>
      </c>
      <c r="AG842" s="9" t="n">
        <v>95636</v>
      </c>
      <c r="AH842" s="10" t="n">
        <v>1407</v>
      </c>
      <c r="AI842" s="10" t="n">
        <v>1271</v>
      </c>
      <c r="AJ842" s="11" t="n">
        <v>98311</v>
      </c>
      <c r="AK842" s="12" t="n">
        <v>2247</v>
      </c>
      <c r="AL842" s="12" t="n">
        <v>2232</v>
      </c>
      <c r="AM842" s="13" t="n">
        <v>2.8</v>
      </c>
      <c r="AN842" s="13" t="n">
        <v>2</v>
      </c>
      <c r="AO842" s="13" t="n">
        <v>59.7</v>
      </c>
      <c r="AP842" s="13" t="n">
        <v>-0.4</v>
      </c>
    </row>
    <row r="843">
      <c r="A843" s="5" t="inlineStr">
        <is>
          <t>인포뱅크</t>
        </is>
      </c>
      <c r="B843" s="6" t="inlineStr">
        <is>
          <t>039290</t>
        </is>
      </c>
      <c r="C843" s="6" t="inlineStr">
        <is>
          <t>연결</t>
        </is>
      </c>
      <c r="D843" s="6" t="inlineStr">
        <is>
          <t>2026Q2</t>
        </is>
      </c>
      <c r="E843" s="6" t="inlineStr"/>
      <c r="F843" s="7" t="inlineStr"/>
      <c r="G843" s="8" t="inlineStr"/>
      <c r="H843" s="8" t="inlineStr"/>
      <c r="I843" s="9" t="n">
        <v>34002</v>
      </c>
      <c r="J843" s="10" t="n">
        <v>-1510</v>
      </c>
      <c r="K843" s="10" t="n">
        <v>-525</v>
      </c>
      <c r="L843" s="7" t="n">
        <v>34571</v>
      </c>
      <c r="M843" s="8" t="n">
        <v>-1109</v>
      </c>
      <c r="N843" s="8" t="n">
        <v>-1667</v>
      </c>
      <c r="O843" s="9" t="n">
        <v>34310</v>
      </c>
      <c r="P843" s="10" t="n">
        <v>-2951</v>
      </c>
      <c r="Q843" s="10" t="n">
        <v>-3613</v>
      </c>
      <c r="R843" s="7" t="n">
        <v>33978</v>
      </c>
      <c r="S843" s="8" t="n">
        <v>437</v>
      </c>
      <c r="T843" s="8" t="n">
        <v>2068</v>
      </c>
      <c r="U843" s="9" t="n">
        <v>31239</v>
      </c>
      <c r="V843" s="10" t="n">
        <v>-1542</v>
      </c>
      <c r="W843" s="10" t="n">
        <v>-161</v>
      </c>
      <c r="X843" s="7" t="n">
        <v>32962</v>
      </c>
      <c r="Y843" s="8" t="n">
        <v>-1849</v>
      </c>
      <c r="Z843" s="8" t="n">
        <v>-2172</v>
      </c>
      <c r="AA843" s="9" t="n">
        <v>35886</v>
      </c>
      <c r="AB843" s="10" t="n">
        <v>-321</v>
      </c>
      <c r="AC843" s="10" t="n">
        <v>182</v>
      </c>
      <c r="AD843" s="7" t="n">
        <v>35009</v>
      </c>
      <c r="AE843" s="8" t="n">
        <v>-493</v>
      </c>
      <c r="AF843" s="8" t="n">
        <v>-2541</v>
      </c>
      <c r="AG843" s="9" t="n">
        <v>34042</v>
      </c>
      <c r="AH843" s="10" t="n">
        <v>-885</v>
      </c>
      <c r="AI843" s="10" t="n">
        <v>142</v>
      </c>
      <c r="AJ843" s="11" t="n">
        <v>43718</v>
      </c>
      <c r="AK843" s="12" t="n">
        <v>-314</v>
      </c>
      <c r="AL843" s="12" t="n">
        <v>1292</v>
      </c>
      <c r="AM843" s="13" t="n">
        <v>28.4</v>
      </c>
      <c r="AN843" s="13" t="n">
        <v>32.6</v>
      </c>
      <c r="AO843" s="13" t="n">
        <v>64.5</v>
      </c>
      <c r="AP843" s="13" t="n">
        <v>83</v>
      </c>
    </row>
    <row r="844">
      <c r="A844" s="5" t="inlineStr">
        <is>
          <t>세중</t>
        </is>
      </c>
      <c r="B844" s="6" t="inlineStr">
        <is>
          <t>039310</t>
        </is>
      </c>
      <c r="C844" s="6" t="inlineStr">
        <is>
          <t>별도</t>
        </is>
      </c>
      <c r="D844" s="6" t="inlineStr">
        <is>
          <t>2026Q2</t>
        </is>
      </c>
      <c r="E844" s="6" t="inlineStr"/>
      <c r="F844" s="7" t="inlineStr"/>
      <c r="G844" s="8" t="inlineStr"/>
      <c r="H844" s="8" t="inlineStr"/>
      <c r="I844" s="9" t="n">
        <v>15034</v>
      </c>
      <c r="J844" s="10" t="n">
        <v>1134</v>
      </c>
      <c r="K844" s="10" t="n">
        <v>1699</v>
      </c>
      <c r="L844" s="7" t="n">
        <v>8325</v>
      </c>
      <c r="M844" s="8" t="n">
        <v>-123</v>
      </c>
      <c r="N844" s="8" t="n">
        <v>27</v>
      </c>
      <c r="O844" s="9" t="n">
        <v>6820</v>
      </c>
      <c r="P844" s="10" t="n">
        <v>-410</v>
      </c>
      <c r="Q844" s="10" t="n">
        <v>-434</v>
      </c>
      <c r="R844" s="7" t="n">
        <v>7127</v>
      </c>
      <c r="S844" s="8" t="n">
        <v>-183</v>
      </c>
      <c r="T844" s="8" t="n">
        <v>521</v>
      </c>
      <c r="U844" s="9" t="n">
        <v>14488</v>
      </c>
      <c r="V844" s="10" t="n">
        <v>-296</v>
      </c>
      <c r="W844" s="10" t="n">
        <v>633</v>
      </c>
      <c r="X844" s="7" t="n">
        <v>7814</v>
      </c>
      <c r="Y844" s="8" t="n">
        <v>318</v>
      </c>
      <c r="Z844" s="8" t="n">
        <v>288</v>
      </c>
      <c r="AA844" s="9" t="n">
        <v>6727</v>
      </c>
      <c r="AB844" s="10" t="n">
        <v>-405</v>
      </c>
      <c r="AC844" s="10" t="n">
        <v>-719</v>
      </c>
      <c r="AD844" s="7" t="n">
        <v>6599</v>
      </c>
      <c r="AE844" s="8" t="n">
        <v>-649</v>
      </c>
      <c r="AF844" s="8" t="n">
        <v>-2952</v>
      </c>
      <c r="AG844" s="9" t="n">
        <v>24061</v>
      </c>
      <c r="AH844" s="10" t="n">
        <v>34</v>
      </c>
      <c r="AI844" s="10" t="n">
        <v>458</v>
      </c>
      <c r="AJ844" s="11" t="n">
        <v>7388</v>
      </c>
      <c r="AK844" s="12" t="n">
        <v>-28</v>
      </c>
      <c r="AL844" s="12" t="n">
        <v>-501</v>
      </c>
      <c r="AM844" s="13" t="n">
        <v>-69.3</v>
      </c>
      <c r="AN844" s="13" t="n">
        <v>-5.5</v>
      </c>
      <c r="AO844" s="13" t="n">
        <v>-182.4</v>
      </c>
      <c r="AP844" s="13" t="n">
        <v>-108.8</v>
      </c>
    </row>
    <row r="845">
      <c r="A845" s="5" t="inlineStr">
        <is>
          <t>한국경제TV</t>
        </is>
      </c>
      <c r="B845" s="6" t="inlineStr">
        <is>
          <t>039340</t>
        </is>
      </c>
      <c r="C845" s="6" t="inlineStr">
        <is>
          <t>연결</t>
        </is>
      </c>
      <c r="D845" s="6" t="inlineStr">
        <is>
          <t>2026Q2</t>
        </is>
      </c>
      <c r="E845" s="6" t="inlineStr"/>
      <c r="F845" s="7" t="inlineStr"/>
      <c r="G845" s="8" t="inlineStr"/>
      <c r="H845" s="8" t="inlineStr"/>
      <c r="I845" s="9" t="inlineStr"/>
      <c r="J845" s="10" t="n">
        <v>1153</v>
      </c>
      <c r="K845" s="10" t="n">
        <v>1917</v>
      </c>
      <c r="L845" s="7" t="inlineStr"/>
      <c r="M845" s="8" t="n">
        <v>1711</v>
      </c>
      <c r="N845" s="8" t="n">
        <v>4119</v>
      </c>
      <c r="O845" s="9" t="inlineStr"/>
      <c r="P845" s="10" t="n">
        <v>440</v>
      </c>
      <c r="Q845" s="10" t="n">
        <v>1790</v>
      </c>
      <c r="R845" s="7" t="inlineStr"/>
      <c r="S845" s="8" t="n">
        <v>-2174</v>
      </c>
      <c r="T845" s="8" t="n">
        <v>625</v>
      </c>
      <c r="U845" s="9" t="inlineStr"/>
      <c r="V845" s="10" t="n">
        <v>-896</v>
      </c>
      <c r="W845" s="10" t="n">
        <v>-244</v>
      </c>
      <c r="X845" s="7" t="inlineStr"/>
      <c r="Y845" s="8" t="n">
        <v>1045</v>
      </c>
      <c r="Z845" s="8" t="n">
        <v>3259</v>
      </c>
      <c r="AA845" s="9" t="inlineStr"/>
      <c r="AB845" s="10" t="n">
        <v>-821</v>
      </c>
      <c r="AC845" s="10" t="n">
        <v>261</v>
      </c>
      <c r="AD845" s="7" t="inlineStr"/>
      <c r="AE845" s="8" t="n">
        <v>-1703</v>
      </c>
      <c r="AF845" s="8" t="n">
        <v>-485</v>
      </c>
      <c r="AG845" s="9" t="inlineStr"/>
      <c r="AH845" s="10" t="n">
        <v>540</v>
      </c>
      <c r="AI845" s="10" t="n">
        <v>967</v>
      </c>
      <c r="AJ845" s="11" t="inlineStr"/>
      <c r="AK845" s="12" t="n">
        <v>3138</v>
      </c>
      <c r="AL845" s="12" t="n">
        <v>4827</v>
      </c>
      <c r="AM845" s="13" t="inlineStr"/>
      <c r="AN845" s="13" t="inlineStr"/>
      <c r="AO845" s="13" t="n">
        <v>481.1</v>
      </c>
      <c r="AP845" s="13" t="n">
        <v>200.3</v>
      </c>
    </row>
    <row r="846">
      <c r="A846" s="5" t="inlineStr">
        <is>
          <t>케이엘넷</t>
        </is>
      </c>
      <c r="B846" s="6" t="inlineStr">
        <is>
          <t>039420</t>
        </is>
      </c>
      <c r="C846" s="6" t="inlineStr">
        <is>
          <t>연결</t>
        </is>
      </c>
      <c r="D846" s="6" t="inlineStr">
        <is>
          <t>2026Q2</t>
        </is>
      </c>
      <c r="E846" s="6" t="inlineStr"/>
      <c r="F846" s="7" t="inlineStr"/>
      <c r="G846" s="8" t="inlineStr"/>
      <c r="H846" s="8" t="inlineStr"/>
      <c r="I846" s="9" t="n">
        <v>10871</v>
      </c>
      <c r="J846" s="10" t="n">
        <v>1846</v>
      </c>
      <c r="K846" s="10" t="n">
        <v>2106</v>
      </c>
      <c r="L846" s="7" t="n">
        <v>12326</v>
      </c>
      <c r="M846" s="8" t="n">
        <v>3500</v>
      </c>
      <c r="N846" s="8" t="n">
        <v>2924</v>
      </c>
      <c r="O846" s="9" t="n">
        <v>12778</v>
      </c>
      <c r="P846" s="10" t="n">
        <v>2442</v>
      </c>
      <c r="Q846" s="10" t="n">
        <v>2753</v>
      </c>
      <c r="R846" s="7" t="n">
        <v>14193</v>
      </c>
      <c r="S846" s="8" t="n">
        <v>2183</v>
      </c>
      <c r="T846" s="8" t="n">
        <v>1157</v>
      </c>
      <c r="U846" s="9" t="n">
        <v>11415</v>
      </c>
      <c r="V846" s="10" t="n">
        <v>2437</v>
      </c>
      <c r="W846" s="10" t="n">
        <v>2837</v>
      </c>
      <c r="X846" s="7" t="n">
        <v>12742</v>
      </c>
      <c r="Y846" s="8" t="n">
        <v>3254</v>
      </c>
      <c r="Z846" s="8" t="n">
        <v>2391</v>
      </c>
      <c r="AA846" s="9" t="n">
        <v>11457</v>
      </c>
      <c r="AB846" s="10" t="n">
        <v>2422</v>
      </c>
      <c r="AC846" s="10" t="n">
        <v>3152</v>
      </c>
      <c r="AD846" s="7" t="n">
        <v>11961</v>
      </c>
      <c r="AE846" s="8" t="n">
        <v>2370</v>
      </c>
      <c r="AF846" s="8" t="n">
        <v>1676</v>
      </c>
      <c r="AG846" s="9" t="n">
        <v>11386</v>
      </c>
      <c r="AH846" s="10" t="n">
        <v>2324</v>
      </c>
      <c r="AI846" s="10" t="n">
        <v>2629</v>
      </c>
      <c r="AJ846" s="11" t="n">
        <v>10652</v>
      </c>
      <c r="AK846" s="12" t="n">
        <v>2547</v>
      </c>
      <c r="AL846" s="12" t="n">
        <v>1871</v>
      </c>
      <c r="AM846" s="13" t="n">
        <v>-6.4</v>
      </c>
      <c r="AN846" s="13" t="n">
        <v>-16.4</v>
      </c>
      <c r="AO846" s="13" t="n">
        <v>9.6</v>
      </c>
      <c r="AP846" s="13" t="n">
        <v>-21.7</v>
      </c>
    </row>
    <row r="847">
      <c r="A847" s="5" t="inlineStr">
        <is>
          <t>에스티아이</t>
        </is>
      </c>
      <c r="B847" s="6" t="inlineStr">
        <is>
          <t>039440</t>
        </is>
      </c>
      <c r="C847" s="6" t="inlineStr">
        <is>
          <t>연결</t>
        </is>
      </c>
      <c r="D847" s="6" t="inlineStr">
        <is>
          <t>2026Q2</t>
        </is>
      </c>
      <c r="E847" s="6" t="inlineStr"/>
      <c r="F847" s="7" t="inlineStr"/>
      <c r="G847" s="8" t="inlineStr"/>
      <c r="H847" s="8" t="inlineStr"/>
      <c r="I847" s="9" t="n">
        <v>65500</v>
      </c>
      <c r="J847" s="10" t="n">
        <v>1986</v>
      </c>
      <c r="K847" s="10" t="n">
        <v>4047</v>
      </c>
      <c r="L847" s="7" t="n">
        <v>75271</v>
      </c>
      <c r="M847" s="8" t="n">
        <v>4582</v>
      </c>
      <c r="N847" s="8" t="n">
        <v>4770</v>
      </c>
      <c r="O847" s="9" t="n">
        <v>61574</v>
      </c>
      <c r="P847" s="10" t="n">
        <v>2369</v>
      </c>
      <c r="Q847" s="10" t="n">
        <v>1018</v>
      </c>
      <c r="R847" s="7" t="n">
        <v>131677</v>
      </c>
      <c r="S847" s="8" t="n">
        <v>18350</v>
      </c>
      <c r="T847" s="8" t="n">
        <v>17306</v>
      </c>
      <c r="U847" s="9" t="n">
        <v>84074</v>
      </c>
      <c r="V847" s="10" t="n">
        <v>5241</v>
      </c>
      <c r="W847" s="10" t="n">
        <v>3032</v>
      </c>
      <c r="X847" s="7" t="n">
        <v>87195</v>
      </c>
      <c r="Y847" s="8" t="n">
        <v>5385</v>
      </c>
      <c r="Z847" s="8" t="n">
        <v>2465</v>
      </c>
      <c r="AA847" s="9" t="n">
        <v>70256</v>
      </c>
      <c r="AB847" s="10" t="n">
        <v>2284</v>
      </c>
      <c r="AC847" s="10" t="n">
        <v>2503</v>
      </c>
      <c r="AD847" s="7" t="n">
        <v>86534</v>
      </c>
      <c r="AE847" s="8" t="n">
        <v>6809</v>
      </c>
      <c r="AF847" s="8" t="n">
        <v>7418</v>
      </c>
      <c r="AG847" s="9" t="n">
        <v>73840</v>
      </c>
      <c r="AH847" s="10" t="n">
        <v>365</v>
      </c>
      <c r="AI847" s="10" t="n">
        <v>5107</v>
      </c>
      <c r="AJ847" s="11" t="n">
        <v>72460</v>
      </c>
      <c r="AK847" s="12" t="n">
        <v>2896</v>
      </c>
      <c r="AL847" s="12" t="n">
        <v>4329</v>
      </c>
      <c r="AM847" s="13" t="n">
        <v>-1.9</v>
      </c>
      <c r="AN847" s="13" t="n">
        <v>-16.9</v>
      </c>
      <c r="AO847" s="13" t="n">
        <v>693.4</v>
      </c>
      <c r="AP847" s="13" t="n">
        <v>-46.2</v>
      </c>
    </row>
    <row r="848">
      <c r="A848" s="5" t="inlineStr">
        <is>
          <t>키움증권</t>
        </is>
      </c>
      <c r="B848" s="6" t="inlineStr">
        <is>
          <t>039490</t>
        </is>
      </c>
      <c r="C848" s="6" t="inlineStr">
        <is>
          <t>연결</t>
        </is>
      </c>
      <c r="D848" s="6" t="inlineStr">
        <is>
          <t>2026Q2</t>
        </is>
      </c>
      <c r="E848" s="6" t="inlineStr"/>
      <c r="F848" s="7" t="inlineStr"/>
      <c r="G848" s="8" t="inlineStr"/>
      <c r="H848" s="8" t="inlineStr"/>
      <c r="I848" s="9" t="n">
        <v>2643342</v>
      </c>
      <c r="J848" s="10" t="n">
        <v>337678</v>
      </c>
      <c r="K848" s="10" t="n">
        <v>244830</v>
      </c>
      <c r="L848" s="7" t="n">
        <v>2280528</v>
      </c>
      <c r="M848" s="8" t="n">
        <v>312328</v>
      </c>
      <c r="N848" s="8" t="n">
        <v>232144</v>
      </c>
      <c r="O848" s="9" t="n">
        <v>2714839</v>
      </c>
      <c r="P848" s="10" t="n">
        <v>267993</v>
      </c>
      <c r="Q848" s="10" t="n">
        <v>211643</v>
      </c>
      <c r="R848" s="7" t="n">
        <v>3641598</v>
      </c>
      <c r="S848" s="8" t="n">
        <v>180241</v>
      </c>
      <c r="T848" s="8" t="n">
        <v>146266</v>
      </c>
      <c r="U848" s="9" t="n">
        <v>3659953</v>
      </c>
      <c r="V848" s="10" t="n">
        <v>325456</v>
      </c>
      <c r="W848" s="10" t="n">
        <v>235600</v>
      </c>
      <c r="X848" s="7" t="n">
        <v>4505663</v>
      </c>
      <c r="Y848" s="8" t="n">
        <v>408297</v>
      </c>
      <c r="Z848" s="8" t="n">
        <v>310133</v>
      </c>
      <c r="AA848" s="9" t="n">
        <v>3369853</v>
      </c>
      <c r="AB848" s="10" t="n">
        <v>408881</v>
      </c>
      <c r="AC848" s="10" t="n">
        <v>322382</v>
      </c>
      <c r="AD848" s="7" t="n">
        <v>5586235</v>
      </c>
      <c r="AE848" s="8" t="n">
        <v>345606</v>
      </c>
      <c r="AF848" s="8" t="n">
        <v>246859</v>
      </c>
      <c r="AG848" s="9" t="n">
        <v>9395971</v>
      </c>
      <c r="AH848" s="10" t="n">
        <v>621221</v>
      </c>
      <c r="AI848" s="10" t="n">
        <v>477399</v>
      </c>
      <c r="AJ848" s="11" t="n">
        <v>16073176</v>
      </c>
      <c r="AK848" s="12" t="n">
        <v>788950</v>
      </c>
      <c r="AL848" s="12" t="n">
        <v>680567</v>
      </c>
      <c r="AM848" s="13" t="n">
        <v>71.09999999999999</v>
      </c>
      <c r="AN848" s="13" t="n">
        <v>256.7</v>
      </c>
      <c r="AO848" s="13" t="n">
        <v>27</v>
      </c>
      <c r="AP848" s="13" t="n">
        <v>93.2</v>
      </c>
    </row>
    <row r="849">
      <c r="A849" s="5" t="inlineStr">
        <is>
          <t>다산네트웍스</t>
        </is>
      </c>
      <c r="B849" s="6" t="inlineStr">
        <is>
          <t>039560</t>
        </is>
      </c>
      <c r="C849" s="6" t="inlineStr">
        <is>
          <t>연결</t>
        </is>
      </c>
      <c r="D849" s="6" t="inlineStr">
        <is>
          <t>2026Q2</t>
        </is>
      </c>
      <c r="E849" s="6" t="inlineStr"/>
      <c r="F849" s="7" t="inlineStr"/>
      <c r="G849" s="8" t="inlineStr"/>
      <c r="H849" s="8" t="inlineStr"/>
      <c r="I849" s="9" t="n">
        <v>31748</v>
      </c>
      <c r="J849" s="10" t="n">
        <v>450</v>
      </c>
      <c r="K849" s="10" t="n">
        <v>-4362</v>
      </c>
      <c r="L849" s="7" t="n">
        <v>99181</v>
      </c>
      <c r="M849" s="8" t="n">
        <v>-8547</v>
      </c>
      <c r="N849" s="8" t="n">
        <v>-2664</v>
      </c>
      <c r="O849" s="9" t="n">
        <v>108531</v>
      </c>
      <c r="P849" s="10" t="n">
        <v>4148</v>
      </c>
      <c r="Q849" s="10" t="n">
        <v>-1154</v>
      </c>
      <c r="R849" s="7" t="n">
        <v>98151</v>
      </c>
      <c r="S849" s="8" t="n">
        <v>-4332</v>
      </c>
      <c r="T849" s="8" t="n">
        <v>-14030</v>
      </c>
      <c r="U849" s="9" t="n">
        <v>114959</v>
      </c>
      <c r="V849" s="10" t="n">
        <v>8078</v>
      </c>
      <c r="W849" s="10" t="n">
        <v>8546</v>
      </c>
      <c r="X849" s="7" t="n">
        <v>134323</v>
      </c>
      <c r="Y849" s="8" t="n">
        <v>11813</v>
      </c>
      <c r="Z849" s="8" t="n">
        <v>18283</v>
      </c>
      <c r="AA849" s="9" t="n">
        <v>136062</v>
      </c>
      <c r="AB849" s="10" t="n">
        <v>12633</v>
      </c>
      <c r="AC849" s="10" t="n">
        <v>10838</v>
      </c>
      <c r="AD849" s="7" t="n">
        <v>156434</v>
      </c>
      <c r="AE849" s="8" t="n">
        <v>5955</v>
      </c>
      <c r="AF849" s="8" t="n">
        <v>-33476</v>
      </c>
      <c r="AG849" s="9" t="n">
        <v>120393</v>
      </c>
      <c r="AH849" s="10" t="n">
        <v>8947</v>
      </c>
      <c r="AI849" s="10" t="n">
        <v>8448</v>
      </c>
      <c r="AJ849" s="11" t="n">
        <v>159155</v>
      </c>
      <c r="AK849" s="12" t="n">
        <v>16330</v>
      </c>
      <c r="AL849" s="12" t="n">
        <v>9060</v>
      </c>
      <c r="AM849" s="13" t="n">
        <v>32.2</v>
      </c>
      <c r="AN849" s="13" t="n">
        <v>18.5</v>
      </c>
      <c r="AO849" s="13" t="n">
        <v>82.5</v>
      </c>
      <c r="AP849" s="13" t="n">
        <v>38.2</v>
      </c>
    </row>
    <row r="850">
      <c r="A850" s="5" t="inlineStr">
        <is>
          <t>HDC랩스</t>
        </is>
      </c>
      <c r="B850" s="6" t="inlineStr">
        <is>
          <t>039570</t>
        </is>
      </c>
      <c r="C850" s="6" t="inlineStr">
        <is>
          <t>연결</t>
        </is>
      </c>
      <c r="D850" s="6" t="inlineStr">
        <is>
          <t>2026Q2</t>
        </is>
      </c>
      <c r="E850" s="6" t="inlineStr">
        <is>
          <t>2023Q4</t>
        </is>
      </c>
      <c r="F850" s="14" t="n">
        <v>176553</v>
      </c>
      <c r="G850" s="15" t="n">
        <v>5236</v>
      </c>
      <c r="H850" s="15" t="n">
        <v>4817</v>
      </c>
      <c r="I850" s="9" t="n">
        <v>133578</v>
      </c>
      <c r="J850" s="10" t="n">
        <v>120</v>
      </c>
      <c r="K850" s="10" t="n">
        <v>1763</v>
      </c>
      <c r="L850" s="7" t="n">
        <v>154567</v>
      </c>
      <c r="M850" s="8" t="n">
        <v>2027</v>
      </c>
      <c r="N850" s="8" t="n">
        <v>2827</v>
      </c>
      <c r="O850" s="9" t="n">
        <v>157173</v>
      </c>
      <c r="P850" s="10" t="n">
        <v>329</v>
      </c>
      <c r="Q850" s="10" t="n">
        <v>2528</v>
      </c>
      <c r="R850" s="7" t="n">
        <v>183490</v>
      </c>
      <c r="S850" s="8" t="n">
        <v>3926</v>
      </c>
      <c r="T850" s="8" t="n">
        <v>11858</v>
      </c>
      <c r="U850" s="9" t="n">
        <v>162555</v>
      </c>
      <c r="V850" s="10" t="n">
        <v>2968</v>
      </c>
      <c r="W850" s="10" t="n">
        <v>2621</v>
      </c>
      <c r="X850" s="7" t="n">
        <v>169402</v>
      </c>
      <c r="Y850" s="8" t="n">
        <v>3678</v>
      </c>
      <c r="Z850" s="8" t="n">
        <v>4188</v>
      </c>
      <c r="AA850" s="9" t="n">
        <v>155302</v>
      </c>
      <c r="AB850" s="10" t="n">
        <v>2195</v>
      </c>
      <c r="AC850" s="10" t="n">
        <v>2523</v>
      </c>
      <c r="AD850" s="7" t="n">
        <v>158469</v>
      </c>
      <c r="AE850" s="8" t="n">
        <v>1796</v>
      </c>
      <c r="AF850" s="8" t="n">
        <v>2931</v>
      </c>
      <c r="AG850" s="9" t="n">
        <v>148121</v>
      </c>
      <c r="AH850" s="10" t="n">
        <v>7190</v>
      </c>
      <c r="AI850" s="10" t="n">
        <v>6768</v>
      </c>
      <c r="AJ850" s="11" t="n">
        <v>153733</v>
      </c>
      <c r="AK850" s="12" t="n">
        <v>5706</v>
      </c>
      <c r="AL850" s="12" t="n">
        <v>6915</v>
      </c>
      <c r="AM850" s="13" t="n">
        <v>3.8</v>
      </c>
      <c r="AN850" s="13" t="n">
        <v>-9.199999999999999</v>
      </c>
      <c r="AO850" s="13" t="n">
        <v>-20.6</v>
      </c>
      <c r="AP850" s="13" t="n">
        <v>55.1</v>
      </c>
    </row>
    <row r="851">
      <c r="A851" s="5" t="inlineStr">
        <is>
          <t>화성밸브</t>
        </is>
      </c>
      <c r="B851" s="6" t="inlineStr">
        <is>
          <t>039610</t>
        </is>
      </c>
      <c r="C851" s="6" t="inlineStr">
        <is>
          <t>연결</t>
        </is>
      </c>
      <c r="D851" s="6" t="inlineStr">
        <is>
          <t>2026Q2</t>
        </is>
      </c>
      <c r="E851" s="6" t="inlineStr"/>
      <c r="F851" s="7" t="inlineStr"/>
      <c r="G851" s="8" t="inlineStr"/>
      <c r="H851" s="8" t="inlineStr"/>
      <c r="I851" s="9" t="n">
        <v>22149</v>
      </c>
      <c r="J851" s="10" t="n">
        <v>2223</v>
      </c>
      <c r="K851" s="10" t="n">
        <v>1745</v>
      </c>
      <c r="L851" s="7" t="n">
        <v>24636</v>
      </c>
      <c r="M851" s="8" t="n">
        <v>2428</v>
      </c>
      <c r="N851" s="8" t="n">
        <v>1689</v>
      </c>
      <c r="O851" s="9" t="n">
        <v>18965</v>
      </c>
      <c r="P851" s="10" t="n">
        <v>694</v>
      </c>
      <c r="Q851" s="10" t="n">
        <v>698</v>
      </c>
      <c r="R851" s="7" t="n">
        <v>25514</v>
      </c>
      <c r="S851" s="8" t="n">
        <v>2618</v>
      </c>
      <c r="T851" s="8" t="n">
        <v>2971</v>
      </c>
      <c r="U851" s="9" t="n">
        <v>18868</v>
      </c>
      <c r="V851" s="10" t="n">
        <v>995</v>
      </c>
      <c r="W851" s="10" t="n">
        <v>746</v>
      </c>
      <c r="X851" s="7" t="n">
        <v>21766</v>
      </c>
      <c r="Y851" s="8" t="n">
        <v>394</v>
      </c>
      <c r="Z851" s="8" t="n">
        <v>131</v>
      </c>
      <c r="AA851" s="9" t="n">
        <v>18282</v>
      </c>
      <c r="AB851" s="10" t="n">
        <v>-823</v>
      </c>
      <c r="AC851" s="10" t="n">
        <v>-697</v>
      </c>
      <c r="AD851" s="7" t="n">
        <v>22533</v>
      </c>
      <c r="AE851" s="8" t="n">
        <v>-2214</v>
      </c>
      <c r="AF851" s="8" t="n">
        <v>-2146</v>
      </c>
      <c r="AG851" s="9" t="n">
        <v>20004</v>
      </c>
      <c r="AH851" s="10" t="n">
        <v>794</v>
      </c>
      <c r="AI851" s="10" t="n">
        <v>360</v>
      </c>
      <c r="AJ851" s="11" t="n">
        <v>25583</v>
      </c>
      <c r="AK851" s="12" t="n">
        <v>759</v>
      </c>
      <c r="AL851" s="12" t="n">
        <v>2504</v>
      </c>
      <c r="AM851" s="13" t="n">
        <v>27.9</v>
      </c>
      <c r="AN851" s="13" t="n">
        <v>17.5</v>
      </c>
      <c r="AO851" s="13" t="n">
        <v>-4.4</v>
      </c>
      <c r="AP851" s="13" t="n">
        <v>92.59999999999999</v>
      </c>
    </row>
    <row r="852">
      <c r="A852" s="5" t="inlineStr">
        <is>
          <t>한국정보공학</t>
        </is>
      </c>
      <c r="B852" s="6" t="inlineStr">
        <is>
          <t>039740</t>
        </is>
      </c>
      <c r="C852" s="6" t="inlineStr">
        <is>
          <t>연결</t>
        </is>
      </c>
      <c r="D852" s="6" t="inlineStr">
        <is>
          <t>2026Q2</t>
        </is>
      </c>
      <c r="E852" s="6" t="inlineStr"/>
      <c r="F852" s="7" t="inlineStr"/>
      <c r="G852" s="8" t="inlineStr"/>
      <c r="H852" s="8" t="inlineStr"/>
      <c r="I852" s="9" t="n">
        <v>27647</v>
      </c>
      <c r="J852" s="10" t="n">
        <v>201</v>
      </c>
      <c r="K852" s="10" t="n">
        <v>-342</v>
      </c>
      <c r="L852" s="7" t="n">
        <v>56604</v>
      </c>
      <c r="M852" s="8" t="n">
        <v>354</v>
      </c>
      <c r="N852" s="8" t="n">
        <v>-42</v>
      </c>
      <c r="O852" s="9" t="n">
        <v>24948</v>
      </c>
      <c r="P852" s="10" t="n">
        <v>24</v>
      </c>
      <c r="Q852" s="10" t="n">
        <v>53</v>
      </c>
      <c r="R852" s="7" t="n">
        <v>84899</v>
      </c>
      <c r="S852" s="8" t="n">
        <v>38</v>
      </c>
      <c r="T852" s="8" t="n">
        <v>3650</v>
      </c>
      <c r="U852" s="9" t="n">
        <v>46294</v>
      </c>
      <c r="V852" s="10" t="n">
        <v>212</v>
      </c>
      <c r="W852" s="10" t="n">
        <v>-363</v>
      </c>
      <c r="X852" s="7" t="n">
        <v>36815</v>
      </c>
      <c r="Y852" s="8" t="n">
        <v>350</v>
      </c>
      <c r="Z852" s="8" t="n">
        <v>-5</v>
      </c>
      <c r="AA852" s="9" t="n">
        <v>38226</v>
      </c>
      <c r="AB852" s="10" t="n">
        <v>36</v>
      </c>
      <c r="AC852" s="10" t="n">
        <v>-65</v>
      </c>
      <c r="AD852" s="7" t="n">
        <v>24951</v>
      </c>
      <c r="AE852" s="8" t="n">
        <v>-178</v>
      </c>
      <c r="AF852" s="8" t="n">
        <v>2187</v>
      </c>
      <c r="AG852" s="9" t="n">
        <v>170730</v>
      </c>
      <c r="AH852" s="10" t="n">
        <v>1072</v>
      </c>
      <c r="AI852" s="10" t="n">
        <v>588</v>
      </c>
      <c r="AJ852" s="11" t="n">
        <v>62913</v>
      </c>
      <c r="AK852" s="12" t="n">
        <v>454</v>
      </c>
      <c r="AL852" s="12" t="n">
        <v>976</v>
      </c>
      <c r="AM852" s="13" t="n">
        <v>-63.2</v>
      </c>
      <c r="AN852" s="13" t="n">
        <v>70.90000000000001</v>
      </c>
      <c r="AO852" s="13" t="n">
        <v>-57.6</v>
      </c>
      <c r="AP852" s="13" t="n">
        <v>29.7</v>
      </c>
    </row>
    <row r="853">
      <c r="A853" s="5" t="inlineStr">
        <is>
          <t>오로라</t>
        </is>
      </c>
      <c r="B853" s="6" t="inlineStr">
        <is>
          <t>039830</t>
        </is>
      </c>
      <c r="C853" s="6" t="inlineStr">
        <is>
          <t>연결</t>
        </is>
      </c>
      <c r="D853" s="6" t="inlineStr">
        <is>
          <t>2026Q2</t>
        </is>
      </c>
      <c r="E853" s="6" t="inlineStr"/>
      <c r="F853" s="7" t="inlineStr"/>
      <c r="G853" s="8" t="inlineStr"/>
      <c r="H853" s="8" t="inlineStr"/>
      <c r="I853" s="9" t="n">
        <v>60808</v>
      </c>
      <c r="J853" s="10" t="n">
        <v>6936</v>
      </c>
      <c r="K853" s="10" t="n">
        <v>2857</v>
      </c>
      <c r="L853" s="7" t="n">
        <v>60922</v>
      </c>
      <c r="M853" s="8" t="n">
        <v>4699</v>
      </c>
      <c r="N853" s="8" t="n">
        <v>-1773</v>
      </c>
      <c r="O853" s="9" t="n">
        <v>81727</v>
      </c>
      <c r="P853" s="10" t="n">
        <v>13241</v>
      </c>
      <c r="Q853" s="10" t="n">
        <v>6480</v>
      </c>
      <c r="R853" s="7" t="n">
        <v>72239</v>
      </c>
      <c r="S853" s="8" t="n">
        <v>6096</v>
      </c>
      <c r="T853" s="8" t="n">
        <v>-3404</v>
      </c>
      <c r="U853" s="9" t="n">
        <v>79747</v>
      </c>
      <c r="V853" s="10" t="n">
        <v>9726</v>
      </c>
      <c r="W853" s="10" t="n">
        <v>3948</v>
      </c>
      <c r="X853" s="7" t="n">
        <v>77053</v>
      </c>
      <c r="Y853" s="8" t="n">
        <v>8774</v>
      </c>
      <c r="Z853" s="8" t="n">
        <v>6837</v>
      </c>
      <c r="AA853" s="9" t="n">
        <v>87852</v>
      </c>
      <c r="AB853" s="10" t="n">
        <v>16654</v>
      </c>
      <c r="AC853" s="10" t="n">
        <v>8661</v>
      </c>
      <c r="AD853" s="7" t="n">
        <v>83428</v>
      </c>
      <c r="AE853" s="8" t="n">
        <v>9326</v>
      </c>
      <c r="AF853" s="8" t="n">
        <v>1573</v>
      </c>
      <c r="AG853" s="9" t="n">
        <v>97455</v>
      </c>
      <c r="AH853" s="10" t="n">
        <v>14193</v>
      </c>
      <c r="AI853" s="10" t="n">
        <v>7299</v>
      </c>
      <c r="AJ853" s="11" t="n">
        <v>91165</v>
      </c>
      <c r="AK853" s="12" t="n">
        <v>12177</v>
      </c>
      <c r="AL853" s="12" t="n">
        <v>10488</v>
      </c>
      <c r="AM853" s="13" t="n">
        <v>-6.5</v>
      </c>
      <c r="AN853" s="13" t="n">
        <v>18.3</v>
      </c>
      <c r="AO853" s="13" t="n">
        <v>-14.2</v>
      </c>
      <c r="AP853" s="13" t="n">
        <v>38.8</v>
      </c>
    </row>
    <row r="854">
      <c r="A854" s="5" t="inlineStr">
        <is>
          <t>디오</t>
        </is>
      </c>
      <c r="B854" s="6" t="inlineStr">
        <is>
          <t>039840</t>
        </is>
      </c>
      <c r="C854" s="6" t="inlineStr">
        <is>
          <t>연결</t>
        </is>
      </c>
      <c r="D854" s="6" t="inlineStr">
        <is>
          <t>2026Q2</t>
        </is>
      </c>
      <c r="E854" s="6" t="inlineStr"/>
      <c r="F854" s="7" t="inlineStr"/>
      <c r="G854" s="8" t="inlineStr"/>
      <c r="H854" s="8" t="inlineStr"/>
      <c r="I854" s="9" t="n">
        <v>34964</v>
      </c>
      <c r="J854" s="10" t="n">
        <v>5643</v>
      </c>
      <c r="K854" s="10" t="n">
        <v>4206</v>
      </c>
      <c r="L854" s="7" t="n">
        <v>15540</v>
      </c>
      <c r="M854" s="8" t="n">
        <v>-47147</v>
      </c>
      <c r="N854" s="8" t="n">
        <v>-47342</v>
      </c>
      <c r="O854" s="9" t="n">
        <v>31346</v>
      </c>
      <c r="P854" s="10" t="n">
        <v>421</v>
      </c>
      <c r="Q854" s="10" t="n">
        <v>-7156</v>
      </c>
      <c r="R854" s="7" t="n">
        <v>37800</v>
      </c>
      <c r="S854" s="8" t="n">
        <v>348</v>
      </c>
      <c r="T854" s="8" t="n">
        <v>8972</v>
      </c>
      <c r="U854" s="9" t="n">
        <v>35805</v>
      </c>
      <c r="V854" s="10" t="n">
        <v>1518</v>
      </c>
      <c r="W854" s="10" t="n">
        <v>116</v>
      </c>
      <c r="X854" s="7" t="n">
        <v>40099</v>
      </c>
      <c r="Y854" s="8" t="n">
        <v>3020</v>
      </c>
      <c r="Z854" s="8" t="n">
        <v>-8920</v>
      </c>
      <c r="AA854" s="9" t="n">
        <v>41449</v>
      </c>
      <c r="AB854" s="10" t="n">
        <v>4155</v>
      </c>
      <c r="AC854" s="10" t="n">
        <v>5917</v>
      </c>
      <c r="AD854" s="7" t="n">
        <v>46725</v>
      </c>
      <c r="AE854" s="8" t="n">
        <v>1412</v>
      </c>
      <c r="AF854" s="8" t="n">
        <v>1524</v>
      </c>
      <c r="AG854" s="9" t="n">
        <v>41323</v>
      </c>
      <c r="AH854" s="10" t="n">
        <v>4136</v>
      </c>
      <c r="AI854" s="10" t="n">
        <v>9629</v>
      </c>
      <c r="AJ854" s="11" t="n">
        <v>44950</v>
      </c>
      <c r="AK854" s="12" t="n">
        <v>4408</v>
      </c>
      <c r="AL854" s="12" t="n">
        <v>5034</v>
      </c>
      <c r="AM854" s="13" t="n">
        <v>8.800000000000001</v>
      </c>
      <c r="AN854" s="13" t="n">
        <v>12.1</v>
      </c>
      <c r="AO854" s="13" t="n">
        <v>6.6</v>
      </c>
      <c r="AP854" s="13" t="n">
        <v>46</v>
      </c>
    </row>
    <row r="855">
      <c r="A855" s="5" t="inlineStr">
        <is>
          <t>나노엔텍</t>
        </is>
      </c>
      <c r="B855" s="6" t="inlineStr">
        <is>
          <t>039860</t>
        </is>
      </c>
      <c r="C855" s="6" t="inlineStr">
        <is>
          <t>연결</t>
        </is>
      </c>
      <c r="D855" s="6" t="inlineStr">
        <is>
          <t>2026Q2</t>
        </is>
      </c>
      <c r="E855" s="6" t="inlineStr"/>
      <c r="F855" s="7" t="inlineStr"/>
      <c r="G855" s="8" t="inlineStr"/>
      <c r="H855" s="8" t="inlineStr"/>
      <c r="I855" s="9" t="n">
        <v>6586</v>
      </c>
      <c r="J855" s="10" t="n">
        <v>-83</v>
      </c>
      <c r="K855" s="10" t="n">
        <v>562</v>
      </c>
      <c r="L855" s="7" t="n">
        <v>6715</v>
      </c>
      <c r="M855" s="8" t="n">
        <v>16</v>
      </c>
      <c r="N855" s="8" t="n">
        <v>536</v>
      </c>
      <c r="O855" s="9" t="n">
        <v>7912</v>
      </c>
      <c r="P855" s="10" t="n">
        <v>231</v>
      </c>
      <c r="Q855" s="10" t="n">
        <v>-276</v>
      </c>
      <c r="R855" s="7" t="n">
        <v>9251</v>
      </c>
      <c r="S855" s="8" t="n">
        <v>457</v>
      </c>
      <c r="T855" s="8" t="n">
        <v>2764</v>
      </c>
      <c r="U855" s="9" t="n">
        <v>7964</v>
      </c>
      <c r="V855" s="10" t="n">
        <v>82</v>
      </c>
      <c r="W855" s="10" t="n">
        <v>374</v>
      </c>
      <c r="X855" s="7" t="n">
        <v>8971</v>
      </c>
      <c r="Y855" s="8" t="n">
        <v>176</v>
      </c>
      <c r="Z855" s="8" t="n">
        <v>-1091</v>
      </c>
      <c r="AA855" s="9" t="n">
        <v>8551</v>
      </c>
      <c r="AB855" s="10" t="n">
        <v>-65</v>
      </c>
      <c r="AC855" s="10" t="n">
        <v>633</v>
      </c>
      <c r="AD855" s="7" t="n">
        <v>12644</v>
      </c>
      <c r="AE855" s="8" t="n">
        <v>909</v>
      </c>
      <c r="AF855" s="8" t="n">
        <v>1664</v>
      </c>
      <c r="AG855" s="9" t="n">
        <v>10491</v>
      </c>
      <c r="AH855" s="10" t="n">
        <v>149</v>
      </c>
      <c r="AI855" s="10" t="n">
        <v>1447</v>
      </c>
      <c r="AJ855" s="11" t="n">
        <v>12508</v>
      </c>
      <c r="AK855" s="12" t="n">
        <v>687</v>
      </c>
      <c r="AL855" s="12" t="n">
        <v>2118</v>
      </c>
      <c r="AM855" s="13" t="n">
        <v>19.2</v>
      </c>
      <c r="AN855" s="13" t="n">
        <v>39.4</v>
      </c>
      <c r="AO855" s="13" t="n">
        <v>361.1</v>
      </c>
      <c r="AP855" s="13" t="n">
        <v>290.3</v>
      </c>
    </row>
    <row r="856">
      <c r="A856" s="5" t="inlineStr">
        <is>
          <t>폴라리스AI</t>
        </is>
      </c>
      <c r="B856" s="6" t="inlineStr">
        <is>
          <t>039980</t>
        </is>
      </c>
      <c r="C856" s="6" t="inlineStr">
        <is>
          <t>별도</t>
        </is>
      </c>
      <c r="D856" s="6" t="inlineStr">
        <is>
          <t>2026Q2</t>
        </is>
      </c>
      <c r="E856" s="6" t="inlineStr"/>
      <c r="F856" s="7" t="inlineStr"/>
      <c r="G856" s="8" t="inlineStr"/>
      <c r="H856" s="8" t="inlineStr"/>
      <c r="I856" s="9" t="n">
        <v>12409</v>
      </c>
      <c r="J856" s="10" t="n">
        <v>-372</v>
      </c>
      <c r="K856" s="10" t="n">
        <v>-2846</v>
      </c>
      <c r="L856" s="7" t="n">
        <v>12240</v>
      </c>
      <c r="M856" s="8" t="n">
        <v>-199</v>
      </c>
      <c r="N856" s="8" t="n">
        <v>-135</v>
      </c>
      <c r="O856" s="9" t="n">
        <v>13153</v>
      </c>
      <c r="P856" s="10" t="n">
        <v>53</v>
      </c>
      <c r="Q856" s="10" t="n">
        <v>2673</v>
      </c>
      <c r="R856" s="7" t="n">
        <v>15267</v>
      </c>
      <c r="S856" s="8" t="n">
        <v>-793</v>
      </c>
      <c r="T856" s="8" t="n">
        <v>1423</v>
      </c>
      <c r="U856" s="9" t="n">
        <v>11099</v>
      </c>
      <c r="V856" s="10" t="n">
        <v>-428</v>
      </c>
      <c r="W856" s="10" t="n">
        <v>105</v>
      </c>
      <c r="X856" s="7" t="n">
        <v>11328</v>
      </c>
      <c r="Y856" s="8" t="n">
        <v>-338</v>
      </c>
      <c r="Z856" s="8" t="n">
        <v>2162</v>
      </c>
      <c r="AA856" s="9" t="n">
        <v>11427</v>
      </c>
      <c r="AB856" s="10" t="n">
        <v>-635</v>
      </c>
      <c r="AC856" s="10" t="n">
        <v>-205</v>
      </c>
      <c r="AD856" s="7" t="n">
        <v>9782</v>
      </c>
      <c r="AE856" s="8" t="n">
        <v>-3289</v>
      </c>
      <c r="AF856" s="8" t="n">
        <v>-2845</v>
      </c>
      <c r="AG856" s="9" t="n">
        <v>10341</v>
      </c>
      <c r="AH856" s="10" t="n">
        <v>345</v>
      </c>
      <c r="AI856" s="10" t="n">
        <v>19</v>
      </c>
      <c r="AJ856" s="11" t="n">
        <v>11063</v>
      </c>
      <c r="AK856" s="12" t="n">
        <v>499</v>
      </c>
      <c r="AL856" s="12" t="n">
        <v>-783</v>
      </c>
      <c r="AM856" s="13" t="n">
        <v>7</v>
      </c>
      <c r="AN856" s="13" t="n">
        <v>-2.3</v>
      </c>
      <c r="AO856" s="13" t="n">
        <v>44.6</v>
      </c>
      <c r="AP856" s="13" t="n">
        <v>247.6</v>
      </c>
    </row>
    <row r="857">
      <c r="A857" s="5" t="inlineStr">
        <is>
          <t>누리플렉스</t>
        </is>
      </c>
      <c r="B857" s="6" t="inlineStr">
        <is>
          <t>040160</t>
        </is>
      </c>
      <c r="C857" s="6" t="inlineStr">
        <is>
          <t>연결</t>
        </is>
      </c>
      <c r="D857" s="6" t="inlineStr">
        <is>
          <t>2026Q2</t>
        </is>
      </c>
      <c r="E857" s="6" t="inlineStr"/>
      <c r="F857" s="7" t="inlineStr"/>
      <c r="G857" s="8" t="inlineStr"/>
      <c r="H857" s="8" t="inlineStr"/>
      <c r="I857" s="9" t="n">
        <v>14718</v>
      </c>
      <c r="J857" s="10" t="n">
        <v>-3263</v>
      </c>
      <c r="K857" s="10" t="n">
        <v>-2592</v>
      </c>
      <c r="L857" s="7" t="n">
        <v>30281</v>
      </c>
      <c r="M857" s="8" t="n">
        <v>-3993</v>
      </c>
      <c r="N857" s="8" t="n">
        <v>-3470</v>
      </c>
      <c r="O857" s="9" t="n">
        <v>61844</v>
      </c>
      <c r="P857" s="10" t="n">
        <v>4777</v>
      </c>
      <c r="Q857" s="10" t="n">
        <v>3560</v>
      </c>
      <c r="R857" s="7" t="n">
        <v>22471</v>
      </c>
      <c r="S857" s="8" t="n">
        <v>-5674</v>
      </c>
      <c r="T857" s="8" t="n">
        <v>-1903</v>
      </c>
      <c r="U857" s="9" t="n">
        <v>18733</v>
      </c>
      <c r="V857" s="10" t="n">
        <v>300</v>
      </c>
      <c r="W857" s="10" t="n">
        <v>-393</v>
      </c>
      <c r="X857" s="7" t="n">
        <v>20373</v>
      </c>
      <c r="Y857" s="8" t="n">
        <v>-903</v>
      </c>
      <c r="Z857" s="8" t="n">
        <v>-4737</v>
      </c>
      <c r="AA857" s="9" t="n">
        <v>22088</v>
      </c>
      <c r="AB857" s="10" t="n">
        <v>-2418</v>
      </c>
      <c r="AC857" s="10" t="n">
        <v>-312</v>
      </c>
      <c r="AD857" s="7" t="n">
        <v>40377</v>
      </c>
      <c r="AE857" s="8" t="n">
        <v>-3066</v>
      </c>
      <c r="AF857" s="8" t="n">
        <v>-1224</v>
      </c>
      <c r="AG857" s="9" t="n">
        <v>15016</v>
      </c>
      <c r="AH857" s="10" t="n">
        <v>-3227</v>
      </c>
      <c r="AI857" s="10" t="n">
        <v>584</v>
      </c>
      <c r="AJ857" s="11" t="n">
        <v>25251</v>
      </c>
      <c r="AK857" s="12" t="n">
        <v>-89</v>
      </c>
      <c r="AL857" s="12" t="n">
        <v>4907</v>
      </c>
      <c r="AM857" s="13" t="n">
        <v>68.2</v>
      </c>
      <c r="AN857" s="13" t="n">
        <v>23.9</v>
      </c>
      <c r="AO857" s="13" t="n">
        <v>97.2</v>
      </c>
      <c r="AP857" s="13" t="n">
        <v>90.09999999999999</v>
      </c>
    </row>
    <row r="858">
      <c r="A858" s="5" t="inlineStr">
        <is>
          <t>YTN</t>
        </is>
      </c>
      <c r="B858" s="6" t="inlineStr">
        <is>
          <t>040300</t>
        </is>
      </c>
      <c r="C858" s="6" t="inlineStr">
        <is>
          <t>별도</t>
        </is>
      </c>
      <c r="D858" s="6" t="inlineStr">
        <is>
          <t>2026Q2</t>
        </is>
      </c>
      <c r="E858" s="6" t="inlineStr"/>
      <c r="F858" s="7" t="inlineStr"/>
      <c r="G858" s="8" t="inlineStr"/>
      <c r="H858" s="8" t="inlineStr"/>
      <c r="I858" s="9" t="n">
        <v>25185</v>
      </c>
      <c r="J858" s="10" t="n">
        <v>-11563</v>
      </c>
      <c r="K858" s="10" t="n">
        <v>-10330</v>
      </c>
      <c r="L858" s="7" t="n">
        <v>32515</v>
      </c>
      <c r="M858" s="8" t="n">
        <v>-1945</v>
      </c>
      <c r="N858" s="8" t="n">
        <v>-168</v>
      </c>
      <c r="O858" s="9" t="n">
        <v>31173</v>
      </c>
      <c r="P858" s="10" t="n">
        <v>-17377</v>
      </c>
      <c r="Q858" s="10" t="n">
        <v>-15891</v>
      </c>
      <c r="R858" s="7" t="n">
        <v>42305</v>
      </c>
      <c r="S858" s="8" t="n">
        <v>4210</v>
      </c>
      <c r="T858" s="8" t="n">
        <v>7775</v>
      </c>
      <c r="U858" s="9" t="n">
        <v>25813</v>
      </c>
      <c r="V858" s="10" t="n">
        <v>-9773</v>
      </c>
      <c r="W858" s="10" t="n">
        <v>-6877</v>
      </c>
      <c r="X858" s="7" t="n">
        <v>32698</v>
      </c>
      <c r="Y858" s="8" t="n">
        <v>-2855</v>
      </c>
      <c r="Z858" s="8" t="n">
        <v>-3858</v>
      </c>
      <c r="AA858" s="9" t="n">
        <v>32123</v>
      </c>
      <c r="AB858" s="10" t="n">
        <v>-2039</v>
      </c>
      <c r="AC858" s="10" t="n">
        <v>-2911</v>
      </c>
      <c r="AD858" s="7" t="n">
        <v>43559</v>
      </c>
      <c r="AE858" s="8" t="n">
        <v>1065</v>
      </c>
      <c r="AF858" s="8" t="n">
        <v>-542</v>
      </c>
      <c r="AG858" s="9" t="n">
        <v>26851</v>
      </c>
      <c r="AH858" s="10" t="n">
        <v>-7052</v>
      </c>
      <c r="AI858" s="10" t="n">
        <v>-5638</v>
      </c>
      <c r="AJ858" s="11" t="n">
        <v>32872</v>
      </c>
      <c r="AK858" s="12" t="n">
        <v>-826</v>
      </c>
      <c r="AL858" s="12" t="n">
        <v>558</v>
      </c>
      <c r="AM858" s="13" t="n">
        <v>22.4</v>
      </c>
      <c r="AN858" s="13" t="n">
        <v>0.5</v>
      </c>
      <c r="AO858" s="13" t="n">
        <v>88.3</v>
      </c>
      <c r="AP858" s="13" t="n">
        <v>71.09999999999999</v>
      </c>
    </row>
    <row r="859">
      <c r="A859" s="5" t="inlineStr">
        <is>
          <t>크레오에스지</t>
        </is>
      </c>
      <c r="B859" s="6" t="inlineStr">
        <is>
          <t>040350</t>
        </is>
      </c>
      <c r="C859" s="6" t="inlineStr">
        <is>
          <t>연결</t>
        </is>
      </c>
      <c r="D859" s="6" t="inlineStr">
        <is>
          <t>2026Q2</t>
        </is>
      </c>
      <c r="E859" s="6" t="inlineStr"/>
      <c r="F859" s="7" t="inlineStr"/>
      <c r="G859" s="8" t="inlineStr"/>
      <c r="H859" s="8" t="inlineStr"/>
      <c r="I859" s="9" t="n">
        <v>1892</v>
      </c>
      <c r="J859" s="10" t="n">
        <v>-1493</v>
      </c>
      <c r="K859" s="10" t="n">
        <v>-2439</v>
      </c>
      <c r="L859" s="7" t="n">
        <v>2103</v>
      </c>
      <c r="M859" s="8" t="n">
        <v>-1271</v>
      </c>
      <c r="N859" s="8" t="n">
        <v>-625</v>
      </c>
      <c r="O859" s="9" t="n">
        <v>2116</v>
      </c>
      <c r="P859" s="10" t="n">
        <v>-1787</v>
      </c>
      <c r="Q859" s="10" t="n">
        <v>-2958</v>
      </c>
      <c r="R859" s="7" t="n">
        <v>2046</v>
      </c>
      <c r="S859" s="8" t="n">
        <v>-1103</v>
      </c>
      <c r="T859" s="8" t="n">
        <v>-7857</v>
      </c>
      <c r="U859" s="9" t="n">
        <v>2017</v>
      </c>
      <c r="V859" s="10" t="n">
        <v>-2007</v>
      </c>
      <c r="W859" s="10" t="n">
        <v>-3016</v>
      </c>
      <c r="X859" s="7" t="n">
        <v>2745</v>
      </c>
      <c r="Y859" s="8" t="n">
        <v>-1545</v>
      </c>
      <c r="Z859" s="8" t="n">
        <v>-2478</v>
      </c>
      <c r="AA859" s="9" t="n">
        <v>2886</v>
      </c>
      <c r="AB859" s="10" t="n">
        <v>-922</v>
      </c>
      <c r="AC859" s="10" t="n">
        <v>-909</v>
      </c>
      <c r="AD859" s="7" t="n">
        <v>3213</v>
      </c>
      <c r="AE859" s="8" t="n">
        <v>-1935</v>
      </c>
      <c r="AF859" s="8" t="n">
        <v>-2147</v>
      </c>
      <c r="AG859" s="9" t="n">
        <v>2631</v>
      </c>
      <c r="AH859" s="10" t="n">
        <v>-812</v>
      </c>
      <c r="AI859" s="10" t="n">
        <v>-1904</v>
      </c>
      <c r="AJ859" s="11" t="n">
        <v>3181</v>
      </c>
      <c r="AK859" s="12" t="n">
        <v>-137</v>
      </c>
      <c r="AL859" s="12" t="n">
        <v>1784</v>
      </c>
      <c r="AM859" s="13" t="n">
        <v>20.9</v>
      </c>
      <c r="AN859" s="13" t="n">
        <v>15.9</v>
      </c>
      <c r="AO859" s="13" t="n">
        <v>83.09999999999999</v>
      </c>
      <c r="AP859" s="13" t="n">
        <v>91.09999999999999</v>
      </c>
    </row>
    <row r="860">
      <c r="A860" s="5" t="inlineStr">
        <is>
          <t>정상제이엘에스</t>
        </is>
      </c>
      <c r="B860" s="6" t="inlineStr">
        <is>
          <t>040420</t>
        </is>
      </c>
      <c r="C860" s="6" t="inlineStr">
        <is>
          <t>연결</t>
        </is>
      </c>
      <c r="D860" s="6" t="inlineStr">
        <is>
          <t>2026Q2</t>
        </is>
      </c>
      <c r="E860" s="6" t="inlineStr"/>
      <c r="F860" s="7" t="inlineStr"/>
      <c r="G860" s="8" t="inlineStr"/>
      <c r="H860" s="8" t="inlineStr"/>
      <c r="I860" s="9" t="n">
        <v>28314</v>
      </c>
      <c r="J860" s="10" t="n">
        <v>3743</v>
      </c>
      <c r="K860" s="10" t="n">
        <v>3101</v>
      </c>
      <c r="L860" s="7" t="n">
        <v>26007</v>
      </c>
      <c r="M860" s="8" t="n">
        <v>2766</v>
      </c>
      <c r="N860" s="8" t="n">
        <v>1653</v>
      </c>
      <c r="O860" s="9" t="n">
        <v>26694</v>
      </c>
      <c r="P860" s="10" t="n">
        <v>2597</v>
      </c>
      <c r="Q860" s="10" t="n">
        <v>2139</v>
      </c>
      <c r="R860" s="7" t="n">
        <v>24831</v>
      </c>
      <c r="S860" s="8" t="n">
        <v>1015</v>
      </c>
      <c r="T860" s="8" t="n">
        <v>713</v>
      </c>
      <c r="U860" s="9" t="n">
        <v>26807</v>
      </c>
      <c r="V860" s="10" t="n">
        <v>2980</v>
      </c>
      <c r="W860" s="10" t="n">
        <v>2614</v>
      </c>
      <c r="X860" s="7" t="n">
        <v>25219</v>
      </c>
      <c r="Y860" s="8" t="n">
        <v>2335</v>
      </c>
      <c r="Z860" s="8" t="n">
        <v>1825</v>
      </c>
      <c r="AA860" s="9" t="n">
        <v>26007</v>
      </c>
      <c r="AB860" s="10" t="n">
        <v>2564</v>
      </c>
      <c r="AC860" s="10" t="n">
        <v>2111</v>
      </c>
      <c r="AD860" s="7" t="n">
        <v>25018</v>
      </c>
      <c r="AE860" s="8" t="n">
        <v>1887</v>
      </c>
      <c r="AF860" s="8" t="n">
        <v>89</v>
      </c>
      <c r="AG860" s="9" t="n">
        <v>26475</v>
      </c>
      <c r="AH860" s="10" t="n">
        <v>3030</v>
      </c>
      <c r="AI860" s="10" t="n">
        <v>2370</v>
      </c>
      <c r="AJ860" s="11" t="n">
        <v>24891</v>
      </c>
      <c r="AK860" s="12" t="n">
        <v>2629</v>
      </c>
      <c r="AL860" s="12" t="n">
        <v>2845</v>
      </c>
      <c r="AM860" s="13" t="n">
        <v>-6</v>
      </c>
      <c r="AN860" s="13" t="n">
        <v>-1.3</v>
      </c>
      <c r="AO860" s="13" t="n">
        <v>-13.2</v>
      </c>
      <c r="AP860" s="13" t="n">
        <v>12.6</v>
      </c>
    </row>
    <row r="861">
      <c r="A861" s="5" t="inlineStr">
        <is>
          <t>SG&amp;G</t>
        </is>
      </c>
      <c r="B861" s="6" t="inlineStr">
        <is>
          <t>040610</t>
        </is>
      </c>
      <c r="C861" s="6" t="inlineStr">
        <is>
          <t>연결</t>
        </is>
      </c>
      <c r="D861" s="6" t="inlineStr">
        <is>
          <t>2026Q2</t>
        </is>
      </c>
      <c r="E861" s="6" t="inlineStr"/>
      <c r="F861" s="7" t="inlineStr"/>
      <c r="G861" s="8" t="inlineStr"/>
      <c r="H861" s="8" t="inlineStr"/>
      <c r="I861" s="9" t="n">
        <v>13432</v>
      </c>
      <c r="J861" s="10" t="n">
        <v>2202</v>
      </c>
      <c r="K861" s="10" t="n">
        <v>6394</v>
      </c>
      <c r="L861" s="7" t="n">
        <v>12646</v>
      </c>
      <c r="M861" s="8" t="n">
        <v>1587</v>
      </c>
      <c r="N861" s="8" t="n">
        <v>6068</v>
      </c>
      <c r="O861" s="9" t="n">
        <v>11359</v>
      </c>
      <c r="P861" s="10" t="n">
        <v>1224</v>
      </c>
      <c r="Q861" s="10" t="n">
        <v>4515</v>
      </c>
      <c r="R861" s="7" t="n">
        <v>13325</v>
      </c>
      <c r="S861" s="8" t="n">
        <v>1399</v>
      </c>
      <c r="T861" s="8" t="n">
        <v>-794</v>
      </c>
      <c r="U861" s="9" t="n">
        <v>11482</v>
      </c>
      <c r="V861" s="10" t="n">
        <v>987</v>
      </c>
      <c r="W861" s="10" t="n">
        <v>6912</v>
      </c>
      <c r="X861" s="7" t="n">
        <v>12474</v>
      </c>
      <c r="Y861" s="8" t="n">
        <v>863</v>
      </c>
      <c r="Z861" s="8" t="n">
        <v>2234</v>
      </c>
      <c r="AA861" s="9" t="n">
        <v>10617</v>
      </c>
      <c r="AB861" s="10" t="n">
        <v>814</v>
      </c>
      <c r="AC861" s="10" t="n">
        <v>17254</v>
      </c>
      <c r="AD861" s="7" t="n">
        <v>13124</v>
      </c>
      <c r="AE861" s="8" t="n">
        <v>1009</v>
      </c>
      <c r="AF861" s="8" t="n">
        <v>797</v>
      </c>
      <c r="AG861" s="9" t="n">
        <v>12468</v>
      </c>
      <c r="AH861" s="10" t="n">
        <v>1928</v>
      </c>
      <c r="AI861" s="10" t="n">
        <v>8876</v>
      </c>
      <c r="AJ861" s="11" t="n">
        <v>12825</v>
      </c>
      <c r="AK861" s="12" t="n">
        <v>1444</v>
      </c>
      <c r="AL861" s="12" t="n">
        <v>68406</v>
      </c>
      <c r="AM861" s="13" t="n">
        <v>2.9</v>
      </c>
      <c r="AN861" s="13" t="n">
        <v>2.8</v>
      </c>
      <c r="AO861" s="13" t="n">
        <v>-25.1</v>
      </c>
      <c r="AP861" s="13" t="n">
        <v>67.3</v>
      </c>
    </row>
    <row r="862">
      <c r="A862" s="5" t="inlineStr">
        <is>
          <t>아이씨디</t>
        </is>
      </c>
      <c r="B862" s="6" t="inlineStr">
        <is>
          <t>040910</t>
        </is>
      </c>
      <c r="C862" s="6" t="inlineStr">
        <is>
          <t>연결</t>
        </is>
      </c>
      <c r="D862" s="6" t="inlineStr">
        <is>
          <t>2026Q2</t>
        </is>
      </c>
      <c r="E862" s="6" t="inlineStr"/>
      <c r="F862" s="7" t="inlineStr"/>
      <c r="G862" s="8" t="inlineStr"/>
      <c r="H862" s="8" t="inlineStr"/>
      <c r="I862" s="9" t="n">
        <v>16931</v>
      </c>
      <c r="J862" s="10" t="n">
        <v>-6789</v>
      </c>
      <c r="K862" s="10" t="n">
        <v>-5113</v>
      </c>
      <c r="L862" s="7" t="n">
        <v>36472</v>
      </c>
      <c r="M862" s="8" t="n">
        <v>-7691</v>
      </c>
      <c r="N862" s="8" t="n">
        <v>-5159</v>
      </c>
      <c r="O862" s="9" t="n">
        <v>31966</v>
      </c>
      <c r="P862" s="10" t="n">
        <v>-3091</v>
      </c>
      <c r="Q862" s="10" t="n">
        <v>-838</v>
      </c>
      <c r="R862" s="7" t="n">
        <v>62247</v>
      </c>
      <c r="S862" s="8" t="n">
        <v>-9113</v>
      </c>
      <c r="T862" s="8" t="n">
        <v>-17192</v>
      </c>
      <c r="U862" s="9" t="n">
        <v>17452</v>
      </c>
      <c r="V862" s="10" t="n">
        <v>-6959</v>
      </c>
      <c r="W862" s="10" t="n">
        <v>-6956</v>
      </c>
      <c r="X862" s="7" t="n">
        <v>85735</v>
      </c>
      <c r="Y862" s="8" t="n">
        <v>7562</v>
      </c>
      <c r="Z862" s="8" t="n">
        <v>87</v>
      </c>
      <c r="AA862" s="9" t="n">
        <v>41891</v>
      </c>
      <c r="AB862" s="10" t="n">
        <v>-338</v>
      </c>
      <c r="AC862" s="10" t="n">
        <v>223</v>
      </c>
      <c r="AD862" s="7" t="n">
        <v>51963</v>
      </c>
      <c r="AE862" s="8" t="n">
        <v>4187</v>
      </c>
      <c r="AF862" s="8" t="n">
        <v>4663</v>
      </c>
      <c r="AG862" s="9" t="n">
        <v>22440</v>
      </c>
      <c r="AH862" s="10" t="n">
        <v>-5031</v>
      </c>
      <c r="AI862" s="10" t="n">
        <v>-3564</v>
      </c>
      <c r="AJ862" s="11" t="n">
        <v>29018</v>
      </c>
      <c r="AK862" s="12" t="n">
        <v>1766</v>
      </c>
      <c r="AL862" s="12" t="n">
        <v>4516</v>
      </c>
      <c r="AM862" s="13" t="n">
        <v>29.3</v>
      </c>
      <c r="AN862" s="13" t="n">
        <v>-66.2</v>
      </c>
      <c r="AO862" s="13" t="n">
        <v>135.1</v>
      </c>
      <c r="AP862" s="13" t="n">
        <v>-76.59999999999999</v>
      </c>
    </row>
    <row r="863">
      <c r="A863" s="5" t="inlineStr">
        <is>
          <t>폴라리스오피스</t>
        </is>
      </c>
      <c r="B863" s="6" t="inlineStr">
        <is>
          <t>041020</t>
        </is>
      </c>
      <c r="C863" s="6" t="inlineStr">
        <is>
          <t>연결</t>
        </is>
      </c>
      <c r="D863" s="6" t="inlineStr">
        <is>
          <t>2026Q2</t>
        </is>
      </c>
      <c r="E863" s="6" t="inlineStr"/>
      <c r="F863" s="7" t="inlineStr"/>
      <c r="G863" s="8" t="inlineStr"/>
      <c r="H863" s="8" t="inlineStr"/>
      <c r="I863" s="9" t="inlineStr"/>
      <c r="J863" s="10" t="n">
        <v>1750</v>
      </c>
      <c r="K863" s="10" t="n">
        <v>4760</v>
      </c>
      <c r="L863" s="7" t="inlineStr"/>
      <c r="M863" s="8" t="n">
        <v>4232</v>
      </c>
      <c r="N863" s="8" t="n">
        <v>6307</v>
      </c>
      <c r="O863" s="9" t="inlineStr"/>
      <c r="P863" s="10" t="n">
        <v>3226</v>
      </c>
      <c r="Q863" s="10" t="n">
        <v>4314</v>
      </c>
      <c r="R863" s="7" t="inlineStr"/>
      <c r="S863" s="8" t="n">
        <v>-4406</v>
      </c>
      <c r="T863" s="8" t="n">
        <v>3247</v>
      </c>
      <c r="U863" s="9" t="inlineStr"/>
      <c r="V863" s="10" t="n">
        <v>2015</v>
      </c>
      <c r="W863" s="10" t="n">
        <v>2397</v>
      </c>
      <c r="X863" s="7" t="inlineStr"/>
      <c r="Y863" s="8" t="n">
        <v>3569</v>
      </c>
      <c r="Z863" s="8" t="n">
        <v>3176</v>
      </c>
      <c r="AA863" s="9" t="inlineStr"/>
      <c r="AB863" s="10" t="n">
        <v>4771</v>
      </c>
      <c r="AC863" s="10" t="n">
        <v>6832</v>
      </c>
      <c r="AD863" s="7" t="inlineStr"/>
      <c r="AE863" s="8" t="n">
        <v>-1236</v>
      </c>
      <c r="AF863" s="8" t="n">
        <v>1071</v>
      </c>
      <c r="AG863" s="9" t="inlineStr"/>
      <c r="AH863" s="10" t="n">
        <v>2388</v>
      </c>
      <c r="AI863" s="10" t="n">
        <v>7602</v>
      </c>
      <c r="AJ863" s="11" t="inlineStr"/>
      <c r="AK863" s="12" t="n">
        <v>3593</v>
      </c>
      <c r="AL863" s="12" t="n">
        <v>7845</v>
      </c>
      <c r="AM863" s="13" t="inlineStr"/>
      <c r="AN863" s="13" t="inlineStr"/>
      <c r="AO863" s="13" t="n">
        <v>50.5</v>
      </c>
      <c r="AP863" s="13" t="n">
        <v>0.7</v>
      </c>
    </row>
    <row r="864">
      <c r="A864" s="5" t="inlineStr">
        <is>
          <t>우리기술투자</t>
        </is>
      </c>
      <c r="B864" s="6" t="inlineStr">
        <is>
          <t>041190</t>
        </is>
      </c>
      <c r="C864" s="6" t="inlineStr">
        <is>
          <t>연결</t>
        </is>
      </c>
      <c r="D864" s="6" t="inlineStr">
        <is>
          <t>2026Q2</t>
        </is>
      </c>
      <c r="E864" s="6" t="inlineStr"/>
      <c r="F864" s="7" t="inlineStr"/>
      <c r="G864" s="8" t="inlineStr"/>
      <c r="H864" s="8" t="inlineStr"/>
      <c r="I864" s="9" t="n">
        <v>12228</v>
      </c>
      <c r="J864" s="10" t="n">
        <v>9785</v>
      </c>
      <c r="K864" s="10" t="n">
        <v>8822</v>
      </c>
      <c r="L864" s="7" t="n">
        <v>90652</v>
      </c>
      <c r="M864" s="8" t="n">
        <v>87019</v>
      </c>
      <c r="N864" s="8" t="n">
        <v>68850</v>
      </c>
      <c r="O864" s="9" t="n">
        <v>6274</v>
      </c>
      <c r="P864" s="10" t="n">
        <v>3770</v>
      </c>
      <c r="Q864" s="10" t="n">
        <v>2669</v>
      </c>
      <c r="R864" s="7" t="n">
        <v>83097</v>
      </c>
      <c r="S864" s="8" t="n">
        <v>75110</v>
      </c>
      <c r="T864" s="8" t="n">
        <v>67397</v>
      </c>
      <c r="U864" s="9" t="n">
        <v>22703</v>
      </c>
      <c r="V864" s="10" t="n">
        <v>15376</v>
      </c>
      <c r="W864" s="10" t="n">
        <v>14838</v>
      </c>
      <c r="X864" s="7" t="n">
        <v>171485</v>
      </c>
      <c r="Y864" s="8" t="n">
        <v>163010</v>
      </c>
      <c r="Z864" s="8" t="n">
        <v>130660</v>
      </c>
      <c r="AA864" s="9" t="n">
        <v>1817</v>
      </c>
      <c r="AB864" s="10" t="n">
        <v>-945</v>
      </c>
      <c r="AC864" s="10" t="n">
        <v>-964</v>
      </c>
      <c r="AD864" s="7" t="n">
        <v>-33138</v>
      </c>
      <c r="AE864" s="8" t="n">
        <v>-39365</v>
      </c>
      <c r="AF864" s="8" t="n">
        <v>-33989</v>
      </c>
      <c r="AG864" s="9" t="n">
        <v>18419</v>
      </c>
      <c r="AH864" s="10" t="n">
        <v>15435</v>
      </c>
      <c r="AI864" s="10" t="n">
        <v>14356</v>
      </c>
      <c r="AJ864" s="11" t="n">
        <v>85401</v>
      </c>
      <c r="AK864" s="12" t="n">
        <v>75774</v>
      </c>
      <c r="AL864" s="12" t="n">
        <v>60451</v>
      </c>
      <c r="AM864" s="13" t="n">
        <v>363.7</v>
      </c>
      <c r="AN864" s="13" t="n">
        <v>-50.2</v>
      </c>
      <c r="AO864" s="13" t="n">
        <v>390.9</v>
      </c>
      <c r="AP864" s="13" t="n">
        <v>-53.5</v>
      </c>
    </row>
    <row r="865">
      <c r="A865" s="5" t="inlineStr">
        <is>
          <t>현대에버다임</t>
        </is>
      </c>
      <c r="B865" s="6" t="inlineStr">
        <is>
          <t>041440</t>
        </is>
      </c>
      <c r="C865" s="6" t="inlineStr">
        <is>
          <t>연결</t>
        </is>
      </c>
      <c r="D865" s="6" t="inlineStr">
        <is>
          <t>2026Q2</t>
        </is>
      </c>
      <c r="E865" s="6" t="inlineStr">
        <is>
          <t>2023Q4</t>
        </is>
      </c>
      <c r="F865" s="14" t="n">
        <v>87311</v>
      </c>
      <c r="G865" s="15" t="n">
        <v>761</v>
      </c>
      <c r="H865" s="15" t="n">
        <v>-3003</v>
      </c>
      <c r="I865" s="9" t="n">
        <v>70115</v>
      </c>
      <c r="J865" s="10" t="n">
        <v>-1680</v>
      </c>
      <c r="K865" s="10" t="n">
        <v>-1357</v>
      </c>
      <c r="L865" s="7" t="n">
        <v>70852</v>
      </c>
      <c r="M865" s="8" t="n">
        <v>436</v>
      </c>
      <c r="N865" s="8" t="n">
        <v>1914</v>
      </c>
      <c r="O865" s="9" t="n">
        <v>61112</v>
      </c>
      <c r="P865" s="10" t="n">
        <v>-1145</v>
      </c>
      <c r="Q865" s="10" t="n">
        <v>-2246</v>
      </c>
      <c r="R865" s="7" t="n">
        <v>153039</v>
      </c>
      <c r="S865" s="8" t="n">
        <v>12339</v>
      </c>
      <c r="T865" s="8" t="n">
        <v>8270</v>
      </c>
      <c r="U865" s="9" t="n">
        <v>62105</v>
      </c>
      <c r="V865" s="10" t="n">
        <v>-1089</v>
      </c>
      <c r="W865" s="10" t="n">
        <v>-999</v>
      </c>
      <c r="X865" s="7" t="n">
        <v>85287</v>
      </c>
      <c r="Y865" s="8" t="n">
        <v>2806</v>
      </c>
      <c r="Z865" s="8" t="n">
        <v>308</v>
      </c>
      <c r="AA865" s="9" t="n">
        <v>64731</v>
      </c>
      <c r="AB865" s="10" t="n">
        <v>500</v>
      </c>
      <c r="AC865" s="10" t="n">
        <v>1714</v>
      </c>
      <c r="AD865" s="7" t="n">
        <v>77464</v>
      </c>
      <c r="AE865" s="8" t="n">
        <v>3190</v>
      </c>
      <c r="AF865" s="8" t="n">
        <v>3620</v>
      </c>
      <c r="AG865" s="9" t="n">
        <v>82016</v>
      </c>
      <c r="AH865" s="10" t="n">
        <v>577</v>
      </c>
      <c r="AI865" s="10" t="n">
        <v>1382</v>
      </c>
      <c r="AJ865" s="11" t="n">
        <v>79717</v>
      </c>
      <c r="AK865" s="12" t="n">
        <v>3202</v>
      </c>
      <c r="AL865" s="12" t="n">
        <v>2961</v>
      </c>
      <c r="AM865" s="13" t="n">
        <v>-2.8</v>
      </c>
      <c r="AN865" s="13" t="n">
        <v>-6.5</v>
      </c>
      <c r="AO865" s="13" t="n">
        <v>454.9</v>
      </c>
      <c r="AP865" s="13" t="n">
        <v>14.1</v>
      </c>
    </row>
    <row r="866">
      <c r="A866" s="5" t="inlineStr">
        <is>
          <t>한국전자인증</t>
        </is>
      </c>
      <c r="B866" s="6" t="inlineStr">
        <is>
          <t>041460</t>
        </is>
      </c>
      <c r="C866" s="6" t="inlineStr">
        <is>
          <t>연결</t>
        </is>
      </c>
      <c r="D866" s="6" t="inlineStr">
        <is>
          <t>2026Q2</t>
        </is>
      </c>
      <c r="E866" s="6" t="inlineStr"/>
      <c r="F866" s="7" t="inlineStr"/>
      <c r="G866" s="8" t="inlineStr"/>
      <c r="H866" s="8" t="inlineStr"/>
      <c r="I866" s="9" t="n">
        <v>9570</v>
      </c>
      <c r="J866" s="10" t="n">
        <v>1133</v>
      </c>
      <c r="K866" s="10" t="n">
        <v>621</v>
      </c>
      <c r="L866" s="7" t="n">
        <v>9057</v>
      </c>
      <c r="M866" s="8" t="n">
        <v>700</v>
      </c>
      <c r="N866" s="8" t="n">
        <v>525</v>
      </c>
      <c r="O866" s="9" t="n">
        <v>9693</v>
      </c>
      <c r="P866" s="10" t="n">
        <v>663</v>
      </c>
      <c r="Q866" s="10" t="n">
        <v>320</v>
      </c>
      <c r="R866" s="7" t="n">
        <v>8767</v>
      </c>
      <c r="S866" s="8" t="n">
        <v>2229</v>
      </c>
      <c r="T866" s="8" t="n">
        <v>2485</v>
      </c>
      <c r="U866" s="9" t="n">
        <v>9486</v>
      </c>
      <c r="V866" s="10" t="n">
        <v>2076</v>
      </c>
      <c r="W866" s="10" t="n">
        <v>1610</v>
      </c>
      <c r="X866" s="7" t="n">
        <v>9367</v>
      </c>
      <c r="Y866" s="8" t="n">
        <v>1245</v>
      </c>
      <c r="Z866" s="8" t="n">
        <v>930</v>
      </c>
      <c r="AA866" s="9" t="n">
        <v>8664</v>
      </c>
      <c r="AB866" s="10" t="n">
        <v>1822</v>
      </c>
      <c r="AC866" s="10" t="n">
        <v>1471</v>
      </c>
      <c r="AD866" s="7" t="n">
        <v>9229</v>
      </c>
      <c r="AE866" s="8" t="n">
        <v>1584</v>
      </c>
      <c r="AF866" s="8" t="n">
        <v>652</v>
      </c>
      <c r="AG866" s="9" t="n">
        <v>10980</v>
      </c>
      <c r="AH866" s="10" t="n">
        <v>2525</v>
      </c>
      <c r="AI866" s="10" t="n">
        <v>2334</v>
      </c>
      <c r="AJ866" s="11" t="n">
        <v>10542</v>
      </c>
      <c r="AK866" s="12" t="n">
        <v>1626</v>
      </c>
      <c r="AL866" s="12" t="n">
        <v>1222</v>
      </c>
      <c r="AM866" s="13" t="n">
        <v>-4</v>
      </c>
      <c r="AN866" s="13" t="n">
        <v>12.5</v>
      </c>
      <c r="AO866" s="13" t="n">
        <v>-35.6</v>
      </c>
      <c r="AP866" s="13" t="n">
        <v>30.6</v>
      </c>
    </row>
    <row r="867">
      <c r="A867" s="5" t="inlineStr">
        <is>
          <t>에스엠</t>
        </is>
      </c>
      <c r="B867" s="6" t="inlineStr">
        <is>
          <t>041510</t>
        </is>
      </c>
      <c r="C867" s="6" t="inlineStr">
        <is>
          <t>연결</t>
        </is>
      </c>
      <c r="D867" s="6" t="inlineStr">
        <is>
          <t>2026Q2</t>
        </is>
      </c>
      <c r="E867" s="6" t="inlineStr">
        <is>
          <t>2023Q4</t>
        </is>
      </c>
      <c r="F867" s="14" t="n">
        <v>163684</v>
      </c>
      <c r="G867" s="15" t="n">
        <v>20625</v>
      </c>
      <c r="H867" s="15" t="n">
        <v>9448</v>
      </c>
      <c r="I867" s="9" t="n">
        <v>220063</v>
      </c>
      <c r="J867" s="10" t="n">
        <v>15547</v>
      </c>
      <c r="K867" s="10" t="n">
        <v>12441</v>
      </c>
      <c r="L867" s="7" t="n">
        <v>253881</v>
      </c>
      <c r="M867" s="8" t="n">
        <v>24749</v>
      </c>
      <c r="N867" s="8" t="n">
        <v>8409</v>
      </c>
      <c r="O867" s="9" t="n">
        <v>242224</v>
      </c>
      <c r="P867" s="10" t="n">
        <v>13333</v>
      </c>
      <c r="Q867" s="10" t="n">
        <v>3702</v>
      </c>
      <c r="R867" s="7" t="n">
        <v>273557</v>
      </c>
      <c r="S867" s="8" t="n">
        <v>33668</v>
      </c>
      <c r="T867" s="8" t="n">
        <v>-23733</v>
      </c>
      <c r="U867" s="9" t="n">
        <v>231427</v>
      </c>
      <c r="V867" s="10" t="n">
        <v>32586</v>
      </c>
      <c r="W867" s="10" t="n">
        <v>252723</v>
      </c>
      <c r="X867" s="7" t="n">
        <v>302914</v>
      </c>
      <c r="Y867" s="8" t="n">
        <v>47611</v>
      </c>
      <c r="Z867" s="8" t="n">
        <v>30878</v>
      </c>
      <c r="AA867" s="9" t="n">
        <v>321592</v>
      </c>
      <c r="AB867" s="10" t="n">
        <v>48214</v>
      </c>
      <c r="AC867" s="10" t="n">
        <v>44685</v>
      </c>
      <c r="AD867" s="7" t="n">
        <v>319002</v>
      </c>
      <c r="AE867" s="8" t="n">
        <v>54623</v>
      </c>
      <c r="AF867" s="8" t="n">
        <v>31078</v>
      </c>
      <c r="AG867" s="9" t="n">
        <v>279101</v>
      </c>
      <c r="AH867" s="10" t="n">
        <v>38599</v>
      </c>
      <c r="AI867" s="10" t="n">
        <v>36709</v>
      </c>
      <c r="AJ867" s="11" t="n">
        <v>349641</v>
      </c>
      <c r="AK867" s="12" t="n">
        <v>52880</v>
      </c>
      <c r="AL867" s="12" t="n">
        <v>29163</v>
      </c>
      <c r="AM867" s="13" t="n">
        <v>25.3</v>
      </c>
      <c r="AN867" s="13" t="n">
        <v>15.4</v>
      </c>
      <c r="AO867" s="13" t="n">
        <v>37</v>
      </c>
      <c r="AP867" s="13" t="n">
        <v>11.1</v>
      </c>
    </row>
    <row r="868">
      <c r="A868" s="5" t="inlineStr">
        <is>
          <t>이엘씨</t>
        </is>
      </c>
      <c r="B868" s="6" t="inlineStr">
        <is>
          <t>041520</t>
        </is>
      </c>
      <c r="C868" s="6" t="inlineStr">
        <is>
          <t>연결</t>
        </is>
      </c>
      <c r="D868" s="6" t="inlineStr">
        <is>
          <t>2026Q2</t>
        </is>
      </c>
      <c r="E868" s="6" t="inlineStr"/>
      <c r="F868" s="7" t="inlineStr"/>
      <c r="G868" s="8" t="inlineStr"/>
      <c r="H868" s="8" t="inlineStr"/>
      <c r="I868" s="9" t="n">
        <v>5782</v>
      </c>
      <c r="J868" s="10" t="n">
        <v>-1980</v>
      </c>
      <c r="K868" s="10" t="n">
        <v>-407</v>
      </c>
      <c r="L868" s="7" t="n">
        <v>4061</v>
      </c>
      <c r="M868" s="8" t="n">
        <v>-2566</v>
      </c>
      <c r="N868" s="8" t="n">
        <v>-593</v>
      </c>
      <c r="O868" s="9" t="n">
        <v>9221</v>
      </c>
      <c r="P868" s="10" t="n">
        <v>-491</v>
      </c>
      <c r="Q868" s="10" t="n">
        <v>-2648</v>
      </c>
      <c r="R868" s="7" t="n">
        <v>10171</v>
      </c>
      <c r="S868" s="8" t="n">
        <v>355</v>
      </c>
      <c r="T868" s="8" t="n">
        <v>3381</v>
      </c>
      <c r="U868" s="9" t="n">
        <v>7950</v>
      </c>
      <c r="V868" s="10" t="n">
        <v>-836</v>
      </c>
      <c r="W868" s="10" t="n">
        <v>221</v>
      </c>
      <c r="X868" s="7" t="n">
        <v>11147</v>
      </c>
      <c r="Y868" s="8" t="n">
        <v>731</v>
      </c>
      <c r="Z868" s="8" t="n">
        <v>-1430</v>
      </c>
      <c r="AA868" s="9" t="n">
        <v>6090</v>
      </c>
      <c r="AB868" s="10" t="n">
        <v>-1595</v>
      </c>
      <c r="AC868" s="10" t="n">
        <v>-1964</v>
      </c>
      <c r="AD868" s="7" t="n">
        <v>12701</v>
      </c>
      <c r="AE868" s="8" t="n">
        <v>799</v>
      </c>
      <c r="AF868" s="8" t="n">
        <v>11432</v>
      </c>
      <c r="AG868" s="9" t="n">
        <v>10314</v>
      </c>
      <c r="AH868" s="10" t="n">
        <v>-279</v>
      </c>
      <c r="AI868" s="10" t="n">
        <v>2588</v>
      </c>
      <c r="AJ868" s="11" t="n">
        <v>18303</v>
      </c>
      <c r="AK868" s="12" t="n">
        <v>4679</v>
      </c>
      <c r="AL868" s="12" t="n">
        <v>4487</v>
      </c>
      <c r="AM868" s="13" t="n">
        <v>77.5</v>
      </c>
      <c r="AN868" s="13" t="n">
        <v>64.2</v>
      </c>
      <c r="AO868" s="13" t="n">
        <v>1777.1</v>
      </c>
      <c r="AP868" s="13" t="n">
        <v>540.1</v>
      </c>
    </row>
    <row r="869">
      <c r="A869" s="5" t="inlineStr">
        <is>
          <t>플래스크</t>
        </is>
      </c>
      <c r="B869" s="6" t="inlineStr">
        <is>
          <t>041590</t>
        </is>
      </c>
      <c r="C869" s="6" t="inlineStr">
        <is>
          <t>연결</t>
        </is>
      </c>
      <c r="D869" s="6" t="inlineStr">
        <is>
          <t>2026Q2</t>
        </is>
      </c>
      <c r="E869" s="6" t="inlineStr"/>
      <c r="F869" s="7" t="inlineStr"/>
      <c r="G869" s="8" t="inlineStr"/>
      <c r="H869" s="8" t="inlineStr"/>
      <c r="I869" s="9" t="n">
        <v>3860</v>
      </c>
      <c r="J869" s="10" t="n">
        <v>-4966</v>
      </c>
      <c r="K869" s="10" t="n">
        <v>-5471</v>
      </c>
      <c r="L869" s="7" t="n">
        <v>4134</v>
      </c>
      <c r="M869" s="8" t="n">
        <v>-2333</v>
      </c>
      <c r="N869" s="8" t="n">
        <v>1714</v>
      </c>
      <c r="O869" s="9" t="n">
        <v>3258</v>
      </c>
      <c r="P869" s="10" t="n">
        <v>-2483</v>
      </c>
      <c r="Q869" s="10" t="n">
        <v>-1938</v>
      </c>
      <c r="R869" s="7" t="n">
        <v>2912</v>
      </c>
      <c r="S869" s="8" t="n">
        <v>-1364</v>
      </c>
      <c r="T869" s="8" t="n">
        <v>90</v>
      </c>
      <c r="U869" s="9" t="n">
        <v>2312</v>
      </c>
      <c r="V869" s="10" t="n">
        <v>-2192</v>
      </c>
      <c r="W869" s="10" t="n">
        <v>-1680</v>
      </c>
      <c r="X869" s="7" t="n">
        <v>2148</v>
      </c>
      <c r="Y869" s="8" t="n">
        <v>-989</v>
      </c>
      <c r="Z869" s="8" t="n">
        <v>-4163</v>
      </c>
      <c r="AA869" s="9" t="n">
        <v>6451</v>
      </c>
      <c r="AB869" s="10" t="n">
        <v>-90</v>
      </c>
      <c r="AC869" s="10" t="n">
        <v>2625</v>
      </c>
      <c r="AD869" s="7" t="n">
        <v>7094</v>
      </c>
      <c r="AE869" s="8" t="n">
        <v>1309</v>
      </c>
      <c r="AF869" s="8" t="n">
        <v>3518</v>
      </c>
      <c r="AG869" s="9" t="n">
        <v>2567</v>
      </c>
      <c r="AH869" s="10" t="n">
        <v>-778</v>
      </c>
      <c r="AI869" s="10" t="n">
        <v>239</v>
      </c>
      <c r="AJ869" s="11" t="n">
        <v>2526</v>
      </c>
      <c r="AK869" s="12" t="n">
        <v>-863</v>
      </c>
      <c r="AL869" s="12" t="n">
        <v>200</v>
      </c>
      <c r="AM869" s="13" t="n">
        <v>-1.6</v>
      </c>
      <c r="AN869" s="13" t="n">
        <v>17.6</v>
      </c>
      <c r="AO869" s="13" t="n">
        <v>-10.9</v>
      </c>
      <c r="AP869" s="13" t="n">
        <v>12.7</v>
      </c>
    </row>
    <row r="870">
      <c r="A870" s="5" t="inlineStr">
        <is>
          <t>상신브레이크</t>
        </is>
      </c>
      <c r="B870" s="6" t="inlineStr">
        <is>
          <t>041650</t>
        </is>
      </c>
      <c r="C870" s="6" t="inlineStr">
        <is>
          <t>연결</t>
        </is>
      </c>
      <c r="D870" s="6" t="inlineStr">
        <is>
          <t>2026Q2</t>
        </is>
      </c>
      <c r="E870" s="6" t="inlineStr"/>
      <c r="F870" s="7" t="inlineStr"/>
      <c r="G870" s="8" t="inlineStr"/>
      <c r="H870" s="8" t="inlineStr"/>
      <c r="I870" s="9" t="n">
        <v>143636</v>
      </c>
      <c r="J870" s="10" t="n">
        <v>4861</v>
      </c>
      <c r="K870" s="10" t="n">
        <v>5286</v>
      </c>
      <c r="L870" s="7" t="n">
        <v>147459</v>
      </c>
      <c r="M870" s="8" t="n">
        <v>7029</v>
      </c>
      <c r="N870" s="8" t="n">
        <v>5237</v>
      </c>
      <c r="O870" s="9" t="n">
        <v>146049</v>
      </c>
      <c r="P870" s="10" t="n">
        <v>5468</v>
      </c>
      <c r="Q870" s="10" t="n">
        <v>-2021</v>
      </c>
      <c r="R870" s="7" t="n">
        <v>141411</v>
      </c>
      <c r="S870" s="8" t="n">
        <v>3288</v>
      </c>
      <c r="T870" s="8" t="n">
        <v>8887</v>
      </c>
      <c r="U870" s="9" t="n">
        <v>143991</v>
      </c>
      <c r="V870" s="10" t="n">
        <v>2803</v>
      </c>
      <c r="W870" s="10" t="n">
        <v>-453</v>
      </c>
      <c r="X870" s="7" t="n">
        <v>142864</v>
      </c>
      <c r="Y870" s="8" t="n">
        <v>-4054</v>
      </c>
      <c r="Z870" s="8" t="n">
        <v>-13808</v>
      </c>
      <c r="AA870" s="9" t="n">
        <v>135575</v>
      </c>
      <c r="AB870" s="10" t="n">
        <v>-2986</v>
      </c>
      <c r="AC870" s="10" t="n">
        <v>-2790</v>
      </c>
      <c r="AD870" s="7" t="n">
        <v>119831</v>
      </c>
      <c r="AE870" s="8" t="n">
        <v>2879</v>
      </c>
      <c r="AF870" s="8" t="n">
        <v>5030</v>
      </c>
      <c r="AG870" s="9" t="n">
        <v>130338</v>
      </c>
      <c r="AH870" s="10" t="n">
        <v>2222</v>
      </c>
      <c r="AI870" s="10" t="n">
        <v>2507</v>
      </c>
      <c r="AJ870" s="11" t="n">
        <v>149909</v>
      </c>
      <c r="AK870" s="12" t="n">
        <v>918</v>
      </c>
      <c r="AL870" s="12" t="n">
        <v>686</v>
      </c>
      <c r="AM870" s="13" t="n">
        <v>15</v>
      </c>
      <c r="AN870" s="13" t="n">
        <v>4.9</v>
      </c>
      <c r="AO870" s="13" t="n">
        <v>-58.7</v>
      </c>
      <c r="AP870" s="13" t="n">
        <v>122.6</v>
      </c>
    </row>
    <row r="871">
      <c r="A871" s="5" t="inlineStr">
        <is>
          <t>인바디</t>
        </is>
      </c>
      <c r="B871" s="6" t="inlineStr">
        <is>
          <t>041830</t>
        </is>
      </c>
      <c r="C871" s="6" t="inlineStr">
        <is>
          <t>연결</t>
        </is>
      </c>
      <c r="D871" s="6" t="inlineStr">
        <is>
          <t>2026Q2</t>
        </is>
      </c>
      <c r="E871" s="6" t="inlineStr">
        <is>
          <t>2023Q4</t>
        </is>
      </c>
      <c r="F871" s="14" t="n">
        <v>41912</v>
      </c>
      <c r="G871" s="15" t="n">
        <v>6745</v>
      </c>
      <c r="H871" s="15" t="n">
        <v>7862</v>
      </c>
      <c r="I871" s="9" t="n">
        <v>48429</v>
      </c>
      <c r="J871" s="10" t="n">
        <v>10000</v>
      </c>
      <c r="K871" s="10" t="n">
        <v>8745</v>
      </c>
      <c r="L871" s="7" t="n">
        <v>50243</v>
      </c>
      <c r="M871" s="8" t="n">
        <v>9413</v>
      </c>
      <c r="N871" s="8" t="n">
        <v>8191</v>
      </c>
      <c r="O871" s="9" t="n">
        <v>50720</v>
      </c>
      <c r="P871" s="10" t="n">
        <v>9823</v>
      </c>
      <c r="Q871" s="10" t="n">
        <v>7354</v>
      </c>
      <c r="R871" s="7" t="n">
        <v>55073</v>
      </c>
      <c r="S871" s="8" t="n">
        <v>7503</v>
      </c>
      <c r="T871" s="8" t="n">
        <v>8417</v>
      </c>
      <c r="U871" s="9" t="n">
        <v>55584</v>
      </c>
      <c r="V871" s="10" t="n">
        <v>7002</v>
      </c>
      <c r="W871" s="10" t="n">
        <v>6845</v>
      </c>
      <c r="X871" s="7" t="n">
        <v>56170</v>
      </c>
      <c r="Y871" s="8" t="n">
        <v>10394</v>
      </c>
      <c r="Z871" s="8" t="n">
        <v>7397</v>
      </c>
      <c r="AA871" s="9" t="n">
        <v>59798</v>
      </c>
      <c r="AB871" s="10" t="n">
        <v>9835</v>
      </c>
      <c r="AC871" s="10" t="n">
        <v>9392</v>
      </c>
      <c r="AD871" s="7" t="n">
        <v>62396</v>
      </c>
      <c r="AE871" s="8" t="n">
        <v>9522</v>
      </c>
      <c r="AF871" s="8" t="n">
        <v>6354</v>
      </c>
      <c r="AG871" s="9" t="n">
        <v>68445</v>
      </c>
      <c r="AH871" s="10" t="n">
        <v>13025</v>
      </c>
      <c r="AI871" s="10" t="n">
        <v>16298</v>
      </c>
      <c r="AJ871" s="11" t="n">
        <v>73254</v>
      </c>
      <c r="AK871" s="12" t="n">
        <v>17743</v>
      </c>
      <c r="AL871" s="12" t="n">
        <v>14530</v>
      </c>
      <c r="AM871" s="13" t="n">
        <v>7</v>
      </c>
      <c r="AN871" s="13" t="n">
        <v>30.4</v>
      </c>
      <c r="AO871" s="13" t="n">
        <v>36.2</v>
      </c>
      <c r="AP871" s="13" t="n">
        <v>70.7</v>
      </c>
    </row>
    <row r="872">
      <c r="A872" s="5" t="inlineStr">
        <is>
          <t>폴라리스AI파마</t>
        </is>
      </c>
      <c r="B872" s="6" t="inlineStr">
        <is>
          <t>041910</t>
        </is>
      </c>
      <c r="C872" s="6" t="inlineStr">
        <is>
          <t>별도</t>
        </is>
      </c>
      <c r="D872" s="6" t="inlineStr">
        <is>
          <t>2026Q2</t>
        </is>
      </c>
      <c r="E872" s="6" t="inlineStr"/>
      <c r="F872" s="7" t="inlineStr"/>
      <c r="G872" s="8" t="inlineStr"/>
      <c r="H872" s="8" t="inlineStr"/>
      <c r="I872" s="9" t="n">
        <v>14187</v>
      </c>
      <c r="J872" s="10" t="n">
        <v>-653</v>
      </c>
      <c r="K872" s="10" t="n">
        <v>-930</v>
      </c>
      <c r="L872" s="7" t="n">
        <v>15027</v>
      </c>
      <c r="M872" s="8" t="n">
        <v>1149</v>
      </c>
      <c r="N872" s="8" t="n">
        <v>2507</v>
      </c>
      <c r="O872" s="9" t="n">
        <v>14134</v>
      </c>
      <c r="P872" s="10" t="n">
        <v>779</v>
      </c>
      <c r="Q872" s="10" t="n">
        <v>1065</v>
      </c>
      <c r="R872" s="7" t="n">
        <v>16254</v>
      </c>
      <c r="S872" s="8" t="n">
        <v>-1099</v>
      </c>
      <c r="T872" s="8" t="n">
        <v>1306</v>
      </c>
      <c r="U872" s="9" t="n">
        <v>12768</v>
      </c>
      <c r="V872" s="10" t="n">
        <v>736</v>
      </c>
      <c r="W872" s="10" t="n">
        <v>985</v>
      </c>
      <c r="X872" s="7" t="n">
        <v>13809</v>
      </c>
      <c r="Y872" s="8" t="n">
        <v>1274</v>
      </c>
      <c r="Z872" s="8" t="n">
        <v>1294</v>
      </c>
      <c r="AA872" s="9" t="n">
        <v>14697</v>
      </c>
      <c r="AB872" s="10" t="n">
        <v>1571</v>
      </c>
      <c r="AC872" s="10" t="n">
        <v>3503</v>
      </c>
      <c r="AD872" s="7" t="n">
        <v>14269</v>
      </c>
      <c r="AE872" s="8" t="n">
        <v>-392</v>
      </c>
      <c r="AF872" s="8" t="n">
        <v>379</v>
      </c>
      <c r="AG872" s="9" t="n">
        <v>13703</v>
      </c>
      <c r="AH872" s="10" t="n">
        <v>606</v>
      </c>
      <c r="AI872" s="10" t="n">
        <v>3654</v>
      </c>
      <c r="AJ872" s="11" t="n">
        <v>14705</v>
      </c>
      <c r="AK872" s="12" t="n">
        <v>779</v>
      </c>
      <c r="AL872" s="12" t="n">
        <v>6749</v>
      </c>
      <c r="AM872" s="13" t="n">
        <v>7.3</v>
      </c>
      <c r="AN872" s="13" t="n">
        <v>6.5</v>
      </c>
      <c r="AO872" s="13" t="n">
        <v>28.5</v>
      </c>
      <c r="AP872" s="13" t="n">
        <v>-38.9</v>
      </c>
    </row>
    <row r="873">
      <c r="A873" s="5" t="inlineStr">
        <is>
          <t>메디아나</t>
        </is>
      </c>
      <c r="B873" s="6" t="inlineStr">
        <is>
          <t>041920</t>
        </is>
      </c>
      <c r="C873" s="6" t="inlineStr">
        <is>
          <t>연결</t>
        </is>
      </c>
      <c r="D873" s="6" t="inlineStr">
        <is>
          <t>2026Q2</t>
        </is>
      </c>
      <c r="E873" s="6" t="inlineStr">
        <is>
          <t>2023Q4</t>
        </is>
      </c>
      <c r="F873" s="14" t="n">
        <v>16617</v>
      </c>
      <c r="G873" s="15" t="n">
        <v>1023</v>
      </c>
      <c r="H873" s="15" t="n">
        <v>-679</v>
      </c>
      <c r="I873" s="9" t="n">
        <v>14742</v>
      </c>
      <c r="J873" s="10" t="n">
        <v>1093</v>
      </c>
      <c r="K873" s="10" t="n">
        <v>2818</v>
      </c>
      <c r="L873" s="7" t="n">
        <v>15148</v>
      </c>
      <c r="M873" s="8" t="n">
        <v>930</v>
      </c>
      <c r="N873" s="8" t="n">
        <v>1533</v>
      </c>
      <c r="O873" s="9" t="n">
        <v>13039</v>
      </c>
      <c r="P873" s="10" t="n">
        <v>-695</v>
      </c>
      <c r="Q873" s="10" t="n">
        <v>-1168</v>
      </c>
      <c r="R873" s="7" t="n">
        <v>14110</v>
      </c>
      <c r="S873" s="8" t="n">
        <v>-19</v>
      </c>
      <c r="T873" s="8" t="n">
        <v>3029</v>
      </c>
      <c r="U873" s="9" t="n">
        <v>15027</v>
      </c>
      <c r="V873" s="10" t="n">
        <v>1257</v>
      </c>
      <c r="W873" s="10" t="n">
        <v>1548</v>
      </c>
      <c r="X873" s="7" t="n">
        <v>15685</v>
      </c>
      <c r="Y873" s="8" t="n">
        <v>1240</v>
      </c>
      <c r="Z873" s="8" t="n">
        <v>-430</v>
      </c>
      <c r="AA873" s="9" t="n">
        <v>15003</v>
      </c>
      <c r="AB873" s="10" t="n">
        <v>1580</v>
      </c>
      <c r="AC873" s="10" t="n">
        <v>2274</v>
      </c>
      <c r="AD873" s="7" t="n">
        <v>19230</v>
      </c>
      <c r="AE873" s="8" t="n">
        <v>1873</v>
      </c>
      <c r="AF873" s="8" t="n">
        <v>1882</v>
      </c>
      <c r="AG873" s="9" t="n">
        <v>16078</v>
      </c>
      <c r="AH873" s="10" t="n">
        <v>1610</v>
      </c>
      <c r="AI873" s="10" t="n">
        <v>2355</v>
      </c>
      <c r="AJ873" s="11" t="n">
        <v>21144</v>
      </c>
      <c r="AK873" s="12" t="n">
        <v>2950</v>
      </c>
      <c r="AL873" s="12" t="n">
        <v>3109</v>
      </c>
      <c r="AM873" s="13" t="n">
        <v>31.5</v>
      </c>
      <c r="AN873" s="13" t="n">
        <v>34.8</v>
      </c>
      <c r="AO873" s="13" t="n">
        <v>83.2</v>
      </c>
      <c r="AP873" s="13" t="n">
        <v>137.9</v>
      </c>
    </row>
    <row r="874">
      <c r="A874" s="5" t="inlineStr">
        <is>
          <t>SY동아</t>
        </is>
      </c>
      <c r="B874" s="6" t="inlineStr">
        <is>
          <t>041930</t>
        </is>
      </c>
      <c r="C874" s="6" t="inlineStr">
        <is>
          <t>연결</t>
        </is>
      </c>
      <c r="D874" s="6" t="inlineStr">
        <is>
          <t>2026Q2</t>
        </is>
      </c>
      <c r="E874" s="6" t="inlineStr"/>
      <c r="F874" s="7" t="inlineStr"/>
      <c r="G874" s="8" t="inlineStr"/>
      <c r="H874" s="8" t="inlineStr"/>
      <c r="I874" s="9" t="n">
        <v>92836</v>
      </c>
      <c r="J874" s="10" t="n">
        <v>5079</v>
      </c>
      <c r="K874" s="10" t="n">
        <v>5113</v>
      </c>
      <c r="L874" s="7" t="n">
        <v>94568</v>
      </c>
      <c r="M874" s="8" t="n">
        <v>5362</v>
      </c>
      <c r="N874" s="8" t="n">
        <v>5395</v>
      </c>
      <c r="O874" s="9" t="n">
        <v>97579</v>
      </c>
      <c r="P874" s="10" t="n">
        <v>5476</v>
      </c>
      <c r="Q874" s="10" t="n">
        <v>354</v>
      </c>
      <c r="R874" s="7" t="n">
        <v>98226</v>
      </c>
      <c r="S874" s="8" t="n">
        <v>2476</v>
      </c>
      <c r="T874" s="8" t="n">
        <v>3579</v>
      </c>
      <c r="U874" s="9" t="n">
        <v>103016</v>
      </c>
      <c r="V874" s="10" t="n">
        <v>5919</v>
      </c>
      <c r="W874" s="10" t="n">
        <v>9413</v>
      </c>
      <c r="X874" s="7" t="n">
        <v>102224</v>
      </c>
      <c r="Y874" s="8" t="n">
        <v>5478</v>
      </c>
      <c r="Z874" s="8" t="n">
        <v>3228</v>
      </c>
      <c r="AA874" s="9" t="n">
        <v>101748</v>
      </c>
      <c r="AB874" s="10" t="n">
        <v>5647</v>
      </c>
      <c r="AC874" s="10" t="n">
        <v>8564</v>
      </c>
      <c r="AD874" s="7" t="n">
        <v>96422</v>
      </c>
      <c r="AE874" s="8" t="n">
        <v>141</v>
      </c>
      <c r="AF874" s="8" t="n">
        <v>6135</v>
      </c>
      <c r="AG874" s="9" t="n">
        <v>94870</v>
      </c>
      <c r="AH874" s="10" t="n">
        <v>4448</v>
      </c>
      <c r="AI874" s="10" t="n">
        <v>2828</v>
      </c>
      <c r="AJ874" s="11" t="n">
        <v>98694</v>
      </c>
      <c r="AK874" s="12" t="n">
        <v>2186</v>
      </c>
      <c r="AL874" s="12" t="n">
        <v>-646</v>
      </c>
      <c r="AM874" s="13" t="n">
        <v>4</v>
      </c>
      <c r="AN874" s="13" t="n">
        <v>-3.5</v>
      </c>
      <c r="AO874" s="13" t="n">
        <v>-50.9</v>
      </c>
      <c r="AP874" s="13" t="n">
        <v>-60.1</v>
      </c>
    </row>
    <row r="875">
      <c r="A875" s="5" t="inlineStr">
        <is>
          <t>코미팜</t>
        </is>
      </c>
      <c r="B875" s="6" t="inlineStr">
        <is>
          <t>041960</t>
        </is>
      </c>
      <c r="C875" s="6" t="inlineStr">
        <is>
          <t>연결</t>
        </is>
      </c>
      <c r="D875" s="6" t="inlineStr">
        <is>
          <t>2026Q2</t>
        </is>
      </c>
      <c r="E875" s="6" t="inlineStr"/>
      <c r="F875" s="7" t="inlineStr"/>
      <c r="G875" s="8" t="inlineStr"/>
      <c r="H875" s="8" t="inlineStr"/>
      <c r="I875" s="9" t="n">
        <v>12901</v>
      </c>
      <c r="J875" s="10" t="n">
        <v>965</v>
      </c>
      <c r="K875" s="10" t="n">
        <v>700</v>
      </c>
      <c r="L875" s="7" t="n">
        <v>19153</v>
      </c>
      <c r="M875" s="8" t="n">
        <v>3955</v>
      </c>
      <c r="N875" s="8" t="n">
        <v>4836</v>
      </c>
      <c r="O875" s="9" t="n">
        <v>10990</v>
      </c>
      <c r="P875" s="10" t="n">
        <v>897</v>
      </c>
      <c r="Q875" s="10" t="n">
        <v>8912</v>
      </c>
      <c r="R875" s="7" t="n">
        <v>15735</v>
      </c>
      <c r="S875" s="8" t="n">
        <v>376</v>
      </c>
      <c r="T875" s="8" t="n">
        <v>242</v>
      </c>
      <c r="U875" s="9" t="n">
        <v>14410</v>
      </c>
      <c r="V875" s="10" t="n">
        <v>509</v>
      </c>
      <c r="W875" s="10" t="n">
        <v>-126</v>
      </c>
      <c r="X875" s="7" t="n">
        <v>13678</v>
      </c>
      <c r="Y875" s="8" t="n">
        <v>1627</v>
      </c>
      <c r="Z875" s="8" t="n">
        <v>-3276</v>
      </c>
      <c r="AA875" s="9" t="n">
        <v>12480</v>
      </c>
      <c r="AB875" s="10" t="n">
        <v>66</v>
      </c>
      <c r="AC875" s="10" t="n">
        <v>-285</v>
      </c>
      <c r="AD875" s="7" t="n">
        <v>11897</v>
      </c>
      <c r="AE875" s="8" t="n">
        <v>-242</v>
      </c>
      <c r="AF875" s="8" t="n">
        <v>-4341</v>
      </c>
      <c r="AG875" s="9" t="n">
        <v>11939</v>
      </c>
      <c r="AH875" s="10" t="n">
        <v>301</v>
      </c>
      <c r="AI875" s="10" t="n">
        <v>689</v>
      </c>
      <c r="AJ875" s="11" t="n">
        <v>16702</v>
      </c>
      <c r="AK875" s="12" t="n">
        <v>1638</v>
      </c>
      <c r="AL875" s="12" t="n">
        <v>518</v>
      </c>
      <c r="AM875" s="13" t="n">
        <v>39.9</v>
      </c>
      <c r="AN875" s="13" t="n">
        <v>22.1</v>
      </c>
      <c r="AO875" s="13" t="n">
        <v>444.2</v>
      </c>
      <c r="AP875" s="13" t="n">
        <v>0.7</v>
      </c>
    </row>
    <row r="876">
      <c r="A876" s="5" t="inlineStr">
        <is>
          <t>카페24</t>
        </is>
      </c>
      <c r="B876" s="6" t="inlineStr">
        <is>
          <t>042000</t>
        </is>
      </c>
      <c r="C876" s="6" t="inlineStr">
        <is>
          <t>연결</t>
        </is>
      </c>
      <c r="D876" s="6" t="inlineStr">
        <is>
          <t>2026Q2</t>
        </is>
      </c>
      <c r="E876" s="6" t="inlineStr">
        <is>
          <t>2023Q4</t>
        </is>
      </c>
      <c r="F876" s="14" t="n">
        <v>74507</v>
      </c>
      <c r="G876" s="15" t="n">
        <v>3957</v>
      </c>
      <c r="H876" s="15" t="n">
        <v>-12854</v>
      </c>
      <c r="I876" s="9" t="n">
        <v>66852</v>
      </c>
      <c r="J876" s="10" t="n">
        <v>2157</v>
      </c>
      <c r="K876" s="10" t="n">
        <v>736</v>
      </c>
      <c r="L876" s="7" t="n">
        <v>75807</v>
      </c>
      <c r="M876" s="8" t="n">
        <v>6925</v>
      </c>
      <c r="N876" s="8" t="n">
        <v>6730</v>
      </c>
      <c r="O876" s="9" t="n">
        <v>76488</v>
      </c>
      <c r="P876" s="10" t="n">
        <v>6717</v>
      </c>
      <c r="Q876" s="10" t="n">
        <v>4893</v>
      </c>
      <c r="R876" s="7" t="n">
        <v>83330</v>
      </c>
      <c r="S876" s="8" t="n">
        <v>16145</v>
      </c>
      <c r="T876" s="8" t="n">
        <v>11135</v>
      </c>
      <c r="U876" s="9" t="n">
        <v>71249</v>
      </c>
      <c r="V876" s="10" t="n">
        <v>5959</v>
      </c>
      <c r="W876" s="10" t="n">
        <v>5265</v>
      </c>
      <c r="X876" s="7" t="n">
        <v>79422</v>
      </c>
      <c r="Y876" s="8" t="n">
        <v>11236</v>
      </c>
      <c r="Z876" s="8" t="n">
        <v>13102</v>
      </c>
      <c r="AA876" s="9" t="n">
        <v>76774</v>
      </c>
      <c r="AB876" s="10" t="n">
        <v>10044</v>
      </c>
      <c r="AC876" s="10" t="n">
        <v>7515</v>
      </c>
      <c r="AD876" s="7" t="n">
        <v>87319</v>
      </c>
      <c r="AE876" s="8" t="n">
        <v>12988</v>
      </c>
      <c r="AF876" s="8" t="n">
        <v>13181</v>
      </c>
      <c r="AG876" s="9" t="n">
        <v>75504</v>
      </c>
      <c r="AH876" s="10" t="n">
        <v>6236</v>
      </c>
      <c r="AI876" s="10" t="n">
        <v>6357</v>
      </c>
      <c r="AJ876" s="11" t="n">
        <v>83427</v>
      </c>
      <c r="AK876" s="12" t="n">
        <v>8233</v>
      </c>
      <c r="AL876" s="12" t="n">
        <v>8833</v>
      </c>
      <c r="AM876" s="13" t="n">
        <v>10.5</v>
      </c>
      <c r="AN876" s="13" t="n">
        <v>5</v>
      </c>
      <c r="AO876" s="13" t="n">
        <v>32</v>
      </c>
      <c r="AP876" s="13" t="n">
        <v>-26.7</v>
      </c>
    </row>
    <row r="877">
      <c r="A877" s="5" t="inlineStr">
        <is>
          <t>케이피엠테크</t>
        </is>
      </c>
      <c r="B877" s="6" t="inlineStr">
        <is>
          <t>042040</t>
        </is>
      </c>
      <c r="C877" s="6" t="inlineStr">
        <is>
          <t>연결</t>
        </is>
      </c>
      <c r="D877" s="6" t="inlineStr">
        <is>
          <t>2026Q2</t>
        </is>
      </c>
      <c r="E877" s="6" t="inlineStr"/>
      <c r="F877" s="7" t="inlineStr"/>
      <c r="G877" s="8" t="inlineStr"/>
      <c r="H877" s="8" t="inlineStr"/>
      <c r="I877" s="9" t="n">
        <v>6562</v>
      </c>
      <c r="J877" s="10" t="n">
        <v>-1787</v>
      </c>
      <c r="K877" s="10" t="n">
        <v>247</v>
      </c>
      <c r="L877" s="7" t="n">
        <v>7377</v>
      </c>
      <c r="M877" s="8" t="n">
        <v>-1252</v>
      </c>
      <c r="N877" s="8" t="n">
        <v>-4549</v>
      </c>
      <c r="O877" s="9" t="n">
        <v>6240</v>
      </c>
      <c r="P877" s="10" t="n">
        <v>-1303</v>
      </c>
      <c r="Q877" s="10" t="n">
        <v>-2707</v>
      </c>
      <c r="R877" s="7" t="n">
        <v>8465</v>
      </c>
      <c r="S877" s="8" t="n">
        <v>-220</v>
      </c>
      <c r="T877" s="8" t="n">
        <v>-33356</v>
      </c>
      <c r="U877" s="9" t="n">
        <v>14280</v>
      </c>
      <c r="V877" s="10" t="n">
        <v>-6822</v>
      </c>
      <c r="W877" s="10" t="n">
        <v>-12695</v>
      </c>
      <c r="X877" s="7" t="n">
        <v>20492</v>
      </c>
      <c r="Y877" s="8" t="n">
        <v>-4063</v>
      </c>
      <c r="Z877" s="8" t="n">
        <v>6990</v>
      </c>
      <c r="AA877" s="9" t="n">
        <v>22891</v>
      </c>
      <c r="AB877" s="10" t="n">
        <v>-5236</v>
      </c>
      <c r="AC877" s="10" t="n">
        <v>-15864</v>
      </c>
      <c r="AD877" s="7" t="n">
        <v>19261</v>
      </c>
      <c r="AE877" s="8" t="n">
        <v>-1033</v>
      </c>
      <c r="AF877" s="8" t="n">
        <v>-9341</v>
      </c>
      <c r="AG877" s="9" t="n">
        <v>19822</v>
      </c>
      <c r="AH877" s="10" t="n">
        <v>-3742</v>
      </c>
      <c r="AI877" s="10" t="n">
        <v>-10290</v>
      </c>
      <c r="AJ877" s="11" t="n">
        <v>20092</v>
      </c>
      <c r="AK877" s="12" t="n">
        <v>-135</v>
      </c>
      <c r="AL877" s="12" t="n">
        <v>-14002</v>
      </c>
      <c r="AM877" s="13" t="n">
        <v>1.4</v>
      </c>
      <c r="AN877" s="13" t="n">
        <v>-2</v>
      </c>
      <c r="AO877" s="13" t="n">
        <v>96.40000000000001</v>
      </c>
      <c r="AP877" s="13" t="n">
        <v>96.7</v>
      </c>
    </row>
    <row r="878">
      <c r="A878" s="5" t="inlineStr">
        <is>
          <t>에스씨디</t>
        </is>
      </c>
      <c r="B878" s="6" t="inlineStr">
        <is>
          <t>042110</t>
        </is>
      </c>
      <c r="C878" s="6" t="inlineStr">
        <is>
          <t>연결</t>
        </is>
      </c>
      <c r="D878" s="6" t="inlineStr">
        <is>
          <t>2026Q2</t>
        </is>
      </c>
      <c r="E878" s="6" t="inlineStr"/>
      <c r="F878" s="7" t="inlineStr"/>
      <c r="G878" s="8" t="inlineStr"/>
      <c r="H878" s="8" t="inlineStr"/>
      <c r="I878" s="9" t="n">
        <v>54493</v>
      </c>
      <c r="J878" s="10" t="n">
        <v>3436</v>
      </c>
      <c r="K878" s="10" t="n">
        <v>2855</v>
      </c>
      <c r="L878" s="7" t="n">
        <v>56217</v>
      </c>
      <c r="M878" s="8" t="n">
        <v>2412</v>
      </c>
      <c r="N878" s="8" t="n">
        <v>2006</v>
      </c>
      <c r="O878" s="9" t="n">
        <v>53206</v>
      </c>
      <c r="P878" s="10" t="n">
        <v>3397</v>
      </c>
      <c r="Q878" s="10" t="n">
        <v>4124</v>
      </c>
      <c r="R878" s="7" t="n">
        <v>50059</v>
      </c>
      <c r="S878" s="8" t="n">
        <v>98</v>
      </c>
      <c r="T878" s="8" t="n">
        <v>-590</v>
      </c>
      <c r="U878" s="9" t="n">
        <v>59535</v>
      </c>
      <c r="V878" s="10" t="n">
        <v>2776</v>
      </c>
      <c r="W878" s="10" t="n">
        <v>2696</v>
      </c>
      <c r="X878" s="7" t="n">
        <v>52429</v>
      </c>
      <c r="Y878" s="8" t="n">
        <v>1632</v>
      </c>
      <c r="Z878" s="8" t="n">
        <v>2170</v>
      </c>
      <c r="AA878" s="9" t="n">
        <v>53077</v>
      </c>
      <c r="AB878" s="10" t="n">
        <v>1308</v>
      </c>
      <c r="AC878" s="10" t="n">
        <v>1103</v>
      </c>
      <c r="AD878" s="7" t="n">
        <v>51096</v>
      </c>
      <c r="AE878" s="8" t="n">
        <v>590</v>
      </c>
      <c r="AF878" s="8" t="n">
        <v>427</v>
      </c>
      <c r="AG878" s="9" t="n">
        <v>50999</v>
      </c>
      <c r="AH878" s="10" t="n">
        <v>508</v>
      </c>
      <c r="AI878" s="10" t="n">
        <v>704</v>
      </c>
      <c r="AJ878" s="11" t="n">
        <v>47910</v>
      </c>
      <c r="AK878" s="12" t="n">
        <v>89</v>
      </c>
      <c r="AL878" s="12" t="n">
        <v>-62</v>
      </c>
      <c r="AM878" s="13" t="n">
        <v>-6.1</v>
      </c>
      <c r="AN878" s="13" t="n">
        <v>-8.6</v>
      </c>
      <c r="AO878" s="13" t="n">
        <v>-82.5</v>
      </c>
      <c r="AP878" s="13" t="n">
        <v>-94.5</v>
      </c>
    </row>
    <row r="879">
      <c r="A879" s="5" t="inlineStr">
        <is>
          <t>비츠로테크</t>
        </is>
      </c>
      <c r="B879" s="6" t="inlineStr">
        <is>
          <t>042370</t>
        </is>
      </c>
      <c r="C879" s="6" t="inlineStr">
        <is>
          <t>연결</t>
        </is>
      </c>
      <c r="D879" s="6" t="inlineStr">
        <is>
          <t>2026Q2</t>
        </is>
      </c>
      <c r="E879" s="6" t="inlineStr"/>
      <c r="F879" s="7" t="inlineStr"/>
      <c r="G879" s="8" t="inlineStr"/>
      <c r="H879" s="8" t="inlineStr"/>
      <c r="I879" s="9" t="n">
        <v>87016</v>
      </c>
      <c r="J879" s="10" t="n">
        <v>8727</v>
      </c>
      <c r="K879" s="10" t="n">
        <v>9492</v>
      </c>
      <c r="L879" s="7" t="n">
        <v>99890</v>
      </c>
      <c r="M879" s="8" t="n">
        <v>11641</v>
      </c>
      <c r="N879" s="8" t="n">
        <v>8833</v>
      </c>
      <c r="O879" s="9" t="n">
        <v>104921</v>
      </c>
      <c r="P879" s="10" t="n">
        <v>11017</v>
      </c>
      <c r="Q879" s="10" t="n">
        <v>7976</v>
      </c>
      <c r="R879" s="7" t="n">
        <v>136498</v>
      </c>
      <c r="S879" s="8" t="n">
        <v>19759</v>
      </c>
      <c r="T879" s="8" t="n">
        <v>15234</v>
      </c>
      <c r="U879" s="9" t="n">
        <v>97721</v>
      </c>
      <c r="V879" s="10" t="n">
        <v>11422</v>
      </c>
      <c r="W879" s="10" t="n">
        <v>9609</v>
      </c>
      <c r="X879" s="7" t="n">
        <v>104502</v>
      </c>
      <c r="Y879" s="8" t="n">
        <v>10728</v>
      </c>
      <c r="Z879" s="8" t="n">
        <v>3148</v>
      </c>
      <c r="AA879" s="9" t="n">
        <v>102455</v>
      </c>
      <c r="AB879" s="10" t="n">
        <v>15300</v>
      </c>
      <c r="AC879" s="10" t="n">
        <v>14957</v>
      </c>
      <c r="AD879" s="7" t="n">
        <v>127609</v>
      </c>
      <c r="AE879" s="8" t="n">
        <v>18271</v>
      </c>
      <c r="AF879" s="8" t="n">
        <v>14974</v>
      </c>
      <c r="AG879" s="9" t="n">
        <v>105603</v>
      </c>
      <c r="AH879" s="10" t="n">
        <v>13306</v>
      </c>
      <c r="AI879" s="10" t="n">
        <v>12239</v>
      </c>
      <c r="AJ879" s="11" t="n">
        <v>123207</v>
      </c>
      <c r="AK879" s="12" t="n">
        <v>11817</v>
      </c>
      <c r="AL879" s="12" t="n">
        <v>11637</v>
      </c>
      <c r="AM879" s="13" t="n">
        <v>16.7</v>
      </c>
      <c r="AN879" s="13" t="n">
        <v>17.9</v>
      </c>
      <c r="AO879" s="13" t="n">
        <v>-11.2</v>
      </c>
      <c r="AP879" s="13" t="n">
        <v>10.2</v>
      </c>
    </row>
    <row r="880">
      <c r="A880" s="5" t="inlineStr">
        <is>
          <t>네오위즈홀딩스</t>
        </is>
      </c>
      <c r="B880" s="6" t="inlineStr">
        <is>
          <t>042420</t>
        </is>
      </c>
      <c r="C880" s="6" t="inlineStr">
        <is>
          <t>연결</t>
        </is>
      </c>
      <c r="D880" s="6" t="inlineStr">
        <is>
          <t>2026Q2</t>
        </is>
      </c>
      <c r="E880" s="6" t="inlineStr"/>
      <c r="F880" s="7" t="inlineStr"/>
      <c r="G880" s="8" t="inlineStr"/>
      <c r="H880" s="8" t="inlineStr"/>
      <c r="I880" s="9" t="n">
        <v>97465</v>
      </c>
      <c r="J880" s="10" t="n">
        <v>12613</v>
      </c>
      <c r="K880" s="10" t="n">
        <v>13307</v>
      </c>
      <c r="L880" s="7" t="n">
        <v>87275</v>
      </c>
      <c r="M880" s="8" t="n">
        <v>-309</v>
      </c>
      <c r="N880" s="8" t="n">
        <v>-440</v>
      </c>
      <c r="O880" s="9" t="n">
        <v>93435</v>
      </c>
      <c r="P880" s="10" t="n">
        <v>4226</v>
      </c>
      <c r="Q880" s="10" t="n">
        <v>-7176</v>
      </c>
      <c r="R880" s="7" t="n">
        <v>89883</v>
      </c>
      <c r="S880" s="8" t="n">
        <v>3882</v>
      </c>
      <c r="T880" s="8" t="n">
        <v>-25263</v>
      </c>
      <c r="U880" s="9" t="n">
        <v>89304</v>
      </c>
      <c r="V880" s="10" t="n">
        <v>8471</v>
      </c>
      <c r="W880" s="10" t="n">
        <v>3699</v>
      </c>
      <c r="X880" s="7" t="n">
        <v>110436</v>
      </c>
      <c r="Y880" s="8" t="n">
        <v>17194</v>
      </c>
      <c r="Z880" s="8" t="n">
        <v>25873</v>
      </c>
      <c r="AA880" s="9" t="n">
        <v>129188</v>
      </c>
      <c r="AB880" s="10" t="n">
        <v>26911</v>
      </c>
      <c r="AC880" s="10" t="n">
        <v>30754</v>
      </c>
      <c r="AD880" s="7" t="n">
        <v>107873</v>
      </c>
      <c r="AE880" s="8" t="n">
        <v>2668</v>
      </c>
      <c r="AF880" s="8" t="n">
        <v>1442</v>
      </c>
      <c r="AG880" s="9" t="n">
        <v>101585</v>
      </c>
      <c r="AH880" s="10" t="n">
        <v>5596</v>
      </c>
      <c r="AI880" s="10" t="n">
        <v>8849</v>
      </c>
      <c r="AJ880" s="11" t="n">
        <v>103792</v>
      </c>
      <c r="AK880" s="12" t="n">
        <v>8231</v>
      </c>
      <c r="AL880" s="12" t="n">
        <v>18803</v>
      </c>
      <c r="AM880" s="13" t="n">
        <v>2.2</v>
      </c>
      <c r="AN880" s="13" t="n">
        <v>-6</v>
      </c>
      <c r="AO880" s="13" t="n">
        <v>47.1</v>
      </c>
      <c r="AP880" s="13" t="n">
        <v>-52.1</v>
      </c>
    </row>
    <row r="881">
      <c r="A881" s="5" t="inlineStr">
        <is>
          <t>링네트</t>
        </is>
      </c>
      <c r="B881" s="6" t="inlineStr">
        <is>
          <t>042500</t>
        </is>
      </c>
      <c r="C881" s="6" t="inlineStr">
        <is>
          <t>연결</t>
        </is>
      </c>
      <c r="D881" s="6" t="inlineStr">
        <is>
          <t>2026Q2</t>
        </is>
      </c>
      <c r="E881" s="6" t="inlineStr"/>
      <c r="F881" s="7" t="inlineStr"/>
      <c r="G881" s="8" t="inlineStr"/>
      <c r="H881" s="8" t="inlineStr"/>
      <c r="I881" s="9" t="n">
        <v>37380</v>
      </c>
      <c r="J881" s="10" t="n">
        <v>2776</v>
      </c>
      <c r="K881" s="10" t="n">
        <v>2937</v>
      </c>
      <c r="L881" s="7" t="n">
        <v>35258</v>
      </c>
      <c r="M881" s="8" t="n">
        <v>3176</v>
      </c>
      <c r="N881" s="8" t="n">
        <v>2988</v>
      </c>
      <c r="O881" s="9" t="n">
        <v>31754</v>
      </c>
      <c r="P881" s="10" t="n">
        <v>4111</v>
      </c>
      <c r="Q881" s="10" t="n">
        <v>3600</v>
      </c>
      <c r="R881" s="7" t="n">
        <v>59513</v>
      </c>
      <c r="S881" s="8" t="n">
        <v>3628</v>
      </c>
      <c r="T881" s="8" t="n">
        <v>3329</v>
      </c>
      <c r="U881" s="9" t="n">
        <v>25815</v>
      </c>
      <c r="V881" s="10" t="n">
        <v>960</v>
      </c>
      <c r="W881" s="10" t="n">
        <v>1685</v>
      </c>
      <c r="X881" s="7" t="n">
        <v>34505</v>
      </c>
      <c r="Y881" s="8" t="n">
        <v>2101</v>
      </c>
      <c r="Z881" s="8" t="n">
        <v>3427</v>
      </c>
      <c r="AA881" s="9" t="n">
        <v>43670</v>
      </c>
      <c r="AB881" s="10" t="n">
        <v>4957</v>
      </c>
      <c r="AC881" s="10" t="n">
        <v>3794</v>
      </c>
      <c r="AD881" s="7" t="n">
        <v>79084</v>
      </c>
      <c r="AE881" s="8" t="n">
        <v>6295</v>
      </c>
      <c r="AF881" s="8" t="n">
        <v>1996</v>
      </c>
      <c r="AG881" s="9" t="n">
        <v>37475</v>
      </c>
      <c r="AH881" s="10" t="n">
        <v>2820</v>
      </c>
      <c r="AI881" s="10" t="n">
        <v>2260</v>
      </c>
      <c r="AJ881" s="11" t="n">
        <v>57974</v>
      </c>
      <c r="AK881" s="12" t="n">
        <v>621</v>
      </c>
      <c r="AL881" s="12" t="n">
        <v>1711</v>
      </c>
      <c r="AM881" s="13" t="n">
        <v>54.7</v>
      </c>
      <c r="AN881" s="13" t="n">
        <v>68</v>
      </c>
      <c r="AO881" s="13" t="n">
        <v>-78</v>
      </c>
      <c r="AP881" s="13" t="n">
        <v>-70.40000000000001</v>
      </c>
    </row>
    <row r="882">
      <c r="A882" s="5" t="inlineStr">
        <is>
          <t>라온시큐어</t>
        </is>
      </c>
      <c r="B882" s="6" t="inlineStr">
        <is>
          <t>042510</t>
        </is>
      </c>
      <c r="C882" s="6" t="inlineStr">
        <is>
          <t>연결</t>
        </is>
      </c>
      <c r="D882" s="6" t="inlineStr">
        <is>
          <t>2026Q2</t>
        </is>
      </c>
      <c r="E882" s="6" t="inlineStr"/>
      <c r="F882" s="7" t="inlineStr"/>
      <c r="G882" s="8" t="inlineStr"/>
      <c r="H882" s="8" t="inlineStr"/>
      <c r="I882" s="9" t="n">
        <v>11334</v>
      </c>
      <c r="J882" s="10" t="n">
        <v>-2858</v>
      </c>
      <c r="K882" s="10" t="n">
        <v>-2720</v>
      </c>
      <c r="L882" s="7" t="n">
        <v>12740</v>
      </c>
      <c r="M882" s="8" t="n">
        <v>-1443</v>
      </c>
      <c r="N882" s="8" t="n">
        <v>571</v>
      </c>
      <c r="O882" s="9" t="n">
        <v>14933</v>
      </c>
      <c r="P882" s="10" t="n">
        <v>-150</v>
      </c>
      <c r="Q882" s="10" t="n">
        <v>-79</v>
      </c>
      <c r="R882" s="7" t="n">
        <v>23486</v>
      </c>
      <c r="S882" s="8" t="n">
        <v>6418</v>
      </c>
      <c r="T882" s="8" t="n">
        <v>6336</v>
      </c>
      <c r="U882" s="9" t="n">
        <v>10888</v>
      </c>
      <c r="V882" s="10" t="n">
        <v>-3107</v>
      </c>
      <c r="W882" s="10" t="n">
        <v>-2841</v>
      </c>
      <c r="X882" s="7" t="n">
        <v>13897</v>
      </c>
      <c r="Y882" s="8" t="n">
        <v>-802</v>
      </c>
      <c r="Z882" s="8" t="n">
        <v>7</v>
      </c>
      <c r="AA882" s="9" t="n">
        <v>15980</v>
      </c>
      <c r="AB882" s="10" t="n">
        <v>1598</v>
      </c>
      <c r="AC882" s="10" t="n">
        <v>876</v>
      </c>
      <c r="AD882" s="7" t="n">
        <v>22986</v>
      </c>
      <c r="AE882" s="8" t="n">
        <v>5093</v>
      </c>
      <c r="AF882" s="8" t="n">
        <v>5510</v>
      </c>
      <c r="AG882" s="9" t="n">
        <v>9420</v>
      </c>
      <c r="AH882" s="10" t="n">
        <v>-2148</v>
      </c>
      <c r="AI882" s="10" t="n">
        <v>-2149</v>
      </c>
      <c r="AJ882" s="11" t="n">
        <v>12176</v>
      </c>
      <c r="AK882" s="12" t="n">
        <v>-674</v>
      </c>
      <c r="AL882" s="12" t="n">
        <v>208</v>
      </c>
      <c r="AM882" s="13" t="n">
        <v>29.3</v>
      </c>
      <c r="AN882" s="13" t="n">
        <v>-12.4</v>
      </c>
      <c r="AO882" s="13" t="n">
        <v>68.59999999999999</v>
      </c>
      <c r="AP882" s="13" t="n">
        <v>16</v>
      </c>
    </row>
    <row r="883">
      <c r="A883" s="5" t="inlineStr">
        <is>
          <t>한스바이오메드</t>
        </is>
      </c>
      <c r="B883" s="6" t="inlineStr">
        <is>
          <t>042520</t>
        </is>
      </c>
      <c r="C883" s="6" t="inlineStr">
        <is>
          <t>연결</t>
        </is>
      </c>
      <c r="D883" s="6" t="inlineStr">
        <is>
          <t>2026Q2</t>
        </is>
      </c>
      <c r="E883" s="6" t="inlineStr"/>
      <c r="F883" s="7" t="inlineStr"/>
      <c r="G883" s="8" t="inlineStr"/>
      <c r="H883" s="8" t="inlineStr"/>
      <c r="I883" s="9" t="n">
        <v>19876</v>
      </c>
      <c r="J883" s="10" t="n">
        <v>-749</v>
      </c>
      <c r="K883" s="10" t="n">
        <v>-2035</v>
      </c>
      <c r="L883" s="7" t="n">
        <v>20453</v>
      </c>
      <c r="M883" s="8" t="n">
        <v>189</v>
      </c>
      <c r="N883" s="8" t="n">
        <v>-432</v>
      </c>
      <c r="O883" s="9" t="n">
        <v>20814</v>
      </c>
      <c r="P883" s="10" t="n">
        <v>654</v>
      </c>
      <c r="Q883" s="10" t="n">
        <v>-32</v>
      </c>
      <c r="R883" s="7" t="n">
        <v>19994</v>
      </c>
      <c r="S883" s="8" t="n">
        <v>532</v>
      </c>
      <c r="T883" s="8" t="n">
        <v>-5301</v>
      </c>
      <c r="U883" s="9" t="n">
        <v>30266</v>
      </c>
      <c r="V883" s="10" t="n">
        <v>2063</v>
      </c>
      <c r="W883" s="10" t="n">
        <v>1855</v>
      </c>
      <c r="X883" s="7" t="n">
        <v>24155</v>
      </c>
      <c r="Y883" s="8" t="n">
        <v>1768</v>
      </c>
      <c r="Z883" s="8" t="n">
        <v>729</v>
      </c>
      <c r="AA883" s="9" t="n">
        <v>22034</v>
      </c>
      <c r="AB883" s="10" t="n">
        <v>41</v>
      </c>
      <c r="AC883" s="10" t="n">
        <v>-3433</v>
      </c>
      <c r="AD883" s="7" t="n">
        <v>13325</v>
      </c>
      <c r="AE883" s="8" t="n">
        <v>-29763</v>
      </c>
      <c r="AF883" s="8" t="n">
        <v>-31226</v>
      </c>
      <c r="AG883" s="9" t="inlineStr"/>
      <c r="AH883" s="10" t="inlineStr"/>
      <c r="AI883" s="10" t="inlineStr"/>
      <c r="AJ883" s="11" t="n">
        <v>34486</v>
      </c>
      <c r="AK883" s="12" t="n">
        <v>4439</v>
      </c>
      <c r="AL883" s="12" t="n">
        <v>3744</v>
      </c>
      <c r="AM883" s="13" t="inlineStr"/>
      <c r="AN883" s="13" t="n">
        <v>42.8</v>
      </c>
      <c r="AO883" s="13" t="inlineStr"/>
      <c r="AP883" s="13" t="n">
        <v>151.1</v>
      </c>
    </row>
    <row r="884">
      <c r="A884" s="5" t="inlineStr">
        <is>
          <t>새로닉스</t>
        </is>
      </c>
      <c r="B884" s="6" t="inlineStr">
        <is>
          <t>042600</t>
        </is>
      </c>
      <c r="C884" s="6" t="inlineStr">
        <is>
          <t>연결</t>
        </is>
      </c>
      <c r="D884" s="6" t="inlineStr">
        <is>
          <t>2026Q2</t>
        </is>
      </c>
      <c r="E884" s="6" t="inlineStr"/>
      <c r="F884" s="7" t="inlineStr"/>
      <c r="G884" s="8" t="inlineStr"/>
      <c r="H884" s="8" t="inlineStr"/>
      <c r="I884" s="9" t="n">
        <v>46892</v>
      </c>
      <c r="J884" s="10" t="n">
        <v>-134</v>
      </c>
      <c r="K884" s="10" t="n">
        <v>-17369</v>
      </c>
      <c r="L884" s="7" t="n">
        <v>48699</v>
      </c>
      <c r="M884" s="8" t="n">
        <v>1258</v>
      </c>
      <c r="N884" s="8" t="n">
        <v>-10069</v>
      </c>
      <c r="O884" s="9" t="n">
        <v>54496</v>
      </c>
      <c r="P884" s="10" t="n">
        <v>4407</v>
      </c>
      <c r="Q884" s="10" t="n">
        <v>-10414</v>
      </c>
      <c r="R884" s="7" t="n">
        <v>52414</v>
      </c>
      <c r="S884" s="8" t="n">
        <v>1752</v>
      </c>
      <c r="T884" s="8" t="n">
        <v>-15065</v>
      </c>
      <c r="U884" s="9" t="n">
        <v>50934</v>
      </c>
      <c r="V884" s="10" t="n">
        <v>-138</v>
      </c>
      <c r="W884" s="10" t="n">
        <v>-16778</v>
      </c>
      <c r="X884" s="7" t="n">
        <v>39503</v>
      </c>
      <c r="Y884" s="8" t="n">
        <v>-3377</v>
      </c>
      <c r="Z884" s="8" t="n">
        <v>-22213</v>
      </c>
      <c r="AA884" s="9" t="n">
        <v>40036</v>
      </c>
      <c r="AB884" s="10" t="n">
        <v>945</v>
      </c>
      <c r="AC884" s="10" t="n">
        <v>-13296</v>
      </c>
      <c r="AD884" s="7" t="n">
        <v>34475</v>
      </c>
      <c r="AE884" s="8" t="n">
        <v>-63</v>
      </c>
      <c r="AF884" s="8" t="n">
        <v>20225</v>
      </c>
      <c r="AG884" s="9" t="n">
        <v>45376</v>
      </c>
      <c r="AH884" s="10" t="n">
        <v>-584</v>
      </c>
      <c r="AI884" s="10" t="n">
        <v>-2239</v>
      </c>
      <c r="AJ884" s="11" t="n">
        <v>42727</v>
      </c>
      <c r="AK884" s="12" t="n">
        <v>-4490</v>
      </c>
      <c r="AL884" s="12" t="n">
        <v>14286</v>
      </c>
      <c r="AM884" s="13" t="n">
        <v>-5.8</v>
      </c>
      <c r="AN884" s="13" t="n">
        <v>8.199999999999999</v>
      </c>
      <c r="AO884" s="13" t="n">
        <v>-668.8</v>
      </c>
      <c r="AP884" s="13" t="n">
        <v>-33</v>
      </c>
    </row>
    <row r="885">
      <c r="A885" s="5" t="inlineStr">
        <is>
          <t>한화오션</t>
        </is>
      </c>
      <c r="B885" s="6" t="inlineStr">
        <is>
          <t>042660</t>
        </is>
      </c>
      <c r="C885" s="6" t="inlineStr">
        <is>
          <t>연결</t>
        </is>
      </c>
      <c r="D885" s="6" t="inlineStr">
        <is>
          <t>2026Q2</t>
        </is>
      </c>
      <c r="E885" s="6" t="inlineStr">
        <is>
          <t>2023Q4</t>
        </is>
      </c>
      <c r="F885" s="14" t="n">
        <v>2230900</v>
      </c>
      <c r="G885" s="15" t="n">
        <v>-48800</v>
      </c>
      <c r="H885" s="15" t="n">
        <v>286000</v>
      </c>
      <c r="I885" s="9" t="n">
        <v>2283627</v>
      </c>
      <c r="J885" s="10" t="n">
        <v>52936</v>
      </c>
      <c r="K885" s="10" t="n">
        <v>51021</v>
      </c>
      <c r="L885" s="7" t="n">
        <v>2536091</v>
      </c>
      <c r="M885" s="8" t="n">
        <v>-9659</v>
      </c>
      <c r="N885" s="8" t="n">
        <v>-27383</v>
      </c>
      <c r="O885" s="9" t="n">
        <v>2703109</v>
      </c>
      <c r="P885" s="10" t="n">
        <v>25582</v>
      </c>
      <c r="Q885" s="10" t="n">
        <v>-74847</v>
      </c>
      <c r="R885" s="7" t="n">
        <v>3253178</v>
      </c>
      <c r="S885" s="8" t="n">
        <v>169017</v>
      </c>
      <c r="T885" s="8" t="n">
        <v>579422</v>
      </c>
      <c r="U885" s="9" t="n">
        <v>3143090</v>
      </c>
      <c r="V885" s="10" t="n">
        <v>258608</v>
      </c>
      <c r="W885" s="10" t="n">
        <v>215726</v>
      </c>
      <c r="X885" s="7" t="n">
        <v>3294113</v>
      </c>
      <c r="Y885" s="8" t="n">
        <v>371704</v>
      </c>
      <c r="Z885" s="8" t="n">
        <v>148476</v>
      </c>
      <c r="AA885" s="9" t="n">
        <v>3023358</v>
      </c>
      <c r="AB885" s="10" t="n">
        <v>289759</v>
      </c>
      <c r="AC885" s="10" t="n">
        <v>269387</v>
      </c>
      <c r="AD885" s="7" t="n">
        <v>3322951</v>
      </c>
      <c r="AE885" s="8" t="n">
        <v>247519</v>
      </c>
      <c r="AF885" s="8" t="n">
        <v>612333</v>
      </c>
      <c r="AG885" s="9" t="n">
        <v>3209940</v>
      </c>
      <c r="AH885" s="10" t="n">
        <v>441065</v>
      </c>
      <c r="AI885" s="10" t="n">
        <v>500037</v>
      </c>
      <c r="AJ885" s="11" t="n">
        <v>5443171</v>
      </c>
      <c r="AK885" s="12" t="n">
        <v>736114</v>
      </c>
      <c r="AL885" s="12" t="n">
        <v>692589</v>
      </c>
      <c r="AM885" s="13" t="n">
        <v>69.59999999999999</v>
      </c>
      <c r="AN885" s="13" t="n">
        <v>65.2</v>
      </c>
      <c r="AO885" s="13" t="n">
        <v>66.90000000000001</v>
      </c>
      <c r="AP885" s="13" t="n">
        <v>98</v>
      </c>
    </row>
    <row r="886">
      <c r="A886" s="5" t="inlineStr">
        <is>
          <t>한미반도체</t>
        </is>
      </c>
      <c r="B886" s="6" t="inlineStr">
        <is>
          <t>042700</t>
        </is>
      </c>
      <c r="C886" s="6" t="inlineStr">
        <is>
          <t>연결</t>
        </is>
      </c>
      <c r="D886" s="6" t="inlineStr">
        <is>
          <t>2026Q2</t>
        </is>
      </c>
      <c r="E886" s="6" t="inlineStr">
        <is>
          <t>2023Q4</t>
        </is>
      </c>
      <c r="F886" s="14" t="n">
        <v>52215</v>
      </c>
      <c r="G886" s="15" t="n">
        <v>18371</v>
      </c>
      <c r="H886" s="8" t="inlineStr"/>
      <c r="I886" s="9" t="n">
        <v>77318</v>
      </c>
      <c r="J886" s="10" t="n">
        <v>28706</v>
      </c>
      <c r="K886" s="10" t="n">
        <v>69601</v>
      </c>
      <c r="L886" s="7" t="n">
        <v>123478</v>
      </c>
      <c r="M886" s="8" t="n">
        <v>55438</v>
      </c>
      <c r="N886" s="8" t="n">
        <v>-11811</v>
      </c>
      <c r="O886" s="9" t="n">
        <v>208525</v>
      </c>
      <c r="P886" s="10" t="n">
        <v>99305</v>
      </c>
      <c r="Q886" s="10" t="n">
        <v>38391</v>
      </c>
      <c r="R886" s="7" t="n">
        <v>149596</v>
      </c>
      <c r="S886" s="8" t="n">
        <v>71943</v>
      </c>
      <c r="T886" s="8" t="n">
        <v>56433</v>
      </c>
      <c r="U886" s="9" t="n">
        <v>147392</v>
      </c>
      <c r="V886" s="10" t="n">
        <v>69632</v>
      </c>
      <c r="W886" s="10" t="n">
        <v>54749</v>
      </c>
      <c r="X886" s="7" t="n">
        <v>180047</v>
      </c>
      <c r="Y886" s="8" t="n">
        <v>86308</v>
      </c>
      <c r="Z886" s="8" t="n">
        <v>64687</v>
      </c>
      <c r="AA886" s="9" t="n">
        <v>166231</v>
      </c>
      <c r="AB886" s="10" t="n">
        <v>67822</v>
      </c>
      <c r="AC886" s="10" t="n">
        <v>65713</v>
      </c>
      <c r="AD886" s="7" t="n">
        <v>83015</v>
      </c>
      <c r="AE886" s="8" t="n">
        <v>27628</v>
      </c>
      <c r="AF886" s="8" t="n">
        <v>28859</v>
      </c>
      <c r="AG886" s="9" t="n">
        <v>50902</v>
      </c>
      <c r="AH886" s="10" t="n">
        <v>8456</v>
      </c>
      <c r="AI886" s="10" t="n">
        <v>19032</v>
      </c>
      <c r="AJ886" s="11" t="n">
        <v>251163</v>
      </c>
      <c r="AK886" s="12" t="n">
        <v>130347</v>
      </c>
      <c r="AL886" s="12" t="n">
        <v>108431</v>
      </c>
      <c r="AM886" s="13" t="n">
        <v>393.4</v>
      </c>
      <c r="AN886" s="13" t="n">
        <v>39.5</v>
      </c>
      <c r="AO886" s="13" t="n">
        <v>1441.5</v>
      </c>
      <c r="AP886" s="13" t="n">
        <v>51</v>
      </c>
    </row>
    <row r="887">
      <c r="A887" s="5" t="inlineStr">
        <is>
          <t>상지건설</t>
        </is>
      </c>
      <c r="B887" s="6" t="inlineStr">
        <is>
          <t>042940</t>
        </is>
      </c>
      <c r="C887" s="6" t="inlineStr">
        <is>
          <t>연결</t>
        </is>
      </c>
      <c r="D887" s="6" t="inlineStr">
        <is>
          <t>2026Q2</t>
        </is>
      </c>
      <c r="E887" s="6" t="inlineStr"/>
      <c r="F887" s="7" t="inlineStr"/>
      <c r="G887" s="8" t="inlineStr"/>
      <c r="H887" s="8" t="inlineStr"/>
      <c r="I887" s="9" t="n">
        <v>10719</v>
      </c>
      <c r="J887" s="10" t="n">
        <v>-5427</v>
      </c>
      <c r="K887" s="10" t="n">
        <v>-6323</v>
      </c>
      <c r="L887" s="7" t="n">
        <v>6288</v>
      </c>
      <c r="M887" s="8" t="n">
        <v>-8211</v>
      </c>
      <c r="N887" s="8" t="n">
        <v>-6976</v>
      </c>
      <c r="O887" s="9" t="n">
        <v>3034</v>
      </c>
      <c r="P887" s="10" t="n">
        <v>-3880</v>
      </c>
      <c r="Q887" s="10" t="n">
        <v>-3370</v>
      </c>
      <c r="R887" s="7" t="n">
        <v>387</v>
      </c>
      <c r="S887" s="8" t="n">
        <v>-4249</v>
      </c>
      <c r="T887" s="8" t="n">
        <v>-10074</v>
      </c>
      <c r="U887" s="9" t="n">
        <v>2282</v>
      </c>
      <c r="V887" s="10" t="n">
        <v>-1100</v>
      </c>
      <c r="W887" s="10" t="n">
        <v>-1705</v>
      </c>
      <c r="X887" s="7" t="n">
        <v>2661</v>
      </c>
      <c r="Y887" s="8" t="n">
        <v>-3663</v>
      </c>
      <c r="Z887" s="8" t="n">
        <v>-601</v>
      </c>
      <c r="AA887" s="9" t="n">
        <v>8305</v>
      </c>
      <c r="AB887" s="10" t="n">
        <v>-2556</v>
      </c>
      <c r="AC887" s="10" t="n">
        <v>-4860</v>
      </c>
      <c r="AD887" s="7" t="n">
        <v>5364</v>
      </c>
      <c r="AE887" s="8" t="n">
        <v>473</v>
      </c>
      <c r="AF887" s="8" t="n">
        <v>-6329</v>
      </c>
      <c r="AG887" s="9" t="n">
        <v>3629</v>
      </c>
      <c r="AH887" s="10" t="n">
        <v>-1719</v>
      </c>
      <c r="AI887" s="10" t="n">
        <v>-1545</v>
      </c>
      <c r="AJ887" s="11" t="n">
        <v>2122</v>
      </c>
      <c r="AK887" s="12" t="n">
        <v>-1809</v>
      </c>
      <c r="AL887" s="12" t="n">
        <v>-3020</v>
      </c>
      <c r="AM887" s="13" t="n">
        <v>-41.5</v>
      </c>
      <c r="AN887" s="13" t="n">
        <v>-20.3</v>
      </c>
      <c r="AO887" s="13" t="n">
        <v>-5.2</v>
      </c>
      <c r="AP887" s="13" t="n">
        <v>50.6</v>
      </c>
    </row>
    <row r="888">
      <c r="A888" s="5" t="inlineStr">
        <is>
          <t>더테크놀로지</t>
        </is>
      </c>
      <c r="B888" s="6" t="inlineStr">
        <is>
          <t>043090</t>
        </is>
      </c>
      <c r="C888" s="6" t="inlineStr">
        <is>
          <t>연결</t>
        </is>
      </c>
      <c r="D888" s="6" t="inlineStr">
        <is>
          <t>2026Q2</t>
        </is>
      </c>
      <c r="E888" s="6" t="inlineStr"/>
      <c r="F888" s="7" t="inlineStr"/>
      <c r="G888" s="8" t="inlineStr"/>
      <c r="H888" s="8" t="inlineStr"/>
      <c r="I888" s="9" t="n">
        <v>2651</v>
      </c>
      <c r="J888" s="10" t="n">
        <v>-1902</v>
      </c>
      <c r="K888" s="10" t="n">
        <v>-3524</v>
      </c>
      <c r="L888" s="7" t="n">
        <v>2548</v>
      </c>
      <c r="M888" s="8" t="n">
        <v>-1917</v>
      </c>
      <c r="N888" s="8" t="n">
        <v>-2478</v>
      </c>
      <c r="O888" s="9" t="n">
        <v>2927</v>
      </c>
      <c r="P888" s="10" t="n">
        <v>-1537</v>
      </c>
      <c r="Q888" s="10" t="n">
        <v>-5295</v>
      </c>
      <c r="R888" s="7" t="n">
        <v>2233</v>
      </c>
      <c r="S888" s="8" t="n">
        <v>-1802</v>
      </c>
      <c r="T888" s="8" t="n">
        <v>-7087</v>
      </c>
      <c r="U888" s="9" t="n">
        <v>2012</v>
      </c>
      <c r="V888" s="10" t="n">
        <v>-1189</v>
      </c>
      <c r="W888" s="10" t="n">
        <v>-2213</v>
      </c>
      <c r="X888" s="7" t="n">
        <v>2436</v>
      </c>
      <c r="Y888" s="8" t="n">
        <v>-782</v>
      </c>
      <c r="Z888" s="8" t="n">
        <v>-5211</v>
      </c>
      <c r="AA888" s="9" t="n">
        <v>1752</v>
      </c>
      <c r="AB888" s="10" t="n">
        <v>-873</v>
      </c>
      <c r="AC888" s="10" t="n">
        <v>-784</v>
      </c>
      <c r="AD888" s="7" t="n">
        <v>6376</v>
      </c>
      <c r="AE888" s="8" t="n">
        <v>-350</v>
      </c>
      <c r="AF888" s="8" t="n">
        <v>-6101</v>
      </c>
      <c r="AG888" s="9" t="n">
        <v>4367</v>
      </c>
      <c r="AH888" s="10" t="n">
        <v>-593</v>
      </c>
      <c r="AI888" s="10" t="n">
        <v>338</v>
      </c>
      <c r="AJ888" s="11" t="n">
        <v>4364</v>
      </c>
      <c r="AK888" s="12" t="n">
        <v>-261</v>
      </c>
      <c r="AL888" s="12" t="n">
        <v>-3145</v>
      </c>
      <c r="AM888" s="13" t="n">
        <v>-0.1</v>
      </c>
      <c r="AN888" s="13" t="n">
        <v>79.09999999999999</v>
      </c>
      <c r="AO888" s="13" t="n">
        <v>56</v>
      </c>
      <c r="AP888" s="13" t="n">
        <v>66.59999999999999</v>
      </c>
    </row>
    <row r="889">
      <c r="A889" s="5" t="inlineStr">
        <is>
          <t>알파AI</t>
        </is>
      </c>
      <c r="B889" s="6" t="inlineStr">
        <is>
          <t>043100</t>
        </is>
      </c>
      <c r="C889" s="6" t="inlineStr">
        <is>
          <t>연결</t>
        </is>
      </c>
      <c r="D889" s="6" t="inlineStr">
        <is>
          <t>2026Q2</t>
        </is>
      </c>
      <c r="E889" s="6" t="inlineStr"/>
      <c r="F889" s="7" t="inlineStr"/>
      <c r="G889" s="8" t="inlineStr"/>
      <c r="H889" s="8" t="inlineStr"/>
      <c r="I889" s="9" t="n">
        <v>6902</v>
      </c>
      <c r="J889" s="10" t="n">
        <v>-1501</v>
      </c>
      <c r="K889" s="10" t="n">
        <v>-227</v>
      </c>
      <c r="L889" s="7" t="n">
        <v>6663</v>
      </c>
      <c r="M889" s="8" t="n">
        <v>-1386</v>
      </c>
      <c r="N889" s="8" t="n">
        <v>-2053</v>
      </c>
      <c r="O889" s="9" t="n">
        <v>6308</v>
      </c>
      <c r="P889" s="10" t="n">
        <v>-1226</v>
      </c>
      <c r="Q889" s="10" t="n">
        <v>-2010</v>
      </c>
      <c r="R889" s="7" t="n">
        <v>6936</v>
      </c>
      <c r="S889" s="8" t="n">
        <v>-3349</v>
      </c>
      <c r="T889" s="8" t="n">
        <v>-3206</v>
      </c>
      <c r="U889" s="9" t="n">
        <v>6683</v>
      </c>
      <c r="V889" s="10" t="n">
        <v>-551</v>
      </c>
      <c r="W889" s="10" t="n">
        <v>-691</v>
      </c>
      <c r="X889" s="7" t="n">
        <v>5507</v>
      </c>
      <c r="Y889" s="8" t="n">
        <v>-375</v>
      </c>
      <c r="Z889" s="8" t="n">
        <v>-756</v>
      </c>
      <c r="AA889" s="9" t="n">
        <v>4799</v>
      </c>
      <c r="AB889" s="10" t="n">
        <v>-1054</v>
      </c>
      <c r="AC889" s="10" t="n">
        <v>-2206</v>
      </c>
      <c r="AD889" s="7" t="n">
        <v>-155</v>
      </c>
      <c r="AE889" s="8" t="n">
        <v>-3745</v>
      </c>
      <c r="AF889" s="8" t="n">
        <v>-2721</v>
      </c>
      <c r="AG889" s="9" t="n">
        <v>3835</v>
      </c>
      <c r="AH889" s="10" t="n">
        <v>-1678</v>
      </c>
      <c r="AI889" s="10" t="n">
        <v>-1860</v>
      </c>
      <c r="AJ889" s="11" t="n">
        <v>3194</v>
      </c>
      <c r="AK889" s="12" t="n">
        <v>-1127</v>
      </c>
      <c r="AL889" s="12" t="n">
        <v>-1674</v>
      </c>
      <c r="AM889" s="13" t="n">
        <v>-16.7</v>
      </c>
      <c r="AN889" s="13" t="n">
        <v>-42</v>
      </c>
      <c r="AO889" s="13" t="n">
        <v>32.8</v>
      </c>
      <c r="AP889" s="13" t="n">
        <v>-200.5</v>
      </c>
    </row>
    <row r="890">
      <c r="A890" s="5" t="inlineStr">
        <is>
          <t>바텍</t>
        </is>
      </c>
      <c r="B890" s="6" t="inlineStr">
        <is>
          <t>043150</t>
        </is>
      </c>
      <c r="C890" s="6" t="inlineStr">
        <is>
          <t>연결</t>
        </is>
      </c>
      <c r="D890" s="6" t="inlineStr">
        <is>
          <t>2026Q2</t>
        </is>
      </c>
      <c r="E890" s="6" t="inlineStr">
        <is>
          <t>2023Q4</t>
        </is>
      </c>
      <c r="F890" s="14" t="n">
        <v>106741</v>
      </c>
      <c r="G890" s="15" t="n">
        <v>14562</v>
      </c>
      <c r="H890" s="15" t="n">
        <v>4787</v>
      </c>
      <c r="I890" s="9" t="n">
        <v>94227</v>
      </c>
      <c r="J890" s="10" t="n">
        <v>14380</v>
      </c>
      <c r="K890" s="10" t="n">
        <v>17243</v>
      </c>
      <c r="L890" s="7" t="n">
        <v>101980</v>
      </c>
      <c r="M890" s="8" t="n">
        <v>16844</v>
      </c>
      <c r="N890" s="8" t="n">
        <v>15065</v>
      </c>
      <c r="O890" s="9" t="n">
        <v>87279</v>
      </c>
      <c r="P890" s="10" t="n">
        <v>12454</v>
      </c>
      <c r="Q890" s="10" t="n">
        <v>7270</v>
      </c>
      <c r="R890" s="7" t="n">
        <v>101709</v>
      </c>
      <c r="S890" s="8" t="n">
        <v>10285</v>
      </c>
      <c r="T890" s="8" t="n">
        <v>15684</v>
      </c>
      <c r="U890" s="9" t="n">
        <v>101316</v>
      </c>
      <c r="V890" s="10" t="n">
        <v>13206</v>
      </c>
      <c r="W890" s="10" t="n">
        <v>11674</v>
      </c>
      <c r="X890" s="7" t="n">
        <v>110618</v>
      </c>
      <c r="Y890" s="8" t="n">
        <v>16877</v>
      </c>
      <c r="Z890" s="8" t="n">
        <v>7381</v>
      </c>
      <c r="AA890" s="9" t="n">
        <v>100113</v>
      </c>
      <c r="AB890" s="10" t="n">
        <v>12404</v>
      </c>
      <c r="AC890" s="10" t="n">
        <v>13662</v>
      </c>
      <c r="AD890" s="7" t="n">
        <v>114369</v>
      </c>
      <c r="AE890" s="8" t="n">
        <v>12292</v>
      </c>
      <c r="AF890" s="8" t="n">
        <v>6367</v>
      </c>
      <c r="AG890" s="9" t="n">
        <v>105198</v>
      </c>
      <c r="AH890" s="10" t="n">
        <v>10995</v>
      </c>
      <c r="AI890" s="10" t="n">
        <v>14233</v>
      </c>
      <c r="AJ890" s="11" t="n">
        <v>121363</v>
      </c>
      <c r="AK890" s="12" t="n">
        <v>24473</v>
      </c>
      <c r="AL890" s="12" t="n">
        <v>22190</v>
      </c>
      <c r="AM890" s="13" t="n">
        <v>15.4</v>
      </c>
      <c r="AN890" s="13" t="n">
        <v>9.699999999999999</v>
      </c>
      <c r="AO890" s="13" t="n">
        <v>122.6</v>
      </c>
      <c r="AP890" s="13" t="n">
        <v>45</v>
      </c>
    </row>
    <row r="891">
      <c r="A891" s="5" t="inlineStr">
        <is>
          <t>파루</t>
        </is>
      </c>
      <c r="B891" s="6" t="inlineStr">
        <is>
          <t>043200</t>
        </is>
      </c>
      <c r="C891" s="6" t="inlineStr">
        <is>
          <t>연결</t>
        </is>
      </c>
      <c r="D891" s="6" t="inlineStr">
        <is>
          <t>2026Q2</t>
        </is>
      </c>
      <c r="E891" s="6" t="inlineStr"/>
      <c r="F891" s="7" t="inlineStr"/>
      <c r="G891" s="8" t="inlineStr"/>
      <c r="H891" s="8" t="inlineStr"/>
      <c r="I891" s="9" t="n">
        <v>11167</v>
      </c>
      <c r="J891" s="10" t="n">
        <v>142</v>
      </c>
      <c r="K891" s="10" t="n">
        <v>-83</v>
      </c>
      <c r="L891" s="7" t="n">
        <v>7651</v>
      </c>
      <c r="M891" s="8" t="n">
        <v>-80</v>
      </c>
      <c r="N891" s="8" t="n">
        <v>455</v>
      </c>
      <c r="O891" s="9" t="n">
        <v>10706</v>
      </c>
      <c r="P891" s="10" t="n">
        <v>-444</v>
      </c>
      <c r="Q891" s="10" t="n">
        <v>-858</v>
      </c>
      <c r="R891" s="7" t="n">
        <v>10566</v>
      </c>
      <c r="S891" s="8" t="n">
        <v>594</v>
      </c>
      <c r="T891" s="8" t="n">
        <v>-495</v>
      </c>
      <c r="U891" s="9" t="n">
        <v>6927</v>
      </c>
      <c r="V891" s="10" t="n">
        <v>-1143</v>
      </c>
      <c r="W891" s="10" t="n">
        <v>-1467</v>
      </c>
      <c r="X891" s="7" t="n">
        <v>5995</v>
      </c>
      <c r="Y891" s="8" t="n">
        <v>-1139</v>
      </c>
      <c r="Z891" s="8" t="n">
        <v>-1624</v>
      </c>
      <c r="AA891" s="9" t="n">
        <v>7895</v>
      </c>
      <c r="AB891" s="10" t="n">
        <v>-164</v>
      </c>
      <c r="AC891" s="10" t="n">
        <v>-428</v>
      </c>
      <c r="AD891" s="7" t="n">
        <v>7968</v>
      </c>
      <c r="AE891" s="8" t="n">
        <v>-288</v>
      </c>
      <c r="AF891" s="8" t="n">
        <v>-614</v>
      </c>
      <c r="AG891" s="9" t="n">
        <v>6913</v>
      </c>
      <c r="AH891" s="10" t="n">
        <v>163</v>
      </c>
      <c r="AI891" s="10" t="n">
        <v>53</v>
      </c>
      <c r="AJ891" s="11" t="n">
        <v>6207</v>
      </c>
      <c r="AK891" s="12" t="n">
        <v>106</v>
      </c>
      <c r="AL891" s="12" t="n">
        <v>-157</v>
      </c>
      <c r="AM891" s="13" t="n">
        <v>-10.2</v>
      </c>
      <c r="AN891" s="13" t="n">
        <v>3.5</v>
      </c>
      <c r="AO891" s="13" t="n">
        <v>-35</v>
      </c>
      <c r="AP891" s="13" t="n">
        <v>109.3</v>
      </c>
    </row>
    <row r="892">
      <c r="A892" s="5" t="inlineStr">
        <is>
          <t>티에스넥스젠</t>
        </is>
      </c>
      <c r="B892" s="6" t="inlineStr">
        <is>
          <t>043220</t>
        </is>
      </c>
      <c r="C892" s="6" t="inlineStr">
        <is>
          <t>연결</t>
        </is>
      </c>
      <c r="D892" s="6" t="inlineStr">
        <is>
          <t>2026Q2</t>
        </is>
      </c>
      <c r="E892" s="6" t="inlineStr"/>
      <c r="F892" s="7" t="inlineStr"/>
      <c r="G892" s="8" t="inlineStr"/>
      <c r="H892" s="8" t="inlineStr"/>
      <c r="I892" s="9" t="n">
        <v>4455</v>
      </c>
      <c r="J892" s="10" t="n">
        <v>-880</v>
      </c>
      <c r="K892" s="10" t="n">
        <v>-970</v>
      </c>
      <c r="L892" s="7" t="n">
        <v>5783</v>
      </c>
      <c r="M892" s="8" t="n">
        <v>-1093</v>
      </c>
      <c r="N892" s="8" t="n">
        <v>-5838</v>
      </c>
      <c r="O892" s="9" t="n">
        <v>6244</v>
      </c>
      <c r="P892" s="10" t="n">
        <v>-2388</v>
      </c>
      <c r="Q892" s="10" t="n">
        <v>-3310</v>
      </c>
      <c r="R892" s="7" t="n">
        <v>5009</v>
      </c>
      <c r="S892" s="8" t="n">
        <v>-1366</v>
      </c>
      <c r="T892" s="8" t="n">
        <v>-9832</v>
      </c>
      <c r="U892" s="9" t="n">
        <v>4307</v>
      </c>
      <c r="V892" s="10" t="n">
        <v>-1776</v>
      </c>
      <c r="W892" s="10" t="n">
        <v>-7019</v>
      </c>
      <c r="X892" s="7" t="n">
        <v>3812</v>
      </c>
      <c r="Y892" s="8" t="n">
        <v>-1300</v>
      </c>
      <c r="Z892" s="8" t="n">
        <v>-8754</v>
      </c>
      <c r="AA892" s="9" t="n">
        <v>2910</v>
      </c>
      <c r="AB892" s="10" t="n">
        <v>-917</v>
      </c>
      <c r="AC892" s="10" t="n">
        <v>-1804</v>
      </c>
      <c r="AD892" s="7" t="n">
        <v>3509</v>
      </c>
      <c r="AE892" s="8" t="n">
        <v>-1879</v>
      </c>
      <c r="AF892" s="8" t="n">
        <v>-20160</v>
      </c>
      <c r="AG892" s="9" t="n">
        <v>3790</v>
      </c>
      <c r="AH892" s="10" t="n">
        <v>-256</v>
      </c>
      <c r="AI892" s="10" t="n">
        <v>-204</v>
      </c>
      <c r="AJ892" s="11" t="n">
        <v>2025</v>
      </c>
      <c r="AK892" s="12" t="n">
        <v>4</v>
      </c>
      <c r="AL892" s="12" t="n">
        <v>-593</v>
      </c>
      <c r="AM892" s="13" t="n">
        <v>-46.6</v>
      </c>
      <c r="AN892" s="13" t="n">
        <v>-46.9</v>
      </c>
      <c r="AO892" s="13" t="n">
        <v>101.6</v>
      </c>
      <c r="AP892" s="13" t="n">
        <v>100.3</v>
      </c>
    </row>
    <row r="893">
      <c r="A893" s="5" t="inlineStr">
        <is>
          <t>성호전자</t>
        </is>
      </c>
      <c r="B893" s="6" t="inlineStr">
        <is>
          <t>043260</t>
        </is>
      </c>
      <c r="C893" s="6" t="inlineStr">
        <is>
          <t>연결</t>
        </is>
      </c>
      <c r="D893" s="6" t="inlineStr">
        <is>
          <t>2026Q2</t>
        </is>
      </c>
      <c r="E893" s="6" t="inlineStr"/>
      <c r="F893" s="7" t="inlineStr"/>
      <c r="G893" s="8" t="inlineStr"/>
      <c r="H893" s="8" t="inlineStr"/>
      <c r="I893" s="9" t="n">
        <v>63022</v>
      </c>
      <c r="J893" s="10" t="n">
        <v>8822</v>
      </c>
      <c r="K893" s="10" t="n">
        <v>3397</v>
      </c>
      <c r="L893" s="7" t="n">
        <v>75090</v>
      </c>
      <c r="M893" s="8" t="n">
        <v>14400</v>
      </c>
      <c r="N893" s="8" t="n">
        <v>15189</v>
      </c>
      <c r="O893" s="9" t="n">
        <v>44789</v>
      </c>
      <c r="P893" s="10" t="n">
        <v>-1867</v>
      </c>
      <c r="Q893" s="10" t="n">
        <v>-1422</v>
      </c>
      <c r="R893" s="7" t="n">
        <v>24426</v>
      </c>
      <c r="S893" s="8" t="n">
        <v>-15043</v>
      </c>
      <c r="T893" s="8" t="n">
        <v>-9087</v>
      </c>
      <c r="U893" s="9" t="n">
        <v>59266</v>
      </c>
      <c r="V893" s="10" t="n">
        <v>1599</v>
      </c>
      <c r="W893" s="10" t="n">
        <v>-22</v>
      </c>
      <c r="X893" s="7" t="n">
        <v>56551</v>
      </c>
      <c r="Y893" s="8" t="n">
        <v>1323</v>
      </c>
      <c r="Z893" s="8" t="n">
        <v>3171</v>
      </c>
      <c r="AA893" s="9" t="n">
        <v>55603</v>
      </c>
      <c r="AB893" s="10" t="n">
        <v>540</v>
      </c>
      <c r="AC893" s="10" t="n">
        <v>2023</v>
      </c>
      <c r="AD893" s="7" t="n">
        <v>60157</v>
      </c>
      <c r="AE893" s="8" t="n">
        <v>4089</v>
      </c>
      <c r="AF893" s="8" t="n">
        <v>85871</v>
      </c>
      <c r="AG893" s="9" t="n">
        <v>66001</v>
      </c>
      <c r="AH893" s="10" t="n">
        <v>3204</v>
      </c>
      <c r="AI893" s="10" t="n">
        <v>319456</v>
      </c>
      <c r="AJ893" s="11" t="n">
        <v>85243</v>
      </c>
      <c r="AK893" s="12" t="n">
        <v>6893</v>
      </c>
      <c r="AL893" s="12" t="n">
        <v>-45997</v>
      </c>
      <c r="AM893" s="13" t="n">
        <v>29.2</v>
      </c>
      <c r="AN893" s="13" t="n">
        <v>50.7</v>
      </c>
      <c r="AO893" s="13" t="n">
        <v>115.1</v>
      </c>
      <c r="AP893" s="13" t="n">
        <v>421</v>
      </c>
    </row>
    <row r="894">
      <c r="A894" s="5" t="inlineStr">
        <is>
          <t>에쎈테크</t>
        </is>
      </c>
      <c r="B894" s="6" t="inlineStr">
        <is>
          <t>043340</t>
        </is>
      </c>
      <c r="C894" s="6" t="inlineStr">
        <is>
          <t>별도</t>
        </is>
      </c>
      <c r="D894" s="6" t="inlineStr">
        <is>
          <t>2026Q2</t>
        </is>
      </c>
      <c r="E894" s="6" t="inlineStr"/>
      <c r="F894" s="7" t="inlineStr"/>
      <c r="G894" s="8" t="inlineStr"/>
      <c r="H894" s="8" t="inlineStr"/>
      <c r="I894" s="9" t="n">
        <v>12885</v>
      </c>
      <c r="J894" s="10" t="n">
        <v>-444</v>
      </c>
      <c r="K894" s="10" t="n">
        <v>-1101</v>
      </c>
      <c r="L894" s="7" t="n">
        <v>15029</v>
      </c>
      <c r="M894" s="8" t="n">
        <v>251</v>
      </c>
      <c r="N894" s="8" t="n">
        <v>-966</v>
      </c>
      <c r="O894" s="9" t="n">
        <v>11106</v>
      </c>
      <c r="P894" s="10" t="n">
        <v>-549</v>
      </c>
      <c r="Q894" s="10" t="n">
        <v>-668</v>
      </c>
      <c r="R894" s="7" t="n">
        <v>15354</v>
      </c>
      <c r="S894" s="8" t="n">
        <v>359</v>
      </c>
      <c r="T894" s="8" t="n">
        <v>-204</v>
      </c>
      <c r="U894" s="9" t="n">
        <v>13899</v>
      </c>
      <c r="V894" s="10" t="n">
        <v>536</v>
      </c>
      <c r="W894" s="10" t="n">
        <v>360</v>
      </c>
      <c r="X894" s="7" t="n">
        <v>13601</v>
      </c>
      <c r="Y894" s="8" t="n">
        <v>348</v>
      </c>
      <c r="Z894" s="8" t="n">
        <v>-189</v>
      </c>
      <c r="AA894" s="9" t="n">
        <v>13140</v>
      </c>
      <c r="AB894" s="10" t="n">
        <v>1</v>
      </c>
      <c r="AC894" s="10" t="n">
        <v>-374</v>
      </c>
      <c r="AD894" s="7" t="n">
        <v>17269</v>
      </c>
      <c r="AE894" s="8" t="n">
        <v>1085</v>
      </c>
      <c r="AF894" s="8" t="n">
        <v>581</v>
      </c>
      <c r="AG894" s="9" t="n">
        <v>16266</v>
      </c>
      <c r="AH894" s="10" t="n">
        <v>823</v>
      </c>
      <c r="AI894" s="10" t="n">
        <v>804</v>
      </c>
      <c r="AJ894" s="11" t="n">
        <v>16216</v>
      </c>
      <c r="AK894" s="12" t="n">
        <v>1048</v>
      </c>
      <c r="AL894" s="12" t="n">
        <v>822</v>
      </c>
      <c r="AM894" s="13" t="n">
        <v>-0.3</v>
      </c>
      <c r="AN894" s="13" t="n">
        <v>19.2</v>
      </c>
      <c r="AO894" s="13" t="n">
        <v>27.3</v>
      </c>
      <c r="AP894" s="13" t="n">
        <v>201.1</v>
      </c>
    </row>
    <row r="895">
      <c r="A895" s="5" t="inlineStr">
        <is>
          <t>디지아이</t>
        </is>
      </c>
      <c r="B895" s="6" t="inlineStr">
        <is>
          <t>043360</t>
        </is>
      </c>
      <c r="C895" s="6" t="inlineStr">
        <is>
          <t>별도</t>
        </is>
      </c>
      <c r="D895" s="6" t="inlineStr">
        <is>
          <t>2026Q2</t>
        </is>
      </c>
      <c r="E895" s="6" t="inlineStr"/>
      <c r="F895" s="7" t="inlineStr"/>
      <c r="G895" s="8" t="inlineStr"/>
      <c r="H895" s="8" t="inlineStr"/>
      <c r="I895" s="9" t="n">
        <v>6584</v>
      </c>
      <c r="J895" s="10" t="n">
        <v>-445</v>
      </c>
      <c r="K895" s="10" t="n">
        <v>-10</v>
      </c>
      <c r="L895" s="7" t="n">
        <v>5659</v>
      </c>
      <c r="M895" s="8" t="n">
        <v>-38</v>
      </c>
      <c r="N895" s="8" t="n">
        <v>200</v>
      </c>
      <c r="O895" s="9" t="n">
        <v>5656</v>
      </c>
      <c r="P895" s="10" t="n">
        <v>-125</v>
      </c>
      <c r="Q895" s="10" t="n">
        <v>-283</v>
      </c>
      <c r="R895" s="7" t="n">
        <v>2505</v>
      </c>
      <c r="S895" s="8" t="n">
        <v>-2128</v>
      </c>
      <c r="T895" s="8" t="n">
        <v>-1809</v>
      </c>
      <c r="U895" s="9" t="n">
        <v>4835</v>
      </c>
      <c r="V895" s="10" t="n">
        <v>-313</v>
      </c>
      <c r="W895" s="10" t="n">
        <v>-234</v>
      </c>
      <c r="X895" s="7" t="n">
        <v>6194</v>
      </c>
      <c r="Y895" s="8" t="n">
        <v>-51</v>
      </c>
      <c r="Z895" s="8" t="n">
        <v>-201</v>
      </c>
      <c r="AA895" s="9" t="n">
        <v>5273</v>
      </c>
      <c r="AB895" s="10" t="n">
        <v>-36</v>
      </c>
      <c r="AC895" s="10" t="n">
        <v>114</v>
      </c>
      <c r="AD895" s="7" t="n">
        <v>5004</v>
      </c>
      <c r="AE895" s="8" t="n">
        <v>-367</v>
      </c>
      <c r="AF895" s="8" t="n">
        <v>-309</v>
      </c>
      <c r="AG895" s="9" t="n">
        <v>4583</v>
      </c>
      <c r="AH895" s="10" t="n">
        <v>-298</v>
      </c>
      <c r="AI895" s="10" t="n">
        <v>-48</v>
      </c>
      <c r="AJ895" s="11" t="n">
        <v>4526</v>
      </c>
      <c r="AK895" s="12" t="n">
        <v>-343</v>
      </c>
      <c r="AL895" s="12" t="n">
        <v>-126</v>
      </c>
      <c r="AM895" s="13" t="n">
        <v>-1.2</v>
      </c>
      <c r="AN895" s="13" t="n">
        <v>-26.9</v>
      </c>
      <c r="AO895" s="13" t="n">
        <v>-15.1</v>
      </c>
      <c r="AP895" s="13" t="n">
        <v>-572.5</v>
      </c>
    </row>
    <row r="896">
      <c r="A896" s="5" t="inlineStr">
        <is>
          <t>피에이치에이</t>
        </is>
      </c>
      <c r="B896" s="6" t="inlineStr">
        <is>
          <t>043370</t>
        </is>
      </c>
      <c r="C896" s="6" t="inlineStr">
        <is>
          <t>연결</t>
        </is>
      </c>
      <c r="D896" s="6" t="inlineStr">
        <is>
          <t>2026Q2</t>
        </is>
      </c>
      <c r="E896" s="6" t="inlineStr"/>
      <c r="F896" s="7" t="inlineStr"/>
      <c r="G896" s="8" t="inlineStr"/>
      <c r="H896" s="8" t="inlineStr"/>
      <c r="I896" s="9" t="n">
        <v>289738</v>
      </c>
      <c r="J896" s="10" t="n">
        <v>16391</v>
      </c>
      <c r="K896" s="10" t="n">
        <v>19552</v>
      </c>
      <c r="L896" s="7" t="n">
        <v>298988</v>
      </c>
      <c r="M896" s="8" t="n">
        <v>13820</v>
      </c>
      <c r="N896" s="8" t="n">
        <v>16671</v>
      </c>
      <c r="O896" s="9" t="n">
        <v>278563</v>
      </c>
      <c r="P896" s="10" t="n">
        <v>11287</v>
      </c>
      <c r="Q896" s="10" t="n">
        <v>6980</v>
      </c>
      <c r="R896" s="7" t="n">
        <v>285591</v>
      </c>
      <c r="S896" s="8" t="n">
        <v>9980</v>
      </c>
      <c r="T896" s="8" t="n">
        <v>18740</v>
      </c>
      <c r="U896" s="9" t="n">
        <v>298947</v>
      </c>
      <c r="V896" s="10" t="n">
        <v>16349</v>
      </c>
      <c r="W896" s="10" t="n">
        <v>15138</v>
      </c>
      <c r="X896" s="7" t="n">
        <v>316543</v>
      </c>
      <c r="Y896" s="8" t="n">
        <v>13509</v>
      </c>
      <c r="Z896" s="8" t="n">
        <v>6371</v>
      </c>
      <c r="AA896" s="9" t="n">
        <v>290646</v>
      </c>
      <c r="AB896" s="10" t="n">
        <v>9527</v>
      </c>
      <c r="AC896" s="10" t="n">
        <v>8766</v>
      </c>
      <c r="AD896" s="7" t="n">
        <v>294537</v>
      </c>
      <c r="AE896" s="8" t="n">
        <v>9054</v>
      </c>
      <c r="AF896" s="8" t="n">
        <v>16000</v>
      </c>
      <c r="AG896" s="9" t="n">
        <v>305202</v>
      </c>
      <c r="AH896" s="10" t="n">
        <v>13277</v>
      </c>
      <c r="AI896" s="10" t="n">
        <v>18270</v>
      </c>
      <c r="AJ896" s="11" t="n">
        <v>316818</v>
      </c>
      <c r="AK896" s="12" t="n">
        <v>11382</v>
      </c>
      <c r="AL896" s="12" t="n">
        <v>14375</v>
      </c>
      <c r="AM896" s="13" t="n">
        <v>3.8</v>
      </c>
      <c r="AN896" s="13" t="n">
        <v>0.1</v>
      </c>
      <c r="AO896" s="13" t="n">
        <v>-14.3</v>
      </c>
      <c r="AP896" s="13" t="n">
        <v>-15.7</v>
      </c>
    </row>
    <row r="897">
      <c r="A897" s="5" t="inlineStr">
        <is>
          <t>웰킵스하이텍</t>
        </is>
      </c>
      <c r="B897" s="6" t="inlineStr">
        <is>
          <t>043590</t>
        </is>
      </c>
      <c r="C897" s="6" t="inlineStr">
        <is>
          <t>연결</t>
        </is>
      </c>
      <c r="D897" s="6" t="inlineStr">
        <is>
          <t>2026Q2</t>
        </is>
      </c>
      <c r="E897" s="6" t="inlineStr"/>
      <c r="F897" s="7" t="inlineStr"/>
      <c r="G897" s="8" t="inlineStr"/>
      <c r="H897" s="8" t="inlineStr"/>
      <c r="I897" s="9" t="n">
        <v>9707</v>
      </c>
      <c r="J897" s="10" t="n">
        <v>-3425</v>
      </c>
      <c r="K897" s="10" t="n">
        <v>-2208</v>
      </c>
      <c r="L897" s="7" t="n">
        <v>8743</v>
      </c>
      <c r="M897" s="8" t="n">
        <v>-2478</v>
      </c>
      <c r="N897" s="8" t="n">
        <v>-2288</v>
      </c>
      <c r="O897" s="9" t="n">
        <v>5194</v>
      </c>
      <c r="P897" s="10" t="n">
        <v>-1841</v>
      </c>
      <c r="Q897" s="10" t="n">
        <v>-1498</v>
      </c>
      <c r="R897" s="7" t="n">
        <v>6196</v>
      </c>
      <c r="S897" s="8" t="n">
        <v>-2211</v>
      </c>
      <c r="T897" s="8" t="n">
        <v>-3833</v>
      </c>
      <c r="U897" s="9" t="n">
        <v>5513</v>
      </c>
      <c r="V897" s="10" t="n">
        <v>58</v>
      </c>
      <c r="W897" s="10" t="n">
        <v>646</v>
      </c>
      <c r="X897" s="7" t="n">
        <v>5617</v>
      </c>
      <c r="Y897" s="8" t="n">
        <v>-666</v>
      </c>
      <c r="Z897" s="8" t="n">
        <v>-909</v>
      </c>
      <c r="AA897" s="9" t="n">
        <v>5238</v>
      </c>
      <c r="AB897" s="10" t="n">
        <v>-580</v>
      </c>
      <c r="AC897" s="10" t="n">
        <v>-361</v>
      </c>
      <c r="AD897" s="7" t="n">
        <v>4985</v>
      </c>
      <c r="AE897" s="8" t="n">
        <v>-913</v>
      </c>
      <c r="AF897" s="8" t="n">
        <v>-2614</v>
      </c>
      <c r="AG897" s="9" t="n">
        <v>4504</v>
      </c>
      <c r="AH897" s="10" t="n">
        <v>-436</v>
      </c>
      <c r="AI897" s="10" t="n">
        <v>-290</v>
      </c>
      <c r="AJ897" s="11" t="n">
        <v>3895</v>
      </c>
      <c r="AK897" s="12" t="n">
        <v>-728</v>
      </c>
      <c r="AL897" s="12" t="n">
        <v>-704</v>
      </c>
      <c r="AM897" s="13" t="n">
        <v>-13.5</v>
      </c>
      <c r="AN897" s="13" t="n">
        <v>-30.7</v>
      </c>
      <c r="AO897" s="13" t="n">
        <v>-67</v>
      </c>
      <c r="AP897" s="13" t="n">
        <v>-9.300000000000001</v>
      </c>
    </row>
    <row r="898">
      <c r="A898" s="5" t="inlineStr">
        <is>
          <t>KT지니뮤직</t>
        </is>
      </c>
      <c r="B898" s="6" t="inlineStr">
        <is>
          <t>043610</t>
        </is>
      </c>
      <c r="C898" s="6" t="inlineStr">
        <is>
          <t>연결</t>
        </is>
      </c>
      <c r="D898" s="6" t="inlineStr">
        <is>
          <t>2026Q2</t>
        </is>
      </c>
      <c r="E898" s="6" t="inlineStr">
        <is>
          <t>2023Q4</t>
        </is>
      </c>
      <c r="F898" s="14" t="n">
        <v>73522</v>
      </c>
      <c r="G898" s="15" t="n">
        <v>3644</v>
      </c>
      <c r="H898" s="15" t="n">
        <v>10772</v>
      </c>
      <c r="I898" s="9" t="n">
        <v>73806</v>
      </c>
      <c r="J898" s="10" t="n">
        <v>3098</v>
      </c>
      <c r="K898" s="10" t="n">
        <v>2750</v>
      </c>
      <c r="L898" s="7" t="n">
        <v>73709</v>
      </c>
      <c r="M898" s="8" t="n">
        <v>4602</v>
      </c>
      <c r="N898" s="8" t="n">
        <v>-579</v>
      </c>
      <c r="O898" s="9" t="n">
        <v>80209</v>
      </c>
      <c r="P898" s="10" t="n">
        <v>3392</v>
      </c>
      <c r="Q898" s="10" t="n">
        <v>3316</v>
      </c>
      <c r="R898" s="7" t="n">
        <v>73891</v>
      </c>
      <c r="S898" s="8" t="n">
        <v>1101</v>
      </c>
      <c r="T898" s="8" t="n">
        <v>-19259</v>
      </c>
      <c r="U898" s="9" t="n">
        <v>69318</v>
      </c>
      <c r="V898" s="10" t="n">
        <v>4035</v>
      </c>
      <c r="W898" s="10" t="n">
        <v>2308</v>
      </c>
      <c r="X898" s="7" t="n">
        <v>73467</v>
      </c>
      <c r="Y898" s="8" t="n">
        <v>5023</v>
      </c>
      <c r="Z898" s="8" t="n">
        <v>4337</v>
      </c>
      <c r="AA898" s="9" t="n">
        <v>83048</v>
      </c>
      <c r="AB898" s="10" t="n">
        <v>5700</v>
      </c>
      <c r="AC898" s="10" t="n">
        <v>3966</v>
      </c>
      <c r="AD898" s="7" t="n">
        <v>77021</v>
      </c>
      <c r="AE898" s="8" t="n">
        <v>1411</v>
      </c>
      <c r="AF898" s="8" t="n">
        <v>-29114</v>
      </c>
      <c r="AG898" s="9" t="n">
        <v>75181</v>
      </c>
      <c r="AH898" s="10" t="n">
        <v>4960</v>
      </c>
      <c r="AI898" s="10" t="n">
        <v>3646</v>
      </c>
      <c r="AJ898" s="11" t="n">
        <v>77216</v>
      </c>
      <c r="AK898" s="12" t="n">
        <v>1894</v>
      </c>
      <c r="AL898" s="12" t="n">
        <v>-465</v>
      </c>
      <c r="AM898" s="13" t="n">
        <v>2.7</v>
      </c>
      <c r="AN898" s="13" t="n">
        <v>5.1</v>
      </c>
      <c r="AO898" s="13" t="n">
        <v>-61.8</v>
      </c>
      <c r="AP898" s="13" t="n">
        <v>-62.3</v>
      </c>
    </row>
    <row r="899">
      <c r="A899" s="5" t="inlineStr">
        <is>
          <t>국순당</t>
        </is>
      </c>
      <c r="B899" s="6" t="inlineStr">
        <is>
          <t>043650</t>
        </is>
      </c>
      <c r="C899" s="6" t="inlineStr">
        <is>
          <t>연결</t>
        </is>
      </c>
      <c r="D899" s="6" t="inlineStr">
        <is>
          <t>2026Q2</t>
        </is>
      </c>
      <c r="E899" s="6" t="inlineStr"/>
      <c r="F899" s="7" t="inlineStr"/>
      <c r="G899" s="8" t="inlineStr"/>
      <c r="H899" s="8" t="inlineStr"/>
      <c r="I899" s="9" t="n">
        <v>17535</v>
      </c>
      <c r="J899" s="10" t="n">
        <v>971</v>
      </c>
      <c r="K899" s="10" t="n">
        <v>8243</v>
      </c>
      <c r="L899" s="7" t="n">
        <v>17427</v>
      </c>
      <c r="M899" s="8" t="n">
        <v>349</v>
      </c>
      <c r="N899" s="8" t="n">
        <v>1484</v>
      </c>
      <c r="O899" s="9" t="n">
        <v>17612</v>
      </c>
      <c r="P899" s="10" t="n">
        <v>145</v>
      </c>
      <c r="Q899" s="10" t="n">
        <v>2272</v>
      </c>
      <c r="R899" s="7" t="n">
        <v>16245</v>
      </c>
      <c r="S899" s="8" t="n">
        <v>-3744</v>
      </c>
      <c r="T899" s="8" t="n">
        <v>-10650</v>
      </c>
      <c r="U899" s="9" t="n">
        <v>17204</v>
      </c>
      <c r="V899" s="10" t="n">
        <v>101</v>
      </c>
      <c r="W899" s="10" t="n">
        <v>1476</v>
      </c>
      <c r="X899" s="7" t="n">
        <v>16923</v>
      </c>
      <c r="Y899" s="8" t="n">
        <v>61</v>
      </c>
      <c r="Z899" s="8" t="n">
        <v>2417</v>
      </c>
      <c r="AA899" s="9" t="n">
        <v>18759</v>
      </c>
      <c r="AB899" s="10" t="n">
        <v>197</v>
      </c>
      <c r="AC899" s="10" t="n">
        <v>3237</v>
      </c>
      <c r="AD899" s="7" t="n">
        <v>14613</v>
      </c>
      <c r="AE899" s="8" t="n">
        <v>-1191</v>
      </c>
      <c r="AF899" s="8" t="n">
        <v>-880</v>
      </c>
      <c r="AG899" s="9" t="n">
        <v>17462</v>
      </c>
      <c r="AH899" s="10" t="n">
        <v>35</v>
      </c>
      <c r="AI899" s="10" t="n">
        <v>1053</v>
      </c>
      <c r="AJ899" s="11" t="n">
        <v>14702</v>
      </c>
      <c r="AK899" s="12" t="n">
        <v>-1426</v>
      </c>
      <c r="AL899" s="12" t="n">
        <v>737</v>
      </c>
      <c r="AM899" s="13" t="n">
        <v>-15.8</v>
      </c>
      <c r="AN899" s="13" t="n">
        <v>-13.1</v>
      </c>
      <c r="AO899" s="13" t="n">
        <v>-4174.3</v>
      </c>
      <c r="AP899" s="13" t="n">
        <v>-2437.7</v>
      </c>
    </row>
    <row r="900">
      <c r="A900" s="5" t="inlineStr">
        <is>
          <t>코스리거글로벌</t>
        </is>
      </c>
      <c r="B900" s="6" t="inlineStr">
        <is>
          <t>043710</t>
        </is>
      </c>
      <c r="C900" s="6" t="inlineStr">
        <is>
          <t>연결</t>
        </is>
      </c>
      <c r="D900" s="6" t="inlineStr">
        <is>
          <t>2026Q2</t>
        </is>
      </c>
      <c r="E900" s="6" t="inlineStr"/>
      <c r="F900" s="7" t="inlineStr"/>
      <c r="G900" s="8" t="inlineStr"/>
      <c r="H900" s="8" t="inlineStr"/>
      <c r="I900" s="9" t="n">
        <v>4339</v>
      </c>
      <c r="J900" s="10" t="n">
        <v>-1185</v>
      </c>
      <c r="K900" s="10" t="n">
        <v>-2068</v>
      </c>
      <c r="L900" s="7" t="n">
        <v>4163</v>
      </c>
      <c r="M900" s="8" t="n">
        <v>-691</v>
      </c>
      <c r="N900" s="8" t="n">
        <v>-547</v>
      </c>
      <c r="O900" s="9" t="n">
        <v>5285</v>
      </c>
      <c r="P900" s="10" t="n">
        <v>-697</v>
      </c>
      <c r="Q900" s="10" t="n">
        <v>-588</v>
      </c>
      <c r="R900" s="7" t="n">
        <v>5553</v>
      </c>
      <c r="S900" s="8" t="n">
        <v>-774</v>
      </c>
      <c r="T900" s="8" t="n">
        <v>8584</v>
      </c>
      <c r="U900" s="9" t="n">
        <v>4894</v>
      </c>
      <c r="V900" s="10" t="n">
        <v>-1283</v>
      </c>
      <c r="W900" s="10" t="n">
        <v>-1503</v>
      </c>
      <c r="X900" s="7" t="n">
        <v>10495</v>
      </c>
      <c r="Y900" s="8" t="n">
        <v>-822</v>
      </c>
      <c r="Z900" s="8" t="n">
        <v>-1455</v>
      </c>
      <c r="AA900" s="9" t="n">
        <v>10560</v>
      </c>
      <c r="AB900" s="10" t="n">
        <v>-2027</v>
      </c>
      <c r="AC900" s="10" t="n">
        <v>-1992</v>
      </c>
      <c r="AD900" s="7" t="n">
        <v>9719</v>
      </c>
      <c r="AE900" s="8" t="n">
        <v>-4200</v>
      </c>
      <c r="AF900" s="8" t="n">
        <v>-3792</v>
      </c>
      <c r="AG900" s="9" t="n">
        <v>39524</v>
      </c>
      <c r="AH900" s="10" t="n">
        <v>1545</v>
      </c>
      <c r="AI900" s="10" t="n">
        <v>-2893</v>
      </c>
      <c r="AJ900" s="11" t="n">
        <v>42378</v>
      </c>
      <c r="AK900" s="12" t="n">
        <v>-600</v>
      </c>
      <c r="AL900" s="12" t="n">
        <v>-6278</v>
      </c>
      <c r="AM900" s="13" t="n">
        <v>7.2</v>
      </c>
      <c r="AN900" s="13" t="n">
        <v>303.8</v>
      </c>
      <c r="AO900" s="13" t="n">
        <v>-138.8</v>
      </c>
      <c r="AP900" s="13" t="n">
        <v>27</v>
      </c>
    </row>
    <row r="901">
      <c r="A901" s="5" t="inlineStr">
        <is>
          <t>자연과환경</t>
        </is>
      </c>
      <c r="B901" s="6" t="inlineStr">
        <is>
          <t>043910</t>
        </is>
      </c>
      <c r="C901" s="6" t="inlineStr">
        <is>
          <t>연결</t>
        </is>
      </c>
      <c r="D901" s="6" t="inlineStr">
        <is>
          <t>2026Q2</t>
        </is>
      </c>
      <c r="E901" s="6" t="inlineStr"/>
      <c r="F901" s="7" t="inlineStr"/>
      <c r="G901" s="8" t="inlineStr"/>
      <c r="H901" s="8" t="inlineStr"/>
      <c r="I901" s="9" t="n">
        <v>19748</v>
      </c>
      <c r="J901" s="10" t="n">
        <v>1321</v>
      </c>
      <c r="K901" s="10" t="n">
        <v>916</v>
      </c>
      <c r="L901" s="7" t="n">
        <v>7381</v>
      </c>
      <c r="M901" s="8" t="n">
        <v>-413</v>
      </c>
      <c r="N901" s="8" t="n">
        <v>-689</v>
      </c>
      <c r="O901" s="9" t="n">
        <v>5602</v>
      </c>
      <c r="P901" s="10" t="n">
        <v>-776</v>
      </c>
      <c r="Q901" s="10" t="n">
        <v>-1289</v>
      </c>
      <c r="R901" s="7" t="n">
        <v>8002</v>
      </c>
      <c r="S901" s="8" t="n">
        <v>-2251</v>
      </c>
      <c r="T901" s="8" t="n">
        <v>-2351</v>
      </c>
      <c r="U901" s="9" t="n">
        <v>11129</v>
      </c>
      <c r="V901" s="10" t="n">
        <v>300</v>
      </c>
      <c r="W901" s="10" t="n">
        <v>-100</v>
      </c>
      <c r="X901" s="7" t="n">
        <v>12490</v>
      </c>
      <c r="Y901" s="8" t="n">
        <v>119</v>
      </c>
      <c r="Z901" s="8" t="n">
        <v>-1618</v>
      </c>
      <c r="AA901" s="9" t="n">
        <v>8703</v>
      </c>
      <c r="AB901" s="10" t="n">
        <v>-321</v>
      </c>
      <c r="AC901" s="10" t="n">
        <v>-820</v>
      </c>
      <c r="AD901" s="7" t="n">
        <v>4987</v>
      </c>
      <c r="AE901" s="8" t="n">
        <v>-4074</v>
      </c>
      <c r="AF901" s="8" t="n">
        <v>-4422</v>
      </c>
      <c r="AG901" s="9" t="n">
        <v>8124</v>
      </c>
      <c r="AH901" s="10" t="n">
        <v>161</v>
      </c>
      <c r="AI901" s="10" t="n">
        <v>162</v>
      </c>
      <c r="AJ901" s="11" t="n">
        <v>9069</v>
      </c>
      <c r="AK901" s="12" t="n">
        <v>290</v>
      </c>
      <c r="AL901" s="12" t="n">
        <v>-337</v>
      </c>
      <c r="AM901" s="13" t="n">
        <v>11.6</v>
      </c>
      <c r="AN901" s="13" t="n">
        <v>-27.4</v>
      </c>
      <c r="AO901" s="13" t="n">
        <v>80.09999999999999</v>
      </c>
      <c r="AP901" s="13" t="n">
        <v>143.7</v>
      </c>
    </row>
    <row r="902">
      <c r="A902" s="5" t="inlineStr">
        <is>
          <t>KD</t>
        </is>
      </c>
      <c r="B902" s="6" t="inlineStr">
        <is>
          <t>044180</t>
        </is>
      </c>
      <c r="C902" s="6" t="inlineStr">
        <is>
          <t>연결</t>
        </is>
      </c>
      <c r="D902" s="6" t="inlineStr">
        <is>
          <t>2026Q2</t>
        </is>
      </c>
      <c r="E902" s="6" t="inlineStr"/>
      <c r="F902" s="7" t="inlineStr"/>
      <c r="G902" s="8" t="inlineStr"/>
      <c r="H902" s="8" t="inlineStr"/>
      <c r="I902" s="9" t="n">
        <v>40623</v>
      </c>
      <c r="J902" s="10" t="n">
        <v>2415</v>
      </c>
      <c r="K902" s="10" t="n">
        <v>1940</v>
      </c>
      <c r="L902" s="7" t="n">
        <v>33775</v>
      </c>
      <c r="M902" s="8" t="n">
        <v>1106</v>
      </c>
      <c r="N902" s="8" t="n">
        <v>10338</v>
      </c>
      <c r="O902" s="9" t="n">
        <v>27133</v>
      </c>
      <c r="P902" s="10" t="n">
        <v>-2378</v>
      </c>
      <c r="Q902" s="10" t="n">
        <v>-4231</v>
      </c>
      <c r="R902" s="7" t="n">
        <v>56104</v>
      </c>
      <c r="S902" s="8" t="n">
        <v>1779</v>
      </c>
      <c r="T902" s="8" t="n">
        <v>-3524</v>
      </c>
      <c r="U902" s="9" t="n">
        <v>10686</v>
      </c>
      <c r="V902" s="10" t="n">
        <v>222</v>
      </c>
      <c r="W902" s="10" t="n">
        <v>-2268</v>
      </c>
      <c r="X902" s="7" t="n">
        <v>7021</v>
      </c>
      <c r="Y902" s="8" t="n">
        <v>-2699</v>
      </c>
      <c r="Z902" s="8" t="n">
        <v>-2095</v>
      </c>
      <c r="AA902" s="9" t="n">
        <v>3642</v>
      </c>
      <c r="AB902" s="10" t="n">
        <v>-1931</v>
      </c>
      <c r="AC902" s="10" t="n">
        <v>-2684</v>
      </c>
      <c r="AD902" s="7" t="n">
        <v>6438</v>
      </c>
      <c r="AE902" s="8" t="n">
        <v>141</v>
      </c>
      <c r="AF902" s="8" t="n">
        <v>-18540</v>
      </c>
      <c r="AG902" s="9" t="n">
        <v>45916</v>
      </c>
      <c r="AH902" s="10" t="n">
        <v>6004</v>
      </c>
      <c r="AI902" s="10" t="n">
        <v>5379</v>
      </c>
      <c r="AJ902" s="11" t="n">
        <v>8077</v>
      </c>
      <c r="AK902" s="12" t="n">
        <v>-278</v>
      </c>
      <c r="AL902" s="12" t="n">
        <v>-14494</v>
      </c>
      <c r="AM902" s="13" t="n">
        <v>-82.40000000000001</v>
      </c>
      <c r="AN902" s="13" t="n">
        <v>15</v>
      </c>
      <c r="AO902" s="13" t="n">
        <v>-104.6</v>
      </c>
      <c r="AP902" s="13" t="n">
        <v>89.7</v>
      </c>
    </row>
    <row r="903">
      <c r="A903" s="5" t="inlineStr">
        <is>
          <t>위닉스</t>
        </is>
      </c>
      <c r="B903" s="6" t="inlineStr">
        <is>
          <t>044340</t>
        </is>
      </c>
      <c r="C903" s="6" t="inlineStr">
        <is>
          <t>연결</t>
        </is>
      </c>
      <c r="D903" s="6" t="inlineStr">
        <is>
          <t>2026Q2</t>
        </is>
      </c>
      <c r="E903" s="6" t="inlineStr"/>
      <c r="F903" s="7" t="inlineStr"/>
      <c r="G903" s="8" t="inlineStr"/>
      <c r="H903" s="8" t="inlineStr"/>
      <c r="I903" s="9" t="n">
        <v>94583</v>
      </c>
      <c r="J903" s="10" t="n">
        <v>1860</v>
      </c>
      <c r="K903" s="10" t="n">
        <v>1578</v>
      </c>
      <c r="L903" s="7" t="n">
        <v>90947</v>
      </c>
      <c r="M903" s="8" t="n">
        <v>921</v>
      </c>
      <c r="N903" s="8" t="n">
        <v>900</v>
      </c>
      <c r="O903" s="9" t="n">
        <v>89413</v>
      </c>
      <c r="P903" s="10" t="n">
        <v>1904</v>
      </c>
      <c r="Q903" s="10" t="n">
        <v>731</v>
      </c>
      <c r="R903" s="7" t="n">
        <v>76256</v>
      </c>
      <c r="S903" s="8" t="n">
        <v>-10561</v>
      </c>
      <c r="T903" s="8" t="n">
        <v>-47624</v>
      </c>
      <c r="U903" s="9" t="n">
        <v>93103</v>
      </c>
      <c r="V903" s="10" t="n">
        <v>-5355</v>
      </c>
      <c r="W903" s="10" t="n">
        <v>48649</v>
      </c>
      <c r="X903" s="7" t="n">
        <v>105448</v>
      </c>
      <c r="Y903" s="8" t="n">
        <v>-1894</v>
      </c>
      <c r="Z903" s="8" t="n">
        <v>-3399</v>
      </c>
      <c r="AA903" s="9" t="n">
        <v>91952</v>
      </c>
      <c r="AB903" s="10" t="n">
        <v>-14495</v>
      </c>
      <c r="AC903" s="10" t="n">
        <v>-23275</v>
      </c>
      <c r="AD903" s="7" t="n">
        <v>79033</v>
      </c>
      <c r="AE903" s="8" t="n">
        <v>-38928</v>
      </c>
      <c r="AF903" s="8" t="n">
        <v>-40305</v>
      </c>
      <c r="AG903" s="9" t="n">
        <v>123180</v>
      </c>
      <c r="AH903" s="10" t="n">
        <v>-21718</v>
      </c>
      <c r="AI903" s="10" t="n">
        <v>-31831</v>
      </c>
      <c r="AJ903" s="11" t="n">
        <v>137862</v>
      </c>
      <c r="AK903" s="12" t="n">
        <v>-39537</v>
      </c>
      <c r="AL903" s="12" t="n">
        <v>-48149</v>
      </c>
      <c r="AM903" s="13" t="n">
        <v>11.9</v>
      </c>
      <c r="AN903" s="13" t="n">
        <v>30.7</v>
      </c>
      <c r="AO903" s="13" t="n">
        <v>-82</v>
      </c>
      <c r="AP903" s="13" t="n">
        <v>-1987.5</v>
      </c>
    </row>
    <row r="904">
      <c r="A904" s="5" t="inlineStr">
        <is>
          <t>주연테크</t>
        </is>
      </c>
      <c r="B904" s="6" t="inlineStr">
        <is>
          <t>044380</t>
        </is>
      </c>
      <c r="C904" s="6" t="inlineStr">
        <is>
          <t>연결</t>
        </is>
      </c>
      <c r="D904" s="6" t="inlineStr">
        <is>
          <t>2026Q2</t>
        </is>
      </c>
      <c r="E904" s="6" t="inlineStr"/>
      <c r="F904" s="7" t="inlineStr"/>
      <c r="G904" s="8" t="inlineStr"/>
      <c r="H904" s="8" t="inlineStr"/>
      <c r="I904" s="9" t="n">
        <v>13960</v>
      </c>
      <c r="J904" s="10" t="n">
        <v>-243</v>
      </c>
      <c r="K904" s="10" t="n">
        <v>-84</v>
      </c>
      <c r="L904" s="7" t="n">
        <v>10381</v>
      </c>
      <c r="M904" s="8" t="n">
        <v>-922</v>
      </c>
      <c r="N904" s="8" t="n">
        <v>-753</v>
      </c>
      <c r="O904" s="9" t="n">
        <v>12394</v>
      </c>
      <c r="P904" s="10" t="n">
        <v>-426</v>
      </c>
      <c r="Q904" s="10" t="n">
        <v>-353</v>
      </c>
      <c r="R904" s="7" t="n">
        <v>16333</v>
      </c>
      <c r="S904" s="8" t="n">
        <v>-1311</v>
      </c>
      <c r="T904" s="8" t="n">
        <v>-1444</v>
      </c>
      <c r="U904" s="9" t="n">
        <v>15929</v>
      </c>
      <c r="V904" s="10" t="n">
        <v>-360</v>
      </c>
      <c r="W904" s="10" t="n">
        <v>-407</v>
      </c>
      <c r="X904" s="7" t="n">
        <v>14182</v>
      </c>
      <c r="Y904" s="8" t="n">
        <v>-602</v>
      </c>
      <c r="Z904" s="8" t="n">
        <v>-572</v>
      </c>
      <c r="AA904" s="9" t="n">
        <v>18817</v>
      </c>
      <c r="AB904" s="10" t="n">
        <v>-423</v>
      </c>
      <c r="AC904" s="10" t="n">
        <v>-413</v>
      </c>
      <c r="AD904" s="7" t="n">
        <v>13701</v>
      </c>
      <c r="AE904" s="8" t="n">
        <v>-292</v>
      </c>
      <c r="AF904" s="8" t="n">
        <v>-359</v>
      </c>
      <c r="AG904" s="9" t="n">
        <v>17148</v>
      </c>
      <c r="AH904" s="10" t="n">
        <v>414</v>
      </c>
      <c r="AI904" s="10" t="n">
        <v>621</v>
      </c>
      <c r="AJ904" s="11" t="n">
        <v>14791</v>
      </c>
      <c r="AK904" s="12" t="n">
        <v>100</v>
      </c>
      <c r="AL904" s="12" t="n">
        <v>296</v>
      </c>
      <c r="AM904" s="13" t="n">
        <v>-13.7</v>
      </c>
      <c r="AN904" s="13" t="n">
        <v>4.3</v>
      </c>
      <c r="AO904" s="13" t="n">
        <v>-75.8</v>
      </c>
      <c r="AP904" s="13" t="n">
        <v>116.6</v>
      </c>
    </row>
    <row r="905">
      <c r="A905" s="5" t="inlineStr">
        <is>
          <t>KSS해운</t>
        </is>
      </c>
      <c r="B905" s="6" t="inlineStr">
        <is>
          <t>044450</t>
        </is>
      </c>
      <c r="C905" s="6" t="inlineStr">
        <is>
          <t>연결</t>
        </is>
      </c>
      <c r="D905" s="6" t="inlineStr">
        <is>
          <t>2026Q2</t>
        </is>
      </c>
      <c r="E905" s="6" t="inlineStr"/>
      <c r="F905" s="7" t="inlineStr"/>
      <c r="G905" s="8" t="inlineStr"/>
      <c r="H905" s="8" t="inlineStr"/>
      <c r="I905" s="9" t="n">
        <v>112739</v>
      </c>
      <c r="J905" s="10" t="n">
        <v>20917</v>
      </c>
      <c r="K905" s="10" t="n">
        <v>11823</v>
      </c>
      <c r="L905" s="7" t="n">
        <v>136843</v>
      </c>
      <c r="M905" s="8" t="n">
        <v>29386</v>
      </c>
      <c r="N905" s="8" t="n">
        <v>18532</v>
      </c>
      <c r="O905" s="9" t="n">
        <v>131609</v>
      </c>
      <c r="P905" s="10" t="n">
        <v>28055</v>
      </c>
      <c r="Q905" s="10" t="n">
        <v>-4462</v>
      </c>
      <c r="R905" s="7" t="n">
        <v>136738</v>
      </c>
      <c r="S905" s="8" t="n">
        <v>25725</v>
      </c>
      <c r="T905" s="8" t="n">
        <v>31521</v>
      </c>
      <c r="U905" s="9" t="n">
        <v>137667</v>
      </c>
      <c r="V905" s="10" t="n">
        <v>29728</v>
      </c>
      <c r="W905" s="10" t="n">
        <v>11578</v>
      </c>
      <c r="X905" s="7" t="n">
        <v>133616</v>
      </c>
      <c r="Y905" s="8" t="n">
        <v>22110</v>
      </c>
      <c r="Z905" s="8" t="n">
        <v>-5912</v>
      </c>
      <c r="AA905" s="9" t="n">
        <v>142703</v>
      </c>
      <c r="AB905" s="10" t="n">
        <v>28781</v>
      </c>
      <c r="AC905" s="10" t="n">
        <v>17374</v>
      </c>
      <c r="AD905" s="7" t="n">
        <v>147409</v>
      </c>
      <c r="AE905" s="8" t="n">
        <v>29714</v>
      </c>
      <c r="AF905" s="8" t="n">
        <v>13522</v>
      </c>
      <c r="AG905" s="9" t="n">
        <v>139816</v>
      </c>
      <c r="AH905" s="10" t="n">
        <v>21607</v>
      </c>
      <c r="AI905" s="10" t="n">
        <v>63508</v>
      </c>
      <c r="AJ905" s="11" t="n">
        <v>159897</v>
      </c>
      <c r="AK905" s="12" t="n">
        <v>32012</v>
      </c>
      <c r="AL905" s="12" t="n">
        <v>17011</v>
      </c>
      <c r="AM905" s="13" t="n">
        <v>14.4</v>
      </c>
      <c r="AN905" s="13" t="n">
        <v>19.7</v>
      </c>
      <c r="AO905" s="13" t="n">
        <v>48.2</v>
      </c>
      <c r="AP905" s="13" t="n">
        <v>44.8</v>
      </c>
    </row>
    <row r="906">
      <c r="A906" s="5" t="inlineStr">
        <is>
          <t>빌리언스</t>
        </is>
      </c>
      <c r="B906" s="6" t="inlineStr">
        <is>
          <t>044480</t>
        </is>
      </c>
      <c r="C906" s="6" t="inlineStr">
        <is>
          <t>별도</t>
        </is>
      </c>
      <c r="D906" s="6" t="inlineStr">
        <is>
          <t>2026Q2</t>
        </is>
      </c>
      <c r="E906" s="6" t="inlineStr"/>
      <c r="F906" s="7" t="inlineStr"/>
      <c r="G906" s="8" t="inlineStr"/>
      <c r="H906" s="8" t="inlineStr"/>
      <c r="I906" s="9" t="n">
        <v>28297</v>
      </c>
      <c r="J906" s="10" t="n">
        <v>-2090</v>
      </c>
      <c r="K906" s="10" t="n">
        <v>-3107</v>
      </c>
      <c r="L906" s="7" t="n">
        <v>13170</v>
      </c>
      <c r="M906" s="8" t="n">
        <v>86</v>
      </c>
      <c r="N906" s="8" t="n">
        <v>14446</v>
      </c>
      <c r="O906" s="9" t="n">
        <v>7455</v>
      </c>
      <c r="P906" s="10" t="n">
        <v>-630</v>
      </c>
      <c r="Q906" s="10" t="n">
        <v>-2966</v>
      </c>
      <c r="R906" s="7" t="n">
        <v>-7197</v>
      </c>
      <c r="S906" s="8" t="n">
        <v>1507</v>
      </c>
      <c r="T906" s="8" t="n">
        <v>235</v>
      </c>
      <c r="U906" s="9" t="n">
        <v>4793</v>
      </c>
      <c r="V906" s="10" t="n">
        <v>-599</v>
      </c>
      <c r="W906" s="10" t="n">
        <v>-1687</v>
      </c>
      <c r="X906" s="7" t="n">
        <v>7829</v>
      </c>
      <c r="Y906" s="8" t="n">
        <v>-159</v>
      </c>
      <c r="Z906" s="8" t="n">
        <v>240</v>
      </c>
      <c r="AA906" s="9" t="n">
        <v>7579</v>
      </c>
      <c r="AB906" s="10" t="n">
        <v>-13</v>
      </c>
      <c r="AC906" s="10" t="n">
        <v>-1410</v>
      </c>
      <c r="AD906" s="7" t="n">
        <v>5109</v>
      </c>
      <c r="AE906" s="8" t="n">
        <v>-63</v>
      </c>
      <c r="AF906" s="8" t="n">
        <v>-4487</v>
      </c>
      <c r="AG906" s="9" t="n">
        <v>7888</v>
      </c>
      <c r="AH906" s="10" t="n">
        <v>149</v>
      </c>
      <c r="AI906" s="10" t="n">
        <v>-130</v>
      </c>
      <c r="AJ906" s="11" t="n">
        <v>6757</v>
      </c>
      <c r="AK906" s="12" t="n">
        <v>-580</v>
      </c>
      <c r="AL906" s="12" t="n">
        <v>-13278</v>
      </c>
      <c r="AM906" s="13" t="n">
        <v>-14.3</v>
      </c>
      <c r="AN906" s="13" t="n">
        <v>-13.7</v>
      </c>
      <c r="AO906" s="13" t="n">
        <v>-489.3</v>
      </c>
      <c r="AP906" s="13" t="n">
        <v>-264.8</v>
      </c>
    </row>
    <row r="907">
      <c r="A907" s="5" t="inlineStr">
        <is>
          <t>태웅</t>
        </is>
      </c>
      <c r="B907" s="6" t="inlineStr">
        <is>
          <t>044490</t>
        </is>
      </c>
      <c r="C907" s="6" t="inlineStr">
        <is>
          <t>별도</t>
        </is>
      </c>
      <c r="D907" s="6" t="inlineStr">
        <is>
          <t>2026Q2</t>
        </is>
      </c>
      <c r="E907" s="6" t="inlineStr"/>
      <c r="F907" s="7" t="inlineStr"/>
      <c r="G907" s="8" t="inlineStr"/>
      <c r="H907" s="8" t="inlineStr"/>
      <c r="I907" s="9" t="n">
        <v>90113</v>
      </c>
      <c r="J907" s="10" t="n">
        <v>6437</v>
      </c>
      <c r="K907" s="10" t="n">
        <v>6687</v>
      </c>
      <c r="L907" s="7" t="n">
        <v>100743</v>
      </c>
      <c r="M907" s="8" t="n">
        <v>6467</v>
      </c>
      <c r="N907" s="8" t="n">
        <v>7513</v>
      </c>
      <c r="O907" s="9" t="n">
        <v>87602</v>
      </c>
      <c r="P907" s="10" t="n">
        <v>3922</v>
      </c>
      <c r="Q907" s="10" t="n">
        <v>2258</v>
      </c>
      <c r="R907" s="7" t="n">
        <v>107866</v>
      </c>
      <c r="S907" s="8" t="n">
        <v>5990</v>
      </c>
      <c r="T907" s="8" t="n">
        <v>8228</v>
      </c>
      <c r="U907" s="9" t="n">
        <v>85649</v>
      </c>
      <c r="V907" s="10" t="n">
        <v>943</v>
      </c>
      <c r="W907" s="10" t="n">
        <v>1501</v>
      </c>
      <c r="X907" s="7" t="n">
        <v>87022</v>
      </c>
      <c r="Y907" s="8" t="n">
        <v>4750</v>
      </c>
      <c r="Z907" s="8" t="n">
        <v>2295</v>
      </c>
      <c r="AA907" s="9" t="n">
        <v>86436</v>
      </c>
      <c r="AB907" s="10" t="n">
        <v>700</v>
      </c>
      <c r="AC907" s="10" t="n">
        <v>1993</v>
      </c>
      <c r="AD907" s="7" t="n">
        <v>90547</v>
      </c>
      <c r="AE907" s="8" t="n">
        <v>-1371</v>
      </c>
      <c r="AF907" s="8" t="n">
        <v>-374</v>
      </c>
      <c r="AG907" s="9" t="n">
        <v>88266</v>
      </c>
      <c r="AH907" s="10" t="n">
        <v>2792</v>
      </c>
      <c r="AI907" s="10" t="n">
        <v>4249</v>
      </c>
      <c r="AJ907" s="11" t="n">
        <v>105494</v>
      </c>
      <c r="AK907" s="12" t="n">
        <v>3196</v>
      </c>
      <c r="AL907" s="12" t="n">
        <v>4284</v>
      </c>
      <c r="AM907" s="13" t="n">
        <v>19.5</v>
      </c>
      <c r="AN907" s="13" t="n">
        <v>21.2</v>
      </c>
      <c r="AO907" s="13" t="n">
        <v>14.5</v>
      </c>
      <c r="AP907" s="13" t="n">
        <v>-32.7</v>
      </c>
    </row>
    <row r="908">
      <c r="A908" s="5" t="inlineStr">
        <is>
          <t>에이치케이</t>
        </is>
      </c>
      <c r="B908" s="6" t="inlineStr">
        <is>
          <t>044780</t>
        </is>
      </c>
      <c r="C908" s="6" t="inlineStr">
        <is>
          <t>연결</t>
        </is>
      </c>
      <c r="D908" s="6" t="inlineStr">
        <is>
          <t>2026Q2</t>
        </is>
      </c>
      <c r="E908" s="6" t="inlineStr"/>
      <c r="F908" s="7" t="inlineStr"/>
      <c r="G908" s="8" t="inlineStr"/>
      <c r="H908" s="8" t="inlineStr"/>
      <c r="I908" s="9" t="n">
        <v>12839</v>
      </c>
      <c r="J908" s="10" t="n">
        <v>-707</v>
      </c>
      <c r="K908" s="10" t="n">
        <v>73</v>
      </c>
      <c r="L908" s="7" t="n">
        <v>14723</v>
      </c>
      <c r="M908" s="8" t="n">
        <v>-622</v>
      </c>
      <c r="N908" s="8" t="n">
        <v>-212</v>
      </c>
      <c r="O908" s="9" t="n">
        <v>9969</v>
      </c>
      <c r="P908" s="10" t="n">
        <v>-1321</v>
      </c>
      <c r="Q908" s="10" t="n">
        <v>-2296</v>
      </c>
      <c r="R908" s="7" t="n">
        <v>16484</v>
      </c>
      <c r="S908" s="8" t="n">
        <v>12</v>
      </c>
      <c r="T908" s="8" t="n">
        <v>186</v>
      </c>
      <c r="U908" s="9" t="n">
        <v>8792</v>
      </c>
      <c r="V908" s="10" t="n">
        <v>-1215</v>
      </c>
      <c r="W908" s="10" t="n">
        <v>-614</v>
      </c>
      <c r="X908" s="7" t="n">
        <v>12897</v>
      </c>
      <c r="Y908" s="8" t="n">
        <v>-136</v>
      </c>
      <c r="Z908" s="8" t="n">
        <v>339</v>
      </c>
      <c r="AA908" s="9" t="n">
        <v>11200</v>
      </c>
      <c r="AB908" s="10" t="n">
        <v>-1653</v>
      </c>
      <c r="AC908" s="10" t="n">
        <v>-126</v>
      </c>
      <c r="AD908" s="7" t="n">
        <v>21301</v>
      </c>
      <c r="AE908" s="8" t="n">
        <v>2617</v>
      </c>
      <c r="AF908" s="8" t="n">
        <v>4973</v>
      </c>
      <c r="AG908" s="9" t="n">
        <v>5058</v>
      </c>
      <c r="AH908" s="10" t="n">
        <v>-2209</v>
      </c>
      <c r="AI908" s="10" t="n">
        <v>866</v>
      </c>
      <c r="AJ908" s="11" t="n">
        <v>14593</v>
      </c>
      <c r="AK908" s="12" t="n">
        <v>-187</v>
      </c>
      <c r="AL908" s="12" t="n">
        <v>7920</v>
      </c>
      <c r="AM908" s="13" t="n">
        <v>188.5</v>
      </c>
      <c r="AN908" s="13" t="n">
        <v>13.2</v>
      </c>
      <c r="AO908" s="13" t="n">
        <v>91.5</v>
      </c>
      <c r="AP908" s="13" t="n">
        <v>-37.5</v>
      </c>
    </row>
    <row r="909">
      <c r="A909" s="5" t="inlineStr">
        <is>
          <t>코스맥스비티아이</t>
        </is>
      </c>
      <c r="B909" s="6" t="inlineStr">
        <is>
          <t>044820</t>
        </is>
      </c>
      <c r="C909" s="6" t="inlineStr">
        <is>
          <t>연결</t>
        </is>
      </c>
      <c r="D909" s="6" t="inlineStr">
        <is>
          <t>2026Q2</t>
        </is>
      </c>
      <c r="E909" s="6" t="inlineStr"/>
      <c r="F909" s="7" t="inlineStr"/>
      <c r="G909" s="8" t="inlineStr"/>
      <c r="H909" s="8" t="inlineStr"/>
      <c r="I909" s="9" t="n">
        <v>140241</v>
      </c>
      <c r="J909" s="10" t="n">
        <v>2151</v>
      </c>
      <c r="K909" s="10" t="n">
        <v>-4386</v>
      </c>
      <c r="L909" s="7" t="n">
        <v>158969</v>
      </c>
      <c r="M909" s="8" t="n">
        <v>6861</v>
      </c>
      <c r="N909" s="8" t="n">
        <v>6790</v>
      </c>
      <c r="O909" s="9" t="n">
        <v>151885</v>
      </c>
      <c r="P909" s="10" t="n">
        <v>3348</v>
      </c>
      <c r="Q909" s="10" t="n">
        <v>-353</v>
      </c>
      <c r="R909" s="7" t="n">
        <v>146535</v>
      </c>
      <c r="S909" s="8" t="n">
        <v>4434</v>
      </c>
      <c r="T909" s="8" t="n">
        <v>5996</v>
      </c>
      <c r="U909" s="9" t="n">
        <v>154316</v>
      </c>
      <c r="V909" s="10" t="n">
        <v>6538</v>
      </c>
      <c r="W909" s="10" t="n">
        <v>-1445</v>
      </c>
      <c r="X909" s="7" t="n">
        <v>163726</v>
      </c>
      <c r="Y909" s="8" t="n">
        <v>9905</v>
      </c>
      <c r="Z909" s="8" t="n">
        <v>7293</v>
      </c>
      <c r="AA909" s="9" t="n">
        <v>153467</v>
      </c>
      <c r="AB909" s="10" t="n">
        <v>3181</v>
      </c>
      <c r="AC909" s="10" t="n">
        <v>-7694</v>
      </c>
      <c r="AD909" s="7" t="n">
        <v>173697</v>
      </c>
      <c r="AE909" s="8" t="n">
        <v>7360</v>
      </c>
      <c r="AF909" s="8" t="n">
        <v>20516</v>
      </c>
      <c r="AG909" s="9" t="n">
        <v>205191</v>
      </c>
      <c r="AH909" s="10" t="n">
        <v>16406</v>
      </c>
      <c r="AI909" s="10" t="n">
        <v>19185</v>
      </c>
      <c r="AJ909" s="11" t="n">
        <v>238977</v>
      </c>
      <c r="AK909" s="12" t="n">
        <v>16260</v>
      </c>
      <c r="AL909" s="12" t="n">
        <v>46550</v>
      </c>
      <c r="AM909" s="13" t="n">
        <v>16.5</v>
      </c>
      <c r="AN909" s="13" t="n">
        <v>46</v>
      </c>
      <c r="AO909" s="13" t="n">
        <v>-0.9</v>
      </c>
      <c r="AP909" s="13" t="n">
        <v>64.2</v>
      </c>
    </row>
    <row r="910">
      <c r="A910" s="5" t="inlineStr">
        <is>
          <t>이글벳</t>
        </is>
      </c>
      <c r="B910" s="6" t="inlineStr">
        <is>
          <t>044960</t>
        </is>
      </c>
      <c r="C910" s="6" t="inlineStr">
        <is>
          <t>별도</t>
        </is>
      </c>
      <c r="D910" s="6" t="inlineStr">
        <is>
          <t>2026Q2</t>
        </is>
      </c>
      <c r="E910" s="6" t="inlineStr"/>
      <c r="F910" s="7" t="inlineStr"/>
      <c r="G910" s="8" t="inlineStr"/>
      <c r="H910" s="8" t="inlineStr"/>
      <c r="I910" s="9" t="n">
        <v>10587</v>
      </c>
      <c r="J910" s="10" t="n">
        <v>1484</v>
      </c>
      <c r="K910" s="10" t="n">
        <v>1451</v>
      </c>
      <c r="L910" s="7" t="n">
        <v>10956</v>
      </c>
      <c r="M910" s="8" t="n">
        <v>686</v>
      </c>
      <c r="N910" s="8" t="n">
        <v>1006</v>
      </c>
      <c r="O910" s="9" t="n">
        <v>9884</v>
      </c>
      <c r="P910" s="10" t="n">
        <v>626</v>
      </c>
      <c r="Q910" s="10" t="n">
        <v>185</v>
      </c>
      <c r="R910" s="7" t="n">
        <v>10290</v>
      </c>
      <c r="S910" s="8" t="n">
        <v>671</v>
      </c>
      <c r="T910" s="8" t="n">
        <v>1063</v>
      </c>
      <c r="U910" s="9" t="n">
        <v>10728</v>
      </c>
      <c r="V910" s="10" t="n">
        <v>1267</v>
      </c>
      <c r="W910" s="10" t="n">
        <v>1060</v>
      </c>
      <c r="X910" s="7" t="n">
        <v>11026</v>
      </c>
      <c r="Y910" s="8" t="n">
        <v>1625</v>
      </c>
      <c r="Z910" s="8" t="n">
        <v>1141</v>
      </c>
      <c r="AA910" s="9" t="n">
        <v>10466</v>
      </c>
      <c r="AB910" s="10" t="n">
        <v>286</v>
      </c>
      <c r="AC910" s="10" t="n">
        <v>423</v>
      </c>
      <c r="AD910" s="7" t="n">
        <v>11103</v>
      </c>
      <c r="AE910" s="8" t="n">
        <v>1082</v>
      </c>
      <c r="AF910" s="8" t="n">
        <v>1322</v>
      </c>
      <c r="AG910" s="9" t="n">
        <v>11015</v>
      </c>
      <c r="AH910" s="10" t="n">
        <v>1368</v>
      </c>
      <c r="AI910" s="10" t="n">
        <v>1448</v>
      </c>
      <c r="AJ910" s="11" t="n">
        <v>12146</v>
      </c>
      <c r="AK910" s="12" t="n">
        <v>1744</v>
      </c>
      <c r="AL910" s="12" t="n">
        <v>2261</v>
      </c>
      <c r="AM910" s="13" t="n">
        <v>10.3</v>
      </c>
      <c r="AN910" s="13" t="n">
        <v>10.2</v>
      </c>
      <c r="AO910" s="13" t="n">
        <v>27.5</v>
      </c>
      <c r="AP910" s="13" t="n">
        <v>7.3</v>
      </c>
    </row>
    <row r="911">
      <c r="A911" s="5" t="inlineStr">
        <is>
          <t>에이치엔에스하이텍</t>
        </is>
      </c>
      <c r="B911" s="6" t="inlineStr">
        <is>
          <t>044990</t>
        </is>
      </c>
      <c r="C911" s="6" t="inlineStr">
        <is>
          <t>연결</t>
        </is>
      </c>
      <c r="D911" s="6" t="inlineStr">
        <is>
          <t>2026Q2</t>
        </is>
      </c>
      <c r="E911" s="6" t="inlineStr"/>
      <c r="F911" s="7" t="inlineStr"/>
      <c r="G911" s="8" t="inlineStr"/>
      <c r="H911" s="8" t="inlineStr"/>
      <c r="I911" s="9" t="inlineStr"/>
      <c r="J911" s="10" t="inlineStr"/>
      <c r="K911" s="10" t="inlineStr"/>
      <c r="L911" s="7" t="inlineStr"/>
      <c r="M911" s="8" t="inlineStr"/>
      <c r="N911" s="8" t="inlineStr"/>
      <c r="O911" s="9" t="inlineStr"/>
      <c r="P911" s="10" t="inlineStr"/>
      <c r="Q911" s="10" t="inlineStr"/>
      <c r="R911" s="7" t="inlineStr"/>
      <c r="S911" s="8" t="inlineStr"/>
      <c r="T911" s="8" t="inlineStr"/>
      <c r="U911" s="9" t="n">
        <v>20268</v>
      </c>
      <c r="V911" s="10" t="n">
        <v>4263</v>
      </c>
      <c r="W911" s="10" t="n">
        <v>3644</v>
      </c>
      <c r="X911" s="7" t="n">
        <v>16472</v>
      </c>
      <c r="Y911" s="8" t="n">
        <v>-749</v>
      </c>
      <c r="Z911" s="8" t="n">
        <v>-2011</v>
      </c>
      <c r="AA911" s="9" t="n">
        <v>23524</v>
      </c>
      <c r="AB911" s="10" t="n">
        <v>4224</v>
      </c>
      <c r="AC911" s="10" t="n">
        <v>4376</v>
      </c>
      <c r="AD911" s="7" t="n">
        <v>21623</v>
      </c>
      <c r="AE911" s="8" t="n">
        <v>1926</v>
      </c>
      <c r="AF911" s="8" t="n">
        <v>2882</v>
      </c>
      <c r="AG911" s="9" t="n">
        <v>22156</v>
      </c>
      <c r="AH911" s="10" t="n">
        <v>3069</v>
      </c>
      <c r="AI911" s="10" t="n">
        <v>3644</v>
      </c>
      <c r="AJ911" s="11" t="n">
        <v>22826</v>
      </c>
      <c r="AK911" s="12" t="n">
        <v>1967</v>
      </c>
      <c r="AL911" s="12" t="n">
        <v>1533</v>
      </c>
      <c r="AM911" s="13" t="n">
        <v>3</v>
      </c>
      <c r="AN911" s="13" t="n">
        <v>38.6</v>
      </c>
      <c r="AO911" s="13" t="n">
        <v>-35.9</v>
      </c>
      <c r="AP911" s="13" t="n">
        <v>362.6</v>
      </c>
    </row>
    <row r="912">
      <c r="A912" s="5" t="inlineStr">
        <is>
          <t>오공</t>
        </is>
      </c>
      <c r="B912" s="6" t="inlineStr">
        <is>
          <t>045060</t>
        </is>
      </c>
      <c r="C912" s="6" t="inlineStr">
        <is>
          <t>연결</t>
        </is>
      </c>
      <c r="D912" s="6" t="inlineStr">
        <is>
          <t>2026Q2</t>
        </is>
      </c>
      <c r="E912" s="6" t="inlineStr"/>
      <c r="F912" s="7" t="inlineStr"/>
      <c r="G912" s="8" t="inlineStr"/>
      <c r="H912" s="8" t="inlineStr"/>
      <c r="I912" s="9" t="n">
        <v>38956</v>
      </c>
      <c r="J912" s="10" t="n">
        <v>2322</v>
      </c>
      <c r="K912" s="10" t="n">
        <v>2020</v>
      </c>
      <c r="L912" s="7" t="n">
        <v>41533</v>
      </c>
      <c r="M912" s="8" t="n">
        <v>2302</v>
      </c>
      <c r="N912" s="8" t="n">
        <v>2044</v>
      </c>
      <c r="O912" s="9" t="n">
        <v>39460</v>
      </c>
      <c r="P912" s="10" t="n">
        <v>1729</v>
      </c>
      <c r="Q912" s="10" t="n">
        <v>1936</v>
      </c>
      <c r="R912" s="7" t="n">
        <v>43061</v>
      </c>
      <c r="S912" s="8" t="n">
        <v>2288</v>
      </c>
      <c r="T912" s="8" t="n">
        <v>2005</v>
      </c>
      <c r="U912" s="9" t="n">
        <v>38285</v>
      </c>
      <c r="V912" s="10" t="n">
        <v>798</v>
      </c>
      <c r="W912" s="10" t="n">
        <v>807</v>
      </c>
      <c r="X912" s="7" t="n">
        <v>40645</v>
      </c>
      <c r="Y912" s="8" t="n">
        <v>1371</v>
      </c>
      <c r="Z912" s="8" t="n">
        <v>1433</v>
      </c>
      <c r="AA912" s="9" t="n">
        <v>39898</v>
      </c>
      <c r="AB912" s="10" t="n">
        <v>1758</v>
      </c>
      <c r="AC912" s="10" t="n">
        <v>1604</v>
      </c>
      <c r="AD912" s="7" t="n">
        <v>41244</v>
      </c>
      <c r="AE912" s="8" t="n">
        <v>1695</v>
      </c>
      <c r="AF912" s="8" t="n">
        <v>1780</v>
      </c>
      <c r="AG912" s="9" t="n">
        <v>42545</v>
      </c>
      <c r="AH912" s="10" t="n">
        <v>1628</v>
      </c>
      <c r="AI912" s="10" t="n">
        <v>1436</v>
      </c>
      <c r="AJ912" s="11" t="n">
        <v>45344</v>
      </c>
      <c r="AK912" s="12" t="n">
        <v>4941</v>
      </c>
      <c r="AL912" s="12" t="n">
        <v>4083</v>
      </c>
      <c r="AM912" s="13" t="n">
        <v>6.6</v>
      </c>
      <c r="AN912" s="13" t="n">
        <v>11.6</v>
      </c>
      <c r="AO912" s="13" t="n">
        <v>203.5</v>
      </c>
      <c r="AP912" s="13" t="n">
        <v>260.4</v>
      </c>
    </row>
    <row r="913">
      <c r="A913" s="5" t="inlineStr">
        <is>
          <t>한양이엔지</t>
        </is>
      </c>
      <c r="B913" s="6" t="inlineStr">
        <is>
          <t>045100</t>
        </is>
      </c>
      <c r="C913" s="6" t="inlineStr">
        <is>
          <t>연결</t>
        </is>
      </c>
      <c r="D913" s="6" t="inlineStr">
        <is>
          <t>2026Q2</t>
        </is>
      </c>
      <c r="E913" s="6" t="inlineStr"/>
      <c r="F913" s="7" t="inlineStr"/>
      <c r="G913" s="8" t="inlineStr"/>
      <c r="H913" s="8" t="inlineStr"/>
      <c r="I913" s="9" t="n">
        <v>308079</v>
      </c>
      <c r="J913" s="10" t="n">
        <v>24655</v>
      </c>
      <c r="K913" s="10" t="n">
        <v>22856</v>
      </c>
      <c r="L913" s="7" t="n">
        <v>309857</v>
      </c>
      <c r="M913" s="8" t="n">
        <v>20288</v>
      </c>
      <c r="N913" s="8" t="n">
        <v>16969</v>
      </c>
      <c r="O913" s="9" t="n">
        <v>248694</v>
      </c>
      <c r="P913" s="10" t="n">
        <v>23514</v>
      </c>
      <c r="Q913" s="10" t="n">
        <v>18377</v>
      </c>
      <c r="R913" s="7" t="n">
        <v>319663</v>
      </c>
      <c r="S913" s="8" t="n">
        <v>17735</v>
      </c>
      <c r="T913" s="8" t="n">
        <v>18207</v>
      </c>
      <c r="U913" s="9" t="n">
        <v>268999</v>
      </c>
      <c r="V913" s="10" t="n">
        <v>11806</v>
      </c>
      <c r="W913" s="10" t="n">
        <v>9155</v>
      </c>
      <c r="X913" s="7" t="n">
        <v>290044</v>
      </c>
      <c r="Y913" s="8" t="n">
        <v>20122</v>
      </c>
      <c r="Z913" s="8" t="n">
        <v>16290</v>
      </c>
      <c r="AA913" s="9" t="n">
        <v>251726</v>
      </c>
      <c r="AB913" s="10" t="n">
        <v>12090</v>
      </c>
      <c r="AC913" s="10" t="n">
        <v>7858</v>
      </c>
      <c r="AD913" s="7" t="n">
        <v>307412</v>
      </c>
      <c r="AE913" s="8" t="n">
        <v>9693</v>
      </c>
      <c r="AF913" s="8" t="n">
        <v>8376</v>
      </c>
      <c r="AG913" s="9" t="n">
        <v>341356</v>
      </c>
      <c r="AH913" s="10" t="n">
        <v>22271</v>
      </c>
      <c r="AI913" s="10" t="n">
        <v>26020</v>
      </c>
      <c r="AJ913" s="11" t="n">
        <v>354703</v>
      </c>
      <c r="AK913" s="12" t="n">
        <v>28525</v>
      </c>
      <c r="AL913" s="12" t="n">
        <v>21875</v>
      </c>
      <c r="AM913" s="13" t="n">
        <v>3.9</v>
      </c>
      <c r="AN913" s="13" t="n">
        <v>22.3</v>
      </c>
      <c r="AO913" s="13" t="n">
        <v>28.1</v>
      </c>
      <c r="AP913" s="13" t="n">
        <v>41.8</v>
      </c>
    </row>
    <row r="914">
      <c r="A914" s="5" t="inlineStr">
        <is>
          <t>성우테크론</t>
        </is>
      </c>
      <c r="B914" s="6" t="inlineStr">
        <is>
          <t>045300</t>
        </is>
      </c>
      <c r="C914" s="6" t="inlineStr">
        <is>
          <t>연결</t>
        </is>
      </c>
      <c r="D914" s="6" t="inlineStr">
        <is>
          <t>2026Q2</t>
        </is>
      </c>
      <c r="E914" s="6" t="inlineStr"/>
      <c r="F914" s="7" t="inlineStr"/>
      <c r="G914" s="8" t="inlineStr"/>
      <c r="H914" s="8" t="inlineStr"/>
      <c r="I914" s="9" t="n">
        <v>11333</v>
      </c>
      <c r="J914" s="10" t="n">
        <v>741</v>
      </c>
      <c r="K914" s="10" t="n">
        <v>1032</v>
      </c>
      <c r="L914" s="7" t="n">
        <v>9858</v>
      </c>
      <c r="M914" s="8" t="n">
        <v>277</v>
      </c>
      <c r="N914" s="8" t="n">
        <v>717</v>
      </c>
      <c r="O914" s="9" t="n">
        <v>10026</v>
      </c>
      <c r="P914" s="10" t="n">
        <v>57</v>
      </c>
      <c r="Q914" s="10" t="n">
        <v>415</v>
      </c>
      <c r="R914" s="7" t="n">
        <v>10470</v>
      </c>
      <c r="S914" s="8" t="n">
        <v>109</v>
      </c>
      <c r="T914" s="8" t="n">
        <v>86</v>
      </c>
      <c r="U914" s="9" t="n">
        <v>11544</v>
      </c>
      <c r="V914" s="10" t="n">
        <v>503</v>
      </c>
      <c r="W914" s="10" t="n">
        <v>1052</v>
      </c>
      <c r="X914" s="7" t="n">
        <v>9747</v>
      </c>
      <c r="Y914" s="8" t="n">
        <v>252</v>
      </c>
      <c r="Z914" s="8" t="n">
        <v>923</v>
      </c>
      <c r="AA914" s="9" t="n">
        <v>9553</v>
      </c>
      <c r="AB914" s="10" t="n">
        <v>674</v>
      </c>
      <c r="AC914" s="10" t="n">
        <v>1596</v>
      </c>
      <c r="AD914" s="7" t="n">
        <v>10073</v>
      </c>
      <c r="AE914" s="8" t="n">
        <v>523</v>
      </c>
      <c r="AF914" s="8" t="n">
        <v>1181</v>
      </c>
      <c r="AG914" s="9" t="n">
        <v>11782</v>
      </c>
      <c r="AH914" s="10" t="n">
        <v>1369</v>
      </c>
      <c r="AI914" s="10" t="n">
        <v>1586</v>
      </c>
      <c r="AJ914" s="11" t="n">
        <v>14434</v>
      </c>
      <c r="AK914" s="12" t="n">
        <v>2535</v>
      </c>
      <c r="AL914" s="12" t="n">
        <v>2805</v>
      </c>
      <c r="AM914" s="13" t="n">
        <v>22.5</v>
      </c>
      <c r="AN914" s="13" t="n">
        <v>48.1</v>
      </c>
      <c r="AO914" s="13" t="n">
        <v>85.2</v>
      </c>
      <c r="AP914" s="13" t="n">
        <v>906</v>
      </c>
    </row>
    <row r="915">
      <c r="A915" s="5" t="inlineStr">
        <is>
          <t>토탈소프트</t>
        </is>
      </c>
      <c r="B915" s="6" t="inlineStr">
        <is>
          <t>045340</t>
        </is>
      </c>
      <c r="C915" s="6" t="inlineStr">
        <is>
          <t>별도</t>
        </is>
      </c>
      <c r="D915" s="6" t="inlineStr">
        <is>
          <t>2026Q2</t>
        </is>
      </c>
      <c r="E915" s="6" t="inlineStr"/>
      <c r="F915" s="7" t="inlineStr"/>
      <c r="G915" s="8" t="inlineStr"/>
      <c r="H915" s="8" t="inlineStr"/>
      <c r="I915" s="9" t="n">
        <v>4418</v>
      </c>
      <c r="J915" s="10" t="n">
        <v>322</v>
      </c>
      <c r="K915" s="10" t="n">
        <v>961</v>
      </c>
      <c r="L915" s="7" t="n">
        <v>4006</v>
      </c>
      <c r="M915" s="8" t="n">
        <v>487</v>
      </c>
      <c r="N915" s="8" t="n">
        <v>682</v>
      </c>
      <c r="O915" s="9" t="n">
        <v>5730</v>
      </c>
      <c r="P915" s="10" t="n">
        <v>1972</v>
      </c>
      <c r="Q915" s="10" t="n">
        <v>1334</v>
      </c>
      <c r="R915" s="7" t="n">
        <v>6556</v>
      </c>
      <c r="S915" s="8" t="n">
        <v>2388</v>
      </c>
      <c r="T915" s="8" t="n">
        <v>3126</v>
      </c>
      <c r="U915" s="9" t="n">
        <v>5324</v>
      </c>
      <c r="V915" s="10" t="n">
        <v>1423</v>
      </c>
      <c r="W915" s="10" t="n">
        <v>1335</v>
      </c>
      <c r="X915" s="7" t="n">
        <v>9653</v>
      </c>
      <c r="Y915" s="8" t="n">
        <v>5101</v>
      </c>
      <c r="Z915" s="8" t="n">
        <v>3245</v>
      </c>
      <c r="AA915" s="9" t="n">
        <v>6771</v>
      </c>
      <c r="AB915" s="10" t="n">
        <v>2425</v>
      </c>
      <c r="AC915" s="10" t="n">
        <v>2485</v>
      </c>
      <c r="AD915" s="7" t="n">
        <v>5747</v>
      </c>
      <c r="AE915" s="8" t="n">
        <v>409</v>
      </c>
      <c r="AF915" s="8" t="n">
        <v>1465</v>
      </c>
      <c r="AG915" s="9" t="n">
        <v>7375</v>
      </c>
      <c r="AH915" s="10" t="n">
        <v>1856</v>
      </c>
      <c r="AI915" s="10" t="n">
        <v>2567</v>
      </c>
      <c r="AJ915" s="11" t="n">
        <v>9596</v>
      </c>
      <c r="AK915" s="12" t="n">
        <v>4177</v>
      </c>
      <c r="AL915" s="12" t="n">
        <v>3586</v>
      </c>
      <c r="AM915" s="13" t="n">
        <v>30.1</v>
      </c>
      <c r="AN915" s="13" t="n">
        <v>-0.6</v>
      </c>
      <c r="AO915" s="13" t="n">
        <v>125.1</v>
      </c>
      <c r="AP915" s="13" t="n">
        <v>-18.1</v>
      </c>
    </row>
    <row r="916">
      <c r="A916" s="5" t="inlineStr">
        <is>
          <t>대아티아이</t>
        </is>
      </c>
      <c r="B916" s="6" t="inlineStr">
        <is>
          <t>045390</t>
        </is>
      </c>
      <c r="C916" s="6" t="inlineStr">
        <is>
          <t>연결</t>
        </is>
      </c>
      <c r="D916" s="6" t="inlineStr">
        <is>
          <t>2026Q2</t>
        </is>
      </c>
      <c r="E916" s="6" t="inlineStr"/>
      <c r="F916" s="7" t="inlineStr"/>
      <c r="G916" s="8" t="inlineStr"/>
      <c r="H916" s="8" t="inlineStr"/>
      <c r="I916" s="9" t="n">
        <v>26034</v>
      </c>
      <c r="J916" s="10" t="n">
        <v>995</v>
      </c>
      <c r="K916" s="10" t="n">
        <v>1718</v>
      </c>
      <c r="L916" s="7" t="n">
        <v>29511</v>
      </c>
      <c r="M916" s="8" t="n">
        <v>2527</v>
      </c>
      <c r="N916" s="8" t="n">
        <v>3571</v>
      </c>
      <c r="O916" s="9" t="n">
        <v>34190</v>
      </c>
      <c r="P916" s="10" t="n">
        <v>1675</v>
      </c>
      <c r="Q916" s="10" t="n">
        <v>3757</v>
      </c>
      <c r="R916" s="7" t="n">
        <v>59414</v>
      </c>
      <c r="S916" s="8" t="n">
        <v>2712</v>
      </c>
      <c r="T916" s="8" t="n">
        <v>5632</v>
      </c>
      <c r="U916" s="9" t="n">
        <v>39460</v>
      </c>
      <c r="V916" s="10" t="n">
        <v>1585</v>
      </c>
      <c r="W916" s="10" t="n">
        <v>4452</v>
      </c>
      <c r="X916" s="7" t="n">
        <v>38735</v>
      </c>
      <c r="Y916" s="8" t="n">
        <v>3284</v>
      </c>
      <c r="Z916" s="8" t="n">
        <v>5667</v>
      </c>
      <c r="AA916" s="9" t="n">
        <v>30256</v>
      </c>
      <c r="AB916" s="10" t="n">
        <v>1543</v>
      </c>
      <c r="AC916" s="10" t="n">
        <v>3972</v>
      </c>
      <c r="AD916" s="7" t="n">
        <v>44738</v>
      </c>
      <c r="AE916" s="8" t="n">
        <v>1147</v>
      </c>
      <c r="AF916" s="8" t="n">
        <v>6310</v>
      </c>
      <c r="AG916" s="9" t="n">
        <v>28580</v>
      </c>
      <c r="AH916" s="10" t="n">
        <v>618</v>
      </c>
      <c r="AI916" s="10" t="n">
        <v>2154</v>
      </c>
      <c r="AJ916" s="11" t="n">
        <v>30465</v>
      </c>
      <c r="AK916" s="12" t="n">
        <v>1798</v>
      </c>
      <c r="AL916" s="12" t="n">
        <v>1939</v>
      </c>
      <c r="AM916" s="13" t="n">
        <v>6.6</v>
      </c>
      <c r="AN916" s="13" t="n">
        <v>-21.4</v>
      </c>
      <c r="AO916" s="13" t="n">
        <v>190.9</v>
      </c>
      <c r="AP916" s="13" t="n">
        <v>-45.2</v>
      </c>
    </row>
    <row r="917">
      <c r="A917" s="5" t="inlineStr">
        <is>
          <t>정원엔시스</t>
        </is>
      </c>
      <c r="B917" s="6" t="inlineStr">
        <is>
          <t>045510</t>
        </is>
      </c>
      <c r="C917" s="6" t="inlineStr">
        <is>
          <t>연결</t>
        </is>
      </c>
      <c r="D917" s="6" t="inlineStr">
        <is>
          <t>2026Q2</t>
        </is>
      </c>
      <c r="E917" s="6" t="inlineStr"/>
      <c r="F917" s="7" t="inlineStr"/>
      <c r="G917" s="8" t="inlineStr"/>
      <c r="H917" s="8" t="inlineStr"/>
      <c r="I917" s="9" t="n">
        <v>35776</v>
      </c>
      <c r="J917" s="10" t="n">
        <v>212</v>
      </c>
      <c r="K917" s="10" t="n">
        <v>328</v>
      </c>
      <c r="L917" s="7" t="n">
        <v>40480</v>
      </c>
      <c r="M917" s="8" t="n">
        <v>173</v>
      </c>
      <c r="N917" s="8" t="n">
        <v>-59</v>
      </c>
      <c r="O917" s="9" t="n">
        <v>41118</v>
      </c>
      <c r="P917" s="10" t="n">
        <v>-515</v>
      </c>
      <c r="Q917" s="10" t="n">
        <v>-440</v>
      </c>
      <c r="R917" s="7" t="n">
        <v>77076</v>
      </c>
      <c r="S917" s="8" t="n">
        <v>1692</v>
      </c>
      <c r="T917" s="8" t="n">
        <v>1117</v>
      </c>
      <c r="U917" s="9" t="n">
        <v>40102</v>
      </c>
      <c r="V917" s="10" t="n">
        <v>-208</v>
      </c>
      <c r="W917" s="10" t="n">
        <v>2</v>
      </c>
      <c r="X917" s="7" t="n">
        <v>44108</v>
      </c>
      <c r="Y917" s="8" t="n">
        <v>566</v>
      </c>
      <c r="Z917" s="8" t="n">
        <v>659</v>
      </c>
      <c r="AA917" s="9" t="n">
        <v>50850</v>
      </c>
      <c r="AB917" s="10" t="n">
        <v>-6</v>
      </c>
      <c r="AC917" s="10" t="n">
        <v>-142</v>
      </c>
      <c r="AD917" s="7" t="n">
        <v>65843</v>
      </c>
      <c r="AE917" s="8" t="n">
        <v>1589</v>
      </c>
      <c r="AF917" s="8" t="n">
        <v>606</v>
      </c>
      <c r="AG917" s="9" t="n">
        <v>75264</v>
      </c>
      <c r="AH917" s="10" t="n">
        <v>1283</v>
      </c>
      <c r="AI917" s="10" t="n">
        <v>729</v>
      </c>
      <c r="AJ917" s="11" t="n">
        <v>58341</v>
      </c>
      <c r="AK917" s="12" t="n">
        <v>1867</v>
      </c>
      <c r="AL917" s="12" t="n">
        <v>1124</v>
      </c>
      <c r="AM917" s="13" t="n">
        <v>-22.5</v>
      </c>
      <c r="AN917" s="13" t="n">
        <v>32.3</v>
      </c>
      <c r="AO917" s="13" t="n">
        <v>45.5</v>
      </c>
      <c r="AP917" s="13" t="n">
        <v>229.9</v>
      </c>
    </row>
    <row r="918">
      <c r="A918" s="5" t="inlineStr">
        <is>
          <t>크린앤사이언스</t>
        </is>
      </c>
      <c r="B918" s="6" t="inlineStr">
        <is>
          <t>045520</t>
        </is>
      </c>
      <c r="C918" s="6" t="inlineStr">
        <is>
          <t>연결</t>
        </is>
      </c>
      <c r="D918" s="6" t="inlineStr">
        <is>
          <t>2026Q2</t>
        </is>
      </c>
      <c r="E918" s="6" t="inlineStr"/>
      <c r="F918" s="7" t="inlineStr"/>
      <c r="G918" s="8" t="inlineStr"/>
      <c r="H918" s="8" t="inlineStr"/>
      <c r="I918" s="9" t="n">
        <v>24032</v>
      </c>
      <c r="J918" s="10" t="n">
        <v>1333</v>
      </c>
      <c r="K918" s="10" t="n">
        <v>1381</v>
      </c>
      <c r="L918" s="7" t="n">
        <v>21502</v>
      </c>
      <c r="M918" s="8" t="n">
        <v>215</v>
      </c>
      <c r="N918" s="8" t="n">
        <v>373</v>
      </c>
      <c r="O918" s="9" t="n">
        <v>19661</v>
      </c>
      <c r="P918" s="10" t="n">
        <v>-492</v>
      </c>
      <c r="Q918" s="10" t="n">
        <v>-657</v>
      </c>
      <c r="R918" s="7" t="n">
        <v>19428</v>
      </c>
      <c r="S918" s="8" t="n">
        <v>-1905</v>
      </c>
      <c r="T918" s="8" t="n">
        <v>-8504</v>
      </c>
      <c r="U918" s="9" t="n">
        <v>26344</v>
      </c>
      <c r="V918" s="10" t="n">
        <v>1132</v>
      </c>
      <c r="W918" s="10" t="n">
        <v>1033</v>
      </c>
      <c r="X918" s="7" t="n">
        <v>24756</v>
      </c>
      <c r="Y918" s="8" t="n">
        <v>1140</v>
      </c>
      <c r="Z918" s="8" t="n">
        <v>-866</v>
      </c>
      <c r="AA918" s="9" t="n">
        <v>17317</v>
      </c>
      <c r="AB918" s="10" t="n">
        <v>-1818</v>
      </c>
      <c r="AC918" s="10" t="n">
        <v>-1020</v>
      </c>
      <c r="AD918" s="7" t="n">
        <v>17681</v>
      </c>
      <c r="AE918" s="8" t="n">
        <v>-1419</v>
      </c>
      <c r="AF918" s="8" t="n">
        <v>-2518</v>
      </c>
      <c r="AG918" s="9" t="n">
        <v>24873</v>
      </c>
      <c r="AH918" s="10" t="n">
        <v>839</v>
      </c>
      <c r="AI918" s="10" t="n">
        <v>1383</v>
      </c>
      <c r="AJ918" s="11" t="n">
        <v>24969</v>
      </c>
      <c r="AK918" s="12" t="n">
        <v>389</v>
      </c>
      <c r="AL918" s="12" t="n">
        <v>141</v>
      </c>
      <c r="AM918" s="13" t="n">
        <v>0.4</v>
      </c>
      <c r="AN918" s="13" t="n">
        <v>0.9</v>
      </c>
      <c r="AO918" s="13" t="n">
        <v>-53.6</v>
      </c>
      <c r="AP918" s="13" t="n">
        <v>-65.90000000000001</v>
      </c>
    </row>
    <row r="919">
      <c r="A919" s="5" t="inlineStr">
        <is>
          <t>에이텍</t>
        </is>
      </c>
      <c r="B919" s="6" t="inlineStr">
        <is>
          <t>045660</t>
        </is>
      </c>
      <c r="C919" s="6" t="inlineStr">
        <is>
          <t>연결</t>
        </is>
      </c>
      <c r="D919" s="6" t="inlineStr">
        <is>
          <t>2026Q2</t>
        </is>
      </c>
      <c r="E919" s="6" t="inlineStr"/>
      <c r="F919" s="7" t="inlineStr"/>
      <c r="G919" s="8" t="inlineStr"/>
      <c r="H919" s="8" t="inlineStr"/>
      <c r="I919" s="9" t="n">
        <v>20519</v>
      </c>
      <c r="J919" s="10" t="n">
        <v>1364</v>
      </c>
      <c r="K919" s="10" t="n">
        <v>2594</v>
      </c>
      <c r="L919" s="7" t="n">
        <v>16172</v>
      </c>
      <c r="M919" s="8" t="n">
        <v>295</v>
      </c>
      <c r="N919" s="8" t="n">
        <v>1751</v>
      </c>
      <c r="O919" s="9" t="n">
        <v>29236</v>
      </c>
      <c r="P919" s="10" t="n">
        <v>2340</v>
      </c>
      <c r="Q919" s="10" t="n">
        <v>9996</v>
      </c>
      <c r="R919" s="7" t="n">
        <v>-19696</v>
      </c>
      <c r="S919" s="8" t="n">
        <v>-2537</v>
      </c>
      <c r="T919" s="8" t="n">
        <v>1198</v>
      </c>
      <c r="U919" s="9" t="n">
        <v>24569</v>
      </c>
      <c r="V919" s="10" t="n">
        <v>3610</v>
      </c>
      <c r="W919" s="10" t="n">
        <v>16575</v>
      </c>
      <c r="X919" s="7" t="n">
        <v>36325</v>
      </c>
      <c r="Y919" s="8" t="n">
        <v>2293</v>
      </c>
      <c r="Z919" s="8" t="n">
        <v>3001</v>
      </c>
      <c r="AA919" s="9" t="n">
        <v>47596</v>
      </c>
      <c r="AB919" s="10" t="n">
        <v>5431</v>
      </c>
      <c r="AC919" s="10" t="n">
        <v>-4318</v>
      </c>
      <c r="AD919" s="7" t="n">
        <v>51723</v>
      </c>
      <c r="AE919" s="8" t="n">
        <v>-2635</v>
      </c>
      <c r="AF919" s="8" t="n">
        <v>-14864</v>
      </c>
      <c r="AG919" s="9" t="n">
        <v>41484</v>
      </c>
      <c r="AH919" s="10" t="n">
        <v>4189</v>
      </c>
      <c r="AI919" s="10" t="n">
        <v>4027</v>
      </c>
      <c r="AJ919" s="11" t="n">
        <v>53576</v>
      </c>
      <c r="AK919" s="12" t="n">
        <v>10472</v>
      </c>
      <c r="AL919" s="12" t="n">
        <v>9617</v>
      </c>
      <c r="AM919" s="13" t="n">
        <v>29.1</v>
      </c>
      <c r="AN919" s="13" t="n">
        <v>47.5</v>
      </c>
      <c r="AO919" s="13" t="n">
        <v>150</v>
      </c>
      <c r="AP919" s="13" t="n">
        <v>356.7</v>
      </c>
    </row>
    <row r="920">
      <c r="A920" s="5" t="inlineStr">
        <is>
          <t>코아시아</t>
        </is>
      </c>
      <c r="B920" s="6" t="inlineStr">
        <is>
          <t>045970</t>
        </is>
      </c>
      <c r="C920" s="6" t="inlineStr">
        <is>
          <t>연결</t>
        </is>
      </c>
      <c r="D920" s="6" t="inlineStr">
        <is>
          <t>2026Q2</t>
        </is>
      </c>
      <c r="E920" s="6" t="inlineStr"/>
      <c r="F920" s="7" t="inlineStr"/>
      <c r="G920" s="8" t="inlineStr"/>
      <c r="H920" s="8" t="inlineStr"/>
      <c r="I920" s="9" t="n">
        <v>103981</v>
      </c>
      <c r="J920" s="10" t="n">
        <v>-3963</v>
      </c>
      <c r="K920" s="10" t="n">
        <v>-4999</v>
      </c>
      <c r="L920" s="7" t="n">
        <v>80373</v>
      </c>
      <c r="M920" s="8" t="n">
        <v>-5836</v>
      </c>
      <c r="N920" s="8" t="n">
        <v>-8836</v>
      </c>
      <c r="O920" s="9" t="n">
        <v>88414</v>
      </c>
      <c r="P920" s="10" t="n">
        <v>-8392</v>
      </c>
      <c r="Q920" s="10" t="n">
        <v>-9478</v>
      </c>
      <c r="R920" s="7" t="n">
        <v>85042</v>
      </c>
      <c r="S920" s="8" t="n">
        <v>-21421</v>
      </c>
      <c r="T920" s="8" t="n">
        <v>-40148</v>
      </c>
      <c r="U920" s="9" t="n">
        <v>103961</v>
      </c>
      <c r="V920" s="10" t="n">
        <v>1827</v>
      </c>
      <c r="W920" s="10" t="n">
        <v>148</v>
      </c>
      <c r="X920" s="7" t="n">
        <v>98512</v>
      </c>
      <c r="Y920" s="8" t="n">
        <v>3699</v>
      </c>
      <c r="Z920" s="8" t="n">
        <v>-4855</v>
      </c>
      <c r="AA920" s="9" t="n">
        <v>90733</v>
      </c>
      <c r="AB920" s="10" t="n">
        <v>-1183</v>
      </c>
      <c r="AC920" s="10" t="n">
        <v>-3548</v>
      </c>
      <c r="AD920" s="7" t="n">
        <v>81923</v>
      </c>
      <c r="AE920" s="8" t="n">
        <v>-6581</v>
      </c>
      <c r="AF920" s="8" t="n">
        <v>-10948</v>
      </c>
      <c r="AG920" s="9" t="n">
        <v>121820</v>
      </c>
      <c r="AH920" s="10" t="n">
        <v>-2029</v>
      </c>
      <c r="AI920" s="10" t="n">
        <v>-211</v>
      </c>
      <c r="AJ920" s="11" t="n">
        <v>132073</v>
      </c>
      <c r="AK920" s="12" t="n">
        <v>-3037</v>
      </c>
      <c r="AL920" s="12" t="n">
        <v>-3352</v>
      </c>
      <c r="AM920" s="13" t="n">
        <v>8.4</v>
      </c>
      <c r="AN920" s="13" t="n">
        <v>34.1</v>
      </c>
      <c r="AO920" s="13" t="n">
        <v>-49.7</v>
      </c>
      <c r="AP920" s="13" t="n">
        <v>-182.1</v>
      </c>
    </row>
    <row r="921">
      <c r="A921" s="5" t="inlineStr">
        <is>
          <t>코다코</t>
        </is>
      </c>
      <c r="B921" s="6" t="inlineStr">
        <is>
          <t>046070</t>
        </is>
      </c>
      <c r="C921" s="6" t="inlineStr">
        <is>
          <t>연결</t>
        </is>
      </c>
      <c r="D921" s="6" t="inlineStr">
        <is>
          <t>2026Q2</t>
        </is>
      </c>
      <c r="E921" s="6" t="inlineStr"/>
      <c r="F921" s="7" t="inlineStr"/>
      <c r="G921" s="8" t="inlineStr"/>
      <c r="H921" s="8" t="inlineStr"/>
      <c r="I921" s="9" t="n">
        <v>66190</v>
      </c>
      <c r="J921" s="10" t="n">
        <v>-1501</v>
      </c>
      <c r="K921" s="10" t="n">
        <v>675</v>
      </c>
      <c r="L921" s="7" t="n">
        <v>65303</v>
      </c>
      <c r="M921" s="8" t="n">
        <v>-2215</v>
      </c>
      <c r="N921" s="8" t="n">
        <v>115208</v>
      </c>
      <c r="O921" s="9" t="n">
        <v>59885</v>
      </c>
      <c r="P921" s="10" t="n">
        <v>-3363</v>
      </c>
      <c r="Q921" s="10" t="n">
        <v>-8946</v>
      </c>
      <c r="R921" s="7" t="n">
        <v>60050</v>
      </c>
      <c r="S921" s="8" t="n">
        <v>-30038</v>
      </c>
      <c r="T921" s="8" t="n">
        <v>-56571</v>
      </c>
      <c r="U921" s="9" t="n">
        <v>66703</v>
      </c>
      <c r="V921" s="10" t="n">
        <v>659</v>
      </c>
      <c r="W921" s="10" t="n">
        <v>-3069</v>
      </c>
      <c r="X921" s="7" t="n">
        <v>65997</v>
      </c>
      <c r="Y921" s="8" t="n">
        <v>754</v>
      </c>
      <c r="Z921" s="8" t="n">
        <v>1359</v>
      </c>
      <c r="AA921" s="9" t="n">
        <v>67526</v>
      </c>
      <c r="AB921" s="10" t="n">
        <v>-842</v>
      </c>
      <c r="AC921" s="10" t="n">
        <v>-812</v>
      </c>
      <c r="AD921" s="7" t="n">
        <v>70818</v>
      </c>
      <c r="AE921" s="8" t="n">
        <v>-169</v>
      </c>
      <c r="AF921" s="8" t="n">
        <v>-4095</v>
      </c>
      <c r="AG921" s="9" t="n">
        <v>58648</v>
      </c>
      <c r="AH921" s="10" t="n">
        <v>641</v>
      </c>
      <c r="AI921" s="10" t="n">
        <v>1029</v>
      </c>
      <c r="AJ921" s="11" t="n">
        <v>45439</v>
      </c>
      <c r="AK921" s="12" t="n">
        <v>-540</v>
      </c>
      <c r="AL921" s="12" t="n">
        <v>7927</v>
      </c>
      <c r="AM921" s="13" t="n">
        <v>-22.5</v>
      </c>
      <c r="AN921" s="13" t="n">
        <v>-31.1</v>
      </c>
      <c r="AO921" s="13" t="n">
        <v>-184.2</v>
      </c>
      <c r="AP921" s="13" t="n">
        <v>-171.6</v>
      </c>
    </row>
    <row r="922">
      <c r="A922" s="5" t="inlineStr">
        <is>
          <t>오르비텍</t>
        </is>
      </c>
      <c r="B922" s="6" t="inlineStr">
        <is>
          <t>046120</t>
        </is>
      </c>
      <c r="C922" s="6" t="inlineStr">
        <is>
          <t>연결</t>
        </is>
      </c>
      <c r="D922" s="6" t="inlineStr">
        <is>
          <t>2026Q2</t>
        </is>
      </c>
      <c r="E922" s="6" t="inlineStr"/>
      <c r="F922" s="7" t="inlineStr"/>
      <c r="G922" s="8" t="inlineStr"/>
      <c r="H922" s="8" t="inlineStr"/>
      <c r="I922" s="9" t="n">
        <v>17042</v>
      </c>
      <c r="J922" s="10" t="n">
        <v>761</v>
      </c>
      <c r="K922" s="10" t="n">
        <v>532</v>
      </c>
      <c r="L922" s="7" t="n">
        <v>15943</v>
      </c>
      <c r="M922" s="8" t="n">
        <v>-548</v>
      </c>
      <c r="N922" s="8" t="n">
        <v>-732</v>
      </c>
      <c r="O922" s="9" t="n">
        <v>17734</v>
      </c>
      <c r="P922" s="10" t="n">
        <v>1568</v>
      </c>
      <c r="Q922" s="10" t="n">
        <v>1659</v>
      </c>
      <c r="R922" s="7" t="n">
        <v>15802</v>
      </c>
      <c r="S922" s="8" t="n">
        <v>-1092</v>
      </c>
      <c r="T922" s="8" t="n">
        <v>694</v>
      </c>
      <c r="U922" s="9" t="n">
        <v>13749</v>
      </c>
      <c r="V922" s="10" t="n">
        <v>-3107</v>
      </c>
      <c r="W922" s="10" t="n">
        <v>6882</v>
      </c>
      <c r="X922" s="7" t="n">
        <v>14838</v>
      </c>
      <c r="Y922" s="8" t="n">
        <v>-3849</v>
      </c>
      <c r="Z922" s="8" t="n">
        <v>-870</v>
      </c>
      <c r="AA922" s="9" t="n">
        <v>13856</v>
      </c>
      <c r="AB922" s="10" t="n">
        <v>-2132</v>
      </c>
      <c r="AC922" s="10" t="n">
        <v>5598</v>
      </c>
      <c r="AD922" s="7" t="n">
        <v>15466</v>
      </c>
      <c r="AE922" s="8" t="n">
        <v>-4924</v>
      </c>
      <c r="AF922" s="8" t="n">
        <v>-10817</v>
      </c>
      <c r="AG922" s="9" t="n">
        <v>22403</v>
      </c>
      <c r="AH922" s="10" t="n">
        <v>-3091</v>
      </c>
      <c r="AI922" s="10" t="n">
        <v>19112</v>
      </c>
      <c r="AJ922" s="11" t="n">
        <v>16569</v>
      </c>
      <c r="AK922" s="12" t="n">
        <v>-1395</v>
      </c>
      <c r="AL922" s="12" t="n">
        <v>-5076</v>
      </c>
      <c r="AM922" s="13" t="n">
        <v>-26</v>
      </c>
      <c r="AN922" s="13" t="n">
        <v>11.7</v>
      </c>
      <c r="AO922" s="13" t="n">
        <v>54.9</v>
      </c>
      <c r="AP922" s="13" t="n">
        <v>63.8</v>
      </c>
    </row>
    <row r="923">
      <c r="A923" s="5" t="inlineStr">
        <is>
          <t>HLB파나진</t>
        </is>
      </c>
      <c r="B923" s="6" t="inlineStr">
        <is>
          <t>046210</t>
        </is>
      </c>
      <c r="C923" s="6" t="inlineStr">
        <is>
          <t>연결</t>
        </is>
      </c>
      <c r="D923" s="6" t="inlineStr">
        <is>
          <t>2026Q2</t>
        </is>
      </c>
      <c r="E923" s="6" t="inlineStr"/>
      <c r="F923" s="7" t="inlineStr"/>
      <c r="G923" s="8" t="inlineStr"/>
      <c r="H923" s="8" t="inlineStr"/>
      <c r="I923" s="9" t="n">
        <v>3407</v>
      </c>
      <c r="J923" s="10" t="n">
        <v>163</v>
      </c>
      <c r="K923" s="10" t="n">
        <v>571</v>
      </c>
      <c r="L923" s="7" t="n">
        <v>2464</v>
      </c>
      <c r="M923" s="8" t="n">
        <v>-999</v>
      </c>
      <c r="N923" s="8" t="n">
        <v>-3684</v>
      </c>
      <c r="O923" s="9" t="n">
        <v>3852</v>
      </c>
      <c r="P923" s="10" t="n">
        <v>-256</v>
      </c>
      <c r="Q923" s="10" t="n">
        <v>-122</v>
      </c>
      <c r="R923" s="7" t="n">
        <v>3474</v>
      </c>
      <c r="S923" s="8" t="n">
        <v>-270</v>
      </c>
      <c r="T923" s="8" t="n">
        <v>1149</v>
      </c>
      <c r="U923" s="9" t="n">
        <v>3539</v>
      </c>
      <c r="V923" s="10" t="n">
        <v>-733</v>
      </c>
      <c r="W923" s="10" t="n">
        <v>-584</v>
      </c>
      <c r="X923" s="7" t="n">
        <v>3640</v>
      </c>
      <c r="Y923" s="8" t="n">
        <v>-200</v>
      </c>
      <c r="Z923" s="8" t="n">
        <v>1211</v>
      </c>
      <c r="AA923" s="9" t="n">
        <v>3636</v>
      </c>
      <c r="AB923" s="10" t="n">
        <v>-829</v>
      </c>
      <c r="AC923" s="10" t="n">
        <v>-164</v>
      </c>
      <c r="AD923" s="7" t="n">
        <v>4235</v>
      </c>
      <c r="AE923" s="8" t="n">
        <v>-1678</v>
      </c>
      <c r="AF923" s="8" t="n">
        <v>-3589</v>
      </c>
      <c r="AG923" s="9" t="n">
        <v>3130</v>
      </c>
      <c r="AH923" s="10" t="n">
        <v>-749</v>
      </c>
      <c r="AI923" s="10" t="n">
        <v>-1075</v>
      </c>
      <c r="AJ923" s="11" t="n">
        <v>3708</v>
      </c>
      <c r="AK923" s="12" t="n">
        <v>-158</v>
      </c>
      <c r="AL923" s="12" t="n">
        <v>1550</v>
      </c>
      <c r="AM923" s="13" t="n">
        <v>18.5</v>
      </c>
      <c r="AN923" s="13" t="n">
        <v>1.9</v>
      </c>
      <c r="AO923" s="13" t="n">
        <v>78.90000000000001</v>
      </c>
      <c r="AP923" s="13" t="n">
        <v>21</v>
      </c>
    </row>
    <row r="924">
      <c r="A924" s="5" t="inlineStr">
        <is>
          <t>백금T&amp;A</t>
        </is>
      </c>
      <c r="B924" s="6" t="inlineStr">
        <is>
          <t>046310</t>
        </is>
      </c>
      <c r="C924" s="6" t="inlineStr">
        <is>
          <t>연결</t>
        </is>
      </c>
      <c r="D924" s="6" t="inlineStr">
        <is>
          <t>2026Q2</t>
        </is>
      </c>
      <c r="E924" s="6" t="inlineStr"/>
      <c r="F924" s="7" t="inlineStr"/>
      <c r="G924" s="8" t="inlineStr"/>
      <c r="H924" s="8" t="inlineStr"/>
      <c r="I924" s="9" t="n">
        <v>32534</v>
      </c>
      <c r="J924" s="10" t="n">
        <v>2841</v>
      </c>
      <c r="K924" s="10" t="n">
        <v>3241</v>
      </c>
      <c r="L924" s="7" t="n">
        <v>34514</v>
      </c>
      <c r="M924" s="8" t="n">
        <v>3758</v>
      </c>
      <c r="N924" s="8" t="n">
        <v>4199</v>
      </c>
      <c r="O924" s="9" t="n">
        <v>43171</v>
      </c>
      <c r="P924" s="10" t="n">
        <v>4087</v>
      </c>
      <c r="Q924" s="10" t="n">
        <v>4286</v>
      </c>
      <c r="R924" s="7" t="n">
        <v>42274</v>
      </c>
      <c r="S924" s="8" t="n">
        <v>2047</v>
      </c>
      <c r="T924" s="8" t="n">
        <v>5941</v>
      </c>
      <c r="U924" s="9" t="n">
        <v>35520</v>
      </c>
      <c r="V924" s="10" t="n">
        <v>2688</v>
      </c>
      <c r="W924" s="10" t="n">
        <v>2723</v>
      </c>
      <c r="X924" s="7" t="n">
        <v>37983</v>
      </c>
      <c r="Y924" s="8" t="n">
        <v>2431</v>
      </c>
      <c r="Z924" s="8" t="n">
        <v>1427</v>
      </c>
      <c r="AA924" s="9" t="n">
        <v>37196</v>
      </c>
      <c r="AB924" s="10" t="n">
        <v>2904</v>
      </c>
      <c r="AC924" s="10" t="n">
        <v>3615</v>
      </c>
      <c r="AD924" s="7" t="n">
        <v>38223</v>
      </c>
      <c r="AE924" s="8" t="n">
        <v>-1233</v>
      </c>
      <c r="AF924" s="8" t="n">
        <v>-697</v>
      </c>
      <c r="AG924" s="9" t="n">
        <v>29690</v>
      </c>
      <c r="AH924" s="10" t="n">
        <v>-326</v>
      </c>
      <c r="AI924" s="10" t="n">
        <v>692</v>
      </c>
      <c r="AJ924" s="11" t="n">
        <v>39539</v>
      </c>
      <c r="AK924" s="12" t="n">
        <v>407</v>
      </c>
      <c r="AL924" s="12" t="n">
        <v>545</v>
      </c>
      <c r="AM924" s="13" t="n">
        <v>33.2</v>
      </c>
      <c r="AN924" s="13" t="n">
        <v>4.1</v>
      </c>
      <c r="AO924" s="13" t="n">
        <v>224.8</v>
      </c>
      <c r="AP924" s="13" t="n">
        <v>-83.3</v>
      </c>
    </row>
    <row r="925">
      <c r="A925" s="5" t="inlineStr">
        <is>
          <t>삼화네트웍스</t>
        </is>
      </c>
      <c r="B925" s="6" t="inlineStr">
        <is>
          <t>046390</t>
        </is>
      </c>
      <c r="C925" s="6" t="inlineStr">
        <is>
          <t>연결</t>
        </is>
      </c>
      <c r="D925" s="6" t="inlineStr">
        <is>
          <t>2026Q2</t>
        </is>
      </c>
      <c r="E925" s="6" t="inlineStr"/>
      <c r="F925" s="7" t="inlineStr"/>
      <c r="G925" s="8" t="inlineStr"/>
      <c r="H925" s="8" t="inlineStr"/>
      <c r="I925" s="9" t="n">
        <v>18717</v>
      </c>
      <c r="J925" s="10" t="n">
        <v>1507</v>
      </c>
      <c r="K925" s="10" t="n">
        <v>1654</v>
      </c>
      <c r="L925" s="7" t="n">
        <v>15086</v>
      </c>
      <c r="M925" s="8" t="n">
        <v>982</v>
      </c>
      <c r="N925" s="8" t="n">
        <v>1251</v>
      </c>
      <c r="O925" s="9" t="n">
        <v>12101</v>
      </c>
      <c r="P925" s="10" t="n">
        <v>320</v>
      </c>
      <c r="Q925" s="10" t="n">
        <v>535</v>
      </c>
      <c r="R925" s="7" t="n">
        <v>815</v>
      </c>
      <c r="S925" s="8" t="n">
        <v>-2138</v>
      </c>
      <c r="T925" s="8" t="n">
        <v>-1575</v>
      </c>
      <c r="U925" s="9" t="n">
        <v>654</v>
      </c>
      <c r="V925" s="10" t="n">
        <v>-1394</v>
      </c>
      <c r="W925" s="10" t="n">
        <v>-1257</v>
      </c>
      <c r="X925" s="7" t="n">
        <v>622</v>
      </c>
      <c r="Y925" s="8" t="n">
        <v>-1285</v>
      </c>
      <c r="Z925" s="8" t="n">
        <v>-1166</v>
      </c>
      <c r="AA925" s="9" t="n">
        <v>375</v>
      </c>
      <c r="AB925" s="10" t="n">
        <v>-1693</v>
      </c>
      <c r="AC925" s="10" t="n">
        <v>-1612</v>
      </c>
      <c r="AD925" s="7" t="n">
        <v>35615</v>
      </c>
      <c r="AE925" s="8" t="n">
        <v>2824</v>
      </c>
      <c r="AF925" s="8" t="n">
        <v>3163</v>
      </c>
      <c r="AG925" s="9" t="n">
        <v>353</v>
      </c>
      <c r="AH925" s="10" t="n">
        <v>-1355</v>
      </c>
      <c r="AI925" s="10" t="n">
        <v>-1271</v>
      </c>
      <c r="AJ925" s="11" t="n">
        <v>391</v>
      </c>
      <c r="AK925" s="12" t="n">
        <v>-1377</v>
      </c>
      <c r="AL925" s="12" t="n">
        <v>-1227</v>
      </c>
      <c r="AM925" s="13" t="n">
        <v>10.8</v>
      </c>
      <c r="AN925" s="13" t="n">
        <v>-37.1</v>
      </c>
      <c r="AO925" s="13" t="n">
        <v>-1.6</v>
      </c>
      <c r="AP925" s="13" t="n">
        <v>-7.2</v>
      </c>
    </row>
    <row r="926">
      <c r="A926" s="5" t="inlineStr">
        <is>
          <t>KG파이낸셜</t>
        </is>
      </c>
      <c r="B926" s="6" t="inlineStr">
        <is>
          <t>046440</t>
        </is>
      </c>
      <c r="C926" s="6" t="inlineStr">
        <is>
          <t>연결</t>
        </is>
      </c>
      <c r="D926" s="6" t="inlineStr">
        <is>
          <t>2026Q2</t>
        </is>
      </c>
      <c r="E926" s="6" t="inlineStr">
        <is>
          <t>2023Q4</t>
        </is>
      </c>
      <c r="F926" s="14" t="n">
        <v>65773</v>
      </c>
      <c r="G926" s="15" t="n">
        <v>9350</v>
      </c>
      <c r="H926" s="15" t="n">
        <v>22370</v>
      </c>
      <c r="I926" s="9" t="n">
        <v>82086</v>
      </c>
      <c r="J926" s="10" t="n">
        <v>9630</v>
      </c>
      <c r="K926" s="10" t="n">
        <v>8944</v>
      </c>
      <c r="L926" s="7" t="n">
        <v>72400</v>
      </c>
      <c r="M926" s="8" t="n">
        <v>9140</v>
      </c>
      <c r="N926" s="8" t="n">
        <v>7112</v>
      </c>
      <c r="O926" s="9" t="n">
        <v>66963</v>
      </c>
      <c r="P926" s="10" t="n">
        <v>-17441</v>
      </c>
      <c r="Q926" s="10" t="n">
        <v>-12788</v>
      </c>
      <c r="R926" s="7" t="n">
        <v>44662</v>
      </c>
      <c r="S926" s="8" t="n">
        <v>6100</v>
      </c>
      <c r="T926" s="8" t="n">
        <v>4960</v>
      </c>
      <c r="U926" s="9" t="n">
        <v>61245</v>
      </c>
      <c r="V926" s="10" t="n">
        <v>7707</v>
      </c>
      <c r="W926" s="10" t="n">
        <v>6010</v>
      </c>
      <c r="X926" s="7" t="n">
        <v>56177</v>
      </c>
      <c r="Y926" s="8" t="n">
        <v>7485</v>
      </c>
      <c r="Z926" s="8" t="n">
        <v>4534</v>
      </c>
      <c r="AA926" s="9" t="n">
        <v>60809</v>
      </c>
      <c r="AB926" s="10" t="n">
        <v>10171</v>
      </c>
      <c r="AC926" s="10" t="n">
        <v>7805</v>
      </c>
      <c r="AD926" s="7" t="n">
        <v>55540</v>
      </c>
      <c r="AE926" s="8" t="n">
        <v>7762</v>
      </c>
      <c r="AF926" s="8" t="n">
        <v>4270</v>
      </c>
      <c r="AG926" s="9" t="n">
        <v>62549</v>
      </c>
      <c r="AH926" s="10" t="n">
        <v>7012</v>
      </c>
      <c r="AI926" s="10" t="n">
        <v>4012</v>
      </c>
      <c r="AJ926" s="11" t="n">
        <v>62246</v>
      </c>
      <c r="AK926" s="12" t="n">
        <v>8813</v>
      </c>
      <c r="AL926" s="12" t="n">
        <v>6718</v>
      </c>
      <c r="AM926" s="13" t="n">
        <v>-0.5</v>
      </c>
      <c r="AN926" s="13" t="n">
        <v>10.8</v>
      </c>
      <c r="AO926" s="13" t="n">
        <v>25.7</v>
      </c>
      <c r="AP926" s="13" t="n">
        <v>17.7</v>
      </c>
    </row>
    <row r="927">
      <c r="A927" s="5" t="inlineStr">
        <is>
          <t>서울반도체</t>
        </is>
      </c>
      <c r="B927" s="6" t="inlineStr">
        <is>
          <t>046890</t>
        </is>
      </c>
      <c r="C927" s="6" t="inlineStr">
        <is>
          <t>연결</t>
        </is>
      </c>
      <c r="D927" s="6" t="inlineStr">
        <is>
          <t>2026Q2</t>
        </is>
      </c>
      <c r="E927" s="6" t="inlineStr">
        <is>
          <t>2023Q4</t>
        </is>
      </c>
      <c r="F927" s="14" t="n">
        <v>271941</v>
      </c>
      <c r="G927" s="15" t="n">
        <v>-18147</v>
      </c>
      <c r="H927" s="15" t="n">
        <v>-24682</v>
      </c>
      <c r="I927" s="9" t="n">
        <v>241619</v>
      </c>
      <c r="J927" s="10" t="n">
        <v>-3623</v>
      </c>
      <c r="K927" s="10" t="n">
        <v>-5236</v>
      </c>
      <c r="L927" s="7" t="n">
        <v>282413</v>
      </c>
      <c r="M927" s="8" t="n">
        <v>4035</v>
      </c>
      <c r="N927" s="8" t="n">
        <v>8304</v>
      </c>
      <c r="O927" s="9" t="n">
        <v>300801</v>
      </c>
      <c r="P927" s="10" t="n">
        <v>3875</v>
      </c>
      <c r="Q927" s="10" t="n">
        <v>-8056</v>
      </c>
      <c r="R927" s="7" t="n">
        <v>265653</v>
      </c>
      <c r="S927" s="8" t="n">
        <v>-3490</v>
      </c>
      <c r="T927" s="8" t="n">
        <v>3053</v>
      </c>
      <c r="U927" s="9" t="n">
        <v>239227</v>
      </c>
      <c r="V927" s="10" t="n">
        <v>-20659</v>
      </c>
      <c r="W927" s="10" t="n">
        <v>-25755</v>
      </c>
      <c r="X927" s="7" t="n">
        <v>251578</v>
      </c>
      <c r="Y927" s="8" t="n">
        <v>-7881</v>
      </c>
      <c r="Z927" s="8" t="n">
        <v>-24746</v>
      </c>
      <c r="AA927" s="9" t="n">
        <v>256879</v>
      </c>
      <c r="AB927" s="10" t="n">
        <v>-3779</v>
      </c>
      <c r="AC927" s="10" t="n">
        <v>-1711</v>
      </c>
      <c r="AD927" s="7" t="n">
        <v>265840</v>
      </c>
      <c r="AE927" s="8" t="n">
        <v>803</v>
      </c>
      <c r="AF927" s="8" t="n">
        <v>-7794</v>
      </c>
      <c r="AG927" s="9" t="n">
        <v>238169</v>
      </c>
      <c r="AH927" s="10" t="n">
        <v>1780</v>
      </c>
      <c r="AI927" s="10" t="n">
        <v>8754</v>
      </c>
      <c r="AJ927" s="11" t="n">
        <v>292104</v>
      </c>
      <c r="AK927" s="12" t="n">
        <v>3494</v>
      </c>
      <c r="AL927" s="12" t="n">
        <v>6194</v>
      </c>
      <c r="AM927" s="13" t="n">
        <v>22.6</v>
      </c>
      <c r="AN927" s="13" t="n">
        <v>16.1</v>
      </c>
      <c r="AO927" s="13" t="n">
        <v>96.3</v>
      </c>
      <c r="AP927" s="13" t="n">
        <v>144.3</v>
      </c>
    </row>
    <row r="928">
      <c r="A928" s="5" t="inlineStr">
        <is>
          <t>우원개발</t>
        </is>
      </c>
      <c r="B928" s="6" t="inlineStr">
        <is>
          <t>046940</t>
        </is>
      </c>
      <c r="C928" s="6" t="inlineStr">
        <is>
          <t>연결</t>
        </is>
      </c>
      <c r="D928" s="6" t="inlineStr">
        <is>
          <t>2026Q2</t>
        </is>
      </c>
      <c r="E928" s="6" t="inlineStr"/>
      <c r="F928" s="7" t="inlineStr"/>
      <c r="G928" s="8" t="inlineStr"/>
      <c r="H928" s="8" t="inlineStr"/>
      <c r="I928" s="9" t="n">
        <v>65593</v>
      </c>
      <c r="J928" s="10" t="n">
        <v>336</v>
      </c>
      <c r="K928" s="10" t="n">
        <v>942</v>
      </c>
      <c r="L928" s="7" t="n">
        <v>69217</v>
      </c>
      <c r="M928" s="8" t="n">
        <v>-152</v>
      </c>
      <c r="N928" s="8" t="n">
        <v>77</v>
      </c>
      <c r="O928" s="9" t="n">
        <v>71707</v>
      </c>
      <c r="P928" s="10" t="n">
        <v>194</v>
      </c>
      <c r="Q928" s="10" t="n">
        <v>126</v>
      </c>
      <c r="R928" s="7" t="n">
        <v>96326</v>
      </c>
      <c r="S928" s="8" t="n">
        <v>2448</v>
      </c>
      <c r="T928" s="8" t="n">
        <v>-409</v>
      </c>
      <c r="U928" s="9" t="n">
        <v>89080</v>
      </c>
      <c r="V928" s="10" t="n">
        <v>945</v>
      </c>
      <c r="W928" s="10" t="n">
        <v>957</v>
      </c>
      <c r="X928" s="7" t="n">
        <v>100408</v>
      </c>
      <c r="Y928" s="8" t="n">
        <v>12187</v>
      </c>
      <c r="Z928" s="8" t="n">
        <v>9213</v>
      </c>
      <c r="AA928" s="9" t="n">
        <v>93816</v>
      </c>
      <c r="AB928" s="10" t="n">
        <v>26631</v>
      </c>
      <c r="AC928" s="10" t="n">
        <v>20395</v>
      </c>
      <c r="AD928" s="7" t="n">
        <v>93045</v>
      </c>
      <c r="AE928" s="8" t="n">
        <v>27426</v>
      </c>
      <c r="AF928" s="8" t="n">
        <v>17402</v>
      </c>
      <c r="AG928" s="9" t="n">
        <v>60861</v>
      </c>
      <c r="AH928" s="10" t="n">
        <v>1566</v>
      </c>
      <c r="AI928" s="10" t="n">
        <v>1851</v>
      </c>
      <c r="AJ928" s="11" t="n">
        <v>67377</v>
      </c>
      <c r="AK928" s="12" t="n">
        <v>4035</v>
      </c>
      <c r="AL928" s="12" t="n">
        <v>3438</v>
      </c>
      <c r="AM928" s="13" t="n">
        <v>10.7</v>
      </c>
      <c r="AN928" s="13" t="n">
        <v>-32.9</v>
      </c>
      <c r="AO928" s="13" t="n">
        <v>157.7</v>
      </c>
      <c r="AP928" s="13" t="n">
        <v>-66.90000000000001</v>
      </c>
    </row>
    <row r="929">
      <c r="A929" s="5" t="inlineStr">
        <is>
          <t>우리로</t>
        </is>
      </c>
      <c r="B929" s="6" t="inlineStr">
        <is>
          <t>046970</t>
        </is>
      </c>
      <c r="C929" s="6" t="inlineStr">
        <is>
          <t>연결</t>
        </is>
      </c>
      <c r="D929" s="6" t="inlineStr">
        <is>
          <t>2026Q2</t>
        </is>
      </c>
      <c r="E929" s="6" t="inlineStr"/>
      <c r="F929" s="7" t="inlineStr"/>
      <c r="G929" s="8" t="inlineStr"/>
      <c r="H929" s="8" t="inlineStr"/>
      <c r="I929" s="9" t="n">
        <v>10098</v>
      </c>
      <c r="J929" s="10" t="n">
        <v>-1239</v>
      </c>
      <c r="K929" s="10" t="n">
        <v>-624</v>
      </c>
      <c r="L929" s="7" t="n">
        <v>12649</v>
      </c>
      <c r="M929" s="8" t="n">
        <v>-600</v>
      </c>
      <c r="N929" s="8" t="n">
        <v>-837</v>
      </c>
      <c r="O929" s="9" t="n">
        <v>12392</v>
      </c>
      <c r="P929" s="10" t="n">
        <v>-650</v>
      </c>
      <c r="Q929" s="10" t="n">
        <v>-994</v>
      </c>
      <c r="R929" s="7" t="n">
        <v>12233</v>
      </c>
      <c r="S929" s="8" t="n">
        <v>-513</v>
      </c>
      <c r="T929" s="8" t="n">
        <v>-2656</v>
      </c>
      <c r="U929" s="9" t="n">
        <v>8886</v>
      </c>
      <c r="V929" s="10" t="n">
        <v>-1085</v>
      </c>
      <c r="W929" s="10" t="n">
        <v>-1842</v>
      </c>
      <c r="X929" s="7" t="n">
        <v>10078</v>
      </c>
      <c r="Y929" s="8" t="n">
        <v>-209</v>
      </c>
      <c r="Z929" s="8" t="n">
        <v>218</v>
      </c>
      <c r="AA929" s="9" t="n">
        <v>12062</v>
      </c>
      <c r="AB929" s="10" t="n">
        <v>563</v>
      </c>
      <c r="AC929" s="10" t="n">
        <v>1250</v>
      </c>
      <c r="AD929" s="7" t="n">
        <v>11449</v>
      </c>
      <c r="AE929" s="8" t="n">
        <v>54</v>
      </c>
      <c r="AF929" s="8" t="n">
        <v>-415</v>
      </c>
      <c r="AG929" s="9" t="n">
        <v>14525</v>
      </c>
      <c r="AH929" s="10" t="n">
        <v>1466</v>
      </c>
      <c r="AI929" s="10" t="n">
        <v>1527</v>
      </c>
      <c r="AJ929" s="11" t="n">
        <v>14728</v>
      </c>
      <c r="AK929" s="12" t="n">
        <v>2555</v>
      </c>
      <c r="AL929" s="12" t="n">
        <v>1272</v>
      </c>
      <c r="AM929" s="13" t="n">
        <v>1.4</v>
      </c>
      <c r="AN929" s="13" t="n">
        <v>46.1</v>
      </c>
      <c r="AO929" s="13" t="n">
        <v>74.3</v>
      </c>
      <c r="AP929" s="13" t="n">
        <v>1322.5</v>
      </c>
    </row>
    <row r="930">
      <c r="A930" s="5" t="inlineStr">
        <is>
          <t>대우건설</t>
        </is>
      </c>
      <c r="B930" s="6" t="inlineStr">
        <is>
          <t>047040</t>
        </is>
      </c>
      <c r="C930" s="6" t="inlineStr">
        <is>
          <t>연결</t>
        </is>
      </c>
      <c r="D930" s="6" t="inlineStr">
        <is>
          <t>2026Q2</t>
        </is>
      </c>
      <c r="E930" s="6" t="inlineStr">
        <is>
          <t>2023Q4</t>
        </is>
      </c>
      <c r="F930" s="14" t="n">
        <v>2778200</v>
      </c>
      <c r="G930" s="15" t="n">
        <v>77900</v>
      </c>
      <c r="H930" s="15" t="n">
        <v>109300</v>
      </c>
      <c r="I930" s="9" t="n">
        <v>2487337</v>
      </c>
      <c r="J930" s="10" t="n">
        <v>114790</v>
      </c>
      <c r="K930" s="10" t="n">
        <v>91482</v>
      </c>
      <c r="L930" s="7" t="n">
        <v>2821468</v>
      </c>
      <c r="M930" s="8" t="n">
        <v>104766</v>
      </c>
      <c r="N930" s="8" t="n">
        <v>96528</v>
      </c>
      <c r="O930" s="9" t="n">
        <v>2547812</v>
      </c>
      <c r="P930" s="10" t="n">
        <v>62335</v>
      </c>
      <c r="Q930" s="10" t="n">
        <v>40332</v>
      </c>
      <c r="R930" s="7" t="n">
        <v>2646992</v>
      </c>
      <c r="S930" s="8" t="n">
        <v>121235</v>
      </c>
      <c r="T930" s="8" t="n">
        <v>14508</v>
      </c>
      <c r="U930" s="9" t="n">
        <v>2076669</v>
      </c>
      <c r="V930" s="10" t="n">
        <v>151326</v>
      </c>
      <c r="W930" s="10" t="n">
        <v>57958</v>
      </c>
      <c r="X930" s="7" t="n">
        <v>2273321</v>
      </c>
      <c r="Y930" s="8" t="n">
        <v>82191</v>
      </c>
      <c r="Z930" s="8" t="n">
        <v>-42911</v>
      </c>
      <c r="AA930" s="9" t="n">
        <v>1990611</v>
      </c>
      <c r="AB930" s="10" t="n">
        <v>56570</v>
      </c>
      <c r="AC930" s="10" t="n">
        <v>-52973</v>
      </c>
      <c r="AD930" s="7" t="n">
        <v>1714026</v>
      </c>
      <c r="AE930" s="8" t="n">
        <v>-1105518</v>
      </c>
      <c r="AF930" s="8" t="n">
        <v>-878154</v>
      </c>
      <c r="AG930" s="9" t="n">
        <v>1951410</v>
      </c>
      <c r="AH930" s="10" t="n">
        <v>255632</v>
      </c>
      <c r="AI930" s="10" t="n">
        <v>195835</v>
      </c>
      <c r="AJ930" s="11" t="n">
        <v>2043499</v>
      </c>
      <c r="AK930" s="12" t="n">
        <v>232239</v>
      </c>
      <c r="AL930" s="12" t="n">
        <v>167145</v>
      </c>
      <c r="AM930" s="13" t="n">
        <v>4.7</v>
      </c>
      <c r="AN930" s="13" t="n">
        <v>-10.1</v>
      </c>
      <c r="AO930" s="13" t="n">
        <v>-9.199999999999999</v>
      </c>
      <c r="AP930" s="13" t="n">
        <v>182.6</v>
      </c>
    </row>
    <row r="931">
      <c r="A931" s="5" t="inlineStr">
        <is>
          <t>포스코인터내셔널</t>
        </is>
      </c>
      <c r="B931" s="6" t="inlineStr">
        <is>
          <t>047050</t>
        </is>
      </c>
      <c r="C931" s="6" t="inlineStr">
        <is>
          <t>연결</t>
        </is>
      </c>
      <c r="D931" s="6" t="inlineStr">
        <is>
          <t>2026Q2</t>
        </is>
      </c>
      <c r="E931" s="6" t="inlineStr">
        <is>
          <t>2023Q4</t>
        </is>
      </c>
      <c r="F931" s="14" t="n">
        <v>7909426</v>
      </c>
      <c r="G931" s="15" t="n">
        <v>214645</v>
      </c>
      <c r="H931" s="15" t="n">
        <v>73407</v>
      </c>
      <c r="I931" s="9" t="n">
        <v>7760520</v>
      </c>
      <c r="J931" s="10" t="n">
        <v>265405</v>
      </c>
      <c r="K931" s="10" t="n">
        <v>182845</v>
      </c>
      <c r="L931" s="7" t="n">
        <v>8282263</v>
      </c>
      <c r="M931" s="8" t="n">
        <v>349695</v>
      </c>
      <c r="N931" s="8" t="n">
        <v>189595</v>
      </c>
      <c r="O931" s="9" t="n">
        <v>8355840</v>
      </c>
      <c r="P931" s="10" t="n">
        <v>357228</v>
      </c>
      <c r="Q931" s="10" t="n">
        <v>237522</v>
      </c>
      <c r="R931" s="7" t="n">
        <v>7942170</v>
      </c>
      <c r="S931" s="8" t="n">
        <v>144593</v>
      </c>
      <c r="T931" s="8" t="n">
        <v>-106552</v>
      </c>
      <c r="U931" s="9" t="n">
        <v>8153705</v>
      </c>
      <c r="V931" s="10" t="n">
        <v>270166</v>
      </c>
      <c r="W931" s="10" t="n">
        <v>203776</v>
      </c>
      <c r="X931" s="7" t="n">
        <v>8144102</v>
      </c>
      <c r="Y931" s="8" t="n">
        <v>313699</v>
      </c>
      <c r="Z931" s="8" t="n">
        <v>90500</v>
      </c>
      <c r="AA931" s="9" t="n">
        <v>8248268</v>
      </c>
      <c r="AB931" s="10" t="n">
        <v>315858</v>
      </c>
      <c r="AC931" s="10" t="n">
        <v>209728</v>
      </c>
      <c r="AD931" s="7" t="n">
        <v>7827529</v>
      </c>
      <c r="AE931" s="8" t="n">
        <v>265593</v>
      </c>
      <c r="AF931" s="8" t="n">
        <v>132798</v>
      </c>
      <c r="AG931" s="9" t="n">
        <v>8410421</v>
      </c>
      <c r="AH931" s="10" t="n">
        <v>357512</v>
      </c>
      <c r="AI931" s="10" t="n">
        <v>277304</v>
      </c>
      <c r="AJ931" s="11" t="n">
        <v>9623165</v>
      </c>
      <c r="AK931" s="12" t="n">
        <v>429006</v>
      </c>
      <c r="AL931" s="12" t="n">
        <v>247296</v>
      </c>
      <c r="AM931" s="13" t="n">
        <v>14.4</v>
      </c>
      <c r="AN931" s="13" t="n">
        <v>18.2</v>
      </c>
      <c r="AO931" s="13" t="n">
        <v>20</v>
      </c>
      <c r="AP931" s="13" t="n">
        <v>36.8</v>
      </c>
    </row>
    <row r="932">
      <c r="A932" s="5" t="inlineStr">
        <is>
          <t>한빛소프트</t>
        </is>
      </c>
      <c r="B932" s="6" t="inlineStr">
        <is>
          <t>047080</t>
        </is>
      </c>
      <c r="C932" s="6" t="inlineStr">
        <is>
          <t>연결</t>
        </is>
      </c>
      <c r="D932" s="6" t="inlineStr">
        <is>
          <t>2026Q2</t>
        </is>
      </c>
      <c r="E932" s="6" t="inlineStr"/>
      <c r="F932" s="7" t="inlineStr"/>
      <c r="G932" s="8" t="inlineStr"/>
      <c r="H932" s="8" t="inlineStr"/>
      <c r="I932" s="9" t="n">
        <v>5995</v>
      </c>
      <c r="J932" s="10" t="n">
        <v>-115</v>
      </c>
      <c r="K932" s="10" t="n">
        <v>-218</v>
      </c>
      <c r="L932" s="7" t="n">
        <v>11539</v>
      </c>
      <c r="M932" s="8" t="n">
        <v>406</v>
      </c>
      <c r="N932" s="8" t="n">
        <v>3161</v>
      </c>
      <c r="O932" s="9" t="n">
        <v>8619</v>
      </c>
      <c r="P932" s="10" t="n">
        <v>59</v>
      </c>
      <c r="Q932" s="10" t="n">
        <v>-184</v>
      </c>
      <c r="R932" s="7" t="n">
        <v>7145</v>
      </c>
      <c r="S932" s="8" t="n">
        <v>-1757</v>
      </c>
      <c r="T932" s="8" t="n">
        <v>-1258</v>
      </c>
      <c r="U932" s="9" t="n">
        <v>8369</v>
      </c>
      <c r="V932" s="10" t="n">
        <v>-188</v>
      </c>
      <c r="W932" s="10" t="n">
        <v>514</v>
      </c>
      <c r="X932" s="7" t="n">
        <v>11925</v>
      </c>
      <c r="Y932" s="8" t="n">
        <v>616</v>
      </c>
      <c r="Z932" s="8" t="n">
        <v>1042</v>
      </c>
      <c r="AA932" s="9" t="n">
        <v>10178</v>
      </c>
      <c r="AB932" s="10" t="n">
        <v>205</v>
      </c>
      <c r="AC932" s="10" t="n">
        <v>423</v>
      </c>
      <c r="AD932" s="7" t="n">
        <v>7414</v>
      </c>
      <c r="AE932" s="8" t="n">
        <v>-349</v>
      </c>
      <c r="AF932" s="8" t="n">
        <v>3464</v>
      </c>
      <c r="AG932" s="9" t="n">
        <v>8606</v>
      </c>
      <c r="AH932" s="10" t="n">
        <v>2194</v>
      </c>
      <c r="AI932" s="10" t="n">
        <v>2775</v>
      </c>
      <c r="AJ932" s="11" t="n">
        <v>6769</v>
      </c>
      <c r="AK932" s="12" t="n">
        <v>627</v>
      </c>
      <c r="AL932" s="12" t="n">
        <v>1126</v>
      </c>
      <c r="AM932" s="13" t="n">
        <v>-21.3</v>
      </c>
      <c r="AN932" s="13" t="n">
        <v>-43.2</v>
      </c>
      <c r="AO932" s="13" t="n">
        <v>-71.40000000000001</v>
      </c>
      <c r="AP932" s="13" t="n">
        <v>1.8</v>
      </c>
    </row>
    <row r="933">
      <c r="A933" s="5" t="inlineStr">
        <is>
          <t>파워로직스</t>
        </is>
      </c>
      <c r="B933" s="6" t="inlineStr">
        <is>
          <t>047310</t>
        </is>
      </c>
      <c r="C933" s="6" t="inlineStr">
        <is>
          <t>연결</t>
        </is>
      </c>
      <c r="D933" s="6" t="inlineStr">
        <is>
          <t>2026Q2</t>
        </is>
      </c>
      <c r="E933" s="6" t="inlineStr"/>
      <c r="F933" s="7" t="inlineStr"/>
      <c r="G933" s="8" t="inlineStr"/>
      <c r="H933" s="8" t="inlineStr"/>
      <c r="I933" s="9" t="n">
        <v>194070</v>
      </c>
      <c r="J933" s="10" t="n">
        <v>1256</v>
      </c>
      <c r="K933" s="10" t="n">
        <v>4372</v>
      </c>
      <c r="L933" s="7" t="n">
        <v>175063</v>
      </c>
      <c r="M933" s="8" t="n">
        <v>1528</v>
      </c>
      <c r="N933" s="8" t="n">
        <v>1600</v>
      </c>
      <c r="O933" s="9" t="n">
        <v>196330</v>
      </c>
      <c r="P933" s="10" t="n">
        <v>-8390</v>
      </c>
      <c r="Q933" s="10" t="n">
        <v>-9772</v>
      </c>
      <c r="R933" s="7" t="n">
        <v>167981</v>
      </c>
      <c r="S933" s="8" t="n">
        <v>8028</v>
      </c>
      <c r="T933" s="8" t="n">
        <v>13757</v>
      </c>
      <c r="U933" s="9" t="n">
        <v>178350</v>
      </c>
      <c r="V933" s="10" t="n">
        <v>-4103</v>
      </c>
      <c r="W933" s="10" t="n">
        <v>-2083</v>
      </c>
      <c r="X933" s="7" t="n">
        <v>165921</v>
      </c>
      <c r="Y933" s="8" t="n">
        <v>-5963</v>
      </c>
      <c r="Z933" s="8" t="n">
        <v>-6502</v>
      </c>
      <c r="AA933" s="9" t="n">
        <v>182863</v>
      </c>
      <c r="AB933" s="10" t="n">
        <v>6132</v>
      </c>
      <c r="AC933" s="10" t="n">
        <v>9742</v>
      </c>
      <c r="AD933" s="7" t="n">
        <v>159401</v>
      </c>
      <c r="AE933" s="8" t="n">
        <v>-2433</v>
      </c>
      <c r="AF933" s="8" t="n">
        <v>-13476</v>
      </c>
      <c r="AG933" s="9" t="n">
        <v>241318</v>
      </c>
      <c r="AH933" s="10" t="n">
        <v>7818</v>
      </c>
      <c r="AI933" s="10" t="n">
        <v>8891</v>
      </c>
      <c r="AJ933" s="11" t="n">
        <v>200535</v>
      </c>
      <c r="AK933" s="12" t="n">
        <v>4626</v>
      </c>
      <c r="AL933" s="12" t="n">
        <v>3642</v>
      </c>
      <c r="AM933" s="13" t="n">
        <v>-16.9</v>
      </c>
      <c r="AN933" s="13" t="n">
        <v>20.9</v>
      </c>
      <c r="AO933" s="13" t="n">
        <v>-40.8</v>
      </c>
      <c r="AP933" s="13" t="n">
        <v>177.6</v>
      </c>
    </row>
    <row r="934">
      <c r="A934" s="5" t="inlineStr">
        <is>
          <t>유니온머티리얼</t>
        </is>
      </c>
      <c r="B934" s="6" t="inlineStr">
        <is>
          <t>047400</t>
        </is>
      </c>
      <c r="C934" s="6" t="inlineStr">
        <is>
          <t>연결</t>
        </is>
      </c>
      <c r="D934" s="6" t="inlineStr">
        <is>
          <t>2026Q2</t>
        </is>
      </c>
      <c r="E934" s="6" t="inlineStr"/>
      <c r="F934" s="7" t="inlineStr"/>
      <c r="G934" s="8" t="inlineStr"/>
      <c r="H934" s="8" t="inlineStr"/>
      <c r="I934" s="9" t="n">
        <v>28201</v>
      </c>
      <c r="J934" s="10" t="n">
        <v>-4884</v>
      </c>
      <c r="K934" s="10" t="n">
        <v>-4321</v>
      </c>
      <c r="L934" s="7" t="n">
        <v>29475</v>
      </c>
      <c r="M934" s="8" t="n">
        <v>494</v>
      </c>
      <c r="N934" s="8" t="n">
        <v>168</v>
      </c>
      <c r="O934" s="9" t="n">
        <v>25506</v>
      </c>
      <c r="P934" s="10" t="n">
        <v>-3030</v>
      </c>
      <c r="Q934" s="10" t="n">
        <v>-4889</v>
      </c>
      <c r="R934" s="7" t="n">
        <v>25184</v>
      </c>
      <c r="S934" s="8" t="n">
        <v>-9081</v>
      </c>
      <c r="T934" s="8" t="n">
        <v>-37434</v>
      </c>
      <c r="U934" s="9" t="n">
        <v>27524</v>
      </c>
      <c r="V934" s="10" t="n">
        <v>1363</v>
      </c>
      <c r="W934" s="10" t="n">
        <v>318</v>
      </c>
      <c r="X934" s="7" t="n">
        <v>26528</v>
      </c>
      <c r="Y934" s="8" t="n">
        <v>718</v>
      </c>
      <c r="Z934" s="8" t="n">
        <v>-2098</v>
      </c>
      <c r="AA934" s="9" t="n">
        <v>24215</v>
      </c>
      <c r="AB934" s="10" t="n">
        <v>-251</v>
      </c>
      <c r="AC934" s="10" t="n">
        <v>-795</v>
      </c>
      <c r="AD934" s="7" t="n">
        <v>23670</v>
      </c>
      <c r="AE934" s="8" t="n">
        <v>3600</v>
      </c>
      <c r="AF934" s="8" t="n">
        <v>5035</v>
      </c>
      <c r="AG934" s="9" t="n">
        <v>24821</v>
      </c>
      <c r="AH934" s="10" t="n">
        <v>1054</v>
      </c>
      <c r="AI934" s="10" t="n">
        <v>463</v>
      </c>
      <c r="AJ934" s="11" t="n">
        <v>26903</v>
      </c>
      <c r="AK934" s="12" t="n">
        <v>714</v>
      </c>
      <c r="AL934" s="12" t="n">
        <v>322</v>
      </c>
      <c r="AM934" s="13" t="n">
        <v>8.4</v>
      </c>
      <c r="AN934" s="13" t="n">
        <v>1.4</v>
      </c>
      <c r="AO934" s="13" t="n">
        <v>-32.3</v>
      </c>
      <c r="AP934" s="13" t="n">
        <v>-0.6</v>
      </c>
    </row>
    <row r="935">
      <c r="A935" s="5" t="inlineStr">
        <is>
          <t>이스트소프트</t>
        </is>
      </c>
      <c r="B935" s="6" t="inlineStr">
        <is>
          <t>047560</t>
        </is>
      </c>
      <c r="C935" s="6" t="inlineStr">
        <is>
          <t>연결</t>
        </is>
      </c>
      <c r="D935" s="6" t="inlineStr">
        <is>
          <t>2026Q2</t>
        </is>
      </c>
      <c r="E935" s="6" t="inlineStr"/>
      <c r="F935" s="7" t="inlineStr"/>
      <c r="G935" s="8" t="inlineStr"/>
      <c r="H935" s="8" t="inlineStr"/>
      <c r="I935" s="14" t="n">
        <v>25682</v>
      </c>
      <c r="J935" s="10" t="n">
        <v>-2037</v>
      </c>
      <c r="K935" s="10" t="n">
        <v>-5437</v>
      </c>
      <c r="L935" s="14" t="n">
        <v>27815</v>
      </c>
      <c r="M935" s="8" t="n">
        <v>-2220</v>
      </c>
      <c r="N935" s="8" t="n">
        <v>-2747</v>
      </c>
      <c r="O935" s="14" t="n">
        <v>24937</v>
      </c>
      <c r="P935" s="10" t="n">
        <v>-3268</v>
      </c>
      <c r="Q935" s="10" t="n">
        <v>-3864</v>
      </c>
      <c r="R935" s="7" t="inlineStr"/>
      <c r="S935" s="8" t="n">
        <v>-5931</v>
      </c>
      <c r="T935" s="8" t="n">
        <v>-2524</v>
      </c>
      <c r="U935" s="14" t="n">
        <v>25197</v>
      </c>
      <c r="V935" s="10" t="n">
        <v>-4372</v>
      </c>
      <c r="W935" s="10" t="n">
        <v>-4681</v>
      </c>
      <c r="X935" s="14" t="n">
        <v>31211</v>
      </c>
      <c r="Y935" s="8" t="n">
        <v>81</v>
      </c>
      <c r="Z935" s="8" t="n">
        <v>-1706</v>
      </c>
      <c r="AA935" s="14" t="n">
        <v>24934</v>
      </c>
      <c r="AB935" s="10" t="n">
        <v>-4476</v>
      </c>
      <c r="AC935" s="10" t="n">
        <v>-4826</v>
      </c>
      <c r="AD935" s="7" t="inlineStr"/>
      <c r="AE935" s="8" t="n">
        <v>-10187</v>
      </c>
      <c r="AF935" s="8" t="n">
        <v>-9379</v>
      </c>
      <c r="AG935" s="9" t="n">
        <v>30980</v>
      </c>
      <c r="AH935" s="10" t="n">
        <v>-1671</v>
      </c>
      <c r="AI935" s="10" t="n">
        <v>-686</v>
      </c>
      <c r="AJ935" s="11" t="inlineStr"/>
      <c r="AK935" s="12" t="n">
        <v>-332</v>
      </c>
      <c r="AL935" s="12" t="n">
        <v>-1330</v>
      </c>
      <c r="AM935" s="13" t="inlineStr"/>
      <c r="AN935" s="13" t="inlineStr"/>
      <c r="AO935" s="13" t="n">
        <v>80.09999999999999</v>
      </c>
      <c r="AP935" s="13" t="n">
        <v>-509.9</v>
      </c>
    </row>
    <row r="936">
      <c r="A936" s="5" t="inlineStr">
        <is>
          <t>코데즈컴바인</t>
        </is>
      </c>
      <c r="B936" s="6" t="inlineStr">
        <is>
          <t>047770</t>
        </is>
      </c>
      <c r="C936" s="6" t="inlineStr">
        <is>
          <t>연결</t>
        </is>
      </c>
      <c r="D936" s="6" t="inlineStr">
        <is>
          <t>2026Q2</t>
        </is>
      </c>
      <c r="E936" s="6" t="inlineStr"/>
      <c r="F936" s="7" t="inlineStr"/>
      <c r="G936" s="8" t="inlineStr"/>
      <c r="H936" s="8" t="inlineStr"/>
      <c r="I936" s="9" t="n">
        <v>9084</v>
      </c>
      <c r="J936" s="10" t="n">
        <v>574</v>
      </c>
      <c r="K936" s="10" t="n">
        <v>941</v>
      </c>
      <c r="L936" s="7" t="n">
        <v>10185</v>
      </c>
      <c r="M936" s="8" t="n">
        <v>690</v>
      </c>
      <c r="N936" s="8" t="n">
        <v>813</v>
      </c>
      <c r="O936" s="9" t="n">
        <v>8987</v>
      </c>
      <c r="P936" s="10" t="n">
        <v>127</v>
      </c>
      <c r="Q936" s="10" t="n">
        <v>443</v>
      </c>
      <c r="R936" s="7" t="n">
        <v>11345</v>
      </c>
      <c r="S936" s="8" t="n">
        <v>-332</v>
      </c>
      <c r="T936" s="8" t="n">
        <v>-337</v>
      </c>
      <c r="U936" s="9" t="n">
        <v>8338</v>
      </c>
      <c r="V936" s="10" t="n">
        <v>440</v>
      </c>
      <c r="W936" s="10" t="n">
        <v>1563</v>
      </c>
      <c r="X936" s="7" t="n">
        <v>9465</v>
      </c>
      <c r="Y936" s="8" t="n">
        <v>133</v>
      </c>
      <c r="Z936" s="8" t="n">
        <v>614</v>
      </c>
      <c r="AA936" s="9" t="n">
        <v>9564</v>
      </c>
      <c r="AB936" s="10" t="n">
        <v>990</v>
      </c>
      <c r="AC936" s="10" t="n">
        <v>1277</v>
      </c>
      <c r="AD936" s="7" t="n">
        <v>12356</v>
      </c>
      <c r="AE936" s="8" t="n">
        <v>854</v>
      </c>
      <c r="AF936" s="8" t="n">
        <v>1007</v>
      </c>
      <c r="AG936" s="9" t="n">
        <v>9752</v>
      </c>
      <c r="AH936" s="10" t="n">
        <v>781</v>
      </c>
      <c r="AI936" s="10" t="n">
        <v>1097</v>
      </c>
      <c r="AJ936" s="11" t="n">
        <v>12262</v>
      </c>
      <c r="AK936" s="12" t="n">
        <v>1617</v>
      </c>
      <c r="AL936" s="12" t="n">
        <v>5979</v>
      </c>
      <c r="AM936" s="13" t="n">
        <v>25.7</v>
      </c>
      <c r="AN936" s="13" t="n">
        <v>29.6</v>
      </c>
      <c r="AO936" s="13" t="n">
        <v>107</v>
      </c>
      <c r="AP936" s="13" t="n">
        <v>1115.8</v>
      </c>
    </row>
    <row r="937">
      <c r="A937" s="5" t="inlineStr">
        <is>
          <t>한국항공우주</t>
        </is>
      </c>
      <c r="B937" s="6" t="inlineStr">
        <is>
          <t>047810</t>
        </is>
      </c>
      <c r="C937" s="6" t="inlineStr">
        <is>
          <t>연결</t>
        </is>
      </c>
      <c r="D937" s="6" t="inlineStr">
        <is>
          <t>2026Q2</t>
        </is>
      </c>
      <c r="E937" s="6" t="inlineStr">
        <is>
          <t>2023Q4</t>
        </is>
      </c>
      <c r="F937" s="14" t="n">
        <v>1510000</v>
      </c>
      <c r="G937" s="15" t="n">
        <v>154300</v>
      </c>
      <c r="H937" s="15" t="n">
        <v>129400</v>
      </c>
      <c r="I937" s="9" t="n">
        <v>739922</v>
      </c>
      <c r="J937" s="10" t="n">
        <v>48012</v>
      </c>
      <c r="K937" s="10" t="n">
        <v>35226</v>
      </c>
      <c r="L937" s="7" t="n">
        <v>891810</v>
      </c>
      <c r="M937" s="8" t="n">
        <v>74296</v>
      </c>
      <c r="N937" s="8" t="n">
        <v>55434</v>
      </c>
      <c r="O937" s="9" t="n">
        <v>907209</v>
      </c>
      <c r="P937" s="10" t="n">
        <v>76279</v>
      </c>
      <c r="Q937" s="10" t="n">
        <v>67868</v>
      </c>
      <c r="R937" s="7" t="n">
        <v>1094801</v>
      </c>
      <c r="S937" s="8" t="n">
        <v>42131</v>
      </c>
      <c r="T937" s="8" t="n">
        <v>12367</v>
      </c>
      <c r="U937" s="9" t="n">
        <v>699257</v>
      </c>
      <c r="V937" s="10" t="n">
        <v>46813</v>
      </c>
      <c r="W937" s="10" t="n">
        <v>29164</v>
      </c>
      <c r="X937" s="7" t="n">
        <v>828336</v>
      </c>
      <c r="Y937" s="8" t="n">
        <v>85216</v>
      </c>
      <c r="Z937" s="8" t="n">
        <v>57082</v>
      </c>
      <c r="AA937" s="9" t="n">
        <v>702116</v>
      </c>
      <c r="AB937" s="10" t="n">
        <v>60192</v>
      </c>
      <c r="AC937" s="10" t="n">
        <v>38966</v>
      </c>
      <c r="AD937" s="7" t="n">
        <v>1466670</v>
      </c>
      <c r="AE937" s="8" t="n">
        <v>76969</v>
      </c>
      <c r="AF937" s="8" t="n">
        <v>62101</v>
      </c>
      <c r="AG937" s="9" t="n">
        <v>1092687</v>
      </c>
      <c r="AH937" s="10" t="n">
        <v>67143</v>
      </c>
      <c r="AI937" s="10" t="n">
        <v>41311</v>
      </c>
      <c r="AJ937" s="11" t="n">
        <v>1167894</v>
      </c>
      <c r="AK937" s="12" t="n">
        <v>48442</v>
      </c>
      <c r="AL937" s="12" t="n">
        <v>37013</v>
      </c>
      <c r="AM937" s="13" t="n">
        <v>6.9</v>
      </c>
      <c r="AN937" s="13" t="n">
        <v>41</v>
      </c>
      <c r="AO937" s="13" t="n">
        <v>-27.9</v>
      </c>
      <c r="AP937" s="13" t="n">
        <v>-43.2</v>
      </c>
    </row>
    <row r="938">
      <c r="A938" s="5" t="inlineStr">
        <is>
          <t>초록뱀미디어</t>
        </is>
      </c>
      <c r="B938" s="6" t="inlineStr">
        <is>
          <t>047820</t>
        </is>
      </c>
      <c r="C938" s="6" t="inlineStr">
        <is>
          <t>연결</t>
        </is>
      </c>
      <c r="D938" s="6" t="inlineStr">
        <is>
          <t>2026Q2</t>
        </is>
      </c>
      <c r="E938" s="6" t="inlineStr"/>
      <c r="F938" s="7" t="inlineStr"/>
      <c r="G938" s="8" t="inlineStr"/>
      <c r="H938" s="8" t="inlineStr"/>
      <c r="I938" s="9" t="n">
        <v>45780</v>
      </c>
      <c r="J938" s="10" t="n">
        <v>-1026</v>
      </c>
      <c r="K938" s="10" t="n">
        <v>27890</v>
      </c>
      <c r="L938" s="7" t="n">
        <v>80521</v>
      </c>
      <c r="M938" s="8" t="n">
        <v>-530</v>
      </c>
      <c r="N938" s="8" t="n">
        <v>43838</v>
      </c>
      <c r="O938" s="9" t="n">
        <v>43053</v>
      </c>
      <c r="P938" s="10" t="n">
        <v>1007</v>
      </c>
      <c r="Q938" s="10" t="n">
        <v>8615</v>
      </c>
      <c r="R938" s="7" t="n">
        <v>40919</v>
      </c>
      <c r="S938" s="8" t="n">
        <v>-14833</v>
      </c>
      <c r="T938" s="8" t="n">
        <v>-34578</v>
      </c>
      <c r="U938" s="9" t="n">
        <v>50364</v>
      </c>
      <c r="V938" s="10" t="n">
        <v>2384</v>
      </c>
      <c r="W938" s="10" t="n">
        <v>1300</v>
      </c>
      <c r="X938" s="7" t="n">
        <v>37872</v>
      </c>
      <c r="Y938" s="8" t="n">
        <v>-1107</v>
      </c>
      <c r="Z938" s="8" t="n">
        <v>-5091</v>
      </c>
      <c r="AA938" s="9" t="n">
        <v>48931</v>
      </c>
      <c r="AB938" s="10" t="n">
        <v>57</v>
      </c>
      <c r="AC938" s="10" t="n">
        <v>-1784</v>
      </c>
      <c r="AD938" s="7" t="n">
        <v>35030</v>
      </c>
      <c r="AE938" s="8" t="n">
        <v>1499</v>
      </c>
      <c r="AF938" s="8" t="n">
        <v>8657</v>
      </c>
      <c r="AG938" s="9" t="n">
        <v>24607</v>
      </c>
      <c r="AH938" s="10" t="n">
        <v>-797</v>
      </c>
      <c r="AI938" s="10" t="n">
        <v>-2317</v>
      </c>
      <c r="AJ938" s="11" t="n">
        <v>25173</v>
      </c>
      <c r="AK938" s="12" t="n">
        <v>-507</v>
      </c>
      <c r="AL938" s="12" t="n">
        <v>-5783</v>
      </c>
      <c r="AM938" s="13" t="n">
        <v>2.3</v>
      </c>
      <c r="AN938" s="13" t="n">
        <v>-33.5</v>
      </c>
      <c r="AO938" s="13" t="n">
        <v>36.4</v>
      </c>
      <c r="AP938" s="13" t="n">
        <v>54.2</v>
      </c>
    </row>
    <row r="939">
      <c r="A939" s="5" t="inlineStr">
        <is>
          <t>HLB제약</t>
        </is>
      </c>
      <c r="B939" s="6" t="inlineStr">
        <is>
          <t>047920</t>
        </is>
      </c>
      <c r="C939" s="6" t="inlineStr">
        <is>
          <t>연결</t>
        </is>
      </c>
      <c r="D939" s="6" t="inlineStr">
        <is>
          <t>2026Q2</t>
        </is>
      </c>
      <c r="E939" s="6" t="inlineStr"/>
      <c r="F939" s="7" t="inlineStr"/>
      <c r="G939" s="8" t="inlineStr"/>
      <c r="H939" s="8" t="inlineStr"/>
      <c r="I939" s="9" t="n">
        <v>33452</v>
      </c>
      <c r="J939" s="10" t="n">
        <v>1216</v>
      </c>
      <c r="K939" s="10" t="n">
        <v>-1609</v>
      </c>
      <c r="L939" s="7" t="n">
        <v>35773</v>
      </c>
      <c r="M939" s="8" t="n">
        <v>634</v>
      </c>
      <c r="N939" s="8" t="n">
        <v>496</v>
      </c>
      <c r="O939" s="9" t="n">
        <v>34767</v>
      </c>
      <c r="P939" s="10" t="n">
        <v>855</v>
      </c>
      <c r="Q939" s="10" t="n">
        <v>948</v>
      </c>
      <c r="R939" s="7" t="n">
        <v>33090</v>
      </c>
      <c r="S939" s="8" t="n">
        <v>-1231</v>
      </c>
      <c r="T939" s="8" t="n">
        <v>2185</v>
      </c>
      <c r="U939" s="9" t="n">
        <v>34646</v>
      </c>
      <c r="V939" s="10" t="n">
        <v>1986</v>
      </c>
      <c r="W939" s="10" t="n">
        <v>1568</v>
      </c>
      <c r="X939" s="7" t="n">
        <v>46919</v>
      </c>
      <c r="Y939" s="8" t="n">
        <v>-1792</v>
      </c>
      <c r="Z939" s="8" t="n">
        <v>910</v>
      </c>
      <c r="AA939" s="9" t="n">
        <v>60593</v>
      </c>
      <c r="AB939" s="10" t="n">
        <v>34</v>
      </c>
      <c r="AC939" s="10" t="n">
        <v>-161</v>
      </c>
      <c r="AD939" s="7" t="n">
        <v>63424</v>
      </c>
      <c r="AE939" s="8" t="n">
        <v>836</v>
      </c>
      <c r="AF939" s="8" t="n">
        <v>2255</v>
      </c>
      <c r="AG939" s="9" t="n">
        <v>65652</v>
      </c>
      <c r="AH939" s="10" t="n">
        <v>1032</v>
      </c>
      <c r="AI939" s="10" t="n">
        <v>720</v>
      </c>
      <c r="AJ939" s="11" t="n">
        <v>62278</v>
      </c>
      <c r="AK939" s="12" t="n">
        <v>-31</v>
      </c>
      <c r="AL939" s="12" t="n">
        <v>-57</v>
      </c>
      <c r="AM939" s="13" t="n">
        <v>-5.1</v>
      </c>
      <c r="AN939" s="13" t="n">
        <v>32.7</v>
      </c>
      <c r="AO939" s="13" t="n">
        <v>-103</v>
      </c>
      <c r="AP939" s="13" t="n">
        <v>98.3</v>
      </c>
    </row>
    <row r="940">
      <c r="A940" s="5" t="inlineStr">
        <is>
          <t>현대바이오</t>
        </is>
      </c>
      <c r="B940" s="6" t="inlineStr">
        <is>
          <t>048410</t>
        </is>
      </c>
      <c r="C940" s="6" t="inlineStr">
        <is>
          <t>연결</t>
        </is>
      </c>
      <c r="D940" s="6" t="inlineStr">
        <is>
          <t>2026Q2</t>
        </is>
      </c>
      <c r="E940" s="6" t="inlineStr"/>
      <c r="F940" s="7" t="inlineStr"/>
      <c r="G940" s="8" t="inlineStr"/>
      <c r="H940" s="8" t="inlineStr"/>
      <c r="I940" s="9" t="n">
        <v>5050</v>
      </c>
      <c r="J940" s="10" t="n">
        <v>1220</v>
      </c>
      <c r="K940" s="10" t="n">
        <v>1185</v>
      </c>
      <c r="L940" s="7" t="n">
        <v>9176</v>
      </c>
      <c r="M940" s="8" t="n">
        <v>5688</v>
      </c>
      <c r="N940" s="8" t="n">
        <v>1576</v>
      </c>
      <c r="O940" s="9" t="n">
        <v>459</v>
      </c>
      <c r="P940" s="10" t="n">
        <v>-3315</v>
      </c>
      <c r="Q940" s="10" t="n">
        <v>-5128</v>
      </c>
      <c r="R940" s="7" t="n">
        <v>365</v>
      </c>
      <c r="S940" s="8" t="n">
        <v>-2802</v>
      </c>
      <c r="T940" s="8" t="n">
        <v>-4563</v>
      </c>
      <c r="U940" s="9" t="n">
        <v>709</v>
      </c>
      <c r="V940" s="10" t="n">
        <v>-4283</v>
      </c>
      <c r="W940" s="10" t="n">
        <v>-6139</v>
      </c>
      <c r="X940" s="7" t="n">
        <v>333</v>
      </c>
      <c r="Y940" s="8" t="n">
        <v>-4819</v>
      </c>
      <c r="Z940" s="8" t="n">
        <v>-4253</v>
      </c>
      <c r="AA940" s="9" t="n">
        <v>553</v>
      </c>
      <c r="AB940" s="10" t="n">
        <v>-4620</v>
      </c>
      <c r="AC940" s="10" t="n">
        <v>-6997</v>
      </c>
      <c r="AD940" s="7" t="n">
        <v>1922</v>
      </c>
      <c r="AE940" s="8" t="n">
        <v>-4439</v>
      </c>
      <c r="AF940" s="8" t="n">
        <v>-4739</v>
      </c>
      <c r="AG940" s="9" t="n">
        <v>325</v>
      </c>
      <c r="AH940" s="10" t="n">
        <v>-4665</v>
      </c>
      <c r="AI940" s="10" t="n">
        <v>-5313</v>
      </c>
      <c r="AJ940" s="11" t="n">
        <v>520</v>
      </c>
      <c r="AK940" s="12" t="n">
        <v>-5538</v>
      </c>
      <c r="AL940" s="12" t="n">
        <v>-11559</v>
      </c>
      <c r="AM940" s="13" t="n">
        <v>60</v>
      </c>
      <c r="AN940" s="13" t="n">
        <v>56.2</v>
      </c>
      <c r="AO940" s="13" t="n">
        <v>-18.7</v>
      </c>
      <c r="AP940" s="13" t="n">
        <v>-14.9</v>
      </c>
    </row>
    <row r="941">
      <c r="A941" s="5" t="inlineStr">
        <is>
          <t>유라테크</t>
        </is>
      </c>
      <c r="B941" s="6" t="inlineStr">
        <is>
          <t>048430</t>
        </is>
      </c>
      <c r="C941" s="6" t="inlineStr">
        <is>
          <t>연결</t>
        </is>
      </c>
      <c r="D941" s="6" t="inlineStr">
        <is>
          <t>2026Q2</t>
        </is>
      </c>
      <c r="E941" s="6" t="inlineStr"/>
      <c r="F941" s="7" t="inlineStr"/>
      <c r="G941" s="8" t="inlineStr"/>
      <c r="H941" s="8" t="inlineStr"/>
      <c r="I941" s="9" t="n">
        <v>51188</v>
      </c>
      <c r="J941" s="10" t="n">
        <v>2500</v>
      </c>
      <c r="K941" s="10" t="n">
        <v>2699</v>
      </c>
      <c r="L941" s="7" t="n">
        <v>48544</v>
      </c>
      <c r="M941" s="8" t="n">
        <v>2997</v>
      </c>
      <c r="N941" s="8" t="n">
        <v>3257</v>
      </c>
      <c r="O941" s="9" t="n">
        <v>47424</v>
      </c>
      <c r="P941" s="10" t="n">
        <v>2198</v>
      </c>
      <c r="Q941" s="10" t="n">
        <v>3110</v>
      </c>
      <c r="R941" s="7" t="n">
        <v>54194</v>
      </c>
      <c r="S941" s="8" t="n">
        <v>2811</v>
      </c>
      <c r="T941" s="8" t="n">
        <v>4292</v>
      </c>
      <c r="U941" s="9" t="n">
        <v>49954</v>
      </c>
      <c r="V941" s="10" t="n">
        <v>1359</v>
      </c>
      <c r="W941" s="10" t="n">
        <v>2651</v>
      </c>
      <c r="X941" s="7" t="n">
        <v>49101</v>
      </c>
      <c r="Y941" s="8" t="n">
        <v>1159</v>
      </c>
      <c r="Z941" s="8" t="n">
        <v>3835</v>
      </c>
      <c r="AA941" s="9" t="n">
        <v>50266</v>
      </c>
      <c r="AB941" s="10" t="n">
        <v>-180</v>
      </c>
      <c r="AC941" s="10" t="n">
        <v>2965</v>
      </c>
      <c r="AD941" s="7" t="n">
        <v>47933</v>
      </c>
      <c r="AE941" s="8" t="n">
        <v>-524</v>
      </c>
      <c r="AF941" s="8" t="n">
        <v>1585</v>
      </c>
      <c r="AG941" s="9" t="n">
        <v>48762</v>
      </c>
      <c r="AH941" s="10" t="n">
        <v>-1798</v>
      </c>
      <c r="AI941" s="10" t="n">
        <v>482</v>
      </c>
      <c r="AJ941" s="11" t="n">
        <v>54246</v>
      </c>
      <c r="AK941" s="12" t="n">
        <v>1108</v>
      </c>
      <c r="AL941" s="12" t="n">
        <v>2524</v>
      </c>
      <c r="AM941" s="13" t="n">
        <v>11.2</v>
      </c>
      <c r="AN941" s="13" t="n">
        <v>10.5</v>
      </c>
      <c r="AO941" s="13" t="n">
        <v>161.6</v>
      </c>
      <c r="AP941" s="13" t="n">
        <v>-4.4</v>
      </c>
    </row>
    <row r="942">
      <c r="A942" s="5" t="inlineStr">
        <is>
          <t>대동스틸</t>
        </is>
      </c>
      <c r="B942" s="6" t="inlineStr">
        <is>
          <t>048470</t>
        </is>
      </c>
      <c r="C942" s="6" t="inlineStr">
        <is>
          <t>별도</t>
        </is>
      </c>
      <c r="D942" s="6" t="inlineStr">
        <is>
          <t>2026Q2</t>
        </is>
      </c>
      <c r="E942" s="6" t="inlineStr"/>
      <c r="F942" s="7" t="inlineStr"/>
      <c r="G942" s="8" t="inlineStr"/>
      <c r="H942" s="8" t="inlineStr"/>
      <c r="I942" s="9" t="n">
        <v>32247</v>
      </c>
      <c r="J942" s="10" t="n">
        <v>210</v>
      </c>
      <c r="K942" s="10" t="n">
        <v>727</v>
      </c>
      <c r="L942" s="7" t="n">
        <v>36041</v>
      </c>
      <c r="M942" s="8" t="n">
        <v>-1726</v>
      </c>
      <c r="N942" s="8" t="n">
        <v>-1042</v>
      </c>
      <c r="O942" s="9" t="n">
        <v>33931</v>
      </c>
      <c r="P942" s="10" t="n">
        <v>-1040</v>
      </c>
      <c r="Q942" s="10" t="n">
        <v>-766</v>
      </c>
      <c r="R942" s="7" t="n">
        <v>37484</v>
      </c>
      <c r="S942" s="8" t="n">
        <v>605</v>
      </c>
      <c r="T942" s="8" t="n">
        <v>1530</v>
      </c>
      <c r="U942" s="9" t="n">
        <v>28854</v>
      </c>
      <c r="V942" s="10" t="n">
        <v>68</v>
      </c>
      <c r="W942" s="10" t="n">
        <v>311</v>
      </c>
      <c r="X942" s="7" t="n">
        <v>29599</v>
      </c>
      <c r="Y942" s="8" t="n">
        <v>-162</v>
      </c>
      <c r="Z942" s="8" t="n">
        <v>69</v>
      </c>
      <c r="AA942" s="9" t="n">
        <v>31870</v>
      </c>
      <c r="AB942" s="10" t="n">
        <v>-728</v>
      </c>
      <c r="AC942" s="10" t="n">
        <v>-173</v>
      </c>
      <c r="AD942" s="7" t="n">
        <v>28841</v>
      </c>
      <c r="AE942" s="8" t="n">
        <v>-344</v>
      </c>
      <c r="AF942" s="8" t="n">
        <v>69</v>
      </c>
      <c r="AG942" s="9" t="n">
        <v>31826</v>
      </c>
      <c r="AH942" s="10" t="n">
        <v>100</v>
      </c>
      <c r="AI942" s="10" t="n">
        <v>413</v>
      </c>
      <c r="AJ942" s="11" t="n">
        <v>31060</v>
      </c>
      <c r="AK942" s="12" t="n">
        <v>2110</v>
      </c>
      <c r="AL942" s="12" t="n">
        <v>2781</v>
      </c>
      <c r="AM942" s="13" t="n">
        <v>-2.4</v>
      </c>
      <c r="AN942" s="13" t="n">
        <v>4.9</v>
      </c>
      <c r="AO942" s="13" t="n">
        <v>2010</v>
      </c>
      <c r="AP942" s="13" t="n">
        <v>1402.5</v>
      </c>
    </row>
    <row r="943">
      <c r="A943" s="5" t="inlineStr">
        <is>
          <t>인트론바이오</t>
        </is>
      </c>
      <c r="B943" s="6" t="inlineStr">
        <is>
          <t>048530</t>
        </is>
      </c>
      <c r="C943" s="6" t="inlineStr">
        <is>
          <t>별도</t>
        </is>
      </c>
      <c r="D943" s="6" t="inlineStr">
        <is>
          <t>2026Q2</t>
        </is>
      </c>
      <c r="E943" s="6" t="inlineStr"/>
      <c r="F943" s="7" t="inlineStr"/>
      <c r="G943" s="8" t="inlineStr"/>
      <c r="H943" s="8" t="inlineStr"/>
      <c r="I943" s="9" t="n">
        <v>1910</v>
      </c>
      <c r="J943" s="10" t="n">
        <v>-1111</v>
      </c>
      <c r="K943" s="10" t="n">
        <v>-376</v>
      </c>
      <c r="L943" s="7" t="n">
        <v>1778</v>
      </c>
      <c r="M943" s="8" t="n">
        <v>-1153</v>
      </c>
      <c r="N943" s="8" t="n">
        <v>579</v>
      </c>
      <c r="O943" s="9" t="n">
        <v>1208</v>
      </c>
      <c r="P943" s="10" t="n">
        <v>-1633</v>
      </c>
      <c r="Q943" s="10" t="n">
        <v>-1316</v>
      </c>
      <c r="R943" s="7" t="n">
        <v>1522</v>
      </c>
      <c r="S943" s="8" t="n">
        <v>-1341</v>
      </c>
      <c r="T943" s="8" t="n">
        <v>-1478</v>
      </c>
      <c r="U943" s="9" t="n">
        <v>1186</v>
      </c>
      <c r="V943" s="10" t="n">
        <v>-1839</v>
      </c>
      <c r="W943" s="10" t="n">
        <v>-2034</v>
      </c>
      <c r="X943" s="7" t="n">
        <v>1226</v>
      </c>
      <c r="Y943" s="8" t="n">
        <v>-1955</v>
      </c>
      <c r="Z943" s="8" t="n">
        <v>-1112</v>
      </c>
      <c r="AA943" s="9" t="n">
        <v>1623</v>
      </c>
      <c r="AB943" s="10" t="n">
        <v>-2067</v>
      </c>
      <c r="AC943" s="10" t="n">
        <v>-1666</v>
      </c>
      <c r="AD943" s="7" t="n">
        <v>1705</v>
      </c>
      <c r="AE943" s="8" t="n">
        <v>-2043</v>
      </c>
      <c r="AF943" s="8" t="n">
        <v>-4146</v>
      </c>
      <c r="AG943" s="9" t="n">
        <v>1883</v>
      </c>
      <c r="AH943" s="10" t="n">
        <v>-2166</v>
      </c>
      <c r="AI943" s="10" t="n">
        <v>-2263</v>
      </c>
      <c r="AJ943" s="11" t="n">
        <v>2035</v>
      </c>
      <c r="AK943" s="12" t="n">
        <v>-1636</v>
      </c>
      <c r="AL943" s="12" t="n">
        <v>-2259</v>
      </c>
      <c r="AM943" s="13" t="n">
        <v>8.1</v>
      </c>
      <c r="AN943" s="13" t="n">
        <v>66</v>
      </c>
      <c r="AO943" s="13" t="n">
        <v>24.5</v>
      </c>
      <c r="AP943" s="13" t="n">
        <v>16.3</v>
      </c>
    </row>
    <row r="944">
      <c r="A944" s="5" t="inlineStr">
        <is>
          <t>SM C&amp;C</t>
        </is>
      </c>
      <c r="B944" s="6" t="inlineStr">
        <is>
          <t>048550</t>
        </is>
      </c>
      <c r="C944" s="6" t="inlineStr">
        <is>
          <t>연결</t>
        </is>
      </c>
      <c r="D944" s="6" t="inlineStr">
        <is>
          <t>2026Q2</t>
        </is>
      </c>
      <c r="E944" s="6" t="inlineStr"/>
      <c r="F944" s="7" t="inlineStr"/>
      <c r="G944" s="8" t="inlineStr"/>
      <c r="H944" s="8" t="inlineStr"/>
      <c r="I944" s="9" t="n">
        <v>23948</v>
      </c>
      <c r="J944" s="10" t="n">
        <v>-1860</v>
      </c>
      <c r="K944" s="10" t="n">
        <v>-106</v>
      </c>
      <c r="L944" s="7" t="n">
        <v>27850</v>
      </c>
      <c r="M944" s="8" t="n">
        <v>2575</v>
      </c>
      <c r="N944" s="8" t="n">
        <v>3074</v>
      </c>
      <c r="O944" s="9" t="n">
        <v>24762</v>
      </c>
      <c r="P944" s="10" t="n">
        <v>-1241</v>
      </c>
      <c r="Q944" s="10" t="n">
        <v>-1361</v>
      </c>
      <c r="R944" s="7" t="n">
        <v>33380</v>
      </c>
      <c r="S944" s="8" t="n">
        <v>2111</v>
      </c>
      <c r="T944" s="8" t="n">
        <v>-15800</v>
      </c>
      <c r="U944" s="9" t="n">
        <v>17697</v>
      </c>
      <c r="V944" s="10" t="n">
        <v>-2935</v>
      </c>
      <c r="W944" s="10" t="n">
        <v>-1809</v>
      </c>
      <c r="X944" s="7" t="n">
        <v>21114</v>
      </c>
      <c r="Y944" s="8" t="n">
        <v>-1255</v>
      </c>
      <c r="Z944" s="8" t="n">
        <v>-983</v>
      </c>
      <c r="AA944" s="9" t="n">
        <v>25382</v>
      </c>
      <c r="AB944" s="10" t="n">
        <v>-195</v>
      </c>
      <c r="AC944" s="10" t="n">
        <v>322</v>
      </c>
      <c r="AD944" s="7" t="n">
        <v>36285</v>
      </c>
      <c r="AE944" s="8" t="n">
        <v>3092</v>
      </c>
      <c r="AF944" s="8" t="n">
        <v>543</v>
      </c>
      <c r="AG944" s="9" t="n">
        <v>21475</v>
      </c>
      <c r="AH944" s="10" t="n">
        <v>-2238</v>
      </c>
      <c r="AI944" s="10" t="n">
        <v>-1232</v>
      </c>
      <c r="AJ944" s="11" t="n">
        <v>27230</v>
      </c>
      <c r="AK944" s="12" t="n">
        <v>-1557</v>
      </c>
      <c r="AL944" s="12" t="n">
        <v>-4366</v>
      </c>
      <c r="AM944" s="13" t="n">
        <v>26.8</v>
      </c>
      <c r="AN944" s="13" t="n">
        <v>29</v>
      </c>
      <c r="AO944" s="13" t="n">
        <v>30.4</v>
      </c>
      <c r="AP944" s="13" t="n">
        <v>-24.1</v>
      </c>
    </row>
    <row r="945">
      <c r="A945" s="5" t="inlineStr">
        <is>
          <t>TPC로보틱스</t>
        </is>
      </c>
      <c r="B945" s="6" t="inlineStr">
        <is>
          <t>048770</t>
        </is>
      </c>
      <c r="C945" s="6" t="inlineStr">
        <is>
          <t>연결</t>
        </is>
      </c>
      <c r="D945" s="6" t="inlineStr">
        <is>
          <t>2026Q2</t>
        </is>
      </c>
      <c r="E945" s="6" t="inlineStr"/>
      <c r="F945" s="7" t="inlineStr"/>
      <c r="G945" s="8" t="inlineStr"/>
      <c r="H945" s="8" t="inlineStr"/>
      <c r="I945" s="9" t="n">
        <v>21775</v>
      </c>
      <c r="J945" s="10" t="n">
        <v>336</v>
      </c>
      <c r="K945" s="10" t="n">
        <v>-164</v>
      </c>
      <c r="L945" s="7" t="n">
        <v>20712</v>
      </c>
      <c r="M945" s="8" t="n">
        <v>-513</v>
      </c>
      <c r="N945" s="8" t="n">
        <v>-785</v>
      </c>
      <c r="O945" s="9" t="n">
        <v>21187</v>
      </c>
      <c r="P945" s="10" t="n">
        <v>-1214</v>
      </c>
      <c r="Q945" s="10" t="n">
        <v>-1322</v>
      </c>
      <c r="R945" s="7" t="n">
        <v>22770</v>
      </c>
      <c r="S945" s="8" t="n">
        <v>-1089</v>
      </c>
      <c r="T945" s="8" t="n">
        <v>-2522</v>
      </c>
      <c r="U945" s="9" t="n">
        <v>20035</v>
      </c>
      <c r="V945" s="10" t="n">
        <v>-1625</v>
      </c>
      <c r="W945" s="10" t="n">
        <v>-1727</v>
      </c>
      <c r="X945" s="7" t="n">
        <v>20335</v>
      </c>
      <c r="Y945" s="8" t="n">
        <v>-415</v>
      </c>
      <c r="Z945" s="8" t="n">
        <v>-603</v>
      </c>
      <c r="AA945" s="9" t="n">
        <v>21135</v>
      </c>
      <c r="AB945" s="10" t="n">
        <v>-778</v>
      </c>
      <c r="AC945" s="10" t="n">
        <v>-1093</v>
      </c>
      <c r="AD945" s="7" t="n">
        <v>24823</v>
      </c>
      <c r="AE945" s="8" t="n">
        <v>518</v>
      </c>
      <c r="AF945" s="8" t="n">
        <v>904</v>
      </c>
      <c r="AG945" s="9" t="n">
        <v>23930</v>
      </c>
      <c r="AH945" s="10" t="n">
        <v>-7</v>
      </c>
      <c r="AI945" s="10" t="n">
        <v>-328</v>
      </c>
      <c r="AJ945" s="11" t="n">
        <v>24856</v>
      </c>
      <c r="AK945" s="12" t="n">
        <v>-593</v>
      </c>
      <c r="AL945" s="12" t="n">
        <v>-1039</v>
      </c>
      <c r="AM945" s="13" t="n">
        <v>3.9</v>
      </c>
      <c r="AN945" s="13" t="n">
        <v>22.2</v>
      </c>
      <c r="AO945" s="13" t="n">
        <v>-8371.4</v>
      </c>
      <c r="AP945" s="13" t="n">
        <v>-42.9</v>
      </c>
    </row>
    <row r="946">
      <c r="A946" s="5" t="inlineStr">
        <is>
          <t>엔피케이</t>
        </is>
      </c>
      <c r="B946" s="6" t="inlineStr">
        <is>
          <t>048830</t>
        </is>
      </c>
      <c r="C946" s="6" t="inlineStr">
        <is>
          <t>연결</t>
        </is>
      </c>
      <c r="D946" s="6" t="inlineStr">
        <is>
          <t>2026Q2</t>
        </is>
      </c>
      <c r="E946" s="6" t="inlineStr"/>
      <c r="F946" s="7" t="inlineStr"/>
      <c r="G946" s="8" t="inlineStr"/>
      <c r="H946" s="8" t="inlineStr"/>
      <c r="I946" s="9" t="n">
        <v>15818</v>
      </c>
      <c r="J946" s="10" t="n">
        <v>-17</v>
      </c>
      <c r="K946" s="10" t="n">
        <v>-191</v>
      </c>
      <c r="L946" s="7" t="n">
        <v>15763</v>
      </c>
      <c r="M946" s="8" t="n">
        <v>63</v>
      </c>
      <c r="N946" s="8" t="n">
        <v>24</v>
      </c>
      <c r="O946" s="9" t="n">
        <v>15169</v>
      </c>
      <c r="P946" s="10" t="n">
        <v>-377</v>
      </c>
      <c r="Q946" s="10" t="n">
        <v>-313</v>
      </c>
      <c r="R946" s="7" t="n">
        <v>17816</v>
      </c>
      <c r="S946" s="8" t="n">
        <v>-299</v>
      </c>
      <c r="T946" s="8" t="n">
        <v>-362</v>
      </c>
      <c r="U946" s="9" t="n">
        <v>19941</v>
      </c>
      <c r="V946" s="10" t="n">
        <v>-82</v>
      </c>
      <c r="W946" s="10" t="n">
        <v>-197</v>
      </c>
      <c r="X946" s="7" t="n">
        <v>20943</v>
      </c>
      <c r="Y946" s="8" t="n">
        <v>368</v>
      </c>
      <c r="Z946" s="8" t="n">
        <v>617</v>
      </c>
      <c r="AA946" s="9" t="n">
        <v>20651</v>
      </c>
      <c r="AB946" s="10" t="n">
        <v>-609</v>
      </c>
      <c r="AC946" s="10" t="n">
        <v>-564</v>
      </c>
      <c r="AD946" s="7" t="n">
        <v>22287</v>
      </c>
      <c r="AE946" s="8" t="n">
        <v>1336</v>
      </c>
      <c r="AF946" s="8" t="n">
        <v>1275</v>
      </c>
      <c r="AG946" s="9" t="n">
        <v>22230</v>
      </c>
      <c r="AH946" s="10" t="n">
        <v>-282</v>
      </c>
      <c r="AI946" s="10" t="n">
        <v>-486</v>
      </c>
      <c r="AJ946" s="11" t="n">
        <v>24873</v>
      </c>
      <c r="AK946" s="12" t="n">
        <v>1056</v>
      </c>
      <c r="AL946" s="12" t="n">
        <v>801</v>
      </c>
      <c r="AM946" s="13" t="n">
        <v>11.9</v>
      </c>
      <c r="AN946" s="13" t="n">
        <v>18.8</v>
      </c>
      <c r="AO946" s="13" t="n">
        <v>474.5</v>
      </c>
      <c r="AP946" s="13" t="n">
        <v>187</v>
      </c>
    </row>
    <row r="947">
      <c r="A947" s="5" t="inlineStr">
        <is>
          <t>시너지이노베이션</t>
        </is>
      </c>
      <c r="B947" s="6" t="inlineStr">
        <is>
          <t>048870</t>
        </is>
      </c>
      <c r="C947" s="6" t="inlineStr">
        <is>
          <t>연결</t>
        </is>
      </c>
      <c r="D947" s="6" t="inlineStr">
        <is>
          <t>2026Q2</t>
        </is>
      </c>
      <c r="E947" s="6" t="inlineStr"/>
      <c r="F947" s="7" t="inlineStr"/>
      <c r="G947" s="8" t="inlineStr"/>
      <c r="H947" s="8" t="inlineStr"/>
      <c r="I947" s="9" t="n">
        <v>22737</v>
      </c>
      <c r="J947" s="10" t="n">
        <v>5241</v>
      </c>
      <c r="K947" s="10" t="n">
        <v>9929</v>
      </c>
      <c r="L947" s="7" t="n">
        <v>22695</v>
      </c>
      <c r="M947" s="8" t="n">
        <v>3209</v>
      </c>
      <c r="N947" s="8" t="n">
        <v>8557</v>
      </c>
      <c r="O947" s="9" t="n">
        <v>24217</v>
      </c>
      <c r="P947" s="10" t="n">
        <v>4074</v>
      </c>
      <c r="Q947" s="10" t="n">
        <v>-7920</v>
      </c>
      <c r="R947" s="7" t="n">
        <v>20956</v>
      </c>
      <c r="S947" s="8" t="n">
        <v>3586</v>
      </c>
      <c r="T947" s="8" t="n">
        <v>7578</v>
      </c>
      <c r="U947" s="9" t="n">
        <v>27242</v>
      </c>
      <c r="V947" s="10" t="n">
        <v>4788</v>
      </c>
      <c r="W947" s="10" t="n">
        <v>2551</v>
      </c>
      <c r="X947" s="7" t="n">
        <v>27685</v>
      </c>
      <c r="Y947" s="8" t="n">
        <v>4694</v>
      </c>
      <c r="Z947" s="8" t="n">
        <v>3444</v>
      </c>
      <c r="AA947" s="9" t="n">
        <v>30366</v>
      </c>
      <c r="AB947" s="10" t="n">
        <v>6374</v>
      </c>
      <c r="AC947" s="10" t="n">
        <v>6219</v>
      </c>
      <c r="AD947" s="7" t="n">
        <v>27757</v>
      </c>
      <c r="AE947" s="8" t="n">
        <v>3308</v>
      </c>
      <c r="AF947" s="8" t="n">
        <v>-1029</v>
      </c>
      <c r="AG947" s="9" t="n">
        <v>27031</v>
      </c>
      <c r="AH947" s="10" t="n">
        <v>3821</v>
      </c>
      <c r="AI947" s="10" t="n">
        <v>5642</v>
      </c>
      <c r="AJ947" s="11" t="n">
        <v>31408</v>
      </c>
      <c r="AK947" s="12" t="n">
        <v>5378</v>
      </c>
      <c r="AL947" s="12" t="n">
        <v>7708</v>
      </c>
      <c r="AM947" s="13" t="n">
        <v>16.2</v>
      </c>
      <c r="AN947" s="13" t="n">
        <v>13.4</v>
      </c>
      <c r="AO947" s="13" t="n">
        <v>40.7</v>
      </c>
      <c r="AP947" s="13" t="n">
        <v>14.6</v>
      </c>
    </row>
    <row r="948">
      <c r="A948" s="5" t="inlineStr">
        <is>
          <t>대원미디어</t>
        </is>
      </c>
      <c r="B948" s="6" t="inlineStr">
        <is>
          <t>048910</t>
        </is>
      </c>
      <c r="C948" s="6" t="inlineStr">
        <is>
          <t>연결</t>
        </is>
      </c>
      <c r="D948" s="6" t="inlineStr">
        <is>
          <t>2026Q2</t>
        </is>
      </c>
      <c r="E948" s="6" t="inlineStr"/>
      <c r="F948" s="7" t="inlineStr"/>
      <c r="G948" s="8" t="inlineStr"/>
      <c r="H948" s="8" t="inlineStr"/>
      <c r="I948" s="9" t="n">
        <v>67823</v>
      </c>
      <c r="J948" s="10" t="n">
        <v>1711</v>
      </c>
      <c r="K948" s="10" t="n">
        <v>-73</v>
      </c>
      <c r="L948" s="7" t="n">
        <v>65494</v>
      </c>
      <c r="M948" s="8" t="n">
        <v>882</v>
      </c>
      <c r="N948" s="8" t="n">
        <v>-441</v>
      </c>
      <c r="O948" s="9" t="n">
        <v>59969</v>
      </c>
      <c r="P948" s="10" t="n">
        <v>-1578</v>
      </c>
      <c r="Q948" s="10" t="n">
        <v>-2617</v>
      </c>
      <c r="R948" s="7" t="n">
        <v>63078</v>
      </c>
      <c r="S948" s="8" t="n">
        <v>601</v>
      </c>
      <c r="T948" s="8" t="n">
        <v>1573</v>
      </c>
      <c r="U948" s="9" t="n">
        <v>58694</v>
      </c>
      <c r="V948" s="10" t="n">
        <v>1200</v>
      </c>
      <c r="W948" s="10" t="n">
        <v>90</v>
      </c>
      <c r="X948" s="7" t="n">
        <v>87333</v>
      </c>
      <c r="Y948" s="8" t="n">
        <v>186</v>
      </c>
      <c r="Z948" s="8" t="n">
        <v>429</v>
      </c>
      <c r="AA948" s="9" t="n">
        <v>92944</v>
      </c>
      <c r="AB948" s="10" t="n">
        <v>3689</v>
      </c>
      <c r="AC948" s="10" t="n">
        <v>2121</v>
      </c>
      <c r="AD948" s="7" t="n">
        <v>103879</v>
      </c>
      <c r="AE948" s="8" t="n">
        <v>4875</v>
      </c>
      <c r="AF948" s="8" t="n">
        <v>2794</v>
      </c>
      <c r="AG948" s="9" t="n">
        <v>102530</v>
      </c>
      <c r="AH948" s="10" t="n">
        <v>1949</v>
      </c>
      <c r="AI948" s="10" t="n">
        <v>1272</v>
      </c>
      <c r="AJ948" s="11" t="n">
        <v>124485</v>
      </c>
      <c r="AK948" s="12" t="n">
        <v>6994</v>
      </c>
      <c r="AL948" s="12" t="n">
        <v>3724</v>
      </c>
      <c r="AM948" s="13" t="n">
        <v>21.4</v>
      </c>
      <c r="AN948" s="13" t="n">
        <v>42.5</v>
      </c>
      <c r="AO948" s="13" t="n">
        <v>258.9</v>
      </c>
      <c r="AP948" s="13" t="n">
        <v>3660.2</v>
      </c>
    </row>
    <row r="949">
      <c r="A949" s="5" t="inlineStr">
        <is>
          <t>인탑스</t>
        </is>
      </c>
      <c r="B949" s="6" t="inlineStr">
        <is>
          <t>049070</t>
        </is>
      </c>
      <c r="C949" s="6" t="inlineStr">
        <is>
          <t>연결</t>
        </is>
      </c>
      <c r="D949" s="6" t="inlineStr">
        <is>
          <t>2026Q2</t>
        </is>
      </c>
      <c r="E949" s="6" t="inlineStr"/>
      <c r="F949" s="7" t="inlineStr"/>
      <c r="G949" s="8" t="inlineStr"/>
      <c r="H949" s="8" t="inlineStr"/>
      <c r="I949" s="9" t="n">
        <v>178463</v>
      </c>
      <c r="J949" s="10" t="n">
        <v>6126</v>
      </c>
      <c r="K949" s="10" t="n">
        <v>15416</v>
      </c>
      <c r="L949" s="7" t="n">
        <v>151493</v>
      </c>
      <c r="M949" s="8" t="n">
        <v>2220</v>
      </c>
      <c r="N949" s="8" t="n">
        <v>10609</v>
      </c>
      <c r="O949" s="9" t="n">
        <v>147893</v>
      </c>
      <c r="P949" s="10" t="n">
        <v>261</v>
      </c>
      <c r="Q949" s="10" t="n">
        <v>-5914</v>
      </c>
      <c r="R949" s="7" t="n">
        <v>136818</v>
      </c>
      <c r="S949" s="8" t="n">
        <v>-4823</v>
      </c>
      <c r="T949" s="8" t="n">
        <v>3279</v>
      </c>
      <c r="U949" s="9" t="n">
        <v>161680</v>
      </c>
      <c r="V949" s="10" t="n">
        <v>256</v>
      </c>
      <c r="W949" s="10" t="n">
        <v>2669</v>
      </c>
      <c r="X949" s="7" t="n">
        <v>144391</v>
      </c>
      <c r="Y949" s="8" t="n">
        <v>-9720</v>
      </c>
      <c r="Z949" s="8" t="n">
        <v>-10001</v>
      </c>
      <c r="AA949" s="9" t="n">
        <v>142595</v>
      </c>
      <c r="AB949" s="10" t="n">
        <v>-684</v>
      </c>
      <c r="AC949" s="10" t="n">
        <v>4043</v>
      </c>
      <c r="AD949" s="7" t="n">
        <v>142116</v>
      </c>
      <c r="AE949" s="8" t="n">
        <v>-1156</v>
      </c>
      <c r="AF949" s="8" t="n">
        <v>11450</v>
      </c>
      <c r="AG949" s="9" t="n">
        <v>163138</v>
      </c>
      <c r="AH949" s="10" t="n">
        <v>6386</v>
      </c>
      <c r="AI949" s="10" t="n">
        <v>11800</v>
      </c>
      <c r="AJ949" s="11" t="n">
        <v>155007</v>
      </c>
      <c r="AK949" s="12" t="n">
        <v>1867</v>
      </c>
      <c r="AL949" s="12" t="n">
        <v>4402</v>
      </c>
      <c r="AM949" s="13" t="n">
        <v>-5</v>
      </c>
      <c r="AN949" s="13" t="n">
        <v>7.4</v>
      </c>
      <c r="AO949" s="13" t="n">
        <v>-70.8</v>
      </c>
      <c r="AP949" s="13" t="n">
        <v>119.2</v>
      </c>
    </row>
    <row r="950">
      <c r="A950" s="5" t="inlineStr">
        <is>
          <t>기가레인</t>
        </is>
      </c>
      <c r="B950" s="6" t="inlineStr">
        <is>
          <t>049080</t>
        </is>
      </c>
      <c r="C950" s="6" t="inlineStr">
        <is>
          <t>연결</t>
        </is>
      </c>
      <c r="D950" s="6" t="inlineStr">
        <is>
          <t>2026Q2</t>
        </is>
      </c>
      <c r="E950" s="6" t="inlineStr"/>
      <c r="F950" s="7" t="inlineStr"/>
      <c r="G950" s="8" t="inlineStr"/>
      <c r="H950" s="8" t="inlineStr"/>
      <c r="I950" s="9" t="n">
        <v>12019</v>
      </c>
      <c r="J950" s="10" t="n">
        <v>-2081</v>
      </c>
      <c r="K950" s="10" t="n">
        <v>-1401</v>
      </c>
      <c r="L950" s="7" t="n">
        <v>13331</v>
      </c>
      <c r="M950" s="8" t="n">
        <v>-486</v>
      </c>
      <c r="N950" s="8" t="n">
        <v>-34</v>
      </c>
      <c r="O950" s="9" t="n">
        <v>7376</v>
      </c>
      <c r="P950" s="10" t="n">
        <v>-2384</v>
      </c>
      <c r="Q950" s="10" t="n">
        <v>-2838</v>
      </c>
      <c r="R950" s="7" t="n">
        <v>8964</v>
      </c>
      <c r="S950" s="8" t="n">
        <v>-2401</v>
      </c>
      <c r="T950" s="8" t="n">
        <v>-1736</v>
      </c>
      <c r="U950" s="9" t="n">
        <v>6809</v>
      </c>
      <c r="V950" s="10" t="n">
        <v>-2974</v>
      </c>
      <c r="W950" s="10" t="n">
        <v>-2925</v>
      </c>
      <c r="X950" s="7" t="n">
        <v>13238</v>
      </c>
      <c r="Y950" s="8" t="n">
        <v>-1716</v>
      </c>
      <c r="Z950" s="8" t="n">
        <v>-2342</v>
      </c>
      <c r="AA950" s="9" t="n">
        <v>6271</v>
      </c>
      <c r="AB950" s="10" t="n">
        <v>-4509</v>
      </c>
      <c r="AC950" s="10" t="n">
        <v>-4120</v>
      </c>
      <c r="AD950" s="7" t="n">
        <v>14013</v>
      </c>
      <c r="AE950" s="8" t="n">
        <v>-3277</v>
      </c>
      <c r="AF950" s="8" t="n">
        <v>-2190</v>
      </c>
      <c r="AG950" s="9" t="n">
        <v>7813</v>
      </c>
      <c r="AH950" s="10" t="n">
        <v>-4717</v>
      </c>
      <c r="AI950" s="10" t="n">
        <v>-3965</v>
      </c>
      <c r="AJ950" s="11" t="n">
        <v>13684</v>
      </c>
      <c r="AK950" s="12" t="n">
        <v>-2376</v>
      </c>
      <c r="AL950" s="12" t="n">
        <v>-1607</v>
      </c>
      <c r="AM950" s="13" t="n">
        <v>75.09999999999999</v>
      </c>
      <c r="AN950" s="13" t="n">
        <v>3.4</v>
      </c>
      <c r="AO950" s="13" t="n">
        <v>49.6</v>
      </c>
      <c r="AP950" s="13" t="n">
        <v>-38.5</v>
      </c>
    </row>
    <row r="951">
      <c r="A951" s="5" t="inlineStr">
        <is>
          <t>파인디앤씨</t>
        </is>
      </c>
      <c r="B951" s="6" t="inlineStr">
        <is>
          <t>049120</t>
        </is>
      </c>
      <c r="C951" s="6" t="inlineStr">
        <is>
          <t>연결</t>
        </is>
      </c>
      <c r="D951" s="6" t="inlineStr">
        <is>
          <t>2026Q2</t>
        </is>
      </c>
      <c r="E951" s="6" t="inlineStr"/>
      <c r="F951" s="7" t="inlineStr"/>
      <c r="G951" s="8" t="inlineStr"/>
      <c r="H951" s="8" t="inlineStr"/>
      <c r="I951" s="9" t="n">
        <v>16056</v>
      </c>
      <c r="J951" s="10" t="n">
        <v>589</v>
      </c>
      <c r="K951" s="10" t="n">
        <v>659</v>
      </c>
      <c r="L951" s="7" t="n">
        <v>17570</v>
      </c>
      <c r="M951" s="8" t="n">
        <v>540</v>
      </c>
      <c r="N951" s="8" t="n">
        <v>1066</v>
      </c>
      <c r="O951" s="9" t="n">
        <v>14233</v>
      </c>
      <c r="P951" s="10" t="n">
        <v>-1707</v>
      </c>
      <c r="Q951" s="10" t="n">
        <v>-810</v>
      </c>
      <c r="R951" s="7" t="n">
        <v>17150</v>
      </c>
      <c r="S951" s="8" t="n">
        <v>-167</v>
      </c>
      <c r="T951" s="8" t="n">
        <v>-3493</v>
      </c>
      <c r="U951" s="9" t="n">
        <v>28904</v>
      </c>
      <c r="V951" s="10" t="n">
        <v>626</v>
      </c>
      <c r="W951" s="10" t="n">
        <v>-505</v>
      </c>
      <c r="X951" s="7" t="n">
        <v>14913</v>
      </c>
      <c r="Y951" s="8" t="n">
        <v>-447</v>
      </c>
      <c r="Z951" s="8" t="n">
        <v>-834</v>
      </c>
      <c r="AA951" s="9" t="n">
        <v>11263</v>
      </c>
      <c r="AB951" s="10" t="n">
        <v>-548</v>
      </c>
      <c r="AC951" s="10" t="n">
        <v>-4474</v>
      </c>
      <c r="AD951" s="7" t="n">
        <v>10714</v>
      </c>
      <c r="AE951" s="8" t="n">
        <v>-3713</v>
      </c>
      <c r="AF951" s="8" t="n">
        <v>-16354</v>
      </c>
      <c r="AG951" s="9" t="n">
        <v>13750</v>
      </c>
      <c r="AH951" s="10" t="n">
        <v>-1022</v>
      </c>
      <c r="AI951" s="10" t="n">
        <v>-1096</v>
      </c>
      <c r="AJ951" s="11" t="n">
        <v>10960</v>
      </c>
      <c r="AK951" s="12" t="n">
        <v>-1420</v>
      </c>
      <c r="AL951" s="12" t="n">
        <v>-1133</v>
      </c>
      <c r="AM951" s="13" t="n">
        <v>-20.3</v>
      </c>
      <c r="AN951" s="13" t="n">
        <v>-26.5</v>
      </c>
      <c r="AO951" s="13" t="n">
        <v>-38.9</v>
      </c>
      <c r="AP951" s="13" t="n">
        <v>-217.7</v>
      </c>
    </row>
    <row r="952">
      <c r="A952" s="5" t="inlineStr">
        <is>
          <t>셀루메드</t>
        </is>
      </c>
      <c r="B952" s="6" t="inlineStr">
        <is>
          <t>049180</t>
        </is>
      </c>
      <c r="C952" s="6" t="inlineStr">
        <is>
          <t>연결</t>
        </is>
      </c>
      <c r="D952" s="6" t="inlineStr">
        <is>
          <t>2026Q2</t>
        </is>
      </c>
      <c r="E952" s="6" t="inlineStr"/>
      <c r="F952" s="7" t="inlineStr"/>
      <c r="G952" s="8" t="inlineStr"/>
      <c r="H952" s="8" t="inlineStr"/>
      <c r="I952" s="9" t="n">
        <v>26271</v>
      </c>
      <c r="J952" s="10" t="n">
        <v>-413</v>
      </c>
      <c r="K952" s="10" t="n">
        <v>-1633</v>
      </c>
      <c r="L952" s="7" t="n">
        <v>32951</v>
      </c>
      <c r="M952" s="8" t="n">
        <v>-1743</v>
      </c>
      <c r="N952" s="8" t="n">
        <v>-2722</v>
      </c>
      <c r="O952" s="9" t="n">
        <v>33283</v>
      </c>
      <c r="P952" s="10" t="n">
        <v>-1227</v>
      </c>
      <c r="Q952" s="10" t="n">
        <v>-1948</v>
      </c>
      <c r="R952" s="7" t="n">
        <v>36635</v>
      </c>
      <c r="S952" s="8" t="n">
        <v>-3449</v>
      </c>
      <c r="T952" s="8" t="n">
        <v>-25514</v>
      </c>
      <c r="U952" s="9" t="n">
        <v>39250</v>
      </c>
      <c r="V952" s="10" t="n">
        <v>-1623</v>
      </c>
      <c r="W952" s="10" t="n">
        <v>-1380</v>
      </c>
      <c r="X952" s="7" t="n">
        <v>35373</v>
      </c>
      <c r="Y952" s="8" t="n">
        <v>-4307</v>
      </c>
      <c r="Z952" s="8" t="n">
        <v>-2527</v>
      </c>
      <c r="AA952" s="9" t="n">
        <v>37293</v>
      </c>
      <c r="AB952" s="10" t="n">
        <v>1450</v>
      </c>
      <c r="AC952" s="10" t="n">
        <v>7989</v>
      </c>
      <c r="AD952" s="7" t="n">
        <v>28278</v>
      </c>
      <c r="AE952" s="8" t="n">
        <v>-649</v>
      </c>
      <c r="AF952" s="8" t="n">
        <v>-6266</v>
      </c>
      <c r="AG952" s="9" t="n">
        <v>23421</v>
      </c>
      <c r="AH952" s="10" t="n">
        <v>-1577</v>
      </c>
      <c r="AI952" s="10" t="n">
        <v>-1714</v>
      </c>
      <c r="AJ952" s="11" t="n">
        <v>30814</v>
      </c>
      <c r="AK952" s="12" t="n">
        <v>1564</v>
      </c>
      <c r="AL952" s="12" t="n">
        <v>2630</v>
      </c>
      <c r="AM952" s="13" t="n">
        <v>31.6</v>
      </c>
      <c r="AN952" s="13" t="n">
        <v>-12.9</v>
      </c>
      <c r="AO952" s="13" t="n">
        <v>199.2</v>
      </c>
      <c r="AP952" s="13" t="n">
        <v>136.3</v>
      </c>
    </row>
    <row r="953">
      <c r="A953" s="5" t="inlineStr">
        <is>
          <t>코메론</t>
        </is>
      </c>
      <c r="B953" s="6" t="inlineStr">
        <is>
          <t>049430</t>
        </is>
      </c>
      <c r="C953" s="6" t="inlineStr">
        <is>
          <t>연결</t>
        </is>
      </c>
      <c r="D953" s="6" t="inlineStr">
        <is>
          <t>2026Q2</t>
        </is>
      </c>
      <c r="E953" s="6" t="inlineStr"/>
      <c r="F953" s="7" t="inlineStr"/>
      <c r="G953" s="8" t="inlineStr"/>
      <c r="H953" s="8" t="inlineStr"/>
      <c r="I953" s="9" t="n">
        <v>18631</v>
      </c>
      <c r="J953" s="10" t="n">
        <v>3842</v>
      </c>
      <c r="K953" s="10" t="n">
        <v>5309</v>
      </c>
      <c r="L953" s="7" t="n">
        <v>19616</v>
      </c>
      <c r="M953" s="8" t="n">
        <v>7614</v>
      </c>
      <c r="N953" s="8" t="n">
        <v>9787</v>
      </c>
      <c r="O953" s="9" t="n">
        <v>18866</v>
      </c>
      <c r="P953" s="10" t="n">
        <v>4169</v>
      </c>
      <c r="Q953" s="10" t="n">
        <v>3291</v>
      </c>
      <c r="R953" s="7" t="n">
        <v>16836</v>
      </c>
      <c r="S953" s="8" t="n">
        <v>4307</v>
      </c>
      <c r="T953" s="8" t="n">
        <v>8863</v>
      </c>
      <c r="U953" s="9" t="n">
        <v>17844</v>
      </c>
      <c r="V953" s="10" t="n">
        <v>3889</v>
      </c>
      <c r="W953" s="10" t="n">
        <v>4565</v>
      </c>
      <c r="X953" s="7" t="n">
        <v>18256</v>
      </c>
      <c r="Y953" s="8" t="n">
        <v>4308</v>
      </c>
      <c r="Z953" s="8" t="n">
        <v>6817</v>
      </c>
      <c r="AA953" s="9" t="n">
        <v>20678</v>
      </c>
      <c r="AB953" s="10" t="n">
        <v>5427</v>
      </c>
      <c r="AC953" s="10" t="n">
        <v>6190</v>
      </c>
      <c r="AD953" s="7" t="n">
        <v>15496</v>
      </c>
      <c r="AE953" s="8" t="n">
        <v>4363</v>
      </c>
      <c r="AF953" s="8" t="n">
        <v>4991</v>
      </c>
      <c r="AG953" s="9" t="n">
        <v>17762</v>
      </c>
      <c r="AH953" s="10" t="n">
        <v>3901</v>
      </c>
      <c r="AI953" s="10" t="n">
        <v>5276</v>
      </c>
      <c r="AJ953" s="11" t="n">
        <v>23712</v>
      </c>
      <c r="AK953" s="12" t="n">
        <v>9875</v>
      </c>
      <c r="AL953" s="12" t="n">
        <v>14358</v>
      </c>
      <c r="AM953" s="13" t="n">
        <v>33.5</v>
      </c>
      <c r="AN953" s="13" t="n">
        <v>29.9</v>
      </c>
      <c r="AO953" s="13" t="n">
        <v>153.1</v>
      </c>
      <c r="AP953" s="13" t="n">
        <v>129.2</v>
      </c>
    </row>
    <row r="954">
      <c r="A954" s="5" t="inlineStr">
        <is>
          <t>비트플래닛</t>
        </is>
      </c>
      <c r="B954" s="6" t="inlineStr">
        <is>
          <t>049470</t>
        </is>
      </c>
      <c r="C954" s="6" t="inlineStr">
        <is>
          <t>별도</t>
        </is>
      </c>
      <c r="D954" s="6" t="inlineStr">
        <is>
          <t>2026Q2</t>
        </is>
      </c>
      <c r="E954" s="6" t="inlineStr"/>
      <c r="F954" s="7" t="inlineStr"/>
      <c r="G954" s="8" t="inlineStr"/>
      <c r="H954" s="8" t="inlineStr"/>
      <c r="I954" s="9" t="n">
        <v>4957</v>
      </c>
      <c r="J954" s="10" t="n">
        <v>-1623</v>
      </c>
      <c r="K954" s="10" t="n">
        <v>-3286</v>
      </c>
      <c r="L954" s="7" t="n">
        <v>8850</v>
      </c>
      <c r="M954" s="8" t="n">
        <v>90</v>
      </c>
      <c r="N954" s="8" t="n">
        <v>270</v>
      </c>
      <c r="O954" s="9" t="n">
        <v>8203</v>
      </c>
      <c r="P954" s="10" t="n">
        <v>56</v>
      </c>
      <c r="Q954" s="10" t="n">
        <v>1721</v>
      </c>
      <c r="R954" s="7" t="n">
        <v>14131</v>
      </c>
      <c r="S954" s="8" t="n">
        <v>1727</v>
      </c>
      <c r="T954" s="8" t="n">
        <v>162</v>
      </c>
      <c r="U954" s="9" t="n">
        <v>3994</v>
      </c>
      <c r="V954" s="10" t="n">
        <v>-1055</v>
      </c>
      <c r="W954" s="10" t="n">
        <v>-1256</v>
      </c>
      <c r="X954" s="7" t="n">
        <v>7060</v>
      </c>
      <c r="Y954" s="8" t="n">
        <v>-301</v>
      </c>
      <c r="Z954" s="8" t="n">
        <v>-1485</v>
      </c>
      <c r="AA954" s="9" t="n">
        <v>4420</v>
      </c>
      <c r="AB954" s="10" t="n">
        <v>-1403</v>
      </c>
      <c r="AC954" s="10" t="n">
        <v>4362</v>
      </c>
      <c r="AD954" s="7" t="n">
        <v>9367</v>
      </c>
      <c r="AE954" s="8" t="n">
        <v>-1761</v>
      </c>
      <c r="AF954" s="8" t="n">
        <v>-10939</v>
      </c>
      <c r="AG954" s="9" t="n">
        <v>4842</v>
      </c>
      <c r="AH954" s="10" t="n">
        <v>-1212</v>
      </c>
      <c r="AI954" s="10" t="n">
        <v>-7814</v>
      </c>
      <c r="AJ954" s="11" t="n">
        <v>7946</v>
      </c>
      <c r="AK954" s="12" t="n">
        <v>-767</v>
      </c>
      <c r="AL954" s="12" t="n">
        <v>-3722</v>
      </c>
      <c r="AM954" s="13" t="n">
        <v>64.09999999999999</v>
      </c>
      <c r="AN954" s="13" t="n">
        <v>12.5</v>
      </c>
      <c r="AO954" s="13" t="n">
        <v>36.7</v>
      </c>
      <c r="AP954" s="13" t="n">
        <v>-154.8</v>
      </c>
    </row>
    <row r="955">
      <c r="A955" s="5" t="inlineStr">
        <is>
          <t>오픈베이스</t>
        </is>
      </c>
      <c r="B955" s="6" t="inlineStr">
        <is>
          <t>049480</t>
        </is>
      </c>
      <c r="C955" s="6" t="inlineStr">
        <is>
          <t>연결</t>
        </is>
      </c>
      <c r="D955" s="6" t="inlineStr">
        <is>
          <t>2026Q2</t>
        </is>
      </c>
      <c r="E955" s="6" t="inlineStr"/>
      <c r="F955" s="7" t="inlineStr"/>
      <c r="G955" s="8" t="inlineStr"/>
      <c r="H955" s="8" t="inlineStr"/>
      <c r="I955" s="9" t="n">
        <v>38467</v>
      </c>
      <c r="J955" s="10" t="n">
        <v>-30</v>
      </c>
      <c r="K955" s="10" t="n">
        <v>15</v>
      </c>
      <c r="L955" s="7" t="n">
        <v>35560</v>
      </c>
      <c r="M955" s="8" t="n">
        <v>-12</v>
      </c>
      <c r="N955" s="8" t="n">
        <v>2340</v>
      </c>
      <c r="O955" s="9" t="n">
        <v>51750</v>
      </c>
      <c r="P955" s="10" t="n">
        <v>1732</v>
      </c>
      <c r="Q955" s="10" t="n">
        <v>-3142</v>
      </c>
      <c r="R955" s="7" t="n">
        <v>100513</v>
      </c>
      <c r="S955" s="8" t="n">
        <v>4972</v>
      </c>
      <c r="T955" s="8" t="n">
        <v>8452</v>
      </c>
      <c r="U955" s="9" t="n">
        <v>39875</v>
      </c>
      <c r="V955" s="10" t="n">
        <v>-1785</v>
      </c>
      <c r="W955" s="10" t="n">
        <v>-1366</v>
      </c>
      <c r="X955" s="7" t="n">
        <v>48346</v>
      </c>
      <c r="Y955" s="8" t="n">
        <v>1920</v>
      </c>
      <c r="Z955" s="8" t="n">
        <v>2728</v>
      </c>
      <c r="AA955" s="9" t="n">
        <v>50733</v>
      </c>
      <c r="AB955" s="10" t="n">
        <v>1663</v>
      </c>
      <c r="AC955" s="10" t="n">
        <v>1422</v>
      </c>
      <c r="AD955" s="7" t="n">
        <v>94173</v>
      </c>
      <c r="AE955" s="8" t="n">
        <v>6123</v>
      </c>
      <c r="AF955" s="8" t="n">
        <v>4833</v>
      </c>
      <c r="AG955" s="9" t="n">
        <v>58214</v>
      </c>
      <c r="AH955" s="10" t="n">
        <v>309</v>
      </c>
      <c r="AI955" s="10" t="n">
        <v>1807</v>
      </c>
      <c r="AJ955" s="11" t="n">
        <v>60740</v>
      </c>
      <c r="AK955" s="12" t="n">
        <v>3160</v>
      </c>
      <c r="AL955" s="12" t="n">
        <v>4710</v>
      </c>
      <c r="AM955" s="13" t="n">
        <v>4.3</v>
      </c>
      <c r="AN955" s="13" t="n">
        <v>25.6</v>
      </c>
      <c r="AO955" s="13" t="n">
        <v>922.7</v>
      </c>
      <c r="AP955" s="13" t="n">
        <v>64.59999999999999</v>
      </c>
    </row>
    <row r="956">
      <c r="A956" s="5" t="inlineStr">
        <is>
          <t>유아이엘</t>
        </is>
      </c>
      <c r="B956" s="6" t="inlineStr">
        <is>
          <t>049520</t>
        </is>
      </c>
      <c r="C956" s="6" t="inlineStr">
        <is>
          <t>연결</t>
        </is>
      </c>
      <c r="D956" s="6" t="inlineStr">
        <is>
          <t>2026Q2</t>
        </is>
      </c>
      <c r="E956" s="6" t="inlineStr"/>
      <c r="F956" s="7" t="inlineStr"/>
      <c r="G956" s="8" t="inlineStr"/>
      <c r="H956" s="8" t="inlineStr"/>
      <c r="I956" s="9" t="n">
        <v>123559</v>
      </c>
      <c r="J956" s="10" t="n">
        <v>8127</v>
      </c>
      <c r="K956" s="10" t="n">
        <v>8150</v>
      </c>
      <c r="L956" s="7" t="n">
        <v>101491</v>
      </c>
      <c r="M956" s="8" t="n">
        <v>7269</v>
      </c>
      <c r="N956" s="8" t="n">
        <v>7989</v>
      </c>
      <c r="O956" s="9" t="n">
        <v>106228</v>
      </c>
      <c r="P956" s="10" t="n">
        <v>4162</v>
      </c>
      <c r="Q956" s="10" t="n">
        <v>8015</v>
      </c>
      <c r="R956" s="7" t="n">
        <v>93380</v>
      </c>
      <c r="S956" s="8" t="n">
        <v>1506</v>
      </c>
      <c r="T956" s="8" t="n">
        <v>5645</v>
      </c>
      <c r="U956" s="9" t="n">
        <v>115577</v>
      </c>
      <c r="V956" s="10" t="n">
        <v>7518</v>
      </c>
      <c r="W956" s="10" t="n">
        <v>7413</v>
      </c>
      <c r="X956" s="7" t="n">
        <v>102898</v>
      </c>
      <c r="Y956" s="8" t="n">
        <v>7024</v>
      </c>
      <c r="Z956" s="8" t="n">
        <v>2108</v>
      </c>
      <c r="AA956" s="9" t="n">
        <v>95899</v>
      </c>
      <c r="AB956" s="10" t="n">
        <v>5438</v>
      </c>
      <c r="AC956" s="10" t="n">
        <v>5156</v>
      </c>
      <c r="AD956" s="7" t="n">
        <v>97890</v>
      </c>
      <c r="AE956" s="8" t="n">
        <v>6374</v>
      </c>
      <c r="AF956" s="8" t="n">
        <v>7817</v>
      </c>
      <c r="AG956" s="9" t="n">
        <v>105493</v>
      </c>
      <c r="AH956" s="10" t="n">
        <v>6133</v>
      </c>
      <c r="AI956" s="10" t="n">
        <v>6902</v>
      </c>
      <c r="AJ956" s="11" t="n">
        <v>89763</v>
      </c>
      <c r="AK956" s="12" t="n">
        <v>6846</v>
      </c>
      <c r="AL956" s="12" t="n">
        <v>4133</v>
      </c>
      <c r="AM956" s="13" t="n">
        <v>-14.9</v>
      </c>
      <c r="AN956" s="13" t="n">
        <v>-12.8</v>
      </c>
      <c r="AO956" s="13" t="n">
        <v>11.6</v>
      </c>
      <c r="AP956" s="13" t="n">
        <v>-2.5</v>
      </c>
    </row>
    <row r="957">
      <c r="A957" s="5" t="inlineStr">
        <is>
          <t>잉크테크</t>
        </is>
      </c>
      <c r="B957" s="6" t="inlineStr">
        <is>
          <t>049550</t>
        </is>
      </c>
      <c r="C957" s="6" t="inlineStr">
        <is>
          <t>연결</t>
        </is>
      </c>
      <c r="D957" s="6" t="inlineStr">
        <is>
          <t>2026Q2</t>
        </is>
      </c>
      <c r="E957" s="6" t="inlineStr"/>
      <c r="F957" s="7" t="inlineStr"/>
      <c r="G957" s="8" t="inlineStr"/>
      <c r="H957" s="8" t="inlineStr"/>
      <c r="I957" s="9" t="n">
        <v>17030</v>
      </c>
      <c r="J957" s="10" t="n">
        <v>1518</v>
      </c>
      <c r="K957" s="10" t="n">
        <v>1416</v>
      </c>
      <c r="L957" s="7" t="n">
        <v>18773</v>
      </c>
      <c r="M957" s="8" t="n">
        <v>1542</v>
      </c>
      <c r="N957" s="8" t="n">
        <v>1778</v>
      </c>
      <c r="O957" s="9" t="n">
        <v>18393</v>
      </c>
      <c r="P957" s="10" t="n">
        <v>432</v>
      </c>
      <c r="Q957" s="10" t="n">
        <v>364</v>
      </c>
      <c r="R957" s="7" t="n">
        <v>19741</v>
      </c>
      <c r="S957" s="8" t="n">
        <v>-781</v>
      </c>
      <c r="T957" s="8" t="n">
        <v>-476</v>
      </c>
      <c r="U957" s="9" t="n">
        <v>17726</v>
      </c>
      <c r="V957" s="10" t="n">
        <v>455</v>
      </c>
      <c r="W957" s="10" t="n">
        <v>-135</v>
      </c>
      <c r="X957" s="7" t="n">
        <v>18403</v>
      </c>
      <c r="Y957" s="8" t="n">
        <v>-43</v>
      </c>
      <c r="Z957" s="8" t="n">
        <v>-987</v>
      </c>
      <c r="AA957" s="9" t="n">
        <v>19438</v>
      </c>
      <c r="AB957" s="10" t="n">
        <v>-1817</v>
      </c>
      <c r="AC957" s="10" t="n">
        <v>-2149</v>
      </c>
      <c r="AD957" s="7" t="n">
        <v>21967</v>
      </c>
      <c r="AE957" s="8" t="n">
        <v>2207</v>
      </c>
      <c r="AF957" s="8" t="n">
        <v>5778</v>
      </c>
      <c r="AG957" s="9" t="n">
        <v>21935</v>
      </c>
      <c r="AH957" s="10" t="n">
        <v>1987</v>
      </c>
      <c r="AI957" s="10" t="n">
        <v>1655</v>
      </c>
      <c r="AJ957" s="11" t="n">
        <v>23312</v>
      </c>
      <c r="AK957" s="12" t="n">
        <v>2380</v>
      </c>
      <c r="AL957" s="12" t="n">
        <v>2139</v>
      </c>
      <c r="AM957" s="13" t="n">
        <v>6.3</v>
      </c>
      <c r="AN957" s="13" t="n">
        <v>26.7</v>
      </c>
      <c r="AO957" s="13" t="n">
        <v>19.8</v>
      </c>
      <c r="AP957" s="13" t="n">
        <v>5634.9</v>
      </c>
    </row>
    <row r="958">
      <c r="A958" s="5" t="inlineStr">
        <is>
          <t>재영솔루텍</t>
        </is>
      </c>
      <c r="B958" s="6" t="inlineStr">
        <is>
          <t>049630</t>
        </is>
      </c>
      <c r="C958" s="6" t="inlineStr">
        <is>
          <t>연결</t>
        </is>
      </c>
      <c r="D958" s="6" t="inlineStr">
        <is>
          <t>2026Q2</t>
        </is>
      </c>
      <c r="E958" s="6" t="inlineStr"/>
      <c r="F958" s="7" t="inlineStr"/>
      <c r="G958" s="8" t="inlineStr"/>
      <c r="H958" s="8" t="inlineStr"/>
      <c r="I958" s="9" t="n">
        <v>36713</v>
      </c>
      <c r="J958" s="10" t="n">
        <v>3490</v>
      </c>
      <c r="K958" s="10" t="n">
        <v>3118</v>
      </c>
      <c r="L958" s="7" t="n">
        <v>36271</v>
      </c>
      <c r="M958" s="8" t="n">
        <v>3066</v>
      </c>
      <c r="N958" s="8" t="n">
        <v>2402</v>
      </c>
      <c r="O958" s="9" t="n">
        <v>30316</v>
      </c>
      <c r="P958" s="10" t="n">
        <v>206</v>
      </c>
      <c r="Q958" s="10" t="n">
        <v>-2966</v>
      </c>
      <c r="R958" s="7" t="n">
        <v>8116</v>
      </c>
      <c r="S958" s="8" t="n">
        <v>3269</v>
      </c>
      <c r="T958" s="8" t="n">
        <v>1639</v>
      </c>
      <c r="U958" s="9" t="n">
        <v>38411</v>
      </c>
      <c r="V958" s="10" t="n">
        <v>1380</v>
      </c>
      <c r="W958" s="10" t="n">
        <v>-512</v>
      </c>
      <c r="X958" s="7" t="n">
        <v>33306</v>
      </c>
      <c r="Y958" s="8" t="n">
        <v>-1109</v>
      </c>
      <c r="Z958" s="8" t="n">
        <v>-2441</v>
      </c>
      <c r="AA958" s="9" t="n">
        <v>44422</v>
      </c>
      <c r="AB958" s="10" t="n">
        <v>3856</v>
      </c>
      <c r="AC958" s="10" t="n">
        <v>4473</v>
      </c>
      <c r="AD958" s="7" t="n">
        <v>48407</v>
      </c>
      <c r="AE958" s="8" t="n">
        <v>6616</v>
      </c>
      <c r="AF958" s="8" t="n">
        <v>6934</v>
      </c>
      <c r="AG958" s="9" t="n">
        <v>58064</v>
      </c>
      <c r="AH958" s="10" t="n">
        <v>9126</v>
      </c>
      <c r="AI958" s="10" t="n">
        <v>9292</v>
      </c>
      <c r="AJ958" s="11" t="n">
        <v>48977</v>
      </c>
      <c r="AK958" s="12" t="n">
        <v>7969</v>
      </c>
      <c r="AL958" s="12" t="n">
        <v>6529</v>
      </c>
      <c r="AM958" s="13" t="n">
        <v>-15.6</v>
      </c>
      <c r="AN958" s="13" t="n">
        <v>47.1</v>
      </c>
      <c r="AO958" s="13" t="n">
        <v>-12.7</v>
      </c>
      <c r="AP958" s="13" t="n">
        <v>818.6</v>
      </c>
    </row>
    <row r="959">
      <c r="A959" s="5" t="inlineStr">
        <is>
          <t>고려신용정보</t>
        </is>
      </c>
      <c r="B959" s="6" t="inlineStr">
        <is>
          <t>049720</t>
        </is>
      </c>
      <c r="C959" s="6" t="inlineStr">
        <is>
          <t>연결</t>
        </is>
      </c>
      <c r="D959" s="6" t="inlineStr">
        <is>
          <t>2026Q2</t>
        </is>
      </c>
      <c r="E959" s="6" t="inlineStr"/>
      <c r="F959" s="7" t="inlineStr"/>
      <c r="G959" s="8" t="inlineStr"/>
      <c r="H959" s="8" t="inlineStr"/>
      <c r="I959" s="9" t="n">
        <v>41506</v>
      </c>
      <c r="J959" s="10" t="n">
        <v>3159</v>
      </c>
      <c r="K959" s="10" t="n">
        <v>2592</v>
      </c>
      <c r="L959" s="7" t="n">
        <v>43174</v>
      </c>
      <c r="M959" s="8" t="n">
        <v>3922</v>
      </c>
      <c r="N959" s="8" t="n">
        <v>3481</v>
      </c>
      <c r="O959" s="9" t="n">
        <v>43388</v>
      </c>
      <c r="P959" s="10" t="n">
        <v>3760</v>
      </c>
      <c r="Q959" s="10" t="n">
        <v>3221</v>
      </c>
      <c r="R959" s="7" t="n">
        <v>43241</v>
      </c>
      <c r="S959" s="8" t="n">
        <v>4469</v>
      </c>
      <c r="T959" s="8" t="n">
        <v>3943</v>
      </c>
      <c r="U959" s="9" t="n">
        <v>42647</v>
      </c>
      <c r="V959" s="10" t="n">
        <v>3325</v>
      </c>
      <c r="W959" s="10" t="n">
        <v>2744</v>
      </c>
      <c r="X959" s="7" t="n">
        <v>44852</v>
      </c>
      <c r="Y959" s="8" t="n">
        <v>4183</v>
      </c>
      <c r="Z959" s="8" t="n">
        <v>3405</v>
      </c>
      <c r="AA959" s="9" t="n">
        <v>45498</v>
      </c>
      <c r="AB959" s="10" t="n">
        <v>4533</v>
      </c>
      <c r="AC959" s="10" t="n">
        <v>3719</v>
      </c>
      <c r="AD959" s="7" t="n">
        <v>45033</v>
      </c>
      <c r="AE959" s="8" t="n">
        <v>4700</v>
      </c>
      <c r="AF959" s="8" t="n">
        <v>3394</v>
      </c>
      <c r="AG959" s="9" t="n">
        <v>43815</v>
      </c>
      <c r="AH959" s="10" t="n">
        <v>3686</v>
      </c>
      <c r="AI959" s="10" t="n">
        <v>2658</v>
      </c>
      <c r="AJ959" s="11" t="n">
        <v>43323</v>
      </c>
      <c r="AK959" s="12" t="n">
        <v>3847</v>
      </c>
      <c r="AL959" s="12" t="n">
        <v>3350</v>
      </c>
      <c r="AM959" s="13" t="n">
        <v>-1.1</v>
      </c>
      <c r="AN959" s="13" t="n">
        <v>-3.4</v>
      </c>
      <c r="AO959" s="13" t="n">
        <v>4.4</v>
      </c>
      <c r="AP959" s="13" t="n">
        <v>-8</v>
      </c>
    </row>
    <row r="960">
      <c r="A960" s="5" t="inlineStr">
        <is>
          <t>우진플라임</t>
        </is>
      </c>
      <c r="B960" s="6" t="inlineStr">
        <is>
          <t>049800</t>
        </is>
      </c>
      <c r="C960" s="6" t="inlineStr">
        <is>
          <t>연결</t>
        </is>
      </c>
      <c r="D960" s="6" t="inlineStr">
        <is>
          <t>2026Q2</t>
        </is>
      </c>
      <c r="E960" s="6" t="inlineStr"/>
      <c r="F960" s="7" t="inlineStr"/>
      <c r="G960" s="8" t="inlineStr"/>
      <c r="H960" s="8" t="inlineStr"/>
      <c r="I960" s="9" t="n">
        <v>43159</v>
      </c>
      <c r="J960" s="10" t="n">
        <v>-2064</v>
      </c>
      <c r="K960" s="10" t="n">
        <v>-1366</v>
      </c>
      <c r="L960" s="7" t="n">
        <v>56062</v>
      </c>
      <c r="M960" s="8" t="n">
        <v>476</v>
      </c>
      <c r="N960" s="8" t="n">
        <v>214</v>
      </c>
      <c r="O960" s="9" t="n">
        <v>50872</v>
      </c>
      <c r="P960" s="10" t="n">
        <v>145</v>
      </c>
      <c r="Q960" s="10" t="n">
        <v>-1967</v>
      </c>
      <c r="R960" s="7" t="n">
        <v>59502</v>
      </c>
      <c r="S960" s="8" t="n">
        <v>2833</v>
      </c>
      <c r="T960" s="8" t="n">
        <v>5526</v>
      </c>
      <c r="U960" s="9" t="n">
        <v>38069</v>
      </c>
      <c r="V960" s="10" t="n">
        <v>-2530</v>
      </c>
      <c r="W960" s="10" t="n">
        <v>-2915</v>
      </c>
      <c r="X960" s="7" t="n">
        <v>63883</v>
      </c>
      <c r="Y960" s="8" t="n">
        <v>3481</v>
      </c>
      <c r="Z960" s="8" t="n">
        <v>1012</v>
      </c>
      <c r="AA960" s="9" t="n">
        <v>44959</v>
      </c>
      <c r="AB960" s="10" t="n">
        <v>-597</v>
      </c>
      <c r="AC960" s="10" t="n">
        <v>217</v>
      </c>
      <c r="AD960" s="7" t="n">
        <v>64712</v>
      </c>
      <c r="AE960" s="8" t="n">
        <v>2576</v>
      </c>
      <c r="AF960" s="8" t="n">
        <v>3975</v>
      </c>
      <c r="AG960" s="9" t="n">
        <v>35571</v>
      </c>
      <c r="AH960" s="10" t="n">
        <v>-4089</v>
      </c>
      <c r="AI960" s="10" t="n">
        <v>-2611</v>
      </c>
      <c r="AJ960" s="11" t="n">
        <v>55760</v>
      </c>
      <c r="AK960" s="12" t="n">
        <v>803</v>
      </c>
      <c r="AL960" s="12" t="n">
        <v>923</v>
      </c>
      <c r="AM960" s="13" t="n">
        <v>56.8</v>
      </c>
      <c r="AN960" s="13" t="n">
        <v>-12.7</v>
      </c>
      <c r="AO960" s="13" t="n">
        <v>119.6</v>
      </c>
      <c r="AP960" s="13" t="n">
        <v>-76.90000000000001</v>
      </c>
    </row>
    <row r="961">
      <c r="A961" s="5" t="inlineStr">
        <is>
          <t>승일</t>
        </is>
      </c>
      <c r="B961" s="6" t="inlineStr">
        <is>
          <t>049830</t>
        </is>
      </c>
      <c r="C961" s="6" t="inlineStr">
        <is>
          <t>별도</t>
        </is>
      </c>
      <c r="D961" s="6" t="inlineStr">
        <is>
          <t>2026Q2</t>
        </is>
      </c>
      <c r="E961" s="6" t="inlineStr"/>
      <c r="F961" s="7" t="inlineStr"/>
      <c r="G961" s="8" t="inlineStr"/>
      <c r="H961" s="8" t="inlineStr"/>
      <c r="I961" s="9" t="n">
        <v>36621</v>
      </c>
      <c r="J961" s="10" t="n">
        <v>525</v>
      </c>
      <c r="K961" s="10" t="n">
        <v>522</v>
      </c>
      <c r="L961" s="7" t="n">
        <v>37476</v>
      </c>
      <c r="M961" s="8" t="n">
        <v>1195</v>
      </c>
      <c r="N961" s="8" t="n">
        <v>797</v>
      </c>
      <c r="O961" s="9" t="n">
        <v>35217</v>
      </c>
      <c r="P961" s="10" t="n">
        <v>629</v>
      </c>
      <c r="Q961" s="10" t="n">
        <v>1517</v>
      </c>
      <c r="R961" s="7" t="n">
        <v>35119</v>
      </c>
      <c r="S961" s="8" t="n">
        <v>-64</v>
      </c>
      <c r="T961" s="8" t="n">
        <v>825</v>
      </c>
      <c r="U961" s="9" t="n">
        <v>35637</v>
      </c>
      <c r="V961" s="10" t="n">
        <v>1019</v>
      </c>
      <c r="W961" s="10" t="n">
        <v>1657</v>
      </c>
      <c r="X961" s="7" t="n">
        <v>36789</v>
      </c>
      <c r="Y961" s="8" t="n">
        <v>1437</v>
      </c>
      <c r="Z961" s="8" t="n">
        <v>731</v>
      </c>
      <c r="AA961" s="9" t="n">
        <v>36674</v>
      </c>
      <c r="AB961" s="10" t="n">
        <v>464</v>
      </c>
      <c r="AC961" s="10" t="n">
        <v>674</v>
      </c>
      <c r="AD961" s="7" t="n">
        <v>32448</v>
      </c>
      <c r="AE961" s="8" t="n">
        <v>-644</v>
      </c>
      <c r="AF961" s="8" t="n">
        <v>-547</v>
      </c>
      <c r="AG961" s="9" t="n">
        <v>35316</v>
      </c>
      <c r="AH961" s="10" t="n">
        <v>425</v>
      </c>
      <c r="AI961" s="10" t="n">
        <v>1201</v>
      </c>
      <c r="AJ961" s="11" t="n">
        <v>41421</v>
      </c>
      <c r="AK961" s="12" t="n">
        <v>1953</v>
      </c>
      <c r="AL961" s="12" t="n">
        <v>1857</v>
      </c>
      <c r="AM961" s="13" t="n">
        <v>17.3</v>
      </c>
      <c r="AN961" s="13" t="n">
        <v>12.6</v>
      </c>
      <c r="AO961" s="13" t="n">
        <v>359.5</v>
      </c>
      <c r="AP961" s="13" t="n">
        <v>35.9</v>
      </c>
    </row>
    <row r="962">
      <c r="A962" s="5" t="inlineStr">
        <is>
          <t>미래컴퍼니</t>
        </is>
      </c>
      <c r="B962" s="6" t="inlineStr">
        <is>
          <t>049950</t>
        </is>
      </c>
      <c r="C962" s="6" t="inlineStr">
        <is>
          <t>연결</t>
        </is>
      </c>
      <c r="D962" s="6" t="inlineStr">
        <is>
          <t>2026Q2</t>
        </is>
      </c>
      <c r="E962" s="6" t="inlineStr"/>
      <c r="F962" s="7" t="inlineStr"/>
      <c r="G962" s="8" t="inlineStr"/>
      <c r="H962" s="8" t="inlineStr"/>
      <c r="I962" s="9" t="n">
        <v>7013</v>
      </c>
      <c r="J962" s="10" t="n">
        <v>-8433</v>
      </c>
      <c r="K962" s="10" t="n">
        <v>-5175</v>
      </c>
      <c r="L962" s="7" t="n">
        <v>19291</v>
      </c>
      <c r="M962" s="8" t="n">
        <v>-2896</v>
      </c>
      <c r="N962" s="8" t="n">
        <v>-1042</v>
      </c>
      <c r="O962" s="9" t="n">
        <v>21286</v>
      </c>
      <c r="P962" s="10" t="n">
        <v>-2102</v>
      </c>
      <c r="Q962" s="10" t="n">
        <v>-3504</v>
      </c>
      <c r="R962" s="7" t="n">
        <v>19689</v>
      </c>
      <c r="S962" s="8" t="n">
        <v>-3384</v>
      </c>
      <c r="T962" s="8" t="n">
        <v>2579</v>
      </c>
      <c r="U962" s="9" t="n">
        <v>12630</v>
      </c>
      <c r="V962" s="10" t="n">
        <v>-6617</v>
      </c>
      <c r="W962" s="10" t="n">
        <v>-5055</v>
      </c>
      <c r="X962" s="7" t="n">
        <v>5271</v>
      </c>
      <c r="Y962" s="8" t="n">
        <v>-6918</v>
      </c>
      <c r="Z962" s="8" t="n">
        <v>-9364</v>
      </c>
      <c r="AA962" s="9" t="n">
        <v>9403</v>
      </c>
      <c r="AB962" s="10" t="n">
        <v>-5430</v>
      </c>
      <c r="AC962" s="10" t="n">
        <v>-4603</v>
      </c>
      <c r="AD962" s="7" t="n">
        <v>13594</v>
      </c>
      <c r="AE962" s="8" t="n">
        <v>-5731</v>
      </c>
      <c r="AF962" s="8" t="n">
        <v>-5981</v>
      </c>
      <c r="AG962" s="9" t="n">
        <v>21163</v>
      </c>
      <c r="AH962" s="10" t="n">
        <v>1256</v>
      </c>
      <c r="AI962" s="10" t="n">
        <v>3802</v>
      </c>
      <c r="AJ962" s="11" t="n">
        <v>23340</v>
      </c>
      <c r="AK962" s="12" t="n">
        <v>4487</v>
      </c>
      <c r="AL962" s="12" t="n">
        <v>5574</v>
      </c>
      <c r="AM962" s="13" t="n">
        <v>10.3</v>
      </c>
      <c r="AN962" s="13" t="n">
        <v>342.8</v>
      </c>
      <c r="AO962" s="13" t="n">
        <v>257.2</v>
      </c>
      <c r="AP962" s="13" t="n">
        <v>164.9</v>
      </c>
    </row>
    <row r="963">
      <c r="A963" s="5" t="inlineStr">
        <is>
          <t>쎌바이오텍</t>
        </is>
      </c>
      <c r="B963" s="6" t="inlineStr">
        <is>
          <t>049960</t>
        </is>
      </c>
      <c r="C963" s="6" t="inlineStr">
        <is>
          <t>연결</t>
        </is>
      </c>
      <c r="D963" s="6" t="inlineStr">
        <is>
          <t>2026Q2</t>
        </is>
      </c>
      <c r="E963" s="6" t="inlineStr"/>
      <c r="F963" s="7" t="inlineStr"/>
      <c r="G963" s="8" t="inlineStr"/>
      <c r="H963" s="8" t="inlineStr"/>
      <c r="I963" s="9" t="n">
        <v>13038</v>
      </c>
      <c r="J963" s="10" t="n">
        <v>1071</v>
      </c>
      <c r="K963" s="10" t="n">
        <v>3261</v>
      </c>
      <c r="L963" s="7" t="n">
        <v>12558</v>
      </c>
      <c r="M963" s="8" t="n">
        <v>2509</v>
      </c>
      <c r="N963" s="8" t="n">
        <v>4037</v>
      </c>
      <c r="O963" s="9" t="n">
        <v>12162</v>
      </c>
      <c r="P963" s="10" t="n">
        <v>2089</v>
      </c>
      <c r="Q963" s="10" t="n">
        <v>969</v>
      </c>
      <c r="R963" s="7" t="n">
        <v>12155</v>
      </c>
      <c r="S963" s="8" t="n">
        <v>1127</v>
      </c>
      <c r="T963" s="8" t="n">
        <v>6860</v>
      </c>
      <c r="U963" s="9" t="n">
        <v>11229</v>
      </c>
      <c r="V963" s="10" t="n">
        <v>1362</v>
      </c>
      <c r="W963" s="10" t="n">
        <v>2070</v>
      </c>
      <c r="X963" s="7" t="n">
        <v>11910</v>
      </c>
      <c r="Y963" s="8" t="n">
        <v>1281</v>
      </c>
      <c r="Z963" s="8" t="n">
        <v>213</v>
      </c>
      <c r="AA963" s="9" t="n">
        <v>15355</v>
      </c>
      <c r="AB963" s="10" t="n">
        <v>2216</v>
      </c>
      <c r="AC963" s="10" t="n">
        <v>3449</v>
      </c>
      <c r="AD963" s="7" t="n">
        <v>14632</v>
      </c>
      <c r="AE963" s="8" t="n">
        <v>3055</v>
      </c>
      <c r="AF963" s="8" t="n">
        <v>4393</v>
      </c>
      <c r="AG963" s="9" t="n">
        <v>14597</v>
      </c>
      <c r="AH963" s="10" t="n">
        <v>3187</v>
      </c>
      <c r="AI963" s="10" t="n">
        <v>5352</v>
      </c>
      <c r="AJ963" s="11" t="n">
        <v>15814</v>
      </c>
      <c r="AK963" s="12" t="n">
        <v>1640</v>
      </c>
      <c r="AL963" s="12" t="n">
        <v>3606</v>
      </c>
      <c r="AM963" s="13" t="n">
        <v>8.300000000000001</v>
      </c>
      <c r="AN963" s="13" t="n">
        <v>32.8</v>
      </c>
      <c r="AO963" s="13" t="n">
        <v>-48.5</v>
      </c>
      <c r="AP963" s="13" t="n">
        <v>28</v>
      </c>
    </row>
    <row r="964">
      <c r="A964" s="5" t="inlineStr">
        <is>
          <t>비케이홀딩스</t>
        </is>
      </c>
      <c r="B964" s="6" t="inlineStr">
        <is>
          <t>050090</t>
        </is>
      </c>
      <c r="C964" s="6" t="inlineStr">
        <is>
          <t>별도</t>
        </is>
      </c>
      <c r="D964" s="6" t="inlineStr">
        <is>
          <t>2026Q2</t>
        </is>
      </c>
      <c r="E964" s="6" t="inlineStr"/>
      <c r="F964" s="7" t="inlineStr"/>
      <c r="G964" s="8" t="inlineStr"/>
      <c r="H964" s="8" t="inlineStr"/>
      <c r="I964" s="9" t="n">
        <v>819</v>
      </c>
      <c r="J964" s="10" t="n">
        <v>-1292</v>
      </c>
      <c r="K964" s="10" t="n">
        <v>-1318</v>
      </c>
      <c r="L964" s="7" t="n">
        <v>3418</v>
      </c>
      <c r="M964" s="8" t="n">
        <v>-549</v>
      </c>
      <c r="N964" s="8" t="n">
        <v>-568</v>
      </c>
      <c r="O964" s="9" t="n">
        <v>3192</v>
      </c>
      <c r="P964" s="10" t="n">
        <v>-487</v>
      </c>
      <c r="Q964" s="10" t="n">
        <v>-469</v>
      </c>
      <c r="R964" s="7" t="n">
        <v>5280</v>
      </c>
      <c r="S964" s="8" t="n">
        <v>294</v>
      </c>
      <c r="T964" s="8" t="n">
        <v>342</v>
      </c>
      <c r="U964" s="9" t="n">
        <v>772</v>
      </c>
      <c r="V964" s="10" t="n">
        <v>-1144</v>
      </c>
      <c r="W964" s="10" t="n">
        <v>-1141</v>
      </c>
      <c r="X964" s="7" t="n">
        <v>1589</v>
      </c>
      <c r="Y964" s="8" t="n">
        <v>-1094</v>
      </c>
      <c r="Z964" s="8" t="n">
        <v>-1046</v>
      </c>
      <c r="AA964" s="9" t="n">
        <v>2688</v>
      </c>
      <c r="AB964" s="10" t="n">
        <v>-516</v>
      </c>
      <c r="AC964" s="10" t="n">
        <v>-460</v>
      </c>
      <c r="AD964" s="7" t="n">
        <v>2398</v>
      </c>
      <c r="AE964" s="8" t="n">
        <v>-820</v>
      </c>
      <c r="AF964" s="8" t="n">
        <v>-1197</v>
      </c>
      <c r="AG964" s="9" t="n">
        <v>1047</v>
      </c>
      <c r="AH964" s="10" t="n">
        <v>-1060</v>
      </c>
      <c r="AI964" s="10" t="n">
        <v>-1066</v>
      </c>
      <c r="AJ964" s="11" t="n">
        <v>1425</v>
      </c>
      <c r="AK964" s="12" t="n">
        <v>-727</v>
      </c>
      <c r="AL964" s="12" t="n">
        <v>-1038</v>
      </c>
      <c r="AM964" s="13" t="n">
        <v>36.1</v>
      </c>
      <c r="AN964" s="13" t="n">
        <v>-10.3</v>
      </c>
      <c r="AO964" s="13" t="n">
        <v>31.4</v>
      </c>
      <c r="AP964" s="13" t="n">
        <v>33.5</v>
      </c>
    </row>
    <row r="965">
      <c r="A965" s="5" t="inlineStr">
        <is>
          <t>캠시스</t>
        </is>
      </c>
      <c r="B965" s="6" t="inlineStr">
        <is>
          <t>050110</t>
        </is>
      </c>
      <c r="C965" s="6" t="inlineStr">
        <is>
          <t>연결</t>
        </is>
      </c>
      <c r="D965" s="6" t="inlineStr">
        <is>
          <t>2026Q2</t>
        </is>
      </c>
      <c r="E965" s="6" t="inlineStr"/>
      <c r="F965" s="7" t="inlineStr"/>
      <c r="G965" s="8" t="inlineStr"/>
      <c r="H965" s="8" t="inlineStr"/>
      <c r="I965" s="9" t="n">
        <v>115158</v>
      </c>
      <c r="J965" s="10" t="n">
        <v>2344</v>
      </c>
      <c r="K965" s="10" t="n">
        <v>2167</v>
      </c>
      <c r="L965" s="7" t="n">
        <v>91625</v>
      </c>
      <c r="M965" s="8" t="n">
        <v>-1706</v>
      </c>
      <c r="N965" s="8" t="n">
        <v>-3090</v>
      </c>
      <c r="O965" s="9" t="n">
        <v>92746</v>
      </c>
      <c r="P965" s="10" t="n">
        <v>-4614</v>
      </c>
      <c r="Q965" s="10" t="n">
        <v>-5807</v>
      </c>
      <c r="R965" s="7" t="n">
        <v>78658</v>
      </c>
      <c r="S965" s="8" t="n">
        <v>-7752</v>
      </c>
      <c r="T965" s="8" t="n">
        <v>-12887</v>
      </c>
      <c r="U965" s="9" t="n">
        <v>161197</v>
      </c>
      <c r="V965" s="10" t="n">
        <v>3601</v>
      </c>
      <c r="W965" s="10" t="n">
        <v>1628</v>
      </c>
      <c r="X965" s="7" t="n">
        <v>123714</v>
      </c>
      <c r="Y965" s="8" t="n">
        <v>-10387</v>
      </c>
      <c r="Z965" s="8" t="n">
        <v>-12974</v>
      </c>
      <c r="AA965" s="9" t="n">
        <v>111384</v>
      </c>
      <c r="AB965" s="10" t="n">
        <v>-3286</v>
      </c>
      <c r="AC965" s="10" t="n">
        <v>-4418</v>
      </c>
      <c r="AD965" s="7" t="n">
        <v>93642</v>
      </c>
      <c r="AE965" s="8" t="n">
        <v>-1197</v>
      </c>
      <c r="AF965" s="8" t="n">
        <v>-2856</v>
      </c>
      <c r="AG965" s="9" t="n">
        <v>173477</v>
      </c>
      <c r="AH965" s="10" t="n">
        <v>6003</v>
      </c>
      <c r="AI965" s="10" t="n">
        <v>4298</v>
      </c>
      <c r="AJ965" s="11" t="n">
        <v>121824</v>
      </c>
      <c r="AK965" s="12" t="n">
        <v>2598</v>
      </c>
      <c r="AL965" s="12" t="n">
        <v>1226</v>
      </c>
      <c r="AM965" s="13" t="n">
        <v>-29.8</v>
      </c>
      <c r="AN965" s="13" t="n">
        <v>-1.5</v>
      </c>
      <c r="AO965" s="13" t="n">
        <v>-56.7</v>
      </c>
      <c r="AP965" s="13" t="n">
        <v>125</v>
      </c>
    </row>
    <row r="966">
      <c r="A966" s="5" t="inlineStr">
        <is>
          <t>ES큐브</t>
        </is>
      </c>
      <c r="B966" s="6" t="inlineStr">
        <is>
          <t>050120</t>
        </is>
      </c>
      <c r="C966" s="6" t="inlineStr">
        <is>
          <t>연결</t>
        </is>
      </c>
      <c r="D966" s="6" t="inlineStr">
        <is>
          <t>2026Q2</t>
        </is>
      </c>
      <c r="E966" s="6" t="inlineStr"/>
      <c r="F966" s="7" t="inlineStr"/>
      <c r="G966" s="8" t="inlineStr"/>
      <c r="H966" s="8" t="inlineStr"/>
      <c r="I966" s="9" t="n">
        <v>7851</v>
      </c>
      <c r="J966" s="10" t="n">
        <v>618</v>
      </c>
      <c r="K966" s="10" t="n">
        <v>-1769</v>
      </c>
      <c r="L966" s="7" t="n">
        <v>3121</v>
      </c>
      <c r="M966" s="8" t="n">
        <v>-1370</v>
      </c>
      <c r="N966" s="8" t="n">
        <v>-14489</v>
      </c>
      <c r="O966" s="9" t="n">
        <v>2942</v>
      </c>
      <c r="P966" s="10" t="n">
        <v>-1896</v>
      </c>
      <c r="Q966" s="10" t="n">
        <v>8216</v>
      </c>
      <c r="R966" s="7" t="n">
        <v>2258</v>
      </c>
      <c r="S966" s="8" t="n">
        <v>-1095</v>
      </c>
      <c r="T966" s="8" t="n">
        <v>8951</v>
      </c>
      <c r="U966" s="9" t="n">
        <v>4101</v>
      </c>
      <c r="V966" s="10" t="n">
        <v>-711</v>
      </c>
      <c r="W966" s="10" t="n">
        <v>-1540</v>
      </c>
      <c r="X966" s="7" t="n">
        <v>4248</v>
      </c>
      <c r="Y966" s="8" t="n">
        <v>-5107</v>
      </c>
      <c r="Z966" s="8" t="n">
        <v>-5813</v>
      </c>
      <c r="AA966" s="9" t="n">
        <v>3370</v>
      </c>
      <c r="AB966" s="10" t="n">
        <v>-780</v>
      </c>
      <c r="AC966" s="10" t="n">
        <v>3666</v>
      </c>
      <c r="AD966" s="7" t="n">
        <v>2213</v>
      </c>
      <c r="AE966" s="8" t="n">
        <v>-6236</v>
      </c>
      <c r="AF966" s="8" t="n">
        <v>1635</v>
      </c>
      <c r="AG966" s="9" t="n">
        <v>5800</v>
      </c>
      <c r="AH966" s="10" t="n">
        <v>-16</v>
      </c>
      <c r="AI966" s="10" t="n">
        <v>-106</v>
      </c>
      <c r="AJ966" s="11" t="n">
        <v>4796</v>
      </c>
      <c r="AK966" s="12" t="n">
        <v>-127</v>
      </c>
      <c r="AL966" s="12" t="n">
        <v>-441</v>
      </c>
      <c r="AM966" s="13" t="n">
        <v>-17.3</v>
      </c>
      <c r="AN966" s="13" t="n">
        <v>12.9</v>
      </c>
      <c r="AO966" s="13" t="n">
        <v>-693.8</v>
      </c>
      <c r="AP966" s="13" t="n">
        <v>97.5</v>
      </c>
    </row>
    <row r="967">
      <c r="A967" s="5" t="inlineStr">
        <is>
          <t>에스폴리텍</t>
        </is>
      </c>
      <c r="B967" s="6" t="inlineStr">
        <is>
          <t>050760</t>
        </is>
      </c>
      <c r="C967" s="6" t="inlineStr">
        <is>
          <t>연결</t>
        </is>
      </c>
      <c r="D967" s="6" t="inlineStr">
        <is>
          <t>2026Q2</t>
        </is>
      </c>
      <c r="E967" s="6" t="inlineStr"/>
      <c r="F967" s="7" t="inlineStr"/>
      <c r="G967" s="8" t="inlineStr"/>
      <c r="H967" s="8" t="inlineStr"/>
      <c r="I967" s="9" t="n">
        <v>17858</v>
      </c>
      <c r="J967" s="10" t="n">
        <v>-23</v>
      </c>
      <c r="K967" s="10" t="n">
        <v>1358</v>
      </c>
      <c r="L967" s="7" t="n">
        <v>20088</v>
      </c>
      <c r="M967" s="8" t="n">
        <v>85</v>
      </c>
      <c r="N967" s="8" t="n">
        <v>1408</v>
      </c>
      <c r="O967" s="9" t="n">
        <v>18110</v>
      </c>
      <c r="P967" s="10" t="n">
        <v>-287</v>
      </c>
      <c r="Q967" s="10" t="n">
        <v>-1882</v>
      </c>
      <c r="R967" s="7" t="n">
        <v>24107</v>
      </c>
      <c r="S967" s="8" t="n">
        <v>868</v>
      </c>
      <c r="T967" s="8" t="n">
        <v>4141</v>
      </c>
      <c r="U967" s="9" t="n">
        <v>15879</v>
      </c>
      <c r="V967" s="10" t="n">
        <v>-1918</v>
      </c>
      <c r="W967" s="10" t="n">
        <v>-1374</v>
      </c>
      <c r="X967" s="7" t="n">
        <v>17288</v>
      </c>
      <c r="Y967" s="8" t="n">
        <v>-504</v>
      </c>
      <c r="Z967" s="8" t="n">
        <v>-2876</v>
      </c>
      <c r="AA967" s="9" t="n">
        <v>16696</v>
      </c>
      <c r="AB967" s="10" t="n">
        <v>-1285</v>
      </c>
      <c r="AC967" s="10" t="n">
        <v>-308</v>
      </c>
      <c r="AD967" s="7" t="n">
        <v>16892</v>
      </c>
      <c r="AE967" s="8" t="n">
        <v>-1106</v>
      </c>
      <c r="AF967" s="8" t="n">
        <v>-4234</v>
      </c>
      <c r="AG967" s="9" t="n">
        <v>17643</v>
      </c>
      <c r="AH967" s="10" t="n">
        <v>327</v>
      </c>
      <c r="AI967" s="10" t="n">
        <v>2121</v>
      </c>
      <c r="AJ967" s="11" t="n">
        <v>19857</v>
      </c>
      <c r="AK967" s="12" t="n">
        <v>1374</v>
      </c>
      <c r="AL967" s="12" t="n">
        <v>1395</v>
      </c>
      <c r="AM967" s="13" t="n">
        <v>12.5</v>
      </c>
      <c r="AN967" s="13" t="n">
        <v>14.9</v>
      </c>
      <c r="AO967" s="13" t="n">
        <v>320.2</v>
      </c>
      <c r="AP967" s="13" t="n">
        <v>372.6</v>
      </c>
    </row>
    <row r="968">
      <c r="A968" s="5" t="inlineStr">
        <is>
          <t>아세아텍</t>
        </is>
      </c>
      <c r="B968" s="6" t="inlineStr">
        <is>
          <t>050860</t>
        </is>
      </c>
      <c r="C968" s="6" t="inlineStr">
        <is>
          <t>별도</t>
        </is>
      </c>
      <c r="D968" s="6" t="inlineStr">
        <is>
          <t>2025Q4</t>
        </is>
      </c>
      <c r="E968" s="6" t="inlineStr"/>
      <c r="F968" s="7" t="inlineStr"/>
      <c r="G968" s="8" t="inlineStr"/>
      <c r="H968" s="8" t="inlineStr"/>
      <c r="I968" s="9" t="n">
        <v>7807</v>
      </c>
      <c r="J968" s="10" t="n">
        <v>-1553</v>
      </c>
      <c r="K968" s="10" t="n">
        <v>-1503</v>
      </c>
      <c r="L968" s="7" t="n">
        <v>24568</v>
      </c>
      <c r="M968" s="8" t="n">
        <v>-514</v>
      </c>
      <c r="N968" s="8" t="n">
        <v>-321</v>
      </c>
      <c r="O968" s="9" t="n">
        <v>40192</v>
      </c>
      <c r="P968" s="10" t="n">
        <v>4460</v>
      </c>
      <c r="Q968" s="10" t="n">
        <v>3252</v>
      </c>
      <c r="R968" s="7" t="n">
        <v>51259</v>
      </c>
      <c r="S968" s="8" t="n">
        <v>3993</v>
      </c>
      <c r="T968" s="8" t="n">
        <v>3184</v>
      </c>
      <c r="U968" s="9" t="n">
        <v>14140</v>
      </c>
      <c r="V968" s="10" t="n">
        <v>-1472</v>
      </c>
      <c r="W968" s="10" t="n">
        <v>-319</v>
      </c>
      <c r="X968" s="7" t="n">
        <v>28886</v>
      </c>
      <c r="Y968" s="8" t="n">
        <v>1429</v>
      </c>
      <c r="Z968" s="8" t="n">
        <v>359</v>
      </c>
      <c r="AA968" s="9" t="n">
        <v>43752</v>
      </c>
      <c r="AB968" s="10" t="n">
        <v>4956</v>
      </c>
      <c r="AC968" s="10" t="n">
        <v>3882</v>
      </c>
      <c r="AD968" s="7" t="n">
        <v>26518</v>
      </c>
      <c r="AE968" s="8" t="n">
        <v>-925</v>
      </c>
      <c r="AF968" s="8" t="n">
        <v>-1152</v>
      </c>
      <c r="AG968" s="9" t="inlineStr"/>
      <c r="AH968" s="10" t="inlineStr"/>
      <c r="AI968" s="10" t="inlineStr"/>
      <c r="AJ968" s="11" t="inlineStr"/>
      <c r="AK968" s="12" t="inlineStr"/>
      <c r="AL968" s="12" t="inlineStr"/>
      <c r="AM968" s="13" t="inlineStr"/>
      <c r="AN968" s="13" t="inlineStr"/>
      <c r="AO968" s="13" t="inlineStr"/>
      <c r="AP968" s="13" t="inlineStr"/>
    </row>
    <row r="969">
      <c r="A969" s="5" t="inlineStr">
        <is>
          <t>쏠리드</t>
        </is>
      </c>
      <c r="B969" s="6" t="inlineStr">
        <is>
          <t>050890</t>
        </is>
      </c>
      <c r="C969" s="6" t="inlineStr">
        <is>
          <t>연결</t>
        </is>
      </c>
      <c r="D969" s="6" t="inlineStr">
        <is>
          <t>2026Q2</t>
        </is>
      </c>
      <c r="E969" s="6" t="inlineStr"/>
      <c r="F969" s="7" t="inlineStr"/>
      <c r="G969" s="8" t="inlineStr"/>
      <c r="H969" s="8" t="inlineStr"/>
      <c r="I969" s="9" t="n">
        <v>74941</v>
      </c>
      <c r="J969" s="10" t="n">
        <v>7657</v>
      </c>
      <c r="K969" s="10" t="n">
        <v>18528</v>
      </c>
      <c r="L969" s="7" t="n">
        <v>80491</v>
      </c>
      <c r="M969" s="8" t="n">
        <v>7679</v>
      </c>
      <c r="N969" s="8" t="n">
        <v>5478</v>
      </c>
      <c r="O969" s="9" t="n">
        <v>85539</v>
      </c>
      <c r="P969" s="10" t="n">
        <v>7777</v>
      </c>
      <c r="Q969" s="10" t="n">
        <v>7458</v>
      </c>
      <c r="R969" s="7" t="n">
        <v>90097</v>
      </c>
      <c r="S969" s="8" t="n">
        <v>12027</v>
      </c>
      <c r="T969" s="8" t="n">
        <v>14768</v>
      </c>
      <c r="U969" s="9" t="n">
        <v>55751</v>
      </c>
      <c r="V969" s="10" t="n">
        <v>261</v>
      </c>
      <c r="W969" s="10" t="n">
        <v>3051</v>
      </c>
      <c r="X969" s="7" t="n">
        <v>56222</v>
      </c>
      <c r="Y969" s="8" t="n">
        <v>4142</v>
      </c>
      <c r="Z969" s="8" t="n">
        <v>953</v>
      </c>
      <c r="AA969" s="9" t="n">
        <v>70006</v>
      </c>
      <c r="AB969" s="10" t="n">
        <v>2791</v>
      </c>
      <c r="AC969" s="10" t="n">
        <v>5255</v>
      </c>
      <c r="AD969" s="7" t="n">
        <v>112851</v>
      </c>
      <c r="AE969" s="8" t="n">
        <v>26089</v>
      </c>
      <c r="AF969" s="8" t="n">
        <v>27184</v>
      </c>
      <c r="AG969" s="9" t="n">
        <v>63734</v>
      </c>
      <c r="AH969" s="10" t="n">
        <v>-2127</v>
      </c>
      <c r="AI969" s="10" t="n">
        <v>22209</v>
      </c>
      <c r="AJ969" s="11" t="n">
        <v>70131</v>
      </c>
      <c r="AK969" s="12" t="n">
        <v>3536</v>
      </c>
      <c r="AL969" s="12" t="n">
        <v>-188</v>
      </c>
      <c r="AM969" s="13" t="n">
        <v>10</v>
      </c>
      <c r="AN969" s="13" t="n">
        <v>24.7</v>
      </c>
      <c r="AO969" s="13" t="n">
        <v>266.2</v>
      </c>
      <c r="AP969" s="13" t="n">
        <v>-14.6</v>
      </c>
    </row>
    <row r="970">
      <c r="A970" s="5" t="inlineStr">
        <is>
          <t>수산아이앤티</t>
        </is>
      </c>
      <c r="B970" s="6" t="inlineStr">
        <is>
          <t>050960</t>
        </is>
      </c>
      <c r="C970" s="6" t="inlineStr">
        <is>
          <t>별도</t>
        </is>
      </c>
      <c r="D970" s="6" t="inlineStr">
        <is>
          <t>2026Q2</t>
        </is>
      </c>
      <c r="E970" s="6" t="inlineStr"/>
      <c r="F970" s="7" t="inlineStr"/>
      <c r="G970" s="8" t="inlineStr"/>
      <c r="H970" s="8" t="inlineStr"/>
      <c r="I970" s="9" t="n">
        <v>6420</v>
      </c>
      <c r="J970" s="10" t="n">
        <v>1419</v>
      </c>
      <c r="K970" s="10" t="n">
        <v>263</v>
      </c>
      <c r="L970" s="7" t="n">
        <v>6230</v>
      </c>
      <c r="M970" s="8" t="n">
        <v>1400</v>
      </c>
      <c r="N970" s="8" t="n">
        <v>2686</v>
      </c>
      <c r="O970" s="9" t="n">
        <v>6059</v>
      </c>
      <c r="P970" s="10" t="n">
        <v>1428</v>
      </c>
      <c r="Q970" s="10" t="n">
        <v>1336</v>
      </c>
      <c r="R970" s="7" t="n">
        <v>7962</v>
      </c>
      <c r="S970" s="8" t="n">
        <v>1423</v>
      </c>
      <c r="T970" s="8" t="n">
        <v>146</v>
      </c>
      <c r="U970" s="9" t="n">
        <v>7076</v>
      </c>
      <c r="V970" s="10" t="n">
        <v>1732</v>
      </c>
      <c r="W970" s="10" t="n">
        <v>1700</v>
      </c>
      <c r="X970" s="7" t="n">
        <v>6067</v>
      </c>
      <c r="Y970" s="8" t="n">
        <v>612</v>
      </c>
      <c r="Z970" s="8" t="n">
        <v>1308</v>
      </c>
      <c r="AA970" s="9" t="n">
        <v>6114</v>
      </c>
      <c r="AB970" s="10" t="n">
        <v>457</v>
      </c>
      <c r="AC970" s="10" t="n">
        <v>723</v>
      </c>
      <c r="AD970" s="7" t="n">
        <v>11455</v>
      </c>
      <c r="AE970" s="8" t="n">
        <v>2296</v>
      </c>
      <c r="AF970" s="8" t="n">
        <v>1492</v>
      </c>
      <c r="AG970" s="9" t="n">
        <v>6626</v>
      </c>
      <c r="AH970" s="10" t="n">
        <v>462</v>
      </c>
      <c r="AI970" s="10" t="n">
        <v>1233</v>
      </c>
      <c r="AJ970" s="11" t="n">
        <v>7721</v>
      </c>
      <c r="AK970" s="12" t="n">
        <v>646</v>
      </c>
      <c r="AL970" s="12" t="n">
        <v>3871</v>
      </c>
      <c r="AM970" s="13" t="n">
        <v>16.5</v>
      </c>
      <c r="AN970" s="13" t="n">
        <v>27.3</v>
      </c>
      <c r="AO970" s="13" t="n">
        <v>39.8</v>
      </c>
      <c r="AP970" s="13" t="n">
        <v>5.6</v>
      </c>
    </row>
    <row r="971">
      <c r="A971" s="5" t="inlineStr">
        <is>
          <t>지어소프트</t>
        </is>
      </c>
      <c r="B971" s="6" t="inlineStr">
        <is>
          <t>051160</t>
        </is>
      </c>
      <c r="C971" s="6" t="inlineStr">
        <is>
          <t>연결</t>
        </is>
      </c>
      <c r="D971" s="6" t="inlineStr">
        <is>
          <t>2026Q2</t>
        </is>
      </c>
      <c r="E971" s="6" t="inlineStr"/>
      <c r="F971" s="7" t="inlineStr"/>
      <c r="G971" s="8" t="inlineStr"/>
      <c r="H971" s="8" t="inlineStr"/>
      <c r="I971" s="9" t="n">
        <v>136649</v>
      </c>
      <c r="J971" s="10" t="n">
        <v>6765</v>
      </c>
      <c r="K971" s="10" t="n">
        <v>6181</v>
      </c>
      <c r="L971" s="7" t="n">
        <v>140475</v>
      </c>
      <c r="M971" s="8" t="n">
        <v>8727</v>
      </c>
      <c r="N971" s="8" t="n">
        <v>6162</v>
      </c>
      <c r="O971" s="9" t="n">
        <v>134366</v>
      </c>
      <c r="P971" s="10" t="n">
        <v>7155</v>
      </c>
      <c r="Q971" s="10" t="n">
        <v>7911</v>
      </c>
      <c r="R971" s="7" t="n">
        <v>135685</v>
      </c>
      <c r="S971" s="8" t="n">
        <v>6446</v>
      </c>
      <c r="T971" s="8" t="n">
        <v>7720</v>
      </c>
      <c r="U971" s="9" t="n">
        <v>139979</v>
      </c>
      <c r="V971" s="10" t="n">
        <v>7789</v>
      </c>
      <c r="W971" s="10" t="n">
        <v>7927</v>
      </c>
      <c r="X971" s="7" t="n">
        <v>155978</v>
      </c>
      <c r="Y971" s="8" t="n">
        <v>5344</v>
      </c>
      <c r="Z971" s="8" t="n">
        <v>4603</v>
      </c>
      <c r="AA971" s="9" t="n">
        <v>150876</v>
      </c>
      <c r="AB971" s="10" t="n">
        <v>4081</v>
      </c>
      <c r="AC971" s="10" t="n">
        <v>3616</v>
      </c>
      <c r="AD971" s="7" t="n">
        <v>140297</v>
      </c>
      <c r="AE971" s="8" t="n">
        <v>7915</v>
      </c>
      <c r="AF971" s="8" t="n">
        <v>3063</v>
      </c>
      <c r="AG971" s="9" t="n">
        <v>145767</v>
      </c>
      <c r="AH971" s="10" t="n">
        <v>10345</v>
      </c>
      <c r="AI971" s="10" t="n">
        <v>8902</v>
      </c>
      <c r="AJ971" s="11" t="n">
        <v>145103</v>
      </c>
      <c r="AK971" s="12" t="n">
        <v>9901</v>
      </c>
      <c r="AL971" s="12" t="n">
        <v>7607</v>
      </c>
      <c r="AM971" s="13" t="n">
        <v>-0.5</v>
      </c>
      <c r="AN971" s="13" t="n">
        <v>-7</v>
      </c>
      <c r="AO971" s="13" t="n">
        <v>-4.3</v>
      </c>
      <c r="AP971" s="13" t="n">
        <v>85.3</v>
      </c>
    </row>
    <row r="972">
      <c r="A972" s="5" t="inlineStr">
        <is>
          <t>토비스</t>
        </is>
      </c>
      <c r="B972" s="6" t="inlineStr">
        <is>
          <t>051360</t>
        </is>
      </c>
      <c r="C972" s="6" t="inlineStr">
        <is>
          <t>연결</t>
        </is>
      </c>
      <c r="D972" s="6" t="inlineStr">
        <is>
          <t>2026Q2</t>
        </is>
      </c>
      <c r="E972" s="6" t="inlineStr"/>
      <c r="F972" s="7" t="inlineStr"/>
      <c r="G972" s="8" t="inlineStr"/>
      <c r="H972" s="8" t="inlineStr"/>
      <c r="I972" s="9" t="n">
        <v>139196</v>
      </c>
      <c r="J972" s="10" t="n">
        <v>10118</v>
      </c>
      <c r="K972" s="10" t="n">
        <v>12221</v>
      </c>
      <c r="L972" s="7" t="n">
        <v>162678</v>
      </c>
      <c r="M972" s="8" t="n">
        <v>16002</v>
      </c>
      <c r="N972" s="8" t="n">
        <v>12089</v>
      </c>
      <c r="O972" s="9" t="n">
        <v>163053</v>
      </c>
      <c r="P972" s="10" t="n">
        <v>17735</v>
      </c>
      <c r="Q972" s="10" t="n">
        <v>18042</v>
      </c>
      <c r="R972" s="7" t="n">
        <v>158854</v>
      </c>
      <c r="S972" s="8" t="n">
        <v>14517</v>
      </c>
      <c r="T972" s="8" t="n">
        <v>18952</v>
      </c>
      <c r="U972" s="9" t="n">
        <v>153758</v>
      </c>
      <c r="V972" s="10" t="n">
        <v>12064</v>
      </c>
      <c r="W972" s="10" t="n">
        <v>9140</v>
      </c>
      <c r="X972" s="7" t="n">
        <v>166353</v>
      </c>
      <c r="Y972" s="8" t="n">
        <v>18332</v>
      </c>
      <c r="Z972" s="8" t="n">
        <v>11183</v>
      </c>
      <c r="AA972" s="9" t="n">
        <v>164681</v>
      </c>
      <c r="AB972" s="10" t="n">
        <v>16588</v>
      </c>
      <c r="AC972" s="10" t="n">
        <v>13594</v>
      </c>
      <c r="AD972" s="7" t="n">
        <v>155537</v>
      </c>
      <c r="AE972" s="8" t="n">
        <v>10207</v>
      </c>
      <c r="AF972" s="8" t="n">
        <v>10814</v>
      </c>
      <c r="AG972" s="9" t="n">
        <v>169751</v>
      </c>
      <c r="AH972" s="10" t="n">
        <v>15511</v>
      </c>
      <c r="AI972" s="10" t="n">
        <v>16782</v>
      </c>
      <c r="AJ972" s="11" t="n">
        <v>188093</v>
      </c>
      <c r="AK972" s="12" t="n">
        <v>15814</v>
      </c>
      <c r="AL972" s="12" t="n">
        <v>14010</v>
      </c>
      <c r="AM972" s="13" t="n">
        <v>10.8</v>
      </c>
      <c r="AN972" s="13" t="n">
        <v>13.1</v>
      </c>
      <c r="AO972" s="13" t="n">
        <v>2</v>
      </c>
      <c r="AP972" s="13" t="n">
        <v>-13.7</v>
      </c>
    </row>
    <row r="973">
      <c r="A973" s="5" t="inlineStr">
        <is>
          <t>인터플렉스</t>
        </is>
      </c>
      <c r="B973" s="6" t="inlineStr">
        <is>
          <t>051370</t>
        </is>
      </c>
      <c r="C973" s="6" t="inlineStr">
        <is>
          <t>연결</t>
        </is>
      </c>
      <c r="D973" s="6" t="inlineStr">
        <is>
          <t>2026Q2</t>
        </is>
      </c>
      <c r="E973" s="6" t="inlineStr"/>
      <c r="F973" s="7" t="inlineStr"/>
      <c r="G973" s="8" t="inlineStr"/>
      <c r="H973" s="8" t="inlineStr"/>
      <c r="I973" s="9" t="n">
        <v>133096</v>
      </c>
      <c r="J973" s="10" t="n">
        <v>8872</v>
      </c>
      <c r="K973" s="10" t="n">
        <v>13553</v>
      </c>
      <c r="L973" s="7" t="n">
        <v>145048</v>
      </c>
      <c r="M973" s="8" t="n">
        <v>9522</v>
      </c>
      <c r="N973" s="8" t="n">
        <v>16691</v>
      </c>
      <c r="O973" s="9" t="n">
        <v>115653</v>
      </c>
      <c r="P973" s="10" t="n">
        <v>7507</v>
      </c>
      <c r="Q973" s="10" t="n">
        <v>340</v>
      </c>
      <c r="R973" s="7" t="n">
        <v>103669</v>
      </c>
      <c r="S973" s="8" t="n">
        <v>8470</v>
      </c>
      <c r="T973" s="8" t="n">
        <v>24543</v>
      </c>
      <c r="U973" s="9" t="n">
        <v>131747</v>
      </c>
      <c r="V973" s="10" t="n">
        <v>8575</v>
      </c>
      <c r="W973" s="10" t="n">
        <v>8343</v>
      </c>
      <c r="X973" s="7" t="n">
        <v>85788</v>
      </c>
      <c r="Y973" s="8" t="n">
        <v>1760</v>
      </c>
      <c r="Z973" s="8" t="n">
        <v>-192</v>
      </c>
      <c r="AA973" s="9" t="n">
        <v>101992</v>
      </c>
      <c r="AB973" s="10" t="n">
        <v>5854</v>
      </c>
      <c r="AC973" s="10" t="n">
        <v>8095</v>
      </c>
      <c r="AD973" s="7" t="n">
        <v>148437</v>
      </c>
      <c r="AE973" s="8" t="n">
        <v>12457</v>
      </c>
      <c r="AF973" s="8" t="n">
        <v>16584</v>
      </c>
      <c r="AG973" s="9" t="n">
        <v>128995</v>
      </c>
      <c r="AH973" s="10" t="n">
        <v>5286</v>
      </c>
      <c r="AI973" s="10" t="n">
        <v>10175</v>
      </c>
      <c r="AJ973" s="11" t="n">
        <v>90881</v>
      </c>
      <c r="AK973" s="12" t="n">
        <v>-5165</v>
      </c>
      <c r="AL973" s="12" t="n">
        <v>-3979</v>
      </c>
      <c r="AM973" s="13" t="n">
        <v>-29.5</v>
      </c>
      <c r="AN973" s="13" t="n">
        <v>5.9</v>
      </c>
      <c r="AO973" s="13" t="n">
        <v>-197.7</v>
      </c>
      <c r="AP973" s="13" t="n">
        <v>-393.5</v>
      </c>
    </row>
    <row r="974">
      <c r="A974" s="5" t="inlineStr">
        <is>
          <t>피씨디렉트</t>
        </is>
      </c>
      <c r="B974" s="6" t="inlineStr">
        <is>
          <t>051380</t>
        </is>
      </c>
      <c r="C974" s="6" t="inlineStr">
        <is>
          <t>별도</t>
        </is>
      </c>
      <c r="D974" s="6" t="inlineStr">
        <is>
          <t>2026Q2</t>
        </is>
      </c>
      <c r="E974" s="6" t="inlineStr"/>
      <c r="F974" s="7" t="inlineStr"/>
      <c r="G974" s="8" t="inlineStr"/>
      <c r="H974" s="8" t="inlineStr"/>
      <c r="I974" s="9" t="n">
        <v>83325</v>
      </c>
      <c r="J974" s="10" t="n">
        <v>831</v>
      </c>
      <c r="K974" s="10" t="n">
        <v>182</v>
      </c>
      <c r="L974" s="7" t="n">
        <v>83822</v>
      </c>
      <c r="M974" s="8" t="n">
        <v>292</v>
      </c>
      <c r="N974" s="8" t="n">
        <v>188</v>
      </c>
      <c r="O974" s="9" t="n">
        <v>77397</v>
      </c>
      <c r="P974" s="10" t="n">
        <v>-1338</v>
      </c>
      <c r="Q974" s="10" t="n">
        <v>-950</v>
      </c>
      <c r="R974" s="7" t="n">
        <v>89224</v>
      </c>
      <c r="S974" s="8" t="n">
        <v>2066</v>
      </c>
      <c r="T974" s="8" t="n">
        <v>-85</v>
      </c>
      <c r="U974" s="9" t="n">
        <v>93673</v>
      </c>
      <c r="V974" s="10" t="n">
        <v>1499</v>
      </c>
      <c r="W974" s="10" t="n">
        <v>893</v>
      </c>
      <c r="X974" s="7" t="n">
        <v>89702</v>
      </c>
      <c r="Y974" s="8" t="n">
        <v>256</v>
      </c>
      <c r="Z974" s="8" t="n">
        <v>446</v>
      </c>
      <c r="AA974" s="9" t="n">
        <v>87914</v>
      </c>
      <c r="AB974" s="10" t="n">
        <v>549</v>
      </c>
      <c r="AC974" s="10" t="n">
        <v>77</v>
      </c>
      <c r="AD974" s="7" t="n">
        <v>101719</v>
      </c>
      <c r="AE974" s="8" t="n">
        <v>1947</v>
      </c>
      <c r="AF974" s="8" t="n">
        <v>1105</v>
      </c>
      <c r="AG974" s="9" t="n">
        <v>105389</v>
      </c>
      <c r="AH974" s="10" t="n">
        <v>2212</v>
      </c>
      <c r="AI974" s="10" t="n">
        <v>1460</v>
      </c>
      <c r="AJ974" s="11" t="n">
        <v>101425</v>
      </c>
      <c r="AK974" s="12" t="n">
        <v>2271</v>
      </c>
      <c r="AL974" s="12" t="n">
        <v>1415</v>
      </c>
      <c r="AM974" s="13" t="n">
        <v>-3.8</v>
      </c>
      <c r="AN974" s="13" t="n">
        <v>13.1</v>
      </c>
      <c r="AO974" s="13" t="n">
        <v>2.7</v>
      </c>
      <c r="AP974" s="13" t="n">
        <v>787.1</v>
      </c>
    </row>
    <row r="975">
      <c r="A975" s="5" t="inlineStr">
        <is>
          <t>YW</t>
        </is>
      </c>
      <c r="B975" s="6" t="inlineStr">
        <is>
          <t>051390</t>
        </is>
      </c>
      <c r="C975" s="6" t="inlineStr">
        <is>
          <t>연결</t>
        </is>
      </c>
      <c r="D975" s="6" t="inlineStr">
        <is>
          <t>2026Q2</t>
        </is>
      </c>
      <c r="E975" s="6" t="inlineStr"/>
      <c r="F975" s="7" t="inlineStr"/>
      <c r="G975" s="8" t="inlineStr"/>
      <c r="H975" s="8" t="inlineStr"/>
      <c r="I975" s="9" t="n">
        <v>6040</v>
      </c>
      <c r="J975" s="10" t="n">
        <v>1759</v>
      </c>
      <c r="K975" s="10" t="n">
        <v>1360</v>
      </c>
      <c r="L975" s="7" t="n">
        <v>3690</v>
      </c>
      <c r="M975" s="8" t="n">
        <v>1824</v>
      </c>
      <c r="N975" s="8" t="n">
        <v>1353</v>
      </c>
      <c r="O975" s="9" t="n">
        <v>3285</v>
      </c>
      <c r="P975" s="10" t="n">
        <v>1182</v>
      </c>
      <c r="Q975" s="10" t="n">
        <v>974</v>
      </c>
      <c r="R975" s="7" t="n">
        <v>3521</v>
      </c>
      <c r="S975" s="8" t="n">
        <v>671</v>
      </c>
      <c r="T975" s="8" t="n">
        <v>581</v>
      </c>
      <c r="U975" s="9" t="n">
        <v>5778</v>
      </c>
      <c r="V975" s="10" t="n">
        <v>1346</v>
      </c>
      <c r="W975" s="10" t="n">
        <v>984</v>
      </c>
      <c r="X975" s="7" t="n">
        <v>4758</v>
      </c>
      <c r="Y975" s="8" t="n">
        <v>1391</v>
      </c>
      <c r="Z975" s="8" t="n">
        <v>1037</v>
      </c>
      <c r="AA975" s="9" t="n">
        <v>2714</v>
      </c>
      <c r="AB975" s="10" t="n">
        <v>1590</v>
      </c>
      <c r="AC975" s="10" t="n">
        <v>1776</v>
      </c>
      <c r="AD975" s="7" t="n">
        <v>3288</v>
      </c>
      <c r="AE975" s="8" t="n">
        <v>1450</v>
      </c>
      <c r="AF975" s="8" t="n">
        <v>1281</v>
      </c>
      <c r="AG975" s="9" t="n">
        <v>3548</v>
      </c>
      <c r="AH975" s="10" t="n">
        <v>990</v>
      </c>
      <c r="AI975" s="10" t="n">
        <v>786</v>
      </c>
      <c r="AJ975" s="11" t="n">
        <v>3006</v>
      </c>
      <c r="AK975" s="12" t="n">
        <v>1204</v>
      </c>
      <c r="AL975" s="12" t="n">
        <v>1021</v>
      </c>
      <c r="AM975" s="13" t="n">
        <v>-15.3</v>
      </c>
      <c r="AN975" s="13" t="n">
        <v>-36.8</v>
      </c>
      <c r="AO975" s="13" t="n">
        <v>21.6</v>
      </c>
      <c r="AP975" s="13" t="n">
        <v>-13.4</v>
      </c>
    </row>
    <row r="976">
      <c r="A976" s="5" t="inlineStr">
        <is>
          <t>나라엠앤디</t>
        </is>
      </c>
      <c r="B976" s="6" t="inlineStr">
        <is>
          <t>051490</t>
        </is>
      </c>
      <c r="C976" s="6" t="inlineStr">
        <is>
          <t>연결</t>
        </is>
      </c>
      <c r="D976" s="6" t="inlineStr">
        <is>
          <t>2026Q2</t>
        </is>
      </c>
      <c r="E976" s="6" t="inlineStr"/>
      <c r="F976" s="7" t="inlineStr"/>
      <c r="G976" s="8" t="inlineStr"/>
      <c r="H976" s="8" t="inlineStr"/>
      <c r="I976" s="9" t="n">
        <v>49456</v>
      </c>
      <c r="J976" s="10" t="n">
        <v>2233</v>
      </c>
      <c r="K976" s="10" t="n">
        <v>2094</v>
      </c>
      <c r="L976" s="7" t="n">
        <v>42147</v>
      </c>
      <c r="M976" s="8" t="n">
        <v>219</v>
      </c>
      <c r="N976" s="8" t="n">
        <v>-523</v>
      </c>
      <c r="O976" s="9" t="n">
        <v>58988</v>
      </c>
      <c r="P976" s="10" t="n">
        <v>3099</v>
      </c>
      <c r="Q976" s="10" t="n">
        <v>227</v>
      </c>
      <c r="R976" s="7" t="n">
        <v>53225</v>
      </c>
      <c r="S976" s="8" t="n">
        <v>-570</v>
      </c>
      <c r="T976" s="8" t="n">
        <v>197</v>
      </c>
      <c r="U976" s="9" t="n">
        <v>42342</v>
      </c>
      <c r="V976" s="10" t="n">
        <v>1332</v>
      </c>
      <c r="W976" s="10" t="n">
        <v>641</v>
      </c>
      <c r="X976" s="7" t="n">
        <v>44239</v>
      </c>
      <c r="Y976" s="8" t="n">
        <v>195</v>
      </c>
      <c r="Z976" s="8" t="n">
        <v>14</v>
      </c>
      <c r="AA976" s="9" t="n">
        <v>52948</v>
      </c>
      <c r="AB976" s="10" t="n">
        <v>2003</v>
      </c>
      <c r="AC976" s="10" t="n">
        <v>5449</v>
      </c>
      <c r="AD976" s="7" t="n">
        <v>45104</v>
      </c>
      <c r="AE976" s="8" t="n">
        <v>-3610</v>
      </c>
      <c r="AF976" s="8" t="n">
        <v>-1422</v>
      </c>
      <c r="AG976" s="9" t="n">
        <v>38321</v>
      </c>
      <c r="AH976" s="10" t="n">
        <v>-2823</v>
      </c>
      <c r="AI976" s="10" t="n">
        <v>-3613</v>
      </c>
      <c r="AJ976" s="11" t="n">
        <v>47661</v>
      </c>
      <c r="AK976" s="12" t="n">
        <v>101</v>
      </c>
      <c r="AL976" s="12" t="n">
        <v>-783</v>
      </c>
      <c r="AM976" s="13" t="n">
        <v>24.4</v>
      </c>
      <c r="AN976" s="13" t="n">
        <v>7.7</v>
      </c>
      <c r="AO976" s="13" t="n">
        <v>103.6</v>
      </c>
      <c r="AP976" s="13" t="n">
        <v>-48.2</v>
      </c>
    </row>
    <row r="977">
      <c r="A977" s="5" t="inlineStr">
        <is>
          <t>CJ프레시웨이</t>
        </is>
      </c>
      <c r="B977" s="6" t="inlineStr">
        <is>
          <t>051500</t>
        </is>
      </c>
      <c r="C977" s="6" t="inlineStr">
        <is>
          <t>연결</t>
        </is>
      </c>
      <c r="D977" s="6" t="inlineStr">
        <is>
          <t>2026Q2</t>
        </is>
      </c>
      <c r="E977" s="6" t="inlineStr">
        <is>
          <t>2023Q4</t>
        </is>
      </c>
      <c r="F977" s="14" t="n">
        <v>788234</v>
      </c>
      <c r="G977" s="15" t="n">
        <v>24348</v>
      </c>
      <c r="H977" s="15" t="n">
        <v>10748</v>
      </c>
      <c r="I977" s="9" t="n">
        <v>731449</v>
      </c>
      <c r="J977" s="10" t="n">
        <v>10543</v>
      </c>
      <c r="K977" s="10" t="n">
        <v>1321</v>
      </c>
      <c r="L977" s="7" t="n">
        <v>811278</v>
      </c>
      <c r="M977" s="8" t="n">
        <v>30110</v>
      </c>
      <c r="N977" s="8" t="n">
        <v>15891</v>
      </c>
      <c r="O977" s="9" t="n">
        <v>831893</v>
      </c>
      <c r="P977" s="10" t="n">
        <v>28200</v>
      </c>
      <c r="Q977" s="10" t="n">
        <v>-7820</v>
      </c>
      <c r="R977" s="7" t="n">
        <v>850159</v>
      </c>
      <c r="S977" s="8" t="n">
        <v>25172</v>
      </c>
      <c r="T977" s="8" t="n">
        <v>18013</v>
      </c>
      <c r="U977" s="9" t="n">
        <v>798639</v>
      </c>
      <c r="V977" s="10" t="n">
        <v>10631</v>
      </c>
      <c r="W977" s="10" t="n">
        <v>1599</v>
      </c>
      <c r="X977" s="7" t="n">
        <v>883317</v>
      </c>
      <c r="Y977" s="8" t="n">
        <v>27437</v>
      </c>
      <c r="Z977" s="8" t="n">
        <v>14985</v>
      </c>
      <c r="AA977" s="9" t="n">
        <v>901158</v>
      </c>
      <c r="AB977" s="10" t="n">
        <v>33632</v>
      </c>
      <c r="AC977" s="10" t="n">
        <v>23273</v>
      </c>
      <c r="AD977" s="7" t="n">
        <v>897968</v>
      </c>
      <c r="AE977" s="8" t="n">
        <v>29953</v>
      </c>
      <c r="AF977" s="8" t="n">
        <v>10249</v>
      </c>
      <c r="AG977" s="9" t="n">
        <v>833919</v>
      </c>
      <c r="AH977" s="10" t="n">
        <v>11034</v>
      </c>
      <c r="AI977" s="10" t="n">
        <v>3132</v>
      </c>
      <c r="AJ977" s="11" t="n">
        <v>923162</v>
      </c>
      <c r="AK977" s="12" t="n">
        <v>23533</v>
      </c>
      <c r="AL977" s="12" t="n">
        <v>10139</v>
      </c>
      <c r="AM977" s="13" t="n">
        <v>10.7</v>
      </c>
      <c r="AN977" s="13" t="n">
        <v>4.5</v>
      </c>
      <c r="AO977" s="13" t="n">
        <v>113.3</v>
      </c>
      <c r="AP977" s="13" t="n">
        <v>-14.2</v>
      </c>
    </row>
    <row r="978">
      <c r="A978" s="5" t="inlineStr">
        <is>
          <t>한전KPS</t>
        </is>
      </c>
      <c r="B978" s="6" t="inlineStr">
        <is>
          <t>051600</t>
        </is>
      </c>
      <c r="C978" s="6" t="inlineStr">
        <is>
          <t>연결</t>
        </is>
      </c>
      <c r="D978" s="6" t="inlineStr">
        <is>
          <t>2026Q2</t>
        </is>
      </c>
      <c r="E978" s="6" t="inlineStr">
        <is>
          <t>2023Q4</t>
        </is>
      </c>
      <c r="F978" s="14" t="n">
        <v>440432</v>
      </c>
      <c r="G978" s="15" t="n">
        <v>59196</v>
      </c>
      <c r="H978" s="15" t="n">
        <v>46092</v>
      </c>
      <c r="I978" s="9" t="n">
        <v>342849</v>
      </c>
      <c r="J978" s="10" t="n">
        <v>52242</v>
      </c>
      <c r="K978" s="10" t="n">
        <v>43556</v>
      </c>
      <c r="L978" s="7" t="n">
        <v>428592</v>
      </c>
      <c r="M978" s="8" t="n">
        <v>74395</v>
      </c>
      <c r="N978" s="8" t="n">
        <v>59546</v>
      </c>
      <c r="O978" s="9" t="n">
        <v>354440</v>
      </c>
      <c r="P978" s="10" t="n">
        <v>41987</v>
      </c>
      <c r="Q978" s="10" t="n">
        <v>33881</v>
      </c>
      <c r="R978" s="7" t="n">
        <v>431205</v>
      </c>
      <c r="S978" s="8" t="n">
        <v>40875</v>
      </c>
      <c r="T978" s="8" t="n">
        <v>35458</v>
      </c>
      <c r="U978" s="9" t="n">
        <v>288014</v>
      </c>
      <c r="V978" s="10" t="n">
        <v>7800</v>
      </c>
      <c r="W978" s="10" t="n">
        <v>11231</v>
      </c>
      <c r="X978" s="7" t="n">
        <v>453978</v>
      </c>
      <c r="Y978" s="8" t="n">
        <v>65620</v>
      </c>
      <c r="Z978" s="8" t="n">
        <v>50876</v>
      </c>
      <c r="AA978" s="9" t="n">
        <v>393686</v>
      </c>
      <c r="AB978" s="10" t="n">
        <v>47431</v>
      </c>
      <c r="AC978" s="10" t="n">
        <v>42705</v>
      </c>
      <c r="AD978" s="7" t="n">
        <v>440839</v>
      </c>
      <c r="AE978" s="8" t="n">
        <v>19251</v>
      </c>
      <c r="AF978" s="8" t="n">
        <v>19440</v>
      </c>
      <c r="AG978" s="9" t="n">
        <v>352394</v>
      </c>
      <c r="AH978" s="10" t="n">
        <v>37018</v>
      </c>
      <c r="AI978" s="10" t="n">
        <v>29411</v>
      </c>
      <c r="AJ978" s="11" t="n">
        <v>437939</v>
      </c>
      <c r="AK978" s="12" t="n">
        <v>43580</v>
      </c>
      <c r="AL978" s="12" t="n">
        <v>38274</v>
      </c>
      <c r="AM978" s="13" t="n">
        <v>24.3</v>
      </c>
      <c r="AN978" s="13" t="n">
        <v>-3.5</v>
      </c>
      <c r="AO978" s="13" t="n">
        <v>17.7</v>
      </c>
      <c r="AP978" s="13" t="n">
        <v>-33.6</v>
      </c>
    </row>
    <row r="979">
      <c r="A979" s="5" t="inlineStr">
        <is>
          <t>진양화학</t>
        </is>
      </c>
      <c r="B979" s="6" t="inlineStr">
        <is>
          <t>051630</t>
        </is>
      </c>
      <c r="C979" s="6" t="inlineStr">
        <is>
          <t>별도</t>
        </is>
      </c>
      <c r="D979" s="6" t="inlineStr">
        <is>
          <t>2026Q2</t>
        </is>
      </c>
      <c r="E979" s="6" t="inlineStr"/>
      <c r="F979" s="7" t="inlineStr"/>
      <c r="G979" s="8" t="inlineStr"/>
      <c r="H979" s="8" t="inlineStr"/>
      <c r="I979" s="9" t="n">
        <v>6796</v>
      </c>
      <c r="J979" s="10" t="n">
        <v>-709</v>
      </c>
      <c r="K979" s="10" t="n">
        <v>-793</v>
      </c>
      <c r="L979" s="7" t="n">
        <v>6198</v>
      </c>
      <c r="M979" s="8" t="n">
        <v>-664</v>
      </c>
      <c r="N979" s="8" t="n">
        <v>-759</v>
      </c>
      <c r="O979" s="9" t="n">
        <v>5211</v>
      </c>
      <c r="P979" s="10" t="n">
        <v>-1180</v>
      </c>
      <c r="Q979" s="10" t="n">
        <v>-1277</v>
      </c>
      <c r="R979" s="7" t="n">
        <v>6322</v>
      </c>
      <c r="S979" s="8" t="n">
        <v>-1587</v>
      </c>
      <c r="T979" s="8" t="n">
        <v>-1659</v>
      </c>
      <c r="U979" s="9" t="n">
        <v>5090</v>
      </c>
      <c r="V979" s="10" t="n">
        <v>-175</v>
      </c>
      <c r="W979" s="10" t="n">
        <v>-1264</v>
      </c>
      <c r="X979" s="7" t="n">
        <v>5419</v>
      </c>
      <c r="Y979" s="8" t="n">
        <v>-104</v>
      </c>
      <c r="Z979" s="8" t="n">
        <v>182</v>
      </c>
      <c r="AA979" s="9" t="n">
        <v>3454</v>
      </c>
      <c r="AB979" s="10" t="n">
        <v>-312</v>
      </c>
      <c r="AC979" s="10" t="n">
        <v>976</v>
      </c>
      <c r="AD979" s="7" t="n">
        <v>4601</v>
      </c>
      <c r="AE979" s="8" t="n">
        <v>-152</v>
      </c>
      <c r="AF979" s="8" t="n">
        <v>1002</v>
      </c>
      <c r="AG979" s="9" t="n">
        <v>5623</v>
      </c>
      <c r="AH979" s="10" t="n">
        <v>117</v>
      </c>
      <c r="AI979" s="10" t="n">
        <v>34</v>
      </c>
      <c r="AJ979" s="11" t="n">
        <v>5307</v>
      </c>
      <c r="AK979" s="12" t="n">
        <v>-190</v>
      </c>
      <c r="AL979" s="12" t="n">
        <v>-246</v>
      </c>
      <c r="AM979" s="13" t="n">
        <v>-5.6</v>
      </c>
      <c r="AN979" s="13" t="n">
        <v>-2.1</v>
      </c>
      <c r="AO979" s="13" t="n">
        <v>-262.4</v>
      </c>
      <c r="AP979" s="13" t="n">
        <v>-82.7</v>
      </c>
    </row>
    <row r="980">
      <c r="A980" s="5" t="inlineStr">
        <is>
          <t>큐로홀딩스</t>
        </is>
      </c>
      <c r="B980" s="6" t="inlineStr">
        <is>
          <t>051780</t>
        </is>
      </c>
      <c r="C980" s="6" t="inlineStr">
        <is>
          <t>연결</t>
        </is>
      </c>
      <c r="D980" s="6" t="inlineStr">
        <is>
          <t>2026Q2</t>
        </is>
      </c>
      <c r="E980" s="6" t="inlineStr"/>
      <c r="F980" s="7" t="inlineStr"/>
      <c r="G980" s="8" t="inlineStr"/>
      <c r="H980" s="8" t="inlineStr"/>
      <c r="I980" s="9" t="n">
        <v>16038</v>
      </c>
      <c r="J980" s="10" t="n">
        <v>-755</v>
      </c>
      <c r="K980" s="10" t="n">
        <v>-3274</v>
      </c>
      <c r="L980" s="7" t="n">
        <v>16123</v>
      </c>
      <c r="M980" s="8" t="n">
        <v>-1315</v>
      </c>
      <c r="N980" s="8" t="n">
        <v>-1884</v>
      </c>
      <c r="O980" s="9" t="n">
        <v>15660</v>
      </c>
      <c r="P980" s="10" t="n">
        <v>-1957</v>
      </c>
      <c r="Q980" s="10" t="n">
        <v>-1962</v>
      </c>
      <c r="R980" s="7" t="n">
        <v>13278</v>
      </c>
      <c r="S980" s="8" t="n">
        <v>1364</v>
      </c>
      <c r="T980" s="8" t="n">
        <v>-9537</v>
      </c>
      <c r="U980" s="9" t="n">
        <v>16406</v>
      </c>
      <c r="V980" s="10" t="n">
        <v>330</v>
      </c>
      <c r="W980" s="10" t="n">
        <v>-2394</v>
      </c>
      <c r="X980" s="7" t="n">
        <v>13117</v>
      </c>
      <c r="Y980" s="8" t="n">
        <v>-281</v>
      </c>
      <c r="Z980" s="8" t="n">
        <v>-1935</v>
      </c>
      <c r="AA980" s="9" t="n">
        <v>13093</v>
      </c>
      <c r="AB980" s="10" t="n">
        <v>-81</v>
      </c>
      <c r="AC980" s="10" t="n">
        <v>-2535</v>
      </c>
      <c r="AD980" s="7" t="n">
        <v>14035</v>
      </c>
      <c r="AE980" s="8" t="n">
        <v>23</v>
      </c>
      <c r="AF980" s="8" t="n">
        <v>-2311</v>
      </c>
      <c r="AG980" s="9" t="n">
        <v>15066</v>
      </c>
      <c r="AH980" s="10" t="n">
        <v>174</v>
      </c>
      <c r="AI980" s="10" t="n">
        <v>-1563</v>
      </c>
      <c r="AJ980" s="11" t="n">
        <v>15047</v>
      </c>
      <c r="AK980" s="12" t="n">
        <v>-650</v>
      </c>
      <c r="AL980" s="12" t="n">
        <v>-3014</v>
      </c>
      <c r="AM980" s="13" t="n">
        <v>-0.1</v>
      </c>
      <c r="AN980" s="13" t="n">
        <v>14.7</v>
      </c>
      <c r="AO980" s="13" t="n">
        <v>-473.6</v>
      </c>
      <c r="AP980" s="13" t="n">
        <v>-131.3</v>
      </c>
    </row>
    <row r="981">
      <c r="A981" s="5" t="inlineStr">
        <is>
          <t>LG생활건강</t>
        </is>
      </c>
      <c r="B981" s="6" t="inlineStr">
        <is>
          <t>051900</t>
        </is>
      </c>
      <c r="C981" s="6" t="inlineStr">
        <is>
          <t>연결</t>
        </is>
      </c>
      <c r="D981" s="6" t="inlineStr">
        <is>
          <t>2026Q2</t>
        </is>
      </c>
      <c r="E981" s="6" t="inlineStr">
        <is>
          <t>2023Q4</t>
        </is>
      </c>
      <c r="F981" s="14" t="n">
        <v>1567200</v>
      </c>
      <c r="G981" s="15" t="n">
        <v>54700</v>
      </c>
      <c r="H981" s="15" t="n">
        <v>-120400</v>
      </c>
      <c r="I981" s="9" t="n">
        <v>1728701</v>
      </c>
      <c r="J981" s="10" t="n">
        <v>151034</v>
      </c>
      <c r="K981" s="10" t="n">
        <v>113067</v>
      </c>
      <c r="L981" s="7" t="n">
        <v>1759670</v>
      </c>
      <c r="M981" s="8" t="n">
        <v>158537</v>
      </c>
      <c r="N981" s="8" t="n">
        <v>107204</v>
      </c>
      <c r="O981" s="9" t="n">
        <v>1713627</v>
      </c>
      <c r="P981" s="10" t="n">
        <v>106079</v>
      </c>
      <c r="Q981" s="10" t="n">
        <v>73547</v>
      </c>
      <c r="R981" s="7" t="n">
        <v>1609921</v>
      </c>
      <c r="S981" s="8" t="n">
        <v>43396</v>
      </c>
      <c r="T981" s="8" t="n">
        <v>-89930</v>
      </c>
      <c r="U981" s="9" t="n">
        <v>1697877</v>
      </c>
      <c r="V981" s="10" t="n">
        <v>142369</v>
      </c>
      <c r="W981" s="10" t="n">
        <v>103459</v>
      </c>
      <c r="X981" s="7" t="n">
        <v>1604872</v>
      </c>
      <c r="Y981" s="8" t="n">
        <v>54814</v>
      </c>
      <c r="Z981" s="8" t="n">
        <v>38563</v>
      </c>
      <c r="AA981" s="9" t="n">
        <v>1579951</v>
      </c>
      <c r="AB981" s="10" t="n">
        <v>46195</v>
      </c>
      <c r="AC981" s="10" t="n">
        <v>23403</v>
      </c>
      <c r="AD981" s="7" t="n">
        <v>1472790</v>
      </c>
      <c r="AE981" s="8" t="n">
        <v>-72689</v>
      </c>
      <c r="AF981" s="8" t="n">
        <v>-251204</v>
      </c>
      <c r="AG981" s="9" t="n">
        <v>1576593</v>
      </c>
      <c r="AH981" s="10" t="n">
        <v>107831</v>
      </c>
      <c r="AI981" s="10" t="n">
        <v>88749</v>
      </c>
      <c r="AJ981" s="11" t="n">
        <v>1657418</v>
      </c>
      <c r="AK981" s="12" t="n">
        <v>102782</v>
      </c>
      <c r="AL981" s="12" t="n">
        <v>77602</v>
      </c>
      <c r="AM981" s="13" t="n">
        <v>5.1</v>
      </c>
      <c r="AN981" s="13" t="n">
        <v>3.3</v>
      </c>
      <c r="AO981" s="13" t="n">
        <v>-4.7</v>
      </c>
      <c r="AP981" s="13" t="n">
        <v>87.5</v>
      </c>
    </row>
    <row r="982">
      <c r="A982" s="5" t="inlineStr">
        <is>
          <t>LG화학</t>
        </is>
      </c>
      <c r="B982" s="6" t="inlineStr">
        <is>
          <t>051910</t>
        </is>
      </c>
      <c r="C982" s="6" t="inlineStr">
        <is>
          <t>연결</t>
        </is>
      </c>
      <c r="D982" s="6" t="inlineStr">
        <is>
          <t>2026Q2</t>
        </is>
      </c>
      <c r="E982" s="6" t="inlineStr">
        <is>
          <t>2023Q4</t>
        </is>
      </c>
      <c r="F982" s="14" t="n">
        <v>13134802</v>
      </c>
      <c r="G982" s="15" t="n">
        <v>247427</v>
      </c>
      <c r="H982" s="15" t="n">
        <v>128519</v>
      </c>
      <c r="I982" s="9" t="n">
        <v>11609432</v>
      </c>
      <c r="J982" s="10" t="n">
        <v>264631</v>
      </c>
      <c r="K982" s="10" t="n">
        <v>341699</v>
      </c>
      <c r="L982" s="7" t="n">
        <v>12299672</v>
      </c>
      <c r="M982" s="8" t="n">
        <v>405860</v>
      </c>
      <c r="N982" s="8" t="n">
        <v>59793</v>
      </c>
      <c r="O982" s="9" t="n">
        <v>12670398</v>
      </c>
      <c r="P982" s="10" t="n">
        <v>498356</v>
      </c>
      <c r="Q982" s="10" t="n">
        <v>1012734</v>
      </c>
      <c r="R982" s="7" t="n">
        <v>12336602</v>
      </c>
      <c r="S982" s="8" t="n">
        <v>-252049</v>
      </c>
      <c r="T982" s="8" t="n">
        <v>-899215</v>
      </c>
      <c r="U982" s="9" t="n">
        <v>12171015</v>
      </c>
      <c r="V982" s="10" t="n">
        <v>446971</v>
      </c>
      <c r="W982" s="10" t="n">
        <v>260370</v>
      </c>
      <c r="X982" s="7" t="n">
        <v>11417711</v>
      </c>
      <c r="Y982" s="8" t="n">
        <v>476783</v>
      </c>
      <c r="Z982" s="8" t="n">
        <v>-111885</v>
      </c>
      <c r="AA982" s="9" t="n">
        <v>11196170</v>
      </c>
      <c r="AB982" s="10" t="n">
        <v>679715</v>
      </c>
      <c r="AC982" s="10" t="n">
        <v>447284</v>
      </c>
      <c r="AD982" s="7" t="n">
        <v>11147271</v>
      </c>
      <c r="AE982" s="8" t="n">
        <v>-422569</v>
      </c>
      <c r="AF982" s="8" t="n">
        <v>-1572832</v>
      </c>
      <c r="AG982" s="9" t="n">
        <v>12246789</v>
      </c>
      <c r="AH982" s="10" t="n">
        <v>-49691</v>
      </c>
      <c r="AI982" s="10" t="n">
        <v>-781892</v>
      </c>
      <c r="AJ982" s="11" t="n">
        <v>14175901</v>
      </c>
      <c r="AK982" s="12" t="n">
        <v>599588</v>
      </c>
      <c r="AL982" s="12" t="n">
        <v>66788</v>
      </c>
      <c r="AM982" s="13" t="n">
        <v>15.8</v>
      </c>
      <c r="AN982" s="13" t="n">
        <v>24.2</v>
      </c>
      <c r="AO982" s="13" t="n">
        <v>1306.6</v>
      </c>
      <c r="AP982" s="13" t="n">
        <v>25.8</v>
      </c>
    </row>
    <row r="983">
      <c r="A983" s="5" t="inlineStr">
        <is>
          <t>중앙첨단소재</t>
        </is>
      </c>
      <c r="B983" s="6" t="inlineStr">
        <is>
          <t>051980</t>
        </is>
      </c>
      <c r="C983" s="6" t="inlineStr">
        <is>
          <t>연결</t>
        </is>
      </c>
      <c r="D983" s="6" t="inlineStr">
        <is>
          <t>2026Q2</t>
        </is>
      </c>
      <c r="E983" s="6" t="inlineStr"/>
      <c r="F983" s="7" t="inlineStr"/>
      <c r="G983" s="8" t="inlineStr"/>
      <c r="H983" s="8" t="inlineStr"/>
      <c r="I983" s="9" t="n">
        <v>3710</v>
      </c>
      <c r="J983" s="10" t="n">
        <v>-2506</v>
      </c>
      <c r="K983" s="10" t="n">
        <v>-12493</v>
      </c>
      <c r="L983" s="7" t="n">
        <v>6486</v>
      </c>
      <c r="M983" s="8" t="n">
        <v>-83</v>
      </c>
      <c r="N983" s="8" t="n">
        <v>-59260</v>
      </c>
      <c r="O983" s="9" t="n">
        <v>3895</v>
      </c>
      <c r="P983" s="10" t="n">
        <v>-2268</v>
      </c>
      <c r="Q983" s="10" t="n">
        <v>-6176</v>
      </c>
      <c r="R983" s="7" t="n">
        <v>4601</v>
      </c>
      <c r="S983" s="8" t="n">
        <v>-2941</v>
      </c>
      <c r="T983" s="8" t="n">
        <v>1101</v>
      </c>
      <c r="U983" s="9" t="n">
        <v>3341</v>
      </c>
      <c r="V983" s="10" t="n">
        <v>-1626</v>
      </c>
      <c r="W983" s="10" t="n">
        <v>-2007</v>
      </c>
      <c r="X983" s="7" t="n">
        <v>5015</v>
      </c>
      <c r="Y983" s="8" t="n">
        <v>-1016</v>
      </c>
      <c r="Z983" s="8" t="n">
        <v>-3504</v>
      </c>
      <c r="AA983" s="9" t="n">
        <v>4146</v>
      </c>
      <c r="AB983" s="10" t="n">
        <v>-1108</v>
      </c>
      <c r="AC983" s="10" t="n">
        <v>-4665</v>
      </c>
      <c r="AD983" s="7" t="n">
        <v>7307</v>
      </c>
      <c r="AE983" s="8" t="n">
        <v>-813</v>
      </c>
      <c r="AF983" s="8" t="n">
        <v>4671</v>
      </c>
      <c r="AG983" s="9" t="n">
        <v>2326</v>
      </c>
      <c r="AH983" s="10" t="n">
        <v>-2317</v>
      </c>
      <c r="AI983" s="10" t="n">
        <v>-96</v>
      </c>
      <c r="AJ983" s="11" t="n">
        <v>4900</v>
      </c>
      <c r="AK983" s="12" t="n">
        <v>-1045</v>
      </c>
      <c r="AL983" s="12" t="n">
        <v>-2111</v>
      </c>
      <c r="AM983" s="13" t="n">
        <v>110.7</v>
      </c>
      <c r="AN983" s="13" t="n">
        <v>-2.3</v>
      </c>
      <c r="AO983" s="13" t="n">
        <v>54.9</v>
      </c>
      <c r="AP983" s="13" t="n">
        <v>-2.9</v>
      </c>
    </row>
    <row r="984">
      <c r="A984" s="5" t="inlineStr">
        <is>
          <t>에스티큐브</t>
        </is>
      </c>
      <c r="B984" s="6" t="inlineStr">
        <is>
          <t>052020</t>
        </is>
      </c>
      <c r="C984" s="6" t="inlineStr">
        <is>
          <t>연결</t>
        </is>
      </c>
      <c r="D984" s="6" t="inlineStr">
        <is>
          <t>2026Q2</t>
        </is>
      </c>
      <c r="E984" s="6" t="inlineStr"/>
      <c r="F984" s="7" t="inlineStr"/>
      <c r="G984" s="8" t="inlineStr"/>
      <c r="H984" s="8" t="inlineStr"/>
      <c r="I984" s="9" t="n">
        <v>2606</v>
      </c>
      <c r="J984" s="10" t="n">
        <v>-5229</v>
      </c>
      <c r="K984" s="10" t="n">
        <v>-5021</v>
      </c>
      <c r="L984" s="7" t="n">
        <v>2922</v>
      </c>
      <c r="M984" s="8" t="n">
        <v>-5489</v>
      </c>
      <c r="N984" s="8" t="n">
        <v>-5209</v>
      </c>
      <c r="O984" s="9" t="n">
        <v>3208</v>
      </c>
      <c r="P984" s="10" t="n">
        <v>-6347</v>
      </c>
      <c r="Q984" s="10" t="n">
        <v>-6296</v>
      </c>
      <c r="R984" s="7" t="n">
        <v>2562</v>
      </c>
      <c r="S984" s="8" t="n">
        <v>-5551</v>
      </c>
      <c r="T984" s="8" t="n">
        <v>-4911</v>
      </c>
      <c r="U984" s="9" t="n">
        <v>1808</v>
      </c>
      <c r="V984" s="10" t="n">
        <v>-5166</v>
      </c>
      <c r="W984" s="10" t="n">
        <v>-4570</v>
      </c>
      <c r="X984" s="7" t="n">
        <v>935</v>
      </c>
      <c r="Y984" s="8" t="n">
        <v>-5499</v>
      </c>
      <c r="Z984" s="8" t="n">
        <v>-5434</v>
      </c>
      <c r="AA984" s="9" t="n">
        <v>1504</v>
      </c>
      <c r="AB984" s="10" t="n">
        <v>-5831</v>
      </c>
      <c r="AC984" s="10" t="n">
        <v>-5235</v>
      </c>
      <c r="AD984" s="7" t="n">
        <v>2737</v>
      </c>
      <c r="AE984" s="8" t="n">
        <v>-6977</v>
      </c>
      <c r="AF984" s="8" t="n">
        <v>-6561</v>
      </c>
      <c r="AG984" s="9" t="n">
        <v>1363</v>
      </c>
      <c r="AH984" s="10" t="n">
        <v>-7305</v>
      </c>
      <c r="AI984" s="10" t="n">
        <v>-6748</v>
      </c>
      <c r="AJ984" s="11" t="n">
        <v>1502</v>
      </c>
      <c r="AK984" s="12" t="n">
        <v>-6058</v>
      </c>
      <c r="AL984" s="12" t="n">
        <v>-5525</v>
      </c>
      <c r="AM984" s="13" t="n">
        <v>10.2</v>
      </c>
      <c r="AN984" s="13" t="n">
        <v>60.6</v>
      </c>
      <c r="AO984" s="13" t="n">
        <v>17.1</v>
      </c>
      <c r="AP984" s="13" t="n">
        <v>-10.2</v>
      </c>
    </row>
    <row r="985">
      <c r="A985" s="5" t="inlineStr">
        <is>
          <t>iMBC</t>
        </is>
      </c>
      <c r="B985" s="6" t="inlineStr">
        <is>
          <t>052220</t>
        </is>
      </c>
      <c r="C985" s="6" t="inlineStr">
        <is>
          <t>연결</t>
        </is>
      </c>
      <c r="D985" s="6" t="inlineStr">
        <is>
          <t>2026Q2</t>
        </is>
      </c>
      <c r="E985" s="6" t="inlineStr"/>
      <c r="F985" s="7" t="inlineStr"/>
      <c r="G985" s="8" t="inlineStr"/>
      <c r="H985" s="8" t="inlineStr"/>
      <c r="I985" s="9" t="n">
        <v>11507</v>
      </c>
      <c r="J985" s="10" t="n">
        <v>-186</v>
      </c>
      <c r="K985" s="10" t="n">
        <v>186</v>
      </c>
      <c r="L985" s="7" t="n">
        <v>11749</v>
      </c>
      <c r="M985" s="8" t="n">
        <v>592</v>
      </c>
      <c r="N985" s="8" t="n">
        <v>886</v>
      </c>
      <c r="O985" s="9" t="n">
        <v>10353</v>
      </c>
      <c r="P985" s="10" t="n">
        <v>29</v>
      </c>
      <c r="Q985" s="10" t="n">
        <v>795</v>
      </c>
      <c r="R985" s="7" t="n">
        <v>11834</v>
      </c>
      <c r="S985" s="8" t="n">
        <v>200</v>
      </c>
      <c r="T985" s="8" t="n">
        <v>146</v>
      </c>
      <c r="U985" s="9" t="n">
        <v>10248</v>
      </c>
      <c r="V985" s="10" t="n">
        <v>-533</v>
      </c>
      <c r="W985" s="10" t="n">
        <v>-62</v>
      </c>
      <c r="X985" s="7" t="n">
        <v>9741</v>
      </c>
      <c r="Y985" s="8" t="n">
        <v>-6180</v>
      </c>
      <c r="Z985" s="8" t="n">
        <v>-5758</v>
      </c>
      <c r="AA985" s="9" t="n">
        <v>10070</v>
      </c>
      <c r="AB985" s="10" t="n">
        <v>-1182</v>
      </c>
      <c r="AC985" s="10" t="n">
        <v>-698</v>
      </c>
      <c r="AD985" s="7" t="n">
        <v>9987</v>
      </c>
      <c r="AE985" s="8" t="n">
        <v>263</v>
      </c>
      <c r="AF985" s="8" t="n">
        <v>1084</v>
      </c>
      <c r="AG985" s="9" t="n">
        <v>9630</v>
      </c>
      <c r="AH985" s="10" t="n">
        <v>3</v>
      </c>
      <c r="AI985" s="10" t="n">
        <v>564</v>
      </c>
      <c r="AJ985" s="11" t="n">
        <v>9815</v>
      </c>
      <c r="AK985" s="12" t="n">
        <v>180</v>
      </c>
      <c r="AL985" s="12" t="n">
        <v>478</v>
      </c>
      <c r="AM985" s="13" t="n">
        <v>1.9</v>
      </c>
      <c r="AN985" s="13" t="n">
        <v>0.8</v>
      </c>
      <c r="AO985" s="13" t="n">
        <v>5900</v>
      </c>
      <c r="AP985" s="13" t="n">
        <v>102.9</v>
      </c>
    </row>
    <row r="986">
      <c r="A986" s="5" t="inlineStr">
        <is>
          <t>현대바이오랜드</t>
        </is>
      </c>
      <c r="B986" s="6" t="inlineStr">
        <is>
          <t>052260</t>
        </is>
      </c>
      <c r="C986" s="6" t="inlineStr">
        <is>
          <t>연결</t>
        </is>
      </c>
      <c r="D986" s="6" t="inlineStr">
        <is>
          <t>2026Q2</t>
        </is>
      </c>
      <c r="E986" s="6" t="inlineStr"/>
      <c r="F986" s="7" t="inlineStr"/>
      <c r="G986" s="8" t="inlineStr"/>
      <c r="H986" s="8" t="inlineStr"/>
      <c r="I986" s="9" t="n">
        <v>29993</v>
      </c>
      <c r="J986" s="10" t="n">
        <v>4011</v>
      </c>
      <c r="K986" s="10" t="n">
        <v>3198</v>
      </c>
      <c r="L986" s="7" t="n">
        <v>34537</v>
      </c>
      <c r="M986" s="8" t="n">
        <v>6155</v>
      </c>
      <c r="N986" s="8" t="n">
        <v>4611</v>
      </c>
      <c r="O986" s="9" t="n">
        <v>33494</v>
      </c>
      <c r="P986" s="10" t="n">
        <v>3432</v>
      </c>
      <c r="Q986" s="10" t="n">
        <v>3054</v>
      </c>
      <c r="R986" s="7" t="n">
        <v>21495</v>
      </c>
      <c r="S986" s="8" t="n">
        <v>2767</v>
      </c>
      <c r="T986" s="8" t="n">
        <v>-5160</v>
      </c>
      <c r="U986" s="9" t="n">
        <v>33699</v>
      </c>
      <c r="V986" s="10" t="n">
        <v>4971</v>
      </c>
      <c r="W986" s="10" t="n">
        <v>-7017</v>
      </c>
      <c r="X986" s="7" t="n">
        <v>34613</v>
      </c>
      <c r="Y986" s="8" t="n">
        <v>5506</v>
      </c>
      <c r="Z986" s="8" t="n">
        <v>5095</v>
      </c>
      <c r="AA986" s="9" t="n">
        <v>35478</v>
      </c>
      <c r="AB986" s="10" t="n">
        <v>4714</v>
      </c>
      <c r="AC986" s="10" t="n">
        <v>3942</v>
      </c>
      <c r="AD986" s="7" t="n">
        <v>26715</v>
      </c>
      <c r="AE986" s="8" t="n">
        <v>-2474</v>
      </c>
      <c r="AF986" s="8" t="n">
        <v>-1767</v>
      </c>
      <c r="AG986" s="9" t="n">
        <v>38232</v>
      </c>
      <c r="AH986" s="10" t="n">
        <v>5191</v>
      </c>
      <c r="AI986" s="10" t="n">
        <v>5211</v>
      </c>
      <c r="AJ986" s="11" t="n">
        <v>40273</v>
      </c>
      <c r="AK986" s="12" t="n">
        <v>7044</v>
      </c>
      <c r="AL986" s="12" t="n">
        <v>5963</v>
      </c>
      <c r="AM986" s="13" t="n">
        <v>5.3</v>
      </c>
      <c r="AN986" s="13" t="n">
        <v>16.4</v>
      </c>
      <c r="AO986" s="13" t="n">
        <v>35.7</v>
      </c>
      <c r="AP986" s="13" t="n">
        <v>27.9</v>
      </c>
    </row>
    <row r="987">
      <c r="A987" s="5" t="inlineStr">
        <is>
          <t>오션인더블유</t>
        </is>
      </c>
      <c r="B987" s="6" t="inlineStr">
        <is>
          <t>052300</t>
        </is>
      </c>
      <c r="C987" s="6" t="inlineStr">
        <is>
          <t>연결</t>
        </is>
      </c>
      <c r="D987" s="6" t="inlineStr">
        <is>
          <t>2026Q2</t>
        </is>
      </c>
      <c r="E987" s="6" t="inlineStr"/>
      <c r="F987" s="7" t="inlineStr"/>
      <c r="G987" s="8" t="inlineStr"/>
      <c r="H987" s="8" t="inlineStr"/>
      <c r="I987" s="9" t="n">
        <v>2077</v>
      </c>
      <c r="J987" s="10" t="n">
        <v>-368</v>
      </c>
      <c r="K987" s="10" t="n">
        <v>27250</v>
      </c>
      <c r="L987" s="7" t="n">
        <v>1644</v>
      </c>
      <c r="M987" s="8" t="n">
        <v>-647</v>
      </c>
      <c r="N987" s="8" t="n">
        <v>71091</v>
      </c>
      <c r="O987" s="9" t="n">
        <v>1287</v>
      </c>
      <c r="P987" s="10" t="n">
        <v>-953</v>
      </c>
      <c r="Q987" s="10" t="n">
        <v>14819</v>
      </c>
      <c r="R987" s="7" t="n">
        <v>1794</v>
      </c>
      <c r="S987" s="8" t="n">
        <v>-1299</v>
      </c>
      <c r="T987" s="8" t="n">
        <v>54738</v>
      </c>
      <c r="U987" s="9" t="n">
        <v>1385</v>
      </c>
      <c r="V987" s="10" t="n">
        <v>-604</v>
      </c>
      <c r="W987" s="10" t="n">
        <v>956</v>
      </c>
      <c r="X987" s="7" t="n">
        <v>2198</v>
      </c>
      <c r="Y987" s="8" t="n">
        <v>-423</v>
      </c>
      <c r="Z987" s="8" t="n">
        <v>46214</v>
      </c>
      <c r="AA987" s="9" t="n">
        <v>2144</v>
      </c>
      <c r="AB987" s="10" t="n">
        <v>-527</v>
      </c>
      <c r="AC987" s="10" t="n">
        <v>1203</v>
      </c>
      <c r="AD987" s="7" t="n">
        <v>1843</v>
      </c>
      <c r="AE987" s="8" t="n">
        <v>-898</v>
      </c>
      <c r="AF987" s="8" t="n">
        <v>-67465</v>
      </c>
      <c r="AG987" s="9" t="n">
        <v>6869</v>
      </c>
      <c r="AH987" s="10" t="n">
        <v>-1299</v>
      </c>
      <c r="AI987" s="10" t="n">
        <v>19064</v>
      </c>
      <c r="AJ987" s="11" t="n">
        <v>15008</v>
      </c>
      <c r="AK987" s="12" t="n">
        <v>1947</v>
      </c>
      <c r="AL987" s="12" t="n">
        <v>-5308</v>
      </c>
      <c r="AM987" s="13" t="n">
        <v>118.5</v>
      </c>
      <c r="AN987" s="13" t="n">
        <v>582.8</v>
      </c>
      <c r="AO987" s="13" t="n">
        <v>249.9</v>
      </c>
      <c r="AP987" s="13" t="n">
        <v>560.3</v>
      </c>
    </row>
    <row r="988">
      <c r="A988" s="5" t="inlineStr">
        <is>
          <t>코텍</t>
        </is>
      </c>
      <c r="B988" s="6" t="inlineStr">
        <is>
          <t>052330</t>
        </is>
      </c>
      <c r="C988" s="6" t="inlineStr">
        <is>
          <t>연결</t>
        </is>
      </c>
      <c r="D988" s="6" t="inlineStr">
        <is>
          <t>2026Q2</t>
        </is>
      </c>
      <c r="E988" s="6" t="inlineStr"/>
      <c r="F988" s="7" t="inlineStr"/>
      <c r="G988" s="8" t="inlineStr"/>
      <c r="H988" s="8" t="inlineStr"/>
      <c r="I988" s="9" t="n">
        <v>71873</v>
      </c>
      <c r="J988" s="10" t="n">
        <v>3454</v>
      </c>
      <c r="K988" s="10" t="n">
        <v>6144</v>
      </c>
      <c r="L988" s="7" t="n">
        <v>71805</v>
      </c>
      <c r="M988" s="8" t="n">
        <v>5877</v>
      </c>
      <c r="N988" s="8" t="n">
        <v>6848</v>
      </c>
      <c r="O988" s="9" t="n">
        <v>85303</v>
      </c>
      <c r="P988" s="10" t="n">
        <v>7628</v>
      </c>
      <c r="Q988" s="10" t="n">
        <v>2180</v>
      </c>
      <c r="R988" s="7" t="n">
        <v>79008</v>
      </c>
      <c r="S988" s="8" t="n">
        <v>6589</v>
      </c>
      <c r="T988" s="8" t="n">
        <v>11474</v>
      </c>
      <c r="U988" s="9" t="n">
        <v>84334</v>
      </c>
      <c r="V988" s="10" t="n">
        <v>10673</v>
      </c>
      <c r="W988" s="10" t="n">
        <v>8956</v>
      </c>
      <c r="X988" s="7" t="n">
        <v>94374</v>
      </c>
      <c r="Y988" s="8" t="n">
        <v>6685</v>
      </c>
      <c r="Z988" s="8" t="n">
        <v>1690</v>
      </c>
      <c r="AA988" s="9" t="n">
        <v>105637</v>
      </c>
      <c r="AB988" s="10" t="n">
        <v>8239</v>
      </c>
      <c r="AC988" s="10" t="n">
        <v>5771</v>
      </c>
      <c r="AD988" s="7" t="n">
        <v>112495</v>
      </c>
      <c r="AE988" s="8" t="n">
        <v>12189</v>
      </c>
      <c r="AF988" s="8" t="n">
        <v>11913</v>
      </c>
      <c r="AG988" s="9" t="n">
        <v>116827</v>
      </c>
      <c r="AH988" s="10" t="n">
        <v>15425</v>
      </c>
      <c r="AI988" s="10" t="n">
        <v>15725</v>
      </c>
      <c r="AJ988" s="11" t="n">
        <v>129614</v>
      </c>
      <c r="AK988" s="12" t="n">
        <v>16038</v>
      </c>
      <c r="AL988" s="12" t="n">
        <v>16180</v>
      </c>
      <c r="AM988" s="13" t="n">
        <v>10.9</v>
      </c>
      <c r="AN988" s="13" t="n">
        <v>37.3</v>
      </c>
      <c r="AO988" s="13" t="n">
        <v>4</v>
      </c>
      <c r="AP988" s="13" t="n">
        <v>139.9</v>
      </c>
    </row>
    <row r="989">
      <c r="A989" s="5" t="inlineStr">
        <is>
          <t>코나아이</t>
        </is>
      </c>
      <c r="B989" s="6" t="inlineStr">
        <is>
          <t>052400</t>
        </is>
      </c>
      <c r="C989" s="6" t="inlineStr">
        <is>
          <t>연결</t>
        </is>
      </c>
      <c r="D989" s="6" t="inlineStr">
        <is>
          <t>2026Q2</t>
        </is>
      </c>
      <c r="E989" s="6" t="inlineStr">
        <is>
          <t>2023Q4</t>
        </is>
      </c>
      <c r="F989" s="14" t="n">
        <v>65307</v>
      </c>
      <c r="G989" s="15" t="n">
        <v>797</v>
      </c>
      <c r="H989" s="15" t="n">
        <v>3858</v>
      </c>
      <c r="I989" s="9" t="n">
        <v>54282</v>
      </c>
      <c r="J989" s="10" t="n">
        <v>3696</v>
      </c>
      <c r="K989" s="10" t="n">
        <v>5260</v>
      </c>
      <c r="L989" s="7" t="n">
        <v>66408</v>
      </c>
      <c r="M989" s="8" t="n">
        <v>13540</v>
      </c>
      <c r="N989" s="8" t="n">
        <v>10630</v>
      </c>
      <c r="O989" s="9" t="n">
        <v>55576</v>
      </c>
      <c r="P989" s="10" t="n">
        <v>10113</v>
      </c>
      <c r="Q989" s="10" t="n">
        <v>7436</v>
      </c>
      <c r="R989" s="7" t="n">
        <v>60042</v>
      </c>
      <c r="S989" s="8" t="n">
        <v>6065</v>
      </c>
      <c r="T989" s="8" t="n">
        <v>6837</v>
      </c>
      <c r="U989" s="9" t="n">
        <v>58315</v>
      </c>
      <c r="V989" s="10" t="n">
        <v>12683</v>
      </c>
      <c r="W989" s="10" t="n">
        <v>9013</v>
      </c>
      <c r="X989" s="7" t="n">
        <v>67214</v>
      </c>
      <c r="Y989" s="8" t="n">
        <v>17207</v>
      </c>
      <c r="Z989" s="8" t="n">
        <v>15575</v>
      </c>
      <c r="AA989" s="9" t="n">
        <v>93250</v>
      </c>
      <c r="AB989" s="10" t="n">
        <v>30177</v>
      </c>
      <c r="AC989" s="10" t="n">
        <v>30050</v>
      </c>
      <c r="AD989" s="7" t="n">
        <v>90385</v>
      </c>
      <c r="AE989" s="8" t="n">
        <v>28832</v>
      </c>
      <c r="AF989" s="8" t="n">
        <v>19905</v>
      </c>
      <c r="AG989" s="9" t="n">
        <v>76960</v>
      </c>
      <c r="AH989" s="10" t="n">
        <v>24780</v>
      </c>
      <c r="AI989" s="10" t="n">
        <v>23424</v>
      </c>
      <c r="AJ989" s="11" t="n">
        <v>84596</v>
      </c>
      <c r="AK989" s="12" t="n">
        <v>21396</v>
      </c>
      <c r="AL989" s="12" t="n">
        <v>22480</v>
      </c>
      <c r="AM989" s="13" t="n">
        <v>9.9</v>
      </c>
      <c r="AN989" s="13" t="n">
        <v>25.9</v>
      </c>
      <c r="AO989" s="13" t="n">
        <v>-13.7</v>
      </c>
      <c r="AP989" s="13" t="n">
        <v>24.3</v>
      </c>
    </row>
    <row r="990">
      <c r="A990" s="5" t="inlineStr">
        <is>
          <t>오성첨단소재</t>
        </is>
      </c>
      <c r="B990" s="6" t="inlineStr">
        <is>
          <t>052420</t>
        </is>
      </c>
      <c r="C990" s="6" t="inlineStr">
        <is>
          <t>연결</t>
        </is>
      </c>
      <c r="D990" s="6" t="inlineStr">
        <is>
          <t>2026Q2</t>
        </is>
      </c>
      <c r="E990" s="6" t="inlineStr"/>
      <c r="F990" s="7" t="inlineStr"/>
      <c r="G990" s="8" t="inlineStr"/>
      <c r="H990" s="8" t="inlineStr"/>
      <c r="I990" s="9" t="n">
        <v>34853</v>
      </c>
      <c r="J990" s="10" t="n">
        <v>5333</v>
      </c>
      <c r="K990" s="10" t="n">
        <v>6721</v>
      </c>
      <c r="L990" s="7" t="n">
        <v>35902</v>
      </c>
      <c r="M990" s="8" t="n">
        <v>5378</v>
      </c>
      <c r="N990" s="8" t="n">
        <v>-1341</v>
      </c>
      <c r="O990" s="9" t="n">
        <v>38101</v>
      </c>
      <c r="P990" s="10" t="n">
        <v>5407</v>
      </c>
      <c r="Q990" s="10" t="n">
        <v>-787</v>
      </c>
      <c r="R990" s="7" t="n">
        <v>37553</v>
      </c>
      <c r="S990" s="8" t="n">
        <v>6107</v>
      </c>
      <c r="T990" s="8" t="n">
        <v>7364</v>
      </c>
      <c r="U990" s="9" t="n">
        <v>41336</v>
      </c>
      <c r="V990" s="10" t="n">
        <v>8443</v>
      </c>
      <c r="W990" s="10" t="n">
        <v>8038</v>
      </c>
      <c r="X990" s="7" t="n">
        <v>39697</v>
      </c>
      <c r="Y990" s="8" t="n">
        <v>6225</v>
      </c>
      <c r="Z990" s="8" t="n">
        <v>3465</v>
      </c>
      <c r="AA990" s="9" t="n">
        <v>41910</v>
      </c>
      <c r="AB990" s="10" t="n">
        <v>7962</v>
      </c>
      <c r="AC990" s="10" t="n">
        <v>11208</v>
      </c>
      <c r="AD990" s="7" t="n">
        <v>42764</v>
      </c>
      <c r="AE990" s="8" t="n">
        <v>7493</v>
      </c>
      <c r="AF990" s="8" t="n">
        <v>9665</v>
      </c>
      <c r="AG990" s="9" t="n">
        <v>11493</v>
      </c>
      <c r="AH990" s="10" t="n">
        <v>3409</v>
      </c>
      <c r="AI990" s="10" t="n">
        <v>22898</v>
      </c>
      <c r="AJ990" s="11" t="n">
        <v>11441</v>
      </c>
      <c r="AK990" s="12" t="n">
        <v>-2380</v>
      </c>
      <c r="AL990" s="12" t="n">
        <v>132994</v>
      </c>
      <c r="AM990" s="13" t="n">
        <v>-0.5</v>
      </c>
      <c r="AN990" s="13" t="n">
        <v>-71.2</v>
      </c>
      <c r="AO990" s="13" t="n">
        <v>-169.8</v>
      </c>
      <c r="AP990" s="13" t="n">
        <v>-138.2</v>
      </c>
    </row>
    <row r="991">
      <c r="A991" s="5" t="inlineStr">
        <is>
          <t>아이크래프트</t>
        </is>
      </c>
      <c r="B991" s="6" t="inlineStr">
        <is>
          <t>052460</t>
        </is>
      </c>
      <c r="C991" s="6" t="inlineStr">
        <is>
          <t>연결</t>
        </is>
      </c>
      <c r="D991" s="6" t="inlineStr">
        <is>
          <t>2026Q2</t>
        </is>
      </c>
      <c r="E991" s="6" t="inlineStr">
        <is>
          <t>2023Q4</t>
        </is>
      </c>
      <c r="F991" s="14" t="n">
        <v>34477</v>
      </c>
      <c r="G991" s="15" t="n">
        <v>1632</v>
      </c>
      <c r="H991" s="15" t="n">
        <v>2228</v>
      </c>
      <c r="I991" s="9" t="n">
        <v>36309</v>
      </c>
      <c r="J991" s="10" t="n">
        <v>3482</v>
      </c>
      <c r="K991" s="10" t="n">
        <v>3187</v>
      </c>
      <c r="L991" s="7" t="n">
        <v>19740</v>
      </c>
      <c r="M991" s="8" t="n">
        <v>-1584</v>
      </c>
      <c r="N991" s="8" t="n">
        <v>-2062</v>
      </c>
      <c r="O991" s="9" t="n">
        <v>14494</v>
      </c>
      <c r="P991" s="10" t="n">
        <v>-1202</v>
      </c>
      <c r="Q991" s="10" t="n">
        <v>-1316</v>
      </c>
      <c r="R991" s="7" t="n">
        <v>29945</v>
      </c>
      <c r="S991" s="8" t="n">
        <v>902</v>
      </c>
      <c r="T991" s="8" t="n">
        <v>-655</v>
      </c>
      <c r="U991" s="9" t="n">
        <v>40294</v>
      </c>
      <c r="V991" s="10" t="n">
        <v>-1637</v>
      </c>
      <c r="W991" s="10" t="n">
        <v>-1139</v>
      </c>
      <c r="X991" s="7" t="n">
        <v>29380</v>
      </c>
      <c r="Y991" s="8" t="n">
        <v>-722</v>
      </c>
      <c r="Z991" s="8" t="n">
        <v>2101</v>
      </c>
      <c r="AA991" s="9" t="n">
        <v>27634</v>
      </c>
      <c r="AB991" s="10" t="n">
        <v>-1027</v>
      </c>
      <c r="AC991" s="10" t="n">
        <v>1008</v>
      </c>
      <c r="AD991" s="7" t="n">
        <v>109192</v>
      </c>
      <c r="AE991" s="8" t="n">
        <v>11401</v>
      </c>
      <c r="AF991" s="8" t="n">
        <v>8174</v>
      </c>
      <c r="AG991" s="9" t="n">
        <v>16342</v>
      </c>
      <c r="AH991" s="10" t="n">
        <v>-2499</v>
      </c>
      <c r="AI991" s="10" t="n">
        <v>-1941</v>
      </c>
      <c r="AJ991" s="11" t="n">
        <v>40030</v>
      </c>
      <c r="AK991" s="12" t="n">
        <v>-291</v>
      </c>
      <c r="AL991" s="12" t="n">
        <v>-1695</v>
      </c>
      <c r="AM991" s="13" t="n">
        <v>145</v>
      </c>
      <c r="AN991" s="13" t="n">
        <v>36.2</v>
      </c>
      <c r="AO991" s="13" t="n">
        <v>88.40000000000001</v>
      </c>
      <c r="AP991" s="13" t="n">
        <v>59.7</v>
      </c>
    </row>
    <row r="992">
      <c r="A992" s="5" t="inlineStr">
        <is>
          <t>한네트</t>
        </is>
      </c>
      <c r="B992" s="6" t="inlineStr">
        <is>
          <t>052600</t>
        </is>
      </c>
      <c r="C992" s="6" t="inlineStr">
        <is>
          <t>별도</t>
        </is>
      </c>
      <c r="D992" s="6" t="inlineStr">
        <is>
          <t>2026Q2</t>
        </is>
      </c>
      <c r="E992" s="6" t="inlineStr"/>
      <c r="F992" s="7" t="inlineStr"/>
      <c r="G992" s="8" t="inlineStr"/>
      <c r="H992" s="8" t="inlineStr"/>
      <c r="I992" s="9" t="n">
        <v>6393</v>
      </c>
      <c r="J992" s="10" t="n">
        <v>1090</v>
      </c>
      <c r="K992" s="10" t="n">
        <v>867</v>
      </c>
      <c r="L992" s="7" t="n">
        <v>5869</v>
      </c>
      <c r="M992" s="8" t="n">
        <v>813</v>
      </c>
      <c r="N992" s="8" t="n">
        <v>531</v>
      </c>
      <c r="O992" s="9" t="n">
        <v>6628</v>
      </c>
      <c r="P992" s="10" t="n">
        <v>1319</v>
      </c>
      <c r="Q992" s="10" t="n">
        <v>1025</v>
      </c>
      <c r="R992" s="7" t="n">
        <v>7008</v>
      </c>
      <c r="S992" s="8" t="n">
        <v>982</v>
      </c>
      <c r="T992" s="8" t="n">
        <v>1005</v>
      </c>
      <c r="U992" s="9" t="n">
        <v>6331</v>
      </c>
      <c r="V992" s="10" t="n">
        <v>1048</v>
      </c>
      <c r="W992" s="10" t="n">
        <v>800</v>
      </c>
      <c r="X992" s="7" t="n">
        <v>7105</v>
      </c>
      <c r="Y992" s="8" t="n">
        <v>1235</v>
      </c>
      <c r="Z992" s="8" t="n">
        <v>954</v>
      </c>
      <c r="AA992" s="9" t="n">
        <v>6348</v>
      </c>
      <c r="AB992" s="10" t="n">
        <v>1054</v>
      </c>
      <c r="AC992" s="10" t="n">
        <v>948</v>
      </c>
      <c r="AD992" s="7" t="n">
        <v>7042</v>
      </c>
      <c r="AE992" s="8" t="n">
        <v>1036</v>
      </c>
      <c r="AF992" s="8" t="n">
        <v>947</v>
      </c>
      <c r="AG992" s="9" t="n">
        <v>6595</v>
      </c>
      <c r="AH992" s="10" t="n">
        <v>1173</v>
      </c>
      <c r="AI992" s="10" t="n">
        <v>1015</v>
      </c>
      <c r="AJ992" s="11" t="n">
        <v>6458</v>
      </c>
      <c r="AK992" s="12" t="n">
        <v>1080</v>
      </c>
      <c r="AL992" s="12" t="n">
        <v>1450</v>
      </c>
      <c r="AM992" s="13" t="n">
        <v>-2.1</v>
      </c>
      <c r="AN992" s="13" t="n">
        <v>-9.1</v>
      </c>
      <c r="AO992" s="13" t="n">
        <v>-7.9</v>
      </c>
      <c r="AP992" s="13" t="n">
        <v>-12.6</v>
      </c>
    </row>
    <row r="993">
      <c r="A993" s="5" t="inlineStr">
        <is>
          <t>한전기술</t>
        </is>
      </c>
      <c r="B993" s="6" t="inlineStr">
        <is>
          <t>052690</t>
        </is>
      </c>
      <c r="C993" s="6" t="inlineStr">
        <is>
          <t>연결</t>
        </is>
      </c>
      <c r="D993" s="6" t="inlineStr">
        <is>
          <t>2026Q2</t>
        </is>
      </c>
      <c r="E993" s="6" t="inlineStr">
        <is>
          <t>2025Q1, 2025Q4</t>
        </is>
      </c>
      <c r="F993" s="7" t="inlineStr"/>
      <c r="G993" s="8" t="inlineStr"/>
      <c r="H993" s="8" t="inlineStr"/>
      <c r="I993" s="9" t="n">
        <v>127615</v>
      </c>
      <c r="J993" s="10" t="n">
        <v>9125</v>
      </c>
      <c r="K993" s="10" t="n">
        <v>8647</v>
      </c>
      <c r="L993" s="7" t="n">
        <v>127244</v>
      </c>
      <c r="M993" s="8" t="n">
        <v>13178</v>
      </c>
      <c r="N993" s="8" t="n">
        <v>16754</v>
      </c>
      <c r="O993" s="9" t="n">
        <v>105868</v>
      </c>
      <c r="P993" s="10" t="n">
        <v>5668</v>
      </c>
      <c r="Q993" s="10" t="n">
        <v>6739</v>
      </c>
      <c r="R993" s="7" t="n">
        <v>192636</v>
      </c>
      <c r="S993" s="8" t="n">
        <v>26835</v>
      </c>
      <c r="T993" s="8" t="n">
        <v>26372</v>
      </c>
      <c r="U993" s="14" t="n">
        <v>96419</v>
      </c>
      <c r="V993" s="15" t="n">
        <v>1190</v>
      </c>
      <c r="W993" s="15" t="n">
        <v>65903</v>
      </c>
      <c r="X993" s="7" t="n">
        <v>102267</v>
      </c>
      <c r="Y993" s="8" t="n">
        <v>-4428</v>
      </c>
      <c r="Z993" s="8" t="n">
        <v>326</v>
      </c>
      <c r="AA993" s="9" t="n">
        <v>114579</v>
      </c>
      <c r="AB993" s="10" t="n">
        <v>12255</v>
      </c>
      <c r="AC993" s="10" t="n">
        <v>11264</v>
      </c>
      <c r="AD993" s="14" t="n">
        <v>113334</v>
      </c>
      <c r="AE993" s="15" t="n">
        <v>14063</v>
      </c>
      <c r="AF993" s="15" t="n">
        <v>14102</v>
      </c>
      <c r="AG993" s="9" t="n">
        <v>113334</v>
      </c>
      <c r="AH993" s="10" t="n">
        <v>14063</v>
      </c>
      <c r="AI993" s="10" t="n">
        <v>14102</v>
      </c>
      <c r="AJ993" s="11" t="n">
        <v>103284</v>
      </c>
      <c r="AK993" s="12" t="n">
        <v>2993</v>
      </c>
      <c r="AL993" s="12" t="n">
        <v>2727</v>
      </c>
      <c r="AM993" s="13" t="n">
        <v>-8.9</v>
      </c>
      <c r="AN993" s="13" t="n">
        <v>1</v>
      </c>
      <c r="AO993" s="13" t="n">
        <v>-78.7</v>
      </c>
      <c r="AP993" s="13" t="n">
        <v>167.6</v>
      </c>
    </row>
    <row r="994">
      <c r="A994" s="5" t="inlineStr">
        <is>
          <t>아모텍</t>
        </is>
      </c>
      <c r="B994" s="6" t="inlineStr">
        <is>
          <t>052710</t>
        </is>
      </c>
      <c r="C994" s="6" t="inlineStr">
        <is>
          <t>연결</t>
        </is>
      </c>
      <c r="D994" s="6" t="inlineStr">
        <is>
          <t>2026Q2</t>
        </is>
      </c>
      <c r="E994" s="6" t="inlineStr"/>
      <c r="F994" s="7" t="inlineStr"/>
      <c r="G994" s="8" t="inlineStr"/>
      <c r="H994" s="8" t="inlineStr"/>
      <c r="I994" s="9" t="n">
        <v>65600</v>
      </c>
      <c r="J994" s="10" t="n">
        <v>256</v>
      </c>
      <c r="K994" s="10" t="n">
        <v>1017</v>
      </c>
      <c r="L994" s="7" t="n">
        <v>54341</v>
      </c>
      <c r="M994" s="8" t="n">
        <v>-6182</v>
      </c>
      <c r="N994" s="8" t="n">
        <v>-5568</v>
      </c>
      <c r="O994" s="9" t="n">
        <v>52447</v>
      </c>
      <c r="P994" s="10" t="n">
        <v>-3776</v>
      </c>
      <c r="Q994" s="10" t="n">
        <v>-6612</v>
      </c>
      <c r="R994" s="7" t="n">
        <v>57057</v>
      </c>
      <c r="S994" s="8" t="n">
        <v>-14199</v>
      </c>
      <c r="T994" s="8" t="n">
        <v>-8624</v>
      </c>
      <c r="U994" s="9" t="n">
        <v>84046</v>
      </c>
      <c r="V994" s="10" t="n">
        <v>3907</v>
      </c>
      <c r="W994" s="10" t="n">
        <v>2504</v>
      </c>
      <c r="X994" s="7" t="n">
        <v>59405</v>
      </c>
      <c r="Y994" s="8" t="n">
        <v>1266</v>
      </c>
      <c r="Z994" s="8" t="n">
        <v>7006</v>
      </c>
      <c r="AA994" s="9" t="n">
        <v>56736</v>
      </c>
      <c r="AB994" s="10" t="n">
        <v>780</v>
      </c>
      <c r="AC994" s="10" t="n">
        <v>-50</v>
      </c>
      <c r="AD994" s="7" t="n">
        <v>53578</v>
      </c>
      <c r="AE994" s="8" t="n">
        <v>-448</v>
      </c>
      <c r="AF994" s="8" t="n">
        <v>-1540</v>
      </c>
      <c r="AG994" s="9" t="n">
        <v>60979</v>
      </c>
      <c r="AH994" s="10" t="n">
        <v>572</v>
      </c>
      <c r="AI994" s="10" t="n">
        <v>535</v>
      </c>
      <c r="AJ994" s="11" t="n">
        <v>62300</v>
      </c>
      <c r="AK994" s="12" t="n">
        <v>-575</v>
      </c>
      <c r="AL994" s="12" t="n">
        <v>-2409</v>
      </c>
      <c r="AM994" s="13" t="n">
        <v>2.2</v>
      </c>
      <c r="AN994" s="13" t="n">
        <v>4.9</v>
      </c>
      <c r="AO994" s="13" t="n">
        <v>-200.5</v>
      </c>
      <c r="AP994" s="13" t="n">
        <v>-145.4</v>
      </c>
    </row>
    <row r="995">
      <c r="A995" s="5" t="inlineStr">
        <is>
          <t>아이톡시</t>
        </is>
      </c>
      <c r="B995" s="6" t="inlineStr">
        <is>
          <t>052770</t>
        </is>
      </c>
      <c r="C995" s="6" t="inlineStr">
        <is>
          <t>별도</t>
        </is>
      </c>
      <c r="D995" s="6" t="inlineStr">
        <is>
          <t>2026Q2</t>
        </is>
      </c>
      <c r="E995" s="6" t="inlineStr"/>
      <c r="F995" s="7" t="inlineStr"/>
      <c r="G995" s="8" t="inlineStr"/>
      <c r="H995" s="8" t="inlineStr"/>
      <c r="I995" s="9" t="n">
        <v>3453</v>
      </c>
      <c r="J995" s="10" t="n">
        <v>-1681</v>
      </c>
      <c r="K995" s="10" t="n">
        <v>-1710</v>
      </c>
      <c r="L995" s="7" t="n">
        <v>5596</v>
      </c>
      <c r="M995" s="8" t="n">
        <v>-1583</v>
      </c>
      <c r="N995" s="8" t="n">
        <v>-1585</v>
      </c>
      <c r="O995" s="9" t="n">
        <v>4414</v>
      </c>
      <c r="P995" s="10" t="n">
        <v>-3407</v>
      </c>
      <c r="Q995" s="10" t="n">
        <v>-3259</v>
      </c>
      <c r="R995" s="7" t="n">
        <v>3711</v>
      </c>
      <c r="S995" s="8" t="n">
        <v>-5178</v>
      </c>
      <c r="T995" s="8" t="n">
        <v>-10294</v>
      </c>
      <c r="U995" s="9" t="n">
        <v>2589</v>
      </c>
      <c r="V995" s="10" t="n">
        <v>-2741</v>
      </c>
      <c r="W995" s="10" t="n">
        <v>-2758</v>
      </c>
      <c r="X995" s="7" t="n">
        <v>6411</v>
      </c>
      <c r="Y995" s="8" t="n">
        <v>-1355</v>
      </c>
      <c r="Z995" s="8" t="n">
        <v>3255</v>
      </c>
      <c r="AA995" s="9" t="n">
        <v>709</v>
      </c>
      <c r="AB995" s="10" t="n">
        <v>-950</v>
      </c>
      <c r="AC995" s="10" t="n">
        <v>1439</v>
      </c>
      <c r="AD995" s="7" t="n">
        <v>-4005</v>
      </c>
      <c r="AE995" s="8" t="n">
        <v>120</v>
      </c>
      <c r="AF995" s="8" t="n">
        <v>-9220</v>
      </c>
      <c r="AG995" s="9" t="n">
        <v>964</v>
      </c>
      <c r="AH995" s="10" t="n">
        <v>-463</v>
      </c>
      <c r="AI995" s="10" t="n">
        <v>-392</v>
      </c>
      <c r="AJ995" s="11" t="n">
        <v>72</v>
      </c>
      <c r="AK995" s="12" t="n">
        <v>-552</v>
      </c>
      <c r="AL995" s="12" t="n">
        <v>-387</v>
      </c>
      <c r="AM995" s="13" t="n">
        <v>-92.5</v>
      </c>
      <c r="AN995" s="13" t="n">
        <v>-98.90000000000001</v>
      </c>
      <c r="AO995" s="13" t="n">
        <v>-19.2</v>
      </c>
      <c r="AP995" s="13" t="n">
        <v>59.3</v>
      </c>
    </row>
    <row r="996">
      <c r="A996" s="5" t="inlineStr">
        <is>
          <t>액토즈소프트</t>
        </is>
      </c>
      <c r="B996" s="6" t="inlineStr">
        <is>
          <t>052790</t>
        </is>
      </c>
      <c r="C996" s="6" t="inlineStr">
        <is>
          <t>연결</t>
        </is>
      </c>
      <c r="D996" s="6" t="inlineStr">
        <is>
          <t>2026Q2</t>
        </is>
      </c>
      <c r="E996" s="6" t="inlineStr"/>
      <c r="F996" s="7" t="inlineStr"/>
      <c r="G996" s="8" t="inlineStr"/>
      <c r="H996" s="8" t="inlineStr"/>
      <c r="I996" s="9" t="n">
        <v>8473</v>
      </c>
      <c r="J996" s="10" t="n">
        <v>-1181</v>
      </c>
      <c r="K996" s="10" t="n">
        <v>4411</v>
      </c>
      <c r="L996" s="7" t="n">
        <v>9631</v>
      </c>
      <c r="M996" s="8" t="n">
        <v>-804</v>
      </c>
      <c r="N996" s="8" t="n">
        <v>-5721</v>
      </c>
      <c r="O996" s="9" t="n">
        <v>41440</v>
      </c>
      <c r="P996" s="10" t="n">
        <v>23114</v>
      </c>
      <c r="Q996" s="10" t="n">
        <v>17599</v>
      </c>
      <c r="R996" s="7" t="n">
        <v>20103</v>
      </c>
      <c r="S996" s="8" t="n">
        <v>8337</v>
      </c>
      <c r="T996" s="8" t="n">
        <v>-8848</v>
      </c>
      <c r="U996" s="9" t="n">
        <v>13506</v>
      </c>
      <c r="V996" s="10" t="n">
        <v>-1898</v>
      </c>
      <c r="W996" s="10" t="n">
        <v>118</v>
      </c>
      <c r="X996" s="7" t="n">
        <v>9499</v>
      </c>
      <c r="Y996" s="8" t="n">
        <v>-126</v>
      </c>
      <c r="Z996" s="8" t="n">
        <v>-513</v>
      </c>
      <c r="AA996" s="9" t="n">
        <v>34791</v>
      </c>
      <c r="AB996" s="10" t="n">
        <v>25560</v>
      </c>
      <c r="AC996" s="10" t="n">
        <v>26107</v>
      </c>
      <c r="AD996" s="7" t="n">
        <v>12132</v>
      </c>
      <c r="AE996" s="8" t="n">
        <v>5051</v>
      </c>
      <c r="AF996" s="8" t="n">
        <v>5954</v>
      </c>
      <c r="AG996" s="9" t="n">
        <v>10134</v>
      </c>
      <c r="AH996" s="10" t="n">
        <v>1897</v>
      </c>
      <c r="AI996" s="10" t="n">
        <v>5206</v>
      </c>
      <c r="AJ996" s="11" t="n">
        <v>17132</v>
      </c>
      <c r="AK996" s="12" t="n">
        <v>5424</v>
      </c>
      <c r="AL996" s="12" t="n">
        <v>15767</v>
      </c>
      <c r="AM996" s="13" t="n">
        <v>69.09999999999999</v>
      </c>
      <c r="AN996" s="13" t="n">
        <v>80.40000000000001</v>
      </c>
      <c r="AO996" s="13" t="n">
        <v>185.9</v>
      </c>
      <c r="AP996" s="13" t="n">
        <v>4404.8</v>
      </c>
    </row>
    <row r="997">
      <c r="A997" s="5" t="inlineStr">
        <is>
          <t>아이앤씨</t>
        </is>
      </c>
      <c r="B997" s="6" t="inlineStr">
        <is>
          <t>052860</t>
        </is>
      </c>
      <c r="C997" s="6" t="inlineStr">
        <is>
          <t>연결</t>
        </is>
      </c>
      <c r="D997" s="6" t="inlineStr">
        <is>
          <t>2026Q2</t>
        </is>
      </c>
      <c r="E997" s="6" t="inlineStr"/>
      <c r="F997" s="7" t="inlineStr"/>
      <c r="G997" s="8" t="inlineStr"/>
      <c r="H997" s="8" t="inlineStr"/>
      <c r="I997" s="9" t="n">
        <v>4780</v>
      </c>
      <c r="J997" s="10" t="n">
        <v>-2065</v>
      </c>
      <c r="K997" s="10" t="n">
        <v>-2101</v>
      </c>
      <c r="L997" s="7" t="n">
        <v>6103</v>
      </c>
      <c r="M997" s="8" t="n">
        <v>-1657</v>
      </c>
      <c r="N997" s="8" t="n">
        <v>-2296</v>
      </c>
      <c r="O997" s="9" t="n">
        <v>9250</v>
      </c>
      <c r="P997" s="10" t="n">
        <v>-588</v>
      </c>
      <c r="Q997" s="10" t="n">
        <v>-635</v>
      </c>
      <c r="R997" s="7" t="n">
        <v>3241</v>
      </c>
      <c r="S997" s="8" t="n">
        <v>-6364</v>
      </c>
      <c r="T997" s="8" t="n">
        <v>-6959</v>
      </c>
      <c r="U997" s="9" t="n">
        <v>9409</v>
      </c>
      <c r="V997" s="10" t="n">
        <v>563</v>
      </c>
      <c r="W997" s="10" t="n">
        <v>495</v>
      </c>
      <c r="X997" s="7" t="n">
        <v>14355</v>
      </c>
      <c r="Y997" s="8" t="n">
        <v>3463</v>
      </c>
      <c r="Z997" s="8" t="n">
        <v>3472</v>
      </c>
      <c r="AA997" s="9" t="n">
        <v>8205</v>
      </c>
      <c r="AB997" s="10" t="n">
        <v>2281</v>
      </c>
      <c r="AC997" s="10" t="n">
        <v>2240</v>
      </c>
      <c r="AD997" s="7" t="n">
        <v>4910</v>
      </c>
      <c r="AE997" s="8" t="n">
        <v>-2257</v>
      </c>
      <c r="AF997" s="8" t="n">
        <v>-1922</v>
      </c>
      <c r="AG997" s="9" t="n">
        <v>8990</v>
      </c>
      <c r="AH997" s="10" t="n">
        <v>1025</v>
      </c>
      <c r="AI997" s="10" t="n">
        <v>1034</v>
      </c>
      <c r="AJ997" s="11" t="n">
        <v>8980</v>
      </c>
      <c r="AK997" s="12" t="n">
        <v>349</v>
      </c>
      <c r="AL997" s="12" t="n">
        <v>554</v>
      </c>
      <c r="AM997" s="13" t="n">
        <v>-0.1</v>
      </c>
      <c r="AN997" s="13" t="n">
        <v>-37.4</v>
      </c>
      <c r="AO997" s="13" t="n">
        <v>-66</v>
      </c>
      <c r="AP997" s="13" t="n">
        <v>-89.90000000000001</v>
      </c>
    </row>
    <row r="998">
      <c r="A998" s="5" t="inlineStr">
        <is>
          <t>KX하이텍</t>
        </is>
      </c>
      <c r="B998" s="6" t="inlineStr">
        <is>
          <t>052900</t>
        </is>
      </c>
      <c r="C998" s="6" t="inlineStr">
        <is>
          <t>연결</t>
        </is>
      </c>
      <c r="D998" s="6" t="inlineStr">
        <is>
          <t>2026Q2</t>
        </is>
      </c>
      <c r="E998" s="6" t="inlineStr"/>
      <c r="F998" s="7" t="inlineStr"/>
      <c r="G998" s="8" t="inlineStr"/>
      <c r="H998" s="8" t="inlineStr"/>
      <c r="I998" s="9" t="n">
        <v>32255</v>
      </c>
      <c r="J998" s="10" t="n">
        <v>2426</v>
      </c>
      <c r="K998" s="10" t="n">
        <v>1082</v>
      </c>
      <c r="L998" s="7" t="n">
        <v>32179</v>
      </c>
      <c r="M998" s="8" t="n">
        <v>2745</v>
      </c>
      <c r="N998" s="8" t="n">
        <v>3912</v>
      </c>
      <c r="O998" s="9" t="n">
        <v>35321</v>
      </c>
      <c r="P998" s="10" t="n">
        <v>3898</v>
      </c>
      <c r="Q998" s="10" t="n">
        <v>2827</v>
      </c>
      <c r="R998" s="7" t="n">
        <v>32510</v>
      </c>
      <c r="S998" s="8" t="n">
        <v>137</v>
      </c>
      <c r="T998" s="8" t="n">
        <v>1863</v>
      </c>
      <c r="U998" s="9" t="n">
        <v>26314</v>
      </c>
      <c r="V998" s="10" t="n">
        <v>1659</v>
      </c>
      <c r="W998" s="10" t="n">
        <v>753</v>
      </c>
      <c r="X998" s="7" t="n">
        <v>33567</v>
      </c>
      <c r="Y998" s="8" t="n">
        <v>-66</v>
      </c>
      <c r="Z998" s="8" t="n">
        <v>-871</v>
      </c>
      <c r="AA998" s="9" t="n">
        <v>31970</v>
      </c>
      <c r="AB998" s="10" t="n">
        <v>2501</v>
      </c>
      <c r="AC998" s="10" t="n">
        <v>2969</v>
      </c>
      <c r="AD998" s="7" t="n">
        <v>34425</v>
      </c>
      <c r="AE998" s="8" t="n">
        <v>1263</v>
      </c>
      <c r="AF998" s="8" t="n">
        <v>1438</v>
      </c>
      <c r="AG998" s="9" t="n">
        <v>35721</v>
      </c>
      <c r="AH998" s="10" t="n">
        <v>7488</v>
      </c>
      <c r="AI998" s="10" t="n">
        <v>4664</v>
      </c>
      <c r="AJ998" s="11" t="n">
        <v>40447</v>
      </c>
      <c r="AK998" s="12" t="n">
        <v>7273</v>
      </c>
      <c r="AL998" s="12" t="n">
        <v>4309</v>
      </c>
      <c r="AM998" s="13" t="n">
        <v>13.2</v>
      </c>
      <c r="AN998" s="13" t="n">
        <v>20.5</v>
      </c>
      <c r="AO998" s="13" t="n">
        <v>-2.9</v>
      </c>
      <c r="AP998" s="13" t="n">
        <v>11119.7</v>
      </c>
    </row>
    <row r="999">
      <c r="A999" s="5" t="inlineStr">
        <is>
          <t>바이넥스</t>
        </is>
      </c>
      <c r="B999" s="6" t="inlineStr">
        <is>
          <t>053030</t>
        </is>
      </c>
      <c r="C999" s="6" t="inlineStr">
        <is>
          <t>연결</t>
        </is>
      </c>
      <c r="D999" s="6" t="inlineStr">
        <is>
          <t>2026Q2</t>
        </is>
      </c>
      <c r="E999" s="6" t="inlineStr"/>
      <c r="F999" s="7" t="inlineStr"/>
      <c r="G999" s="8" t="inlineStr"/>
      <c r="H999" s="8" t="inlineStr"/>
      <c r="I999" s="9" t="n">
        <v>29710</v>
      </c>
      <c r="J999" s="10" t="n">
        <v>-10638</v>
      </c>
      <c r="K999" s="10" t="n">
        <v>-9805</v>
      </c>
      <c r="L999" s="7" t="n">
        <v>31472</v>
      </c>
      <c r="M999" s="8" t="n">
        <v>-8261</v>
      </c>
      <c r="N999" s="8" t="n">
        <v>-5359</v>
      </c>
      <c r="O999" s="9" t="n">
        <v>32911</v>
      </c>
      <c r="P999" s="10" t="n">
        <v>-4722</v>
      </c>
      <c r="Q999" s="10" t="n">
        <v>-11826</v>
      </c>
      <c r="R999" s="7" t="n">
        <v>35958</v>
      </c>
      <c r="S999" s="8" t="n">
        <v>-7134</v>
      </c>
      <c r="T999" s="8" t="n">
        <v>-8190</v>
      </c>
      <c r="U999" s="9" t="n">
        <v>39787</v>
      </c>
      <c r="V999" s="10" t="n">
        <v>541</v>
      </c>
      <c r="W999" s="10" t="n">
        <v>0</v>
      </c>
      <c r="X999" s="7" t="n">
        <v>44528</v>
      </c>
      <c r="Y999" s="8" t="n">
        <v>1023</v>
      </c>
      <c r="Z999" s="8" t="n">
        <v>1389</v>
      </c>
      <c r="AA999" s="9" t="n">
        <v>45363</v>
      </c>
      <c r="AB999" s="10" t="n">
        <v>242</v>
      </c>
      <c r="AC999" s="10" t="n">
        <v>-976</v>
      </c>
      <c r="AD999" s="7" t="n">
        <v>38797</v>
      </c>
      <c r="AE999" s="8" t="n">
        <v>-6341</v>
      </c>
      <c r="AF999" s="8" t="n">
        <v>-3702</v>
      </c>
      <c r="AG999" s="9" t="n">
        <v>35315</v>
      </c>
      <c r="AH999" s="10" t="n">
        <v>-8973</v>
      </c>
      <c r="AI999" s="10" t="n">
        <v>-9629</v>
      </c>
      <c r="AJ999" s="11" t="n">
        <v>37810</v>
      </c>
      <c r="AK999" s="12" t="n">
        <v>-9154</v>
      </c>
      <c r="AL999" s="12" t="n">
        <v>-15019</v>
      </c>
      <c r="AM999" s="13" t="n">
        <v>7.1</v>
      </c>
      <c r="AN999" s="13" t="n">
        <v>-15.1</v>
      </c>
      <c r="AO999" s="13" t="n">
        <v>-2</v>
      </c>
      <c r="AP999" s="13" t="n">
        <v>-994.8</v>
      </c>
    </row>
    <row r="1000">
      <c r="A1000" s="5" t="inlineStr">
        <is>
          <t>지에스이</t>
        </is>
      </c>
      <c r="B1000" s="6" t="inlineStr">
        <is>
          <t>053050</t>
        </is>
      </c>
      <c r="C1000" s="6" t="inlineStr">
        <is>
          <t>별도</t>
        </is>
      </c>
      <c r="D1000" s="6" t="inlineStr">
        <is>
          <t>2026Q2</t>
        </is>
      </c>
      <c r="E1000" s="6" t="inlineStr"/>
      <c r="F1000" s="7" t="inlineStr"/>
      <c r="G1000" s="8" t="inlineStr"/>
      <c r="H1000" s="8" t="inlineStr"/>
      <c r="I1000" s="9" t="n">
        <v>61224</v>
      </c>
      <c r="J1000" s="10" t="n">
        <v>4432</v>
      </c>
      <c r="K1000" s="10" t="n">
        <v>3402</v>
      </c>
      <c r="L1000" s="7" t="n">
        <v>27715</v>
      </c>
      <c r="M1000" s="8" t="n">
        <v>140</v>
      </c>
      <c r="N1000" s="8" t="n">
        <v>252</v>
      </c>
      <c r="O1000" s="9" t="n">
        <v>19403</v>
      </c>
      <c r="P1000" s="10" t="n">
        <v>-825</v>
      </c>
      <c r="Q1000" s="10" t="n">
        <v>-848</v>
      </c>
      <c r="R1000" s="7" t="n">
        <v>47281</v>
      </c>
      <c r="S1000" s="8" t="n">
        <v>1161</v>
      </c>
      <c r="T1000" s="8" t="n">
        <v>757</v>
      </c>
      <c r="U1000" s="9" t="n">
        <v>73968</v>
      </c>
      <c r="V1000" s="10" t="n">
        <v>5618</v>
      </c>
      <c r="W1000" s="10" t="n">
        <v>4706</v>
      </c>
      <c r="X1000" s="7" t="n">
        <v>30887</v>
      </c>
      <c r="Y1000" s="8" t="n">
        <v>1621</v>
      </c>
      <c r="Z1000" s="8" t="n">
        <v>1117</v>
      </c>
      <c r="AA1000" s="9" t="n">
        <v>19440</v>
      </c>
      <c r="AB1000" s="10" t="n">
        <v>-1467</v>
      </c>
      <c r="AC1000" s="10" t="n">
        <v>-1442</v>
      </c>
      <c r="AD1000" s="7" t="n">
        <v>45786</v>
      </c>
      <c r="AE1000" s="8" t="n">
        <v>1571</v>
      </c>
      <c r="AF1000" s="8" t="n">
        <v>-506</v>
      </c>
      <c r="AG1000" s="9" t="n">
        <v>71509</v>
      </c>
      <c r="AH1000" s="10" t="n">
        <v>5437</v>
      </c>
      <c r="AI1000" s="10" t="n">
        <v>4145</v>
      </c>
      <c r="AJ1000" s="11" t="n">
        <v>36322</v>
      </c>
      <c r="AK1000" s="12" t="n">
        <v>1961</v>
      </c>
      <c r="AL1000" s="12" t="n">
        <v>1768</v>
      </c>
      <c r="AM1000" s="13" t="n">
        <v>-49.2</v>
      </c>
      <c r="AN1000" s="13" t="n">
        <v>17.6</v>
      </c>
      <c r="AO1000" s="13" t="n">
        <v>-63.9</v>
      </c>
      <c r="AP1000" s="13" t="n">
        <v>21</v>
      </c>
    </row>
    <row r="1001">
      <c r="A1001" s="5" t="inlineStr">
        <is>
          <t>세동</t>
        </is>
      </c>
      <c r="B1001" s="6" t="inlineStr">
        <is>
          <t>053060</t>
        </is>
      </c>
      <c r="C1001" s="6" t="inlineStr">
        <is>
          <t>연결</t>
        </is>
      </c>
      <c r="D1001" s="6" t="inlineStr">
        <is>
          <t>2026Q2</t>
        </is>
      </c>
      <c r="E1001" s="6" t="inlineStr"/>
      <c r="F1001" s="7" t="inlineStr"/>
      <c r="G1001" s="8" t="inlineStr"/>
      <c r="H1001" s="8" t="inlineStr"/>
      <c r="I1001" s="9" t="n">
        <v>43343</v>
      </c>
      <c r="J1001" s="10" t="n">
        <v>2975</v>
      </c>
      <c r="K1001" s="10" t="n">
        <v>3004</v>
      </c>
      <c r="L1001" s="7" t="n">
        <v>41529</v>
      </c>
      <c r="M1001" s="8" t="n">
        <v>2664</v>
      </c>
      <c r="N1001" s="8" t="n">
        <v>-6682</v>
      </c>
      <c r="O1001" s="9" t="n">
        <v>37890</v>
      </c>
      <c r="P1001" s="10" t="n">
        <v>1508</v>
      </c>
      <c r="Q1001" s="10" t="n">
        <v>496</v>
      </c>
      <c r="R1001" s="7" t="n">
        <v>48326</v>
      </c>
      <c r="S1001" s="8" t="n">
        <v>3565</v>
      </c>
      <c r="T1001" s="8" t="n">
        <v>2030</v>
      </c>
      <c r="U1001" s="9" t="n">
        <v>41951</v>
      </c>
      <c r="V1001" s="10" t="n">
        <v>2076</v>
      </c>
      <c r="W1001" s="10" t="n">
        <v>3069</v>
      </c>
      <c r="X1001" s="7" t="n">
        <v>46189</v>
      </c>
      <c r="Y1001" s="8" t="n">
        <v>3087</v>
      </c>
      <c r="Z1001" s="8" t="n">
        <v>1685</v>
      </c>
      <c r="AA1001" s="9" t="n">
        <v>45154</v>
      </c>
      <c r="AB1001" s="10" t="n">
        <v>2433</v>
      </c>
      <c r="AC1001" s="10" t="n">
        <v>3210</v>
      </c>
      <c r="AD1001" s="7" t="n">
        <v>56146</v>
      </c>
      <c r="AE1001" s="8" t="n">
        <v>1507</v>
      </c>
      <c r="AF1001" s="8" t="n">
        <v>-2082</v>
      </c>
      <c r="AG1001" s="9" t="n">
        <v>52685</v>
      </c>
      <c r="AH1001" s="10" t="n">
        <v>3092</v>
      </c>
      <c r="AI1001" s="10" t="n">
        <v>4316</v>
      </c>
      <c r="AJ1001" s="11" t="n">
        <v>53822</v>
      </c>
      <c r="AK1001" s="12" t="n">
        <v>-18</v>
      </c>
      <c r="AL1001" s="12" t="n">
        <v>-165</v>
      </c>
      <c r="AM1001" s="13" t="n">
        <v>2.2</v>
      </c>
      <c r="AN1001" s="13" t="n">
        <v>16.5</v>
      </c>
      <c r="AO1001" s="13" t="n">
        <v>-100.6</v>
      </c>
      <c r="AP1001" s="13" t="n">
        <v>-100.6</v>
      </c>
    </row>
    <row r="1002">
      <c r="A1002" s="5" t="inlineStr">
        <is>
          <t>케이엔솔</t>
        </is>
      </c>
      <c r="B1002" s="6" t="inlineStr">
        <is>
          <t>053080</t>
        </is>
      </c>
      <c r="C1002" s="6" t="inlineStr">
        <is>
          <t>연결</t>
        </is>
      </c>
      <c r="D1002" s="6" t="inlineStr">
        <is>
          <t>2026Q2</t>
        </is>
      </c>
      <c r="E1002" s="6" t="inlineStr"/>
      <c r="F1002" s="7" t="inlineStr"/>
      <c r="G1002" s="8" t="inlineStr"/>
      <c r="H1002" s="8" t="inlineStr"/>
      <c r="I1002" s="9" t="n">
        <v>116808</v>
      </c>
      <c r="J1002" s="10" t="n">
        <v>5602</v>
      </c>
      <c r="K1002" s="10" t="n">
        <v>2284</v>
      </c>
      <c r="L1002" s="7" t="n">
        <v>153997</v>
      </c>
      <c r="M1002" s="8" t="n">
        <v>8234</v>
      </c>
      <c r="N1002" s="8" t="n">
        <v>3309</v>
      </c>
      <c r="O1002" s="9" t="n">
        <v>163109</v>
      </c>
      <c r="P1002" s="10" t="n">
        <v>10161</v>
      </c>
      <c r="Q1002" s="10" t="n">
        <v>3927</v>
      </c>
      <c r="R1002" s="7" t="n">
        <v>145283</v>
      </c>
      <c r="S1002" s="8" t="n">
        <v>2430</v>
      </c>
      <c r="T1002" s="8" t="n">
        <v>3916</v>
      </c>
      <c r="U1002" s="9" t="n">
        <v>129481</v>
      </c>
      <c r="V1002" s="10" t="n">
        <v>3536</v>
      </c>
      <c r="W1002" s="10" t="n">
        <v>4567</v>
      </c>
      <c r="X1002" s="7" t="n">
        <v>108441</v>
      </c>
      <c r="Y1002" s="8" t="n">
        <v>-1650</v>
      </c>
      <c r="Z1002" s="8" t="n">
        <v>-2119</v>
      </c>
      <c r="AA1002" s="9" t="n">
        <v>123362</v>
      </c>
      <c r="AB1002" s="10" t="n">
        <v>3634</v>
      </c>
      <c r="AC1002" s="10" t="n">
        <v>2924</v>
      </c>
      <c r="AD1002" s="7" t="n">
        <v>102253</v>
      </c>
      <c r="AE1002" s="8" t="n">
        <v>-67532</v>
      </c>
      <c r="AF1002" s="8" t="n">
        <v>-59785</v>
      </c>
      <c r="AG1002" s="9" t="n">
        <v>115167</v>
      </c>
      <c r="AH1002" s="10" t="n">
        <v>576</v>
      </c>
      <c r="AI1002" s="10" t="n">
        <v>107</v>
      </c>
      <c r="AJ1002" s="11" t="n">
        <v>136973</v>
      </c>
      <c r="AK1002" s="12" t="n">
        <v>-5548</v>
      </c>
      <c r="AL1002" s="12" t="n">
        <v>-6618</v>
      </c>
      <c r="AM1002" s="13" t="n">
        <v>18.9</v>
      </c>
      <c r="AN1002" s="13" t="n">
        <v>26.3</v>
      </c>
      <c r="AO1002" s="13" t="n">
        <v>-1063.2</v>
      </c>
      <c r="AP1002" s="13" t="n">
        <v>-236.2</v>
      </c>
    </row>
    <row r="1003">
      <c r="A1003" s="5" t="inlineStr">
        <is>
          <t>프리엠스</t>
        </is>
      </c>
      <c r="B1003" s="6" t="inlineStr">
        <is>
          <t>053160</t>
        </is>
      </c>
      <c r="C1003" s="6" t="inlineStr">
        <is>
          <t>연결</t>
        </is>
      </c>
      <c r="D1003" s="6" t="inlineStr">
        <is>
          <t>2026Q2</t>
        </is>
      </c>
      <c r="E1003" s="6" t="inlineStr"/>
      <c r="F1003" s="7" t="inlineStr"/>
      <c r="G1003" s="8" t="inlineStr"/>
      <c r="H1003" s="8" t="inlineStr"/>
      <c r="I1003" s="9" t="n">
        <v>5249</v>
      </c>
      <c r="J1003" s="10" t="n">
        <v>-507</v>
      </c>
      <c r="K1003" s="10" t="n">
        <v>-536</v>
      </c>
      <c r="L1003" s="7" t="n">
        <v>5274</v>
      </c>
      <c r="M1003" s="8" t="n">
        <v>-250</v>
      </c>
      <c r="N1003" s="8" t="n">
        <v>-38</v>
      </c>
      <c r="O1003" s="9" t="n">
        <v>3492</v>
      </c>
      <c r="P1003" s="10" t="n">
        <v>-771</v>
      </c>
      <c r="Q1003" s="10" t="n">
        <v>-78</v>
      </c>
      <c r="R1003" s="7" t="n">
        <v>3680</v>
      </c>
      <c r="S1003" s="8" t="n">
        <v>-818</v>
      </c>
      <c r="T1003" s="8" t="n">
        <v>-802</v>
      </c>
      <c r="U1003" s="9" t="n">
        <v>5090</v>
      </c>
      <c r="V1003" s="10" t="n">
        <v>27</v>
      </c>
      <c r="W1003" s="10" t="n">
        <v>535</v>
      </c>
      <c r="X1003" s="7" t="n">
        <v>7602</v>
      </c>
      <c r="Y1003" s="8" t="n">
        <v>229</v>
      </c>
      <c r="Z1003" s="8" t="n">
        <v>221</v>
      </c>
      <c r="AA1003" s="9" t="n">
        <v>5441</v>
      </c>
      <c r="AB1003" s="10" t="n">
        <v>21</v>
      </c>
      <c r="AC1003" s="10" t="n">
        <v>405</v>
      </c>
      <c r="AD1003" s="7" t="n">
        <v>5003</v>
      </c>
      <c r="AE1003" s="8" t="n">
        <v>111</v>
      </c>
      <c r="AF1003" s="8" t="n">
        <v>-262</v>
      </c>
      <c r="AG1003" s="9" t="n">
        <v>4967</v>
      </c>
      <c r="AH1003" s="10" t="n">
        <v>-33</v>
      </c>
      <c r="AI1003" s="10" t="n">
        <v>-981</v>
      </c>
      <c r="AJ1003" s="11" t="n">
        <v>5539</v>
      </c>
      <c r="AK1003" s="12" t="n">
        <v>-232</v>
      </c>
      <c r="AL1003" s="12" t="n">
        <v>645</v>
      </c>
      <c r="AM1003" s="13" t="n">
        <v>11.5</v>
      </c>
      <c r="AN1003" s="13" t="n">
        <v>-27.1</v>
      </c>
      <c r="AO1003" s="13" t="n">
        <v>-603</v>
      </c>
      <c r="AP1003" s="13" t="n">
        <v>-201.3</v>
      </c>
    </row>
    <row r="1004">
      <c r="A1004" s="5" t="inlineStr">
        <is>
          <t>케이티스카이라이프</t>
        </is>
      </c>
      <c r="B1004" s="6" t="inlineStr">
        <is>
          <t>053210</t>
        </is>
      </c>
      <c r="C1004" s="6" t="inlineStr">
        <is>
          <t>연결</t>
        </is>
      </c>
      <c r="D1004" s="6" t="inlineStr">
        <is>
          <t>2026Q2</t>
        </is>
      </c>
      <c r="E1004" s="6" t="inlineStr">
        <is>
          <t>2023Q4</t>
        </is>
      </c>
      <c r="F1004" s="14" t="n">
        <v>262159</v>
      </c>
      <c r="G1004" s="15" t="n">
        <v>-26145</v>
      </c>
      <c r="H1004" s="15" t="n">
        <v>-136079</v>
      </c>
      <c r="I1004" s="14" t="n">
        <v>254401</v>
      </c>
      <c r="J1004" s="10" t="n">
        <v>2869</v>
      </c>
      <c r="K1004" s="10" t="n">
        <v>1266</v>
      </c>
      <c r="L1004" s="14" t="n">
        <v>254625</v>
      </c>
      <c r="M1004" s="8" t="n">
        <v>-159</v>
      </c>
      <c r="N1004" s="8" t="n">
        <v>-1905</v>
      </c>
      <c r="O1004" s="14" t="n">
        <v>256914</v>
      </c>
      <c r="P1004" s="10" t="n">
        <v>1847</v>
      </c>
      <c r="Q1004" s="10" t="n">
        <v>2124</v>
      </c>
      <c r="R1004" s="14" t="n">
        <v>256987</v>
      </c>
      <c r="S1004" s="8" t="n">
        <v>-5633</v>
      </c>
      <c r="T1004" s="8" t="n">
        <v>-157564</v>
      </c>
      <c r="U1004" s="14" t="n">
        <v>242881</v>
      </c>
      <c r="V1004" s="10" t="n">
        <v>5107</v>
      </c>
      <c r="W1004" s="10" t="n">
        <v>1624</v>
      </c>
      <c r="X1004" s="7" t="n">
        <v>247210</v>
      </c>
      <c r="Y1004" s="8" t="n">
        <v>12958</v>
      </c>
      <c r="Z1004" s="8" t="n">
        <v>10936</v>
      </c>
      <c r="AA1004" s="9" t="n">
        <v>246947</v>
      </c>
      <c r="AB1004" s="10" t="n">
        <v>16495</v>
      </c>
      <c r="AC1004" s="10" t="n">
        <v>12245</v>
      </c>
      <c r="AD1004" s="14" t="n">
        <v>247178</v>
      </c>
      <c r="AE1004" s="8" t="n">
        <v>-11580</v>
      </c>
      <c r="AF1004" s="8" t="n">
        <v>-23338</v>
      </c>
      <c r="AG1004" s="14" t="n">
        <v>238971</v>
      </c>
      <c r="AH1004" s="10" t="n">
        <v>5936</v>
      </c>
      <c r="AI1004" s="10" t="n">
        <v>367</v>
      </c>
      <c r="AJ1004" s="11" t="n">
        <v>249926</v>
      </c>
      <c r="AK1004" s="12" t="n">
        <v>11101</v>
      </c>
      <c r="AL1004" s="12" t="n">
        <v>10428</v>
      </c>
      <c r="AM1004" s="13" t="n">
        <v>4.6</v>
      </c>
      <c r="AN1004" s="13" t="n">
        <v>1.1</v>
      </c>
      <c r="AO1004" s="13" t="n">
        <v>87</v>
      </c>
      <c r="AP1004" s="13" t="n">
        <v>-14.3</v>
      </c>
    </row>
    <row r="1005">
      <c r="A1005" s="5" t="inlineStr">
        <is>
          <t>금강철강</t>
        </is>
      </c>
      <c r="B1005" s="6" t="inlineStr">
        <is>
          <t>053260</t>
        </is>
      </c>
      <c r="C1005" s="6" t="inlineStr">
        <is>
          <t>연결</t>
        </is>
      </c>
      <c r="D1005" s="6" t="inlineStr">
        <is>
          <t>2026Q2</t>
        </is>
      </c>
      <c r="E1005" s="6" t="inlineStr"/>
      <c r="F1005" s="7" t="inlineStr"/>
      <c r="G1005" s="8" t="inlineStr"/>
      <c r="H1005" s="8" t="inlineStr"/>
      <c r="I1005" s="9" t="n">
        <v>53189</v>
      </c>
      <c r="J1005" s="10" t="n">
        <v>775</v>
      </c>
      <c r="K1005" s="10" t="n">
        <v>1326</v>
      </c>
      <c r="L1005" s="7" t="n">
        <v>51996</v>
      </c>
      <c r="M1005" s="8" t="n">
        <v>1340</v>
      </c>
      <c r="N1005" s="8" t="n">
        <v>2701</v>
      </c>
      <c r="O1005" s="9" t="n">
        <v>37758</v>
      </c>
      <c r="P1005" s="10" t="n">
        <v>21</v>
      </c>
      <c r="Q1005" s="10" t="n">
        <v>-554</v>
      </c>
      <c r="R1005" s="7" t="n">
        <v>58142</v>
      </c>
      <c r="S1005" s="8" t="n">
        <v>1673</v>
      </c>
      <c r="T1005" s="8" t="n">
        <v>3407</v>
      </c>
      <c r="U1005" s="9" t="n">
        <v>47172</v>
      </c>
      <c r="V1005" s="10" t="n">
        <v>1100</v>
      </c>
      <c r="W1005" s="10" t="n">
        <v>1234</v>
      </c>
      <c r="X1005" s="7" t="n">
        <v>47879</v>
      </c>
      <c r="Y1005" s="8" t="n">
        <v>-9</v>
      </c>
      <c r="Z1005" s="8" t="n">
        <v>-4379</v>
      </c>
      <c r="AA1005" s="9" t="n">
        <v>39778</v>
      </c>
      <c r="AB1005" s="10" t="n">
        <v>62</v>
      </c>
      <c r="AC1005" s="10" t="n">
        <v>321</v>
      </c>
      <c r="AD1005" s="7" t="n">
        <v>42395</v>
      </c>
      <c r="AE1005" s="8" t="n">
        <v>350</v>
      </c>
      <c r="AF1005" s="8" t="n">
        <v>2649</v>
      </c>
      <c r="AG1005" s="9" t="n">
        <v>42385</v>
      </c>
      <c r="AH1005" s="10" t="n">
        <v>31</v>
      </c>
      <c r="AI1005" s="10" t="n">
        <v>1866</v>
      </c>
      <c r="AJ1005" s="11" t="n">
        <v>51955</v>
      </c>
      <c r="AK1005" s="12" t="n">
        <v>1175</v>
      </c>
      <c r="AL1005" s="12" t="n">
        <v>1468</v>
      </c>
      <c r="AM1005" s="13" t="n">
        <v>22.6</v>
      </c>
      <c r="AN1005" s="13" t="n">
        <v>8.5</v>
      </c>
      <c r="AO1005" s="13" t="n">
        <v>3690.3</v>
      </c>
      <c r="AP1005" s="13" t="n">
        <v>13155.6</v>
      </c>
    </row>
    <row r="1006">
      <c r="A1006" s="5" t="inlineStr">
        <is>
          <t>구영테크</t>
        </is>
      </c>
      <c r="B1006" s="6" t="inlineStr">
        <is>
          <t>053270</t>
        </is>
      </c>
      <c r="C1006" s="6" t="inlineStr">
        <is>
          <t>연결</t>
        </is>
      </c>
      <c r="D1006" s="6" t="inlineStr">
        <is>
          <t>2026Q2</t>
        </is>
      </c>
      <c r="E1006" s="6" t="inlineStr"/>
      <c r="F1006" s="7" t="inlineStr"/>
      <c r="G1006" s="8" t="inlineStr"/>
      <c r="H1006" s="8" t="inlineStr"/>
      <c r="I1006" s="9" t="n">
        <v>93674</v>
      </c>
      <c r="J1006" s="10" t="n">
        <v>7406</v>
      </c>
      <c r="K1006" s="10" t="n">
        <v>5186</v>
      </c>
      <c r="L1006" s="7" t="n">
        <v>99892</v>
      </c>
      <c r="M1006" s="8" t="n">
        <v>9098</v>
      </c>
      <c r="N1006" s="8" t="n">
        <v>5952</v>
      </c>
      <c r="O1006" s="9" t="n">
        <v>99730</v>
      </c>
      <c r="P1006" s="10" t="n">
        <v>7136</v>
      </c>
      <c r="Q1006" s="10" t="n">
        <v>3644</v>
      </c>
      <c r="R1006" s="7" t="n">
        <v>84065</v>
      </c>
      <c r="S1006" s="8" t="n">
        <v>5214</v>
      </c>
      <c r="T1006" s="8" t="n">
        <v>3434</v>
      </c>
      <c r="U1006" s="9" t="n">
        <v>103323</v>
      </c>
      <c r="V1006" s="10" t="n">
        <v>7559</v>
      </c>
      <c r="W1006" s="10" t="n">
        <v>4772</v>
      </c>
      <c r="X1006" s="7" t="n">
        <v>103285</v>
      </c>
      <c r="Y1006" s="8" t="n">
        <v>5004</v>
      </c>
      <c r="Z1006" s="8" t="n">
        <v>2703</v>
      </c>
      <c r="AA1006" s="9" t="n">
        <v>96859</v>
      </c>
      <c r="AB1006" s="10" t="n">
        <v>3897</v>
      </c>
      <c r="AC1006" s="10" t="n">
        <v>7757</v>
      </c>
      <c r="AD1006" s="7" t="n">
        <v>122714</v>
      </c>
      <c r="AE1006" s="8" t="n">
        <v>7851</v>
      </c>
      <c r="AF1006" s="8" t="n">
        <v>7334</v>
      </c>
      <c r="AG1006" s="9" t="n">
        <v>147635</v>
      </c>
      <c r="AH1006" s="10" t="n">
        <v>8444</v>
      </c>
      <c r="AI1006" s="10" t="n">
        <v>6821</v>
      </c>
      <c r="AJ1006" s="11" t="n">
        <v>141300</v>
      </c>
      <c r="AK1006" s="12" t="n">
        <v>9173</v>
      </c>
      <c r="AL1006" s="12" t="n">
        <v>6901</v>
      </c>
      <c r="AM1006" s="13" t="n">
        <v>-4.3</v>
      </c>
      <c r="AN1006" s="13" t="n">
        <v>36.8</v>
      </c>
      <c r="AO1006" s="13" t="n">
        <v>8.6</v>
      </c>
      <c r="AP1006" s="13" t="n">
        <v>83.3</v>
      </c>
    </row>
    <row r="1007">
      <c r="A1007" s="5" t="inlineStr">
        <is>
          <t>예스24</t>
        </is>
      </c>
      <c r="B1007" s="6" t="inlineStr">
        <is>
          <t>053280</t>
        </is>
      </c>
      <c r="C1007" s="6" t="inlineStr">
        <is>
          <t>연결</t>
        </is>
      </c>
      <c r="D1007" s="6" t="inlineStr">
        <is>
          <t>2026Q2</t>
        </is>
      </c>
      <c r="E1007" s="6" t="inlineStr"/>
      <c r="F1007" s="7" t="inlineStr"/>
      <c r="G1007" s="8" t="inlineStr"/>
      <c r="H1007" s="8" t="inlineStr"/>
      <c r="I1007" s="9" t="n">
        <v>172861</v>
      </c>
      <c r="J1007" s="10" t="n">
        <v>691</v>
      </c>
      <c r="K1007" s="10" t="n">
        <v>-289</v>
      </c>
      <c r="L1007" s="7" t="n">
        <v>157101</v>
      </c>
      <c r="M1007" s="8" t="n">
        <v>3265</v>
      </c>
      <c r="N1007" s="8" t="n">
        <v>3264</v>
      </c>
      <c r="O1007" s="9" t="n">
        <v>164543</v>
      </c>
      <c r="P1007" s="10" t="n">
        <v>3225</v>
      </c>
      <c r="Q1007" s="10" t="n">
        <v>2230</v>
      </c>
      <c r="R1007" s="7" t="n">
        <v>176638</v>
      </c>
      <c r="S1007" s="8" t="n">
        <v>9097</v>
      </c>
      <c r="T1007" s="8" t="n">
        <v>-4077</v>
      </c>
      <c r="U1007" s="9" t="n">
        <v>181497</v>
      </c>
      <c r="V1007" s="10" t="n">
        <v>6335</v>
      </c>
      <c r="W1007" s="10" t="n">
        <v>6131</v>
      </c>
      <c r="X1007" s="7" t="n">
        <v>139806</v>
      </c>
      <c r="Y1007" s="8" t="n">
        <v>-4282</v>
      </c>
      <c r="Z1007" s="8" t="n">
        <v>-6693</v>
      </c>
      <c r="AA1007" s="9" t="n">
        <v>153851</v>
      </c>
      <c r="AB1007" s="10" t="n">
        <v>715</v>
      </c>
      <c r="AC1007" s="10" t="n">
        <v>-244</v>
      </c>
      <c r="AD1007" s="7" t="n">
        <v>151316</v>
      </c>
      <c r="AE1007" s="8" t="n">
        <v>168</v>
      </c>
      <c r="AF1007" s="8" t="n">
        <v>-9886</v>
      </c>
      <c r="AG1007" s="9" t="n">
        <v>168085</v>
      </c>
      <c r="AH1007" s="10" t="n">
        <v>967</v>
      </c>
      <c r="AI1007" s="10" t="n">
        <v>1171</v>
      </c>
      <c r="AJ1007" s="11" t="n">
        <v>135760</v>
      </c>
      <c r="AK1007" s="12" t="n">
        <v>-3472</v>
      </c>
      <c r="AL1007" s="12" t="n">
        <v>-887</v>
      </c>
      <c r="AM1007" s="13" t="n">
        <v>-19.2</v>
      </c>
      <c r="AN1007" s="13" t="n">
        <v>-2.9</v>
      </c>
      <c r="AO1007" s="13" t="n">
        <v>-459</v>
      </c>
      <c r="AP1007" s="13" t="n">
        <v>18.9</v>
      </c>
    </row>
    <row r="1008">
      <c r="A1008" s="5" t="inlineStr">
        <is>
          <t>NE능률</t>
        </is>
      </c>
      <c r="B1008" s="6" t="inlineStr">
        <is>
          <t>053290</t>
        </is>
      </c>
      <c r="C1008" s="6" t="inlineStr">
        <is>
          <t>별도</t>
        </is>
      </c>
      <c r="D1008" s="6" t="inlineStr">
        <is>
          <t>2026Q2</t>
        </is>
      </c>
      <c r="E1008" s="6" t="inlineStr"/>
      <c r="F1008" s="7" t="inlineStr"/>
      <c r="G1008" s="8" t="inlineStr"/>
      <c r="H1008" s="8" t="inlineStr"/>
      <c r="I1008" s="9" t="n">
        <v>17627</v>
      </c>
      <c r="J1008" s="10" t="n">
        <v>-268</v>
      </c>
      <c r="K1008" s="10" t="n">
        <v>13</v>
      </c>
      <c r="L1008" s="7" t="n">
        <v>9645</v>
      </c>
      <c r="M1008" s="8" t="n">
        <v>-4433</v>
      </c>
      <c r="N1008" s="8" t="n">
        <v>-5814</v>
      </c>
      <c r="O1008" s="9" t="n">
        <v>13799</v>
      </c>
      <c r="P1008" s="10" t="n">
        <v>298</v>
      </c>
      <c r="Q1008" s="10" t="n">
        <v>-264</v>
      </c>
      <c r="R1008" s="7" t="n">
        <v>30663</v>
      </c>
      <c r="S1008" s="8" t="n">
        <v>3355</v>
      </c>
      <c r="T1008" s="8" t="n">
        <v>1022</v>
      </c>
      <c r="U1008" s="9" t="n">
        <v>16317</v>
      </c>
      <c r="V1008" s="10" t="n">
        <v>358</v>
      </c>
      <c r="W1008" s="10" t="n">
        <v>430</v>
      </c>
      <c r="X1008" s="7" t="n">
        <v>9273</v>
      </c>
      <c r="Y1008" s="8" t="n">
        <v>-3483</v>
      </c>
      <c r="Z1008" s="8" t="n">
        <v>-4070</v>
      </c>
      <c r="AA1008" s="9" t="n">
        <v>13023</v>
      </c>
      <c r="AB1008" s="10" t="n">
        <v>-190</v>
      </c>
      <c r="AC1008" s="10" t="n">
        <v>64</v>
      </c>
      <c r="AD1008" s="7" t="n">
        <v>24089</v>
      </c>
      <c r="AE1008" s="8" t="n">
        <v>4384</v>
      </c>
      <c r="AF1008" s="8" t="n">
        <v>3189</v>
      </c>
      <c r="AG1008" s="9" t="n">
        <v>1972</v>
      </c>
      <c r="AH1008" s="10" t="n">
        <v>-12085</v>
      </c>
      <c r="AI1008" s="10" t="n">
        <v>-11820</v>
      </c>
      <c r="AJ1008" s="11" t="n">
        <v>3578</v>
      </c>
      <c r="AK1008" s="12" t="n">
        <v>1632</v>
      </c>
      <c r="AL1008" s="12" t="n">
        <v>482</v>
      </c>
      <c r="AM1008" s="13" t="n">
        <v>81.40000000000001</v>
      </c>
      <c r="AN1008" s="13" t="n">
        <v>-61.4</v>
      </c>
      <c r="AO1008" s="13" t="n">
        <v>113.5</v>
      </c>
      <c r="AP1008" s="13" t="n">
        <v>146.9</v>
      </c>
    </row>
    <row r="1009">
      <c r="A1009" s="5" t="inlineStr">
        <is>
          <t>한국정보인증</t>
        </is>
      </c>
      <c r="B1009" s="6" t="inlineStr">
        <is>
          <t>053300</t>
        </is>
      </c>
      <c r="C1009" s="6" t="inlineStr">
        <is>
          <t>연결</t>
        </is>
      </c>
      <c r="D1009" s="6" t="inlineStr">
        <is>
          <t>2026Q2</t>
        </is>
      </c>
      <c r="E1009" s="6" t="inlineStr"/>
      <c r="F1009" s="7" t="inlineStr"/>
      <c r="G1009" s="8" t="inlineStr"/>
      <c r="H1009" s="8" t="inlineStr"/>
      <c r="I1009" s="9" t="n">
        <v>27193</v>
      </c>
      <c r="J1009" s="10" t="n">
        <v>4136</v>
      </c>
      <c r="K1009" s="10" t="n">
        <v>13334</v>
      </c>
      <c r="L1009" s="7" t="n">
        <v>30279</v>
      </c>
      <c r="M1009" s="8" t="n">
        <v>3743</v>
      </c>
      <c r="N1009" s="8" t="n">
        <v>-1026</v>
      </c>
      <c r="O1009" s="9" t="n">
        <v>30291</v>
      </c>
      <c r="P1009" s="10" t="n">
        <v>5834</v>
      </c>
      <c r="Q1009" s="10" t="n">
        <v>4313</v>
      </c>
      <c r="R1009" s="7" t="n">
        <v>34130</v>
      </c>
      <c r="S1009" s="8" t="n">
        <v>5146</v>
      </c>
      <c r="T1009" s="8" t="n">
        <v>-4189</v>
      </c>
      <c r="U1009" s="9" t="n">
        <v>33645</v>
      </c>
      <c r="V1009" s="10" t="n">
        <v>6276</v>
      </c>
      <c r="W1009" s="10" t="n">
        <v>12607</v>
      </c>
      <c r="X1009" s="7" t="n">
        <v>33108</v>
      </c>
      <c r="Y1009" s="8" t="n">
        <v>6649</v>
      </c>
      <c r="Z1009" s="8" t="n">
        <v>4355</v>
      </c>
      <c r="AA1009" s="9" t="n">
        <v>33159</v>
      </c>
      <c r="AB1009" s="10" t="n">
        <v>8315</v>
      </c>
      <c r="AC1009" s="10" t="n">
        <v>6768</v>
      </c>
      <c r="AD1009" s="7" t="n">
        <v>38554</v>
      </c>
      <c r="AE1009" s="8" t="n">
        <v>5821</v>
      </c>
      <c r="AF1009" s="8" t="n">
        <v>4369</v>
      </c>
      <c r="AG1009" s="9" t="n">
        <v>35557</v>
      </c>
      <c r="AH1009" s="10" t="n">
        <v>9125</v>
      </c>
      <c r="AI1009" s="10" t="n">
        <v>7215</v>
      </c>
      <c r="AJ1009" s="11" t="n">
        <v>36911</v>
      </c>
      <c r="AK1009" s="12" t="n">
        <v>8539</v>
      </c>
      <c r="AL1009" s="12" t="n">
        <v>6046</v>
      </c>
      <c r="AM1009" s="13" t="n">
        <v>3.8</v>
      </c>
      <c r="AN1009" s="13" t="n">
        <v>11.5</v>
      </c>
      <c r="AO1009" s="13" t="n">
        <v>-6.4</v>
      </c>
      <c r="AP1009" s="13" t="n">
        <v>28.4</v>
      </c>
    </row>
    <row r="1010">
      <c r="A1010" s="5" t="inlineStr">
        <is>
          <t>이니텍</t>
        </is>
      </c>
      <c r="B1010" s="6" t="inlineStr">
        <is>
          <t>053350</t>
        </is>
      </c>
      <c r="C1010" s="6" t="inlineStr">
        <is>
          <t>연결</t>
        </is>
      </c>
      <c r="D1010" s="6" t="inlineStr">
        <is>
          <t>2026Q2</t>
        </is>
      </c>
      <c r="E1010" s="6" t="inlineStr"/>
      <c r="F1010" s="7" t="inlineStr"/>
      <c r="G1010" s="8" t="inlineStr"/>
      <c r="H1010" s="8" t="inlineStr"/>
      <c r="I1010" s="9" t="n">
        <v>9044</v>
      </c>
      <c r="J1010" s="10" t="n">
        <v>11</v>
      </c>
      <c r="K1010" s="10" t="n">
        <v>526</v>
      </c>
      <c r="L1010" s="7" t="n">
        <v>8403</v>
      </c>
      <c r="M1010" s="8" t="n">
        <v>202</v>
      </c>
      <c r="N1010" s="8" t="n">
        <v>1080</v>
      </c>
      <c r="O1010" s="9" t="n">
        <v>8846</v>
      </c>
      <c r="P1010" s="10" t="n">
        <v>341</v>
      </c>
      <c r="Q1010" s="10" t="n">
        <v>1184</v>
      </c>
      <c r="R1010" s="7" t="n">
        <v>12589</v>
      </c>
      <c r="S1010" s="8" t="n">
        <v>-323</v>
      </c>
      <c r="T1010" s="8" t="n">
        <v>-450</v>
      </c>
      <c r="U1010" s="9" t="n">
        <v>7725</v>
      </c>
      <c r="V1010" s="10" t="n">
        <v>-228</v>
      </c>
      <c r="W1010" s="10" t="n">
        <v>614</v>
      </c>
      <c r="X1010" s="7" t="n">
        <v>7822</v>
      </c>
      <c r="Y1010" s="8" t="n">
        <v>-1403</v>
      </c>
      <c r="Z1010" s="8" t="n">
        <v>13969</v>
      </c>
      <c r="AA1010" s="9" t="n">
        <v>7899</v>
      </c>
      <c r="AB1010" s="10" t="n">
        <v>-632</v>
      </c>
      <c r="AC1010" s="10" t="n">
        <v>5855</v>
      </c>
      <c r="AD1010" s="7" t="n">
        <v>9360</v>
      </c>
      <c r="AE1010" s="8" t="n">
        <v>-130</v>
      </c>
      <c r="AF1010" s="8" t="n">
        <v>-17606</v>
      </c>
      <c r="AG1010" s="9" t="n">
        <v>8331</v>
      </c>
      <c r="AH1010" s="10" t="n">
        <v>-1058</v>
      </c>
      <c r="AI1010" s="10" t="n">
        <v>-1570</v>
      </c>
      <c r="AJ1010" s="11" t="n">
        <v>9490</v>
      </c>
      <c r="AK1010" s="12" t="n">
        <v>-431</v>
      </c>
      <c r="AL1010" s="12" t="n">
        <v>6451</v>
      </c>
      <c r="AM1010" s="13" t="n">
        <v>13.9</v>
      </c>
      <c r="AN1010" s="13" t="n">
        <v>21.3</v>
      </c>
      <c r="AO1010" s="13" t="n">
        <v>59.3</v>
      </c>
      <c r="AP1010" s="13" t="n">
        <v>69.3</v>
      </c>
    </row>
    <row r="1011">
      <c r="A1011" s="5" t="inlineStr">
        <is>
          <t>세코닉스</t>
        </is>
      </c>
      <c r="B1011" s="6" t="inlineStr">
        <is>
          <t>053450</t>
        </is>
      </c>
      <c r="C1011" s="6" t="inlineStr">
        <is>
          <t>연결</t>
        </is>
      </c>
      <c r="D1011" s="6" t="inlineStr">
        <is>
          <t>2026Q2</t>
        </is>
      </c>
      <c r="E1011" s="6" t="inlineStr"/>
      <c r="F1011" s="7" t="inlineStr"/>
      <c r="G1011" s="8" t="inlineStr"/>
      <c r="H1011" s="8" t="inlineStr"/>
      <c r="I1011" s="9" t="n">
        <v>121994</v>
      </c>
      <c r="J1011" s="10" t="n">
        <v>4166</v>
      </c>
      <c r="K1011" s="10" t="n">
        <v>2272</v>
      </c>
      <c r="L1011" s="7" t="n">
        <v>116470</v>
      </c>
      <c r="M1011" s="8" t="n">
        <v>4003</v>
      </c>
      <c r="N1011" s="8" t="n">
        <v>3967</v>
      </c>
      <c r="O1011" s="9" t="n">
        <v>114184</v>
      </c>
      <c r="P1011" s="10" t="n">
        <v>3280</v>
      </c>
      <c r="Q1011" s="10" t="n">
        <v>1880</v>
      </c>
      <c r="R1011" s="7" t="n">
        <v>110061</v>
      </c>
      <c r="S1011" s="8" t="n">
        <v>2974</v>
      </c>
      <c r="T1011" s="8" t="n">
        <v>1859</v>
      </c>
      <c r="U1011" s="9" t="n">
        <v>118834</v>
      </c>
      <c r="V1011" s="10" t="n">
        <v>2407</v>
      </c>
      <c r="W1011" s="10" t="n">
        <v>3430</v>
      </c>
      <c r="X1011" s="7" t="n">
        <v>117242</v>
      </c>
      <c r="Y1011" s="8" t="n">
        <v>4250</v>
      </c>
      <c r="Z1011" s="8" t="n">
        <v>2183</v>
      </c>
      <c r="AA1011" s="9" t="n">
        <v>100835</v>
      </c>
      <c r="AB1011" s="10" t="n">
        <v>412</v>
      </c>
      <c r="AC1011" s="10" t="n">
        <v>1304</v>
      </c>
      <c r="AD1011" s="7" t="n">
        <v>97958</v>
      </c>
      <c r="AE1011" s="8" t="n">
        <v>-4063</v>
      </c>
      <c r="AF1011" s="8" t="n">
        <v>-1935</v>
      </c>
      <c r="AG1011" s="9" t="n">
        <v>103993</v>
      </c>
      <c r="AH1011" s="10" t="n">
        <v>1046</v>
      </c>
      <c r="AI1011" s="10" t="n">
        <v>-1766</v>
      </c>
      <c r="AJ1011" s="11" t="n">
        <v>97626</v>
      </c>
      <c r="AK1011" s="12" t="n">
        <v>-32903</v>
      </c>
      <c r="AL1011" s="12" t="n">
        <v>-32575</v>
      </c>
      <c r="AM1011" s="13" t="n">
        <v>-6.1</v>
      </c>
      <c r="AN1011" s="13" t="n">
        <v>-16.7</v>
      </c>
      <c r="AO1011" s="13" t="n">
        <v>-3245.6</v>
      </c>
      <c r="AP1011" s="13" t="n">
        <v>-874.2</v>
      </c>
    </row>
    <row r="1012">
      <c r="A1012" s="5" t="inlineStr">
        <is>
          <t>웹케시</t>
        </is>
      </c>
      <c r="B1012" s="6" t="inlineStr">
        <is>
          <t>053580</t>
        </is>
      </c>
      <c r="C1012" s="6" t="inlineStr">
        <is>
          <t>별도</t>
        </is>
      </c>
      <c r="D1012" s="6" t="inlineStr">
        <is>
          <t>2026Q2</t>
        </is>
      </c>
      <c r="E1012" s="6" t="inlineStr"/>
      <c r="F1012" s="7" t="inlineStr"/>
      <c r="G1012" s="8" t="inlineStr"/>
      <c r="H1012" s="8" t="inlineStr"/>
      <c r="I1012" s="9" t="n">
        <v>16425</v>
      </c>
      <c r="J1012" s="10" t="n">
        <v>3324</v>
      </c>
      <c r="K1012" s="10" t="n">
        <v>1140</v>
      </c>
      <c r="L1012" s="7" t="n">
        <v>17925</v>
      </c>
      <c r="M1012" s="8" t="n">
        <v>3606</v>
      </c>
      <c r="N1012" s="8" t="n">
        <v>2413</v>
      </c>
      <c r="O1012" s="9" t="n">
        <v>19264</v>
      </c>
      <c r="P1012" s="10" t="n">
        <v>3570</v>
      </c>
      <c r="Q1012" s="10" t="n">
        <v>2470</v>
      </c>
      <c r="R1012" s="7" t="n">
        <v>20562</v>
      </c>
      <c r="S1012" s="8" t="n">
        <v>3388</v>
      </c>
      <c r="T1012" s="8" t="n">
        <v>2299</v>
      </c>
      <c r="U1012" s="9" t="n">
        <v>19652</v>
      </c>
      <c r="V1012" s="10" t="n">
        <v>3369</v>
      </c>
      <c r="W1012" s="10" t="n">
        <v>2662</v>
      </c>
      <c r="X1012" s="7" t="n">
        <v>18451</v>
      </c>
      <c r="Y1012" s="8" t="n">
        <v>3271</v>
      </c>
      <c r="Z1012" s="8" t="n">
        <v>3200</v>
      </c>
      <c r="AA1012" s="9" t="n">
        <v>18005</v>
      </c>
      <c r="AB1012" s="10" t="n">
        <v>3612</v>
      </c>
      <c r="AC1012" s="10" t="n">
        <v>3102</v>
      </c>
      <c r="AD1012" s="7" t="n">
        <v>18254</v>
      </c>
      <c r="AE1012" s="8" t="n">
        <v>3222</v>
      </c>
      <c r="AF1012" s="8" t="n">
        <v>3497</v>
      </c>
      <c r="AG1012" s="9" t="n">
        <v>17807</v>
      </c>
      <c r="AH1012" s="10" t="n">
        <v>2654</v>
      </c>
      <c r="AI1012" s="10" t="n">
        <v>2489</v>
      </c>
      <c r="AJ1012" s="11" t="n">
        <v>20327</v>
      </c>
      <c r="AK1012" s="12" t="n">
        <v>3336</v>
      </c>
      <c r="AL1012" s="12" t="n">
        <v>2783</v>
      </c>
      <c r="AM1012" s="13" t="n">
        <v>14.2</v>
      </c>
      <c r="AN1012" s="13" t="n">
        <v>10.2</v>
      </c>
      <c r="AO1012" s="13" t="n">
        <v>25.7</v>
      </c>
      <c r="AP1012" s="13" t="n">
        <v>2</v>
      </c>
    </row>
    <row r="1013">
      <c r="A1013" s="5" t="inlineStr">
        <is>
          <t>프로텍</t>
        </is>
      </c>
      <c r="B1013" s="6" t="inlineStr">
        <is>
          <t>053610</t>
        </is>
      </c>
      <c r="C1013" s="6" t="inlineStr">
        <is>
          <t>연결</t>
        </is>
      </c>
      <c r="D1013" s="6" t="inlineStr">
        <is>
          <t>2026Q2</t>
        </is>
      </c>
      <c r="E1013" s="6" t="inlineStr"/>
      <c r="F1013" s="7" t="inlineStr"/>
      <c r="G1013" s="8" t="inlineStr"/>
      <c r="H1013" s="8" t="inlineStr"/>
      <c r="I1013" s="9" t="n">
        <v>25302</v>
      </c>
      <c r="J1013" s="10" t="n">
        <v>-4754</v>
      </c>
      <c r="K1013" s="10" t="n">
        <v>-1366</v>
      </c>
      <c r="L1013" s="7" t="n">
        <v>52577</v>
      </c>
      <c r="M1013" s="8" t="n">
        <v>11725</v>
      </c>
      <c r="N1013" s="8" t="n">
        <v>10517</v>
      </c>
      <c r="O1013" s="9" t="n">
        <v>43120</v>
      </c>
      <c r="P1013" s="10" t="n">
        <v>4025</v>
      </c>
      <c r="Q1013" s="10" t="n">
        <v>684</v>
      </c>
      <c r="R1013" s="7" t="n">
        <v>49290</v>
      </c>
      <c r="S1013" s="8" t="n">
        <v>2447</v>
      </c>
      <c r="T1013" s="8" t="n">
        <v>2913</v>
      </c>
      <c r="U1013" s="9" t="n">
        <v>30403</v>
      </c>
      <c r="V1013" s="10" t="n">
        <v>2918</v>
      </c>
      <c r="W1013" s="10" t="n">
        <v>2416</v>
      </c>
      <c r="X1013" s="7" t="n">
        <v>64455</v>
      </c>
      <c r="Y1013" s="8" t="n">
        <v>9828</v>
      </c>
      <c r="Z1013" s="8" t="n">
        <v>6203</v>
      </c>
      <c r="AA1013" s="9" t="n">
        <v>51044</v>
      </c>
      <c r="AB1013" s="10" t="n">
        <v>15552</v>
      </c>
      <c r="AC1013" s="10" t="n">
        <v>11873</v>
      </c>
      <c r="AD1013" s="7" t="n">
        <v>84641</v>
      </c>
      <c r="AE1013" s="8" t="n">
        <v>18009</v>
      </c>
      <c r="AF1013" s="8" t="n">
        <v>14885</v>
      </c>
      <c r="AG1013" s="9" t="n">
        <v>62412</v>
      </c>
      <c r="AH1013" s="10" t="n">
        <v>15419</v>
      </c>
      <c r="AI1013" s="10" t="n">
        <v>18977</v>
      </c>
      <c r="AJ1013" s="11" t="n">
        <v>77314</v>
      </c>
      <c r="AK1013" s="12" t="n">
        <v>23097</v>
      </c>
      <c r="AL1013" s="12" t="n">
        <v>34943</v>
      </c>
      <c r="AM1013" s="13" t="n">
        <v>23.9</v>
      </c>
      <c r="AN1013" s="13" t="n">
        <v>20</v>
      </c>
      <c r="AO1013" s="13" t="n">
        <v>49.8</v>
      </c>
      <c r="AP1013" s="13" t="n">
        <v>135</v>
      </c>
    </row>
    <row r="1014">
      <c r="A1014" s="5" t="inlineStr">
        <is>
          <t>태양</t>
        </is>
      </c>
      <c r="B1014" s="6" t="inlineStr">
        <is>
          <t>053620</t>
        </is>
      </c>
      <c r="C1014" s="6" t="inlineStr">
        <is>
          <t>연결</t>
        </is>
      </c>
      <c r="D1014" s="6" t="inlineStr">
        <is>
          <t>2026Q2</t>
        </is>
      </c>
      <c r="E1014" s="6" t="inlineStr"/>
      <c r="F1014" s="7" t="inlineStr"/>
      <c r="G1014" s="8" t="inlineStr"/>
      <c r="H1014" s="8" t="inlineStr"/>
      <c r="I1014" s="9" t="n">
        <v>38130</v>
      </c>
      <c r="J1014" s="10" t="n">
        <v>638</v>
      </c>
      <c r="K1014" s="10" t="n">
        <v>1436</v>
      </c>
      <c r="L1014" s="7" t="n">
        <v>38639</v>
      </c>
      <c r="M1014" s="8" t="n">
        <v>920</v>
      </c>
      <c r="N1014" s="8" t="n">
        <v>827</v>
      </c>
      <c r="O1014" s="9" t="n">
        <v>34581</v>
      </c>
      <c r="P1014" s="10" t="n">
        <v>124</v>
      </c>
      <c r="Q1014" s="10" t="n">
        <v>1720</v>
      </c>
      <c r="R1014" s="7" t="n">
        <v>40888</v>
      </c>
      <c r="S1014" s="8" t="n">
        <v>485</v>
      </c>
      <c r="T1014" s="8" t="n">
        <v>4279</v>
      </c>
      <c r="U1014" s="9" t="n">
        <v>35561</v>
      </c>
      <c r="V1014" s="10" t="n">
        <v>431</v>
      </c>
      <c r="W1014" s="10" t="n">
        <v>2441</v>
      </c>
      <c r="X1014" s="7" t="n">
        <v>34255</v>
      </c>
      <c r="Y1014" s="8" t="n">
        <v>111</v>
      </c>
      <c r="Z1014" s="8" t="n">
        <v>6624</v>
      </c>
      <c r="AA1014" s="9" t="n">
        <v>33619</v>
      </c>
      <c r="AB1014" s="10" t="n">
        <v>35</v>
      </c>
      <c r="AC1014" s="10" t="n">
        <v>1275</v>
      </c>
      <c r="AD1014" s="7" t="n">
        <v>36917</v>
      </c>
      <c r="AE1014" s="8" t="n">
        <v>1816</v>
      </c>
      <c r="AF1014" s="8" t="n">
        <v>1512</v>
      </c>
      <c r="AG1014" s="9" t="n">
        <v>36781</v>
      </c>
      <c r="AH1014" s="10" t="n">
        <v>2486</v>
      </c>
      <c r="AI1014" s="10" t="n">
        <v>8619</v>
      </c>
      <c r="AJ1014" s="11" t="n">
        <v>44168</v>
      </c>
      <c r="AK1014" s="12" t="n">
        <v>3637</v>
      </c>
      <c r="AL1014" s="12" t="n">
        <v>5203</v>
      </c>
      <c r="AM1014" s="13" t="n">
        <v>20.1</v>
      </c>
      <c r="AN1014" s="13" t="n">
        <v>28.9</v>
      </c>
      <c r="AO1014" s="13" t="n">
        <v>46.3</v>
      </c>
      <c r="AP1014" s="13" t="n">
        <v>3176.6</v>
      </c>
    </row>
    <row r="1015">
      <c r="A1015" s="5" t="inlineStr">
        <is>
          <t>한미글로벌</t>
        </is>
      </c>
      <c r="B1015" s="6" t="inlineStr">
        <is>
          <t>053690</t>
        </is>
      </c>
      <c r="C1015" s="6" t="inlineStr">
        <is>
          <t>연결</t>
        </is>
      </c>
      <c r="D1015" s="6" t="inlineStr">
        <is>
          <t>2026Q2</t>
        </is>
      </c>
      <c r="E1015" s="6" t="inlineStr"/>
      <c r="F1015" s="7" t="inlineStr"/>
      <c r="G1015" s="8" t="inlineStr"/>
      <c r="H1015" s="8" t="inlineStr"/>
      <c r="I1015" s="9" t="n">
        <v>101849</v>
      </c>
      <c r="J1015" s="10" t="n">
        <v>8386</v>
      </c>
      <c r="K1015" s="10" t="n">
        <v>7002</v>
      </c>
      <c r="L1015" s="7" t="n">
        <v>102596</v>
      </c>
      <c r="M1015" s="8" t="n">
        <v>8129</v>
      </c>
      <c r="N1015" s="8" t="n">
        <v>3379</v>
      </c>
      <c r="O1015" s="9" t="n">
        <v>102262</v>
      </c>
      <c r="P1015" s="10" t="n">
        <v>7925</v>
      </c>
      <c r="Q1015" s="10" t="n">
        <v>4614</v>
      </c>
      <c r="R1015" s="7" t="n">
        <v>118065</v>
      </c>
      <c r="S1015" s="8" t="n">
        <v>9477</v>
      </c>
      <c r="T1015" s="8" t="n">
        <v>7881</v>
      </c>
      <c r="U1015" s="9" t="n">
        <v>122522</v>
      </c>
      <c r="V1015" s="10" t="n">
        <v>9772</v>
      </c>
      <c r="W1015" s="10" t="n">
        <v>6650</v>
      </c>
      <c r="X1015" s="7" t="n">
        <v>108455</v>
      </c>
      <c r="Y1015" s="8" t="n">
        <v>7393</v>
      </c>
      <c r="Z1015" s="8" t="n">
        <v>6701</v>
      </c>
      <c r="AA1015" s="9" t="n">
        <v>105265</v>
      </c>
      <c r="AB1015" s="10" t="n">
        <v>6830</v>
      </c>
      <c r="AC1015" s="10" t="n">
        <v>5445</v>
      </c>
      <c r="AD1015" s="7" t="n">
        <v>112592</v>
      </c>
      <c r="AE1015" s="8" t="n">
        <v>6619</v>
      </c>
      <c r="AF1015" s="8" t="n">
        <v>805</v>
      </c>
      <c r="AG1015" s="9" t="n">
        <v>112028</v>
      </c>
      <c r="AH1015" s="10" t="n">
        <v>2974</v>
      </c>
      <c r="AI1015" s="10" t="n">
        <v>2742</v>
      </c>
      <c r="AJ1015" s="11" t="n">
        <v>119663</v>
      </c>
      <c r="AK1015" s="12" t="n">
        <v>6248</v>
      </c>
      <c r="AL1015" s="12" t="n">
        <v>5839</v>
      </c>
      <c r="AM1015" s="13" t="n">
        <v>6.8</v>
      </c>
      <c r="AN1015" s="13" t="n">
        <v>10.3</v>
      </c>
      <c r="AO1015" s="13" t="n">
        <v>110.1</v>
      </c>
      <c r="AP1015" s="13" t="n">
        <v>-15.5</v>
      </c>
    </row>
    <row r="1016">
      <c r="A1016" s="5" t="inlineStr">
        <is>
          <t>삼보모터스</t>
        </is>
      </c>
      <c r="B1016" s="6" t="inlineStr">
        <is>
          <t>053700</t>
        </is>
      </c>
      <c r="C1016" s="6" t="inlineStr">
        <is>
          <t>연결</t>
        </is>
      </c>
      <c r="D1016" s="6" t="inlineStr">
        <is>
          <t>2026Q2</t>
        </is>
      </c>
      <c r="E1016" s="6" t="inlineStr"/>
      <c r="F1016" s="7" t="inlineStr"/>
      <c r="G1016" s="8" t="inlineStr"/>
      <c r="H1016" s="8" t="inlineStr"/>
      <c r="I1016" s="9" t="n">
        <v>370485</v>
      </c>
      <c r="J1016" s="10" t="n">
        <v>20052</v>
      </c>
      <c r="K1016" s="10" t="n">
        <v>12793</v>
      </c>
      <c r="L1016" s="7" t="n">
        <v>416501</v>
      </c>
      <c r="M1016" s="8" t="n">
        <v>26494</v>
      </c>
      <c r="N1016" s="8" t="n">
        <v>22287</v>
      </c>
      <c r="O1016" s="9" t="n">
        <v>390520</v>
      </c>
      <c r="P1016" s="10" t="n">
        <v>21309</v>
      </c>
      <c r="Q1016" s="10" t="n">
        <v>13115</v>
      </c>
      <c r="R1016" s="7" t="n">
        <v>393120</v>
      </c>
      <c r="S1016" s="8" t="n">
        <v>-13583</v>
      </c>
      <c r="T1016" s="8" t="n">
        <v>-4368</v>
      </c>
      <c r="U1016" s="9" t="n">
        <v>412154</v>
      </c>
      <c r="V1016" s="10" t="n">
        <v>23339</v>
      </c>
      <c r="W1016" s="10" t="n">
        <v>19702</v>
      </c>
      <c r="X1016" s="7" t="n">
        <v>430094</v>
      </c>
      <c r="Y1016" s="8" t="n">
        <v>19428</v>
      </c>
      <c r="Z1016" s="8" t="n">
        <v>4400</v>
      </c>
      <c r="AA1016" s="9" t="n">
        <v>419399</v>
      </c>
      <c r="AB1016" s="10" t="n">
        <v>5388</v>
      </c>
      <c r="AC1016" s="10" t="n">
        <v>9907</v>
      </c>
      <c r="AD1016" s="7" t="n">
        <v>422935</v>
      </c>
      <c r="AE1016" s="8" t="n">
        <v>13575</v>
      </c>
      <c r="AF1016" s="8" t="n">
        <v>-13743</v>
      </c>
      <c r="AG1016" s="9" t="n">
        <v>429264</v>
      </c>
      <c r="AH1016" s="10" t="n">
        <v>13842</v>
      </c>
      <c r="AI1016" s="10" t="n">
        <v>7695</v>
      </c>
      <c r="AJ1016" s="11" t="n">
        <v>460286</v>
      </c>
      <c r="AK1016" s="12" t="n">
        <v>5046</v>
      </c>
      <c r="AL1016" s="12" t="n">
        <v>5311</v>
      </c>
      <c r="AM1016" s="13" t="n">
        <v>7.2</v>
      </c>
      <c r="AN1016" s="13" t="n">
        <v>7</v>
      </c>
      <c r="AO1016" s="13" t="n">
        <v>-63.5</v>
      </c>
      <c r="AP1016" s="13" t="n">
        <v>-74</v>
      </c>
    </row>
    <row r="1017">
      <c r="A1017" s="5" t="inlineStr">
        <is>
          <t>안랩</t>
        </is>
      </c>
      <c r="B1017" s="6" t="inlineStr">
        <is>
          <t>053800</t>
        </is>
      </c>
      <c r="C1017" s="6" t="inlineStr">
        <is>
          <t>연결</t>
        </is>
      </c>
      <c r="D1017" s="6" t="inlineStr">
        <is>
          <t>2026Q2</t>
        </is>
      </c>
      <c r="E1017" s="6" t="inlineStr">
        <is>
          <t>2023Q4</t>
        </is>
      </c>
      <c r="F1017" s="14" t="n">
        <v>65991</v>
      </c>
      <c r="G1017" s="15" t="n">
        <v>12966</v>
      </c>
      <c r="H1017" s="15" t="n">
        <v>12470</v>
      </c>
      <c r="I1017" s="9" t="n">
        <v>49535</v>
      </c>
      <c r="J1017" s="10" t="n">
        <v>53</v>
      </c>
      <c r="K1017" s="10" t="n">
        <v>1019</v>
      </c>
      <c r="L1017" s="7" t="n">
        <v>59903</v>
      </c>
      <c r="M1017" s="8" t="n">
        <v>3539</v>
      </c>
      <c r="N1017" s="8" t="n">
        <v>4769</v>
      </c>
      <c r="O1017" s="9" t="n">
        <v>68500</v>
      </c>
      <c r="P1017" s="10" t="n">
        <v>8529</v>
      </c>
      <c r="Q1017" s="10" t="n">
        <v>9057</v>
      </c>
      <c r="R1017" s="7" t="n">
        <v>82631</v>
      </c>
      <c r="S1017" s="8" t="n">
        <v>15561</v>
      </c>
      <c r="T1017" s="8" t="n">
        <v>17550</v>
      </c>
      <c r="U1017" s="9" t="n">
        <v>57187</v>
      </c>
      <c r="V1017" s="10" t="n">
        <v>1045</v>
      </c>
      <c r="W1017" s="10" t="n">
        <v>2738</v>
      </c>
      <c r="X1017" s="7" t="n">
        <v>62289</v>
      </c>
      <c r="Y1017" s="8" t="n">
        <v>3459</v>
      </c>
      <c r="Z1017" s="8" t="n">
        <v>13360</v>
      </c>
      <c r="AA1017" s="9" t="n">
        <v>64536</v>
      </c>
      <c r="AB1017" s="10" t="n">
        <v>7881</v>
      </c>
      <c r="AC1017" s="10" t="n">
        <v>12677</v>
      </c>
      <c r="AD1017" s="7" t="n">
        <v>83645</v>
      </c>
      <c r="AE1017" s="8" t="n">
        <v>20892</v>
      </c>
      <c r="AF1017" s="8" t="n">
        <v>22720</v>
      </c>
      <c r="AG1017" s="9" t="n">
        <v>59062</v>
      </c>
      <c r="AH1017" s="10" t="n">
        <v>1927</v>
      </c>
      <c r="AI1017" s="10" t="n">
        <v>3971</v>
      </c>
      <c r="AJ1017" s="11" t="n">
        <v>71309</v>
      </c>
      <c r="AK1017" s="12" t="n">
        <v>5382</v>
      </c>
      <c r="AL1017" s="12" t="n">
        <v>6413</v>
      </c>
      <c r="AM1017" s="13" t="n">
        <v>20.7</v>
      </c>
      <c r="AN1017" s="13" t="n">
        <v>14.5</v>
      </c>
      <c r="AO1017" s="13" t="n">
        <v>179.3</v>
      </c>
      <c r="AP1017" s="13" t="n">
        <v>55.6</v>
      </c>
    </row>
    <row r="1018">
      <c r="A1018" s="5" t="inlineStr">
        <is>
          <t>경남제약</t>
        </is>
      </c>
      <c r="B1018" s="6" t="inlineStr">
        <is>
          <t>053950</t>
        </is>
      </c>
      <c r="C1018" s="6" t="inlineStr">
        <is>
          <t>연결</t>
        </is>
      </c>
      <c r="D1018" s="6" t="inlineStr">
        <is>
          <t>2026Q2</t>
        </is>
      </c>
      <c r="E1018" s="6" t="inlineStr"/>
      <c r="F1018" s="7" t="inlineStr"/>
      <c r="G1018" s="8" t="inlineStr"/>
      <c r="H1018" s="8" t="inlineStr"/>
      <c r="I1018" s="9" t="n">
        <v>17702</v>
      </c>
      <c r="J1018" s="10" t="n">
        <v>-750</v>
      </c>
      <c r="K1018" s="10" t="n">
        <v>-2350</v>
      </c>
      <c r="L1018" s="7" t="n">
        <v>15327</v>
      </c>
      <c r="M1018" s="8" t="n">
        <v>-1188</v>
      </c>
      <c r="N1018" s="8" t="n">
        <v>17260</v>
      </c>
      <c r="O1018" s="9" t="n">
        <v>14336</v>
      </c>
      <c r="P1018" s="10" t="n">
        <v>-202</v>
      </c>
      <c r="Q1018" s="10" t="n">
        <v>-4244</v>
      </c>
      <c r="R1018" s="7" t="n">
        <v>13427</v>
      </c>
      <c r="S1018" s="8" t="n">
        <v>1197</v>
      </c>
      <c r="T1018" s="8" t="n">
        <v>-2024</v>
      </c>
      <c r="U1018" s="9" t="n">
        <v>13094</v>
      </c>
      <c r="V1018" s="10" t="n">
        <v>106</v>
      </c>
      <c r="W1018" s="10" t="n">
        <v>-1568</v>
      </c>
      <c r="X1018" s="7" t="n">
        <v>14034</v>
      </c>
      <c r="Y1018" s="8" t="n">
        <v>-839</v>
      </c>
      <c r="Z1018" s="8" t="n">
        <v>2528</v>
      </c>
      <c r="AA1018" s="9" t="n">
        <v>14164</v>
      </c>
      <c r="AB1018" s="10" t="n">
        <v>-1065</v>
      </c>
      <c r="AC1018" s="10" t="n">
        <v>-4676</v>
      </c>
      <c r="AD1018" s="7" t="n">
        <v>14652</v>
      </c>
      <c r="AE1018" s="8" t="n">
        <v>66</v>
      </c>
      <c r="AF1018" s="8" t="n">
        <v>-5291</v>
      </c>
      <c r="AG1018" s="9" t="n">
        <v>16130</v>
      </c>
      <c r="AH1018" s="10" t="n">
        <v>377</v>
      </c>
      <c r="AI1018" s="10" t="n">
        <v>-858</v>
      </c>
      <c r="AJ1018" s="11" t="n">
        <v>17811</v>
      </c>
      <c r="AK1018" s="12" t="n">
        <v>-212</v>
      </c>
      <c r="AL1018" s="12" t="n">
        <v>-3404</v>
      </c>
      <c r="AM1018" s="13" t="n">
        <v>10.4</v>
      </c>
      <c r="AN1018" s="13" t="n">
        <v>26.9</v>
      </c>
      <c r="AO1018" s="13" t="n">
        <v>-156.2</v>
      </c>
      <c r="AP1018" s="13" t="n">
        <v>74.7</v>
      </c>
    </row>
    <row r="1019">
      <c r="A1019" s="5" t="inlineStr">
        <is>
          <t>오상자이엘</t>
        </is>
      </c>
      <c r="B1019" s="6" t="inlineStr">
        <is>
          <t>053980</t>
        </is>
      </c>
      <c r="C1019" s="6" t="inlineStr">
        <is>
          <t>연결</t>
        </is>
      </c>
      <c r="D1019" s="6" t="inlineStr">
        <is>
          <t>2026Q2</t>
        </is>
      </c>
      <c r="E1019" s="6" t="inlineStr"/>
      <c r="F1019" s="7" t="inlineStr"/>
      <c r="G1019" s="8" t="inlineStr"/>
      <c r="H1019" s="8" t="inlineStr"/>
      <c r="I1019" s="9" t="n">
        <v>25063</v>
      </c>
      <c r="J1019" s="10" t="n">
        <v>1452</v>
      </c>
      <c r="K1019" s="10" t="n">
        <v>2432</v>
      </c>
      <c r="L1019" s="7" t="n">
        <v>26892</v>
      </c>
      <c r="M1019" s="8" t="n">
        <v>2559</v>
      </c>
      <c r="N1019" s="8" t="n">
        <v>1451</v>
      </c>
      <c r="O1019" s="9" t="n">
        <v>30062</v>
      </c>
      <c r="P1019" s="10" t="n">
        <v>1998</v>
      </c>
      <c r="Q1019" s="10" t="n">
        <v>1082</v>
      </c>
      <c r="R1019" s="7" t="n">
        <v>34902</v>
      </c>
      <c r="S1019" s="8" t="n">
        <v>1961</v>
      </c>
      <c r="T1019" s="8" t="n">
        <v>1392</v>
      </c>
      <c r="U1019" s="9" t="n">
        <v>28656</v>
      </c>
      <c r="V1019" s="10" t="n">
        <v>2747</v>
      </c>
      <c r="W1019" s="10" t="n">
        <v>3235</v>
      </c>
      <c r="X1019" s="7" t="n">
        <v>35318</v>
      </c>
      <c r="Y1019" s="8" t="n">
        <v>3055</v>
      </c>
      <c r="Z1019" s="8" t="n">
        <v>1796</v>
      </c>
      <c r="AA1019" s="9" t="n">
        <v>30764</v>
      </c>
      <c r="AB1019" s="10" t="n">
        <v>2935</v>
      </c>
      <c r="AC1019" s="10" t="n">
        <v>3541</v>
      </c>
      <c r="AD1019" s="7" t="n">
        <v>41614</v>
      </c>
      <c r="AE1019" s="8" t="n">
        <v>2264</v>
      </c>
      <c r="AF1019" s="8" t="n">
        <v>1797</v>
      </c>
      <c r="AG1019" s="9" t="n">
        <v>28479</v>
      </c>
      <c r="AH1019" s="10" t="n">
        <v>2259</v>
      </c>
      <c r="AI1019" s="10" t="n">
        <v>2231</v>
      </c>
      <c r="AJ1019" s="11" t="n">
        <v>29392</v>
      </c>
      <c r="AK1019" s="12" t="n">
        <v>2068</v>
      </c>
      <c r="AL1019" s="12" t="n">
        <v>3929</v>
      </c>
      <c r="AM1019" s="13" t="n">
        <v>3.2</v>
      </c>
      <c r="AN1019" s="13" t="n">
        <v>-16.8</v>
      </c>
      <c r="AO1019" s="13" t="n">
        <v>-8.5</v>
      </c>
      <c r="AP1019" s="13" t="n">
        <v>-32.3</v>
      </c>
    </row>
    <row r="1020">
      <c r="A1020" s="5" t="inlineStr">
        <is>
          <t>한국컴퓨터</t>
        </is>
      </c>
      <c r="B1020" s="6" t="inlineStr">
        <is>
          <t>054040</t>
        </is>
      </c>
      <c r="C1020" s="6" t="inlineStr">
        <is>
          <t>연결</t>
        </is>
      </c>
      <c r="D1020" s="6" t="inlineStr">
        <is>
          <t>2026Q2</t>
        </is>
      </c>
      <c r="E1020" s="6" t="inlineStr"/>
      <c r="F1020" s="7" t="inlineStr"/>
      <c r="G1020" s="8" t="inlineStr"/>
      <c r="H1020" s="8" t="inlineStr"/>
      <c r="I1020" s="9" t="n">
        <v>75987</v>
      </c>
      <c r="J1020" s="10" t="n">
        <v>-333</v>
      </c>
      <c r="K1020" s="10" t="n">
        <v>771</v>
      </c>
      <c r="L1020" s="7" t="n">
        <v>123742</v>
      </c>
      <c r="M1020" s="8" t="n">
        <v>7225</v>
      </c>
      <c r="N1020" s="8" t="n">
        <v>6422</v>
      </c>
      <c r="O1020" s="9" t="n">
        <v>114222</v>
      </c>
      <c r="P1020" s="10" t="n">
        <v>4230</v>
      </c>
      <c r="Q1020" s="10" t="n">
        <v>3304</v>
      </c>
      <c r="R1020" s="7" t="n">
        <v>107074</v>
      </c>
      <c r="S1020" s="8" t="n">
        <v>1036</v>
      </c>
      <c r="T1020" s="8" t="n">
        <v>3096</v>
      </c>
      <c r="U1020" s="9" t="n">
        <v>67843</v>
      </c>
      <c r="V1020" s="10" t="n">
        <v>1015</v>
      </c>
      <c r="W1020" s="10" t="n">
        <v>1342</v>
      </c>
      <c r="X1020" s="7" t="n">
        <v>103099</v>
      </c>
      <c r="Y1020" s="8" t="n">
        <v>2705</v>
      </c>
      <c r="Z1020" s="8" t="n">
        <v>905</v>
      </c>
      <c r="AA1020" s="9" t="n">
        <v>127799</v>
      </c>
      <c r="AB1020" s="10" t="n">
        <v>8857</v>
      </c>
      <c r="AC1020" s="10" t="n">
        <v>8060</v>
      </c>
      <c r="AD1020" s="7" t="n">
        <v>119032</v>
      </c>
      <c r="AE1020" s="8" t="n">
        <v>10284</v>
      </c>
      <c r="AF1020" s="8" t="n">
        <v>10241</v>
      </c>
      <c r="AG1020" s="9" t="n">
        <v>83085</v>
      </c>
      <c r="AH1020" s="10" t="n">
        <v>5098</v>
      </c>
      <c r="AI1020" s="10" t="n">
        <v>5825</v>
      </c>
      <c r="AJ1020" s="11" t="n">
        <v>77758</v>
      </c>
      <c r="AK1020" s="12" t="n">
        <v>1204</v>
      </c>
      <c r="AL1020" s="12" t="n">
        <v>1810</v>
      </c>
      <c r="AM1020" s="13" t="n">
        <v>-6.4</v>
      </c>
      <c r="AN1020" s="13" t="n">
        <v>-24.6</v>
      </c>
      <c r="AO1020" s="13" t="n">
        <v>-76.40000000000001</v>
      </c>
      <c r="AP1020" s="13" t="n">
        <v>-55.5</v>
      </c>
    </row>
    <row r="1021">
      <c r="A1021" s="5" t="inlineStr">
        <is>
          <t>NH농우바이오</t>
        </is>
      </c>
      <c r="B1021" s="6" t="inlineStr">
        <is>
          <t>054050</t>
        </is>
      </c>
      <c r="C1021" s="6" t="inlineStr">
        <is>
          <t>연결</t>
        </is>
      </c>
      <c r="D1021" s="6" t="inlineStr">
        <is>
          <t>2026Q2</t>
        </is>
      </c>
      <c r="E1021" s="6" t="inlineStr"/>
      <c r="F1021" s="7" t="inlineStr"/>
      <c r="G1021" s="8" t="inlineStr"/>
      <c r="H1021" s="8" t="inlineStr"/>
      <c r="I1021" s="9" t="n">
        <v>33460</v>
      </c>
      <c r="J1021" s="10" t="n">
        <v>4826</v>
      </c>
      <c r="K1021" s="10" t="n">
        <v>5248</v>
      </c>
      <c r="L1021" s="7" t="n">
        <v>40491</v>
      </c>
      <c r="M1021" s="8" t="n">
        <v>1832</v>
      </c>
      <c r="N1021" s="8" t="n">
        <v>2622</v>
      </c>
      <c r="O1021" s="9" t="n">
        <v>39300</v>
      </c>
      <c r="P1021" s="10" t="n">
        <v>6507</v>
      </c>
      <c r="Q1021" s="10" t="n">
        <v>3263</v>
      </c>
      <c r="R1021" s="7" t="n">
        <v>31429</v>
      </c>
      <c r="S1021" s="8" t="n">
        <v>-2062</v>
      </c>
      <c r="T1021" s="8" t="n">
        <v>-224</v>
      </c>
      <c r="U1021" s="9" t="n">
        <v>37382</v>
      </c>
      <c r="V1021" s="10" t="n">
        <v>7558</v>
      </c>
      <c r="W1021" s="10" t="n">
        <v>6454</v>
      </c>
      <c r="X1021" s="7" t="n">
        <v>43347</v>
      </c>
      <c r="Y1021" s="8" t="n">
        <v>3204</v>
      </c>
      <c r="Z1021" s="8" t="n">
        <v>2587</v>
      </c>
      <c r="AA1021" s="9" t="n">
        <v>38876</v>
      </c>
      <c r="AB1021" s="10" t="n">
        <v>3730</v>
      </c>
      <c r="AC1021" s="10" t="n">
        <v>4295</v>
      </c>
      <c r="AD1021" s="7" t="n">
        <v>39184</v>
      </c>
      <c r="AE1021" s="8" t="n">
        <v>-851</v>
      </c>
      <c r="AF1021" s="8" t="n">
        <v>-1053</v>
      </c>
      <c r="AG1021" s="9" t="n">
        <v>36368</v>
      </c>
      <c r="AH1021" s="10" t="n">
        <v>5368</v>
      </c>
      <c r="AI1021" s="10" t="n">
        <v>6406</v>
      </c>
      <c r="AJ1021" s="11" t="n">
        <v>46100</v>
      </c>
      <c r="AK1021" s="12" t="n">
        <v>2500</v>
      </c>
      <c r="AL1021" s="12" t="n">
        <v>3197</v>
      </c>
      <c r="AM1021" s="13" t="n">
        <v>26.8</v>
      </c>
      <c r="AN1021" s="13" t="n">
        <v>6.4</v>
      </c>
      <c r="AO1021" s="13" t="n">
        <v>-53.4</v>
      </c>
      <c r="AP1021" s="13" t="n">
        <v>-22</v>
      </c>
    </row>
    <row r="1022">
      <c r="A1022" s="5" t="inlineStr">
        <is>
          <t>삼진엘앤디</t>
        </is>
      </c>
      <c r="B1022" s="6" t="inlineStr">
        <is>
          <t>054090</t>
        </is>
      </c>
      <c r="C1022" s="6" t="inlineStr">
        <is>
          <t>연결</t>
        </is>
      </c>
      <c r="D1022" s="6" t="inlineStr">
        <is>
          <t>2026Q2</t>
        </is>
      </c>
      <c r="E1022" s="6" t="inlineStr"/>
      <c r="F1022" s="7" t="inlineStr"/>
      <c r="G1022" s="8" t="inlineStr"/>
      <c r="H1022" s="8" t="inlineStr"/>
      <c r="I1022" s="9" t="n">
        <v>56494</v>
      </c>
      <c r="J1022" s="10" t="n">
        <v>-1215</v>
      </c>
      <c r="K1022" s="10" t="n">
        <v>-1006</v>
      </c>
      <c r="L1022" s="7" t="n">
        <v>37939</v>
      </c>
      <c r="M1022" s="8" t="n">
        <v>-2179</v>
      </c>
      <c r="N1022" s="8" t="n">
        <v>-5062</v>
      </c>
      <c r="O1022" s="9" t="n">
        <v>51624</v>
      </c>
      <c r="P1022" s="10" t="n">
        <v>-349</v>
      </c>
      <c r="Q1022" s="10" t="n">
        <v>-4664</v>
      </c>
      <c r="R1022" s="7" t="n">
        <v>27160</v>
      </c>
      <c r="S1022" s="8" t="n">
        <v>-5196</v>
      </c>
      <c r="T1022" s="8" t="n">
        <v>-10968</v>
      </c>
      <c r="U1022" s="9" t="n">
        <v>39773</v>
      </c>
      <c r="V1022" s="10" t="n">
        <v>-3019</v>
      </c>
      <c r="W1022" s="10" t="n">
        <v>-4141</v>
      </c>
      <c r="X1022" s="7" t="n">
        <v>31246</v>
      </c>
      <c r="Y1022" s="8" t="n">
        <v>930</v>
      </c>
      <c r="Z1022" s="8" t="n">
        <v>-6656</v>
      </c>
      <c r="AA1022" s="9" t="n">
        <v>36412</v>
      </c>
      <c r="AB1022" s="10" t="n">
        <v>933</v>
      </c>
      <c r="AC1022" s="10" t="n">
        <v>2709</v>
      </c>
      <c r="AD1022" s="7" t="n">
        <v>28912</v>
      </c>
      <c r="AE1022" s="8" t="n">
        <v>-818</v>
      </c>
      <c r="AF1022" s="8" t="n">
        <v>-2466</v>
      </c>
      <c r="AG1022" s="9" t="n">
        <v>35889</v>
      </c>
      <c r="AH1022" s="10" t="n">
        <v>679</v>
      </c>
      <c r="AI1022" s="10" t="n">
        <v>3846</v>
      </c>
      <c r="AJ1022" s="11" t="n">
        <v>40384</v>
      </c>
      <c r="AK1022" s="12" t="n">
        <v>1368</v>
      </c>
      <c r="AL1022" s="12" t="n">
        <v>-667</v>
      </c>
      <c r="AM1022" s="13" t="n">
        <v>12.5</v>
      </c>
      <c r="AN1022" s="13" t="n">
        <v>29.2</v>
      </c>
      <c r="AO1022" s="13" t="n">
        <v>101.5</v>
      </c>
      <c r="AP1022" s="13" t="n">
        <v>47.1</v>
      </c>
    </row>
    <row r="1023">
      <c r="A1023" s="5" t="inlineStr">
        <is>
          <t>메디콕스</t>
        </is>
      </c>
      <c r="B1023" s="6" t="inlineStr">
        <is>
          <t>054180</t>
        </is>
      </c>
      <c r="C1023" s="6" t="inlineStr">
        <is>
          <t>연결</t>
        </is>
      </c>
      <c r="D1023" s="6" t="inlineStr">
        <is>
          <t>2026Q2</t>
        </is>
      </c>
      <c r="E1023" s="6" t="inlineStr"/>
      <c r="F1023" s="7" t="inlineStr"/>
      <c r="G1023" s="8" t="inlineStr"/>
      <c r="H1023" s="8" t="inlineStr"/>
      <c r="I1023" s="9" t="n">
        <v>7467</v>
      </c>
      <c r="J1023" s="10" t="n">
        <v>-3368</v>
      </c>
      <c r="K1023" s="10" t="n">
        <v>-2948</v>
      </c>
      <c r="L1023" s="7" t="n">
        <v>7364</v>
      </c>
      <c r="M1023" s="8" t="n">
        <v>-2293</v>
      </c>
      <c r="N1023" s="8" t="n">
        <v>-7420</v>
      </c>
      <c r="O1023" s="9" t="n">
        <v>7605</v>
      </c>
      <c r="P1023" s="10" t="n">
        <v>-2241</v>
      </c>
      <c r="Q1023" s="10" t="n">
        <v>-3791</v>
      </c>
      <c r="R1023" s="7" t="n">
        <v>8175</v>
      </c>
      <c r="S1023" s="8" t="n">
        <v>-2144</v>
      </c>
      <c r="T1023" s="8" t="n">
        <v>-7276</v>
      </c>
      <c r="U1023" s="9" t="n">
        <v>6820</v>
      </c>
      <c r="V1023" s="10" t="n">
        <v>-2023</v>
      </c>
      <c r="W1023" s="10" t="n">
        <v>-2883</v>
      </c>
      <c r="X1023" s="7" t="n">
        <v>7675</v>
      </c>
      <c r="Y1023" s="8" t="n">
        <v>-1454</v>
      </c>
      <c r="Z1023" s="8" t="n">
        <v>-3724</v>
      </c>
      <c r="AA1023" s="9" t="n">
        <v>6685</v>
      </c>
      <c r="AB1023" s="10" t="n">
        <v>-923</v>
      </c>
      <c r="AC1023" s="10" t="n">
        <v>-1918</v>
      </c>
      <c r="AD1023" s="7" t="n">
        <v>6981</v>
      </c>
      <c r="AE1023" s="8" t="n">
        <v>-1347</v>
      </c>
      <c r="AF1023" s="8" t="n">
        <v>-3370</v>
      </c>
      <c r="AG1023" s="9" t="n">
        <v>6329</v>
      </c>
      <c r="AH1023" s="10" t="n">
        <v>-1033</v>
      </c>
      <c r="AI1023" s="10" t="n">
        <v>-1569</v>
      </c>
      <c r="AJ1023" s="11" t="n">
        <v>6443</v>
      </c>
      <c r="AK1023" s="12" t="n">
        <v>-1114</v>
      </c>
      <c r="AL1023" s="12" t="n">
        <v>-1072</v>
      </c>
      <c r="AM1023" s="13" t="n">
        <v>1.8</v>
      </c>
      <c r="AN1023" s="13" t="n">
        <v>-16.1</v>
      </c>
      <c r="AO1023" s="13" t="n">
        <v>-7.8</v>
      </c>
      <c r="AP1023" s="13" t="n">
        <v>23.4</v>
      </c>
    </row>
    <row r="1024">
      <c r="A1024" s="5" t="inlineStr">
        <is>
          <t>이랜텍</t>
        </is>
      </c>
      <c r="B1024" s="6" t="inlineStr">
        <is>
          <t>054210</t>
        </is>
      </c>
      <c r="C1024" s="6" t="inlineStr">
        <is>
          <t>연결</t>
        </is>
      </c>
      <c r="D1024" s="6" t="inlineStr">
        <is>
          <t>2026Q2</t>
        </is>
      </c>
      <c r="E1024" s="6" t="inlineStr"/>
      <c r="F1024" s="7" t="inlineStr"/>
      <c r="G1024" s="8" t="inlineStr"/>
      <c r="H1024" s="8" t="inlineStr"/>
      <c r="I1024" s="9" t="n">
        <v>163419</v>
      </c>
      <c r="J1024" s="10" t="n">
        <v>-185</v>
      </c>
      <c r="K1024" s="10" t="n">
        <v>-5196</v>
      </c>
      <c r="L1024" s="7" t="n">
        <v>133868</v>
      </c>
      <c r="M1024" s="8" t="n">
        <v>-2576</v>
      </c>
      <c r="N1024" s="8" t="n">
        <v>-15845</v>
      </c>
      <c r="O1024" s="9" t="n">
        <v>143236</v>
      </c>
      <c r="P1024" s="10" t="n">
        <v>7037</v>
      </c>
      <c r="Q1024" s="10" t="n">
        <v>-6018</v>
      </c>
      <c r="R1024" s="7" t="n">
        <v>115491</v>
      </c>
      <c r="S1024" s="8" t="n">
        <v>11825</v>
      </c>
      <c r="T1024" s="8" t="n">
        <v>27414</v>
      </c>
      <c r="U1024" s="9" t="n">
        <v>121119</v>
      </c>
      <c r="V1024" s="10" t="n">
        <v>-595</v>
      </c>
      <c r="W1024" s="10" t="n">
        <v>-5807</v>
      </c>
      <c r="X1024" s="7" t="n">
        <v>154557</v>
      </c>
      <c r="Y1024" s="8" t="n">
        <v>7481</v>
      </c>
      <c r="Z1024" s="8" t="n">
        <v>-1886</v>
      </c>
      <c r="AA1024" s="9" t="n">
        <v>225551</v>
      </c>
      <c r="AB1024" s="10" t="n">
        <v>15388</v>
      </c>
      <c r="AC1024" s="10" t="n">
        <v>11464</v>
      </c>
      <c r="AD1024" s="7" t="n">
        <v>251933</v>
      </c>
      <c r="AE1024" s="8" t="n">
        <v>20892</v>
      </c>
      <c r="AF1024" s="8" t="n">
        <v>22883</v>
      </c>
      <c r="AG1024" s="9" t="n">
        <v>235189</v>
      </c>
      <c r="AH1024" s="10" t="n">
        <v>17532</v>
      </c>
      <c r="AI1024" s="10" t="n">
        <v>14877</v>
      </c>
      <c r="AJ1024" s="11" t="n">
        <v>213542</v>
      </c>
      <c r="AK1024" s="12" t="n">
        <v>7109</v>
      </c>
      <c r="AL1024" s="12" t="n">
        <v>3229</v>
      </c>
      <c r="AM1024" s="13" t="n">
        <v>-9.199999999999999</v>
      </c>
      <c r="AN1024" s="13" t="n">
        <v>38.2</v>
      </c>
      <c r="AO1024" s="13" t="n">
        <v>-59.5</v>
      </c>
      <c r="AP1024" s="13" t="n">
        <v>-5</v>
      </c>
    </row>
    <row r="1025">
      <c r="A1025" s="5" t="inlineStr">
        <is>
          <t>비츠로시스</t>
        </is>
      </c>
      <c r="B1025" s="6" t="inlineStr">
        <is>
          <t>054220</t>
        </is>
      </c>
      <c r="C1025" s="6" t="inlineStr">
        <is>
          <t>연결</t>
        </is>
      </c>
      <c r="D1025" s="6" t="inlineStr">
        <is>
          <t>2026Q2</t>
        </is>
      </c>
      <c r="E1025" s="6" t="inlineStr"/>
      <c r="F1025" s="7" t="inlineStr"/>
      <c r="G1025" s="8" t="inlineStr"/>
      <c r="H1025" s="8" t="inlineStr"/>
      <c r="I1025" s="9" t="n">
        <v>7392</v>
      </c>
      <c r="J1025" s="10" t="n">
        <v>-751</v>
      </c>
      <c r="K1025" s="10" t="n">
        <v>-1224</v>
      </c>
      <c r="L1025" s="7" t="n">
        <v>4558</v>
      </c>
      <c r="M1025" s="8" t="n">
        <v>-2093</v>
      </c>
      <c r="N1025" s="8" t="n">
        <v>-3328</v>
      </c>
      <c r="O1025" s="9" t="n">
        <v>6981</v>
      </c>
      <c r="P1025" s="10" t="n">
        <v>-760</v>
      </c>
      <c r="Q1025" s="10" t="n">
        <v>-627</v>
      </c>
      <c r="R1025" s="7" t="n">
        <v>6722</v>
      </c>
      <c r="S1025" s="8" t="n">
        <v>-2539</v>
      </c>
      <c r="T1025" s="8" t="n">
        <v>-5114</v>
      </c>
      <c r="U1025" s="9" t="n">
        <v>9192</v>
      </c>
      <c r="V1025" s="10" t="n">
        <v>54</v>
      </c>
      <c r="W1025" s="10" t="n">
        <v>-18</v>
      </c>
      <c r="X1025" s="7" t="n">
        <v>10045</v>
      </c>
      <c r="Y1025" s="8" t="n">
        <v>-593</v>
      </c>
      <c r="Z1025" s="8" t="n">
        <v>4561</v>
      </c>
      <c r="AA1025" s="9" t="n">
        <v>10716</v>
      </c>
      <c r="AB1025" s="10" t="n">
        <v>315</v>
      </c>
      <c r="AC1025" s="10" t="n">
        <v>-177</v>
      </c>
      <c r="AD1025" s="7" t="n">
        <v>14858</v>
      </c>
      <c r="AE1025" s="8" t="n">
        <v>282</v>
      </c>
      <c r="AF1025" s="8" t="n">
        <v>-2845</v>
      </c>
      <c r="AG1025" s="9" t="n">
        <v>15332</v>
      </c>
      <c r="AH1025" s="10" t="n">
        <v>75</v>
      </c>
      <c r="AI1025" s="10" t="n">
        <v>468</v>
      </c>
      <c r="AJ1025" s="11" t="n">
        <v>23181</v>
      </c>
      <c r="AK1025" s="12" t="n">
        <v>327</v>
      </c>
      <c r="AL1025" s="12" t="n">
        <v>295</v>
      </c>
      <c r="AM1025" s="13" t="n">
        <v>51.2</v>
      </c>
      <c r="AN1025" s="13" t="n">
        <v>130.8</v>
      </c>
      <c r="AO1025" s="13" t="n">
        <v>336</v>
      </c>
      <c r="AP1025" s="13" t="n">
        <v>155.1</v>
      </c>
    </row>
    <row r="1026">
      <c r="A1026" s="5" t="inlineStr">
        <is>
          <t>팬스타엔터프라이즈</t>
        </is>
      </c>
      <c r="B1026" s="6" t="inlineStr">
        <is>
          <t>054300</t>
        </is>
      </c>
      <c r="C1026" s="6" t="inlineStr">
        <is>
          <t>별도</t>
        </is>
      </c>
      <c r="D1026" s="6" t="inlineStr">
        <is>
          <t>2026Q2</t>
        </is>
      </c>
      <c r="E1026" s="6" t="inlineStr"/>
      <c r="F1026" s="7" t="inlineStr"/>
      <c r="G1026" s="8" t="inlineStr"/>
      <c r="H1026" s="8" t="inlineStr"/>
      <c r="I1026" s="9" t="n">
        <v>13514</v>
      </c>
      <c r="J1026" s="10" t="n">
        <v>233</v>
      </c>
      <c r="K1026" s="10" t="n">
        <v>232</v>
      </c>
      <c r="L1026" s="7" t="n">
        <v>22962</v>
      </c>
      <c r="M1026" s="8" t="n">
        <v>153</v>
      </c>
      <c r="N1026" s="8" t="n">
        <v>392</v>
      </c>
      <c r="O1026" s="9" t="n">
        <v>13354</v>
      </c>
      <c r="P1026" s="10" t="n">
        <v>66</v>
      </c>
      <c r="Q1026" s="10" t="n">
        <v>-482</v>
      </c>
      <c r="R1026" s="7" t="n">
        <v>13060</v>
      </c>
      <c r="S1026" s="8" t="n">
        <v>-167</v>
      </c>
      <c r="T1026" s="8" t="n">
        <v>3499</v>
      </c>
      <c r="U1026" s="9" t="n">
        <v>17099</v>
      </c>
      <c r="V1026" s="10" t="n">
        <v>359</v>
      </c>
      <c r="W1026" s="10" t="n">
        <v>318</v>
      </c>
      <c r="X1026" s="7" t="n">
        <v>16728</v>
      </c>
      <c r="Y1026" s="8" t="n">
        <v>-138</v>
      </c>
      <c r="Z1026" s="8" t="n">
        <v>1542</v>
      </c>
      <c r="AA1026" s="9" t="n">
        <v>16697</v>
      </c>
      <c r="AB1026" s="10" t="n">
        <v>-1803</v>
      </c>
      <c r="AC1026" s="10" t="n">
        <v>-1389</v>
      </c>
      <c r="AD1026" s="7" t="n">
        <v>16637</v>
      </c>
      <c r="AE1026" s="8" t="n">
        <v>-1210</v>
      </c>
      <c r="AF1026" s="8" t="n">
        <v>-2046</v>
      </c>
      <c r="AG1026" s="9" t="n">
        <v>13459</v>
      </c>
      <c r="AH1026" s="10" t="n">
        <v>233</v>
      </c>
      <c r="AI1026" s="10" t="n">
        <v>830</v>
      </c>
      <c r="AJ1026" s="11" t="n">
        <v>19882</v>
      </c>
      <c r="AK1026" s="12" t="n">
        <v>307</v>
      </c>
      <c r="AL1026" s="12" t="n">
        <v>1246</v>
      </c>
      <c r="AM1026" s="13" t="n">
        <v>47.7</v>
      </c>
      <c r="AN1026" s="13" t="n">
        <v>18.9</v>
      </c>
      <c r="AO1026" s="13" t="n">
        <v>31.8</v>
      </c>
      <c r="AP1026" s="13" t="n">
        <v>322.5</v>
      </c>
    </row>
    <row r="1027">
      <c r="A1027" s="5" t="inlineStr">
        <is>
          <t>케이피티유</t>
        </is>
      </c>
      <c r="B1027" s="6" t="inlineStr">
        <is>
          <t>054410</t>
        </is>
      </c>
      <c r="C1027" s="6" t="inlineStr">
        <is>
          <t>별도</t>
        </is>
      </c>
      <c r="D1027" s="6" t="inlineStr">
        <is>
          <t>2026Q2</t>
        </is>
      </c>
      <c r="E1027" s="6" t="inlineStr"/>
      <c r="F1027" s="7" t="inlineStr"/>
      <c r="G1027" s="8" t="inlineStr"/>
      <c r="H1027" s="8" t="inlineStr"/>
      <c r="I1027" s="9" t="n">
        <v>7580</v>
      </c>
      <c r="J1027" s="10" t="n">
        <v>136</v>
      </c>
      <c r="K1027" s="10" t="n">
        <v>2025</v>
      </c>
      <c r="L1027" s="7" t="n">
        <v>9049</v>
      </c>
      <c r="M1027" s="8" t="n">
        <v>433</v>
      </c>
      <c r="N1027" s="8" t="n">
        <v>1414</v>
      </c>
      <c r="O1027" s="9" t="n">
        <v>8352</v>
      </c>
      <c r="P1027" s="10" t="n">
        <v>56</v>
      </c>
      <c r="Q1027" s="10" t="n">
        <v>-353</v>
      </c>
      <c r="R1027" s="7" t="n">
        <v>8321</v>
      </c>
      <c r="S1027" s="8" t="n">
        <v>132</v>
      </c>
      <c r="T1027" s="8" t="n">
        <v>76</v>
      </c>
      <c r="U1027" s="9" t="n">
        <v>9592</v>
      </c>
      <c r="V1027" s="10" t="n">
        <v>278</v>
      </c>
      <c r="W1027" s="10" t="n">
        <v>2125</v>
      </c>
      <c r="X1027" s="7" t="n">
        <v>11554</v>
      </c>
      <c r="Y1027" s="8" t="n">
        <v>540</v>
      </c>
      <c r="Z1027" s="8" t="n">
        <v>-688</v>
      </c>
      <c r="AA1027" s="9" t="n">
        <v>9320</v>
      </c>
      <c r="AB1027" s="10" t="n">
        <v>246</v>
      </c>
      <c r="AC1027" s="10" t="n">
        <v>395</v>
      </c>
      <c r="AD1027" s="7" t="n">
        <v>9463</v>
      </c>
      <c r="AE1027" s="8" t="n">
        <v>324</v>
      </c>
      <c r="AF1027" s="8" t="n">
        <v>378</v>
      </c>
      <c r="AG1027" s="9" t="n">
        <v>11363</v>
      </c>
      <c r="AH1027" s="10" t="n">
        <v>409</v>
      </c>
      <c r="AI1027" s="10" t="n">
        <v>2933</v>
      </c>
      <c r="AJ1027" s="11" t="n">
        <v>12912</v>
      </c>
      <c r="AK1027" s="12" t="n">
        <v>1020</v>
      </c>
      <c r="AL1027" s="12" t="n">
        <v>613</v>
      </c>
      <c r="AM1027" s="13" t="n">
        <v>13.6</v>
      </c>
      <c r="AN1027" s="13" t="n">
        <v>11.8</v>
      </c>
      <c r="AO1027" s="13" t="n">
        <v>149.4</v>
      </c>
      <c r="AP1027" s="13" t="n">
        <v>88.90000000000001</v>
      </c>
    </row>
    <row r="1028">
      <c r="A1028" s="5" t="inlineStr">
        <is>
          <t>텔레칩스</t>
        </is>
      </c>
      <c r="B1028" s="6" t="inlineStr">
        <is>
          <t>054450</t>
        </is>
      </c>
      <c r="C1028" s="6" t="inlineStr">
        <is>
          <t>연결</t>
        </is>
      </c>
      <c r="D1028" s="6" t="inlineStr">
        <is>
          <t>2026Q2</t>
        </is>
      </c>
      <c r="E1028" s="6" t="inlineStr"/>
      <c r="F1028" s="7" t="inlineStr"/>
      <c r="G1028" s="8" t="inlineStr"/>
      <c r="H1028" s="8" t="inlineStr"/>
      <c r="I1028" s="9" t="n">
        <v>45380</v>
      </c>
      <c r="J1028" s="10" t="n">
        <v>1019</v>
      </c>
      <c r="K1028" s="10" t="n">
        <v>-6170</v>
      </c>
      <c r="L1028" s="7" t="n">
        <v>45998</v>
      </c>
      <c r="M1028" s="8" t="n">
        <v>1068</v>
      </c>
      <c r="N1028" s="8" t="n">
        <v>-15628</v>
      </c>
      <c r="O1028" s="9" t="n">
        <v>47606</v>
      </c>
      <c r="P1028" s="10" t="n">
        <v>1417</v>
      </c>
      <c r="Q1028" s="10" t="n">
        <v>-9749</v>
      </c>
      <c r="R1028" s="7" t="n">
        <v>47632</v>
      </c>
      <c r="S1028" s="8" t="n">
        <v>1370</v>
      </c>
      <c r="T1028" s="8" t="n">
        <v>-7013</v>
      </c>
      <c r="U1028" s="9" t="n">
        <v>45204</v>
      </c>
      <c r="V1028" s="10" t="n">
        <v>-2599</v>
      </c>
      <c r="W1028" s="10" t="n">
        <v>-3484</v>
      </c>
      <c r="X1028" s="7" t="n">
        <v>44303</v>
      </c>
      <c r="Y1028" s="8" t="n">
        <v>-3554</v>
      </c>
      <c r="Z1028" s="8" t="n">
        <v>-3220</v>
      </c>
      <c r="AA1028" s="9" t="n">
        <v>50246</v>
      </c>
      <c r="AB1028" s="10" t="n">
        <v>-2719</v>
      </c>
      <c r="AC1028" s="10" t="n">
        <v>-4106</v>
      </c>
      <c r="AD1028" s="7" t="n">
        <v>53049</v>
      </c>
      <c r="AE1028" s="8" t="n">
        <v>2683</v>
      </c>
      <c r="AF1028" s="8" t="n">
        <v>-50823</v>
      </c>
      <c r="AG1028" s="9" t="n">
        <v>66080</v>
      </c>
      <c r="AH1028" s="10" t="n">
        <v>6122</v>
      </c>
      <c r="AI1028" s="10" t="n">
        <v>944</v>
      </c>
      <c r="AJ1028" s="11" t="n">
        <v>59174</v>
      </c>
      <c r="AK1028" s="12" t="n">
        <v>3180</v>
      </c>
      <c r="AL1028" s="12" t="n">
        <v>-4097</v>
      </c>
      <c r="AM1028" s="13" t="n">
        <v>-10.5</v>
      </c>
      <c r="AN1028" s="13" t="n">
        <v>33.6</v>
      </c>
      <c r="AO1028" s="13" t="n">
        <v>-48.1</v>
      </c>
      <c r="AP1028" s="13" t="n">
        <v>189.5</v>
      </c>
    </row>
    <row r="1029">
      <c r="A1029" s="5" t="inlineStr">
        <is>
          <t>삼영엠텍</t>
        </is>
      </c>
      <c r="B1029" s="6" t="inlineStr">
        <is>
          <t>054540</t>
        </is>
      </c>
      <c r="C1029" s="6" t="inlineStr">
        <is>
          <t>연결</t>
        </is>
      </c>
      <c r="D1029" s="6" t="inlineStr">
        <is>
          <t>2026Q2</t>
        </is>
      </c>
      <c r="E1029" s="6" t="inlineStr"/>
      <c r="F1029" s="7" t="inlineStr"/>
      <c r="G1029" s="8" t="inlineStr"/>
      <c r="H1029" s="8" t="inlineStr"/>
      <c r="I1029" s="9" t="n">
        <v>26521</v>
      </c>
      <c r="J1029" s="10" t="n">
        <v>2696</v>
      </c>
      <c r="K1029" s="10" t="n">
        <v>1401</v>
      </c>
      <c r="L1029" s="7" t="n">
        <v>34058</v>
      </c>
      <c r="M1029" s="8" t="n">
        <v>1428</v>
      </c>
      <c r="N1029" s="8" t="n">
        <v>481</v>
      </c>
      <c r="O1029" s="9" t="n">
        <v>28581</v>
      </c>
      <c r="P1029" s="10" t="n">
        <v>2750</v>
      </c>
      <c r="Q1029" s="10" t="n">
        <v>2923</v>
      </c>
      <c r="R1029" s="7" t="n">
        <v>28861</v>
      </c>
      <c r="S1029" s="8" t="n">
        <v>3423</v>
      </c>
      <c r="T1029" s="8" t="n">
        <v>1237</v>
      </c>
      <c r="U1029" s="9" t="n">
        <v>26341</v>
      </c>
      <c r="V1029" s="10" t="n">
        <v>2868</v>
      </c>
      <c r="W1029" s="10" t="n">
        <v>2660</v>
      </c>
      <c r="X1029" s="7" t="n">
        <v>29632</v>
      </c>
      <c r="Y1029" s="8" t="n">
        <v>2438</v>
      </c>
      <c r="Z1029" s="8" t="n">
        <v>2234</v>
      </c>
      <c r="AA1029" s="9" t="n">
        <v>29469</v>
      </c>
      <c r="AB1029" s="10" t="n">
        <v>3411</v>
      </c>
      <c r="AC1029" s="10" t="n">
        <v>2646</v>
      </c>
      <c r="AD1029" s="7" t="n">
        <v>33020</v>
      </c>
      <c r="AE1029" s="8" t="n">
        <v>1502</v>
      </c>
      <c r="AF1029" s="8" t="n">
        <v>5585</v>
      </c>
      <c r="AG1029" s="9" t="n">
        <v>130910</v>
      </c>
      <c r="AH1029" s="10" t="n">
        <v>5609</v>
      </c>
      <c r="AI1029" s="10" t="n">
        <v>4223</v>
      </c>
      <c r="AJ1029" s="11" t="n">
        <v>131393</v>
      </c>
      <c r="AK1029" s="12" t="n">
        <v>3176</v>
      </c>
      <c r="AL1029" s="12" t="n">
        <v>1460</v>
      </c>
      <c r="AM1029" s="13" t="n">
        <v>0.4</v>
      </c>
      <c r="AN1029" s="13" t="n">
        <v>343.4</v>
      </c>
      <c r="AO1029" s="13" t="n">
        <v>-43.4</v>
      </c>
      <c r="AP1029" s="13" t="n">
        <v>30.3</v>
      </c>
    </row>
    <row r="1030">
      <c r="A1030" s="5" t="inlineStr">
        <is>
          <t>APS</t>
        </is>
      </c>
      <c r="B1030" s="6" t="inlineStr">
        <is>
          <t>054620</t>
        </is>
      </c>
      <c r="C1030" s="6" t="inlineStr">
        <is>
          <t>연결</t>
        </is>
      </c>
      <c r="D1030" s="6" t="inlineStr">
        <is>
          <t>2026Q2</t>
        </is>
      </c>
      <c r="E1030" s="6" t="inlineStr"/>
      <c r="F1030" s="7" t="inlineStr"/>
      <c r="G1030" s="8" t="inlineStr"/>
      <c r="H1030" s="8" t="inlineStr"/>
      <c r="I1030" s="9" t="n">
        <v>4225</v>
      </c>
      <c r="J1030" s="10" t="n">
        <v>-5900</v>
      </c>
      <c r="K1030" s="10" t="n">
        <v>7386</v>
      </c>
      <c r="L1030" s="7" t="n">
        <v>4038</v>
      </c>
      <c r="M1030" s="8" t="n">
        <v>-7594</v>
      </c>
      <c r="N1030" s="8" t="n">
        <v>50133</v>
      </c>
      <c r="O1030" s="9" t="n">
        <v>13412</v>
      </c>
      <c r="P1030" s="10" t="n">
        <v>-4901</v>
      </c>
      <c r="Q1030" s="10" t="n">
        <v>1895</v>
      </c>
      <c r="R1030" s="7" t="n">
        <v>72290</v>
      </c>
      <c r="S1030" s="8" t="n">
        <v>-4243</v>
      </c>
      <c r="T1030" s="8" t="n">
        <v>-62861</v>
      </c>
      <c r="U1030" s="9" t="n">
        <v>19205</v>
      </c>
      <c r="V1030" s="10" t="n">
        <v>-2881</v>
      </c>
      <c r="W1030" s="10" t="n">
        <v>-1152</v>
      </c>
      <c r="X1030" s="7" t="n">
        <v>20018</v>
      </c>
      <c r="Y1030" s="8" t="n">
        <v>-2645</v>
      </c>
      <c r="Z1030" s="8" t="n">
        <v>-8035</v>
      </c>
      <c r="AA1030" s="9" t="n">
        <v>19347</v>
      </c>
      <c r="AB1030" s="10" t="n">
        <v>-1025</v>
      </c>
      <c r="AC1030" s="10" t="n">
        <v>358</v>
      </c>
      <c r="AD1030" s="7" t="n">
        <v>26297</v>
      </c>
      <c r="AE1030" s="8" t="n">
        <v>-298</v>
      </c>
      <c r="AF1030" s="8" t="n">
        <v>147</v>
      </c>
      <c r="AG1030" s="9" t="n">
        <v>20878</v>
      </c>
      <c r="AH1030" s="10" t="n">
        <v>-733</v>
      </c>
      <c r="AI1030" s="10" t="n">
        <v>8943</v>
      </c>
      <c r="AJ1030" s="11" t="n">
        <v>17883</v>
      </c>
      <c r="AK1030" s="12" t="n">
        <v>-3949</v>
      </c>
      <c r="AL1030" s="12" t="n">
        <v>-7207</v>
      </c>
      <c r="AM1030" s="13" t="n">
        <v>-14.3</v>
      </c>
      <c r="AN1030" s="13" t="n">
        <v>-10.7</v>
      </c>
      <c r="AO1030" s="13" t="n">
        <v>-438.7</v>
      </c>
      <c r="AP1030" s="13" t="n">
        <v>-49.3</v>
      </c>
    </row>
    <row r="1031">
      <c r="A1031" s="5" t="inlineStr">
        <is>
          <t>대한뉴팜</t>
        </is>
      </c>
      <c r="B1031" s="6" t="inlineStr">
        <is>
          <t>054670</t>
        </is>
      </c>
      <c r="C1031" s="6" t="inlineStr">
        <is>
          <t>별도</t>
        </is>
      </c>
      <c r="D1031" s="6" t="inlineStr">
        <is>
          <t>2026Q2</t>
        </is>
      </c>
      <c r="E1031" s="6" t="inlineStr"/>
      <c r="F1031" s="7" t="inlineStr"/>
      <c r="G1031" s="8" t="inlineStr"/>
      <c r="H1031" s="8" t="inlineStr"/>
      <c r="I1031" s="9" t="n">
        <v>48260</v>
      </c>
      <c r="J1031" s="10" t="n">
        <v>4488</v>
      </c>
      <c r="K1031" s="10" t="n">
        <v>5217</v>
      </c>
      <c r="L1031" s="7" t="n">
        <v>54138</v>
      </c>
      <c r="M1031" s="8" t="n">
        <v>6322</v>
      </c>
      <c r="N1031" s="8" t="n">
        <v>5599</v>
      </c>
      <c r="O1031" s="9" t="n">
        <v>48810</v>
      </c>
      <c r="P1031" s="10" t="n">
        <v>4065</v>
      </c>
      <c r="Q1031" s="10" t="n">
        <v>1968</v>
      </c>
      <c r="R1031" s="7" t="n">
        <v>50979</v>
      </c>
      <c r="S1031" s="8" t="n">
        <v>3790</v>
      </c>
      <c r="T1031" s="8" t="n">
        <v>2684</v>
      </c>
      <c r="U1031" s="9" t="n">
        <v>51855</v>
      </c>
      <c r="V1031" s="10" t="n">
        <v>4243</v>
      </c>
      <c r="W1031" s="10" t="n">
        <v>2578</v>
      </c>
      <c r="X1031" s="7" t="n">
        <v>49873</v>
      </c>
      <c r="Y1031" s="8" t="n">
        <v>3061</v>
      </c>
      <c r="Z1031" s="8" t="n">
        <v>3008</v>
      </c>
      <c r="AA1031" s="9" t="n">
        <v>48884</v>
      </c>
      <c r="AB1031" s="10" t="n">
        <v>2081</v>
      </c>
      <c r="AC1031" s="10" t="n">
        <v>2609</v>
      </c>
      <c r="AD1031" s="7" t="n">
        <v>51789</v>
      </c>
      <c r="AE1031" s="8" t="n">
        <v>2340</v>
      </c>
      <c r="AF1031" s="8" t="n">
        <v>7063</v>
      </c>
      <c r="AG1031" s="9" t="n">
        <v>54843</v>
      </c>
      <c r="AH1031" s="10" t="n">
        <v>3135</v>
      </c>
      <c r="AI1031" s="10" t="n">
        <v>2998</v>
      </c>
      <c r="AJ1031" s="11" t="n">
        <v>55966</v>
      </c>
      <c r="AK1031" s="12" t="n">
        <v>2150</v>
      </c>
      <c r="AL1031" s="12" t="n">
        <v>11264</v>
      </c>
      <c r="AM1031" s="13" t="n">
        <v>2</v>
      </c>
      <c r="AN1031" s="13" t="n">
        <v>12.2</v>
      </c>
      <c r="AO1031" s="13" t="n">
        <v>-31.4</v>
      </c>
      <c r="AP1031" s="13" t="n">
        <v>-29.8</v>
      </c>
    </row>
    <row r="1032">
      <c r="A1032" s="5" t="inlineStr">
        <is>
          <t>키이스트</t>
        </is>
      </c>
      <c r="B1032" s="6" t="inlineStr">
        <is>
          <t>054780</t>
        </is>
      </c>
      <c r="C1032" s="6" t="inlineStr">
        <is>
          <t>별도</t>
        </is>
      </c>
      <c r="D1032" s="6" t="inlineStr">
        <is>
          <t>2026Q2</t>
        </is>
      </c>
      <c r="E1032" s="6" t="inlineStr"/>
      <c r="F1032" s="7" t="inlineStr"/>
      <c r="G1032" s="8" t="inlineStr"/>
      <c r="H1032" s="8" t="inlineStr"/>
      <c r="I1032" s="9" t="n">
        <v>25383</v>
      </c>
      <c r="J1032" s="10" t="n">
        <v>680</v>
      </c>
      <c r="K1032" s="10" t="n">
        <v>-1222</v>
      </c>
      <c r="L1032" s="7" t="n">
        <v>16126</v>
      </c>
      <c r="M1032" s="8" t="n">
        <v>370</v>
      </c>
      <c r="N1032" s="8" t="n">
        <v>-1455</v>
      </c>
      <c r="O1032" s="9" t="n">
        <v>13348</v>
      </c>
      <c r="P1032" s="10" t="n">
        <v>149</v>
      </c>
      <c r="Q1032" s="10" t="n">
        <v>645</v>
      </c>
      <c r="R1032" s="7" t="n">
        <v>20988</v>
      </c>
      <c r="S1032" s="8" t="n">
        <v>-545</v>
      </c>
      <c r="T1032" s="8" t="n">
        <v>-8946</v>
      </c>
      <c r="U1032" s="9" t="n">
        <v>4498</v>
      </c>
      <c r="V1032" s="10" t="n">
        <v>-1072</v>
      </c>
      <c r="W1032" s="10" t="n">
        <v>-520</v>
      </c>
      <c r="X1032" s="7" t="n">
        <v>2951</v>
      </c>
      <c r="Y1032" s="8" t="n">
        <v>-1257</v>
      </c>
      <c r="Z1032" s="8" t="n">
        <v>-1368</v>
      </c>
      <c r="AA1032" s="9" t="n">
        <v>3628</v>
      </c>
      <c r="AB1032" s="10" t="n">
        <v>-1011</v>
      </c>
      <c r="AC1032" s="10" t="n">
        <v>-1111</v>
      </c>
      <c r="AD1032" s="7" t="n">
        <v>4625</v>
      </c>
      <c r="AE1032" s="8" t="n">
        <v>-600</v>
      </c>
      <c r="AF1032" s="8" t="n">
        <v>363</v>
      </c>
      <c r="AG1032" s="9" t="n">
        <v>8536</v>
      </c>
      <c r="AH1032" s="10" t="n">
        <v>-984</v>
      </c>
      <c r="AI1032" s="10" t="n">
        <v>-525</v>
      </c>
      <c r="AJ1032" s="11" t="n">
        <v>10722</v>
      </c>
      <c r="AK1032" s="12" t="n">
        <v>-1039</v>
      </c>
      <c r="AL1032" s="12" t="n">
        <v>-1720</v>
      </c>
      <c r="AM1032" s="13" t="n">
        <v>25.6</v>
      </c>
      <c r="AN1032" s="13" t="n">
        <v>263.3</v>
      </c>
      <c r="AO1032" s="13" t="n">
        <v>-5.6</v>
      </c>
      <c r="AP1032" s="13" t="n">
        <v>17.3</v>
      </c>
    </row>
    <row r="1033">
      <c r="A1033" s="5" t="inlineStr">
        <is>
          <t>아이디스홀딩스</t>
        </is>
      </c>
      <c r="B1033" s="6" t="inlineStr">
        <is>
          <t>054800</t>
        </is>
      </c>
      <c r="C1033" s="6" t="inlineStr">
        <is>
          <t>연결</t>
        </is>
      </c>
      <c r="D1033" s="6" t="inlineStr">
        <is>
          <t>2026Q2</t>
        </is>
      </c>
      <c r="E1033" s="6" t="inlineStr"/>
      <c r="F1033" s="7" t="inlineStr"/>
      <c r="G1033" s="8" t="inlineStr"/>
      <c r="H1033" s="8" t="inlineStr"/>
      <c r="I1033" s="9" t="n">
        <v>183885</v>
      </c>
      <c r="J1033" s="10" t="n">
        <v>10826</v>
      </c>
      <c r="K1033" s="10" t="n">
        <v>15330</v>
      </c>
      <c r="L1033" s="7" t="n">
        <v>188605</v>
      </c>
      <c r="M1033" s="8" t="n">
        <v>17640</v>
      </c>
      <c r="N1033" s="8" t="n">
        <v>20734</v>
      </c>
      <c r="O1033" s="9" t="n">
        <v>209921</v>
      </c>
      <c r="P1033" s="10" t="n">
        <v>20972</v>
      </c>
      <c r="Q1033" s="10" t="n">
        <v>11727</v>
      </c>
      <c r="R1033" s="7" t="n">
        <v>198940</v>
      </c>
      <c r="S1033" s="8" t="n">
        <v>13698</v>
      </c>
      <c r="T1033" s="8" t="n">
        <v>14658</v>
      </c>
      <c r="U1033" s="9" t="n">
        <v>202868</v>
      </c>
      <c r="V1033" s="10" t="n">
        <v>18846</v>
      </c>
      <c r="W1033" s="10" t="n">
        <v>17045</v>
      </c>
      <c r="X1033" s="7" t="n">
        <v>218949</v>
      </c>
      <c r="Y1033" s="8" t="n">
        <v>20915</v>
      </c>
      <c r="Z1033" s="8" t="n">
        <v>10544</v>
      </c>
      <c r="AA1033" s="9" t="n">
        <v>225760</v>
      </c>
      <c r="AB1033" s="10" t="n">
        <v>19259</v>
      </c>
      <c r="AC1033" s="10" t="n">
        <v>17439</v>
      </c>
      <c r="AD1033" s="7" t="n">
        <v>260517</v>
      </c>
      <c r="AE1033" s="8" t="n">
        <v>30717</v>
      </c>
      <c r="AF1033" s="8" t="n">
        <v>32937</v>
      </c>
      <c r="AG1033" s="9" t="n">
        <v>244611</v>
      </c>
      <c r="AH1033" s="10" t="n">
        <v>27655</v>
      </c>
      <c r="AI1033" s="10" t="n">
        <v>29372</v>
      </c>
      <c r="AJ1033" s="11" t="n">
        <v>268254</v>
      </c>
      <c r="AK1033" s="12" t="n">
        <v>38615</v>
      </c>
      <c r="AL1033" s="12" t="n">
        <v>27140</v>
      </c>
      <c r="AM1033" s="13" t="n">
        <v>9.699999999999999</v>
      </c>
      <c r="AN1033" s="13" t="n">
        <v>22.5</v>
      </c>
      <c r="AO1033" s="13" t="n">
        <v>39.6</v>
      </c>
      <c r="AP1033" s="13" t="n">
        <v>84.59999999999999</v>
      </c>
    </row>
    <row r="1034">
      <c r="A1034" s="5" t="inlineStr">
        <is>
          <t>한컴위드</t>
        </is>
      </c>
      <c r="B1034" s="6" t="inlineStr">
        <is>
          <t>054920</t>
        </is>
      </c>
      <c r="C1034" s="6" t="inlineStr">
        <is>
          <t>연결</t>
        </is>
      </c>
      <c r="D1034" s="6" t="inlineStr">
        <is>
          <t>2026Q2</t>
        </is>
      </c>
      <c r="E1034" s="6" t="inlineStr"/>
      <c r="F1034" s="7" t="inlineStr"/>
      <c r="G1034" s="8" t="inlineStr"/>
      <c r="H1034" s="8" t="inlineStr"/>
      <c r="I1034" s="9" t="n">
        <v>78684</v>
      </c>
      <c r="J1034" s="10" t="n">
        <v>13</v>
      </c>
      <c r="K1034" s="10" t="n">
        <v>1227</v>
      </c>
      <c r="L1034" s="7" t="n">
        <v>133958</v>
      </c>
      <c r="M1034" s="8" t="n">
        <v>-306</v>
      </c>
      <c r="N1034" s="8" t="n">
        <v>2504</v>
      </c>
      <c r="O1034" s="9" t="n">
        <v>118693</v>
      </c>
      <c r="P1034" s="10" t="n">
        <v>155</v>
      </c>
      <c r="Q1034" s="10" t="n">
        <v>905</v>
      </c>
      <c r="R1034" s="7" t="n">
        <v>116846</v>
      </c>
      <c r="S1034" s="8" t="n">
        <v>1417</v>
      </c>
      <c r="T1034" s="8" t="n">
        <v>-9338</v>
      </c>
      <c r="U1034" s="9" t="n">
        <v>159736</v>
      </c>
      <c r="V1034" s="10" t="n">
        <v>2001</v>
      </c>
      <c r="W1034" s="10" t="n">
        <v>3916</v>
      </c>
      <c r="X1034" s="7" t="n">
        <v>186939</v>
      </c>
      <c r="Y1034" s="8" t="n">
        <v>546</v>
      </c>
      <c r="Z1034" s="8" t="n">
        <v>4130</v>
      </c>
      <c r="AA1034" s="9" t="n">
        <v>150527</v>
      </c>
      <c r="AB1034" s="10" t="n">
        <v>1589</v>
      </c>
      <c r="AC1034" s="10" t="n">
        <v>3895</v>
      </c>
      <c r="AD1034" s="7" t="n">
        <v>274015</v>
      </c>
      <c r="AE1034" s="8" t="n">
        <v>1951</v>
      </c>
      <c r="AF1034" s="8" t="n">
        <v>-2569</v>
      </c>
      <c r="AG1034" s="9" t="n">
        <v>165973</v>
      </c>
      <c r="AH1034" s="10" t="n">
        <v>58</v>
      </c>
      <c r="AI1034" s="10" t="n">
        <v>975</v>
      </c>
      <c r="AJ1034" s="11" t="n">
        <v>99815</v>
      </c>
      <c r="AK1034" s="12" t="n">
        <v>-713</v>
      </c>
      <c r="AL1034" s="12" t="n">
        <v>6601</v>
      </c>
      <c r="AM1034" s="13" t="n">
        <v>-39.9</v>
      </c>
      <c r="AN1034" s="13" t="n">
        <v>-46.6</v>
      </c>
      <c r="AO1034" s="13" t="n">
        <v>-1329.3</v>
      </c>
      <c r="AP1034" s="13" t="n">
        <v>-230.6</v>
      </c>
    </row>
    <row r="1035">
      <c r="A1035" s="5" t="inlineStr">
        <is>
          <t>유신</t>
        </is>
      </c>
      <c r="B1035" s="6" t="inlineStr">
        <is>
          <t>054930</t>
        </is>
      </c>
      <c r="C1035" s="6" t="inlineStr">
        <is>
          <t>별도</t>
        </is>
      </c>
      <c r="D1035" s="6" t="inlineStr">
        <is>
          <t>2026Q2</t>
        </is>
      </c>
      <c r="E1035" s="6" t="inlineStr"/>
      <c r="F1035" s="7" t="inlineStr"/>
      <c r="G1035" s="8" t="inlineStr"/>
      <c r="H1035" s="8" t="inlineStr"/>
      <c r="I1035" s="9" t="n">
        <v>83115</v>
      </c>
      <c r="J1035" s="10" t="n">
        <v>960</v>
      </c>
      <c r="K1035" s="10" t="n">
        <v>1700</v>
      </c>
      <c r="L1035" s="7" t="n">
        <v>79111</v>
      </c>
      <c r="M1035" s="8" t="n">
        <v>2187</v>
      </c>
      <c r="N1035" s="8" t="n">
        <v>2869</v>
      </c>
      <c r="O1035" s="9" t="n">
        <v>80796</v>
      </c>
      <c r="P1035" s="10" t="n">
        <v>-2413</v>
      </c>
      <c r="Q1035" s="10" t="n">
        <v>563</v>
      </c>
      <c r="R1035" s="7" t="n">
        <v>96556</v>
      </c>
      <c r="S1035" s="8" t="n">
        <v>5079</v>
      </c>
      <c r="T1035" s="8" t="n">
        <v>19291</v>
      </c>
      <c r="U1035" s="9" t="n">
        <v>88631</v>
      </c>
      <c r="V1035" s="10" t="n">
        <v>1615</v>
      </c>
      <c r="W1035" s="10" t="n">
        <v>2480</v>
      </c>
      <c r="X1035" s="7" t="n">
        <v>88232</v>
      </c>
      <c r="Y1035" s="8" t="n">
        <v>1750</v>
      </c>
      <c r="Z1035" s="8" t="n">
        <v>1680</v>
      </c>
      <c r="AA1035" s="9" t="n">
        <v>97317</v>
      </c>
      <c r="AB1035" s="10" t="n">
        <v>1383</v>
      </c>
      <c r="AC1035" s="10" t="n">
        <v>1527</v>
      </c>
      <c r="AD1035" s="7" t="n">
        <v>111322</v>
      </c>
      <c r="AE1035" s="8" t="n">
        <v>4496</v>
      </c>
      <c r="AF1035" s="8" t="n">
        <v>4833</v>
      </c>
      <c r="AG1035" s="9" t="n">
        <v>108604</v>
      </c>
      <c r="AH1035" s="10" t="n">
        <v>-764</v>
      </c>
      <c r="AI1035" s="10" t="n">
        <v>365</v>
      </c>
      <c r="AJ1035" s="11" t="n">
        <v>111986</v>
      </c>
      <c r="AK1035" s="12" t="n">
        <v>6790</v>
      </c>
      <c r="AL1035" s="12" t="n">
        <v>5121</v>
      </c>
      <c r="AM1035" s="13" t="n">
        <v>3.1</v>
      </c>
      <c r="AN1035" s="13" t="n">
        <v>26.9</v>
      </c>
      <c r="AO1035" s="13" t="n">
        <v>988.7</v>
      </c>
      <c r="AP1035" s="13" t="n">
        <v>288</v>
      </c>
    </row>
    <row r="1036">
      <c r="A1036" s="5" t="inlineStr">
        <is>
          <t>엑사이엔씨</t>
        </is>
      </c>
      <c r="B1036" s="6" t="inlineStr">
        <is>
          <t>054940</t>
        </is>
      </c>
      <c r="C1036" s="6" t="inlineStr">
        <is>
          <t>연결</t>
        </is>
      </c>
      <c r="D1036" s="6" t="inlineStr">
        <is>
          <t>2026Q2</t>
        </is>
      </c>
      <c r="E1036" s="6" t="inlineStr"/>
      <c r="F1036" s="7" t="inlineStr"/>
      <c r="G1036" s="8" t="inlineStr"/>
      <c r="H1036" s="8" t="inlineStr"/>
      <c r="I1036" s="9" t="n">
        <v>42509</v>
      </c>
      <c r="J1036" s="10" t="n">
        <v>322</v>
      </c>
      <c r="K1036" s="10" t="n">
        <v>755</v>
      </c>
      <c r="L1036" s="7" t="n">
        <v>41634</v>
      </c>
      <c r="M1036" s="8" t="n">
        <v>1655</v>
      </c>
      <c r="N1036" s="8" t="n">
        <v>1412</v>
      </c>
      <c r="O1036" s="9" t="n">
        <v>52194</v>
      </c>
      <c r="P1036" s="10" t="n">
        <v>1489</v>
      </c>
      <c r="Q1036" s="10" t="n">
        <v>565</v>
      </c>
      <c r="R1036" s="7" t="n">
        <v>66751</v>
      </c>
      <c r="S1036" s="8" t="n">
        <v>5047</v>
      </c>
      <c r="T1036" s="8" t="n">
        <v>4985</v>
      </c>
      <c r="U1036" s="9" t="n">
        <v>40405</v>
      </c>
      <c r="V1036" s="10" t="n">
        <v>-1016</v>
      </c>
      <c r="W1036" s="10" t="n">
        <v>-1206</v>
      </c>
      <c r="X1036" s="7" t="n">
        <v>37561</v>
      </c>
      <c r="Y1036" s="8" t="n">
        <v>1319</v>
      </c>
      <c r="Z1036" s="8" t="n">
        <v>-795</v>
      </c>
      <c r="AA1036" s="9" t="n">
        <v>47084</v>
      </c>
      <c r="AB1036" s="10" t="n">
        <v>-145</v>
      </c>
      <c r="AC1036" s="10" t="n">
        <v>-131</v>
      </c>
      <c r="AD1036" s="7" t="n">
        <v>51953</v>
      </c>
      <c r="AE1036" s="8" t="n">
        <v>2347</v>
      </c>
      <c r="AF1036" s="8" t="n">
        <v>3289</v>
      </c>
      <c r="AG1036" s="9" t="n">
        <v>56053</v>
      </c>
      <c r="AH1036" s="10" t="n">
        <v>1036</v>
      </c>
      <c r="AI1036" s="10" t="n">
        <v>2186</v>
      </c>
      <c r="AJ1036" s="11" t="n">
        <v>50108</v>
      </c>
      <c r="AK1036" s="12" t="n">
        <v>673</v>
      </c>
      <c r="AL1036" s="12" t="n">
        <v>-213</v>
      </c>
      <c r="AM1036" s="13" t="n">
        <v>-10.6</v>
      </c>
      <c r="AN1036" s="13" t="n">
        <v>33.4</v>
      </c>
      <c r="AO1036" s="13" t="n">
        <v>-35</v>
      </c>
      <c r="AP1036" s="13" t="n">
        <v>-49</v>
      </c>
    </row>
    <row r="1037">
      <c r="A1037" s="5" t="inlineStr">
        <is>
          <t>제이브이엠</t>
        </is>
      </c>
      <c r="B1037" s="6" t="inlineStr">
        <is>
          <t>054950</t>
        </is>
      </c>
      <c r="C1037" s="6" t="inlineStr">
        <is>
          <t>연결</t>
        </is>
      </c>
      <c r="D1037" s="6" t="inlineStr">
        <is>
          <t>2026Q2</t>
        </is>
      </c>
      <c r="E1037" s="6" t="inlineStr"/>
      <c r="F1037" s="7" t="inlineStr"/>
      <c r="G1037" s="8" t="inlineStr"/>
      <c r="H1037" s="8" t="inlineStr"/>
      <c r="I1037" s="9" t="n">
        <v>40160</v>
      </c>
      <c r="J1037" s="10" t="n">
        <v>7319</v>
      </c>
      <c r="K1037" s="10" t="n">
        <v>8261</v>
      </c>
      <c r="L1037" s="7" t="n">
        <v>37746</v>
      </c>
      <c r="M1037" s="8" t="n">
        <v>6870</v>
      </c>
      <c r="N1037" s="8" t="n">
        <v>6042</v>
      </c>
      <c r="O1037" s="9" t="n">
        <v>37371</v>
      </c>
      <c r="P1037" s="10" t="n">
        <v>7360</v>
      </c>
      <c r="Q1037" s="10" t="n">
        <v>6896</v>
      </c>
      <c r="R1037" s="7" t="n">
        <v>44157</v>
      </c>
      <c r="S1037" s="8" t="n">
        <v>9126</v>
      </c>
      <c r="T1037" s="8" t="n">
        <v>7645</v>
      </c>
      <c r="U1037" s="9" t="n">
        <v>42819</v>
      </c>
      <c r="V1037" s="10" t="n">
        <v>8865</v>
      </c>
      <c r="W1037" s="10" t="n">
        <v>7777</v>
      </c>
      <c r="X1037" s="7" t="n">
        <v>47537</v>
      </c>
      <c r="Y1037" s="8" t="n">
        <v>10903</v>
      </c>
      <c r="Z1037" s="8" t="n">
        <v>8900</v>
      </c>
      <c r="AA1037" s="9" t="n">
        <v>39705</v>
      </c>
      <c r="AB1037" s="10" t="n">
        <v>7596</v>
      </c>
      <c r="AC1037" s="10" t="n">
        <v>6399</v>
      </c>
      <c r="AD1037" s="7" t="n">
        <v>43068</v>
      </c>
      <c r="AE1037" s="8" t="n">
        <v>5912</v>
      </c>
      <c r="AF1037" s="8" t="n">
        <v>5275</v>
      </c>
      <c r="AG1037" s="9" t="n">
        <v>45484</v>
      </c>
      <c r="AH1037" s="10" t="n">
        <v>9292</v>
      </c>
      <c r="AI1037" s="10" t="n">
        <v>7594</v>
      </c>
      <c r="AJ1037" s="11" t="n">
        <v>49306</v>
      </c>
      <c r="AK1037" s="12" t="n">
        <v>13524</v>
      </c>
      <c r="AL1037" s="12" t="n">
        <v>11579</v>
      </c>
      <c r="AM1037" s="13" t="n">
        <v>8.4</v>
      </c>
      <c r="AN1037" s="13" t="n">
        <v>3.7</v>
      </c>
      <c r="AO1037" s="13" t="n">
        <v>45.5</v>
      </c>
      <c r="AP1037" s="13" t="n">
        <v>24</v>
      </c>
    </row>
    <row r="1038">
      <c r="A1038" s="5" t="inlineStr">
        <is>
          <t>테이팩스</t>
        </is>
      </c>
      <c r="B1038" s="6" t="inlineStr">
        <is>
          <t>055490</t>
        </is>
      </c>
      <c r="C1038" s="6" t="inlineStr">
        <is>
          <t>연결</t>
        </is>
      </c>
      <c r="D1038" s="6" t="inlineStr">
        <is>
          <t>2026Q2</t>
        </is>
      </c>
      <c r="E1038" s="6" t="inlineStr"/>
      <c r="F1038" s="7" t="inlineStr"/>
      <c r="G1038" s="8" t="inlineStr"/>
      <c r="H1038" s="8" t="inlineStr"/>
      <c r="I1038" s="9" t="n">
        <v>35045</v>
      </c>
      <c r="J1038" s="10" t="n">
        <v>-139</v>
      </c>
      <c r="K1038" s="10" t="n">
        <v>290</v>
      </c>
      <c r="L1038" s="7" t="n">
        <v>37593</v>
      </c>
      <c r="M1038" s="8" t="n">
        <v>1152</v>
      </c>
      <c r="N1038" s="8" t="n">
        <v>128</v>
      </c>
      <c r="O1038" s="9" t="n">
        <v>32687</v>
      </c>
      <c r="P1038" s="10" t="n">
        <v>726</v>
      </c>
      <c r="Q1038" s="10" t="n">
        <v>1447</v>
      </c>
      <c r="R1038" s="7" t="n">
        <v>30630</v>
      </c>
      <c r="S1038" s="8" t="n">
        <v>-311</v>
      </c>
      <c r="T1038" s="8" t="n">
        <v>1716</v>
      </c>
      <c r="U1038" s="9" t="n">
        <v>31082</v>
      </c>
      <c r="V1038" s="10" t="n">
        <v>-543</v>
      </c>
      <c r="W1038" s="10" t="n">
        <v>-1145</v>
      </c>
      <c r="X1038" s="7" t="n">
        <v>35827</v>
      </c>
      <c r="Y1038" s="8" t="n">
        <v>550</v>
      </c>
      <c r="Z1038" s="8" t="n">
        <v>-734</v>
      </c>
      <c r="AA1038" s="9" t="n">
        <v>37376</v>
      </c>
      <c r="AB1038" s="10" t="n">
        <v>1257</v>
      </c>
      <c r="AC1038" s="10" t="n">
        <v>2015</v>
      </c>
      <c r="AD1038" s="7" t="n">
        <v>36854</v>
      </c>
      <c r="AE1038" s="8" t="n">
        <v>1244</v>
      </c>
      <c r="AF1038" s="8" t="n">
        <v>1881</v>
      </c>
      <c r="AG1038" s="9" t="n">
        <v>38632</v>
      </c>
      <c r="AH1038" s="10" t="n">
        <v>1842</v>
      </c>
      <c r="AI1038" s="10" t="n">
        <v>1982</v>
      </c>
      <c r="AJ1038" s="11" t="n">
        <v>40697</v>
      </c>
      <c r="AK1038" s="12" t="n">
        <v>3183</v>
      </c>
      <c r="AL1038" s="12" t="n">
        <v>3201</v>
      </c>
      <c r="AM1038" s="13" t="n">
        <v>5.3</v>
      </c>
      <c r="AN1038" s="13" t="n">
        <v>13.6</v>
      </c>
      <c r="AO1038" s="13" t="n">
        <v>72.8</v>
      </c>
      <c r="AP1038" s="13" t="n">
        <v>478.7</v>
      </c>
    </row>
    <row r="1039">
      <c r="A1039" s="5" t="inlineStr">
        <is>
          <t>신한지주</t>
        </is>
      </c>
      <c r="B1039" s="6" t="inlineStr">
        <is>
          <t>055550</t>
        </is>
      </c>
      <c r="C1039" s="6" t="inlineStr">
        <is>
          <t>연결</t>
        </is>
      </c>
      <c r="D1039" s="6" t="inlineStr">
        <is>
          <t>2026Q2</t>
        </is>
      </c>
      <c r="E1039" s="6" t="inlineStr">
        <is>
          <t>2023Q4</t>
        </is>
      </c>
      <c r="F1039" s="14" t="n">
        <v>12123940</v>
      </c>
      <c r="G1039" s="15" t="n">
        <v>904484</v>
      </c>
      <c r="H1039" s="15" t="n">
        <v>576052</v>
      </c>
      <c r="I1039" s="14" t="n">
        <v>20122213</v>
      </c>
      <c r="J1039" s="10" t="n">
        <v>2068236</v>
      </c>
      <c r="K1039" s="10" t="n">
        <v>1347829</v>
      </c>
      <c r="L1039" s="14" t="n">
        <v>17971913</v>
      </c>
      <c r="M1039" s="8" t="n">
        <v>1852543</v>
      </c>
      <c r="N1039" s="8" t="n">
        <v>1450986</v>
      </c>
      <c r="O1039" s="14" t="n">
        <v>11622046</v>
      </c>
      <c r="P1039" s="10" t="n">
        <v>1869897</v>
      </c>
      <c r="Q1039" s="10" t="n">
        <v>1325449</v>
      </c>
      <c r="R1039" s="14" t="n">
        <v>24804267</v>
      </c>
      <c r="S1039" s="8" t="n">
        <v>667994</v>
      </c>
      <c r="T1039" s="8" t="n">
        <v>433906</v>
      </c>
      <c r="U1039" s="14" t="n">
        <v>16116039</v>
      </c>
      <c r="V1039" s="10" t="n">
        <v>1944214</v>
      </c>
      <c r="W1039" s="10" t="n">
        <v>1517046</v>
      </c>
      <c r="X1039" s="14" t="n">
        <v>23224017</v>
      </c>
      <c r="Y1039" s="8" t="n">
        <v>2014257</v>
      </c>
      <c r="Z1039" s="8" t="n">
        <v>1577234</v>
      </c>
      <c r="AA1039" s="14" t="n">
        <v>9514830</v>
      </c>
      <c r="AB1039" s="10" t="n">
        <v>1954623</v>
      </c>
      <c r="AC1039" s="10" t="n">
        <v>1452190</v>
      </c>
      <c r="AD1039" s="14" t="n">
        <v>9331850</v>
      </c>
      <c r="AE1039" s="8" t="n">
        <v>1110263</v>
      </c>
      <c r="AF1039" s="8" t="n">
        <v>538049</v>
      </c>
      <c r="AG1039" s="14" t="n">
        <v>28492432</v>
      </c>
      <c r="AH1039" s="10" t="n">
        <v>2154453</v>
      </c>
      <c r="AI1039" s="10" t="n">
        <v>1649148</v>
      </c>
      <c r="AJ1039" s="14" t="n">
        <v>25063156</v>
      </c>
      <c r="AK1039" s="12" t="n">
        <v>2476281</v>
      </c>
      <c r="AL1039" s="12" t="n">
        <v>1846651</v>
      </c>
      <c r="AM1039" s="13" t="n">
        <v>-12</v>
      </c>
      <c r="AN1039" s="13" t="n">
        <v>7.9</v>
      </c>
      <c r="AO1039" s="13" t="n">
        <v>14.9</v>
      </c>
      <c r="AP1039" s="13" t="n">
        <v>22.9</v>
      </c>
    </row>
    <row r="1040">
      <c r="A1040" s="5" t="inlineStr">
        <is>
          <t>유진로봇</t>
        </is>
      </c>
      <c r="B1040" s="6" t="inlineStr">
        <is>
          <t>056080</t>
        </is>
      </c>
      <c r="C1040" s="6" t="inlineStr">
        <is>
          <t>별도</t>
        </is>
      </c>
      <c r="D1040" s="6" t="inlineStr">
        <is>
          <t>2026Q2</t>
        </is>
      </c>
      <c r="E1040" s="6" t="inlineStr"/>
      <c r="F1040" s="7" t="inlineStr"/>
      <c r="G1040" s="8" t="inlineStr"/>
      <c r="H1040" s="8" t="inlineStr"/>
      <c r="I1040" s="9" t="n">
        <v>9989</v>
      </c>
      <c r="J1040" s="10" t="n">
        <v>-963</v>
      </c>
      <c r="K1040" s="10" t="n">
        <v>-639</v>
      </c>
      <c r="L1040" s="7" t="n">
        <v>7964</v>
      </c>
      <c r="M1040" s="8" t="n">
        <v>-1007</v>
      </c>
      <c r="N1040" s="8" t="n">
        <v>-780</v>
      </c>
      <c r="O1040" s="9" t="n">
        <v>6231</v>
      </c>
      <c r="P1040" s="10" t="n">
        <v>-1626</v>
      </c>
      <c r="Q1040" s="10" t="n">
        <v>-1696</v>
      </c>
      <c r="R1040" s="7" t="n">
        <v>1854</v>
      </c>
      <c r="S1040" s="8" t="n">
        <v>-628</v>
      </c>
      <c r="T1040" s="8" t="n">
        <v>-76</v>
      </c>
      <c r="U1040" s="9" t="n">
        <v>1430</v>
      </c>
      <c r="V1040" s="10" t="n">
        <v>-2519</v>
      </c>
      <c r="W1040" s="10" t="n">
        <v>-2333</v>
      </c>
      <c r="X1040" s="7" t="n">
        <v>2871</v>
      </c>
      <c r="Y1040" s="8" t="n">
        <v>-2804</v>
      </c>
      <c r="Z1040" s="8" t="n">
        <v>-2900</v>
      </c>
      <c r="AA1040" s="9" t="n">
        <v>3477</v>
      </c>
      <c r="AB1040" s="10" t="n">
        <v>-1685</v>
      </c>
      <c r="AC1040" s="10" t="n">
        <v>-1619</v>
      </c>
      <c r="AD1040" s="7" t="n">
        <v>20411</v>
      </c>
      <c r="AE1040" s="8" t="n">
        <v>1975</v>
      </c>
      <c r="AF1040" s="8" t="n">
        <v>-132</v>
      </c>
      <c r="AG1040" s="9" t="n">
        <v>5006</v>
      </c>
      <c r="AH1040" s="10" t="n">
        <v>-3979</v>
      </c>
      <c r="AI1040" s="10" t="n">
        <v>-3882</v>
      </c>
      <c r="AJ1040" s="11" t="n">
        <v>8203</v>
      </c>
      <c r="AK1040" s="12" t="n">
        <v>-2954</v>
      </c>
      <c r="AL1040" s="12" t="n">
        <v>-2900</v>
      </c>
      <c r="AM1040" s="13" t="n">
        <v>63.9</v>
      </c>
      <c r="AN1040" s="13" t="n">
        <v>185.7</v>
      </c>
      <c r="AO1040" s="13" t="n">
        <v>25.8</v>
      </c>
      <c r="AP1040" s="13" t="n">
        <v>-5.3</v>
      </c>
    </row>
    <row r="1041">
      <c r="A1041" s="5" t="inlineStr">
        <is>
          <t>시지메드텍</t>
        </is>
      </c>
      <c r="B1041" s="6" t="inlineStr">
        <is>
          <t>056090</t>
        </is>
      </c>
      <c r="C1041" s="6" t="inlineStr">
        <is>
          <t>연결</t>
        </is>
      </c>
      <c r="D1041" s="6" t="inlineStr">
        <is>
          <t>2026Q2</t>
        </is>
      </c>
      <c r="E1041" s="6" t="inlineStr"/>
      <c r="F1041" s="7" t="inlineStr"/>
      <c r="G1041" s="8" t="inlineStr"/>
      <c r="H1041" s="8" t="inlineStr"/>
      <c r="I1041" s="9" t="n">
        <v>8350</v>
      </c>
      <c r="J1041" s="10" t="n">
        <v>-1143</v>
      </c>
      <c r="K1041" s="10" t="n">
        <v>-1002</v>
      </c>
      <c r="L1041" s="7" t="n">
        <v>7924</v>
      </c>
      <c r="M1041" s="8" t="n">
        <v>-143</v>
      </c>
      <c r="N1041" s="8" t="n">
        <v>63</v>
      </c>
      <c r="O1041" s="9" t="n">
        <v>8491</v>
      </c>
      <c r="P1041" s="10" t="n">
        <v>306</v>
      </c>
      <c r="Q1041" s="10" t="n">
        <v>207</v>
      </c>
      <c r="R1041" s="7" t="n">
        <v>9858</v>
      </c>
      <c r="S1041" s="8" t="n">
        <v>-136</v>
      </c>
      <c r="T1041" s="8" t="n">
        <v>607</v>
      </c>
      <c r="U1041" s="9" t="n">
        <v>11758</v>
      </c>
      <c r="V1041" s="10" t="n">
        <v>594</v>
      </c>
      <c r="W1041" s="10" t="n">
        <v>519</v>
      </c>
      <c r="X1041" s="7" t="n">
        <v>12630</v>
      </c>
      <c r="Y1041" s="8" t="n">
        <v>1905</v>
      </c>
      <c r="Z1041" s="8" t="n">
        <v>1163</v>
      </c>
      <c r="AA1041" s="9" t="n">
        <v>11345</v>
      </c>
      <c r="AB1041" s="10" t="n">
        <v>990</v>
      </c>
      <c r="AC1041" s="10" t="n">
        <v>1539</v>
      </c>
      <c r="AD1041" s="7" t="n">
        <v>11502</v>
      </c>
      <c r="AE1041" s="8" t="n">
        <v>325</v>
      </c>
      <c r="AF1041" s="8" t="n">
        <v>3287</v>
      </c>
      <c r="AG1041" s="9" t="n">
        <v>13036</v>
      </c>
      <c r="AH1041" s="10" t="n">
        <v>239</v>
      </c>
      <c r="AI1041" s="10" t="n">
        <v>615</v>
      </c>
      <c r="AJ1041" s="11" t="n">
        <v>15316</v>
      </c>
      <c r="AK1041" s="12" t="n">
        <v>333</v>
      </c>
      <c r="AL1041" s="12" t="n">
        <v>1096</v>
      </c>
      <c r="AM1041" s="13" t="n">
        <v>17.5</v>
      </c>
      <c r="AN1041" s="13" t="n">
        <v>21.3</v>
      </c>
      <c r="AO1041" s="13" t="n">
        <v>39.3</v>
      </c>
      <c r="AP1041" s="13" t="n">
        <v>-82.5</v>
      </c>
    </row>
    <row r="1042">
      <c r="A1042" s="5" t="inlineStr">
        <is>
          <t>SFA</t>
        </is>
      </c>
      <c r="B1042" s="6" t="inlineStr">
        <is>
          <t>056190</t>
        </is>
      </c>
      <c r="C1042" s="6" t="inlineStr">
        <is>
          <t>연결</t>
        </is>
      </c>
      <c r="D1042" s="6" t="inlineStr">
        <is>
          <t>2026Q2</t>
        </is>
      </c>
      <c r="E1042" s="6" t="inlineStr">
        <is>
          <t>2023Q4</t>
        </is>
      </c>
      <c r="F1042" s="14" t="n">
        <v>705370</v>
      </c>
      <c r="G1042" s="15" t="n">
        <v>36081</v>
      </c>
      <c r="H1042" s="15" t="n">
        <v>29478</v>
      </c>
      <c r="I1042" s="9" t="n">
        <v>572954</v>
      </c>
      <c r="J1042" s="10" t="n">
        <v>54689</v>
      </c>
      <c r="K1042" s="10" t="n">
        <v>48845</v>
      </c>
      <c r="L1042" s="7" t="n">
        <v>556176</v>
      </c>
      <c r="M1042" s="8" t="n">
        <v>54458</v>
      </c>
      <c r="N1042" s="8" t="n">
        <v>37427</v>
      </c>
      <c r="O1042" s="9" t="n">
        <v>450514</v>
      </c>
      <c r="P1042" s="10" t="n">
        <v>-149642</v>
      </c>
      <c r="Q1042" s="10" t="n">
        <v>-99897</v>
      </c>
      <c r="R1042" s="7" t="n">
        <v>465718</v>
      </c>
      <c r="S1042" s="8" t="n">
        <v>-7904</v>
      </c>
      <c r="T1042" s="8" t="n">
        <v>-18492</v>
      </c>
      <c r="U1042" s="9" t="n">
        <v>398385</v>
      </c>
      <c r="V1042" s="10" t="n">
        <v>29048</v>
      </c>
      <c r="W1042" s="10" t="n">
        <v>21508</v>
      </c>
      <c r="X1042" s="7" t="n">
        <v>444992</v>
      </c>
      <c r="Y1042" s="8" t="n">
        <v>21122</v>
      </c>
      <c r="Z1042" s="8" t="n">
        <v>2570</v>
      </c>
      <c r="AA1042" s="9" t="n">
        <v>394017</v>
      </c>
      <c r="AB1042" s="10" t="n">
        <v>26703</v>
      </c>
      <c r="AC1042" s="10" t="n">
        <v>23597</v>
      </c>
      <c r="AD1042" s="7" t="n">
        <v>393556</v>
      </c>
      <c r="AE1042" s="8" t="n">
        <v>8988</v>
      </c>
      <c r="AF1042" s="8" t="n">
        <v>4428</v>
      </c>
      <c r="AG1042" s="9" t="n">
        <v>361147</v>
      </c>
      <c r="AH1042" s="10" t="n">
        <v>15449</v>
      </c>
      <c r="AI1042" s="10" t="n">
        <v>20433</v>
      </c>
      <c r="AJ1042" s="11" t="n">
        <v>400007</v>
      </c>
      <c r="AK1042" s="12" t="n">
        <v>28991</v>
      </c>
      <c r="AL1042" s="12" t="n">
        <v>23344</v>
      </c>
      <c r="AM1042" s="13" t="n">
        <v>10.8</v>
      </c>
      <c r="AN1042" s="13" t="n">
        <v>-10.1</v>
      </c>
      <c r="AO1042" s="13" t="n">
        <v>87.7</v>
      </c>
      <c r="AP1042" s="13" t="n">
        <v>37.3</v>
      </c>
    </row>
    <row r="1043">
      <c r="A1043" s="5" t="inlineStr">
        <is>
          <t>코위버</t>
        </is>
      </c>
      <c r="B1043" s="6" t="inlineStr">
        <is>
          <t>056360</t>
        </is>
      </c>
      <c r="C1043" s="6" t="inlineStr">
        <is>
          <t>연결</t>
        </is>
      </c>
      <c r="D1043" s="6" t="inlineStr">
        <is>
          <t>2026Q2</t>
        </is>
      </c>
      <c r="E1043" s="6" t="inlineStr"/>
      <c r="F1043" s="7" t="inlineStr"/>
      <c r="G1043" s="8" t="inlineStr"/>
      <c r="H1043" s="8" t="inlineStr"/>
      <c r="I1043" s="9" t="n">
        <v>5669</v>
      </c>
      <c r="J1043" s="10" t="n">
        <v>-3546</v>
      </c>
      <c r="K1043" s="10" t="n">
        <v>-1940</v>
      </c>
      <c r="L1043" s="7" t="n">
        <v>7692</v>
      </c>
      <c r="M1043" s="8" t="n">
        <v>-3116</v>
      </c>
      <c r="N1043" s="8" t="n">
        <v>-1538</v>
      </c>
      <c r="O1043" s="9" t="n">
        <v>10452</v>
      </c>
      <c r="P1043" s="10" t="n">
        <v>-871</v>
      </c>
      <c r="Q1043" s="10" t="n">
        <v>-306</v>
      </c>
      <c r="R1043" s="7" t="n">
        <v>23023</v>
      </c>
      <c r="S1043" s="8" t="n">
        <v>-102</v>
      </c>
      <c r="T1043" s="8" t="n">
        <v>-290</v>
      </c>
      <c r="U1043" s="9" t="n">
        <v>8758</v>
      </c>
      <c r="V1043" s="10" t="n">
        <v>-1859</v>
      </c>
      <c r="W1043" s="10" t="n">
        <v>-1958</v>
      </c>
      <c r="X1043" s="7" t="n">
        <v>14232</v>
      </c>
      <c r="Y1043" s="8" t="n">
        <v>-668</v>
      </c>
      <c r="Z1043" s="8" t="n">
        <v>485</v>
      </c>
      <c r="AA1043" s="9" t="n">
        <v>13247</v>
      </c>
      <c r="AB1043" s="10" t="n">
        <v>-1757</v>
      </c>
      <c r="AC1043" s="10" t="n">
        <v>-527</v>
      </c>
      <c r="AD1043" s="7" t="n">
        <v>26363</v>
      </c>
      <c r="AE1043" s="8" t="n">
        <v>4590</v>
      </c>
      <c r="AF1043" s="8" t="n">
        <v>5470</v>
      </c>
      <c r="AG1043" s="9" t="n">
        <v>12411</v>
      </c>
      <c r="AH1043" s="10" t="n">
        <v>-2189</v>
      </c>
      <c r="AI1043" s="10" t="n">
        <v>-1708</v>
      </c>
      <c r="AJ1043" s="11" t="n">
        <v>11971</v>
      </c>
      <c r="AK1043" s="12" t="n">
        <v>-1273</v>
      </c>
      <c r="AL1043" s="12" t="n">
        <v>-422</v>
      </c>
      <c r="AM1043" s="13" t="n">
        <v>-3.5</v>
      </c>
      <c r="AN1043" s="13" t="n">
        <v>-15.9</v>
      </c>
      <c r="AO1043" s="13" t="n">
        <v>41.8</v>
      </c>
      <c r="AP1043" s="13" t="n">
        <v>-90.59999999999999</v>
      </c>
    </row>
    <row r="1044">
      <c r="A1044" s="5" t="inlineStr">
        <is>
          <t>신화인터텍</t>
        </is>
      </c>
      <c r="B1044" s="6" t="inlineStr">
        <is>
          <t>056700</t>
        </is>
      </c>
      <c r="C1044" s="6" t="inlineStr">
        <is>
          <t>연결</t>
        </is>
      </c>
      <c r="D1044" s="6" t="inlineStr">
        <is>
          <t>2026Q2</t>
        </is>
      </c>
      <c r="E1044" s="6" t="inlineStr"/>
      <c r="F1044" s="7" t="inlineStr"/>
      <c r="G1044" s="8" t="inlineStr"/>
      <c r="H1044" s="8" t="inlineStr"/>
      <c r="I1044" s="9" t="n">
        <v>57369</v>
      </c>
      <c r="J1044" s="10" t="n">
        <v>838</v>
      </c>
      <c r="K1044" s="10" t="n">
        <v>103</v>
      </c>
      <c r="L1044" s="7" t="n">
        <v>58890</v>
      </c>
      <c r="M1044" s="8" t="n">
        <v>2058</v>
      </c>
      <c r="N1044" s="8" t="n">
        <v>-24</v>
      </c>
      <c r="O1044" s="9" t="n">
        <v>71092</v>
      </c>
      <c r="P1044" s="10" t="n">
        <v>1303</v>
      </c>
      <c r="Q1044" s="10" t="n">
        <v>-866</v>
      </c>
      <c r="R1044" s="7" t="n">
        <v>60093</v>
      </c>
      <c r="S1044" s="8" t="n">
        <v>1610</v>
      </c>
      <c r="T1044" s="8" t="n">
        <v>1632</v>
      </c>
      <c r="U1044" s="9" t="n">
        <v>66094</v>
      </c>
      <c r="V1044" s="10" t="n">
        <v>4419</v>
      </c>
      <c r="W1044" s="10" t="n">
        <v>2506</v>
      </c>
      <c r="X1044" s="7" t="n">
        <v>54623</v>
      </c>
      <c r="Y1044" s="8" t="n">
        <v>4118</v>
      </c>
      <c r="Z1044" s="8" t="n">
        <v>2006</v>
      </c>
      <c r="AA1044" s="9" t="n">
        <v>55329</v>
      </c>
      <c r="AB1044" s="10" t="n">
        <v>1843</v>
      </c>
      <c r="AC1044" s="10" t="n">
        <v>1203</v>
      </c>
      <c r="AD1044" s="7" t="n">
        <v>53090</v>
      </c>
      <c r="AE1044" s="8" t="n">
        <v>-1284</v>
      </c>
      <c r="AF1044" s="8" t="n">
        <v>-2355</v>
      </c>
      <c r="AG1044" s="9" t="n">
        <v>49307</v>
      </c>
      <c r="AH1044" s="10" t="n">
        <v>579</v>
      </c>
      <c r="AI1044" s="10" t="n">
        <v>-297</v>
      </c>
      <c r="AJ1044" s="11" t="n">
        <v>44272</v>
      </c>
      <c r="AK1044" s="12" t="n">
        <v>2791</v>
      </c>
      <c r="AL1044" s="12" t="n">
        <v>1365</v>
      </c>
      <c r="AM1044" s="13" t="n">
        <v>-10.2</v>
      </c>
      <c r="AN1044" s="13" t="n">
        <v>-18.9</v>
      </c>
      <c r="AO1044" s="13" t="n">
        <v>382</v>
      </c>
      <c r="AP1044" s="13" t="n">
        <v>-32.2</v>
      </c>
    </row>
    <row r="1045">
      <c r="A1045" s="5" t="inlineStr">
        <is>
          <t>CNT85</t>
        </is>
      </c>
      <c r="B1045" s="6" t="inlineStr">
        <is>
          <t>056730</t>
        </is>
      </c>
      <c r="C1045" s="6" t="inlineStr">
        <is>
          <t>별도</t>
        </is>
      </c>
      <c r="D1045" s="6" t="inlineStr">
        <is>
          <t>2026Q2</t>
        </is>
      </c>
      <c r="E1045" s="6" t="inlineStr"/>
      <c r="F1045" s="7" t="inlineStr"/>
      <c r="G1045" s="8" t="inlineStr"/>
      <c r="H1045" s="8" t="inlineStr"/>
      <c r="I1045" s="9" t="n">
        <v>18075</v>
      </c>
      <c r="J1045" s="10" t="n">
        <v>-1012</v>
      </c>
      <c r="K1045" s="10" t="n">
        <v>-507</v>
      </c>
      <c r="L1045" s="7" t="n">
        <v>19022</v>
      </c>
      <c r="M1045" s="8" t="n">
        <v>382</v>
      </c>
      <c r="N1045" s="8" t="n">
        <v>816</v>
      </c>
      <c r="O1045" s="9" t="n">
        <v>13900</v>
      </c>
      <c r="P1045" s="10" t="n">
        <v>16</v>
      </c>
      <c r="Q1045" s="10" t="n">
        <v>352</v>
      </c>
      <c r="R1045" s="7" t="n">
        <v>16042</v>
      </c>
      <c r="S1045" s="8" t="n">
        <v>-793</v>
      </c>
      <c r="T1045" s="8" t="n">
        <v>-2010</v>
      </c>
      <c r="U1045" s="9" t="n">
        <v>6135</v>
      </c>
      <c r="V1045" s="10" t="n">
        <v>-1016</v>
      </c>
      <c r="W1045" s="10" t="n">
        <v>-729</v>
      </c>
      <c r="X1045" s="7" t="n">
        <v>7779</v>
      </c>
      <c r="Y1045" s="8" t="n">
        <v>-575</v>
      </c>
      <c r="Z1045" s="8" t="n">
        <v>-120</v>
      </c>
      <c r="AA1045" s="9" t="n">
        <v>13957</v>
      </c>
      <c r="AB1045" s="10" t="n">
        <v>-741</v>
      </c>
      <c r="AC1045" s="10" t="n">
        <v>-264</v>
      </c>
      <c r="AD1045" s="7" t="n">
        <v>19630</v>
      </c>
      <c r="AE1045" s="8" t="n">
        <v>-8937</v>
      </c>
      <c r="AF1045" s="8" t="n">
        <v>-11549</v>
      </c>
      <c r="AG1045" s="9" t="n">
        <v>14188</v>
      </c>
      <c r="AH1045" s="10" t="n">
        <v>173</v>
      </c>
      <c r="AI1045" s="10" t="n">
        <v>906</v>
      </c>
      <c r="AJ1045" s="11" t="n">
        <v>9992</v>
      </c>
      <c r="AK1045" s="12" t="n">
        <v>533</v>
      </c>
      <c r="AL1045" s="12" t="n">
        <v>311</v>
      </c>
      <c r="AM1045" s="13" t="n">
        <v>-29.6</v>
      </c>
      <c r="AN1045" s="13" t="n">
        <v>28.4</v>
      </c>
      <c r="AO1045" s="13" t="n">
        <v>208.1</v>
      </c>
      <c r="AP1045" s="13" t="n">
        <v>192.7</v>
      </c>
    </row>
    <row r="1046">
      <c r="A1046" s="5" t="inlineStr">
        <is>
          <t>YBM넷</t>
        </is>
      </c>
      <c r="B1046" s="6" t="inlineStr">
        <is>
          <t>057030</t>
        </is>
      </c>
      <c r="C1046" s="6" t="inlineStr">
        <is>
          <t>연결</t>
        </is>
      </c>
      <c r="D1046" s="6" t="inlineStr">
        <is>
          <t>2026Q2</t>
        </is>
      </c>
      <c r="E1046" s="6" t="inlineStr"/>
      <c r="F1046" s="7" t="inlineStr"/>
      <c r="G1046" s="8" t="inlineStr"/>
      <c r="H1046" s="8" t="inlineStr"/>
      <c r="I1046" s="9" t="n">
        <v>14784</v>
      </c>
      <c r="J1046" s="10" t="n">
        <v>861</v>
      </c>
      <c r="K1046" s="10" t="n">
        <v>999</v>
      </c>
      <c r="L1046" s="7" t="n">
        <v>13562</v>
      </c>
      <c r="M1046" s="8" t="n">
        <v>18</v>
      </c>
      <c r="N1046" s="8" t="n">
        <v>61</v>
      </c>
      <c r="O1046" s="9" t="n">
        <v>15274</v>
      </c>
      <c r="P1046" s="10" t="n">
        <v>1307</v>
      </c>
      <c r="Q1046" s="10" t="n">
        <v>1384</v>
      </c>
      <c r="R1046" s="7" t="n">
        <v>14709</v>
      </c>
      <c r="S1046" s="8" t="n">
        <v>608</v>
      </c>
      <c r="T1046" s="8" t="n">
        <v>730</v>
      </c>
      <c r="U1046" s="9" t="n">
        <v>13516</v>
      </c>
      <c r="V1046" s="10" t="n">
        <v>534</v>
      </c>
      <c r="W1046" s="10" t="n">
        <v>819</v>
      </c>
      <c r="X1046" s="7" t="n">
        <v>11996</v>
      </c>
      <c r="Y1046" s="8" t="n">
        <v>-175</v>
      </c>
      <c r="Z1046" s="8" t="n">
        <v>14</v>
      </c>
      <c r="AA1046" s="9" t="n">
        <v>13746</v>
      </c>
      <c r="AB1046" s="10" t="n">
        <v>662</v>
      </c>
      <c r="AC1046" s="10" t="n">
        <v>697</v>
      </c>
      <c r="AD1046" s="7" t="n">
        <v>12576</v>
      </c>
      <c r="AE1046" s="8" t="n">
        <v>-71</v>
      </c>
      <c r="AF1046" s="8" t="n">
        <v>72</v>
      </c>
      <c r="AG1046" s="9" t="n">
        <v>12858</v>
      </c>
      <c r="AH1046" s="10" t="n">
        <v>483</v>
      </c>
      <c r="AI1046" s="10" t="n">
        <v>659</v>
      </c>
      <c r="AJ1046" s="11" t="n">
        <v>12174</v>
      </c>
      <c r="AK1046" s="12" t="n">
        <v>298</v>
      </c>
      <c r="AL1046" s="12" t="n">
        <v>419</v>
      </c>
      <c r="AM1046" s="13" t="n">
        <v>-5.3</v>
      </c>
      <c r="AN1046" s="13" t="n">
        <v>1.5</v>
      </c>
      <c r="AO1046" s="13" t="n">
        <v>-38.3</v>
      </c>
      <c r="AP1046" s="13" t="n">
        <v>270.3</v>
      </c>
    </row>
    <row r="1047">
      <c r="A1047" s="5" t="inlineStr">
        <is>
          <t>현대홈쇼핑</t>
        </is>
      </c>
      <c r="B1047" s="6" t="inlineStr">
        <is>
          <t>057050</t>
        </is>
      </c>
      <c r="C1047" s="6" t="inlineStr">
        <is>
          <t>연결</t>
        </is>
      </c>
      <c r="D1047" s="6" t="inlineStr">
        <is>
          <t>2026Q2</t>
        </is>
      </c>
      <c r="E1047" s="6" t="inlineStr">
        <is>
          <t>2023Q4</t>
        </is>
      </c>
      <c r="F1047" s="14" t="n">
        <v>542604</v>
      </c>
      <c r="G1047" s="15" t="n">
        <v>9280</v>
      </c>
      <c r="H1047" s="15" t="n">
        <v>813</v>
      </c>
      <c r="I1047" s="9" t="n">
        <v>996377</v>
      </c>
      <c r="J1047" s="10" t="n">
        <v>58207</v>
      </c>
      <c r="K1047" s="10" t="n">
        <v>119725</v>
      </c>
      <c r="L1047" s="7" t="n">
        <v>952687</v>
      </c>
      <c r="M1047" s="8" t="n">
        <v>33291</v>
      </c>
      <c r="N1047" s="8" t="n">
        <v>28113</v>
      </c>
      <c r="O1047" s="9" t="n">
        <v>899545</v>
      </c>
      <c r="P1047" s="10" t="n">
        <v>18243</v>
      </c>
      <c r="Q1047" s="10" t="n">
        <v>26565</v>
      </c>
      <c r="R1047" s="7" t="n">
        <v>1004853</v>
      </c>
      <c r="S1047" s="8" t="n">
        <v>20387</v>
      </c>
      <c r="T1047" s="8" t="n">
        <v>-165</v>
      </c>
      <c r="U1047" s="9" t="n">
        <v>959913</v>
      </c>
      <c r="V1047" s="10" t="n">
        <v>48064</v>
      </c>
      <c r="W1047" s="10" t="n">
        <v>33837</v>
      </c>
      <c r="X1047" s="7" t="n">
        <v>923785</v>
      </c>
      <c r="Y1047" s="8" t="n">
        <v>30184</v>
      </c>
      <c r="Z1047" s="8" t="n">
        <v>28724</v>
      </c>
      <c r="AA1047" s="9" t="n">
        <v>873916</v>
      </c>
      <c r="AB1047" s="10" t="n">
        <v>24782</v>
      </c>
      <c r="AC1047" s="10" t="n">
        <v>24540</v>
      </c>
      <c r="AD1047" s="7" t="n">
        <v>1032220</v>
      </c>
      <c r="AE1047" s="8" t="n">
        <v>27741</v>
      </c>
      <c r="AF1047" s="8" t="n">
        <v>27615</v>
      </c>
      <c r="AG1047" s="9" t="n">
        <v>978490</v>
      </c>
      <c r="AH1047" s="10" t="n">
        <v>65342</v>
      </c>
      <c r="AI1047" s="10" t="n">
        <v>54681</v>
      </c>
      <c r="AJ1047" s="11" t="n">
        <v>975725</v>
      </c>
      <c r="AK1047" s="12" t="n">
        <v>37683</v>
      </c>
      <c r="AL1047" s="12" t="n">
        <v>34459</v>
      </c>
      <c r="AM1047" s="13" t="n">
        <v>-0.3</v>
      </c>
      <c r="AN1047" s="13" t="n">
        <v>5.6</v>
      </c>
      <c r="AO1047" s="13" t="n">
        <v>-42.3</v>
      </c>
      <c r="AP1047" s="13" t="n">
        <v>24.8</v>
      </c>
    </row>
    <row r="1048">
      <c r="A1048" s="5" t="inlineStr">
        <is>
          <t>옴니시스템</t>
        </is>
      </c>
      <c r="B1048" s="6" t="inlineStr">
        <is>
          <t>057540</t>
        </is>
      </c>
      <c r="C1048" s="6" t="inlineStr">
        <is>
          <t>연결</t>
        </is>
      </c>
      <c r="D1048" s="6" t="inlineStr">
        <is>
          <t>2026Q2</t>
        </is>
      </c>
      <c r="E1048" s="6" t="inlineStr"/>
      <c r="F1048" s="7" t="inlineStr"/>
      <c r="G1048" s="8" t="inlineStr"/>
      <c r="H1048" s="8" t="inlineStr"/>
      <c r="I1048" s="9" t="n">
        <v>22969</v>
      </c>
      <c r="J1048" s="10" t="n">
        <v>1485</v>
      </c>
      <c r="K1048" s="10" t="n">
        <v>2556</v>
      </c>
      <c r="L1048" s="7" t="n">
        <v>25607</v>
      </c>
      <c r="M1048" s="8" t="n">
        <v>932</v>
      </c>
      <c r="N1048" s="8" t="n">
        <v>363</v>
      </c>
      <c r="O1048" s="9" t="n">
        <v>28181</v>
      </c>
      <c r="P1048" s="10" t="n">
        <v>332</v>
      </c>
      <c r="Q1048" s="10" t="n">
        <v>-495</v>
      </c>
      <c r="R1048" s="7" t="n">
        <v>32332</v>
      </c>
      <c r="S1048" s="8" t="n">
        <v>3205</v>
      </c>
      <c r="T1048" s="8" t="n">
        <v>4293</v>
      </c>
      <c r="U1048" s="9" t="n">
        <v>27227</v>
      </c>
      <c r="V1048" s="10" t="n">
        <v>-259</v>
      </c>
      <c r="W1048" s="10" t="n">
        <v>-478</v>
      </c>
      <c r="X1048" s="7" t="n">
        <v>28156</v>
      </c>
      <c r="Y1048" s="8" t="n">
        <v>-65</v>
      </c>
      <c r="Z1048" s="8" t="n">
        <v>-190</v>
      </c>
      <c r="AA1048" s="9" t="n">
        <v>19351</v>
      </c>
      <c r="AB1048" s="10" t="n">
        <v>-76</v>
      </c>
      <c r="AC1048" s="10" t="n">
        <v>-739</v>
      </c>
      <c r="AD1048" s="7" t="n">
        <v>24334</v>
      </c>
      <c r="AE1048" s="8" t="n">
        <v>1417</v>
      </c>
      <c r="AF1048" s="8" t="n">
        <v>1253</v>
      </c>
      <c r="AG1048" s="9" t="n">
        <v>18360</v>
      </c>
      <c r="AH1048" s="10" t="n">
        <v>-289</v>
      </c>
      <c r="AI1048" s="10" t="n">
        <v>969</v>
      </c>
      <c r="AJ1048" s="11" t="n">
        <v>24221</v>
      </c>
      <c r="AK1048" s="12" t="n">
        <v>77</v>
      </c>
      <c r="AL1048" s="12" t="n">
        <v>275</v>
      </c>
      <c r="AM1048" s="13" t="n">
        <v>31.9</v>
      </c>
      <c r="AN1048" s="13" t="n">
        <v>-14</v>
      </c>
      <c r="AO1048" s="13" t="n">
        <v>126.6</v>
      </c>
      <c r="AP1048" s="13" t="n">
        <v>218.5</v>
      </c>
    </row>
    <row r="1049">
      <c r="A1049" s="5" t="inlineStr">
        <is>
          <t>티사이언티픽</t>
        </is>
      </c>
      <c r="B1049" s="6" t="inlineStr">
        <is>
          <t>057680</t>
        </is>
      </c>
      <c r="C1049" s="6" t="inlineStr">
        <is>
          <t>연결</t>
        </is>
      </c>
      <c r="D1049" s="6" t="inlineStr">
        <is>
          <t>2026Q2</t>
        </is>
      </c>
      <c r="E1049" s="6" t="inlineStr"/>
      <c r="F1049" s="7" t="inlineStr"/>
      <c r="G1049" s="8" t="inlineStr"/>
      <c r="H1049" s="8" t="inlineStr"/>
      <c r="I1049" s="9" t="n">
        <v>9238</v>
      </c>
      <c r="J1049" s="10" t="n">
        <v>-954</v>
      </c>
      <c r="K1049" s="10" t="n">
        <v>11171</v>
      </c>
      <c r="L1049" s="7" t="n">
        <v>8938</v>
      </c>
      <c r="M1049" s="8" t="n">
        <v>518</v>
      </c>
      <c r="N1049" s="8" t="n">
        <v>-6188</v>
      </c>
      <c r="O1049" s="9" t="n">
        <v>8724</v>
      </c>
      <c r="P1049" s="10" t="n">
        <v>-845</v>
      </c>
      <c r="Q1049" s="10" t="n">
        <v>-4426</v>
      </c>
      <c r="R1049" s="7" t="n">
        <v>16117</v>
      </c>
      <c r="S1049" s="8" t="n">
        <v>-8564</v>
      </c>
      <c r="T1049" s="8" t="n">
        <v>1732</v>
      </c>
      <c r="U1049" s="9" t="n">
        <v>7046</v>
      </c>
      <c r="V1049" s="10" t="n">
        <v>-888</v>
      </c>
      <c r="W1049" s="10" t="n">
        <v>-3548</v>
      </c>
      <c r="X1049" s="7" t="n">
        <v>8262</v>
      </c>
      <c r="Y1049" s="8" t="n">
        <v>40</v>
      </c>
      <c r="Z1049" s="8" t="n">
        <v>1599</v>
      </c>
      <c r="AA1049" s="9" t="n">
        <v>8469</v>
      </c>
      <c r="AB1049" s="10" t="n">
        <v>-51</v>
      </c>
      <c r="AC1049" s="10" t="n">
        <v>95</v>
      </c>
      <c r="AD1049" s="7" t="n">
        <v>12589</v>
      </c>
      <c r="AE1049" s="8" t="n">
        <v>1163</v>
      </c>
      <c r="AF1049" s="8" t="n">
        <v>255</v>
      </c>
      <c r="AG1049" s="9" t="n">
        <v>6170</v>
      </c>
      <c r="AH1049" s="10" t="n">
        <v>-1046</v>
      </c>
      <c r="AI1049" s="10" t="n">
        <v>-1048</v>
      </c>
      <c r="AJ1049" s="11" t="n">
        <v>7019</v>
      </c>
      <c r="AK1049" s="12" t="n">
        <v>-536</v>
      </c>
      <c r="AL1049" s="12" t="n">
        <v>-677</v>
      </c>
      <c r="AM1049" s="13" t="n">
        <v>13.8</v>
      </c>
      <c r="AN1049" s="13" t="n">
        <v>-15</v>
      </c>
      <c r="AO1049" s="13" t="n">
        <v>48.8</v>
      </c>
      <c r="AP1049" s="13" t="n">
        <v>-1440</v>
      </c>
    </row>
    <row r="1050">
      <c r="A1050" s="5" t="inlineStr">
        <is>
          <t>멕아이씨에스</t>
        </is>
      </c>
      <c r="B1050" s="6" t="inlineStr">
        <is>
          <t>058110</t>
        </is>
      </c>
      <c r="C1050" s="6" t="inlineStr">
        <is>
          <t>연결</t>
        </is>
      </c>
      <c r="D1050" s="6" t="inlineStr">
        <is>
          <t>2026Q2</t>
        </is>
      </c>
      <c r="E1050" s="6" t="inlineStr"/>
      <c r="F1050" s="7" t="inlineStr"/>
      <c r="G1050" s="8" t="inlineStr"/>
      <c r="H1050" s="8" t="inlineStr"/>
      <c r="I1050" s="9" t="n">
        <v>2918</v>
      </c>
      <c r="J1050" s="10" t="n">
        <v>-1673</v>
      </c>
      <c r="K1050" s="10" t="n">
        <v>-1901</v>
      </c>
      <c r="L1050" s="7" t="n">
        <v>3162</v>
      </c>
      <c r="M1050" s="8" t="n">
        <v>-1281</v>
      </c>
      <c r="N1050" s="8" t="n">
        <v>-1726</v>
      </c>
      <c r="O1050" s="9" t="n">
        <v>1651</v>
      </c>
      <c r="P1050" s="10" t="n">
        <v>-2359</v>
      </c>
      <c r="Q1050" s="10" t="n">
        <v>-2389</v>
      </c>
      <c r="R1050" s="7" t="n">
        <v>3638</v>
      </c>
      <c r="S1050" s="8" t="n">
        <v>-4179</v>
      </c>
      <c r="T1050" s="8" t="n">
        <v>-4274</v>
      </c>
      <c r="U1050" s="9" t="n">
        <v>2909</v>
      </c>
      <c r="V1050" s="10" t="n">
        <v>-1063</v>
      </c>
      <c r="W1050" s="10" t="n">
        <v>-1123</v>
      </c>
      <c r="X1050" s="7" t="n">
        <v>2365</v>
      </c>
      <c r="Y1050" s="8" t="n">
        <v>-1689</v>
      </c>
      <c r="Z1050" s="8" t="n">
        <v>-1737</v>
      </c>
      <c r="AA1050" s="9" t="n">
        <v>2784</v>
      </c>
      <c r="AB1050" s="10" t="n">
        <v>-298</v>
      </c>
      <c r="AC1050" s="10" t="n">
        <v>-180</v>
      </c>
      <c r="AD1050" s="7" t="n">
        <v>3230</v>
      </c>
      <c r="AE1050" s="8" t="n">
        <v>263</v>
      </c>
      <c r="AF1050" s="8" t="n">
        <v>336</v>
      </c>
      <c r="AG1050" s="9" t="n">
        <v>3880</v>
      </c>
      <c r="AH1050" s="10" t="n">
        <v>366</v>
      </c>
      <c r="AI1050" s="10" t="n">
        <v>677</v>
      </c>
      <c r="AJ1050" s="11" t="n">
        <v>3863</v>
      </c>
      <c r="AK1050" s="12" t="n">
        <v>178</v>
      </c>
      <c r="AL1050" s="12" t="n">
        <v>245</v>
      </c>
      <c r="AM1050" s="13" t="n">
        <v>-0.4</v>
      </c>
      <c r="AN1050" s="13" t="n">
        <v>63.3</v>
      </c>
      <c r="AO1050" s="13" t="n">
        <v>-51.4</v>
      </c>
      <c r="AP1050" s="13" t="n">
        <v>110.5</v>
      </c>
    </row>
    <row r="1051">
      <c r="A1051" s="5" t="inlineStr">
        <is>
          <t>KNN</t>
        </is>
      </c>
      <c r="B1051" s="6" t="inlineStr">
        <is>
          <t>058400</t>
        </is>
      </c>
      <c r="C1051" s="6" t="inlineStr">
        <is>
          <t>연결</t>
        </is>
      </c>
      <c r="D1051" s="6" t="inlineStr">
        <is>
          <t>2026Q2</t>
        </is>
      </c>
      <c r="E1051" s="6" t="inlineStr"/>
      <c r="F1051" s="7" t="inlineStr"/>
      <c r="G1051" s="8" t="inlineStr"/>
      <c r="H1051" s="8" t="inlineStr"/>
      <c r="I1051" s="9" t="n">
        <v>11478</v>
      </c>
      <c r="J1051" s="10" t="n">
        <v>105</v>
      </c>
      <c r="K1051" s="10" t="n">
        <v>1000</v>
      </c>
      <c r="L1051" s="7" t="n">
        <v>18707</v>
      </c>
      <c r="M1051" s="8" t="n">
        <v>2419</v>
      </c>
      <c r="N1051" s="8" t="n">
        <v>3810</v>
      </c>
      <c r="O1051" s="9" t="n">
        <v>15384</v>
      </c>
      <c r="P1051" s="10" t="n">
        <v>245</v>
      </c>
      <c r="Q1051" s="10" t="n">
        <v>1056</v>
      </c>
      <c r="R1051" s="7" t="n">
        <v>23284</v>
      </c>
      <c r="S1051" s="8" t="n">
        <v>1744</v>
      </c>
      <c r="T1051" s="8" t="n">
        <v>2248</v>
      </c>
      <c r="U1051" s="9" t="n">
        <v>11564</v>
      </c>
      <c r="V1051" s="10" t="n">
        <v>203</v>
      </c>
      <c r="W1051" s="10" t="n">
        <v>600</v>
      </c>
      <c r="X1051" s="7" t="n">
        <v>16122</v>
      </c>
      <c r="Y1051" s="8" t="n">
        <v>587</v>
      </c>
      <c r="Z1051" s="8" t="n">
        <v>2269</v>
      </c>
      <c r="AA1051" s="9" t="n">
        <v>17349</v>
      </c>
      <c r="AB1051" s="10" t="n">
        <v>1806</v>
      </c>
      <c r="AC1051" s="10" t="n">
        <v>2663</v>
      </c>
      <c r="AD1051" s="7" t="n">
        <v>23472</v>
      </c>
      <c r="AE1051" s="8" t="n">
        <v>598</v>
      </c>
      <c r="AF1051" s="8" t="n">
        <v>5772</v>
      </c>
      <c r="AG1051" s="9" t="n">
        <v>13057</v>
      </c>
      <c r="AH1051" s="10" t="n">
        <v>-87</v>
      </c>
      <c r="AI1051" s="10" t="n">
        <v>6833</v>
      </c>
      <c r="AJ1051" s="11" t="n">
        <v>14151</v>
      </c>
      <c r="AK1051" s="12" t="n">
        <v>984</v>
      </c>
      <c r="AL1051" s="12" t="n">
        <v>18916</v>
      </c>
      <c r="AM1051" s="13" t="n">
        <v>8.4</v>
      </c>
      <c r="AN1051" s="13" t="n">
        <v>-12.2</v>
      </c>
      <c r="AO1051" s="13" t="n">
        <v>1231</v>
      </c>
      <c r="AP1051" s="13" t="n">
        <v>67.59999999999999</v>
      </c>
    </row>
    <row r="1052">
      <c r="A1052" s="5" t="inlineStr">
        <is>
          <t>포스코스틸리온</t>
        </is>
      </c>
      <c r="B1052" s="6" t="inlineStr">
        <is>
          <t>058430</t>
        </is>
      </c>
      <c r="C1052" s="6" t="inlineStr">
        <is>
          <t>연결</t>
        </is>
      </c>
      <c r="D1052" s="6" t="inlineStr">
        <is>
          <t>2026Q2</t>
        </is>
      </c>
      <c r="E1052" s="6" t="inlineStr">
        <is>
          <t>2023Q4</t>
        </is>
      </c>
      <c r="F1052" s="14" t="n">
        <v>1158500</v>
      </c>
      <c r="G1052" s="15" t="n">
        <v>30600</v>
      </c>
      <c r="H1052" s="15" t="n">
        <v>25200</v>
      </c>
      <c r="I1052" s="9" t="n">
        <v>312291</v>
      </c>
      <c r="J1052" s="10" t="n">
        <v>12454</v>
      </c>
      <c r="K1052" s="10" t="n">
        <v>8729</v>
      </c>
      <c r="L1052" s="7" t="n">
        <v>328351</v>
      </c>
      <c r="M1052" s="8" t="n">
        <v>15485</v>
      </c>
      <c r="N1052" s="8" t="n">
        <v>11200</v>
      </c>
      <c r="O1052" s="9" t="n">
        <v>283360</v>
      </c>
      <c r="P1052" s="10" t="n">
        <v>10281</v>
      </c>
      <c r="Q1052" s="10" t="n">
        <v>4385</v>
      </c>
      <c r="R1052" s="7" t="n">
        <v>285863</v>
      </c>
      <c r="S1052" s="8" t="n">
        <v>13703</v>
      </c>
      <c r="T1052" s="8" t="n">
        <v>10967</v>
      </c>
      <c r="U1052" s="9" t="n">
        <v>277227</v>
      </c>
      <c r="V1052" s="10" t="n">
        <v>11870</v>
      </c>
      <c r="W1052" s="10" t="n">
        <v>10099</v>
      </c>
      <c r="X1052" s="7" t="n">
        <v>284119</v>
      </c>
      <c r="Y1052" s="8" t="n">
        <v>5510</v>
      </c>
      <c r="Z1052" s="8" t="n">
        <v>3984</v>
      </c>
      <c r="AA1052" s="9" t="n">
        <v>282566</v>
      </c>
      <c r="AB1052" s="10" t="n">
        <v>4962</v>
      </c>
      <c r="AC1052" s="10" t="n">
        <v>3942</v>
      </c>
      <c r="AD1052" s="7" t="n">
        <v>281528</v>
      </c>
      <c r="AE1052" s="8" t="n">
        <v>2117</v>
      </c>
      <c r="AF1052" s="8" t="n">
        <v>135</v>
      </c>
      <c r="AG1052" s="9" t="n">
        <v>279325</v>
      </c>
      <c r="AH1052" s="10" t="n">
        <v>6294</v>
      </c>
      <c r="AI1052" s="10" t="n">
        <v>6855</v>
      </c>
      <c r="AJ1052" s="11" t="n">
        <v>298199</v>
      </c>
      <c r="AK1052" s="12" t="n">
        <v>9587</v>
      </c>
      <c r="AL1052" s="12" t="n">
        <v>7047</v>
      </c>
      <c r="AM1052" s="13" t="n">
        <v>6.8</v>
      </c>
      <c r="AN1052" s="13" t="n">
        <v>5</v>
      </c>
      <c r="AO1052" s="13" t="n">
        <v>52.3</v>
      </c>
      <c r="AP1052" s="13" t="n">
        <v>74</v>
      </c>
    </row>
    <row r="1053">
      <c r="A1053" s="5" t="inlineStr">
        <is>
          <t>한주에이알티</t>
        </is>
      </c>
      <c r="B1053" s="6" t="inlineStr">
        <is>
          <t>058450</t>
        </is>
      </c>
      <c r="C1053" s="6" t="inlineStr">
        <is>
          <t>연결</t>
        </is>
      </c>
      <c r="D1053" s="6" t="inlineStr">
        <is>
          <t>2026Q2</t>
        </is>
      </c>
      <c r="E1053" s="6" t="inlineStr"/>
      <c r="F1053" s="7" t="inlineStr"/>
      <c r="G1053" s="8" t="inlineStr"/>
      <c r="H1053" s="8" t="inlineStr"/>
      <c r="I1053" s="9" t="n">
        <v>2665</v>
      </c>
      <c r="J1053" s="10" t="n">
        <v>-1011</v>
      </c>
      <c r="K1053" s="10" t="n">
        <v>-2167</v>
      </c>
      <c r="L1053" s="7" t="n">
        <v>2943</v>
      </c>
      <c r="M1053" s="8" t="n">
        <v>-1674</v>
      </c>
      <c r="N1053" s="8" t="n">
        <v>-330</v>
      </c>
      <c r="O1053" s="9" t="n">
        <v>4726</v>
      </c>
      <c r="P1053" s="10" t="n">
        <v>-1846</v>
      </c>
      <c r="Q1053" s="10" t="n">
        <v>-2515</v>
      </c>
      <c r="R1053" s="7" t="n">
        <v>3930</v>
      </c>
      <c r="S1053" s="8" t="n">
        <v>-1977</v>
      </c>
      <c r="T1053" s="8" t="n">
        <v>-5000</v>
      </c>
      <c r="U1053" s="9" t="n">
        <v>1382</v>
      </c>
      <c r="V1053" s="10" t="n">
        <v>-2698</v>
      </c>
      <c r="W1053" s="10" t="n">
        <v>-3203</v>
      </c>
      <c r="X1053" s="7" t="n">
        <v>1557</v>
      </c>
      <c r="Y1053" s="8" t="n">
        <v>-1350</v>
      </c>
      <c r="Z1053" s="8" t="n">
        <v>-2827</v>
      </c>
      <c r="AA1053" s="9" t="n">
        <v>1604</v>
      </c>
      <c r="AB1053" s="10" t="n">
        <v>-1030</v>
      </c>
      <c r="AC1053" s="10" t="n">
        <v>-1128</v>
      </c>
      <c r="AD1053" s="7" t="n">
        <v>1743</v>
      </c>
      <c r="AE1053" s="8" t="n">
        <v>-914</v>
      </c>
      <c r="AF1053" s="8" t="n">
        <v>-3297</v>
      </c>
      <c r="AG1053" s="9" t="n">
        <v>7271</v>
      </c>
      <c r="AH1053" s="10" t="n">
        <v>-2660</v>
      </c>
      <c r="AI1053" s="10" t="n">
        <v>-2876</v>
      </c>
      <c r="AJ1053" s="11" t="n">
        <v>6437</v>
      </c>
      <c r="AK1053" s="12" t="n">
        <v>-27</v>
      </c>
      <c r="AL1053" s="12" t="n">
        <v>5</v>
      </c>
      <c r="AM1053" s="13" t="n">
        <v>-11.5</v>
      </c>
      <c r="AN1053" s="13" t="n">
        <v>313.4</v>
      </c>
      <c r="AO1053" s="13" t="n">
        <v>99</v>
      </c>
      <c r="AP1053" s="13" t="n">
        <v>98</v>
      </c>
    </row>
    <row r="1054">
      <c r="A1054" s="5" t="inlineStr">
        <is>
          <t>리노공업</t>
        </is>
      </c>
      <c r="B1054" s="6" t="inlineStr">
        <is>
          <t>058470</t>
        </is>
      </c>
      <c r="C1054" s="6" t="inlineStr">
        <is>
          <t>별도</t>
        </is>
      </c>
      <c r="D1054" s="6" t="inlineStr">
        <is>
          <t>2026Q2</t>
        </is>
      </c>
      <c r="E1054" s="6" t="inlineStr"/>
      <c r="F1054" s="7" t="inlineStr"/>
      <c r="G1054" s="8" t="inlineStr"/>
      <c r="H1054" s="8" t="inlineStr"/>
      <c r="I1054" s="9" t="n">
        <v>54852</v>
      </c>
      <c r="J1054" s="10" t="n">
        <v>23302</v>
      </c>
      <c r="K1054" s="10" t="n">
        <v>20603</v>
      </c>
      <c r="L1054" s="7" t="n">
        <v>70979</v>
      </c>
      <c r="M1054" s="8" t="n">
        <v>33210</v>
      </c>
      <c r="N1054" s="8" t="n">
        <v>29847</v>
      </c>
      <c r="O1054" s="9" t="n">
        <v>68936</v>
      </c>
      <c r="P1054" s="10" t="n">
        <v>30669</v>
      </c>
      <c r="Q1054" s="10" t="n">
        <v>24530</v>
      </c>
      <c r="R1054" s="7" t="n">
        <v>83419</v>
      </c>
      <c r="S1054" s="8" t="n">
        <v>37020</v>
      </c>
      <c r="T1054" s="8" t="n">
        <v>38299</v>
      </c>
      <c r="U1054" s="9" t="n">
        <v>78410</v>
      </c>
      <c r="V1054" s="10" t="n">
        <v>34938</v>
      </c>
      <c r="W1054" s="10" t="n">
        <v>29344</v>
      </c>
      <c r="X1054" s="7" t="n">
        <v>112522</v>
      </c>
      <c r="Y1054" s="8" t="n">
        <v>53444</v>
      </c>
      <c r="Z1054" s="8" t="n">
        <v>41110</v>
      </c>
      <c r="AA1054" s="9" t="n">
        <v>96842</v>
      </c>
      <c r="AB1054" s="10" t="n">
        <v>48261</v>
      </c>
      <c r="AC1054" s="10" t="n">
        <v>41914</v>
      </c>
      <c r="AD1054" s="7" t="n">
        <v>84760</v>
      </c>
      <c r="AE1054" s="8" t="n">
        <v>40354</v>
      </c>
      <c r="AF1054" s="8" t="n">
        <v>39593</v>
      </c>
      <c r="AG1054" s="9" t="n">
        <v>99771</v>
      </c>
      <c r="AH1054" s="10" t="n">
        <v>47301</v>
      </c>
      <c r="AI1054" s="10" t="n">
        <v>40396</v>
      </c>
      <c r="AJ1054" s="11" t="n">
        <v>143187</v>
      </c>
      <c r="AK1054" s="12" t="n">
        <v>73514</v>
      </c>
      <c r="AL1054" s="12" t="n">
        <v>65923</v>
      </c>
      <c r="AM1054" s="13" t="n">
        <v>43.5</v>
      </c>
      <c r="AN1054" s="13" t="n">
        <v>27.3</v>
      </c>
      <c r="AO1054" s="13" t="n">
        <v>55.4</v>
      </c>
      <c r="AP1054" s="13" t="n">
        <v>37.6</v>
      </c>
    </row>
    <row r="1055">
      <c r="A1055" s="5" t="inlineStr">
        <is>
          <t>에스피지</t>
        </is>
      </c>
      <c r="B1055" s="6" t="inlineStr">
        <is>
          <t>058610</t>
        </is>
      </c>
      <c r="C1055" s="6" t="inlineStr">
        <is>
          <t>연결</t>
        </is>
      </c>
      <c r="D1055" s="6" t="inlineStr">
        <is>
          <t>2026Q2</t>
        </is>
      </c>
      <c r="E1055" s="6" t="inlineStr"/>
      <c r="F1055" s="7" t="inlineStr"/>
      <c r="G1055" s="8" t="inlineStr"/>
      <c r="H1055" s="8" t="inlineStr"/>
      <c r="I1055" s="9" t="n">
        <v>97824</v>
      </c>
      <c r="J1055" s="10" t="n">
        <v>3073</v>
      </c>
      <c r="K1055" s="10" t="n">
        <v>2603</v>
      </c>
      <c r="L1055" s="7" t="n">
        <v>100369</v>
      </c>
      <c r="M1055" s="8" t="n">
        <v>3464</v>
      </c>
      <c r="N1055" s="8" t="n">
        <v>4071</v>
      </c>
      <c r="O1055" s="9" t="n">
        <v>92206</v>
      </c>
      <c r="P1055" s="10" t="n">
        <v>3311</v>
      </c>
      <c r="Q1055" s="10" t="n">
        <v>2485</v>
      </c>
      <c r="R1055" s="7" t="n">
        <v>98078</v>
      </c>
      <c r="S1055" s="8" t="n">
        <v>2487</v>
      </c>
      <c r="T1055" s="8" t="n">
        <v>3955</v>
      </c>
      <c r="U1055" s="9" t="n">
        <v>93295</v>
      </c>
      <c r="V1055" s="10" t="n">
        <v>4089</v>
      </c>
      <c r="W1055" s="10" t="n">
        <v>3118</v>
      </c>
      <c r="X1055" s="7" t="n">
        <v>80467</v>
      </c>
      <c r="Y1055" s="8" t="n">
        <v>3920</v>
      </c>
      <c r="Z1055" s="8" t="n">
        <v>2408</v>
      </c>
      <c r="AA1055" s="9" t="n">
        <v>84082</v>
      </c>
      <c r="AB1055" s="10" t="n">
        <v>4933</v>
      </c>
      <c r="AC1055" s="10" t="n">
        <v>3646</v>
      </c>
      <c r="AD1055" s="7" t="n">
        <v>83826</v>
      </c>
      <c r="AE1055" s="8" t="n">
        <v>4997</v>
      </c>
      <c r="AF1055" s="8" t="n">
        <v>-39</v>
      </c>
      <c r="AG1055" s="9" t="n">
        <v>80832</v>
      </c>
      <c r="AH1055" s="10" t="n">
        <v>4486</v>
      </c>
      <c r="AI1055" s="10" t="n">
        <v>3464</v>
      </c>
      <c r="AJ1055" s="11" t="n">
        <v>88770</v>
      </c>
      <c r="AK1055" s="12" t="n">
        <v>3997</v>
      </c>
      <c r="AL1055" s="12" t="n">
        <v>2435</v>
      </c>
      <c r="AM1055" s="13" t="n">
        <v>9.800000000000001</v>
      </c>
      <c r="AN1055" s="13" t="n">
        <v>10.3</v>
      </c>
      <c r="AO1055" s="13" t="n">
        <v>-10.9</v>
      </c>
      <c r="AP1055" s="13" t="n">
        <v>2</v>
      </c>
    </row>
    <row r="1056">
      <c r="A1056" s="5" t="inlineStr">
        <is>
          <t>엠게임</t>
        </is>
      </c>
      <c r="B1056" s="6" t="inlineStr">
        <is>
          <t>058630</t>
        </is>
      </c>
      <c r="C1056" s="6" t="inlineStr">
        <is>
          <t>연결</t>
        </is>
      </c>
      <c r="D1056" s="6" t="inlineStr">
        <is>
          <t>2026Q2</t>
        </is>
      </c>
      <c r="E1056" s="6" t="inlineStr"/>
      <c r="F1056" s="7" t="inlineStr"/>
      <c r="G1056" s="8" t="inlineStr"/>
      <c r="H1056" s="8" t="inlineStr"/>
      <c r="I1056" s="9" t="n">
        <v>19343</v>
      </c>
      <c r="J1056" s="10" t="n">
        <v>4008</v>
      </c>
      <c r="K1056" s="10" t="n">
        <v>3332</v>
      </c>
      <c r="L1056" s="7" t="n">
        <v>18131</v>
      </c>
      <c r="M1056" s="8" t="n">
        <v>685</v>
      </c>
      <c r="N1056" s="8" t="n">
        <v>3767</v>
      </c>
      <c r="O1056" s="9" t="n">
        <v>19678</v>
      </c>
      <c r="P1056" s="10" t="n">
        <v>4268</v>
      </c>
      <c r="Q1056" s="10" t="n">
        <v>3527</v>
      </c>
      <c r="R1056" s="7" t="n">
        <v>26273</v>
      </c>
      <c r="S1056" s="8" t="n">
        <v>3878</v>
      </c>
      <c r="T1056" s="8" t="n">
        <v>5033</v>
      </c>
      <c r="U1056" s="9" t="n">
        <v>27050</v>
      </c>
      <c r="V1056" s="10" t="n">
        <v>6486</v>
      </c>
      <c r="W1056" s="10" t="n">
        <v>5672</v>
      </c>
      <c r="X1056" s="7" t="n">
        <v>19980</v>
      </c>
      <c r="Y1056" s="8" t="n">
        <v>2696</v>
      </c>
      <c r="Z1056" s="8" t="n">
        <v>1657</v>
      </c>
      <c r="AA1056" s="9" t="n">
        <v>21501</v>
      </c>
      <c r="AB1056" s="10" t="n">
        <v>4136</v>
      </c>
      <c r="AC1056" s="10" t="n">
        <v>4882</v>
      </c>
      <c r="AD1056" s="7" t="n">
        <v>23209</v>
      </c>
      <c r="AE1056" s="8" t="n">
        <v>4237</v>
      </c>
      <c r="AF1056" s="8" t="n">
        <v>3788</v>
      </c>
      <c r="AG1056" s="9" t="n">
        <v>24214</v>
      </c>
      <c r="AH1056" s="10" t="n">
        <v>3175</v>
      </c>
      <c r="AI1056" s="10" t="n">
        <v>4526</v>
      </c>
      <c r="AJ1056" s="11" t="n">
        <v>21259</v>
      </c>
      <c r="AK1056" s="12" t="n">
        <v>2443</v>
      </c>
      <c r="AL1056" s="12" t="n">
        <v>717</v>
      </c>
      <c r="AM1056" s="13" t="n">
        <v>-12.2</v>
      </c>
      <c r="AN1056" s="13" t="n">
        <v>6.4</v>
      </c>
      <c r="AO1056" s="13" t="n">
        <v>-23.1</v>
      </c>
      <c r="AP1056" s="13" t="n">
        <v>-9.4</v>
      </c>
    </row>
    <row r="1057">
      <c r="A1057" s="5" t="inlineStr">
        <is>
          <t>세아홀딩스</t>
        </is>
      </c>
      <c r="B1057" s="6" t="inlineStr">
        <is>
          <t>058650</t>
        </is>
      </c>
      <c r="C1057" s="6" t="inlineStr">
        <is>
          <t>연결</t>
        </is>
      </c>
      <c r="D1057" s="6" t="inlineStr">
        <is>
          <t>2026Q2</t>
        </is>
      </c>
      <c r="E1057" s="6" t="inlineStr"/>
      <c r="F1057" s="7" t="inlineStr"/>
      <c r="G1057" s="8" t="inlineStr"/>
      <c r="H1057" s="8" t="inlineStr"/>
      <c r="I1057" s="9" t="n">
        <v>1518188</v>
      </c>
      <c r="J1057" s="10" t="n">
        <v>35913</v>
      </c>
      <c r="K1057" s="10" t="n">
        <v>23850</v>
      </c>
      <c r="L1057" s="7" t="n">
        <v>1594806</v>
      </c>
      <c r="M1057" s="8" t="n">
        <v>83194</v>
      </c>
      <c r="N1057" s="8" t="n">
        <v>55362</v>
      </c>
      <c r="O1057" s="9" t="n">
        <v>1465946</v>
      </c>
      <c r="P1057" s="10" t="n">
        <v>26011</v>
      </c>
      <c r="Q1057" s="10" t="n">
        <v>15406</v>
      </c>
      <c r="R1057" s="7" t="n">
        <v>1437886</v>
      </c>
      <c r="S1057" s="8" t="n">
        <v>-45932</v>
      </c>
      <c r="T1057" s="8" t="n">
        <v>-60448</v>
      </c>
      <c r="U1057" s="9" t="n">
        <v>1530406</v>
      </c>
      <c r="V1057" s="10" t="n">
        <v>38865</v>
      </c>
      <c r="W1057" s="10" t="n">
        <v>21263</v>
      </c>
      <c r="X1057" s="7" t="n">
        <v>1696327</v>
      </c>
      <c r="Y1057" s="8" t="n">
        <v>44595</v>
      </c>
      <c r="Z1057" s="8" t="n">
        <v>28223</v>
      </c>
      <c r="AA1057" s="9" t="n">
        <v>1667590</v>
      </c>
      <c r="AB1057" s="10" t="n">
        <v>50969</v>
      </c>
      <c r="AC1057" s="10" t="n">
        <v>33921</v>
      </c>
      <c r="AD1057" s="7" t="n">
        <v>1716763</v>
      </c>
      <c r="AE1057" s="8" t="n">
        <v>41038</v>
      </c>
      <c r="AF1057" s="8" t="n">
        <v>2477</v>
      </c>
      <c r="AG1057" s="9" t="n">
        <v>1711342</v>
      </c>
      <c r="AH1057" s="10" t="n">
        <v>57678</v>
      </c>
      <c r="AI1057" s="10" t="n">
        <v>28848</v>
      </c>
      <c r="AJ1057" s="11" t="n">
        <v>2023591</v>
      </c>
      <c r="AK1057" s="12" t="n">
        <v>98050</v>
      </c>
      <c r="AL1057" s="12" t="n">
        <v>66478</v>
      </c>
      <c r="AM1057" s="13" t="n">
        <v>18.2</v>
      </c>
      <c r="AN1057" s="13" t="n">
        <v>19.3</v>
      </c>
      <c r="AO1057" s="13" t="n">
        <v>70</v>
      </c>
      <c r="AP1057" s="13" t="n">
        <v>119.9</v>
      </c>
    </row>
    <row r="1058">
      <c r="A1058" s="5" t="inlineStr">
        <is>
          <t>다스코</t>
        </is>
      </c>
      <c r="B1058" s="6" t="inlineStr">
        <is>
          <t>058730</t>
        </is>
      </c>
      <c r="C1058" s="6" t="inlineStr">
        <is>
          <t>연결</t>
        </is>
      </c>
      <c r="D1058" s="6" t="inlineStr">
        <is>
          <t>2026Q2</t>
        </is>
      </c>
      <c r="E1058" s="6" t="inlineStr"/>
      <c r="F1058" s="7" t="inlineStr"/>
      <c r="G1058" s="8" t="inlineStr"/>
      <c r="H1058" s="8" t="inlineStr"/>
      <c r="I1058" s="9" t="n">
        <v>72657</v>
      </c>
      <c r="J1058" s="10" t="n">
        <v>-3244</v>
      </c>
      <c r="K1058" s="10" t="n">
        <v>-4393</v>
      </c>
      <c r="L1058" s="7" t="n">
        <v>84596</v>
      </c>
      <c r="M1058" s="8" t="n">
        <v>3603</v>
      </c>
      <c r="N1058" s="8" t="n">
        <v>3102</v>
      </c>
      <c r="O1058" s="9" t="n">
        <v>62484</v>
      </c>
      <c r="P1058" s="10" t="n">
        <v>-3321</v>
      </c>
      <c r="Q1058" s="10" t="n">
        <v>-4044</v>
      </c>
      <c r="R1058" s="7" t="n">
        <v>92274</v>
      </c>
      <c r="S1058" s="8" t="n">
        <v>1207</v>
      </c>
      <c r="T1058" s="8" t="n">
        <v>1742</v>
      </c>
      <c r="U1058" s="9" t="n">
        <v>49960</v>
      </c>
      <c r="V1058" s="10" t="n">
        <v>-2646</v>
      </c>
      <c r="W1058" s="10" t="n">
        <v>-2393</v>
      </c>
      <c r="X1058" s="7" t="n">
        <v>70050</v>
      </c>
      <c r="Y1058" s="8" t="n">
        <v>744</v>
      </c>
      <c r="Z1058" s="8" t="n">
        <v>-2208</v>
      </c>
      <c r="AA1058" s="9" t="n">
        <v>57472</v>
      </c>
      <c r="AB1058" s="10" t="n">
        <v>-2805</v>
      </c>
      <c r="AC1058" s="10" t="n">
        <v>-2519</v>
      </c>
      <c r="AD1058" s="7" t="n">
        <v>95711</v>
      </c>
      <c r="AE1058" s="8" t="n">
        <v>6777</v>
      </c>
      <c r="AF1058" s="8" t="n">
        <v>157</v>
      </c>
      <c r="AG1058" s="9" t="n">
        <v>59537</v>
      </c>
      <c r="AH1058" s="10" t="n">
        <v>-5841</v>
      </c>
      <c r="AI1058" s="10" t="n">
        <v>-5821</v>
      </c>
      <c r="AJ1058" s="11" t="n">
        <v>80365</v>
      </c>
      <c r="AK1058" s="12" t="n">
        <v>-3924</v>
      </c>
      <c r="AL1058" s="12" t="n">
        <v>-4077</v>
      </c>
      <c r="AM1058" s="13" t="n">
        <v>35</v>
      </c>
      <c r="AN1058" s="13" t="n">
        <v>14.7</v>
      </c>
      <c r="AO1058" s="13" t="n">
        <v>32.8</v>
      </c>
      <c r="AP1058" s="13" t="n">
        <v>-627.4</v>
      </c>
    </row>
    <row r="1059">
      <c r="A1059" s="5" t="inlineStr">
        <is>
          <t>CMG제약</t>
        </is>
      </c>
      <c r="B1059" s="6" t="inlineStr">
        <is>
          <t>058820</t>
        </is>
      </c>
      <c r="C1059" s="6" t="inlineStr">
        <is>
          <t>연결</t>
        </is>
      </c>
      <c r="D1059" s="6" t="inlineStr">
        <is>
          <t>2026Q2</t>
        </is>
      </c>
      <c r="E1059" s="6" t="inlineStr"/>
      <c r="F1059" s="7" t="inlineStr"/>
      <c r="G1059" s="8" t="inlineStr"/>
      <c r="H1059" s="8" t="inlineStr"/>
      <c r="I1059" s="9" t="n">
        <v>22813683</v>
      </c>
      <c r="J1059" s="10" t="n">
        <v>110101</v>
      </c>
      <c r="K1059" s="10" t="n">
        <v>2240803</v>
      </c>
      <c r="L1059" s="7" t="n">
        <v>24854</v>
      </c>
      <c r="M1059" s="8" t="n">
        <v>316</v>
      </c>
      <c r="N1059" s="8" t="n">
        <v>5982</v>
      </c>
      <c r="O1059" s="9" t="n">
        <v>24714</v>
      </c>
      <c r="P1059" s="10" t="n">
        <v>134</v>
      </c>
      <c r="Q1059" s="10" t="n">
        <v>-2681</v>
      </c>
      <c r="R1059" s="7" t="n">
        <v>-22764151</v>
      </c>
      <c r="S1059" s="8" t="n">
        <v>-109531</v>
      </c>
      <c r="T1059" s="8" t="n">
        <v>-2241409</v>
      </c>
      <c r="U1059" s="9" t="n">
        <v>20625</v>
      </c>
      <c r="V1059" s="10" t="n">
        <v>-1330</v>
      </c>
      <c r="W1059" s="10" t="n">
        <v>-1582</v>
      </c>
      <c r="X1059" s="7" t="n">
        <v>22669</v>
      </c>
      <c r="Y1059" s="8" t="n">
        <v>-4606</v>
      </c>
      <c r="Z1059" s="8" t="n">
        <v>-10891</v>
      </c>
      <c r="AA1059" s="9" t="n">
        <v>30402</v>
      </c>
      <c r="AB1059" s="10" t="n">
        <v>1206</v>
      </c>
      <c r="AC1059" s="10" t="n">
        <v>5728</v>
      </c>
      <c r="AD1059" s="7" t="n">
        <v>31533</v>
      </c>
      <c r="AE1059" s="8" t="n">
        <v>1038</v>
      </c>
      <c r="AF1059" s="8" t="n">
        <v>-3332</v>
      </c>
      <c r="AG1059" s="9" t="n">
        <v>25515</v>
      </c>
      <c r="AH1059" s="10" t="n">
        <v>-2922</v>
      </c>
      <c r="AI1059" s="10" t="n">
        <v>113</v>
      </c>
      <c r="AJ1059" s="11" t="n">
        <v>28259</v>
      </c>
      <c r="AK1059" s="12" t="n">
        <v>-2951</v>
      </c>
      <c r="AL1059" s="12" t="n">
        <v>2132</v>
      </c>
      <c r="AM1059" s="13" t="n">
        <v>10.8</v>
      </c>
      <c r="AN1059" s="13" t="n">
        <v>24.7</v>
      </c>
      <c r="AO1059" s="13" t="n">
        <v>-1</v>
      </c>
      <c r="AP1059" s="13" t="n">
        <v>35.9</v>
      </c>
    </row>
    <row r="1060">
      <c r="A1060" s="5" t="inlineStr">
        <is>
          <t>KTcs</t>
        </is>
      </c>
      <c r="B1060" s="6" t="inlineStr">
        <is>
          <t>058850</t>
        </is>
      </c>
      <c r="C1060" s="6" t="inlineStr">
        <is>
          <t>연결</t>
        </is>
      </c>
      <c r="D1060" s="6" t="inlineStr">
        <is>
          <t>2026Q2</t>
        </is>
      </c>
      <c r="E1060" s="6" t="inlineStr">
        <is>
          <t>2023Q4</t>
        </is>
      </c>
      <c r="F1060" s="14" t="n">
        <v>294934</v>
      </c>
      <c r="G1060" s="15" t="n">
        <v>1142</v>
      </c>
      <c r="H1060" s="15" t="n">
        <v>1334</v>
      </c>
      <c r="I1060" s="9" t="n">
        <v>265455</v>
      </c>
      <c r="J1060" s="10" t="n">
        <v>7835</v>
      </c>
      <c r="K1060" s="10" t="n">
        <v>6263</v>
      </c>
      <c r="L1060" s="7" t="n">
        <v>318132</v>
      </c>
      <c r="M1060" s="8" t="n">
        <v>-9703</v>
      </c>
      <c r="N1060" s="8" t="n">
        <v>-7164</v>
      </c>
      <c r="O1060" s="9" t="n">
        <v>258453</v>
      </c>
      <c r="P1060" s="10" t="n">
        <v>5073</v>
      </c>
      <c r="Q1060" s="10" t="n">
        <v>4080</v>
      </c>
      <c r="R1060" s="7" t="n">
        <v>279301</v>
      </c>
      <c r="S1060" s="8" t="n">
        <v>3766</v>
      </c>
      <c r="T1060" s="8" t="n">
        <v>3635</v>
      </c>
      <c r="U1060" s="9" t="n">
        <v>235235</v>
      </c>
      <c r="V1060" s="10" t="n">
        <v>6631</v>
      </c>
      <c r="W1060" s="10" t="n">
        <v>5295</v>
      </c>
      <c r="X1060" s="7" t="n">
        <v>248013</v>
      </c>
      <c r="Y1060" s="8" t="n">
        <v>12819</v>
      </c>
      <c r="Z1060" s="8" t="n">
        <v>10029</v>
      </c>
      <c r="AA1060" s="9" t="n">
        <v>268941</v>
      </c>
      <c r="AB1060" s="10" t="n">
        <v>9181</v>
      </c>
      <c r="AC1060" s="10" t="n">
        <v>7294</v>
      </c>
      <c r="AD1060" s="7" t="n">
        <v>290528</v>
      </c>
      <c r="AE1060" s="8" t="n">
        <v>1175</v>
      </c>
      <c r="AF1060" s="8" t="n">
        <v>2617</v>
      </c>
      <c r="AG1060" s="9" t="n">
        <v>235761</v>
      </c>
      <c r="AH1060" s="10" t="n">
        <v>10499</v>
      </c>
      <c r="AI1060" s="10" t="n">
        <v>8127</v>
      </c>
      <c r="AJ1060" s="11" t="n">
        <v>238408</v>
      </c>
      <c r="AK1060" s="12" t="n">
        <v>9655</v>
      </c>
      <c r="AL1060" s="12" t="n">
        <v>7601</v>
      </c>
      <c r="AM1060" s="13" t="n">
        <v>1.1</v>
      </c>
      <c r="AN1060" s="13" t="n">
        <v>-3.9</v>
      </c>
      <c r="AO1060" s="13" t="n">
        <v>-8</v>
      </c>
      <c r="AP1060" s="13" t="n">
        <v>-24.7</v>
      </c>
    </row>
    <row r="1061">
      <c r="A1061" s="5" t="inlineStr">
        <is>
          <t>KTis</t>
        </is>
      </c>
      <c r="B1061" s="6" t="inlineStr">
        <is>
          <t>058860</t>
        </is>
      </c>
      <c r="C1061" s="6" t="inlineStr">
        <is>
          <t>별도</t>
        </is>
      </c>
      <c r="D1061" s="6" t="inlineStr">
        <is>
          <t>2026Q2</t>
        </is>
      </c>
      <c r="E1061" s="6" t="inlineStr">
        <is>
          <t>2023Q4</t>
        </is>
      </c>
      <c r="F1061" s="14" t="n">
        <v>160268</v>
      </c>
      <c r="G1061" s="15" t="n">
        <v>4333</v>
      </c>
      <c r="H1061" s="15" t="n">
        <v>2237</v>
      </c>
      <c r="I1061" s="9" t="n">
        <v>145328</v>
      </c>
      <c r="J1061" s="10" t="n">
        <v>4262</v>
      </c>
      <c r="K1061" s="10" t="n">
        <v>3368</v>
      </c>
      <c r="L1061" s="7" t="n">
        <v>151554</v>
      </c>
      <c r="M1061" s="8" t="n">
        <v>6834</v>
      </c>
      <c r="N1061" s="8" t="n">
        <v>3164</v>
      </c>
      <c r="O1061" s="9" t="n">
        <v>156153</v>
      </c>
      <c r="P1061" s="10" t="n">
        <v>4862</v>
      </c>
      <c r="Q1061" s="10" t="n">
        <v>3290</v>
      </c>
      <c r="R1061" s="7" t="n">
        <v>150864</v>
      </c>
      <c r="S1061" s="8" t="n">
        <v>5033</v>
      </c>
      <c r="T1061" s="8" t="n">
        <v>2040</v>
      </c>
      <c r="U1061" s="9" t="n">
        <v>153299</v>
      </c>
      <c r="V1061" s="10" t="n">
        <v>6473</v>
      </c>
      <c r="W1061" s="10" t="n">
        <v>4549</v>
      </c>
      <c r="X1061" s="7" t="n">
        <v>140722</v>
      </c>
      <c r="Y1061" s="8" t="n">
        <v>6589</v>
      </c>
      <c r="Z1061" s="8" t="n">
        <v>5481</v>
      </c>
      <c r="AA1061" s="9" t="n">
        <v>155990</v>
      </c>
      <c r="AB1061" s="10" t="n">
        <v>6574</v>
      </c>
      <c r="AC1061" s="10" t="n">
        <v>24111</v>
      </c>
      <c r="AD1061" s="7" t="n">
        <v>138749</v>
      </c>
      <c r="AE1061" s="8" t="n">
        <v>5104</v>
      </c>
      <c r="AF1061" s="8" t="n">
        <v>2225</v>
      </c>
      <c r="AG1061" s="9" t="n">
        <v>154904</v>
      </c>
      <c r="AH1061" s="10" t="n">
        <v>5219</v>
      </c>
      <c r="AI1061" s="10" t="n">
        <v>4768</v>
      </c>
      <c r="AJ1061" s="11" t="n">
        <v>155356</v>
      </c>
      <c r="AK1061" s="12" t="n">
        <v>7127</v>
      </c>
      <c r="AL1061" s="12" t="n">
        <v>5790</v>
      </c>
      <c r="AM1061" s="13" t="n">
        <v>0.3</v>
      </c>
      <c r="AN1061" s="13" t="n">
        <v>10.4</v>
      </c>
      <c r="AO1061" s="13" t="n">
        <v>36.6</v>
      </c>
      <c r="AP1061" s="13" t="n">
        <v>8.199999999999999</v>
      </c>
    </row>
    <row r="1062">
      <c r="A1062" s="5" t="inlineStr">
        <is>
          <t>엠로</t>
        </is>
      </c>
      <c r="B1062" s="6" t="inlineStr">
        <is>
          <t>058970</t>
        </is>
      </c>
      <c r="C1062" s="6" t="inlineStr">
        <is>
          <t>별도</t>
        </is>
      </c>
      <c r="D1062" s="6" t="inlineStr">
        <is>
          <t>2026Q2</t>
        </is>
      </c>
      <c r="E1062" s="6" t="inlineStr">
        <is>
          <t>2023Q4</t>
        </is>
      </c>
      <c r="F1062" s="14" t="n">
        <v>17403</v>
      </c>
      <c r="G1062" s="15" t="n">
        <v>1098</v>
      </c>
      <c r="H1062" s="15" t="n">
        <v>-4972</v>
      </c>
      <c r="I1062" s="9" t="n">
        <v>14625</v>
      </c>
      <c r="J1062" s="10" t="n">
        <v>31</v>
      </c>
      <c r="K1062" s="10" t="n">
        <v>619</v>
      </c>
      <c r="L1062" s="7" t="n">
        <v>19199</v>
      </c>
      <c r="M1062" s="8" t="n">
        <v>1751</v>
      </c>
      <c r="N1062" s="8" t="n">
        <v>8717</v>
      </c>
      <c r="O1062" s="9" t="n">
        <v>23199</v>
      </c>
      <c r="P1062" s="10" t="n">
        <v>4392</v>
      </c>
      <c r="Q1062" s="10" t="n">
        <v>6153</v>
      </c>
      <c r="R1062" s="7" t="n">
        <v>22433</v>
      </c>
      <c r="S1062" s="8" t="n">
        <v>2432</v>
      </c>
      <c r="T1062" s="8" t="n">
        <v>3109</v>
      </c>
      <c r="U1062" s="9" t="n">
        <v>20627</v>
      </c>
      <c r="V1062" s="10" t="n">
        <v>963</v>
      </c>
      <c r="W1062" s="10" t="n">
        <v>1037</v>
      </c>
      <c r="X1062" s="7" t="n">
        <v>22052</v>
      </c>
      <c r="Y1062" s="8" t="n">
        <v>152</v>
      </c>
      <c r="Z1062" s="8" t="n">
        <v>-553</v>
      </c>
      <c r="AA1062" s="9" t="n">
        <v>21290</v>
      </c>
      <c r="AB1062" s="10" t="n">
        <v>315</v>
      </c>
      <c r="AC1062" s="10" t="n">
        <v>1725</v>
      </c>
      <c r="AD1062" s="7" t="n">
        <v>20011</v>
      </c>
      <c r="AE1062" s="8" t="n">
        <v>-520</v>
      </c>
      <c r="AF1062" s="8" t="n">
        <v>326</v>
      </c>
      <c r="AG1062" s="9" t="n">
        <v>14757</v>
      </c>
      <c r="AH1062" s="10" t="n">
        <v>-2765</v>
      </c>
      <c r="AI1062" s="10" t="n">
        <v>-2498</v>
      </c>
      <c r="AJ1062" s="11" t="n">
        <v>17766</v>
      </c>
      <c r="AK1062" s="12" t="n">
        <v>-1111</v>
      </c>
      <c r="AL1062" s="12" t="n">
        <v>-1053</v>
      </c>
      <c r="AM1062" s="13" t="n">
        <v>20.4</v>
      </c>
      <c r="AN1062" s="13" t="n">
        <v>-19.4</v>
      </c>
      <c r="AO1062" s="13" t="n">
        <v>59.8</v>
      </c>
      <c r="AP1062" s="13" t="n">
        <v>-830.9</v>
      </c>
    </row>
    <row r="1063">
      <c r="A1063" s="5" t="inlineStr">
        <is>
          <t>미코</t>
        </is>
      </c>
      <c r="B1063" s="6" t="inlineStr">
        <is>
          <t>059090</t>
        </is>
      </c>
      <c r="C1063" s="6" t="inlineStr">
        <is>
          <t>연결</t>
        </is>
      </c>
      <c r="D1063" s="6" t="inlineStr">
        <is>
          <t>2026Q2</t>
        </is>
      </c>
      <c r="E1063" s="6" t="inlineStr"/>
      <c r="F1063" s="7" t="inlineStr"/>
      <c r="G1063" s="8" t="inlineStr"/>
      <c r="H1063" s="8" t="inlineStr"/>
      <c r="I1063" s="9" t="n">
        <v>123397</v>
      </c>
      <c r="J1063" s="10" t="n">
        <v>23189</v>
      </c>
      <c r="K1063" s="10" t="n">
        <v>13629</v>
      </c>
      <c r="L1063" s="7" t="n">
        <v>142218</v>
      </c>
      <c r="M1063" s="8" t="n">
        <v>34902</v>
      </c>
      <c r="N1063" s="8" t="n">
        <v>20405</v>
      </c>
      <c r="O1063" s="9" t="n">
        <v>137839</v>
      </c>
      <c r="P1063" s="10" t="n">
        <v>27035</v>
      </c>
      <c r="Q1063" s="10" t="n">
        <v>21714</v>
      </c>
      <c r="R1063" s="7" t="n">
        <v>137051</v>
      </c>
      <c r="S1063" s="8" t="n">
        <v>9508</v>
      </c>
      <c r="T1063" s="8" t="n">
        <v>20766</v>
      </c>
      <c r="U1063" s="9" t="n">
        <v>214911</v>
      </c>
      <c r="V1063" s="10" t="n">
        <v>35299</v>
      </c>
      <c r="W1063" s="10" t="n">
        <v>25297</v>
      </c>
      <c r="X1063" s="7" t="n">
        <v>248594</v>
      </c>
      <c r="Y1063" s="8" t="n">
        <v>30203</v>
      </c>
      <c r="Z1063" s="8" t="n">
        <v>22823</v>
      </c>
      <c r="AA1063" s="9" t="n">
        <v>245401</v>
      </c>
      <c r="AB1063" s="10" t="n">
        <v>22389</v>
      </c>
      <c r="AC1063" s="10" t="n">
        <v>13109</v>
      </c>
      <c r="AD1063" s="7" t="n">
        <v>268131</v>
      </c>
      <c r="AE1063" s="8" t="n">
        <v>13113</v>
      </c>
      <c r="AF1063" s="8" t="n">
        <v>13720</v>
      </c>
      <c r="AG1063" s="9" t="n">
        <v>321965</v>
      </c>
      <c r="AH1063" s="10" t="n">
        <v>18872</v>
      </c>
      <c r="AI1063" s="10" t="n">
        <v>-1355</v>
      </c>
      <c r="AJ1063" s="11" t="n">
        <v>349190</v>
      </c>
      <c r="AK1063" s="12" t="n">
        <v>19502</v>
      </c>
      <c r="AL1063" s="12" t="n">
        <v>16339</v>
      </c>
      <c r="AM1063" s="13" t="n">
        <v>8.5</v>
      </c>
      <c r="AN1063" s="13" t="n">
        <v>40.5</v>
      </c>
      <c r="AO1063" s="13" t="n">
        <v>3.3</v>
      </c>
      <c r="AP1063" s="13" t="n">
        <v>-35.4</v>
      </c>
    </row>
    <row r="1064">
      <c r="A1064" s="5" t="inlineStr">
        <is>
          <t>아이컴포넌트</t>
        </is>
      </c>
      <c r="B1064" s="6" t="inlineStr">
        <is>
          <t>059100</t>
        </is>
      </c>
      <c r="C1064" s="6" t="inlineStr">
        <is>
          <t>별도</t>
        </is>
      </c>
      <c r="D1064" s="6" t="inlineStr">
        <is>
          <t>2026Q2</t>
        </is>
      </c>
      <c r="E1064" s="6" t="inlineStr"/>
      <c r="F1064" s="7" t="inlineStr"/>
      <c r="G1064" s="8" t="inlineStr"/>
      <c r="H1064" s="8" t="inlineStr"/>
      <c r="I1064" s="9" t="n">
        <v>8225</v>
      </c>
      <c r="J1064" s="10" t="n">
        <v>88</v>
      </c>
      <c r="K1064" s="10" t="n">
        <v>370</v>
      </c>
      <c r="L1064" s="7" t="n">
        <v>7901</v>
      </c>
      <c r="M1064" s="8" t="n">
        <v>443</v>
      </c>
      <c r="N1064" s="8" t="n">
        <v>531</v>
      </c>
      <c r="O1064" s="9" t="n">
        <v>11982</v>
      </c>
      <c r="P1064" s="10" t="n">
        <v>1029</v>
      </c>
      <c r="Q1064" s="10" t="n">
        <v>695</v>
      </c>
      <c r="R1064" s="7" t="n">
        <v>8991</v>
      </c>
      <c r="S1064" s="8" t="n">
        <v>1037</v>
      </c>
      <c r="T1064" s="8" t="n">
        <v>1698</v>
      </c>
      <c r="U1064" s="9" t="n">
        <v>8744</v>
      </c>
      <c r="V1064" s="10" t="n">
        <v>914</v>
      </c>
      <c r="W1064" s="10" t="n">
        <v>966</v>
      </c>
      <c r="X1064" s="7" t="n">
        <v>8740</v>
      </c>
      <c r="Y1064" s="8" t="n">
        <v>2042</v>
      </c>
      <c r="Z1064" s="8" t="n">
        <v>1414</v>
      </c>
      <c r="AA1064" s="9" t="n">
        <v>10341</v>
      </c>
      <c r="AB1064" s="10" t="n">
        <v>2610</v>
      </c>
      <c r="AC1064" s="10" t="n">
        <v>3022</v>
      </c>
      <c r="AD1064" s="7" t="n">
        <v>6824</v>
      </c>
      <c r="AE1064" s="8" t="n">
        <v>474</v>
      </c>
      <c r="AF1064" s="8" t="n">
        <v>605</v>
      </c>
      <c r="AG1064" s="9" t="n">
        <v>9737</v>
      </c>
      <c r="AH1064" s="10" t="n">
        <v>1657</v>
      </c>
      <c r="AI1064" s="10" t="n">
        <v>1960</v>
      </c>
      <c r="AJ1064" s="11" t="n">
        <v>11865</v>
      </c>
      <c r="AK1064" s="12" t="n">
        <v>3601</v>
      </c>
      <c r="AL1064" s="12" t="n">
        <v>4875</v>
      </c>
      <c r="AM1064" s="13" t="n">
        <v>21.9</v>
      </c>
      <c r="AN1064" s="13" t="n">
        <v>35.8</v>
      </c>
      <c r="AO1064" s="13" t="n">
        <v>117.3</v>
      </c>
      <c r="AP1064" s="13" t="n">
        <v>76.3</v>
      </c>
    </row>
    <row r="1065">
      <c r="A1065" s="5" t="inlineStr">
        <is>
          <t>아진엑스텍</t>
        </is>
      </c>
      <c r="B1065" s="6" t="inlineStr">
        <is>
          <t>059120</t>
        </is>
      </c>
      <c r="C1065" s="6" t="inlineStr">
        <is>
          <t>별도</t>
        </is>
      </c>
      <c r="D1065" s="6" t="inlineStr">
        <is>
          <t>2026Q2</t>
        </is>
      </c>
      <c r="E1065" s="6" t="inlineStr"/>
      <c r="F1065" s="7" t="inlineStr"/>
      <c r="G1065" s="8" t="inlineStr"/>
      <c r="H1065" s="8" t="inlineStr"/>
      <c r="I1065" s="9" t="n">
        <v>7333</v>
      </c>
      <c r="J1065" s="10" t="n">
        <v>66</v>
      </c>
      <c r="K1065" s="10" t="n">
        <v>108</v>
      </c>
      <c r="L1065" s="7" t="n">
        <v>6092</v>
      </c>
      <c r="M1065" s="8" t="n">
        <v>-1126</v>
      </c>
      <c r="N1065" s="8" t="n">
        <v>-260</v>
      </c>
      <c r="O1065" s="9" t="n">
        <v>6265</v>
      </c>
      <c r="P1065" s="10" t="n">
        <v>-1110</v>
      </c>
      <c r="Q1065" s="10" t="n">
        <v>-813</v>
      </c>
      <c r="R1065" s="7" t="n">
        <v>5478</v>
      </c>
      <c r="S1065" s="8" t="n">
        <v>-2019</v>
      </c>
      <c r="T1065" s="8" t="n">
        <v>-1877</v>
      </c>
      <c r="U1065" s="9" t="n">
        <v>5201</v>
      </c>
      <c r="V1065" s="10" t="n">
        <v>-1101</v>
      </c>
      <c r="W1065" s="10" t="n">
        <v>-1093</v>
      </c>
      <c r="X1065" s="7" t="n">
        <v>5328</v>
      </c>
      <c r="Y1065" s="8" t="n">
        <v>-1132</v>
      </c>
      <c r="Z1065" s="8" t="n">
        <v>-1209</v>
      </c>
      <c r="AA1065" s="9" t="n">
        <v>6245</v>
      </c>
      <c r="AB1065" s="10" t="n">
        <v>1473</v>
      </c>
      <c r="AC1065" s="10" t="n">
        <v>1680</v>
      </c>
      <c r="AD1065" s="7" t="n">
        <v>7844</v>
      </c>
      <c r="AE1065" s="8" t="n">
        <v>1723</v>
      </c>
      <c r="AF1065" s="8" t="n">
        <v>1459</v>
      </c>
      <c r="AG1065" s="9" t="n">
        <v>7420</v>
      </c>
      <c r="AH1065" s="10" t="n">
        <v>199</v>
      </c>
      <c r="AI1065" s="10" t="n">
        <v>212</v>
      </c>
      <c r="AJ1065" s="11" t="n">
        <v>8873</v>
      </c>
      <c r="AK1065" s="12" t="n">
        <v>1811</v>
      </c>
      <c r="AL1065" s="12" t="n">
        <v>1743</v>
      </c>
      <c r="AM1065" s="13" t="n">
        <v>19.6</v>
      </c>
      <c r="AN1065" s="13" t="n">
        <v>66.5</v>
      </c>
      <c r="AO1065" s="13" t="n">
        <v>810.1</v>
      </c>
      <c r="AP1065" s="13" t="n">
        <v>260</v>
      </c>
    </row>
    <row r="1066">
      <c r="A1066" s="5" t="inlineStr">
        <is>
          <t>메타바이오메드</t>
        </is>
      </c>
      <c r="B1066" s="6" t="inlineStr">
        <is>
          <t>059210</t>
        </is>
      </c>
      <c r="C1066" s="6" t="inlineStr">
        <is>
          <t>연결</t>
        </is>
      </c>
      <c r="D1066" s="6" t="inlineStr">
        <is>
          <t>2026Q2</t>
        </is>
      </c>
      <c r="E1066" s="6" t="inlineStr"/>
      <c r="F1066" s="7" t="inlineStr"/>
      <c r="G1066" s="8" t="inlineStr"/>
      <c r="H1066" s="8" t="inlineStr"/>
      <c r="I1066" s="9" t="n">
        <v>22503</v>
      </c>
      <c r="J1066" s="10" t="n">
        <v>4823</v>
      </c>
      <c r="K1066" s="10" t="n">
        <v>5682</v>
      </c>
      <c r="L1066" s="7" t="n">
        <v>25327</v>
      </c>
      <c r="M1066" s="8" t="n">
        <v>3712</v>
      </c>
      <c r="N1066" s="8" t="n">
        <v>3897</v>
      </c>
      <c r="O1066" s="9" t="n">
        <v>23150</v>
      </c>
      <c r="P1066" s="10" t="n">
        <v>3848</v>
      </c>
      <c r="Q1066" s="10" t="n">
        <v>3700</v>
      </c>
      <c r="R1066" s="7" t="n">
        <v>23056</v>
      </c>
      <c r="S1066" s="8" t="n">
        <v>4839</v>
      </c>
      <c r="T1066" s="8" t="n">
        <v>9046</v>
      </c>
      <c r="U1066" s="9" t="n">
        <v>27700</v>
      </c>
      <c r="V1066" s="10" t="n">
        <v>5615</v>
      </c>
      <c r="W1066" s="10" t="n">
        <v>5649</v>
      </c>
      <c r="X1066" s="7" t="n">
        <v>25475</v>
      </c>
      <c r="Y1066" s="8" t="n">
        <v>7794</v>
      </c>
      <c r="Z1066" s="8" t="n">
        <v>-884</v>
      </c>
      <c r="AA1066" s="9" t="n">
        <v>23535</v>
      </c>
      <c r="AB1066" s="10" t="n">
        <v>5081</v>
      </c>
      <c r="AC1066" s="10" t="n">
        <v>4455</v>
      </c>
      <c r="AD1066" s="7" t="n">
        <v>26241</v>
      </c>
      <c r="AE1066" s="8" t="n">
        <v>2938</v>
      </c>
      <c r="AF1066" s="8" t="n">
        <v>1552</v>
      </c>
      <c r="AG1066" s="9" t="n">
        <v>24420</v>
      </c>
      <c r="AH1066" s="10" t="n">
        <v>4852</v>
      </c>
      <c r="AI1066" s="10" t="n">
        <v>4394</v>
      </c>
      <c r="AJ1066" s="11" t="n">
        <v>26991</v>
      </c>
      <c r="AK1066" s="12" t="n">
        <v>6267</v>
      </c>
      <c r="AL1066" s="12" t="n">
        <v>6298</v>
      </c>
      <c r="AM1066" s="13" t="n">
        <v>10.5</v>
      </c>
      <c r="AN1066" s="13" t="n">
        <v>6</v>
      </c>
      <c r="AO1066" s="13" t="n">
        <v>29.2</v>
      </c>
      <c r="AP1066" s="13" t="n">
        <v>-19.6</v>
      </c>
    </row>
    <row r="1067">
      <c r="A1067" s="5" t="inlineStr">
        <is>
          <t>해성에어로보틱스</t>
        </is>
      </c>
      <c r="B1067" s="6" t="inlineStr">
        <is>
          <t>059270</t>
        </is>
      </c>
      <c r="C1067" s="6" t="inlineStr">
        <is>
          <t>별도</t>
        </is>
      </c>
      <c r="D1067" s="6" t="inlineStr">
        <is>
          <t>2026Q2</t>
        </is>
      </c>
      <c r="E1067" s="6" t="inlineStr"/>
      <c r="F1067" s="7" t="inlineStr"/>
      <c r="G1067" s="8" t="inlineStr"/>
      <c r="H1067" s="8" t="inlineStr"/>
      <c r="I1067" s="9" t="n">
        <v>3419</v>
      </c>
      <c r="J1067" s="10" t="n">
        <v>-308</v>
      </c>
      <c r="K1067" s="10" t="n">
        <v>-216</v>
      </c>
      <c r="L1067" s="7" t="n">
        <v>4521</v>
      </c>
      <c r="M1067" s="8" t="n">
        <v>-2</v>
      </c>
      <c r="N1067" s="8" t="n">
        <v>29</v>
      </c>
      <c r="O1067" s="9" t="n">
        <v>3401</v>
      </c>
      <c r="P1067" s="10" t="n">
        <v>-185</v>
      </c>
      <c r="Q1067" s="10" t="n">
        <v>-89</v>
      </c>
      <c r="R1067" s="7" t="n">
        <v>3597</v>
      </c>
      <c r="S1067" s="8" t="n">
        <v>-221</v>
      </c>
      <c r="T1067" s="8" t="n">
        <v>-252</v>
      </c>
      <c r="U1067" s="9" t="n">
        <v>3065</v>
      </c>
      <c r="V1067" s="10" t="n">
        <v>-377</v>
      </c>
      <c r="W1067" s="10" t="n">
        <v>-228</v>
      </c>
      <c r="X1067" s="7" t="n">
        <v>4001</v>
      </c>
      <c r="Y1067" s="8" t="n">
        <v>12</v>
      </c>
      <c r="Z1067" s="8" t="n">
        <v>676</v>
      </c>
      <c r="AA1067" s="9" t="n">
        <v>3802</v>
      </c>
      <c r="AB1067" s="10" t="n">
        <v>-27</v>
      </c>
      <c r="AC1067" s="10" t="n">
        <v>-39</v>
      </c>
      <c r="AD1067" s="7" t="n">
        <v>4210</v>
      </c>
      <c r="AE1067" s="8" t="n">
        <v>-229</v>
      </c>
      <c r="AF1067" s="8" t="n">
        <v>-261</v>
      </c>
      <c r="AG1067" s="9" t="n">
        <v>3286</v>
      </c>
      <c r="AH1067" s="10" t="n">
        <v>-304</v>
      </c>
      <c r="AI1067" s="10" t="n">
        <v>-279</v>
      </c>
      <c r="AJ1067" s="11" t="n">
        <v>3315</v>
      </c>
      <c r="AK1067" s="12" t="n">
        <v>-736</v>
      </c>
      <c r="AL1067" s="12" t="n">
        <v>1278</v>
      </c>
      <c r="AM1067" s="13" t="n">
        <v>0.9</v>
      </c>
      <c r="AN1067" s="13" t="n">
        <v>-17.1</v>
      </c>
      <c r="AO1067" s="13" t="n">
        <v>-142.1</v>
      </c>
      <c r="AP1067" s="13" t="n">
        <v>-6233.3</v>
      </c>
    </row>
    <row r="1068">
      <c r="A1068" s="5" t="inlineStr">
        <is>
          <t>인선이엔티</t>
        </is>
      </c>
      <c r="B1068" s="6" t="inlineStr">
        <is>
          <t>060150</t>
        </is>
      </c>
      <c r="C1068" s="6" t="inlineStr">
        <is>
          <t>연결</t>
        </is>
      </c>
      <c r="D1068" s="6" t="inlineStr">
        <is>
          <t>2026Q2</t>
        </is>
      </c>
      <c r="E1068" s="6" t="inlineStr"/>
      <c r="F1068" s="7" t="inlineStr"/>
      <c r="G1068" s="8" t="inlineStr"/>
      <c r="H1068" s="8" t="inlineStr"/>
      <c r="I1068" s="9" t="n">
        <v>49540</v>
      </c>
      <c r="J1068" s="10" t="n">
        <v>4835</v>
      </c>
      <c r="K1068" s="10" t="n">
        <v>2410</v>
      </c>
      <c r="L1068" s="7" t="n">
        <v>54129</v>
      </c>
      <c r="M1068" s="8" t="n">
        <v>4765</v>
      </c>
      <c r="N1068" s="8" t="n">
        <v>3441</v>
      </c>
      <c r="O1068" s="9" t="n">
        <v>50277</v>
      </c>
      <c r="P1068" s="10" t="n">
        <v>5331</v>
      </c>
      <c r="Q1068" s="10" t="n">
        <v>2716</v>
      </c>
      <c r="R1068" s="7" t="n">
        <v>54904</v>
      </c>
      <c r="S1068" s="8" t="n">
        <v>8249</v>
      </c>
      <c r="T1068" s="8" t="n">
        <v>-27423</v>
      </c>
      <c r="U1068" s="9" t="n">
        <v>43369</v>
      </c>
      <c r="V1068" s="10" t="n">
        <v>3207</v>
      </c>
      <c r="W1068" s="10" t="n">
        <v>-2131</v>
      </c>
      <c r="X1068" s="7" t="n">
        <v>50362</v>
      </c>
      <c r="Y1068" s="8" t="n">
        <v>3743</v>
      </c>
      <c r="Z1068" s="8" t="n">
        <v>-2232</v>
      </c>
      <c r="AA1068" s="9" t="n">
        <v>46218</v>
      </c>
      <c r="AB1068" s="10" t="n">
        <v>5380</v>
      </c>
      <c r="AC1068" s="10" t="n">
        <v>-1198</v>
      </c>
      <c r="AD1068" s="7" t="n">
        <v>47206</v>
      </c>
      <c r="AE1068" s="8" t="n">
        <v>5899</v>
      </c>
      <c r="AF1068" s="8" t="n">
        <v>-5364</v>
      </c>
      <c r="AG1068" s="9" t="n">
        <v>42516</v>
      </c>
      <c r="AH1068" s="10" t="n">
        <v>2787</v>
      </c>
      <c r="AI1068" s="10" t="n">
        <v>1724</v>
      </c>
      <c r="AJ1068" s="11" t="n">
        <v>50260</v>
      </c>
      <c r="AK1068" s="12" t="n">
        <v>2317</v>
      </c>
      <c r="AL1068" s="12" t="n">
        <v>1239</v>
      </c>
      <c r="AM1068" s="13" t="n">
        <v>18.2</v>
      </c>
      <c r="AN1068" s="13" t="n">
        <v>-0.2</v>
      </c>
      <c r="AO1068" s="13" t="n">
        <v>-16.9</v>
      </c>
      <c r="AP1068" s="13" t="n">
        <v>-38.1</v>
      </c>
    </row>
    <row r="1069">
      <c r="A1069" s="5" t="inlineStr">
        <is>
          <t>제이케이시냅스</t>
        </is>
      </c>
      <c r="B1069" s="6" t="inlineStr">
        <is>
          <t>060230</t>
        </is>
      </c>
      <c r="C1069" s="6" t="inlineStr">
        <is>
          <t>연결</t>
        </is>
      </c>
      <c r="D1069" s="6" t="inlineStr">
        <is>
          <t>2026Q2</t>
        </is>
      </c>
      <c r="E1069" s="6" t="inlineStr"/>
      <c r="F1069" s="7" t="inlineStr"/>
      <c r="G1069" s="8" t="inlineStr"/>
      <c r="H1069" s="8" t="inlineStr"/>
      <c r="I1069" s="9" t="n">
        <v>19172</v>
      </c>
      <c r="J1069" s="10" t="n">
        <v>-6091</v>
      </c>
      <c r="K1069" s="10" t="n">
        <v>-7565</v>
      </c>
      <c r="L1069" s="7" t="n">
        <v>18153</v>
      </c>
      <c r="M1069" s="8" t="n">
        <v>-5330</v>
      </c>
      <c r="N1069" s="8" t="n">
        <v>-18135</v>
      </c>
      <c r="O1069" s="9" t="n">
        <v>19744</v>
      </c>
      <c r="P1069" s="10" t="n">
        <v>-4867</v>
      </c>
      <c r="Q1069" s="10" t="n">
        <v>-13312</v>
      </c>
      <c r="R1069" s="7" t="n">
        <v>-8218</v>
      </c>
      <c r="S1069" s="8" t="n">
        <v>5272</v>
      </c>
      <c r="T1069" s="8" t="n">
        <v>-39248</v>
      </c>
      <c r="U1069" s="9" t="n">
        <v>11403</v>
      </c>
      <c r="V1069" s="10" t="n">
        <v>-1643</v>
      </c>
      <c r="W1069" s="10" t="n">
        <v>-3209</v>
      </c>
      <c r="X1069" s="7" t="n">
        <v>8562</v>
      </c>
      <c r="Y1069" s="8" t="n">
        <v>-2755</v>
      </c>
      <c r="Z1069" s="8" t="n">
        <v>-6823</v>
      </c>
      <c r="AA1069" s="9" t="n">
        <v>19979</v>
      </c>
      <c r="AB1069" s="10" t="n">
        <v>-2334</v>
      </c>
      <c r="AC1069" s="10" t="n">
        <v>-3468</v>
      </c>
      <c r="AD1069" s="7" t="n">
        <v>21981</v>
      </c>
      <c r="AE1069" s="8" t="n">
        <v>-1518</v>
      </c>
      <c r="AF1069" s="8" t="n">
        <v>-5099</v>
      </c>
      <c r="AG1069" s="9" t="n">
        <v>24015</v>
      </c>
      <c r="AH1069" s="10" t="n">
        <v>220</v>
      </c>
      <c r="AI1069" s="10" t="n">
        <v>-1107</v>
      </c>
      <c r="AJ1069" s="11" t="n">
        <v>23284</v>
      </c>
      <c r="AK1069" s="12" t="n">
        <v>-790</v>
      </c>
      <c r="AL1069" s="12" t="n">
        <v>2646</v>
      </c>
      <c r="AM1069" s="13" t="n">
        <v>-3</v>
      </c>
      <c r="AN1069" s="13" t="n">
        <v>171.9</v>
      </c>
      <c r="AO1069" s="13" t="n">
        <v>-459.1</v>
      </c>
      <c r="AP1069" s="13" t="n">
        <v>71.3</v>
      </c>
    </row>
    <row r="1070">
      <c r="A1070" s="5" t="inlineStr">
        <is>
          <t>스타코링크</t>
        </is>
      </c>
      <c r="B1070" s="6" t="inlineStr">
        <is>
          <t>060240</t>
        </is>
      </c>
      <c r="C1070" s="6" t="inlineStr">
        <is>
          <t>연결</t>
        </is>
      </c>
      <c r="D1070" s="6" t="inlineStr">
        <is>
          <t>2026Q2</t>
        </is>
      </c>
      <c r="E1070" s="6" t="inlineStr"/>
      <c r="F1070" s="7" t="inlineStr"/>
      <c r="G1070" s="8" t="inlineStr"/>
      <c r="H1070" s="8" t="inlineStr"/>
      <c r="I1070" s="9" t="n">
        <v>1051</v>
      </c>
      <c r="J1070" s="10" t="n">
        <v>-1421</v>
      </c>
      <c r="K1070" s="10" t="n">
        <v>-1197</v>
      </c>
      <c r="L1070" s="7" t="n">
        <v>807</v>
      </c>
      <c r="M1070" s="8" t="n">
        <v>-1607</v>
      </c>
      <c r="N1070" s="8" t="n">
        <v>-4001</v>
      </c>
      <c r="O1070" s="9" t="n">
        <v>6447</v>
      </c>
      <c r="P1070" s="10" t="n">
        <v>-1169</v>
      </c>
      <c r="Q1070" s="10" t="n">
        <v>-2475</v>
      </c>
      <c r="R1070" s="7" t="n">
        <v>5385</v>
      </c>
      <c r="S1070" s="8" t="n">
        <v>-1303</v>
      </c>
      <c r="T1070" s="8" t="n">
        <v>-17927</v>
      </c>
      <c r="U1070" s="9" t="n">
        <v>5560</v>
      </c>
      <c r="V1070" s="10" t="n">
        <v>-1683</v>
      </c>
      <c r="W1070" s="10" t="n">
        <v>-1958</v>
      </c>
      <c r="X1070" s="7" t="n">
        <v>7625</v>
      </c>
      <c r="Y1070" s="8" t="n">
        <v>-845</v>
      </c>
      <c r="Z1070" s="8" t="n">
        <v>-2320</v>
      </c>
      <c r="AA1070" s="9" t="n">
        <v>6228</v>
      </c>
      <c r="AB1070" s="10" t="n">
        <v>-1563</v>
      </c>
      <c r="AC1070" s="10" t="n">
        <v>-1138</v>
      </c>
      <c r="AD1070" s="7" t="n">
        <v>5367</v>
      </c>
      <c r="AE1070" s="8" t="n">
        <v>-1353</v>
      </c>
      <c r="AF1070" s="8" t="n">
        <v>-7691</v>
      </c>
      <c r="AG1070" s="9" t="n">
        <v>5658</v>
      </c>
      <c r="AH1070" s="10" t="n">
        <v>-1013</v>
      </c>
      <c r="AI1070" s="10" t="n">
        <v>-864</v>
      </c>
      <c r="AJ1070" s="11" t="n">
        <v>5439</v>
      </c>
      <c r="AK1070" s="12" t="n">
        <v>-238</v>
      </c>
      <c r="AL1070" s="12" t="n">
        <v>-287</v>
      </c>
      <c r="AM1070" s="13" t="n">
        <v>-3.9</v>
      </c>
      <c r="AN1070" s="13" t="n">
        <v>-28.7</v>
      </c>
      <c r="AO1070" s="13" t="n">
        <v>76.5</v>
      </c>
      <c r="AP1070" s="13" t="n">
        <v>71.8</v>
      </c>
    </row>
    <row r="1071">
      <c r="A1071" s="5" t="inlineStr">
        <is>
          <t>NHN KCP</t>
        </is>
      </c>
      <c r="B1071" s="6" t="inlineStr">
        <is>
          <t>060250</t>
        </is>
      </c>
      <c r="C1071" s="6" t="inlineStr">
        <is>
          <t>연결</t>
        </is>
      </c>
      <c r="D1071" s="6" t="inlineStr">
        <is>
          <t>2026Q2</t>
        </is>
      </c>
      <c r="E1071" s="6" t="inlineStr">
        <is>
          <t>2023Q4</t>
        </is>
      </c>
      <c r="F1071" s="14" t="n">
        <v>268357</v>
      </c>
      <c r="G1071" s="15" t="n">
        <v>12394</v>
      </c>
      <c r="H1071" s="15" t="n">
        <v>8266</v>
      </c>
      <c r="I1071" s="9" t="n">
        <v>268164</v>
      </c>
      <c r="J1071" s="10" t="n">
        <v>11164</v>
      </c>
      <c r="K1071" s="10" t="n">
        <v>12553</v>
      </c>
      <c r="L1071" s="7" t="n">
        <v>275927</v>
      </c>
      <c r="M1071" s="8" t="n">
        <v>11652</v>
      </c>
      <c r="N1071" s="8" t="n">
        <v>11518</v>
      </c>
      <c r="O1071" s="9" t="n">
        <v>272446</v>
      </c>
      <c r="P1071" s="10" t="n">
        <v>8786</v>
      </c>
      <c r="Q1071" s="10" t="n">
        <v>8045</v>
      </c>
      <c r="R1071" s="7" t="n">
        <v>288789</v>
      </c>
      <c r="S1071" s="8" t="n">
        <v>12180</v>
      </c>
      <c r="T1071" s="8" t="n">
        <v>13141</v>
      </c>
      <c r="U1071" s="9" t="n">
        <v>281071</v>
      </c>
      <c r="V1071" s="10" t="n">
        <v>10907</v>
      </c>
      <c r="W1071" s="10" t="n">
        <v>9945</v>
      </c>
      <c r="X1071" s="7" t="n">
        <v>300662</v>
      </c>
      <c r="Y1071" s="8" t="n">
        <v>12370</v>
      </c>
      <c r="Z1071" s="8" t="n">
        <v>9543</v>
      </c>
      <c r="AA1071" s="9" t="n">
        <v>317512</v>
      </c>
      <c r="AB1071" s="10" t="n">
        <v>15763</v>
      </c>
      <c r="AC1071" s="10" t="n">
        <v>13757</v>
      </c>
      <c r="AD1071" s="7" t="n">
        <v>335638</v>
      </c>
      <c r="AE1071" s="8" t="n">
        <v>15648</v>
      </c>
      <c r="AF1071" s="8" t="n">
        <v>12533</v>
      </c>
      <c r="AG1071" s="9" t="n">
        <v>344860</v>
      </c>
      <c r="AH1071" s="10" t="n">
        <v>13784</v>
      </c>
      <c r="AI1071" s="10" t="n">
        <v>16190</v>
      </c>
      <c r="AJ1071" s="11" t="n">
        <v>383375</v>
      </c>
      <c r="AK1071" s="12" t="n">
        <v>15441</v>
      </c>
      <c r="AL1071" s="12" t="n">
        <v>12973</v>
      </c>
      <c r="AM1071" s="13" t="n">
        <v>11.2</v>
      </c>
      <c r="AN1071" s="13" t="n">
        <v>27.5</v>
      </c>
      <c r="AO1071" s="13" t="n">
        <v>12</v>
      </c>
      <c r="AP1071" s="13" t="n">
        <v>24.8</v>
      </c>
    </row>
    <row r="1072">
      <c r="A1072" s="5" t="inlineStr">
        <is>
          <t>뉴보텍</t>
        </is>
      </c>
      <c r="B1072" s="6" t="inlineStr">
        <is>
          <t>060260</t>
        </is>
      </c>
      <c r="C1072" s="6" t="inlineStr">
        <is>
          <t>별도</t>
        </is>
      </c>
      <c r="D1072" s="6" t="inlineStr">
        <is>
          <t>2026Q2</t>
        </is>
      </c>
      <c r="E1072" s="6" t="inlineStr"/>
      <c r="F1072" s="7" t="inlineStr"/>
      <c r="G1072" s="8" t="inlineStr"/>
      <c r="H1072" s="8" t="inlineStr"/>
      <c r="I1072" s="9" t="n">
        <v>11403</v>
      </c>
      <c r="J1072" s="10" t="n">
        <v>497</v>
      </c>
      <c r="K1072" s="10" t="n">
        <v>647</v>
      </c>
      <c r="L1072" s="7" t="n">
        <v>10345</v>
      </c>
      <c r="M1072" s="8" t="n">
        <v>654</v>
      </c>
      <c r="N1072" s="8" t="n">
        <v>420</v>
      </c>
      <c r="O1072" s="9" t="n">
        <v>7766</v>
      </c>
      <c r="P1072" s="10" t="n">
        <v>1202</v>
      </c>
      <c r="Q1072" s="10" t="n">
        <v>992</v>
      </c>
      <c r="R1072" s="7" t="n">
        <v>13851</v>
      </c>
      <c r="S1072" s="8" t="n">
        <v>286</v>
      </c>
      <c r="T1072" s="8" t="n">
        <v>-764</v>
      </c>
      <c r="U1072" s="9" t="n">
        <v>11860</v>
      </c>
      <c r="V1072" s="10" t="n">
        <v>222</v>
      </c>
      <c r="W1072" s="10" t="n">
        <v>79</v>
      </c>
      <c r="X1072" s="7" t="n">
        <v>9674</v>
      </c>
      <c r="Y1072" s="8" t="n">
        <v>210</v>
      </c>
      <c r="Z1072" s="8" t="n">
        <v>399</v>
      </c>
      <c r="AA1072" s="9" t="n">
        <v>7696</v>
      </c>
      <c r="AB1072" s="10" t="n">
        <v>-615</v>
      </c>
      <c r="AC1072" s="10" t="n">
        <v>-296</v>
      </c>
      <c r="AD1072" s="7" t="n">
        <v>14250</v>
      </c>
      <c r="AE1072" s="8" t="n">
        <v>1482</v>
      </c>
      <c r="AF1072" s="8" t="n">
        <v>1697</v>
      </c>
      <c r="AG1072" s="9" t="n">
        <v>11426</v>
      </c>
      <c r="AH1072" s="10" t="n">
        <v>299</v>
      </c>
      <c r="AI1072" s="10" t="n">
        <v>507</v>
      </c>
      <c r="AJ1072" s="11" t="n">
        <v>10392</v>
      </c>
      <c r="AK1072" s="12" t="n">
        <v>179</v>
      </c>
      <c r="AL1072" s="12" t="n">
        <v>206</v>
      </c>
      <c r="AM1072" s="13" t="n">
        <v>-9</v>
      </c>
      <c r="AN1072" s="13" t="n">
        <v>7.4</v>
      </c>
      <c r="AO1072" s="13" t="n">
        <v>-40.1</v>
      </c>
      <c r="AP1072" s="13" t="n">
        <v>-14.8</v>
      </c>
    </row>
    <row r="1073">
      <c r="A1073" s="5" t="inlineStr">
        <is>
          <t>큐렉소</t>
        </is>
      </c>
      <c r="B1073" s="6" t="inlineStr">
        <is>
          <t>060280</t>
        </is>
      </c>
      <c r="C1073" s="6" t="inlineStr">
        <is>
          <t>연결</t>
        </is>
      </c>
      <c r="D1073" s="6" t="inlineStr">
        <is>
          <t>2026Q2</t>
        </is>
      </c>
      <c r="E1073" s="6" t="inlineStr"/>
      <c r="F1073" s="7" t="inlineStr"/>
      <c r="G1073" s="8" t="inlineStr"/>
      <c r="H1073" s="8" t="inlineStr"/>
      <c r="I1073" s="9" t="n">
        <v>13942</v>
      </c>
      <c r="J1073" s="10" t="n">
        <v>-1645</v>
      </c>
      <c r="K1073" s="10" t="n">
        <v>-371</v>
      </c>
      <c r="L1073" s="7" t="n">
        <v>13513</v>
      </c>
      <c r="M1073" s="8" t="n">
        <v>-1287</v>
      </c>
      <c r="N1073" s="8" t="n">
        <v>-1441</v>
      </c>
      <c r="O1073" s="9" t="n">
        <v>13240</v>
      </c>
      <c r="P1073" s="10" t="n">
        <v>-1417</v>
      </c>
      <c r="Q1073" s="10" t="n">
        <v>-1566</v>
      </c>
      <c r="R1073" s="7" t="n">
        <v>14836</v>
      </c>
      <c r="S1073" s="8" t="n">
        <v>-1473</v>
      </c>
      <c r="T1073" s="8" t="n">
        <v>-5380</v>
      </c>
      <c r="U1073" s="9" t="n">
        <v>19709</v>
      </c>
      <c r="V1073" s="10" t="n">
        <v>843</v>
      </c>
      <c r="W1073" s="10" t="n">
        <v>1093</v>
      </c>
      <c r="X1073" s="7" t="n">
        <v>16795</v>
      </c>
      <c r="Y1073" s="8" t="n">
        <v>-205</v>
      </c>
      <c r="Z1073" s="8" t="n">
        <v>-890</v>
      </c>
      <c r="AA1073" s="9" t="n">
        <v>17228</v>
      </c>
      <c r="AB1073" s="10" t="n">
        <v>341</v>
      </c>
      <c r="AC1073" s="10" t="n">
        <v>823</v>
      </c>
      <c r="AD1073" s="7" t="n">
        <v>20800</v>
      </c>
      <c r="AE1073" s="8" t="n">
        <v>1383</v>
      </c>
      <c r="AF1073" s="8" t="n">
        <v>1745</v>
      </c>
      <c r="AG1073" s="9" t="n">
        <v>16095</v>
      </c>
      <c r="AH1073" s="10" t="n">
        <v>-913</v>
      </c>
      <c r="AI1073" s="10" t="n">
        <v>458</v>
      </c>
      <c r="AJ1073" s="11" t="n">
        <v>23618</v>
      </c>
      <c r="AK1073" s="12" t="n">
        <v>2436</v>
      </c>
      <c r="AL1073" s="12" t="n">
        <v>2485</v>
      </c>
      <c r="AM1073" s="13" t="n">
        <v>46.7</v>
      </c>
      <c r="AN1073" s="13" t="n">
        <v>40.6</v>
      </c>
      <c r="AO1073" s="13" t="n">
        <v>366.8</v>
      </c>
      <c r="AP1073" s="13" t="n">
        <v>1288.3</v>
      </c>
    </row>
    <row r="1074">
      <c r="A1074" s="5" t="inlineStr">
        <is>
          <t>3S</t>
        </is>
      </c>
      <c r="B1074" s="6" t="inlineStr">
        <is>
          <t>060310</t>
        </is>
      </c>
      <c r="C1074" s="6" t="inlineStr">
        <is>
          <t>연결</t>
        </is>
      </c>
      <c r="D1074" s="6" t="inlineStr">
        <is>
          <t>2026Q1</t>
        </is>
      </c>
      <c r="E1074" s="6" t="inlineStr"/>
      <c r="F1074" s="7" t="inlineStr"/>
      <c r="G1074" s="8" t="inlineStr"/>
      <c r="H1074" s="8" t="inlineStr"/>
      <c r="I1074" s="9" t="n">
        <v>5356</v>
      </c>
      <c r="J1074" s="10" t="n">
        <v>-407</v>
      </c>
      <c r="K1074" s="10" t="n">
        <v>-652</v>
      </c>
      <c r="L1074" s="7" t="n">
        <v>6482</v>
      </c>
      <c r="M1074" s="8" t="n">
        <v>-384</v>
      </c>
      <c r="N1074" s="8" t="n">
        <v>-815</v>
      </c>
      <c r="O1074" s="9" t="n">
        <v>6469</v>
      </c>
      <c r="P1074" s="10" t="n">
        <v>-141</v>
      </c>
      <c r="Q1074" s="10" t="n">
        <v>-134</v>
      </c>
      <c r="R1074" s="7" t="n">
        <v>25288</v>
      </c>
      <c r="S1074" s="8" t="n">
        <v>2096</v>
      </c>
      <c r="T1074" s="8" t="n">
        <v>4206</v>
      </c>
      <c r="U1074" s="9" t="n">
        <v>9871</v>
      </c>
      <c r="V1074" s="10" t="n">
        <v>249</v>
      </c>
      <c r="W1074" s="10" t="n">
        <v>36</v>
      </c>
      <c r="X1074" s="7" t="n">
        <v>5952</v>
      </c>
      <c r="Y1074" s="8" t="n">
        <v>-2682</v>
      </c>
      <c r="Z1074" s="8" t="n">
        <v>-2116</v>
      </c>
      <c r="AA1074" s="9" t="n">
        <v>5431</v>
      </c>
      <c r="AB1074" s="10" t="n">
        <v>-1058</v>
      </c>
      <c r="AC1074" s="10" t="n">
        <v>-1232</v>
      </c>
      <c r="AD1074" s="7" t="n">
        <v>7768</v>
      </c>
      <c r="AE1074" s="8" t="n">
        <v>-2340</v>
      </c>
      <c r="AF1074" s="8" t="n">
        <v>-6695</v>
      </c>
      <c r="AG1074" s="9" t="n">
        <v>5575</v>
      </c>
      <c r="AH1074" s="10" t="n">
        <v>6</v>
      </c>
      <c r="AI1074" s="10" t="n">
        <v>-493</v>
      </c>
      <c r="AJ1074" s="11" t="inlineStr"/>
      <c r="AK1074" s="12" t="inlineStr"/>
      <c r="AL1074" s="12" t="inlineStr"/>
      <c r="AM1074" s="13" t="inlineStr"/>
      <c r="AN1074" s="13" t="inlineStr"/>
      <c r="AO1074" s="13" t="inlineStr"/>
      <c r="AP1074" s="13" t="inlineStr"/>
    </row>
    <row r="1075">
      <c r="A1075" s="5" t="inlineStr">
        <is>
          <t>LS마린솔루션</t>
        </is>
      </c>
      <c r="B1075" s="6" t="inlineStr">
        <is>
          <t>060370</t>
        </is>
      </c>
      <c r="C1075" s="6" t="inlineStr">
        <is>
          <t>연결</t>
        </is>
      </c>
      <c r="D1075" s="6" t="inlineStr">
        <is>
          <t>2026Q2</t>
        </is>
      </c>
      <c r="E1075" s="6" t="inlineStr">
        <is>
          <t>2023Q4</t>
        </is>
      </c>
      <c r="F1075" s="14" t="n">
        <v>24172</v>
      </c>
      <c r="G1075" s="15" t="n">
        <v>1990</v>
      </c>
      <c r="H1075" s="15" t="n">
        <v>1768</v>
      </c>
      <c r="I1075" s="9" t="n">
        <v>13676</v>
      </c>
      <c r="J1075" s="10" t="n">
        <v>-2841</v>
      </c>
      <c r="K1075" s="10" t="n">
        <v>-1867</v>
      </c>
      <c r="L1075" s="7" t="n">
        <v>38367</v>
      </c>
      <c r="M1075" s="8" t="n">
        <v>5949</v>
      </c>
      <c r="N1075" s="8" t="n">
        <v>5688</v>
      </c>
      <c r="O1075" s="9" t="n">
        <v>37358</v>
      </c>
      <c r="P1075" s="10" t="n">
        <v>7232</v>
      </c>
      <c r="Q1075" s="10" t="n">
        <v>5766</v>
      </c>
      <c r="R1075" s="7" t="n">
        <v>40878</v>
      </c>
      <c r="S1075" s="8" t="n">
        <v>2053</v>
      </c>
      <c r="T1075" s="8" t="n">
        <v>3616</v>
      </c>
      <c r="U1075" s="9" t="n">
        <v>44480</v>
      </c>
      <c r="V1075" s="10" t="n">
        <v>3019</v>
      </c>
      <c r="W1075" s="10" t="n">
        <v>2681</v>
      </c>
      <c r="X1075" s="7" t="n">
        <v>66987</v>
      </c>
      <c r="Y1075" s="8" t="n">
        <v>3416</v>
      </c>
      <c r="Z1075" s="8" t="n">
        <v>1447</v>
      </c>
      <c r="AA1075" s="9" t="n">
        <v>76973</v>
      </c>
      <c r="AB1075" s="10" t="n">
        <v>2053</v>
      </c>
      <c r="AC1075" s="10" t="n">
        <v>3219</v>
      </c>
      <c r="AD1075" s="7" t="n">
        <v>55765</v>
      </c>
      <c r="AE1075" s="8" t="n">
        <v>-1479</v>
      </c>
      <c r="AF1075" s="8" t="n">
        <v>1009</v>
      </c>
      <c r="AG1075" s="9" t="n">
        <v>52794</v>
      </c>
      <c r="AH1075" s="10" t="n">
        <v>4215</v>
      </c>
      <c r="AI1075" s="10" t="n">
        <v>6107</v>
      </c>
      <c r="AJ1075" s="11" t="n">
        <v>95440</v>
      </c>
      <c r="AK1075" s="12" t="n">
        <v>6122</v>
      </c>
      <c r="AL1075" s="12" t="n">
        <v>6976</v>
      </c>
      <c r="AM1075" s="13" t="n">
        <v>80.8</v>
      </c>
      <c r="AN1075" s="13" t="n">
        <v>42.5</v>
      </c>
      <c r="AO1075" s="13" t="n">
        <v>45.2</v>
      </c>
      <c r="AP1075" s="13" t="n">
        <v>79.2</v>
      </c>
    </row>
    <row r="1076">
      <c r="A1076" s="5" t="inlineStr">
        <is>
          <t>동양에스텍</t>
        </is>
      </c>
      <c r="B1076" s="6" t="inlineStr">
        <is>
          <t>060380</t>
        </is>
      </c>
      <c r="C1076" s="6" t="inlineStr">
        <is>
          <t>연결</t>
        </is>
      </c>
      <c r="D1076" s="6" t="inlineStr">
        <is>
          <t>2026Q2</t>
        </is>
      </c>
      <c r="E1076" s="6" t="inlineStr"/>
      <c r="F1076" s="7" t="inlineStr"/>
      <c r="G1076" s="8" t="inlineStr"/>
      <c r="H1076" s="8" t="inlineStr"/>
      <c r="I1076" s="9" t="n">
        <v>46985</v>
      </c>
      <c r="J1076" s="10" t="n">
        <v>1184</v>
      </c>
      <c r="K1076" s="10" t="n">
        <v>596</v>
      </c>
      <c r="L1076" s="7" t="n">
        <v>48460</v>
      </c>
      <c r="M1076" s="8" t="n">
        <v>81</v>
      </c>
      <c r="N1076" s="8" t="n">
        <v>27</v>
      </c>
      <c r="O1076" s="9" t="n">
        <v>45202</v>
      </c>
      <c r="P1076" s="10" t="n">
        <v>608</v>
      </c>
      <c r="Q1076" s="10" t="n">
        <v>792</v>
      </c>
      <c r="R1076" s="7" t="n">
        <v>50393</v>
      </c>
      <c r="S1076" s="8" t="n">
        <v>1281</v>
      </c>
      <c r="T1076" s="8" t="n">
        <v>1612</v>
      </c>
      <c r="U1076" s="9" t="n">
        <v>43285</v>
      </c>
      <c r="V1076" s="10" t="n">
        <v>490</v>
      </c>
      <c r="W1076" s="10" t="n">
        <v>868</v>
      </c>
      <c r="X1076" s="7" t="n">
        <v>47948</v>
      </c>
      <c r="Y1076" s="8" t="n">
        <v>454</v>
      </c>
      <c r="Z1076" s="8" t="n">
        <v>327</v>
      </c>
      <c r="AA1076" s="9" t="n">
        <v>55012</v>
      </c>
      <c r="AB1076" s="10" t="n">
        <v>949</v>
      </c>
      <c r="AC1076" s="10" t="n">
        <v>727</v>
      </c>
      <c r="AD1076" s="7" t="n">
        <v>51575</v>
      </c>
      <c r="AE1076" s="8" t="n">
        <v>-80</v>
      </c>
      <c r="AF1076" s="8" t="n">
        <v>37</v>
      </c>
      <c r="AG1076" s="9" t="n">
        <v>51500</v>
      </c>
      <c r="AH1076" s="10" t="n">
        <v>13</v>
      </c>
      <c r="AI1076" s="10" t="n">
        <v>132</v>
      </c>
      <c r="AJ1076" s="11" t="n">
        <v>60949</v>
      </c>
      <c r="AK1076" s="12" t="n">
        <v>2539</v>
      </c>
      <c r="AL1076" s="12" t="n">
        <v>2376</v>
      </c>
      <c r="AM1076" s="13" t="n">
        <v>18.3</v>
      </c>
      <c r="AN1076" s="13" t="n">
        <v>27.1</v>
      </c>
      <c r="AO1076" s="13" t="n">
        <v>19430.8</v>
      </c>
      <c r="AP1076" s="13" t="n">
        <v>459.3</v>
      </c>
    </row>
    <row r="1077">
      <c r="A1077" s="5" t="inlineStr">
        <is>
          <t>국일신동</t>
        </is>
      </c>
      <c r="B1077" s="6" t="inlineStr">
        <is>
          <t>060480</t>
        </is>
      </c>
      <c r="C1077" s="6" t="inlineStr">
        <is>
          <t>별도</t>
        </is>
      </c>
      <c r="D1077" s="6" t="inlineStr">
        <is>
          <t>2026Q2</t>
        </is>
      </c>
      <c r="E1077" s="6" t="inlineStr"/>
      <c r="F1077" s="7" t="inlineStr"/>
      <c r="G1077" s="8" t="inlineStr"/>
      <c r="H1077" s="8" t="inlineStr"/>
      <c r="I1077" s="9" t="n">
        <v>9537</v>
      </c>
      <c r="J1077" s="10" t="n">
        <v>-308</v>
      </c>
      <c r="K1077" s="10" t="n">
        <v>-200</v>
      </c>
      <c r="L1077" s="7" t="n">
        <v>10805</v>
      </c>
      <c r="M1077" s="8" t="n">
        <v>-429</v>
      </c>
      <c r="N1077" s="8" t="n">
        <v>-233</v>
      </c>
      <c r="O1077" s="9" t="n">
        <v>4276</v>
      </c>
      <c r="P1077" s="10" t="n">
        <v>-671</v>
      </c>
      <c r="Q1077" s="10" t="n">
        <v>-495</v>
      </c>
      <c r="R1077" s="7" t="n">
        <v>6780</v>
      </c>
      <c r="S1077" s="8" t="n">
        <v>-288</v>
      </c>
      <c r="T1077" s="8" t="n">
        <v>-2425</v>
      </c>
      <c r="U1077" s="9" t="n">
        <v>9425</v>
      </c>
      <c r="V1077" s="10" t="n">
        <v>-4</v>
      </c>
      <c r="W1077" s="10" t="n">
        <v>110</v>
      </c>
      <c r="X1077" s="7" t="n">
        <v>6922</v>
      </c>
      <c r="Y1077" s="8" t="n">
        <v>-353</v>
      </c>
      <c r="Z1077" s="8" t="n">
        <v>-330</v>
      </c>
      <c r="AA1077" s="9" t="n">
        <v>7368</v>
      </c>
      <c r="AB1077" s="10" t="n">
        <v>-315</v>
      </c>
      <c r="AC1077" s="10" t="n">
        <v>-135</v>
      </c>
      <c r="AD1077" s="7" t="n">
        <v>12571</v>
      </c>
      <c r="AE1077" s="8" t="n">
        <v>462</v>
      </c>
      <c r="AF1077" s="8" t="n">
        <v>452</v>
      </c>
      <c r="AG1077" s="9" t="n">
        <v>9127</v>
      </c>
      <c r="AH1077" s="10" t="n">
        <v>352</v>
      </c>
      <c r="AI1077" s="10" t="n">
        <v>254</v>
      </c>
      <c r="AJ1077" s="11" t="n">
        <v>10182</v>
      </c>
      <c r="AK1077" s="12" t="n">
        <v>182</v>
      </c>
      <c r="AL1077" s="12" t="n">
        <v>407</v>
      </c>
      <c r="AM1077" s="13" t="n">
        <v>11.6</v>
      </c>
      <c r="AN1077" s="13" t="n">
        <v>47.1</v>
      </c>
      <c r="AO1077" s="13" t="n">
        <v>-48.3</v>
      </c>
      <c r="AP1077" s="13" t="n">
        <v>151.6</v>
      </c>
    </row>
    <row r="1078">
      <c r="A1078" s="5" t="inlineStr">
        <is>
          <t>에스에이티</t>
        </is>
      </c>
      <c r="B1078" s="6" t="inlineStr">
        <is>
          <t>060540</t>
        </is>
      </c>
      <c r="C1078" s="6" t="inlineStr">
        <is>
          <t>연결</t>
        </is>
      </c>
      <c r="D1078" s="6" t="inlineStr">
        <is>
          <t>2026Q2</t>
        </is>
      </c>
      <c r="E1078" s="6" t="inlineStr"/>
      <c r="F1078" s="7" t="inlineStr"/>
      <c r="G1078" s="8" t="inlineStr"/>
      <c r="H1078" s="8" t="inlineStr"/>
      <c r="I1078" s="9" t="n">
        <v>39265</v>
      </c>
      <c r="J1078" s="10" t="n">
        <v>1166</v>
      </c>
      <c r="K1078" s="10" t="n">
        <v>1051</v>
      </c>
      <c r="L1078" s="7" t="n">
        <v>35170</v>
      </c>
      <c r="M1078" s="8" t="n">
        <v>-782</v>
      </c>
      <c r="N1078" s="8" t="n">
        <v>-1038</v>
      </c>
      <c r="O1078" s="9" t="n">
        <v>34125</v>
      </c>
      <c r="P1078" s="10" t="n">
        <v>-1060</v>
      </c>
      <c r="Q1078" s="10" t="n">
        <v>-2091</v>
      </c>
      <c r="R1078" s="7" t="n">
        <v>46517</v>
      </c>
      <c r="S1078" s="8" t="n">
        <v>4028</v>
      </c>
      <c r="T1078" s="8" t="n">
        <v>4174</v>
      </c>
      <c r="U1078" s="9" t="n">
        <v>35488</v>
      </c>
      <c r="V1078" s="10" t="n">
        <v>-920</v>
      </c>
      <c r="W1078" s="10" t="n">
        <v>-1543</v>
      </c>
      <c r="X1078" s="7" t="n">
        <v>35216</v>
      </c>
      <c r="Y1078" s="8" t="n">
        <v>-181</v>
      </c>
      <c r="Z1078" s="8" t="n">
        <v>-2725</v>
      </c>
      <c r="AA1078" s="9" t="n">
        <v>41132</v>
      </c>
      <c r="AB1078" s="10" t="n">
        <v>1866</v>
      </c>
      <c r="AC1078" s="10" t="n">
        <v>2013</v>
      </c>
      <c r="AD1078" s="7" t="n">
        <v>47897</v>
      </c>
      <c r="AE1078" s="8" t="n">
        <v>3146</v>
      </c>
      <c r="AF1078" s="8" t="n">
        <v>2731</v>
      </c>
      <c r="AG1078" s="9" t="n">
        <v>42172</v>
      </c>
      <c r="AH1078" s="10" t="n">
        <v>1228</v>
      </c>
      <c r="AI1078" s="10" t="n">
        <v>1728</v>
      </c>
      <c r="AJ1078" s="11" t="n">
        <v>48576</v>
      </c>
      <c r="AK1078" s="12" t="n">
        <v>2037</v>
      </c>
      <c r="AL1078" s="12" t="n">
        <v>1843</v>
      </c>
      <c r="AM1078" s="13" t="n">
        <v>15.2</v>
      </c>
      <c r="AN1078" s="13" t="n">
        <v>37.9</v>
      </c>
      <c r="AO1078" s="13" t="n">
        <v>65.90000000000001</v>
      </c>
      <c r="AP1078" s="13" t="n">
        <v>1225.4</v>
      </c>
    </row>
    <row r="1079">
      <c r="A1079" s="5" t="inlineStr">
        <is>
          <t>HC홈센타</t>
        </is>
      </c>
      <c r="B1079" s="6" t="inlineStr">
        <is>
          <t>060560</t>
        </is>
      </c>
      <c r="C1079" s="6" t="inlineStr">
        <is>
          <t>연결</t>
        </is>
      </c>
      <c r="D1079" s="6" t="inlineStr">
        <is>
          <t>2026Q2</t>
        </is>
      </c>
      <c r="E1079" s="6" t="inlineStr"/>
      <c r="F1079" s="7" t="inlineStr"/>
      <c r="G1079" s="8" t="inlineStr"/>
      <c r="H1079" s="8" t="inlineStr"/>
      <c r="I1079" s="9" t="n">
        <v>89832</v>
      </c>
      <c r="J1079" s="10" t="n">
        <v>3310</v>
      </c>
      <c r="K1079" s="10" t="n">
        <v>3152</v>
      </c>
      <c r="L1079" s="7" t="n">
        <v>103649</v>
      </c>
      <c r="M1079" s="8" t="n">
        <v>7000</v>
      </c>
      <c r="N1079" s="8" t="n">
        <v>9394</v>
      </c>
      <c r="O1079" s="9" t="n">
        <v>87103</v>
      </c>
      <c r="P1079" s="10" t="n">
        <v>1591</v>
      </c>
      <c r="Q1079" s="10" t="n">
        <v>-754</v>
      </c>
      <c r="R1079" s="7" t="n">
        <v>88455</v>
      </c>
      <c r="S1079" s="8" t="n">
        <v>411</v>
      </c>
      <c r="T1079" s="8" t="n">
        <v>-5994</v>
      </c>
      <c r="U1079" s="9" t="n">
        <v>69168</v>
      </c>
      <c r="V1079" s="10" t="n">
        <v>-4976</v>
      </c>
      <c r="W1079" s="10" t="n">
        <v>939</v>
      </c>
      <c r="X1079" s="7" t="n">
        <v>74575</v>
      </c>
      <c r="Y1079" s="8" t="n">
        <v>-3010</v>
      </c>
      <c r="Z1079" s="8" t="n">
        <v>3662</v>
      </c>
      <c r="AA1079" s="9" t="n">
        <v>72904</v>
      </c>
      <c r="AB1079" s="10" t="n">
        <v>-5191</v>
      </c>
      <c r="AC1079" s="10" t="n">
        <v>-5922</v>
      </c>
      <c r="AD1079" s="7" t="n">
        <v>82177</v>
      </c>
      <c r="AE1079" s="8" t="n">
        <v>-5337</v>
      </c>
      <c r="AF1079" s="8" t="n">
        <v>-22523</v>
      </c>
      <c r="AG1079" s="9" t="n">
        <v>68319</v>
      </c>
      <c r="AH1079" s="10" t="n">
        <v>-5918</v>
      </c>
      <c r="AI1079" s="10" t="n">
        <v>-5461</v>
      </c>
      <c r="AJ1079" s="11" t="n">
        <v>85144</v>
      </c>
      <c r="AK1079" s="12" t="n">
        <v>-1956</v>
      </c>
      <c r="AL1079" s="12" t="n">
        <v>-1250</v>
      </c>
      <c r="AM1079" s="13" t="n">
        <v>24.6</v>
      </c>
      <c r="AN1079" s="13" t="n">
        <v>14.2</v>
      </c>
      <c r="AO1079" s="13" t="n">
        <v>66.90000000000001</v>
      </c>
      <c r="AP1079" s="13" t="n">
        <v>35</v>
      </c>
    </row>
    <row r="1080">
      <c r="A1080" s="5" t="inlineStr">
        <is>
          <t>드림어스컴퍼니</t>
        </is>
      </c>
      <c r="B1080" s="6" t="inlineStr">
        <is>
          <t>060570</t>
        </is>
      </c>
      <c r="C1080" s="6" t="inlineStr">
        <is>
          <t>연결</t>
        </is>
      </c>
      <c r="D1080" s="6" t="inlineStr">
        <is>
          <t>2026Q2</t>
        </is>
      </c>
      <c r="E1080" s="6" t="inlineStr">
        <is>
          <t>2023Q4</t>
        </is>
      </c>
      <c r="F1080" s="14" t="n">
        <v>270331</v>
      </c>
      <c r="G1080" s="15" t="n">
        <v>-3494</v>
      </c>
      <c r="H1080" s="15" t="n">
        <v>-2194</v>
      </c>
      <c r="I1080" s="9" t="n">
        <v>63185</v>
      </c>
      <c r="J1080" s="10" t="n">
        <v>-1961</v>
      </c>
      <c r="K1080" s="10" t="n">
        <v>-1012</v>
      </c>
      <c r="L1080" s="7" t="n">
        <v>57808</v>
      </c>
      <c r="M1080" s="8" t="n">
        <v>-2434</v>
      </c>
      <c r="N1080" s="8" t="n">
        <v>-3151</v>
      </c>
      <c r="O1080" s="9" t="n">
        <v>75024</v>
      </c>
      <c r="P1080" s="10" t="n">
        <v>1782</v>
      </c>
      <c r="Q1080" s="10" t="n">
        <v>1893</v>
      </c>
      <c r="R1080" s="7" t="n">
        <v>29046</v>
      </c>
      <c r="S1080" s="8" t="n">
        <v>-541</v>
      </c>
      <c r="T1080" s="8" t="n">
        <v>-15503</v>
      </c>
      <c r="U1080" s="9" t="n">
        <v>53847</v>
      </c>
      <c r="V1080" s="10" t="n">
        <v>-403</v>
      </c>
      <c r="W1080" s="10" t="n">
        <v>5235</v>
      </c>
      <c r="X1080" s="7" t="n">
        <v>51111</v>
      </c>
      <c r="Y1080" s="8" t="n">
        <v>494</v>
      </c>
      <c r="Z1080" s="8" t="n">
        <v>-1923</v>
      </c>
      <c r="AA1080" s="9" t="n">
        <v>59009</v>
      </c>
      <c r="AB1080" s="10" t="n">
        <v>568</v>
      </c>
      <c r="AC1080" s="10" t="n">
        <v>493</v>
      </c>
      <c r="AD1080" s="7" t="n">
        <v>61030</v>
      </c>
      <c r="AE1080" s="8" t="n">
        <v>-66</v>
      </c>
      <c r="AF1080" s="8" t="n">
        <v>-1204</v>
      </c>
      <c r="AG1080" s="9" t="n">
        <v>48600</v>
      </c>
      <c r="AH1080" s="10" t="n">
        <v>145</v>
      </c>
      <c r="AI1080" s="10" t="n">
        <v>105</v>
      </c>
      <c r="AJ1080" s="11" t="n">
        <v>42753</v>
      </c>
      <c r="AK1080" s="12" t="n">
        <v>890</v>
      </c>
      <c r="AL1080" s="12" t="n">
        <v>1371</v>
      </c>
      <c r="AM1080" s="13" t="n">
        <v>-12</v>
      </c>
      <c r="AN1080" s="13" t="n">
        <v>-16.4</v>
      </c>
      <c r="AO1080" s="13" t="n">
        <v>513.8</v>
      </c>
      <c r="AP1080" s="13" t="n">
        <v>80.2</v>
      </c>
    </row>
    <row r="1081">
      <c r="A1081" s="5" t="inlineStr">
        <is>
          <t>씨티씨바이오</t>
        </is>
      </c>
      <c r="B1081" s="6" t="inlineStr">
        <is>
          <t>060590</t>
        </is>
      </c>
      <c r="C1081" s="6" t="inlineStr">
        <is>
          <t>연결</t>
        </is>
      </c>
      <c r="D1081" s="6" t="inlineStr">
        <is>
          <t>2026Q2</t>
        </is>
      </c>
      <c r="E1081" s="6" t="inlineStr"/>
      <c r="F1081" s="7" t="inlineStr"/>
      <c r="G1081" s="8" t="inlineStr"/>
      <c r="H1081" s="8" t="inlineStr"/>
      <c r="I1081" s="9" t="n">
        <v>33193</v>
      </c>
      <c r="J1081" s="10" t="n">
        <v>-1363</v>
      </c>
      <c r="K1081" s="10" t="n">
        <v>-284</v>
      </c>
      <c r="L1081" s="7" t="n">
        <v>34817</v>
      </c>
      <c r="M1081" s="8" t="n">
        <v>-355</v>
      </c>
      <c r="N1081" s="8" t="n">
        <v>-2255</v>
      </c>
      <c r="O1081" s="9" t="n">
        <v>35792</v>
      </c>
      <c r="P1081" s="10" t="n">
        <v>-3048</v>
      </c>
      <c r="Q1081" s="10" t="n">
        <v>-3184</v>
      </c>
      <c r="R1081" s="7" t="n">
        <v>40605</v>
      </c>
      <c r="S1081" s="8" t="n">
        <v>813</v>
      </c>
      <c r="T1081" s="8" t="n">
        <v>503</v>
      </c>
      <c r="U1081" s="9" t="n">
        <v>34097</v>
      </c>
      <c r="V1081" s="10" t="n">
        <v>916</v>
      </c>
      <c r="W1081" s="10" t="n">
        <v>635</v>
      </c>
      <c r="X1081" s="7" t="n">
        <v>35419</v>
      </c>
      <c r="Y1081" s="8" t="n">
        <v>2268</v>
      </c>
      <c r="Z1081" s="8" t="n">
        <v>1194</v>
      </c>
      <c r="AA1081" s="9" t="n">
        <v>31799</v>
      </c>
      <c r="AB1081" s="10" t="n">
        <v>1452</v>
      </c>
      <c r="AC1081" s="10" t="n">
        <v>310</v>
      </c>
      <c r="AD1081" s="7" t="n">
        <v>22454</v>
      </c>
      <c r="AE1081" s="8" t="n">
        <v>1614</v>
      </c>
      <c r="AF1081" s="8" t="n">
        <v>1102</v>
      </c>
      <c r="AG1081" s="9" t="n">
        <v>34438</v>
      </c>
      <c r="AH1081" s="10" t="n">
        <v>4598</v>
      </c>
      <c r="AI1081" s="10" t="n">
        <v>3500</v>
      </c>
      <c r="AJ1081" s="11" t="n">
        <v>33687</v>
      </c>
      <c r="AK1081" s="12" t="n">
        <v>3794</v>
      </c>
      <c r="AL1081" s="12" t="n">
        <v>2602</v>
      </c>
      <c r="AM1081" s="13" t="n">
        <v>-2.2</v>
      </c>
      <c r="AN1081" s="13" t="n">
        <v>-4.9</v>
      </c>
      <c r="AO1081" s="13" t="n">
        <v>-17.5</v>
      </c>
      <c r="AP1081" s="13" t="n">
        <v>67.3</v>
      </c>
    </row>
    <row r="1082">
      <c r="A1082" s="5" t="inlineStr">
        <is>
          <t>KH바텍</t>
        </is>
      </c>
      <c r="B1082" s="6" t="inlineStr">
        <is>
          <t>060720</t>
        </is>
      </c>
      <c r="C1082" s="6" t="inlineStr">
        <is>
          <t>연결</t>
        </is>
      </c>
      <c r="D1082" s="6" t="inlineStr">
        <is>
          <t>2026Q2</t>
        </is>
      </c>
      <c r="E1082" s="6" t="inlineStr"/>
      <c r="F1082" s="7" t="inlineStr"/>
      <c r="G1082" s="8" t="inlineStr"/>
      <c r="H1082" s="8" t="inlineStr"/>
      <c r="I1082" s="9" t="n">
        <v>54909</v>
      </c>
      <c r="J1082" s="10" t="n">
        <v>3191</v>
      </c>
      <c r="K1082" s="10" t="n">
        <v>3613</v>
      </c>
      <c r="L1082" s="7" t="n">
        <v>101569</v>
      </c>
      <c r="M1082" s="8" t="n">
        <v>8518</v>
      </c>
      <c r="N1082" s="8" t="n">
        <v>9140</v>
      </c>
      <c r="O1082" s="9" t="n">
        <v>92298</v>
      </c>
      <c r="P1082" s="10" t="n">
        <v>6920</v>
      </c>
      <c r="Q1082" s="10" t="n">
        <v>4375</v>
      </c>
      <c r="R1082" s="7" t="n">
        <v>62236</v>
      </c>
      <c r="S1082" s="8" t="n">
        <v>3229</v>
      </c>
      <c r="T1082" s="8" t="n">
        <v>4185</v>
      </c>
      <c r="U1082" s="9" t="n">
        <v>61517</v>
      </c>
      <c r="V1082" s="10" t="n">
        <v>3716</v>
      </c>
      <c r="W1082" s="10" t="n">
        <v>5219</v>
      </c>
      <c r="X1082" s="7" t="n">
        <v>136531</v>
      </c>
      <c r="Y1082" s="8" t="n">
        <v>11586</v>
      </c>
      <c r="Z1082" s="8" t="n">
        <v>2049</v>
      </c>
      <c r="AA1082" s="9" t="n">
        <v>168394</v>
      </c>
      <c r="AB1082" s="10" t="n">
        <v>14099</v>
      </c>
      <c r="AC1082" s="10" t="n">
        <v>11356</v>
      </c>
      <c r="AD1082" s="7" t="n">
        <v>58462</v>
      </c>
      <c r="AE1082" s="8" t="n">
        <v>2351</v>
      </c>
      <c r="AF1082" s="8" t="n">
        <v>1768</v>
      </c>
      <c r="AG1082" s="9" t="n">
        <v>55078</v>
      </c>
      <c r="AH1082" s="10" t="n">
        <v>1682</v>
      </c>
      <c r="AI1082" s="10" t="n">
        <v>293</v>
      </c>
      <c r="AJ1082" s="11" t="n">
        <v>103888</v>
      </c>
      <c r="AK1082" s="12" t="n">
        <v>4975</v>
      </c>
      <c r="AL1082" s="12" t="n">
        <v>3094</v>
      </c>
      <c r="AM1082" s="13" t="n">
        <v>88.59999999999999</v>
      </c>
      <c r="AN1082" s="13" t="n">
        <v>-23.9</v>
      </c>
      <c r="AO1082" s="13" t="n">
        <v>195.8</v>
      </c>
      <c r="AP1082" s="13" t="n">
        <v>-57.1</v>
      </c>
    </row>
    <row r="1083">
      <c r="A1083" s="5" t="inlineStr">
        <is>
          <t>영림원소프트랩</t>
        </is>
      </c>
      <c r="B1083" s="6" t="inlineStr">
        <is>
          <t>060850</t>
        </is>
      </c>
      <c r="C1083" s="6" t="inlineStr">
        <is>
          <t>연결</t>
        </is>
      </c>
      <c r="D1083" s="6" t="inlineStr">
        <is>
          <t>2026Q2</t>
        </is>
      </c>
      <c r="E1083" s="6" t="inlineStr"/>
      <c r="F1083" s="7" t="inlineStr"/>
      <c r="G1083" s="8" t="inlineStr"/>
      <c r="H1083" s="8" t="inlineStr"/>
      <c r="I1083" s="9" t="n">
        <v>12131</v>
      </c>
      <c r="J1083" s="10" t="n">
        <v>-847</v>
      </c>
      <c r="K1083" s="10" t="n">
        <v>-438</v>
      </c>
      <c r="L1083" s="7" t="n">
        <v>15093</v>
      </c>
      <c r="M1083" s="8" t="n">
        <v>360</v>
      </c>
      <c r="N1083" s="8" t="n">
        <v>562</v>
      </c>
      <c r="O1083" s="9" t="n">
        <v>18643</v>
      </c>
      <c r="P1083" s="10" t="n">
        <v>2249</v>
      </c>
      <c r="Q1083" s="10" t="n">
        <v>2503</v>
      </c>
      <c r="R1083" s="7" t="n">
        <v>16686</v>
      </c>
      <c r="S1083" s="8" t="n">
        <v>459</v>
      </c>
      <c r="T1083" s="8" t="n">
        <v>653</v>
      </c>
      <c r="U1083" s="9" t="n">
        <v>16572</v>
      </c>
      <c r="V1083" s="10" t="n">
        <v>73</v>
      </c>
      <c r="W1083" s="10" t="n">
        <v>147</v>
      </c>
      <c r="X1083" s="7" t="n">
        <v>19126</v>
      </c>
      <c r="Y1083" s="8" t="n">
        <v>1271</v>
      </c>
      <c r="Z1083" s="8" t="n">
        <v>2937</v>
      </c>
      <c r="AA1083" s="9" t="n">
        <v>20573</v>
      </c>
      <c r="AB1083" s="10" t="n">
        <v>1289</v>
      </c>
      <c r="AC1083" s="10" t="n">
        <v>3191</v>
      </c>
      <c r="AD1083" s="7" t="n">
        <v>23612</v>
      </c>
      <c r="AE1083" s="8" t="n">
        <v>1586</v>
      </c>
      <c r="AF1083" s="8" t="n">
        <v>102</v>
      </c>
      <c r="AG1083" s="9" t="n">
        <v>21913</v>
      </c>
      <c r="AH1083" s="10" t="n">
        <v>1798</v>
      </c>
      <c r="AI1083" s="10" t="n">
        <v>1939</v>
      </c>
      <c r="AJ1083" s="11" t="n">
        <v>19480</v>
      </c>
      <c r="AK1083" s="12" t="n">
        <v>-1627</v>
      </c>
      <c r="AL1083" s="12" t="n">
        <v>-2752</v>
      </c>
      <c r="AM1083" s="13" t="n">
        <v>-11.1</v>
      </c>
      <c r="AN1083" s="13" t="n">
        <v>1.9</v>
      </c>
      <c r="AO1083" s="13" t="n">
        <v>-190.5</v>
      </c>
      <c r="AP1083" s="13" t="n">
        <v>-228</v>
      </c>
    </row>
    <row r="1084">
      <c r="A1084" s="5" t="inlineStr">
        <is>
          <t>에이전트AI</t>
        </is>
      </c>
      <c r="B1084" s="6" t="inlineStr">
        <is>
          <t>060900</t>
        </is>
      </c>
      <c r="C1084" s="6" t="inlineStr">
        <is>
          <t>연결</t>
        </is>
      </c>
      <c r="D1084" s="6" t="inlineStr">
        <is>
          <t>2026Q2</t>
        </is>
      </c>
      <c r="E1084" s="6" t="inlineStr"/>
      <c r="F1084" s="7" t="inlineStr"/>
      <c r="G1084" s="8" t="inlineStr"/>
      <c r="H1084" s="8" t="inlineStr"/>
      <c r="I1084" s="9" t="n">
        <v>2485</v>
      </c>
      <c r="J1084" s="10" t="n">
        <v>-1489</v>
      </c>
      <c r="K1084" s="10" t="n">
        <v>-2424</v>
      </c>
      <c r="L1084" s="7" t="n">
        <v>4983</v>
      </c>
      <c r="M1084" s="8" t="n">
        <v>-379</v>
      </c>
      <c r="N1084" s="8" t="n">
        <v>-4922</v>
      </c>
      <c r="O1084" s="9" t="n">
        <v>2419</v>
      </c>
      <c r="P1084" s="10" t="n">
        <v>-920</v>
      </c>
      <c r="Q1084" s="10" t="n">
        <v>471</v>
      </c>
      <c r="R1084" s="7" t="n">
        <v>1909</v>
      </c>
      <c r="S1084" s="8" t="n">
        <v>-2218</v>
      </c>
      <c r="T1084" s="8" t="n">
        <v>-6646</v>
      </c>
      <c r="U1084" s="9" t="n">
        <v>6008</v>
      </c>
      <c r="V1084" s="10" t="n">
        <v>-1345</v>
      </c>
      <c r="W1084" s="10" t="n">
        <v>-1878</v>
      </c>
      <c r="X1084" s="7" t="n">
        <v>2793</v>
      </c>
      <c r="Y1084" s="8" t="n">
        <v>-1889</v>
      </c>
      <c r="Z1084" s="8" t="n">
        <v>-1732</v>
      </c>
      <c r="AA1084" s="9" t="n">
        <v>3168</v>
      </c>
      <c r="AB1084" s="10" t="n">
        <v>-920</v>
      </c>
      <c r="AC1084" s="10" t="n">
        <v>-1472</v>
      </c>
      <c r="AD1084" s="7" t="n">
        <v>1151</v>
      </c>
      <c r="AE1084" s="8" t="n">
        <v>-5166</v>
      </c>
      <c r="AF1084" s="8" t="n">
        <v>-13576</v>
      </c>
      <c r="AG1084" s="9" t="n">
        <v>2721</v>
      </c>
      <c r="AH1084" s="10" t="n">
        <v>-1984</v>
      </c>
      <c r="AI1084" s="10" t="n">
        <v>-2041</v>
      </c>
      <c r="AJ1084" s="11" t="n">
        <v>2926</v>
      </c>
      <c r="AK1084" s="12" t="n">
        <v>-1468</v>
      </c>
      <c r="AL1084" s="12" t="n">
        <v>1600</v>
      </c>
      <c r="AM1084" s="13" t="n">
        <v>7.5</v>
      </c>
      <c r="AN1084" s="13" t="n">
        <v>4.8</v>
      </c>
      <c r="AO1084" s="13" t="n">
        <v>26</v>
      </c>
      <c r="AP1084" s="13" t="n">
        <v>22.3</v>
      </c>
    </row>
    <row r="1085">
      <c r="A1085" s="5" t="inlineStr">
        <is>
          <t>HL홀딩스</t>
        </is>
      </c>
      <c r="B1085" s="6" t="inlineStr">
        <is>
          <t>060980</t>
        </is>
      </c>
      <c r="C1085" s="6" t="inlineStr">
        <is>
          <t>연결</t>
        </is>
      </c>
      <c r="D1085" s="6" t="inlineStr">
        <is>
          <t>2026Q2</t>
        </is>
      </c>
      <c r="E1085" s="6" t="inlineStr">
        <is>
          <t>2023Q4</t>
        </is>
      </c>
      <c r="F1085" s="14" t="n">
        <v>319681</v>
      </c>
      <c r="G1085" s="15" t="n">
        <v>9731</v>
      </c>
      <c r="H1085" s="15" t="n">
        <v>-7247</v>
      </c>
      <c r="I1085" s="9" t="n">
        <v>362654</v>
      </c>
      <c r="J1085" s="10" t="n">
        <v>67070</v>
      </c>
      <c r="K1085" s="10" t="n">
        <v>48511</v>
      </c>
      <c r="L1085" s="7" t="n">
        <v>332948</v>
      </c>
      <c r="M1085" s="8" t="n">
        <v>16999</v>
      </c>
      <c r="N1085" s="8" t="n">
        <v>4576</v>
      </c>
      <c r="O1085" s="9" t="n">
        <v>313222</v>
      </c>
      <c r="P1085" s="10" t="n">
        <v>-17362</v>
      </c>
      <c r="Q1085" s="10" t="n">
        <v>-23141</v>
      </c>
      <c r="R1085" s="7" t="n">
        <v>362262</v>
      </c>
      <c r="S1085" s="8" t="n">
        <v>23736</v>
      </c>
      <c r="T1085" s="8" t="n">
        <v>-10115</v>
      </c>
      <c r="U1085" s="9" t="n">
        <v>330350</v>
      </c>
      <c r="V1085" s="10" t="n">
        <v>17364</v>
      </c>
      <c r="W1085" s="10" t="n">
        <v>6673</v>
      </c>
      <c r="X1085" s="7" t="n">
        <v>334920</v>
      </c>
      <c r="Y1085" s="8" t="n">
        <v>16338</v>
      </c>
      <c r="Z1085" s="8" t="n">
        <v>258</v>
      </c>
      <c r="AA1085" s="9" t="n">
        <v>329594</v>
      </c>
      <c r="AB1085" s="10" t="n">
        <v>19751</v>
      </c>
      <c r="AC1085" s="10" t="n">
        <v>11190</v>
      </c>
      <c r="AD1085" s="7" t="n">
        <v>340172</v>
      </c>
      <c r="AE1085" s="8" t="n">
        <v>35237</v>
      </c>
      <c r="AF1085" s="8" t="n">
        <v>3378</v>
      </c>
      <c r="AG1085" s="9" t="n">
        <v>326969</v>
      </c>
      <c r="AH1085" s="10" t="n">
        <v>34721</v>
      </c>
      <c r="AI1085" s="10" t="n">
        <v>22674</v>
      </c>
      <c r="AJ1085" s="11" t="n">
        <v>359892</v>
      </c>
      <c r="AK1085" s="12" t="n">
        <v>37209</v>
      </c>
      <c r="AL1085" s="12" t="n">
        <v>20656</v>
      </c>
      <c r="AM1085" s="13" t="n">
        <v>10.1</v>
      </c>
      <c r="AN1085" s="13" t="n">
        <v>7.5</v>
      </c>
      <c r="AO1085" s="13" t="n">
        <v>7.2</v>
      </c>
      <c r="AP1085" s="13" t="n">
        <v>127.7</v>
      </c>
    </row>
    <row r="1086">
      <c r="A1086" s="5" t="inlineStr">
        <is>
          <t>알에프텍</t>
        </is>
      </c>
      <c r="B1086" s="6" t="inlineStr">
        <is>
          <t>061040</t>
        </is>
      </c>
      <c r="C1086" s="6" t="inlineStr">
        <is>
          <t>연결</t>
        </is>
      </c>
      <c r="D1086" s="6" t="inlineStr">
        <is>
          <t>2026Q2</t>
        </is>
      </c>
      <c r="E1086" s="6" t="inlineStr"/>
      <c r="F1086" s="7" t="inlineStr"/>
      <c r="G1086" s="8" t="inlineStr"/>
      <c r="H1086" s="8" t="inlineStr"/>
      <c r="I1086" s="9" t="n">
        <v>75869</v>
      </c>
      <c r="J1086" s="10" t="n">
        <v>2128</v>
      </c>
      <c r="K1086" s="10" t="n">
        <v>3143</v>
      </c>
      <c r="L1086" s="7" t="n">
        <v>100968</v>
      </c>
      <c r="M1086" s="8" t="n">
        <v>4874</v>
      </c>
      <c r="N1086" s="8" t="n">
        <v>3112</v>
      </c>
      <c r="O1086" s="9" t="n">
        <v>103289</v>
      </c>
      <c r="P1086" s="10" t="n">
        <v>2544</v>
      </c>
      <c r="Q1086" s="10" t="n">
        <v>545</v>
      </c>
      <c r="R1086" s="7" t="n">
        <v>78197</v>
      </c>
      <c r="S1086" s="8" t="n">
        <v>-7734</v>
      </c>
      <c r="T1086" s="8" t="n">
        <v>-27071</v>
      </c>
      <c r="U1086" s="9" t="n">
        <v>65113</v>
      </c>
      <c r="V1086" s="10" t="n">
        <v>-5521</v>
      </c>
      <c r="W1086" s="10" t="n">
        <v>-8325</v>
      </c>
      <c r="X1086" s="7" t="n">
        <v>65238</v>
      </c>
      <c r="Y1086" s="8" t="n">
        <v>-5687</v>
      </c>
      <c r="Z1086" s="8" t="n">
        <v>-3656</v>
      </c>
      <c r="AA1086" s="9" t="n">
        <v>68799</v>
      </c>
      <c r="AB1086" s="10" t="n">
        <v>-4347</v>
      </c>
      <c r="AC1086" s="10" t="n">
        <v>-2652</v>
      </c>
      <c r="AD1086" s="7" t="n">
        <v>66858</v>
      </c>
      <c r="AE1086" s="8" t="n">
        <v>-9633</v>
      </c>
      <c r="AF1086" s="8" t="n">
        <v>-15838</v>
      </c>
      <c r="AG1086" s="9" t="n">
        <v>67483</v>
      </c>
      <c r="AH1086" s="10" t="n">
        <v>-7313</v>
      </c>
      <c r="AI1086" s="10" t="n">
        <v>-12781</v>
      </c>
      <c r="AJ1086" s="11" t="n">
        <v>53866</v>
      </c>
      <c r="AK1086" s="12" t="n">
        <v>-2290</v>
      </c>
      <c r="AL1086" s="12" t="n">
        <v>-1069</v>
      </c>
      <c r="AM1086" s="13" t="n">
        <v>-20.2</v>
      </c>
      <c r="AN1086" s="13" t="n">
        <v>-17.4</v>
      </c>
      <c r="AO1086" s="13" t="n">
        <v>68.7</v>
      </c>
      <c r="AP1086" s="13" t="n">
        <v>59.7</v>
      </c>
    </row>
    <row r="1087">
      <c r="A1087" s="5" t="inlineStr">
        <is>
          <t>세나테크놀로지</t>
        </is>
      </c>
      <c r="B1087" s="6" t="inlineStr">
        <is>
          <t>061090</t>
        </is>
      </c>
      <c r="C1087" s="6" t="inlineStr">
        <is>
          <t>연결</t>
        </is>
      </c>
      <c r="D1087" s="6" t="inlineStr">
        <is>
          <t>2026Q2</t>
        </is>
      </c>
      <c r="E1087" s="6" t="inlineStr"/>
      <c r="F1087" s="7" t="inlineStr"/>
      <c r="G1087" s="8" t="inlineStr"/>
      <c r="H1087" s="8" t="inlineStr"/>
      <c r="I1087" s="9" t="inlineStr"/>
      <c r="J1087" s="10" t="inlineStr"/>
      <c r="K1087" s="10" t="inlineStr"/>
      <c r="L1087" s="7" t="inlineStr"/>
      <c r="M1087" s="8" t="inlineStr"/>
      <c r="N1087" s="8" t="inlineStr"/>
      <c r="O1087" s="9" t="inlineStr"/>
      <c r="P1087" s="10" t="inlineStr"/>
      <c r="Q1087" s="10" t="inlineStr"/>
      <c r="R1087" s="7" t="inlineStr"/>
      <c r="S1087" s="8" t="inlineStr"/>
      <c r="T1087" s="8" t="inlineStr"/>
      <c r="U1087" s="9" t="inlineStr"/>
      <c r="V1087" s="10" t="inlineStr"/>
      <c r="W1087" s="10" t="inlineStr"/>
      <c r="X1087" s="7" t="inlineStr"/>
      <c r="Y1087" s="8" t="inlineStr"/>
      <c r="Z1087" s="8" t="inlineStr"/>
      <c r="AA1087" s="9" t="n">
        <v>45724</v>
      </c>
      <c r="AB1087" s="10" t="n">
        <v>5450</v>
      </c>
      <c r="AC1087" s="10" t="n">
        <v>5264</v>
      </c>
      <c r="AD1087" s="7" t="inlineStr"/>
      <c r="AE1087" s="8" t="inlineStr"/>
      <c r="AF1087" s="8" t="inlineStr"/>
      <c r="AG1087" s="9" t="n">
        <v>43821</v>
      </c>
      <c r="AH1087" s="10" t="n">
        <v>3847</v>
      </c>
      <c r="AI1087" s="10" t="n">
        <v>3907</v>
      </c>
      <c r="AJ1087" s="11" t="n">
        <v>75460</v>
      </c>
      <c r="AK1087" s="12" t="n">
        <v>18002</v>
      </c>
      <c r="AL1087" s="12" t="n">
        <v>14772</v>
      </c>
      <c r="AM1087" s="13" t="n">
        <v>72.2</v>
      </c>
      <c r="AN1087" s="13" t="inlineStr"/>
      <c r="AO1087" s="13" t="n">
        <v>367.9</v>
      </c>
      <c r="AP1087" s="13" t="inlineStr"/>
    </row>
    <row r="1088">
      <c r="A1088" s="5" t="inlineStr">
        <is>
          <t>화일약품</t>
        </is>
      </c>
      <c r="B1088" s="6" t="inlineStr">
        <is>
          <t>061250</t>
        </is>
      </c>
      <c r="C1088" s="6" t="inlineStr">
        <is>
          <t>연결</t>
        </is>
      </c>
      <c r="D1088" s="6" t="inlineStr">
        <is>
          <t>2026Q2</t>
        </is>
      </c>
      <c r="E1088" s="6" t="inlineStr"/>
      <c r="F1088" s="7" t="inlineStr"/>
      <c r="G1088" s="8" t="inlineStr"/>
      <c r="H1088" s="8" t="inlineStr"/>
      <c r="I1088" s="9" t="n">
        <v>31883</v>
      </c>
      <c r="J1088" s="10" t="n">
        <v>803</v>
      </c>
      <c r="K1088" s="10" t="n">
        <v>1156</v>
      </c>
      <c r="L1088" s="7" t="n">
        <v>31618</v>
      </c>
      <c r="M1088" s="8" t="n">
        <v>223</v>
      </c>
      <c r="N1088" s="8" t="n">
        <v>-553</v>
      </c>
      <c r="O1088" s="9" t="n">
        <v>29618</v>
      </c>
      <c r="P1088" s="10" t="n">
        <v>140</v>
      </c>
      <c r="Q1088" s="10" t="n">
        <v>79</v>
      </c>
      <c r="R1088" s="7" t="n">
        <v>26645</v>
      </c>
      <c r="S1088" s="8" t="n">
        <v>-411</v>
      </c>
      <c r="T1088" s="8" t="n">
        <v>5799</v>
      </c>
      <c r="U1088" s="9" t="n">
        <v>29984</v>
      </c>
      <c r="V1088" s="10" t="n">
        <v>-1200</v>
      </c>
      <c r="W1088" s="10" t="n">
        <v>-657</v>
      </c>
      <c r="X1088" s="7" t="n">
        <v>27956</v>
      </c>
      <c r="Y1088" s="8" t="n">
        <v>51</v>
      </c>
      <c r="Z1088" s="8" t="n">
        <v>551</v>
      </c>
      <c r="AA1088" s="9" t="n">
        <v>24313</v>
      </c>
      <c r="AB1088" s="10" t="n">
        <v>165</v>
      </c>
      <c r="AC1088" s="10" t="n">
        <v>388</v>
      </c>
      <c r="AD1088" s="7" t="n">
        <v>18564</v>
      </c>
      <c r="AE1088" s="8" t="n">
        <v>-1296</v>
      </c>
      <c r="AF1088" s="8" t="n">
        <v>-515</v>
      </c>
      <c r="AG1088" s="9" t="n">
        <v>23440</v>
      </c>
      <c r="AH1088" s="10" t="n">
        <v>-566</v>
      </c>
      <c r="AI1088" s="10" t="n">
        <v>579</v>
      </c>
      <c r="AJ1088" s="11" t="n">
        <v>24463</v>
      </c>
      <c r="AK1088" s="12" t="n">
        <v>-912</v>
      </c>
      <c r="AL1088" s="12" t="n">
        <v>4374</v>
      </c>
      <c r="AM1088" s="13" t="n">
        <v>4.4</v>
      </c>
      <c r="AN1088" s="13" t="n">
        <v>-12.5</v>
      </c>
      <c r="AO1088" s="13" t="n">
        <v>-61.1</v>
      </c>
      <c r="AP1088" s="13" t="n">
        <v>-1888.2</v>
      </c>
    </row>
    <row r="1089">
      <c r="A1089" s="5" t="inlineStr">
        <is>
          <t>LB세미콘</t>
        </is>
      </c>
      <c r="B1089" s="6" t="inlineStr">
        <is>
          <t>061970</t>
        </is>
      </c>
      <c r="C1089" s="6" t="inlineStr">
        <is>
          <t>연결</t>
        </is>
      </c>
      <c r="D1089" s="6" t="inlineStr">
        <is>
          <t>2026Q2</t>
        </is>
      </c>
      <c r="E1089" s="6" t="inlineStr"/>
      <c r="F1089" s="7" t="inlineStr"/>
      <c r="G1089" s="8" t="inlineStr"/>
      <c r="H1089" s="8" t="inlineStr"/>
      <c r="I1089" s="9" t="n">
        <v>102824</v>
      </c>
      <c r="J1089" s="10" t="n">
        <v>-7476</v>
      </c>
      <c r="K1089" s="10" t="n">
        <v>-2926</v>
      </c>
      <c r="L1089" s="7" t="n">
        <v>123227</v>
      </c>
      <c r="M1089" s="8" t="n">
        <v>1257</v>
      </c>
      <c r="N1089" s="8" t="n">
        <v>-1064</v>
      </c>
      <c r="O1089" s="9" t="n">
        <v>119364</v>
      </c>
      <c r="P1089" s="10" t="n">
        <v>-2160</v>
      </c>
      <c r="Q1089" s="10" t="n">
        <v>-6731</v>
      </c>
      <c r="R1089" s="7" t="n">
        <v>105450</v>
      </c>
      <c r="S1089" s="8" t="n">
        <v>-10444</v>
      </c>
      <c r="T1089" s="8" t="n">
        <v>-12298</v>
      </c>
      <c r="U1089" s="9" t="n">
        <v>116812</v>
      </c>
      <c r="V1089" s="10" t="n">
        <v>-4010</v>
      </c>
      <c r="W1089" s="10" t="n">
        <v>-2822</v>
      </c>
      <c r="X1089" s="7" t="n">
        <v>115688</v>
      </c>
      <c r="Y1089" s="8" t="n">
        <v>-3306</v>
      </c>
      <c r="Z1089" s="8" t="n">
        <v>-10951</v>
      </c>
      <c r="AA1089" s="9" t="n">
        <v>125550</v>
      </c>
      <c r="AB1089" s="10" t="n">
        <v>-6279</v>
      </c>
      <c r="AC1089" s="10" t="n">
        <v>-2557</v>
      </c>
      <c r="AD1089" s="7" t="n">
        <v>121732</v>
      </c>
      <c r="AE1089" s="8" t="n">
        <v>-26205</v>
      </c>
      <c r="AF1089" s="8" t="n">
        <v>-134546</v>
      </c>
      <c r="AG1089" s="9" t="n">
        <v>134252</v>
      </c>
      <c r="AH1089" s="10" t="n">
        <v>7643</v>
      </c>
      <c r="AI1089" s="10" t="n">
        <v>10418</v>
      </c>
      <c r="AJ1089" s="11" t="n">
        <v>144855</v>
      </c>
      <c r="AK1089" s="12" t="n">
        <v>13109</v>
      </c>
      <c r="AL1089" s="12" t="n">
        <v>8971</v>
      </c>
      <c r="AM1089" s="13" t="n">
        <v>7.9</v>
      </c>
      <c r="AN1089" s="13" t="n">
        <v>25.2</v>
      </c>
      <c r="AO1089" s="13" t="n">
        <v>71.5</v>
      </c>
      <c r="AP1089" s="13" t="n">
        <v>496.5</v>
      </c>
    </row>
    <row r="1090">
      <c r="A1090" s="5" t="inlineStr">
        <is>
          <t>산일전기</t>
        </is>
      </c>
      <c r="B1090" s="6" t="inlineStr">
        <is>
          <t>062040</t>
        </is>
      </c>
      <c r="C1090" s="6" t="inlineStr">
        <is>
          <t>연결</t>
        </is>
      </c>
      <c r="D1090" s="6" t="inlineStr">
        <is>
          <t>2026Q2</t>
        </is>
      </c>
      <c r="E1090" s="6" t="inlineStr">
        <is>
          <t>2024Q2, 2024Q4</t>
        </is>
      </c>
      <c r="F1090" s="7" t="inlineStr"/>
      <c r="G1090" s="8" t="inlineStr"/>
      <c r="H1090" s="8" t="inlineStr"/>
      <c r="I1090" s="9" t="inlineStr"/>
      <c r="J1090" s="10" t="inlineStr"/>
      <c r="K1090" s="10" t="inlineStr"/>
      <c r="L1090" s="14" t="n">
        <v>75232</v>
      </c>
      <c r="M1090" s="15" t="n">
        <v>24501</v>
      </c>
      <c r="N1090" s="15" t="n">
        <v>17320</v>
      </c>
      <c r="O1090" s="9" t="n">
        <v>79736</v>
      </c>
      <c r="P1090" s="10" t="n">
        <v>27791</v>
      </c>
      <c r="Q1090" s="10" t="n">
        <v>22875</v>
      </c>
      <c r="R1090" s="14" t="n">
        <v>108385</v>
      </c>
      <c r="S1090" s="15" t="n">
        <v>33689</v>
      </c>
      <c r="T1090" s="15" t="n">
        <v>27013</v>
      </c>
      <c r="U1090" s="9" t="n">
        <v>98829</v>
      </c>
      <c r="V1090" s="10" t="n">
        <v>37521</v>
      </c>
      <c r="W1090" s="10" t="n">
        <v>31246</v>
      </c>
      <c r="X1090" s="7" t="n">
        <v>128255</v>
      </c>
      <c r="Y1090" s="8" t="n">
        <v>46190</v>
      </c>
      <c r="Z1090" s="8" t="n">
        <v>37866</v>
      </c>
      <c r="AA1090" s="9" t="n">
        <v>132735</v>
      </c>
      <c r="AB1090" s="10" t="n">
        <v>42561</v>
      </c>
      <c r="AC1090" s="10" t="n">
        <v>36832</v>
      </c>
      <c r="AD1090" s="7" t="n">
        <v>142127</v>
      </c>
      <c r="AE1090" s="8" t="n">
        <v>52362</v>
      </c>
      <c r="AF1090" s="8" t="n">
        <v>42978</v>
      </c>
      <c r="AG1090" s="9" t="n">
        <v>150323</v>
      </c>
      <c r="AH1090" s="10" t="n">
        <v>55481</v>
      </c>
      <c r="AI1090" s="10" t="n">
        <v>45908</v>
      </c>
      <c r="AJ1090" s="11" t="n">
        <v>164179</v>
      </c>
      <c r="AK1090" s="12" t="n">
        <v>62035</v>
      </c>
      <c r="AL1090" s="12" t="n">
        <v>54584</v>
      </c>
      <c r="AM1090" s="13" t="n">
        <v>9.199999999999999</v>
      </c>
      <c r="AN1090" s="13" t="n">
        <v>28</v>
      </c>
      <c r="AO1090" s="13" t="n">
        <v>11.8</v>
      </c>
      <c r="AP1090" s="13" t="n">
        <v>34.3</v>
      </c>
    </row>
    <row r="1091">
      <c r="A1091" s="5" t="inlineStr">
        <is>
          <t>한국첨단소재</t>
        </is>
      </c>
      <c r="B1091" s="6" t="inlineStr">
        <is>
          <t>062970</t>
        </is>
      </c>
      <c r="C1091" s="6" t="inlineStr">
        <is>
          <t>연결</t>
        </is>
      </c>
      <c r="D1091" s="6" t="inlineStr">
        <is>
          <t>2026Q2</t>
        </is>
      </c>
      <c r="E1091" s="6" t="inlineStr"/>
      <c r="F1091" s="7" t="inlineStr"/>
      <c r="G1091" s="8" t="inlineStr"/>
      <c r="H1091" s="8" t="inlineStr"/>
      <c r="I1091" s="9" t="n">
        <v>1432</v>
      </c>
      <c r="J1091" s="10" t="n">
        <v>-1734</v>
      </c>
      <c r="K1091" s="10" t="n">
        <v>-1849</v>
      </c>
      <c r="L1091" s="7" t="n">
        <v>2071</v>
      </c>
      <c r="M1091" s="8" t="n">
        <v>-1397</v>
      </c>
      <c r="N1091" s="8" t="n">
        <v>-1622</v>
      </c>
      <c r="O1091" s="9" t="n">
        <v>1507</v>
      </c>
      <c r="P1091" s="10" t="n">
        <v>-1270</v>
      </c>
      <c r="Q1091" s="10" t="n">
        <v>-1443</v>
      </c>
      <c r="R1091" s="7" t="n">
        <v>1495</v>
      </c>
      <c r="S1091" s="8" t="n">
        <v>-395</v>
      </c>
      <c r="T1091" s="8" t="n">
        <v>-9387</v>
      </c>
      <c r="U1091" s="9" t="n">
        <v>1009</v>
      </c>
      <c r="V1091" s="10" t="n">
        <v>-988</v>
      </c>
      <c r="W1091" s="10" t="n">
        <v>-8888</v>
      </c>
      <c r="X1091" s="7" t="n">
        <v>1076</v>
      </c>
      <c r="Y1091" s="8" t="n">
        <v>-889</v>
      </c>
      <c r="Z1091" s="8" t="n">
        <v>-1109</v>
      </c>
      <c r="AA1091" s="9" t="n">
        <v>855</v>
      </c>
      <c r="AB1091" s="10" t="n">
        <v>-962</v>
      </c>
      <c r="AC1091" s="10" t="n">
        <v>-1709</v>
      </c>
      <c r="AD1091" s="7" t="n">
        <v>641</v>
      </c>
      <c r="AE1091" s="8" t="n">
        <v>-576</v>
      </c>
      <c r="AF1091" s="8" t="n">
        <v>-1056</v>
      </c>
      <c r="AG1091" s="9" t="n">
        <v>1058</v>
      </c>
      <c r="AH1091" s="10" t="n">
        <v>-708</v>
      </c>
      <c r="AI1091" s="10" t="n">
        <v>-599</v>
      </c>
      <c r="AJ1091" s="11" t="n">
        <v>1188</v>
      </c>
      <c r="AK1091" s="12" t="n">
        <v>-596</v>
      </c>
      <c r="AL1091" s="12" t="n">
        <v>1481</v>
      </c>
      <c r="AM1091" s="13" t="n">
        <v>12.3</v>
      </c>
      <c r="AN1091" s="13" t="n">
        <v>10.4</v>
      </c>
      <c r="AO1091" s="13" t="n">
        <v>15.8</v>
      </c>
      <c r="AP1091" s="13" t="n">
        <v>33</v>
      </c>
    </row>
    <row r="1092">
      <c r="A1092" s="5" t="inlineStr">
        <is>
          <t>컴투스홀딩스</t>
        </is>
      </c>
      <c r="B1092" s="6" t="inlineStr">
        <is>
          <t>063080</t>
        </is>
      </c>
      <c r="C1092" s="6" t="inlineStr">
        <is>
          <t>연결</t>
        </is>
      </c>
      <c r="D1092" s="6" t="inlineStr">
        <is>
          <t>2026Q2</t>
        </is>
      </c>
      <c r="E1092" s="6" t="inlineStr">
        <is>
          <t>2023Q4</t>
        </is>
      </c>
      <c r="F1092" s="14" t="n">
        <v>21378</v>
      </c>
      <c r="G1092" s="15" t="n">
        <v>-16454</v>
      </c>
      <c r="H1092" s="15" t="n">
        <v>-8037</v>
      </c>
      <c r="I1092" s="14" t="n">
        <v>45835</v>
      </c>
      <c r="J1092" s="10" t="n">
        <v>3501</v>
      </c>
      <c r="K1092" s="10" t="n">
        <v>662</v>
      </c>
      <c r="L1092" s="14" t="n">
        <v>37937</v>
      </c>
      <c r="M1092" s="8" t="n">
        <v>-3963</v>
      </c>
      <c r="N1092" s="8" t="n">
        <v>-6096</v>
      </c>
      <c r="O1092" s="14" t="n">
        <v>45207</v>
      </c>
      <c r="P1092" s="10" t="n">
        <v>-6370</v>
      </c>
      <c r="Q1092" s="10" t="n">
        <v>-11116</v>
      </c>
      <c r="R1092" s="14" t="n">
        <v>20312</v>
      </c>
      <c r="S1092" s="8" t="n">
        <v>-43722</v>
      </c>
      <c r="T1092" s="8" t="n">
        <v>-25961</v>
      </c>
      <c r="U1092" s="14" t="n">
        <v>24318</v>
      </c>
      <c r="V1092" s="10" t="n">
        <v>-3196</v>
      </c>
      <c r="W1092" s="10" t="n">
        <v>-6566</v>
      </c>
      <c r="X1092" s="14" t="n">
        <v>27332</v>
      </c>
      <c r="Y1092" s="8" t="n">
        <v>-2199</v>
      </c>
      <c r="Z1092" s="8" t="n">
        <v>-6122</v>
      </c>
      <c r="AA1092" s="14" t="n">
        <v>19605</v>
      </c>
      <c r="AB1092" s="10" t="n">
        <v>-3945</v>
      </c>
      <c r="AC1092" s="10" t="n">
        <v>-5433</v>
      </c>
      <c r="AD1092" s="14" t="n">
        <v>27288</v>
      </c>
      <c r="AE1092" s="8" t="n">
        <v>2516</v>
      </c>
      <c r="AF1092" s="8" t="n">
        <v>55377</v>
      </c>
      <c r="AG1092" s="9" t="n">
        <v>17128</v>
      </c>
      <c r="AH1092" s="10" t="n">
        <v>-9715</v>
      </c>
      <c r="AI1092" s="10" t="n">
        <v>-11421</v>
      </c>
      <c r="AJ1092" s="11" t="n">
        <v>15553</v>
      </c>
      <c r="AK1092" s="12" t="n">
        <v>-5275</v>
      </c>
      <c r="AL1092" s="12" t="n">
        <v>7706</v>
      </c>
      <c r="AM1092" s="13" t="n">
        <v>-9.199999999999999</v>
      </c>
      <c r="AN1092" s="13" t="n">
        <v>-43.1</v>
      </c>
      <c r="AO1092" s="13" t="n">
        <v>45.7</v>
      </c>
      <c r="AP1092" s="13" t="n">
        <v>-139.9</v>
      </c>
    </row>
    <row r="1093">
      <c r="A1093" s="5" t="inlineStr">
        <is>
          <t>종근당바이오</t>
        </is>
      </c>
      <c r="B1093" s="6" t="inlineStr">
        <is>
          <t>063160</t>
        </is>
      </c>
      <c r="C1093" s="6" t="inlineStr">
        <is>
          <t>별도</t>
        </is>
      </c>
      <c r="D1093" s="6" t="inlineStr">
        <is>
          <t>2026Q2</t>
        </is>
      </c>
      <c r="E1093" s="6" t="inlineStr"/>
      <c r="F1093" s="7" t="inlineStr"/>
      <c r="G1093" s="8" t="inlineStr"/>
      <c r="H1093" s="8" t="inlineStr"/>
      <c r="I1093" s="9" t="n">
        <v>45536</v>
      </c>
      <c r="J1093" s="10" t="n">
        <v>3187</v>
      </c>
      <c r="K1093" s="10" t="n">
        <v>2832</v>
      </c>
      <c r="L1093" s="7" t="n">
        <v>50914</v>
      </c>
      <c r="M1093" s="8" t="n">
        <v>4981</v>
      </c>
      <c r="N1093" s="8" t="n">
        <v>4404</v>
      </c>
      <c r="O1093" s="9" t="n">
        <v>43885</v>
      </c>
      <c r="P1093" s="10" t="n">
        <v>2577</v>
      </c>
      <c r="Q1093" s="10" t="n">
        <v>285</v>
      </c>
      <c r="R1093" s="7" t="n">
        <v>31421</v>
      </c>
      <c r="S1093" s="8" t="n">
        <v>209</v>
      </c>
      <c r="T1093" s="8" t="n">
        <v>1180</v>
      </c>
      <c r="U1093" s="9" t="n">
        <v>42521</v>
      </c>
      <c r="V1093" s="10" t="n">
        <v>2087</v>
      </c>
      <c r="W1093" s="10" t="n">
        <v>900</v>
      </c>
      <c r="X1093" s="7" t="n">
        <v>41211</v>
      </c>
      <c r="Y1093" s="8" t="n">
        <v>2877</v>
      </c>
      <c r="Z1093" s="8" t="n">
        <v>-480</v>
      </c>
      <c r="AA1093" s="9" t="n">
        <v>34120</v>
      </c>
      <c r="AB1093" s="10" t="n">
        <v>-1467</v>
      </c>
      <c r="AC1093" s="10" t="n">
        <v>-2179</v>
      </c>
      <c r="AD1093" s="7" t="n">
        <v>42219</v>
      </c>
      <c r="AE1093" s="8" t="n">
        <v>108</v>
      </c>
      <c r="AF1093" s="8" t="n">
        <v>-1129</v>
      </c>
      <c r="AG1093" s="9" t="n">
        <v>40695</v>
      </c>
      <c r="AH1093" s="10" t="n">
        <v>-1707</v>
      </c>
      <c r="AI1093" s="10" t="n">
        <v>-2029</v>
      </c>
      <c r="AJ1093" s="11" t="n">
        <v>41086</v>
      </c>
      <c r="AK1093" s="12" t="n">
        <v>-5003</v>
      </c>
      <c r="AL1093" s="12" t="n">
        <v>-5405</v>
      </c>
      <c r="AM1093" s="13" t="n">
        <v>1</v>
      </c>
      <c r="AN1093" s="13" t="n">
        <v>-0.3</v>
      </c>
      <c r="AO1093" s="13" t="n">
        <v>-193.1</v>
      </c>
      <c r="AP1093" s="13" t="n">
        <v>-273.9</v>
      </c>
    </row>
    <row r="1094">
      <c r="A1094" s="5" t="inlineStr">
        <is>
          <t>서울옥션</t>
        </is>
      </c>
      <c r="B1094" s="6" t="inlineStr">
        <is>
          <t>063170</t>
        </is>
      </c>
      <c r="C1094" s="6" t="inlineStr">
        <is>
          <t>연결</t>
        </is>
      </c>
      <c r="D1094" s="6" t="inlineStr">
        <is>
          <t>2026Q2</t>
        </is>
      </c>
      <c r="E1094" s="6" t="inlineStr"/>
      <c r="F1094" s="7" t="inlineStr"/>
      <c r="G1094" s="8" t="inlineStr"/>
      <c r="H1094" s="8" t="inlineStr"/>
      <c r="I1094" s="9" t="inlineStr"/>
      <c r="J1094" s="10" t="n">
        <v>1887</v>
      </c>
      <c r="K1094" s="10" t="n">
        <v>-197</v>
      </c>
      <c r="L1094" s="7" t="inlineStr"/>
      <c r="M1094" s="8" t="n">
        <v>-338</v>
      </c>
      <c r="N1094" s="8" t="n">
        <v>-1472</v>
      </c>
      <c r="O1094" s="9" t="inlineStr"/>
      <c r="P1094" s="10" t="n">
        <v>-2285</v>
      </c>
      <c r="Q1094" s="10" t="n">
        <v>-3252</v>
      </c>
      <c r="R1094" s="7" t="inlineStr"/>
      <c r="S1094" s="8" t="n">
        <v>-2654</v>
      </c>
      <c r="T1094" s="8" t="n">
        <v>-4548</v>
      </c>
      <c r="U1094" s="9" t="inlineStr"/>
      <c r="V1094" s="10" t="n">
        <v>-2106</v>
      </c>
      <c r="W1094" s="10" t="n">
        <v>-3444</v>
      </c>
      <c r="X1094" s="7" t="inlineStr"/>
      <c r="Y1094" s="8" t="n">
        <v>591</v>
      </c>
      <c r="Z1094" s="8" t="n">
        <v>-549</v>
      </c>
      <c r="AA1094" s="9" t="inlineStr"/>
      <c r="AB1094" s="10" t="n">
        <v>-746</v>
      </c>
      <c r="AC1094" s="10" t="n">
        <v>-2115</v>
      </c>
      <c r="AD1094" s="7" t="inlineStr"/>
      <c r="AE1094" s="8" t="n">
        <v>-1692</v>
      </c>
      <c r="AF1094" s="8" t="n">
        <v>-2666</v>
      </c>
      <c r="AG1094" s="9" t="n">
        <v>15302</v>
      </c>
      <c r="AH1094" s="10" t="n">
        <v>289</v>
      </c>
      <c r="AI1094" s="10" t="n">
        <v>-945</v>
      </c>
      <c r="AJ1094" s="11" t="n">
        <v>4265</v>
      </c>
      <c r="AK1094" s="12" t="n">
        <v>386</v>
      </c>
      <c r="AL1094" s="12" t="n">
        <v>-354</v>
      </c>
      <c r="AM1094" s="13" t="n">
        <v>-72.09999999999999</v>
      </c>
      <c r="AN1094" s="13" t="inlineStr"/>
      <c r="AO1094" s="13" t="n">
        <v>33.6</v>
      </c>
      <c r="AP1094" s="13" t="n">
        <v>-34.7</v>
      </c>
    </row>
    <row r="1095">
      <c r="A1095" s="5" t="inlineStr">
        <is>
          <t>SM Life Design</t>
        </is>
      </c>
      <c r="B1095" s="6" t="inlineStr">
        <is>
          <t>063440</t>
        </is>
      </c>
      <c r="C1095" s="6" t="inlineStr">
        <is>
          <t>연결</t>
        </is>
      </c>
      <c r="D1095" s="6" t="inlineStr">
        <is>
          <t>2026Q2</t>
        </is>
      </c>
      <c r="E1095" s="6" t="inlineStr"/>
      <c r="F1095" s="7" t="inlineStr"/>
      <c r="G1095" s="8" t="inlineStr"/>
      <c r="H1095" s="8" t="inlineStr"/>
      <c r="I1095" s="9" t="n">
        <v>10642</v>
      </c>
      <c r="J1095" s="10" t="n">
        <v>850</v>
      </c>
      <c r="K1095" s="10" t="n">
        <v>1092</v>
      </c>
      <c r="L1095" s="7" t="n">
        <v>8700</v>
      </c>
      <c r="M1095" s="8" t="n">
        <v>970</v>
      </c>
      <c r="N1095" s="8" t="n">
        <v>1087</v>
      </c>
      <c r="O1095" s="9" t="n">
        <v>10042</v>
      </c>
      <c r="P1095" s="10" t="n">
        <v>1349</v>
      </c>
      <c r="Q1095" s="10" t="n">
        <v>1493</v>
      </c>
      <c r="R1095" s="7" t="n">
        <v>15396</v>
      </c>
      <c r="S1095" s="8" t="n">
        <v>357</v>
      </c>
      <c r="T1095" s="8" t="n">
        <v>1198</v>
      </c>
      <c r="U1095" s="9" t="n">
        <v>7206</v>
      </c>
      <c r="V1095" s="10" t="n">
        <v>685</v>
      </c>
      <c r="W1095" s="10" t="n">
        <v>798</v>
      </c>
      <c r="X1095" s="7" t="n">
        <v>16878</v>
      </c>
      <c r="Y1095" s="8" t="n">
        <v>2357</v>
      </c>
      <c r="Z1095" s="8" t="n">
        <v>2819</v>
      </c>
      <c r="AA1095" s="9" t="n">
        <v>18481</v>
      </c>
      <c r="AB1095" s="10" t="n">
        <v>2469</v>
      </c>
      <c r="AC1095" s="10" t="n">
        <v>2484</v>
      </c>
      <c r="AD1095" s="7" t="n">
        <v>10760</v>
      </c>
      <c r="AE1095" s="8" t="n">
        <v>-935</v>
      </c>
      <c r="AF1095" s="8" t="n">
        <v>-604</v>
      </c>
      <c r="AG1095" s="9" t="n">
        <v>9691</v>
      </c>
      <c r="AH1095" s="10" t="n">
        <v>703</v>
      </c>
      <c r="AI1095" s="10" t="n">
        <v>843</v>
      </c>
      <c r="AJ1095" s="11" t="n">
        <v>14341</v>
      </c>
      <c r="AK1095" s="12" t="n">
        <v>2285</v>
      </c>
      <c r="AL1095" s="12" t="n">
        <v>2494</v>
      </c>
      <c r="AM1095" s="13" t="n">
        <v>48</v>
      </c>
      <c r="AN1095" s="13" t="n">
        <v>-15</v>
      </c>
      <c r="AO1095" s="13" t="n">
        <v>225</v>
      </c>
      <c r="AP1095" s="13" t="n">
        <v>-3.1</v>
      </c>
    </row>
    <row r="1096">
      <c r="A1096" s="5" t="inlineStr">
        <is>
          <t>NICE인프라</t>
        </is>
      </c>
      <c r="B1096" s="6" t="inlineStr">
        <is>
          <t>063570</t>
        </is>
      </c>
      <c r="C1096" s="6" t="inlineStr">
        <is>
          <t>연결</t>
        </is>
      </c>
      <c r="D1096" s="6" t="inlineStr">
        <is>
          <t>2026Q2</t>
        </is>
      </c>
      <c r="E1096" s="6" t="inlineStr"/>
      <c r="F1096" s="7" t="inlineStr"/>
      <c r="G1096" s="8" t="inlineStr"/>
      <c r="H1096" s="8" t="inlineStr"/>
      <c r="I1096" s="9" t="n">
        <v>62470</v>
      </c>
      <c r="J1096" s="10" t="n">
        <v>4284</v>
      </c>
      <c r="K1096" s="10" t="n">
        <v>453</v>
      </c>
      <c r="L1096" s="7" t="n">
        <v>83465</v>
      </c>
      <c r="M1096" s="8" t="n">
        <v>6308</v>
      </c>
      <c r="N1096" s="8" t="n">
        <v>1893</v>
      </c>
      <c r="O1096" s="9" t="n">
        <v>87748</v>
      </c>
      <c r="P1096" s="10" t="n">
        <v>6358</v>
      </c>
      <c r="Q1096" s="10" t="n">
        <v>2067</v>
      </c>
      <c r="R1096" s="7" t="n">
        <v>105020</v>
      </c>
      <c r="S1096" s="8" t="n">
        <v>1754</v>
      </c>
      <c r="T1096" s="8" t="n">
        <v>-2015</v>
      </c>
      <c r="U1096" s="9" t="n">
        <v>84090</v>
      </c>
      <c r="V1096" s="10" t="n">
        <v>4555</v>
      </c>
      <c r="W1096" s="10" t="n">
        <v>117</v>
      </c>
      <c r="X1096" s="7" t="n">
        <v>92693</v>
      </c>
      <c r="Y1096" s="8" t="n">
        <v>9875</v>
      </c>
      <c r="Z1096" s="8" t="n">
        <v>3007</v>
      </c>
      <c r="AA1096" s="9" t="n">
        <v>101009</v>
      </c>
      <c r="AB1096" s="10" t="n">
        <v>8789</v>
      </c>
      <c r="AC1096" s="10" t="n">
        <v>4614</v>
      </c>
      <c r="AD1096" s="7" t="n">
        <v>106162</v>
      </c>
      <c r="AE1096" s="8" t="n">
        <v>7495</v>
      </c>
      <c r="AF1096" s="8" t="n">
        <v>-548</v>
      </c>
      <c r="AG1096" s="9" t="n">
        <v>103211</v>
      </c>
      <c r="AH1096" s="10" t="n">
        <v>7465</v>
      </c>
      <c r="AI1096" s="10" t="n">
        <v>1754</v>
      </c>
      <c r="AJ1096" s="11" t="n">
        <v>110468</v>
      </c>
      <c r="AK1096" s="12" t="n">
        <v>9647</v>
      </c>
      <c r="AL1096" s="12" t="n">
        <v>4985</v>
      </c>
      <c r="AM1096" s="13" t="n">
        <v>7</v>
      </c>
      <c r="AN1096" s="13" t="n">
        <v>19.2</v>
      </c>
      <c r="AO1096" s="13" t="n">
        <v>29.2</v>
      </c>
      <c r="AP1096" s="13" t="n">
        <v>-2.3</v>
      </c>
    </row>
    <row r="1097">
      <c r="A1097" s="5" t="inlineStr">
        <is>
          <t>이엘피</t>
        </is>
      </c>
      <c r="B1097" s="6" t="inlineStr">
        <is>
          <t>063760</t>
        </is>
      </c>
      <c r="C1097" s="6" t="inlineStr">
        <is>
          <t>연결</t>
        </is>
      </c>
      <c r="D1097" s="6" t="inlineStr">
        <is>
          <t>2026Q2</t>
        </is>
      </c>
      <c r="E1097" s="6" t="inlineStr"/>
      <c r="F1097" s="7" t="inlineStr"/>
      <c r="G1097" s="8" t="inlineStr"/>
      <c r="H1097" s="8" t="inlineStr"/>
      <c r="I1097" s="9" t="n">
        <v>4707</v>
      </c>
      <c r="J1097" s="10" t="n">
        <v>-1386</v>
      </c>
      <c r="K1097" s="10" t="n">
        <v>-892</v>
      </c>
      <c r="L1097" s="7" t="n">
        <v>4771</v>
      </c>
      <c r="M1097" s="8" t="n">
        <v>-746</v>
      </c>
      <c r="N1097" s="8" t="n">
        <v>-437</v>
      </c>
      <c r="O1097" s="9" t="n">
        <v>4874</v>
      </c>
      <c r="P1097" s="10" t="n">
        <v>-1255</v>
      </c>
      <c r="Q1097" s="10" t="n">
        <v>-1390</v>
      </c>
      <c r="R1097" s="7" t="n">
        <v>13659</v>
      </c>
      <c r="S1097" s="8" t="n">
        <v>-813</v>
      </c>
      <c r="T1097" s="8" t="n">
        <v>1399</v>
      </c>
      <c r="U1097" s="9" t="n">
        <v>2092</v>
      </c>
      <c r="V1097" s="10" t="n">
        <v>-2013</v>
      </c>
      <c r="W1097" s="10" t="n">
        <v>-1902</v>
      </c>
      <c r="X1097" s="7" t="n">
        <v>5542</v>
      </c>
      <c r="Y1097" s="8" t="n">
        <v>-843</v>
      </c>
      <c r="Z1097" s="8" t="n">
        <v>-1106</v>
      </c>
      <c r="AA1097" s="9" t="n">
        <v>10428</v>
      </c>
      <c r="AB1097" s="10" t="n">
        <v>2608</v>
      </c>
      <c r="AC1097" s="10" t="n">
        <v>2764</v>
      </c>
      <c r="AD1097" s="7" t="n">
        <v>9251</v>
      </c>
      <c r="AE1097" s="8" t="n">
        <v>2551</v>
      </c>
      <c r="AF1097" s="8" t="n">
        <v>2843</v>
      </c>
      <c r="AG1097" s="9" t="n">
        <v>9874</v>
      </c>
      <c r="AH1097" s="10" t="n">
        <v>689</v>
      </c>
      <c r="AI1097" s="10" t="n">
        <v>1214</v>
      </c>
      <c r="AJ1097" s="11" t="n">
        <v>6084</v>
      </c>
      <c r="AK1097" s="12" t="n">
        <v>403</v>
      </c>
      <c r="AL1097" s="12" t="n">
        <v>626</v>
      </c>
      <c r="AM1097" s="13" t="n">
        <v>-38.4</v>
      </c>
      <c r="AN1097" s="13" t="n">
        <v>9.800000000000001</v>
      </c>
      <c r="AO1097" s="13" t="n">
        <v>-41.5</v>
      </c>
      <c r="AP1097" s="13" t="n">
        <v>147.8</v>
      </c>
    </row>
    <row r="1098">
      <c r="A1098" s="5" t="inlineStr">
        <is>
          <t>인크레더블버즈</t>
        </is>
      </c>
      <c r="B1098" s="6" t="inlineStr">
        <is>
          <t>064090</t>
        </is>
      </c>
      <c r="C1098" s="6" t="inlineStr">
        <is>
          <t>연결</t>
        </is>
      </c>
      <c r="D1098" s="6" t="inlineStr">
        <is>
          <t>2026Q2</t>
        </is>
      </c>
      <c r="E1098" s="6" t="inlineStr"/>
      <c r="F1098" s="7" t="inlineStr"/>
      <c r="G1098" s="8" t="inlineStr"/>
      <c r="H1098" s="8" t="inlineStr"/>
      <c r="I1098" s="9" t="n">
        <v>431</v>
      </c>
      <c r="J1098" s="10" t="n">
        <v>-629</v>
      </c>
      <c r="K1098" s="10" t="n">
        <v>11899</v>
      </c>
      <c r="L1098" s="7" t="n">
        <v>882</v>
      </c>
      <c r="M1098" s="8" t="n">
        <v>-703</v>
      </c>
      <c r="N1098" s="8" t="n">
        <v>-6406</v>
      </c>
      <c r="O1098" s="9" t="n">
        <v>1099</v>
      </c>
      <c r="P1098" s="10" t="n">
        <v>-765</v>
      </c>
      <c r="Q1098" s="10" t="n">
        <v>-1270</v>
      </c>
      <c r="R1098" s="7" t="n">
        <v>2149</v>
      </c>
      <c r="S1098" s="8" t="n">
        <v>-1438</v>
      </c>
      <c r="T1098" s="8" t="n">
        <v>14805</v>
      </c>
      <c r="U1098" s="9" t="n">
        <v>1588</v>
      </c>
      <c r="V1098" s="10" t="n">
        <v>-1376</v>
      </c>
      <c r="W1098" s="10" t="n">
        <v>-8922</v>
      </c>
      <c r="X1098" s="7" t="n">
        <v>1899</v>
      </c>
      <c r="Y1098" s="8" t="n">
        <v>-1374</v>
      </c>
      <c r="Z1098" s="8" t="n">
        <v>-10782</v>
      </c>
      <c r="AA1098" s="9" t="n">
        <v>2015</v>
      </c>
      <c r="AB1098" s="10" t="n">
        <v>-1560</v>
      </c>
      <c r="AC1098" s="10" t="n">
        <v>-4499</v>
      </c>
      <c r="AD1098" s="7" t="n">
        <v>1710</v>
      </c>
      <c r="AE1098" s="8" t="n">
        <v>-1769</v>
      </c>
      <c r="AF1098" s="8" t="n">
        <v>-6001</v>
      </c>
      <c r="AG1098" s="9" t="n">
        <v>1449</v>
      </c>
      <c r="AH1098" s="10" t="n">
        <v>-3002</v>
      </c>
      <c r="AI1098" s="10" t="n">
        <v>-5119</v>
      </c>
      <c r="AJ1098" s="11" t="n">
        <v>625</v>
      </c>
      <c r="AK1098" s="12" t="n">
        <v>-1805</v>
      </c>
      <c r="AL1098" s="12" t="n">
        <v>-1790</v>
      </c>
      <c r="AM1098" s="13" t="n">
        <v>-56.9</v>
      </c>
      <c r="AN1098" s="13" t="n">
        <v>-67.09999999999999</v>
      </c>
      <c r="AO1098" s="13" t="n">
        <v>39.9</v>
      </c>
      <c r="AP1098" s="13" t="n">
        <v>-31.4</v>
      </c>
    </row>
    <row r="1099">
      <c r="A1099" s="5" t="inlineStr">
        <is>
          <t>홈캐스트</t>
        </is>
      </c>
      <c r="B1099" s="6" t="inlineStr">
        <is>
          <t>064240</t>
        </is>
      </c>
      <c r="C1099" s="6" t="inlineStr">
        <is>
          <t>연결</t>
        </is>
      </c>
      <c r="D1099" s="6" t="inlineStr">
        <is>
          <t>2026Q2</t>
        </is>
      </c>
      <c r="E1099" s="6" t="inlineStr"/>
      <c r="F1099" s="7" t="inlineStr"/>
      <c r="G1099" s="8" t="inlineStr"/>
      <c r="H1099" s="8" t="inlineStr"/>
      <c r="I1099" s="9" t="n">
        <v>20262</v>
      </c>
      <c r="J1099" s="10" t="n">
        <v>-2369</v>
      </c>
      <c r="K1099" s="10" t="n">
        <v>-1728</v>
      </c>
      <c r="L1099" s="7" t="n">
        <v>22992</v>
      </c>
      <c r="M1099" s="8" t="n">
        <v>-952</v>
      </c>
      <c r="N1099" s="8" t="n">
        <v>-1129</v>
      </c>
      <c r="O1099" s="9" t="n">
        <v>10039</v>
      </c>
      <c r="P1099" s="10" t="n">
        <v>-2021</v>
      </c>
      <c r="Q1099" s="10" t="n">
        <v>-4365</v>
      </c>
      <c r="R1099" s="7" t="n">
        <v>44577</v>
      </c>
      <c r="S1099" s="8" t="n">
        <v>2904</v>
      </c>
      <c r="T1099" s="8" t="n">
        <v>3445</v>
      </c>
      <c r="U1099" s="9" t="n">
        <v>8600</v>
      </c>
      <c r="V1099" s="10" t="n">
        <v>-3143</v>
      </c>
      <c r="W1099" s="10" t="n">
        <v>-2455</v>
      </c>
      <c r="X1099" s="7" t="n">
        <v>7023</v>
      </c>
      <c r="Y1099" s="8" t="n">
        <v>-1444</v>
      </c>
      <c r="Z1099" s="8" t="n">
        <v>-5047</v>
      </c>
      <c r="AA1099" s="9" t="n">
        <v>15467</v>
      </c>
      <c r="AB1099" s="10" t="n">
        <v>-1284</v>
      </c>
      <c r="AC1099" s="10" t="n">
        <v>3204</v>
      </c>
      <c r="AD1099" s="7" t="n">
        <v>66906</v>
      </c>
      <c r="AE1099" s="8" t="n">
        <v>2995</v>
      </c>
      <c r="AF1099" s="8" t="n">
        <v>2128</v>
      </c>
      <c r="AG1099" s="9" t="n">
        <v>5064</v>
      </c>
      <c r="AH1099" s="10" t="n">
        <v>-2334</v>
      </c>
      <c r="AI1099" s="10" t="n">
        <v>-469</v>
      </c>
      <c r="AJ1099" s="11" t="n">
        <v>867</v>
      </c>
      <c r="AK1099" s="12" t="n">
        <v>-2010</v>
      </c>
      <c r="AL1099" s="12" t="n">
        <v>-2356</v>
      </c>
      <c r="AM1099" s="13" t="n">
        <v>-82.90000000000001</v>
      </c>
      <c r="AN1099" s="13" t="n">
        <v>-87.7</v>
      </c>
      <c r="AO1099" s="13" t="n">
        <v>13.9</v>
      </c>
      <c r="AP1099" s="13" t="n">
        <v>-39.2</v>
      </c>
    </row>
    <row r="1100">
      <c r="A1100" s="5" t="inlineStr">
        <is>
          <t>다날</t>
        </is>
      </c>
      <c r="B1100" s="6" t="inlineStr">
        <is>
          <t>064260</t>
        </is>
      </c>
      <c r="C1100" s="6" t="inlineStr">
        <is>
          <t>연결</t>
        </is>
      </c>
      <c r="D1100" s="6" t="inlineStr">
        <is>
          <t>2026Q2</t>
        </is>
      </c>
      <c r="E1100" s="6" t="inlineStr"/>
      <c r="F1100" s="7" t="inlineStr"/>
      <c r="G1100" s="8" t="inlineStr"/>
      <c r="H1100" s="8" t="inlineStr"/>
      <c r="I1100" s="9" t="n">
        <v>68676</v>
      </c>
      <c r="J1100" s="10" t="n">
        <v>2682</v>
      </c>
      <c r="K1100" s="10" t="n">
        <v>-1387</v>
      </c>
      <c r="L1100" s="7" t="n">
        <v>67516</v>
      </c>
      <c r="M1100" s="8" t="n">
        <v>-667</v>
      </c>
      <c r="N1100" s="8" t="n">
        <v>-3590</v>
      </c>
      <c r="O1100" s="9" t="n">
        <v>68248</v>
      </c>
      <c r="P1100" s="10" t="n">
        <v>5529</v>
      </c>
      <c r="Q1100" s="10" t="n">
        <v>-137</v>
      </c>
      <c r="R1100" s="7" t="n">
        <v>56497</v>
      </c>
      <c r="S1100" s="8" t="n">
        <v>-6151</v>
      </c>
      <c r="T1100" s="8" t="n">
        <v>8039</v>
      </c>
      <c r="U1100" s="9" t="n">
        <v>56668</v>
      </c>
      <c r="V1100" s="10" t="n">
        <v>2300</v>
      </c>
      <c r="W1100" s="10" t="n">
        <v>-2526</v>
      </c>
      <c r="X1100" s="7" t="n">
        <v>56539</v>
      </c>
      <c r="Y1100" s="8" t="n">
        <v>1076</v>
      </c>
      <c r="Z1100" s="8" t="n">
        <v>-17642</v>
      </c>
      <c r="AA1100" s="9" t="n">
        <v>56299</v>
      </c>
      <c r="AB1100" s="10" t="n">
        <v>2018</v>
      </c>
      <c r="AC1100" s="10" t="n">
        <v>-36415</v>
      </c>
      <c r="AD1100" s="7" t="n">
        <v>55871</v>
      </c>
      <c r="AE1100" s="8" t="n">
        <v>-3082</v>
      </c>
      <c r="AF1100" s="8" t="n">
        <v>-11781</v>
      </c>
      <c r="AG1100" s="9" t="n">
        <v>54851</v>
      </c>
      <c r="AH1100" s="10" t="n">
        <v>1187</v>
      </c>
      <c r="AI1100" s="10" t="n">
        <v>2427</v>
      </c>
      <c r="AJ1100" s="11" t="n">
        <v>60531</v>
      </c>
      <c r="AK1100" s="12" t="n">
        <v>1797</v>
      </c>
      <c r="AL1100" s="12" t="n">
        <v>-8195</v>
      </c>
      <c r="AM1100" s="13" t="n">
        <v>10.4</v>
      </c>
      <c r="AN1100" s="13" t="n">
        <v>7.1</v>
      </c>
      <c r="AO1100" s="13" t="n">
        <v>51.4</v>
      </c>
      <c r="AP1100" s="13" t="n">
        <v>67</v>
      </c>
    </row>
    <row r="1101">
      <c r="A1101" s="5" t="inlineStr">
        <is>
          <t>인텍플러스</t>
        </is>
      </c>
      <c r="B1101" s="6" t="inlineStr">
        <is>
          <t>064290</t>
        </is>
      </c>
      <c r="C1101" s="6" t="inlineStr">
        <is>
          <t>연결</t>
        </is>
      </c>
      <c r="D1101" s="6" t="inlineStr">
        <is>
          <t>2026Q2</t>
        </is>
      </c>
      <c r="E1101" s="6" t="inlineStr"/>
      <c r="F1101" s="7" t="inlineStr"/>
      <c r="G1101" s="8" t="inlineStr"/>
      <c r="H1101" s="8" t="inlineStr"/>
      <c r="I1101" s="9" t="n">
        <v>18898</v>
      </c>
      <c r="J1101" s="10" t="n">
        <v>-2481</v>
      </c>
      <c r="K1101" s="10" t="n">
        <v>-2219</v>
      </c>
      <c r="L1101" s="7" t="n">
        <v>22901</v>
      </c>
      <c r="M1101" s="8" t="n">
        <v>-5139</v>
      </c>
      <c r="N1101" s="8" t="n">
        <v>-4230</v>
      </c>
      <c r="O1101" s="9" t="n">
        <v>17576</v>
      </c>
      <c r="P1101" s="10" t="n">
        <v>-1810</v>
      </c>
      <c r="Q1101" s="10" t="n">
        <v>-3201</v>
      </c>
      <c r="R1101" s="7" t="n">
        <v>24498</v>
      </c>
      <c r="S1101" s="8" t="n">
        <v>-6157</v>
      </c>
      <c r="T1101" s="8" t="n">
        <v>-2219</v>
      </c>
      <c r="U1101" s="9" t="n">
        <v>14407</v>
      </c>
      <c r="V1101" s="10" t="n">
        <v>-4476</v>
      </c>
      <c r="W1101" s="10" t="n">
        <v>-5004</v>
      </c>
      <c r="X1101" s="7" t="n">
        <v>25150</v>
      </c>
      <c r="Y1101" s="8" t="n">
        <v>1576</v>
      </c>
      <c r="Z1101" s="8" t="n">
        <v>1047</v>
      </c>
      <c r="AA1101" s="9" t="n">
        <v>9926</v>
      </c>
      <c r="AB1101" s="10" t="n">
        <v>-4916</v>
      </c>
      <c r="AC1101" s="10" t="n">
        <v>-4979</v>
      </c>
      <c r="AD1101" s="7" t="n">
        <v>40282</v>
      </c>
      <c r="AE1101" s="8" t="n">
        <v>4081</v>
      </c>
      <c r="AF1101" s="8" t="n">
        <v>5617</v>
      </c>
      <c r="AG1101" s="9" t="n">
        <v>12805</v>
      </c>
      <c r="AH1101" s="10" t="n">
        <v>-1908</v>
      </c>
      <c r="AI1101" s="10" t="n">
        <v>-1447</v>
      </c>
      <c r="AJ1101" s="11" t="n">
        <v>8961</v>
      </c>
      <c r="AK1101" s="12" t="n">
        <v>-5117</v>
      </c>
      <c r="AL1101" s="12" t="n">
        <v>-6094</v>
      </c>
      <c r="AM1101" s="13" t="n">
        <v>-30</v>
      </c>
      <c r="AN1101" s="13" t="n">
        <v>-64.40000000000001</v>
      </c>
      <c r="AO1101" s="13" t="n">
        <v>-168.2</v>
      </c>
      <c r="AP1101" s="13" t="n">
        <v>-424.7</v>
      </c>
    </row>
    <row r="1102">
      <c r="A1102" s="5" t="inlineStr">
        <is>
          <t>현대로템</t>
        </is>
      </c>
      <c r="B1102" s="6" t="inlineStr">
        <is>
          <t>064350</t>
        </is>
      </c>
      <c r="C1102" s="6" t="inlineStr">
        <is>
          <t>연결</t>
        </is>
      </c>
      <c r="D1102" s="6" t="inlineStr">
        <is>
          <t>2026Q2</t>
        </is>
      </c>
      <c r="E1102" s="6" t="inlineStr">
        <is>
          <t>2023Q4</t>
        </is>
      </c>
      <c r="F1102" s="14" t="n">
        <v>989176</v>
      </c>
      <c r="G1102" s="15" t="n">
        <v>69782</v>
      </c>
      <c r="H1102" s="15" t="n">
        <v>46185</v>
      </c>
      <c r="I1102" s="9" t="n">
        <v>747779</v>
      </c>
      <c r="J1102" s="10" t="n">
        <v>44684</v>
      </c>
      <c r="K1102" s="10" t="n">
        <v>55633</v>
      </c>
      <c r="L1102" s="7" t="n">
        <v>1094527</v>
      </c>
      <c r="M1102" s="8" t="n">
        <v>112763</v>
      </c>
      <c r="N1102" s="8" t="n">
        <v>100834</v>
      </c>
      <c r="O1102" s="9" t="n">
        <v>1093523</v>
      </c>
      <c r="P1102" s="10" t="n">
        <v>137433</v>
      </c>
      <c r="Q1102" s="10" t="n">
        <v>103777</v>
      </c>
      <c r="R1102" s="7" t="n">
        <v>1440769</v>
      </c>
      <c r="S1102" s="8" t="n">
        <v>161686</v>
      </c>
      <c r="T1102" s="8" t="n">
        <v>145015</v>
      </c>
      <c r="U1102" s="9" t="n">
        <v>1176141</v>
      </c>
      <c r="V1102" s="10" t="n">
        <v>202853</v>
      </c>
      <c r="W1102" s="10" t="n">
        <v>157146</v>
      </c>
      <c r="X1102" s="7" t="n">
        <v>1417634</v>
      </c>
      <c r="Y1102" s="8" t="n">
        <v>257587</v>
      </c>
      <c r="Z1102" s="8" t="n">
        <v>189545</v>
      </c>
      <c r="AA1102" s="9" t="n">
        <v>1619635</v>
      </c>
      <c r="AB1102" s="10" t="n">
        <v>277744</v>
      </c>
      <c r="AC1102" s="10" t="n">
        <v>198375</v>
      </c>
      <c r="AD1102" s="7" t="n">
        <v>1625622</v>
      </c>
      <c r="AE1102" s="8" t="n">
        <v>267457</v>
      </c>
      <c r="AF1102" s="8" t="n">
        <v>225426</v>
      </c>
      <c r="AG1102" s="9" t="n">
        <v>1457453</v>
      </c>
      <c r="AH1102" s="10" t="n">
        <v>224201</v>
      </c>
      <c r="AI1102" s="10" t="n">
        <v>202670</v>
      </c>
      <c r="AJ1102" s="11" t="n">
        <v>1606051</v>
      </c>
      <c r="AK1102" s="12" t="n">
        <v>232383</v>
      </c>
      <c r="AL1102" s="12" t="n">
        <v>186275</v>
      </c>
      <c r="AM1102" s="13" t="n">
        <v>10.2</v>
      </c>
      <c r="AN1102" s="13" t="n">
        <v>13.3</v>
      </c>
      <c r="AO1102" s="13" t="n">
        <v>3.6</v>
      </c>
      <c r="AP1102" s="13" t="n">
        <v>-9.800000000000001</v>
      </c>
    </row>
    <row r="1103">
      <c r="A1103" s="5" t="inlineStr">
        <is>
          <t>LG씨엔에스</t>
        </is>
      </c>
      <c r="B1103" s="6" t="inlineStr">
        <is>
          <t>064400</t>
        </is>
      </c>
      <c r="C1103" s="6" t="inlineStr">
        <is>
          <t>연결</t>
        </is>
      </c>
      <c r="D1103" s="6" t="inlineStr">
        <is>
          <t>2026Q2</t>
        </is>
      </c>
      <c r="E1103" s="6" t="inlineStr">
        <is>
          <t>2024Q4</t>
        </is>
      </c>
      <c r="F1103" s="7" t="inlineStr"/>
      <c r="G1103" s="8" t="inlineStr"/>
      <c r="H1103" s="8" t="inlineStr"/>
      <c r="I1103" s="9" t="inlineStr"/>
      <c r="J1103" s="10" t="inlineStr"/>
      <c r="K1103" s="10" t="inlineStr"/>
      <c r="L1103" s="7" t="n">
        <v>1449647</v>
      </c>
      <c r="M1103" s="8" t="n">
        <v>137688</v>
      </c>
      <c r="N1103" s="8" t="n">
        <v>102089</v>
      </c>
      <c r="O1103" s="9" t="n">
        <v>1438377</v>
      </c>
      <c r="P1103" s="10" t="n">
        <v>142788</v>
      </c>
      <c r="Q1103" s="10" t="n">
        <v>117926</v>
      </c>
      <c r="R1103" s="14" t="n">
        <v>2024206</v>
      </c>
      <c r="S1103" s="15" t="n">
        <v>200099</v>
      </c>
      <c r="T1103" s="15" t="n">
        <v>132191</v>
      </c>
      <c r="U1103" s="9" t="n">
        <v>1211381</v>
      </c>
      <c r="V1103" s="10" t="n">
        <v>78895</v>
      </c>
      <c r="W1103" s="10" t="n">
        <v>57288</v>
      </c>
      <c r="X1103" s="7" t="n">
        <v>1460159</v>
      </c>
      <c r="Y1103" s="8" t="n">
        <v>140790</v>
      </c>
      <c r="Z1103" s="8" t="n">
        <v>99039</v>
      </c>
      <c r="AA1103" s="9" t="n">
        <v>1522343</v>
      </c>
      <c r="AB1103" s="10" t="n">
        <v>120175</v>
      </c>
      <c r="AC1103" s="10" t="n">
        <v>105220</v>
      </c>
      <c r="AD1103" s="7" t="n">
        <v>1935660</v>
      </c>
      <c r="AE1103" s="8" t="n">
        <v>211968</v>
      </c>
      <c r="AF1103" s="8" t="n">
        <v>177611</v>
      </c>
      <c r="AG1103" s="9" t="n">
        <v>1314998</v>
      </c>
      <c r="AH1103" s="10" t="n">
        <v>94197</v>
      </c>
      <c r="AI1103" s="10" t="n">
        <v>80908</v>
      </c>
      <c r="AJ1103" s="11" t="n">
        <v>1520828</v>
      </c>
      <c r="AK1103" s="12" t="n">
        <v>127880</v>
      </c>
      <c r="AL1103" s="12" t="n">
        <v>118738</v>
      </c>
      <c r="AM1103" s="13" t="n">
        <v>15.7</v>
      </c>
      <c r="AN1103" s="13" t="n">
        <v>4.2</v>
      </c>
      <c r="AO1103" s="13" t="n">
        <v>35.8</v>
      </c>
      <c r="AP1103" s="13" t="n">
        <v>-9.199999999999999</v>
      </c>
    </row>
    <row r="1104">
      <c r="A1104" s="5" t="inlineStr">
        <is>
          <t>브리지텍</t>
        </is>
      </c>
      <c r="B1104" s="6" t="inlineStr">
        <is>
          <t>064480</t>
        </is>
      </c>
      <c r="C1104" s="6" t="inlineStr">
        <is>
          <t>별도</t>
        </is>
      </c>
      <c r="D1104" s="6" t="inlineStr">
        <is>
          <t>2026Q2</t>
        </is>
      </c>
      <c r="E1104" s="6" t="inlineStr">
        <is>
          <t>2023Q4</t>
        </is>
      </c>
      <c r="F1104" s="14" t="n">
        <v>53544</v>
      </c>
      <c r="G1104" s="15" t="n">
        <v>4163</v>
      </c>
      <c r="H1104" s="15" t="n">
        <v>3574</v>
      </c>
      <c r="I1104" s="9" t="n">
        <v>13109</v>
      </c>
      <c r="J1104" s="10" t="n">
        <v>138</v>
      </c>
      <c r="K1104" s="10" t="n">
        <v>222</v>
      </c>
      <c r="L1104" s="7" t="n">
        <v>7750</v>
      </c>
      <c r="M1104" s="8" t="n">
        <v>-1749</v>
      </c>
      <c r="N1104" s="8" t="n">
        <v>-1358</v>
      </c>
      <c r="O1104" s="9" t="n">
        <v>10319</v>
      </c>
      <c r="P1104" s="10" t="n">
        <v>-468</v>
      </c>
      <c r="Q1104" s="10" t="n">
        <v>-665</v>
      </c>
      <c r="R1104" s="7" t="n">
        <v>12383</v>
      </c>
      <c r="S1104" s="8" t="n">
        <v>-1176</v>
      </c>
      <c r="T1104" s="8" t="n">
        <v>-962</v>
      </c>
      <c r="U1104" s="9" t="n">
        <v>13472</v>
      </c>
      <c r="V1104" s="10" t="n">
        <v>-879</v>
      </c>
      <c r="W1104" s="10" t="n">
        <v>-805</v>
      </c>
      <c r="X1104" s="7" t="n">
        <v>9739</v>
      </c>
      <c r="Y1104" s="8" t="n">
        <v>-1232</v>
      </c>
      <c r="Z1104" s="8" t="n">
        <v>-1219</v>
      </c>
      <c r="AA1104" s="9" t="n">
        <v>12212</v>
      </c>
      <c r="AB1104" s="10" t="n">
        <v>433</v>
      </c>
      <c r="AC1104" s="10" t="n">
        <v>545</v>
      </c>
      <c r="AD1104" s="7" t="n">
        <v>14254</v>
      </c>
      <c r="AE1104" s="8" t="n">
        <v>1988</v>
      </c>
      <c r="AF1104" s="8" t="n">
        <v>1992</v>
      </c>
      <c r="AG1104" s="9" t="n">
        <v>11186</v>
      </c>
      <c r="AH1104" s="10" t="n">
        <v>347</v>
      </c>
      <c r="AI1104" s="10" t="n">
        <v>401</v>
      </c>
      <c r="AJ1104" s="11" t="n">
        <v>11181</v>
      </c>
      <c r="AK1104" s="12" t="n">
        <v>977</v>
      </c>
      <c r="AL1104" s="12" t="n">
        <v>1028</v>
      </c>
      <c r="AM1104" s="13" t="n">
        <v>-0</v>
      </c>
      <c r="AN1104" s="13" t="n">
        <v>14.8</v>
      </c>
      <c r="AO1104" s="13" t="n">
        <v>181.6</v>
      </c>
      <c r="AP1104" s="13" t="n">
        <v>179.3</v>
      </c>
    </row>
    <row r="1105">
      <c r="A1105" s="5" t="inlineStr">
        <is>
          <t>테크엘</t>
        </is>
      </c>
      <c r="B1105" s="6" t="inlineStr">
        <is>
          <t>064520</t>
        </is>
      </c>
      <c r="C1105" s="6" t="inlineStr">
        <is>
          <t>연결</t>
        </is>
      </c>
      <c r="D1105" s="6" t="inlineStr">
        <is>
          <t>2026Q2</t>
        </is>
      </c>
      <c r="E1105" s="6" t="inlineStr"/>
      <c r="F1105" s="7" t="inlineStr"/>
      <c r="G1105" s="8" t="inlineStr"/>
      <c r="H1105" s="8" t="inlineStr"/>
      <c r="I1105" s="9" t="n">
        <v>8418</v>
      </c>
      <c r="J1105" s="10" t="n">
        <v>797</v>
      </c>
      <c r="K1105" s="10" t="n">
        <v>1189</v>
      </c>
      <c r="L1105" s="7" t="n">
        <v>6780</v>
      </c>
      <c r="M1105" s="8" t="n">
        <v>-25</v>
      </c>
      <c r="N1105" s="8" t="n">
        <v>-1405</v>
      </c>
      <c r="O1105" s="9" t="n">
        <v>5021</v>
      </c>
      <c r="P1105" s="10" t="n">
        <v>-399</v>
      </c>
      <c r="Q1105" s="10" t="n">
        <v>-314</v>
      </c>
      <c r="R1105" s="7" t="n">
        <v>5083</v>
      </c>
      <c r="S1105" s="8" t="n">
        <v>-748</v>
      </c>
      <c r="T1105" s="8" t="n">
        <v>58</v>
      </c>
      <c r="U1105" s="9" t="n">
        <v>4887</v>
      </c>
      <c r="V1105" s="10" t="n">
        <v>-1026</v>
      </c>
      <c r="W1105" s="10" t="n">
        <v>-601</v>
      </c>
      <c r="X1105" s="7" t="n">
        <v>3980</v>
      </c>
      <c r="Y1105" s="8" t="n">
        <v>-1465</v>
      </c>
      <c r="Z1105" s="8" t="n">
        <v>-2369</v>
      </c>
      <c r="AA1105" s="9" t="n">
        <v>4498</v>
      </c>
      <c r="AB1105" s="10" t="n">
        <v>-1153</v>
      </c>
      <c r="AC1105" s="10" t="n">
        <v>-408</v>
      </c>
      <c r="AD1105" s="7" t="n">
        <v>4785</v>
      </c>
      <c r="AE1105" s="8" t="n">
        <v>-1960</v>
      </c>
      <c r="AF1105" s="8" t="n">
        <v>-1287</v>
      </c>
      <c r="AG1105" s="9" t="n">
        <v>2675</v>
      </c>
      <c r="AH1105" s="10" t="n">
        <v>-1809</v>
      </c>
      <c r="AI1105" s="10" t="n">
        <v>-437</v>
      </c>
      <c r="AJ1105" s="11" t="n">
        <v>1769</v>
      </c>
      <c r="AK1105" s="12" t="n">
        <v>-1661</v>
      </c>
      <c r="AL1105" s="12" t="n">
        <v>178</v>
      </c>
      <c r="AM1105" s="13" t="n">
        <v>-33.9</v>
      </c>
      <c r="AN1105" s="13" t="n">
        <v>-55.6</v>
      </c>
      <c r="AO1105" s="13" t="n">
        <v>8.199999999999999</v>
      </c>
      <c r="AP1105" s="13" t="n">
        <v>-13.4</v>
      </c>
    </row>
    <row r="1106">
      <c r="A1106" s="5" t="inlineStr">
        <is>
          <t>바이오니아</t>
        </is>
      </c>
      <c r="B1106" s="6" t="inlineStr">
        <is>
          <t>064550</t>
        </is>
      </c>
      <c r="C1106" s="6" t="inlineStr">
        <is>
          <t>연결</t>
        </is>
      </c>
      <c r="D1106" s="6" t="inlineStr">
        <is>
          <t>2026Q2</t>
        </is>
      </c>
      <c r="E1106" s="6" t="inlineStr"/>
      <c r="F1106" s="7" t="inlineStr"/>
      <c r="G1106" s="8" t="inlineStr"/>
      <c r="H1106" s="8" t="inlineStr"/>
      <c r="I1106" s="9" t="n">
        <v>79216</v>
      </c>
      <c r="J1106" s="10" t="n">
        <v>2777</v>
      </c>
      <c r="K1106" s="10" t="n">
        <v>746</v>
      </c>
      <c r="L1106" s="7" t="n">
        <v>78444</v>
      </c>
      <c r="M1106" s="8" t="n">
        <v>-595</v>
      </c>
      <c r="N1106" s="8" t="n">
        <v>-1936</v>
      </c>
      <c r="O1106" s="9" t="n">
        <v>65882</v>
      </c>
      <c r="P1106" s="10" t="n">
        <v>-8172</v>
      </c>
      <c r="Q1106" s="10" t="n">
        <v>-9619</v>
      </c>
      <c r="R1106" s="7" t="n">
        <v>70433</v>
      </c>
      <c r="S1106" s="8" t="n">
        <v>-7427</v>
      </c>
      <c r="T1106" s="8" t="n">
        <v>-8233</v>
      </c>
      <c r="U1106" s="9" t="n">
        <v>73909</v>
      </c>
      <c r="V1106" s="10" t="n">
        <v>4344</v>
      </c>
      <c r="W1106" s="10" t="n">
        <v>1133</v>
      </c>
      <c r="X1106" s="7" t="n">
        <v>88283</v>
      </c>
      <c r="Y1106" s="8" t="n">
        <v>5297</v>
      </c>
      <c r="Z1106" s="8" t="n">
        <v>345</v>
      </c>
      <c r="AA1106" s="9" t="n">
        <v>88065</v>
      </c>
      <c r="AB1106" s="10" t="n">
        <v>2885</v>
      </c>
      <c r="AC1106" s="10" t="n">
        <v>63</v>
      </c>
      <c r="AD1106" s="7" t="n">
        <v>79854</v>
      </c>
      <c r="AE1106" s="8" t="n">
        <v>2699</v>
      </c>
      <c r="AF1106" s="8" t="n">
        <v>166</v>
      </c>
      <c r="AG1106" s="9" t="n">
        <v>81810</v>
      </c>
      <c r="AH1106" s="10" t="n">
        <v>-526</v>
      </c>
      <c r="AI1106" s="10" t="n">
        <v>-2803</v>
      </c>
      <c r="AJ1106" s="11" t="n">
        <v>96153</v>
      </c>
      <c r="AK1106" s="12" t="n">
        <v>1176</v>
      </c>
      <c r="AL1106" s="12" t="n">
        <v>-1100</v>
      </c>
      <c r="AM1106" s="13" t="n">
        <v>17.5</v>
      </c>
      <c r="AN1106" s="13" t="n">
        <v>8.9</v>
      </c>
      <c r="AO1106" s="13" t="n">
        <v>323.6</v>
      </c>
      <c r="AP1106" s="13" t="n">
        <v>-77.8</v>
      </c>
    </row>
    <row r="1107">
      <c r="A1107" s="5" t="inlineStr">
        <is>
          <t>티씨케이</t>
        </is>
      </c>
      <c r="B1107" s="6" t="inlineStr">
        <is>
          <t>064760</t>
        </is>
      </c>
      <c r="C1107" s="6" t="inlineStr">
        <is>
          <t>별도</t>
        </is>
      </c>
      <c r="D1107" s="6" t="inlineStr">
        <is>
          <t>2026Q2</t>
        </is>
      </c>
      <c r="E1107" s="6" t="inlineStr"/>
      <c r="F1107" s="7" t="inlineStr"/>
      <c r="G1107" s="8" t="inlineStr"/>
      <c r="H1107" s="8" t="inlineStr"/>
      <c r="I1107" s="9" t="n">
        <v>58983</v>
      </c>
      <c r="J1107" s="10" t="n">
        <v>17369</v>
      </c>
      <c r="K1107" s="10" t="n">
        <v>15592</v>
      </c>
      <c r="L1107" s="7" t="n">
        <v>68344</v>
      </c>
      <c r="M1107" s="8" t="n">
        <v>20325</v>
      </c>
      <c r="N1107" s="8" t="n">
        <v>19031</v>
      </c>
      <c r="O1107" s="9" t="n">
        <v>75623</v>
      </c>
      <c r="P1107" s="10" t="n">
        <v>22556</v>
      </c>
      <c r="Q1107" s="10" t="n">
        <v>18720</v>
      </c>
      <c r="R1107" s="7" t="n">
        <v>72775</v>
      </c>
      <c r="S1107" s="8" t="n">
        <v>20498</v>
      </c>
      <c r="T1107" s="8" t="n">
        <v>18651</v>
      </c>
      <c r="U1107" s="9" t="n">
        <v>78362</v>
      </c>
      <c r="V1107" s="10" t="n">
        <v>23474</v>
      </c>
      <c r="W1107" s="10" t="n">
        <v>19519</v>
      </c>
      <c r="X1107" s="7" t="n">
        <v>72674</v>
      </c>
      <c r="Y1107" s="8" t="n">
        <v>19502</v>
      </c>
      <c r="Z1107" s="8" t="n">
        <v>15987</v>
      </c>
      <c r="AA1107" s="9" t="n">
        <v>79241</v>
      </c>
      <c r="AB1107" s="10" t="n">
        <v>22377</v>
      </c>
      <c r="AC1107" s="10" t="n">
        <v>17138</v>
      </c>
      <c r="AD1107" s="7" t="n">
        <v>71057</v>
      </c>
      <c r="AE1107" s="8" t="n">
        <v>18534</v>
      </c>
      <c r="AF1107" s="8" t="n">
        <v>17259</v>
      </c>
      <c r="AG1107" s="9" t="n">
        <v>95392</v>
      </c>
      <c r="AH1107" s="10" t="n">
        <v>28554</v>
      </c>
      <c r="AI1107" s="10" t="n">
        <v>25113</v>
      </c>
      <c r="AJ1107" s="11" t="n">
        <v>94873</v>
      </c>
      <c r="AK1107" s="12" t="n">
        <v>26850</v>
      </c>
      <c r="AL1107" s="12" t="n">
        <v>23651</v>
      </c>
      <c r="AM1107" s="13" t="n">
        <v>-0.5</v>
      </c>
      <c r="AN1107" s="13" t="n">
        <v>30.5</v>
      </c>
      <c r="AO1107" s="13" t="n">
        <v>-6</v>
      </c>
      <c r="AP1107" s="13" t="n">
        <v>37.7</v>
      </c>
    </row>
    <row r="1108">
      <c r="A1108" s="5" t="inlineStr">
        <is>
          <t>포니링크</t>
        </is>
      </c>
      <c r="B1108" s="6" t="inlineStr">
        <is>
          <t>064800</t>
        </is>
      </c>
      <c r="C1108" s="6" t="inlineStr">
        <is>
          <t>연결</t>
        </is>
      </c>
      <c r="D1108" s="6" t="inlineStr">
        <is>
          <t>2026Q2</t>
        </is>
      </c>
      <c r="E1108" s="6" t="inlineStr"/>
      <c r="F1108" s="7" t="inlineStr"/>
      <c r="G1108" s="8" t="inlineStr"/>
      <c r="H1108" s="8" t="inlineStr"/>
      <c r="I1108" s="9" t="n">
        <v>19893</v>
      </c>
      <c r="J1108" s="10" t="n">
        <v>-9132</v>
      </c>
      <c r="K1108" s="10" t="n">
        <v>-11595</v>
      </c>
      <c r="L1108" s="7" t="n">
        <v>17076</v>
      </c>
      <c r="M1108" s="8" t="n">
        <v>-5542</v>
      </c>
      <c r="N1108" s="8" t="n">
        <v>-29274</v>
      </c>
      <c r="O1108" s="9" t="n">
        <v>12674</v>
      </c>
      <c r="P1108" s="10" t="n">
        <v>-6097</v>
      </c>
      <c r="Q1108" s="10" t="n">
        <v>24430</v>
      </c>
      <c r="R1108" s="7" t="n">
        <v>11655</v>
      </c>
      <c r="S1108" s="8" t="n">
        <v>-5388</v>
      </c>
      <c r="T1108" s="8" t="n">
        <v>-21952</v>
      </c>
      <c r="U1108" s="9" t="n">
        <v>10651</v>
      </c>
      <c r="V1108" s="10" t="n">
        <v>-3730</v>
      </c>
      <c r="W1108" s="10" t="n">
        <v>45250</v>
      </c>
      <c r="X1108" s="7" t="n">
        <v>9779</v>
      </c>
      <c r="Y1108" s="8" t="n">
        <v>-5017</v>
      </c>
      <c r="Z1108" s="8" t="n">
        <v>65251</v>
      </c>
      <c r="AA1108" s="9" t="n">
        <v>11039</v>
      </c>
      <c r="AB1108" s="10" t="n">
        <v>-5705</v>
      </c>
      <c r="AC1108" s="10" t="n">
        <v>-33301</v>
      </c>
      <c r="AD1108" s="7" t="n">
        <v>13422</v>
      </c>
      <c r="AE1108" s="8" t="n">
        <v>-6669</v>
      </c>
      <c r="AF1108" s="8" t="n">
        <v>-61352</v>
      </c>
      <c r="AG1108" s="9" t="n">
        <v>10170</v>
      </c>
      <c r="AH1108" s="10" t="n">
        <v>-4131</v>
      </c>
      <c r="AI1108" s="10" t="n">
        <v>8105</v>
      </c>
      <c r="AJ1108" s="11" t="n">
        <v>11974</v>
      </c>
      <c r="AK1108" s="12" t="n">
        <v>-4417</v>
      </c>
      <c r="AL1108" s="12" t="n">
        <v>-58708</v>
      </c>
      <c r="AM1108" s="13" t="n">
        <v>17.7</v>
      </c>
      <c r="AN1108" s="13" t="n">
        <v>22.4</v>
      </c>
      <c r="AO1108" s="13" t="n">
        <v>-6.9</v>
      </c>
      <c r="AP1108" s="13" t="n">
        <v>12</v>
      </c>
    </row>
    <row r="1109">
      <c r="A1109" s="5" t="inlineStr">
        <is>
          <t>케이프</t>
        </is>
      </c>
      <c r="B1109" s="6" t="inlineStr">
        <is>
          <t>064820</t>
        </is>
      </c>
      <c r="C1109" s="6" t="inlineStr">
        <is>
          <t>연결</t>
        </is>
      </c>
      <c r="D1109" s="6" t="inlineStr">
        <is>
          <t>2026Q2</t>
        </is>
      </c>
      <c r="E1109" s="6" t="inlineStr"/>
      <c r="F1109" s="7" t="inlineStr"/>
      <c r="G1109" s="8" t="inlineStr"/>
      <c r="H1109" s="8" t="inlineStr"/>
      <c r="I1109" s="9" t="n">
        <v>134617</v>
      </c>
      <c r="J1109" s="10" t="n">
        <v>10032</v>
      </c>
      <c r="K1109" s="10" t="n">
        <v>8303</v>
      </c>
      <c r="L1109" s="7" t="n">
        <v>124885</v>
      </c>
      <c r="M1109" s="8" t="n">
        <v>10849</v>
      </c>
      <c r="N1109" s="8" t="n">
        <v>3868</v>
      </c>
      <c r="O1109" s="9" t="n">
        <v>125779</v>
      </c>
      <c r="P1109" s="10" t="n">
        <v>10100</v>
      </c>
      <c r="Q1109" s="10" t="n">
        <v>6454</v>
      </c>
      <c r="R1109" s="7" t="n">
        <v>131221</v>
      </c>
      <c r="S1109" s="8" t="n">
        <v>8011</v>
      </c>
      <c r="T1109" s="8" t="n">
        <v>-327</v>
      </c>
      <c r="U1109" s="9" t="n">
        <v>128219</v>
      </c>
      <c r="V1109" s="10" t="n">
        <v>4318</v>
      </c>
      <c r="W1109" s="10" t="n">
        <v>1262</v>
      </c>
      <c r="X1109" s="7" t="n">
        <v>160467</v>
      </c>
      <c r="Y1109" s="8" t="n">
        <v>34794</v>
      </c>
      <c r="Z1109" s="8" t="n">
        <v>18583</v>
      </c>
      <c r="AA1109" s="9" t="n">
        <v>137833</v>
      </c>
      <c r="AB1109" s="10" t="n">
        <v>15557</v>
      </c>
      <c r="AC1109" s="10" t="n">
        <v>12101</v>
      </c>
      <c r="AD1109" s="7" t="n">
        <v>153255</v>
      </c>
      <c r="AE1109" s="8" t="n">
        <v>-4705</v>
      </c>
      <c r="AF1109" s="8" t="n">
        <v>32291</v>
      </c>
      <c r="AG1109" s="9" t="n">
        <v>187683</v>
      </c>
      <c r="AH1109" s="10" t="n">
        <v>28188</v>
      </c>
      <c r="AI1109" s="10" t="n">
        <v>20460</v>
      </c>
      <c r="AJ1109" s="11" t="n">
        <v>161093</v>
      </c>
      <c r="AK1109" s="12" t="n">
        <v>2793</v>
      </c>
      <c r="AL1109" s="12" t="n">
        <v>-681</v>
      </c>
      <c r="AM1109" s="13" t="n">
        <v>-14.2</v>
      </c>
      <c r="AN1109" s="13" t="n">
        <v>0.4</v>
      </c>
      <c r="AO1109" s="13" t="n">
        <v>-90.09999999999999</v>
      </c>
      <c r="AP1109" s="13" t="n">
        <v>-92</v>
      </c>
    </row>
    <row r="1110">
      <c r="A1110" s="5" t="inlineStr">
        <is>
          <t>에프앤가이드</t>
        </is>
      </c>
      <c r="B1110" s="6" t="inlineStr">
        <is>
          <t>064850</t>
        </is>
      </c>
      <c r="C1110" s="6" t="inlineStr">
        <is>
          <t>연결</t>
        </is>
      </c>
      <c r="D1110" s="6" t="inlineStr">
        <is>
          <t>2026Q2</t>
        </is>
      </c>
      <c r="E1110" s="6" t="inlineStr"/>
      <c r="F1110" s="7" t="inlineStr"/>
      <c r="G1110" s="8" t="inlineStr"/>
      <c r="H1110" s="8" t="inlineStr"/>
      <c r="I1110" s="9" t="n">
        <v>7634</v>
      </c>
      <c r="J1110" s="10" t="n">
        <v>1438</v>
      </c>
      <c r="K1110" s="10" t="n">
        <v>1203</v>
      </c>
      <c r="L1110" s="7" t="n">
        <v>8049</v>
      </c>
      <c r="M1110" s="8" t="n">
        <v>1843</v>
      </c>
      <c r="N1110" s="8" t="n">
        <v>1720</v>
      </c>
      <c r="O1110" s="9" t="n">
        <v>7994</v>
      </c>
      <c r="P1110" s="10" t="n">
        <v>1989</v>
      </c>
      <c r="Q1110" s="10" t="n">
        <v>863</v>
      </c>
      <c r="R1110" s="7" t="n">
        <v>7931</v>
      </c>
      <c r="S1110" s="8" t="n">
        <v>2378</v>
      </c>
      <c r="T1110" s="8" t="n">
        <v>317</v>
      </c>
      <c r="U1110" s="9" t="n">
        <v>9887</v>
      </c>
      <c r="V1110" s="10" t="n">
        <v>2090</v>
      </c>
      <c r="W1110" s="10" t="n">
        <v>1682</v>
      </c>
      <c r="X1110" s="7" t="n">
        <v>7600</v>
      </c>
      <c r="Y1110" s="8" t="n">
        <v>2063</v>
      </c>
      <c r="Z1110" s="8" t="n">
        <v>3260</v>
      </c>
      <c r="AA1110" s="9" t="n">
        <v>8408</v>
      </c>
      <c r="AB1110" s="10" t="n">
        <v>2685</v>
      </c>
      <c r="AC1110" s="10" t="n">
        <v>2580</v>
      </c>
      <c r="AD1110" s="7" t="n">
        <v>9507</v>
      </c>
      <c r="AE1110" s="8" t="n">
        <v>3825</v>
      </c>
      <c r="AF1110" s="8" t="n">
        <v>2524</v>
      </c>
      <c r="AG1110" s="9" t="n">
        <v>11514</v>
      </c>
      <c r="AH1110" s="10" t="n">
        <v>4681</v>
      </c>
      <c r="AI1110" s="10" t="n">
        <v>4847</v>
      </c>
      <c r="AJ1110" s="11" t="n">
        <v>14921</v>
      </c>
      <c r="AK1110" s="12" t="n">
        <v>7863</v>
      </c>
      <c r="AL1110" s="12" t="n">
        <v>6164</v>
      </c>
      <c r="AM1110" s="13" t="n">
        <v>29.6</v>
      </c>
      <c r="AN1110" s="13" t="n">
        <v>96.3</v>
      </c>
      <c r="AO1110" s="13" t="n">
        <v>68</v>
      </c>
      <c r="AP1110" s="13" t="n">
        <v>281.1</v>
      </c>
    </row>
    <row r="1111">
      <c r="A1111" s="5" t="inlineStr">
        <is>
          <t>SNT모티브</t>
        </is>
      </c>
      <c r="B1111" s="6" t="inlineStr">
        <is>
          <t>064960</t>
        </is>
      </c>
      <c r="C1111" s="6" t="inlineStr">
        <is>
          <t>연결</t>
        </is>
      </c>
      <c r="D1111" s="6" t="inlineStr">
        <is>
          <t>2026Q2</t>
        </is>
      </c>
      <c r="E1111" s="6" t="inlineStr"/>
      <c r="F1111" s="7" t="inlineStr"/>
      <c r="G1111" s="8" t="inlineStr"/>
      <c r="H1111" s="8" t="inlineStr"/>
      <c r="I1111" s="9" t="n">
        <v>221991</v>
      </c>
      <c r="J1111" s="10" t="n">
        <v>22009</v>
      </c>
      <c r="K1111" s="10" t="n">
        <v>26937</v>
      </c>
      <c r="L1111" s="7" t="n">
        <v>240286</v>
      </c>
      <c r="M1111" s="8" t="n">
        <v>25092</v>
      </c>
      <c r="N1111" s="8" t="n">
        <v>27243</v>
      </c>
      <c r="O1111" s="9" t="n">
        <v>220829</v>
      </c>
      <c r="P1111" s="10" t="n">
        <v>22022</v>
      </c>
      <c r="Q1111" s="10" t="n">
        <v>16963</v>
      </c>
      <c r="R1111" s="7" t="n">
        <v>285792</v>
      </c>
      <c r="S1111" s="8" t="n">
        <v>29005</v>
      </c>
      <c r="T1111" s="8" t="n">
        <v>33203</v>
      </c>
      <c r="U1111" s="9" t="n">
        <v>226185</v>
      </c>
      <c r="V1111" s="10" t="n">
        <v>23018</v>
      </c>
      <c r="W1111" s="10" t="n">
        <v>21279</v>
      </c>
      <c r="X1111" s="7" t="n">
        <v>257540</v>
      </c>
      <c r="Y1111" s="8" t="n">
        <v>26646</v>
      </c>
      <c r="Z1111" s="8" t="n">
        <v>14166</v>
      </c>
      <c r="AA1111" s="9" t="n">
        <v>231085</v>
      </c>
      <c r="AB1111" s="10" t="n">
        <v>22002</v>
      </c>
      <c r="AC1111" s="10" t="n">
        <v>21263</v>
      </c>
      <c r="AD1111" s="7" t="n">
        <v>291564</v>
      </c>
      <c r="AE1111" s="8" t="n">
        <v>30887</v>
      </c>
      <c r="AF1111" s="8" t="n">
        <v>12800</v>
      </c>
      <c r="AG1111" s="9" t="n">
        <v>215596</v>
      </c>
      <c r="AH1111" s="10" t="n">
        <v>21542</v>
      </c>
      <c r="AI1111" s="10" t="n">
        <v>24855</v>
      </c>
      <c r="AJ1111" s="11" t="n">
        <v>258025</v>
      </c>
      <c r="AK1111" s="12" t="n">
        <v>25842</v>
      </c>
      <c r="AL1111" s="12" t="n">
        <v>23814</v>
      </c>
      <c r="AM1111" s="13" t="n">
        <v>19.7</v>
      </c>
      <c r="AN1111" s="13" t="n">
        <v>0.2</v>
      </c>
      <c r="AO1111" s="13" t="n">
        <v>20</v>
      </c>
      <c r="AP1111" s="13" t="n">
        <v>-3</v>
      </c>
    </row>
    <row r="1112">
      <c r="A1112" s="5" t="inlineStr">
        <is>
          <t>지엔코</t>
        </is>
      </c>
      <c r="B1112" s="6" t="inlineStr">
        <is>
          <t>065060</t>
        </is>
      </c>
      <c r="C1112" s="6" t="inlineStr">
        <is>
          <t>연결</t>
        </is>
      </c>
      <c r="D1112" s="6" t="inlineStr">
        <is>
          <t>2026Q2</t>
        </is>
      </c>
      <c r="E1112" s="6" t="inlineStr"/>
      <c r="F1112" s="7" t="inlineStr"/>
      <c r="G1112" s="8" t="inlineStr"/>
      <c r="H1112" s="8" t="inlineStr"/>
      <c r="I1112" s="9" t="n">
        <v>30090</v>
      </c>
      <c r="J1112" s="10" t="n">
        <v>-1959</v>
      </c>
      <c r="K1112" s="10" t="n">
        <v>-2224</v>
      </c>
      <c r="L1112" s="7" t="n">
        <v>35180</v>
      </c>
      <c r="M1112" s="8" t="n">
        <v>2164</v>
      </c>
      <c r="N1112" s="8" t="n">
        <v>5014</v>
      </c>
      <c r="O1112" s="9" t="n">
        <v>26286</v>
      </c>
      <c r="P1112" s="10" t="n">
        <v>-1602</v>
      </c>
      <c r="Q1112" s="10" t="n">
        <v>-1638</v>
      </c>
      <c r="R1112" s="7" t="n">
        <v>29617</v>
      </c>
      <c r="S1112" s="8" t="n">
        <v>-2532</v>
      </c>
      <c r="T1112" s="8" t="n">
        <v>-9357</v>
      </c>
      <c r="U1112" s="9" t="n">
        <v>24964</v>
      </c>
      <c r="V1112" s="10" t="n">
        <v>-165</v>
      </c>
      <c r="W1112" s="10" t="n">
        <v>-3058</v>
      </c>
      <c r="X1112" s="7" t="n">
        <v>31096</v>
      </c>
      <c r="Y1112" s="8" t="n">
        <v>-484</v>
      </c>
      <c r="Z1112" s="8" t="n">
        <v>-2760</v>
      </c>
      <c r="AA1112" s="9" t="n">
        <v>25551</v>
      </c>
      <c r="AB1112" s="10" t="n">
        <v>266</v>
      </c>
      <c r="AC1112" s="10" t="n">
        <v>-648</v>
      </c>
      <c r="AD1112" s="7" t="n">
        <v>29256</v>
      </c>
      <c r="AE1112" s="8" t="n">
        <v>-26</v>
      </c>
      <c r="AF1112" s="8" t="n">
        <v>-2086</v>
      </c>
      <c r="AG1112" s="9" t="n">
        <v>22498</v>
      </c>
      <c r="AH1112" s="10" t="n">
        <v>-1100</v>
      </c>
      <c r="AI1112" s="10" t="n">
        <v>-2276</v>
      </c>
      <c r="AJ1112" s="11" t="n">
        <v>31725</v>
      </c>
      <c r="AK1112" s="12" t="n">
        <v>4314</v>
      </c>
      <c r="AL1112" s="12" t="n">
        <v>2583</v>
      </c>
      <c r="AM1112" s="13" t="n">
        <v>41</v>
      </c>
      <c r="AN1112" s="13" t="n">
        <v>2</v>
      </c>
      <c r="AO1112" s="13" t="n">
        <v>492.2</v>
      </c>
      <c r="AP1112" s="13" t="n">
        <v>991.3</v>
      </c>
    </row>
    <row r="1113">
      <c r="A1113" s="5" t="inlineStr">
        <is>
          <t>탑엔지니어링</t>
        </is>
      </c>
      <c r="B1113" s="6" t="inlineStr">
        <is>
          <t>065130</t>
        </is>
      </c>
      <c r="C1113" s="6" t="inlineStr">
        <is>
          <t>연결</t>
        </is>
      </c>
      <c r="D1113" s="6" t="inlineStr">
        <is>
          <t>2026Q2</t>
        </is>
      </c>
      <c r="E1113" s="6" t="inlineStr"/>
      <c r="F1113" s="7" t="inlineStr"/>
      <c r="G1113" s="8" t="inlineStr"/>
      <c r="H1113" s="8" t="inlineStr"/>
      <c r="I1113" s="9" t="n">
        <v>204136</v>
      </c>
      <c r="J1113" s="10" t="n">
        <v>-8170</v>
      </c>
      <c r="K1113" s="10" t="n">
        <v>-2253</v>
      </c>
      <c r="L1113" s="7" t="n">
        <v>199055</v>
      </c>
      <c r="M1113" s="8" t="n">
        <v>5711</v>
      </c>
      <c r="N1113" s="8" t="n">
        <v>6813</v>
      </c>
      <c r="O1113" s="9" t="n">
        <v>217120</v>
      </c>
      <c r="P1113" s="10" t="n">
        <v>-8838</v>
      </c>
      <c r="Q1113" s="10" t="n">
        <v>-12784</v>
      </c>
      <c r="R1113" s="7" t="n">
        <v>195108</v>
      </c>
      <c r="S1113" s="8" t="n">
        <v>3828</v>
      </c>
      <c r="T1113" s="8" t="n">
        <v>11413</v>
      </c>
      <c r="U1113" s="9" t="n">
        <v>203551</v>
      </c>
      <c r="V1113" s="10" t="n">
        <v>-15319</v>
      </c>
      <c r="W1113" s="10" t="n">
        <v>-11816</v>
      </c>
      <c r="X1113" s="7" t="n">
        <v>213126</v>
      </c>
      <c r="Y1113" s="8" t="n">
        <v>-11926</v>
      </c>
      <c r="Z1113" s="8" t="n">
        <v>-11314</v>
      </c>
      <c r="AA1113" s="9" t="n">
        <v>209142</v>
      </c>
      <c r="AB1113" s="10" t="n">
        <v>1993</v>
      </c>
      <c r="AC1113" s="10" t="n">
        <v>3845</v>
      </c>
      <c r="AD1113" s="7" t="n">
        <v>172679</v>
      </c>
      <c r="AE1113" s="8" t="n">
        <v>-9967</v>
      </c>
      <c r="AF1113" s="8" t="n">
        <v>-26377</v>
      </c>
      <c r="AG1113" s="9" t="n">
        <v>263855</v>
      </c>
      <c r="AH1113" s="10" t="n">
        <v>9036</v>
      </c>
      <c r="AI1113" s="10" t="n">
        <v>11200</v>
      </c>
      <c r="AJ1113" s="11" t="n">
        <v>238433</v>
      </c>
      <c r="AK1113" s="12" t="n">
        <v>5457</v>
      </c>
      <c r="AL1113" s="12" t="n">
        <v>6505</v>
      </c>
      <c r="AM1113" s="13" t="n">
        <v>-9.6</v>
      </c>
      <c r="AN1113" s="13" t="n">
        <v>11.9</v>
      </c>
      <c r="AO1113" s="13" t="n">
        <v>-39.6</v>
      </c>
      <c r="AP1113" s="13" t="n">
        <v>145.8</v>
      </c>
    </row>
    <row r="1114">
      <c r="A1114" s="5" t="inlineStr">
        <is>
          <t>대산F&amp;B</t>
        </is>
      </c>
      <c r="B1114" s="6" t="inlineStr">
        <is>
          <t>065150</t>
        </is>
      </c>
      <c r="C1114" s="6" t="inlineStr">
        <is>
          <t>연결</t>
        </is>
      </c>
      <c r="D1114" s="6" t="inlineStr">
        <is>
          <t>2026Q2</t>
        </is>
      </c>
      <c r="E1114" s="6" t="inlineStr"/>
      <c r="F1114" s="7" t="inlineStr"/>
      <c r="G1114" s="8" t="inlineStr"/>
      <c r="H1114" s="8" t="inlineStr"/>
      <c r="I1114" s="9" t="n">
        <v>29041</v>
      </c>
      <c r="J1114" s="10" t="n">
        <v>-915</v>
      </c>
      <c r="K1114" s="10" t="n">
        <v>-1295</v>
      </c>
      <c r="L1114" s="7" t="n">
        <v>27712</v>
      </c>
      <c r="M1114" s="8" t="n">
        <v>172</v>
      </c>
      <c r="N1114" s="8" t="n">
        <v>75</v>
      </c>
      <c r="O1114" s="9" t="n">
        <v>26759</v>
      </c>
      <c r="P1114" s="10" t="n">
        <v>-609</v>
      </c>
      <c r="Q1114" s="10" t="n">
        <v>-945</v>
      </c>
      <c r="R1114" s="7" t="n">
        <v>19367</v>
      </c>
      <c r="S1114" s="8" t="n">
        <v>531</v>
      </c>
      <c r="T1114" s="8" t="n">
        <v>-9943</v>
      </c>
      <c r="U1114" s="9" t="n">
        <v>24862</v>
      </c>
      <c r="V1114" s="10" t="n">
        <v>508</v>
      </c>
      <c r="W1114" s="10" t="n">
        <v>-126</v>
      </c>
      <c r="X1114" s="7" t="n">
        <v>29752</v>
      </c>
      <c r="Y1114" s="8" t="n">
        <v>1726</v>
      </c>
      <c r="Z1114" s="8" t="n">
        <v>1897</v>
      </c>
      <c r="AA1114" s="9" t="n">
        <v>30505</v>
      </c>
      <c r="AB1114" s="10" t="n">
        <v>1146</v>
      </c>
      <c r="AC1114" s="10" t="n">
        <v>3548</v>
      </c>
      <c r="AD1114" s="7" t="n">
        <v>25746</v>
      </c>
      <c r="AE1114" s="8" t="n">
        <v>1174</v>
      </c>
      <c r="AF1114" s="8" t="n">
        <v>2996</v>
      </c>
      <c r="AG1114" s="9" t="n">
        <v>25345</v>
      </c>
      <c r="AH1114" s="10" t="n">
        <v>1355</v>
      </c>
      <c r="AI1114" s="10" t="n">
        <v>1412</v>
      </c>
      <c r="AJ1114" s="11" t="n">
        <v>30803</v>
      </c>
      <c r="AK1114" s="12" t="n">
        <v>977</v>
      </c>
      <c r="AL1114" s="12" t="n">
        <v>1915</v>
      </c>
      <c r="AM1114" s="13" t="n">
        <v>21.5</v>
      </c>
      <c r="AN1114" s="13" t="n">
        <v>3.5</v>
      </c>
      <c r="AO1114" s="13" t="n">
        <v>-27.9</v>
      </c>
      <c r="AP1114" s="13" t="n">
        <v>-43.4</v>
      </c>
    </row>
    <row r="1115">
      <c r="A1115" s="5" t="inlineStr">
        <is>
          <t>비엘팜텍</t>
        </is>
      </c>
      <c r="B1115" s="6" t="inlineStr">
        <is>
          <t>065170</t>
        </is>
      </c>
      <c r="C1115" s="6" t="inlineStr">
        <is>
          <t>연결</t>
        </is>
      </c>
      <c r="D1115" s="6" t="inlineStr">
        <is>
          <t>2026Q2</t>
        </is>
      </c>
      <c r="E1115" s="6" t="inlineStr"/>
      <c r="F1115" s="7" t="inlineStr"/>
      <c r="G1115" s="8" t="inlineStr"/>
      <c r="H1115" s="8" t="inlineStr"/>
      <c r="I1115" s="9" t="n">
        <v>3458</v>
      </c>
      <c r="J1115" s="10" t="n">
        <v>-981</v>
      </c>
      <c r="K1115" s="10" t="n">
        <v>-1281</v>
      </c>
      <c r="L1115" s="7" t="n">
        <v>1505</v>
      </c>
      <c r="M1115" s="8" t="n">
        <v>-545</v>
      </c>
      <c r="N1115" s="8" t="n">
        <v>-590</v>
      </c>
      <c r="O1115" s="9" t="n">
        <v>2560</v>
      </c>
      <c r="P1115" s="10" t="n">
        <v>-106</v>
      </c>
      <c r="Q1115" s="10" t="n">
        <v>-770</v>
      </c>
      <c r="R1115" s="7" t="n">
        <v>1283</v>
      </c>
      <c r="S1115" s="8" t="n">
        <v>-1584</v>
      </c>
      <c r="T1115" s="8" t="n">
        <v>-3076</v>
      </c>
      <c r="U1115" s="9" t="n">
        <v>2986</v>
      </c>
      <c r="V1115" s="10" t="n">
        <v>-605</v>
      </c>
      <c r="W1115" s="10" t="n">
        <v>-1065</v>
      </c>
      <c r="X1115" s="7" t="n">
        <v>1802</v>
      </c>
      <c r="Y1115" s="8" t="n">
        <v>-574</v>
      </c>
      <c r="Z1115" s="8" t="n">
        <v>-852</v>
      </c>
      <c r="AA1115" s="9" t="n">
        <v>907</v>
      </c>
      <c r="AB1115" s="10" t="n">
        <v>-503</v>
      </c>
      <c r="AC1115" s="10" t="n">
        <v>-1081</v>
      </c>
      <c r="AD1115" s="7" t="n">
        <v>811</v>
      </c>
      <c r="AE1115" s="8" t="n">
        <v>-1143</v>
      </c>
      <c r="AF1115" s="8" t="n">
        <v>-13789</v>
      </c>
      <c r="AG1115" s="9" t="n">
        <v>1516</v>
      </c>
      <c r="AH1115" s="10" t="n">
        <v>49</v>
      </c>
      <c r="AI1115" s="10" t="n">
        <v>523</v>
      </c>
      <c r="AJ1115" s="11" t="n">
        <v>713</v>
      </c>
      <c r="AK1115" s="12" t="n">
        <v>-483</v>
      </c>
      <c r="AL1115" s="12" t="n">
        <v>-807</v>
      </c>
      <c r="AM1115" s="13" t="n">
        <v>-53</v>
      </c>
      <c r="AN1115" s="13" t="n">
        <v>-60.4</v>
      </c>
      <c r="AO1115" s="13" t="n">
        <v>-1085.7</v>
      </c>
      <c r="AP1115" s="13" t="n">
        <v>15.9</v>
      </c>
    </row>
    <row r="1116">
      <c r="A1116" s="5" t="inlineStr">
        <is>
          <t>신성델타테크</t>
        </is>
      </c>
      <c r="B1116" s="6" t="inlineStr">
        <is>
          <t>065350</t>
        </is>
      </c>
      <c r="C1116" s="6" t="inlineStr">
        <is>
          <t>연결</t>
        </is>
      </c>
      <c r="D1116" s="6" t="inlineStr">
        <is>
          <t>2026Q2</t>
        </is>
      </c>
      <c r="E1116" s="6" t="inlineStr"/>
      <c r="F1116" s="7" t="inlineStr"/>
      <c r="G1116" s="8" t="inlineStr"/>
      <c r="H1116" s="8" t="inlineStr"/>
      <c r="I1116" s="9" t="n">
        <v>222801</v>
      </c>
      <c r="J1116" s="10" t="n">
        <v>6272</v>
      </c>
      <c r="K1116" s="10" t="n">
        <v>6194</v>
      </c>
      <c r="L1116" s="7" t="n">
        <v>221271</v>
      </c>
      <c r="M1116" s="8" t="n">
        <v>9560</v>
      </c>
      <c r="N1116" s="8" t="n">
        <v>-2373</v>
      </c>
      <c r="O1116" s="9" t="n">
        <v>221649</v>
      </c>
      <c r="P1116" s="10" t="n">
        <v>7213</v>
      </c>
      <c r="Q1116" s="10" t="n">
        <v>1093</v>
      </c>
      <c r="R1116" s="7" t="n">
        <v>244001</v>
      </c>
      <c r="S1116" s="8" t="n">
        <v>4131</v>
      </c>
      <c r="T1116" s="8" t="n">
        <v>2536</v>
      </c>
      <c r="U1116" s="9" t="n">
        <v>259475</v>
      </c>
      <c r="V1116" s="10" t="n">
        <v>10374</v>
      </c>
      <c r="W1116" s="10" t="n">
        <v>6264</v>
      </c>
      <c r="X1116" s="7" t="n">
        <v>220782</v>
      </c>
      <c r="Y1116" s="8" t="n">
        <v>6680</v>
      </c>
      <c r="Z1116" s="8" t="n">
        <v>3527</v>
      </c>
      <c r="AA1116" s="9" t="n">
        <v>218299</v>
      </c>
      <c r="AB1116" s="10" t="n">
        <v>5076</v>
      </c>
      <c r="AC1116" s="10" t="n">
        <v>5157</v>
      </c>
      <c r="AD1116" s="7" t="n">
        <v>246808</v>
      </c>
      <c r="AE1116" s="8" t="n">
        <v>5560</v>
      </c>
      <c r="AF1116" s="8" t="n">
        <v>9259</v>
      </c>
      <c r="AG1116" s="9" t="n">
        <v>276650</v>
      </c>
      <c r="AH1116" s="10" t="n">
        <v>7107</v>
      </c>
      <c r="AI1116" s="10" t="n">
        <v>5408</v>
      </c>
      <c r="AJ1116" s="11" t="n">
        <v>299159</v>
      </c>
      <c r="AK1116" s="12" t="n">
        <v>15634</v>
      </c>
      <c r="AL1116" s="12" t="n">
        <v>12718</v>
      </c>
      <c r="AM1116" s="13" t="n">
        <v>8.1</v>
      </c>
      <c r="AN1116" s="13" t="n">
        <v>35.5</v>
      </c>
      <c r="AO1116" s="13" t="n">
        <v>120</v>
      </c>
      <c r="AP1116" s="13" t="n">
        <v>134</v>
      </c>
    </row>
    <row r="1117">
      <c r="A1117" s="5" t="inlineStr">
        <is>
          <t>위세아이텍</t>
        </is>
      </c>
      <c r="B1117" s="6" t="inlineStr">
        <is>
          <t>065370</t>
        </is>
      </c>
      <c r="C1117" s="6" t="inlineStr">
        <is>
          <t>연결</t>
        </is>
      </c>
      <c r="D1117" s="6" t="inlineStr">
        <is>
          <t>2026Q2</t>
        </is>
      </c>
      <c r="E1117" s="6" t="inlineStr"/>
      <c r="F1117" s="7" t="inlineStr"/>
      <c r="G1117" s="8" t="inlineStr"/>
      <c r="H1117" s="8" t="inlineStr"/>
      <c r="I1117" s="9" t="n">
        <v>6060</v>
      </c>
      <c r="J1117" s="10" t="n">
        <v>-183</v>
      </c>
      <c r="K1117" s="10" t="n">
        <v>261</v>
      </c>
      <c r="L1117" s="7" t="n">
        <v>7164</v>
      </c>
      <c r="M1117" s="8" t="n">
        <v>-99</v>
      </c>
      <c r="N1117" s="8" t="n">
        <v>631</v>
      </c>
      <c r="O1117" s="9" t="n">
        <v>7709</v>
      </c>
      <c r="P1117" s="10" t="n">
        <v>-1176</v>
      </c>
      <c r="Q1117" s="10" t="n">
        <v>-1745</v>
      </c>
      <c r="R1117" s="7" t="n">
        <v>14095</v>
      </c>
      <c r="S1117" s="8" t="n">
        <v>2386</v>
      </c>
      <c r="T1117" s="8" t="n">
        <v>444</v>
      </c>
      <c r="U1117" s="9" t="n">
        <v>6110</v>
      </c>
      <c r="V1117" s="10" t="n">
        <v>-1073</v>
      </c>
      <c r="W1117" s="10" t="n">
        <v>-1532</v>
      </c>
      <c r="X1117" s="7" t="n">
        <v>7629</v>
      </c>
      <c r="Y1117" s="8" t="n">
        <v>477</v>
      </c>
      <c r="Z1117" s="8" t="n">
        <v>1012</v>
      </c>
      <c r="AA1117" s="9" t="n">
        <v>9070</v>
      </c>
      <c r="AB1117" s="10" t="n">
        <v>1169</v>
      </c>
      <c r="AC1117" s="10" t="n">
        <v>718</v>
      </c>
      <c r="AD1117" s="7" t="n">
        <v>15449</v>
      </c>
      <c r="AE1117" s="8" t="n">
        <v>213</v>
      </c>
      <c r="AF1117" s="8" t="n">
        <v>1257</v>
      </c>
      <c r="AG1117" s="9" t="n">
        <v>7915</v>
      </c>
      <c r="AH1117" s="10" t="n">
        <v>390</v>
      </c>
      <c r="AI1117" s="10" t="n">
        <v>-317</v>
      </c>
      <c r="AJ1117" s="11" t="n">
        <v>9865</v>
      </c>
      <c r="AK1117" s="12" t="n">
        <v>-853</v>
      </c>
      <c r="AL1117" s="12" t="n">
        <v>307</v>
      </c>
      <c r="AM1117" s="13" t="n">
        <v>24.6</v>
      </c>
      <c r="AN1117" s="13" t="n">
        <v>29.3</v>
      </c>
      <c r="AO1117" s="13" t="n">
        <v>-318.7</v>
      </c>
      <c r="AP1117" s="13" t="n">
        <v>-278.8</v>
      </c>
    </row>
    <row r="1118">
      <c r="A1118" s="5" t="inlineStr">
        <is>
          <t>에스아이리소스</t>
        </is>
      </c>
      <c r="B1118" s="6" t="inlineStr">
        <is>
          <t>065420</t>
        </is>
      </c>
      <c r="C1118" s="6" t="inlineStr">
        <is>
          <t>별도</t>
        </is>
      </c>
      <c r="D1118" s="6" t="inlineStr">
        <is>
          <t>2026Q2</t>
        </is>
      </c>
      <c r="E1118" s="6" t="inlineStr"/>
      <c r="F1118" s="7" t="inlineStr"/>
      <c r="G1118" s="8" t="inlineStr"/>
      <c r="H1118" s="8" t="inlineStr"/>
      <c r="I1118" s="9" t="n">
        <v>2266</v>
      </c>
      <c r="J1118" s="10" t="n">
        <v>-950</v>
      </c>
      <c r="K1118" s="10" t="n">
        <v>-811</v>
      </c>
      <c r="L1118" s="7" t="n">
        <v>1612</v>
      </c>
      <c r="M1118" s="8" t="n">
        <v>-1110</v>
      </c>
      <c r="N1118" s="8" t="n">
        <v>-751</v>
      </c>
      <c r="O1118" s="9" t="n">
        <v>690</v>
      </c>
      <c r="P1118" s="10" t="n">
        <v>-908</v>
      </c>
      <c r="Q1118" s="10" t="n">
        <v>-620</v>
      </c>
      <c r="R1118" s="7" t="n">
        <v>5970</v>
      </c>
      <c r="S1118" s="8" t="n">
        <v>-724</v>
      </c>
      <c r="T1118" s="8" t="n">
        <v>83</v>
      </c>
      <c r="U1118" s="9" t="n">
        <v>1118</v>
      </c>
      <c r="V1118" s="10" t="n">
        <v>-932</v>
      </c>
      <c r="W1118" s="10" t="n">
        <v>-419</v>
      </c>
      <c r="X1118" s="7" t="n">
        <v>6734</v>
      </c>
      <c r="Y1118" s="8" t="n">
        <v>-101</v>
      </c>
      <c r="Z1118" s="8" t="n">
        <v>70</v>
      </c>
      <c r="AA1118" s="9" t="n">
        <v>8845</v>
      </c>
      <c r="AB1118" s="10" t="n">
        <v>-1043</v>
      </c>
      <c r="AC1118" s="10" t="n">
        <v>-1008</v>
      </c>
      <c r="AD1118" s="7" t="n">
        <v>4155</v>
      </c>
      <c r="AE1118" s="8" t="n">
        <v>-819</v>
      </c>
      <c r="AF1118" s="8" t="n">
        <v>-601</v>
      </c>
      <c r="AG1118" s="9" t="n">
        <v>9545</v>
      </c>
      <c r="AH1118" s="10" t="n">
        <v>-1219</v>
      </c>
      <c r="AI1118" s="10" t="n">
        <v>-1122</v>
      </c>
      <c r="AJ1118" s="11" t="n">
        <v>3763</v>
      </c>
      <c r="AK1118" s="12" t="n">
        <v>-358</v>
      </c>
      <c r="AL1118" s="12" t="n">
        <v>-1224</v>
      </c>
      <c r="AM1118" s="13" t="n">
        <v>-60.6</v>
      </c>
      <c r="AN1118" s="13" t="n">
        <v>-44.1</v>
      </c>
      <c r="AO1118" s="13" t="n">
        <v>70.59999999999999</v>
      </c>
      <c r="AP1118" s="13" t="n">
        <v>-254.5</v>
      </c>
    </row>
    <row r="1119">
      <c r="A1119" s="5" t="inlineStr">
        <is>
          <t>이루온</t>
        </is>
      </c>
      <c r="B1119" s="6" t="inlineStr">
        <is>
          <t>065440</t>
        </is>
      </c>
      <c r="C1119" s="6" t="inlineStr">
        <is>
          <t>연결</t>
        </is>
      </c>
      <c r="D1119" s="6" t="inlineStr">
        <is>
          <t>2026Q2</t>
        </is>
      </c>
      <c r="E1119" s="6" t="inlineStr"/>
      <c r="F1119" s="7" t="inlineStr"/>
      <c r="G1119" s="8" t="inlineStr"/>
      <c r="H1119" s="8" t="inlineStr"/>
      <c r="I1119" s="9" t="n">
        <v>12803</v>
      </c>
      <c r="J1119" s="10" t="n">
        <v>864</v>
      </c>
      <c r="K1119" s="10" t="n">
        <v>1044</v>
      </c>
      <c r="L1119" s="7" t="n">
        <v>13675</v>
      </c>
      <c r="M1119" s="8" t="n">
        <v>961</v>
      </c>
      <c r="N1119" s="8" t="n">
        <v>1267</v>
      </c>
      <c r="O1119" s="9" t="n">
        <v>16223</v>
      </c>
      <c r="P1119" s="10" t="n">
        <v>2649</v>
      </c>
      <c r="Q1119" s="10" t="n">
        <v>2920</v>
      </c>
      <c r="R1119" s="7" t="n">
        <v>25818</v>
      </c>
      <c r="S1119" s="8" t="n">
        <v>-1377</v>
      </c>
      <c r="T1119" s="8" t="n">
        <v>402</v>
      </c>
      <c r="U1119" s="9" t="n">
        <v>10412</v>
      </c>
      <c r="V1119" s="10" t="n">
        <v>216</v>
      </c>
      <c r="W1119" s="10" t="n">
        <v>629</v>
      </c>
      <c r="X1119" s="7" t="n">
        <v>14800</v>
      </c>
      <c r="Y1119" s="8" t="n">
        <v>461</v>
      </c>
      <c r="Z1119" s="8" t="n">
        <v>53</v>
      </c>
      <c r="AA1119" s="9" t="n">
        <v>9615</v>
      </c>
      <c r="AB1119" s="10" t="n">
        <v>-1141</v>
      </c>
      <c r="AC1119" s="10" t="n">
        <v>-984</v>
      </c>
      <c r="AD1119" s="7" t="n">
        <v>26734</v>
      </c>
      <c r="AE1119" s="8" t="n">
        <v>1999</v>
      </c>
      <c r="AF1119" s="8" t="n">
        <v>1903</v>
      </c>
      <c r="AG1119" s="9" t="n">
        <v>11147</v>
      </c>
      <c r="AH1119" s="10" t="n">
        <v>-1194</v>
      </c>
      <c r="AI1119" s="10" t="n">
        <v>-1029</v>
      </c>
      <c r="AJ1119" s="11" t="n">
        <v>9614</v>
      </c>
      <c r="AK1119" s="12" t="n">
        <v>-751</v>
      </c>
      <c r="AL1119" s="12" t="n">
        <v>-733</v>
      </c>
      <c r="AM1119" s="13" t="n">
        <v>-13.8</v>
      </c>
      <c r="AN1119" s="13" t="n">
        <v>-35</v>
      </c>
      <c r="AO1119" s="13" t="n">
        <v>37.1</v>
      </c>
      <c r="AP1119" s="13" t="n">
        <v>-262.9</v>
      </c>
    </row>
    <row r="1120">
      <c r="A1120" s="5" t="inlineStr">
        <is>
          <t>빅텍</t>
        </is>
      </c>
      <c r="B1120" s="6" t="inlineStr">
        <is>
          <t>065450</t>
        </is>
      </c>
      <c r="C1120" s="6" t="inlineStr">
        <is>
          <t>연결</t>
        </is>
      </c>
      <c r="D1120" s="6" t="inlineStr">
        <is>
          <t>2026Q2</t>
        </is>
      </c>
      <c r="E1120" s="6" t="inlineStr">
        <is>
          <t>2023Q4</t>
        </is>
      </c>
      <c r="F1120" s="14" t="n">
        <v>18954</v>
      </c>
      <c r="G1120" s="15" t="n">
        <v>-988</v>
      </c>
      <c r="H1120" s="15" t="n">
        <v>-149</v>
      </c>
      <c r="I1120" s="9" t="n">
        <v>16469</v>
      </c>
      <c r="J1120" s="10" t="n">
        <v>-251</v>
      </c>
      <c r="K1120" s="10" t="n">
        <v>1588</v>
      </c>
      <c r="L1120" s="7" t="n">
        <v>13196</v>
      </c>
      <c r="M1120" s="8" t="n">
        <v>-350</v>
      </c>
      <c r="N1120" s="8" t="n">
        <v>-1171</v>
      </c>
      <c r="O1120" s="9" t="n">
        <v>15490</v>
      </c>
      <c r="P1120" s="10" t="n">
        <v>157</v>
      </c>
      <c r="Q1120" s="10" t="n">
        <v>1072</v>
      </c>
      <c r="R1120" s="7" t="n">
        <v>26334</v>
      </c>
      <c r="S1120" s="8" t="n">
        <v>2263</v>
      </c>
      <c r="T1120" s="8" t="n">
        <v>2330</v>
      </c>
      <c r="U1120" s="9" t="n">
        <v>14974</v>
      </c>
      <c r="V1120" s="10" t="n">
        <v>78</v>
      </c>
      <c r="W1120" s="10" t="n">
        <v>-472</v>
      </c>
      <c r="X1120" s="7" t="n">
        <v>14661</v>
      </c>
      <c r="Y1120" s="8" t="n">
        <v>861</v>
      </c>
      <c r="Z1120" s="8" t="n">
        <v>1232</v>
      </c>
      <c r="AA1120" s="9" t="n">
        <v>24483</v>
      </c>
      <c r="AB1120" s="10" t="n">
        <v>1426</v>
      </c>
      <c r="AC1120" s="10" t="n">
        <v>374</v>
      </c>
      <c r="AD1120" s="7" t="n">
        <v>28839</v>
      </c>
      <c r="AE1120" s="8" t="n">
        <v>2009</v>
      </c>
      <c r="AF1120" s="8" t="n">
        <v>3268</v>
      </c>
      <c r="AG1120" s="9" t="n">
        <v>20943</v>
      </c>
      <c r="AH1120" s="10" t="n">
        <v>195</v>
      </c>
      <c r="AI1120" s="10" t="n">
        <v>-419</v>
      </c>
      <c r="AJ1120" s="11" t="n">
        <v>22574</v>
      </c>
      <c r="AK1120" s="12" t="n">
        <v>624</v>
      </c>
      <c r="AL1120" s="12" t="n">
        <v>-567</v>
      </c>
      <c r="AM1120" s="13" t="n">
        <v>7.8</v>
      </c>
      <c r="AN1120" s="13" t="n">
        <v>54</v>
      </c>
      <c r="AO1120" s="13" t="n">
        <v>220</v>
      </c>
      <c r="AP1120" s="13" t="n">
        <v>-27.5</v>
      </c>
    </row>
    <row r="1121">
      <c r="A1121" s="5" t="inlineStr">
        <is>
          <t>오리엔트정공</t>
        </is>
      </c>
      <c r="B1121" s="6" t="inlineStr">
        <is>
          <t>065500</t>
        </is>
      </c>
      <c r="C1121" s="6" t="inlineStr">
        <is>
          <t>연결</t>
        </is>
      </c>
      <c r="D1121" s="6" t="inlineStr">
        <is>
          <t>2026Q2</t>
        </is>
      </c>
      <c r="E1121" s="6" t="inlineStr"/>
      <c r="F1121" s="7" t="inlineStr"/>
      <c r="G1121" s="8" t="inlineStr"/>
      <c r="H1121" s="8" t="inlineStr"/>
      <c r="I1121" s="9" t="n">
        <v>40095</v>
      </c>
      <c r="J1121" s="10" t="n">
        <v>540</v>
      </c>
      <c r="K1121" s="10" t="n">
        <v>926</v>
      </c>
      <c r="L1121" s="7" t="n">
        <v>45336</v>
      </c>
      <c r="M1121" s="8" t="n">
        <v>601</v>
      </c>
      <c r="N1121" s="8" t="n">
        <v>377</v>
      </c>
      <c r="O1121" s="9" t="n">
        <v>87222</v>
      </c>
      <c r="P1121" s="10" t="n">
        <v>557</v>
      </c>
      <c r="Q1121" s="10" t="n">
        <v>-463</v>
      </c>
      <c r="R1121" s="7" t="n">
        <v>751</v>
      </c>
      <c r="S1121" s="8" t="n">
        <v>-477</v>
      </c>
      <c r="T1121" s="8" t="n">
        <v>-851</v>
      </c>
      <c r="U1121" s="9" t="n">
        <v>41415</v>
      </c>
      <c r="V1121" s="10" t="n">
        <v>461</v>
      </c>
      <c r="W1121" s="10" t="n">
        <v>198</v>
      </c>
      <c r="X1121" s="7" t="n">
        <v>39650</v>
      </c>
      <c r="Y1121" s="8" t="n">
        <v>1023</v>
      </c>
      <c r="Z1121" s="8" t="n">
        <v>140</v>
      </c>
      <c r="AA1121" s="9" t="n">
        <v>39036</v>
      </c>
      <c r="AB1121" s="10" t="n">
        <v>393</v>
      </c>
      <c r="AC1121" s="10" t="n">
        <v>445</v>
      </c>
      <c r="AD1121" s="7" t="n">
        <v>37035</v>
      </c>
      <c r="AE1121" s="8" t="n">
        <v>-965</v>
      </c>
      <c r="AF1121" s="8" t="n">
        <v>1014</v>
      </c>
      <c r="AG1121" s="9" t="n">
        <v>37505</v>
      </c>
      <c r="AH1121" s="10" t="n">
        <v>-60</v>
      </c>
      <c r="AI1121" s="10" t="n">
        <v>-2487</v>
      </c>
      <c r="AJ1121" s="11" t="n">
        <v>43833</v>
      </c>
      <c r="AK1121" s="12" t="n">
        <v>-273</v>
      </c>
      <c r="AL1121" s="12" t="n">
        <v>716</v>
      </c>
      <c r="AM1121" s="13" t="n">
        <v>16.9</v>
      </c>
      <c r="AN1121" s="13" t="n">
        <v>10.5</v>
      </c>
      <c r="AO1121" s="13" t="n">
        <v>-355</v>
      </c>
      <c r="AP1121" s="13" t="n">
        <v>-126.7</v>
      </c>
    </row>
    <row r="1122">
      <c r="A1122" s="5" t="inlineStr">
        <is>
          <t>휴비츠</t>
        </is>
      </c>
      <c r="B1122" s="6" t="inlineStr">
        <is>
          <t>065510</t>
        </is>
      </c>
      <c r="C1122" s="6" t="inlineStr">
        <is>
          <t>연결</t>
        </is>
      </c>
      <c r="D1122" s="6" t="inlineStr">
        <is>
          <t>2026Q2</t>
        </is>
      </c>
      <c r="E1122" s="6" t="inlineStr"/>
      <c r="F1122" s="7" t="inlineStr"/>
      <c r="G1122" s="8" t="inlineStr"/>
      <c r="H1122" s="8" t="inlineStr"/>
      <c r="I1122" s="9" t="n">
        <v>26909</v>
      </c>
      <c r="J1122" s="10" t="n">
        <v>3426</v>
      </c>
      <c r="K1122" s="10" t="n">
        <v>3708</v>
      </c>
      <c r="L1122" s="7" t="n">
        <v>30985</v>
      </c>
      <c r="M1122" s="8" t="n">
        <v>5194</v>
      </c>
      <c r="N1122" s="8" t="n">
        <v>5489</v>
      </c>
      <c r="O1122" s="9" t="n">
        <v>29938</v>
      </c>
      <c r="P1122" s="10" t="n">
        <v>3972</v>
      </c>
      <c r="Q1122" s="10" t="n">
        <v>2130</v>
      </c>
      <c r="R1122" s="7" t="n">
        <v>30043</v>
      </c>
      <c r="S1122" s="8" t="n">
        <v>742</v>
      </c>
      <c r="T1122" s="8" t="n">
        <v>-2963</v>
      </c>
      <c r="U1122" s="9" t="n">
        <v>29887</v>
      </c>
      <c r="V1122" s="10" t="n">
        <v>3263</v>
      </c>
      <c r="W1122" s="10" t="n">
        <v>2737</v>
      </c>
      <c r="X1122" s="7" t="n">
        <v>29133</v>
      </c>
      <c r="Y1122" s="8" t="n">
        <v>1865</v>
      </c>
      <c r="Z1122" s="8" t="n">
        <v>-1425</v>
      </c>
      <c r="AA1122" s="9" t="n">
        <v>31496</v>
      </c>
      <c r="AB1122" s="10" t="n">
        <v>2510</v>
      </c>
      <c r="AC1122" s="10" t="n">
        <v>3548</v>
      </c>
      <c r="AD1122" s="7" t="n">
        <v>27527</v>
      </c>
      <c r="AE1122" s="8" t="n">
        <v>-2085</v>
      </c>
      <c r="AF1122" s="8" t="n">
        <v>-9800</v>
      </c>
      <c r="AG1122" s="9" t="n">
        <v>29680</v>
      </c>
      <c r="AH1122" s="10" t="n">
        <v>2615</v>
      </c>
      <c r="AI1122" s="10" t="n">
        <v>3850</v>
      </c>
      <c r="AJ1122" s="11" t="n">
        <v>32531</v>
      </c>
      <c r="AK1122" s="12" t="n">
        <v>2134</v>
      </c>
      <c r="AL1122" s="12" t="n">
        <v>1002</v>
      </c>
      <c r="AM1122" s="13" t="n">
        <v>9.6</v>
      </c>
      <c r="AN1122" s="13" t="n">
        <v>11.7</v>
      </c>
      <c r="AO1122" s="13" t="n">
        <v>-18.4</v>
      </c>
      <c r="AP1122" s="13" t="n">
        <v>14.4</v>
      </c>
    </row>
    <row r="1123">
      <c r="A1123" s="5" t="inlineStr">
        <is>
          <t>와이어블</t>
        </is>
      </c>
      <c r="B1123" s="6" t="inlineStr">
        <is>
          <t>065530</t>
        </is>
      </c>
      <c r="C1123" s="6" t="inlineStr">
        <is>
          <t>연결</t>
        </is>
      </c>
      <c r="D1123" s="6" t="inlineStr">
        <is>
          <t>2026Q2</t>
        </is>
      </c>
      <c r="E1123" s="6" t="inlineStr"/>
      <c r="F1123" s="7" t="inlineStr"/>
      <c r="G1123" s="8" t="inlineStr"/>
      <c r="H1123" s="8" t="inlineStr"/>
      <c r="I1123" s="9" t="n">
        <v>17356</v>
      </c>
      <c r="J1123" s="10" t="n">
        <v>627</v>
      </c>
      <c r="K1123" s="10" t="n">
        <v>808</v>
      </c>
      <c r="L1123" s="7" t="n">
        <v>22984</v>
      </c>
      <c r="M1123" s="8" t="n">
        <v>439</v>
      </c>
      <c r="N1123" s="8" t="n">
        <v>143</v>
      </c>
      <c r="O1123" s="9" t="n">
        <v>13479</v>
      </c>
      <c r="P1123" s="10" t="n">
        <v>759</v>
      </c>
      <c r="Q1123" s="10" t="n">
        <v>597</v>
      </c>
      <c r="R1123" s="7" t="n">
        <v>25624</v>
      </c>
      <c r="S1123" s="8" t="n">
        <v>2000</v>
      </c>
      <c r="T1123" s="8" t="n">
        <v>1443</v>
      </c>
      <c r="U1123" s="9" t="n">
        <v>12435</v>
      </c>
      <c r="V1123" s="10" t="n">
        <v>313</v>
      </c>
      <c r="W1123" s="10" t="n">
        <v>54</v>
      </c>
      <c r="X1123" s="7" t="n">
        <v>16713</v>
      </c>
      <c r="Y1123" s="8" t="n">
        <v>506</v>
      </c>
      <c r="Z1123" s="8" t="n">
        <v>615</v>
      </c>
      <c r="AA1123" s="9" t="n">
        <v>15562</v>
      </c>
      <c r="AB1123" s="10" t="n">
        <v>885</v>
      </c>
      <c r="AC1123" s="10" t="n">
        <v>725</v>
      </c>
      <c r="AD1123" s="7" t="n">
        <v>30829</v>
      </c>
      <c r="AE1123" s="8" t="n">
        <v>3772</v>
      </c>
      <c r="AF1123" s="8" t="n">
        <v>3154</v>
      </c>
      <c r="AG1123" s="9" t="n">
        <v>11954</v>
      </c>
      <c r="AH1123" s="10" t="n">
        <v>1333</v>
      </c>
      <c r="AI1123" s="10" t="n">
        <v>1050</v>
      </c>
      <c r="AJ1123" s="11" t="n">
        <v>16387</v>
      </c>
      <c r="AK1123" s="12" t="n">
        <v>1238</v>
      </c>
      <c r="AL1123" s="12" t="n">
        <v>1251</v>
      </c>
      <c r="AM1123" s="13" t="n">
        <v>37.1</v>
      </c>
      <c r="AN1123" s="13" t="n">
        <v>-2</v>
      </c>
      <c r="AO1123" s="13" t="n">
        <v>-7.1</v>
      </c>
      <c r="AP1123" s="13" t="n">
        <v>144.7</v>
      </c>
    </row>
    <row r="1124">
      <c r="A1124" s="5" t="inlineStr">
        <is>
          <t>삼영이엔씨</t>
        </is>
      </c>
      <c r="B1124" s="6" t="inlineStr">
        <is>
          <t>065570</t>
        </is>
      </c>
      <c r="C1124" s="6" t="inlineStr">
        <is>
          <t>별도</t>
        </is>
      </c>
      <c r="D1124" s="6" t="inlineStr">
        <is>
          <t>2026Q2</t>
        </is>
      </c>
      <c r="E1124" s="6" t="inlineStr"/>
      <c r="F1124" s="7" t="inlineStr"/>
      <c r="G1124" s="8" t="inlineStr"/>
      <c r="H1124" s="8" t="inlineStr"/>
      <c r="I1124" s="9" t="n">
        <v>5822</v>
      </c>
      <c r="J1124" s="10" t="n">
        <v>-1264</v>
      </c>
      <c r="K1124" s="10" t="n">
        <v>-3184</v>
      </c>
      <c r="L1124" s="7" t="n">
        <v>9707</v>
      </c>
      <c r="M1124" s="8" t="n">
        <v>-1612</v>
      </c>
      <c r="N1124" s="8" t="n">
        <v>-1750</v>
      </c>
      <c r="O1124" s="9" t="n">
        <v>6533</v>
      </c>
      <c r="P1124" s="10" t="n">
        <v>-792</v>
      </c>
      <c r="Q1124" s="10" t="n">
        <v>-1097</v>
      </c>
      <c r="R1124" s="7" t="n">
        <v>14041</v>
      </c>
      <c r="S1124" s="8" t="n">
        <v>-2265</v>
      </c>
      <c r="T1124" s="8" t="n">
        <v>-20799</v>
      </c>
      <c r="U1124" s="9" t="n">
        <v>4706</v>
      </c>
      <c r="V1124" s="10" t="n">
        <v>-1325</v>
      </c>
      <c r="W1124" s="10" t="n">
        <v>686</v>
      </c>
      <c r="X1124" s="7" t="n">
        <v>8117</v>
      </c>
      <c r="Y1124" s="8" t="n">
        <v>1429</v>
      </c>
      <c r="Z1124" s="8" t="n">
        <v>1138</v>
      </c>
      <c r="AA1124" s="9" t="n">
        <v>9064</v>
      </c>
      <c r="AB1124" s="10" t="n">
        <v>-486</v>
      </c>
      <c r="AC1124" s="10" t="n">
        <v>-672</v>
      </c>
      <c r="AD1124" s="7" t="n">
        <v>11374</v>
      </c>
      <c r="AE1124" s="8" t="n">
        <v>187</v>
      </c>
      <c r="AF1124" s="8" t="n">
        <v>-312</v>
      </c>
      <c r="AG1124" s="9" t="n">
        <v>5077</v>
      </c>
      <c r="AH1124" s="10" t="n">
        <v>-322</v>
      </c>
      <c r="AI1124" s="10" t="n">
        <v>-296</v>
      </c>
      <c r="AJ1124" s="11" t="n">
        <v>6126</v>
      </c>
      <c r="AK1124" s="12" t="n">
        <v>869</v>
      </c>
      <c r="AL1124" s="12" t="n">
        <v>-3353</v>
      </c>
      <c r="AM1124" s="13" t="n">
        <v>20.7</v>
      </c>
      <c r="AN1124" s="13" t="n">
        <v>-24.5</v>
      </c>
      <c r="AO1124" s="13" t="n">
        <v>369.9</v>
      </c>
      <c r="AP1124" s="13" t="n">
        <v>-39.2</v>
      </c>
    </row>
    <row r="1125">
      <c r="A1125" s="5" t="inlineStr">
        <is>
          <t>하이퍼코퍼레이션</t>
        </is>
      </c>
      <c r="B1125" s="6" t="inlineStr">
        <is>
          <t>065650</t>
        </is>
      </c>
      <c r="C1125" s="6" t="inlineStr">
        <is>
          <t>연결</t>
        </is>
      </c>
      <c r="D1125" s="6" t="inlineStr">
        <is>
          <t>2026Q2</t>
        </is>
      </c>
      <c r="E1125" s="6" t="inlineStr"/>
      <c r="F1125" s="7" t="inlineStr"/>
      <c r="G1125" s="8" t="inlineStr"/>
      <c r="H1125" s="8" t="inlineStr"/>
      <c r="I1125" s="9" t="n">
        <v>14558</v>
      </c>
      <c r="J1125" s="10" t="n">
        <v>-568</v>
      </c>
      <c r="K1125" s="10" t="n">
        <v>-9204</v>
      </c>
      <c r="L1125" s="7" t="n">
        <v>12450</v>
      </c>
      <c r="M1125" s="8" t="n">
        <v>-704</v>
      </c>
      <c r="N1125" s="8" t="n">
        <v>-14080</v>
      </c>
      <c r="O1125" s="9" t="n">
        <v>18392</v>
      </c>
      <c r="P1125" s="10" t="n">
        <v>-2934</v>
      </c>
      <c r="Q1125" s="10" t="n">
        <v>-395</v>
      </c>
      <c r="R1125" s="7" t="n">
        <v>13063</v>
      </c>
      <c r="S1125" s="8" t="n">
        <v>-1846</v>
      </c>
      <c r="T1125" s="8" t="n">
        <v>-57506</v>
      </c>
      <c r="U1125" s="9" t="n">
        <v>18934</v>
      </c>
      <c r="V1125" s="10" t="n">
        <v>-2338</v>
      </c>
      <c r="W1125" s="10" t="n">
        <v>478</v>
      </c>
      <c r="X1125" s="7" t="n">
        <v>14557</v>
      </c>
      <c r="Y1125" s="8" t="n">
        <v>107</v>
      </c>
      <c r="Z1125" s="8" t="n">
        <v>5365</v>
      </c>
      <c r="AA1125" s="9" t="n">
        <v>23118</v>
      </c>
      <c r="AB1125" s="10" t="n">
        <v>-865</v>
      </c>
      <c r="AC1125" s="10" t="n">
        <v>-3131</v>
      </c>
      <c r="AD1125" s="7" t="n">
        <v>19578</v>
      </c>
      <c r="AE1125" s="8" t="n">
        <v>-1185</v>
      </c>
      <c r="AF1125" s="8" t="n">
        <v>-3468</v>
      </c>
      <c r="AG1125" s="9" t="n">
        <v>23516</v>
      </c>
      <c r="AH1125" s="10" t="n">
        <v>-472</v>
      </c>
      <c r="AI1125" s="10" t="n">
        <v>-2359</v>
      </c>
      <c r="AJ1125" s="11" t="n">
        <v>18653</v>
      </c>
      <c r="AK1125" s="12" t="n">
        <v>-2490</v>
      </c>
      <c r="AL1125" s="12" t="n">
        <v>-2204</v>
      </c>
      <c r="AM1125" s="13" t="n">
        <v>-20.7</v>
      </c>
      <c r="AN1125" s="13" t="n">
        <v>28.1</v>
      </c>
      <c r="AO1125" s="13" t="n">
        <v>-427.5</v>
      </c>
      <c r="AP1125" s="13" t="n">
        <v>-2427.1</v>
      </c>
    </row>
    <row r="1126">
      <c r="A1126" s="5" t="inlineStr">
        <is>
          <t>안트로젠</t>
        </is>
      </c>
      <c r="B1126" s="6" t="inlineStr">
        <is>
          <t>065660</t>
        </is>
      </c>
      <c r="C1126" s="6" t="inlineStr">
        <is>
          <t>별도</t>
        </is>
      </c>
      <c r="D1126" s="6" t="inlineStr">
        <is>
          <t>2026Q2</t>
        </is>
      </c>
      <c r="E1126" s="6" t="inlineStr"/>
      <c r="F1126" s="7" t="inlineStr"/>
      <c r="G1126" s="8" t="inlineStr"/>
      <c r="H1126" s="8" t="inlineStr"/>
      <c r="I1126" s="9" t="n">
        <v>1533</v>
      </c>
      <c r="J1126" s="10" t="n">
        <v>-951</v>
      </c>
      <c r="K1126" s="10" t="n">
        <v>-571</v>
      </c>
      <c r="L1126" s="7" t="n">
        <v>1710</v>
      </c>
      <c r="M1126" s="8" t="n">
        <v>-885</v>
      </c>
      <c r="N1126" s="8" t="n">
        <v>-518</v>
      </c>
      <c r="O1126" s="9" t="n">
        <v>1903</v>
      </c>
      <c r="P1126" s="10" t="n">
        <v>-639</v>
      </c>
      <c r="Q1126" s="10" t="n">
        <v>-162</v>
      </c>
      <c r="R1126" s="7" t="n">
        <v>1787</v>
      </c>
      <c r="S1126" s="8" t="n">
        <v>-1275</v>
      </c>
      <c r="T1126" s="8" t="n">
        <v>-1042</v>
      </c>
      <c r="U1126" s="9" t="n">
        <v>1603</v>
      </c>
      <c r="V1126" s="10" t="n">
        <v>-1096</v>
      </c>
      <c r="W1126" s="10" t="n">
        <v>-699</v>
      </c>
      <c r="X1126" s="7" t="n">
        <v>1888</v>
      </c>
      <c r="Y1126" s="8" t="n">
        <v>-455</v>
      </c>
      <c r="Z1126" s="8" t="n">
        <v>-90</v>
      </c>
      <c r="AA1126" s="9" t="n">
        <v>2043</v>
      </c>
      <c r="AB1126" s="10" t="n">
        <v>-407</v>
      </c>
      <c r="AC1126" s="10" t="n">
        <v>-79</v>
      </c>
      <c r="AD1126" s="7" t="n">
        <v>2002</v>
      </c>
      <c r="AE1126" s="8" t="n">
        <v>-475</v>
      </c>
      <c r="AF1126" s="8" t="n">
        <v>-506</v>
      </c>
      <c r="AG1126" s="9" t="n">
        <v>2123</v>
      </c>
      <c r="AH1126" s="10" t="n">
        <v>-1101</v>
      </c>
      <c r="AI1126" s="10" t="n">
        <v>-882</v>
      </c>
      <c r="AJ1126" s="11" t="n">
        <v>2200</v>
      </c>
      <c r="AK1126" s="12" t="n">
        <v>-478</v>
      </c>
      <c r="AL1126" s="12" t="n">
        <v>-150</v>
      </c>
      <c r="AM1126" s="13" t="n">
        <v>3.6</v>
      </c>
      <c r="AN1126" s="13" t="n">
        <v>16.5</v>
      </c>
      <c r="AO1126" s="13" t="n">
        <v>56.6</v>
      </c>
      <c r="AP1126" s="13" t="n">
        <v>-5.1</v>
      </c>
    </row>
    <row r="1127">
      <c r="A1127" s="5" t="inlineStr">
        <is>
          <t>우주일렉트로</t>
        </is>
      </c>
      <c r="B1127" s="6" t="inlineStr">
        <is>
          <t>065680</t>
        </is>
      </c>
      <c r="C1127" s="6" t="inlineStr">
        <is>
          <t>연결</t>
        </is>
      </c>
      <c r="D1127" s="6" t="inlineStr">
        <is>
          <t>2026Q2</t>
        </is>
      </c>
      <c r="E1127" s="6" t="inlineStr"/>
      <c r="F1127" s="7" t="inlineStr"/>
      <c r="G1127" s="8" t="inlineStr"/>
      <c r="H1127" s="8" t="inlineStr"/>
      <c r="I1127" s="9" t="n">
        <v>45518</v>
      </c>
      <c r="J1127" s="10" t="n">
        <v>4038</v>
      </c>
      <c r="K1127" s="10" t="n">
        <v>4220</v>
      </c>
      <c r="L1127" s="7" t="n">
        <v>43447</v>
      </c>
      <c r="M1127" s="8" t="n">
        <v>5831</v>
      </c>
      <c r="N1127" s="8" t="n">
        <v>5165</v>
      </c>
      <c r="O1127" s="9" t="n">
        <v>43326</v>
      </c>
      <c r="P1127" s="10" t="n">
        <v>4900</v>
      </c>
      <c r="Q1127" s="10" t="n">
        <v>3034</v>
      </c>
      <c r="R1127" s="7" t="n">
        <v>43891</v>
      </c>
      <c r="S1127" s="8" t="n">
        <v>5356</v>
      </c>
      <c r="T1127" s="8" t="n">
        <v>7416</v>
      </c>
      <c r="U1127" s="9" t="n">
        <v>49526</v>
      </c>
      <c r="V1127" s="10" t="n">
        <v>6713</v>
      </c>
      <c r="W1127" s="10" t="n">
        <v>5883</v>
      </c>
      <c r="X1127" s="7" t="n">
        <v>43184</v>
      </c>
      <c r="Y1127" s="8" t="n">
        <v>4958</v>
      </c>
      <c r="Z1127" s="8" t="n">
        <v>2593</v>
      </c>
      <c r="AA1127" s="9" t="n">
        <v>48349</v>
      </c>
      <c r="AB1127" s="10" t="n">
        <v>6382</v>
      </c>
      <c r="AC1127" s="10" t="n">
        <v>7263</v>
      </c>
      <c r="AD1127" s="7" t="n">
        <v>45361</v>
      </c>
      <c r="AE1127" s="8" t="n">
        <v>3757</v>
      </c>
      <c r="AF1127" s="8" t="n">
        <v>5776</v>
      </c>
      <c r="AG1127" s="9" t="n">
        <v>49316</v>
      </c>
      <c r="AH1127" s="10" t="n">
        <v>4627</v>
      </c>
      <c r="AI1127" s="10" t="n">
        <v>6786</v>
      </c>
      <c r="AJ1127" s="11" t="n">
        <v>44984</v>
      </c>
      <c r="AK1127" s="12" t="n">
        <v>447</v>
      </c>
      <c r="AL1127" s="12" t="n">
        <v>3536</v>
      </c>
      <c r="AM1127" s="13" t="n">
        <v>-8.800000000000001</v>
      </c>
      <c r="AN1127" s="13" t="n">
        <v>4.2</v>
      </c>
      <c r="AO1127" s="13" t="n">
        <v>-90.3</v>
      </c>
      <c r="AP1127" s="13" t="n">
        <v>-91</v>
      </c>
    </row>
    <row r="1128">
      <c r="A1128" s="5" t="inlineStr">
        <is>
          <t>파커스</t>
        </is>
      </c>
      <c r="B1128" s="6" t="inlineStr">
        <is>
          <t>065690</t>
        </is>
      </c>
      <c r="C1128" s="6" t="inlineStr">
        <is>
          <t>연결</t>
        </is>
      </c>
      <c r="D1128" s="6" t="inlineStr">
        <is>
          <t>2026Q2</t>
        </is>
      </c>
      <c r="E1128" s="6" t="inlineStr"/>
      <c r="F1128" s="7" t="inlineStr"/>
      <c r="G1128" s="8" t="inlineStr"/>
      <c r="H1128" s="8" t="inlineStr"/>
      <c r="I1128" s="9" t="n">
        <v>17056</v>
      </c>
      <c r="J1128" s="10" t="n">
        <v>-833</v>
      </c>
      <c r="K1128" s="10" t="n">
        <v>-683</v>
      </c>
      <c r="L1128" s="7" t="n">
        <v>16665</v>
      </c>
      <c r="M1128" s="8" t="n">
        <v>889</v>
      </c>
      <c r="N1128" s="8" t="n">
        <v>839</v>
      </c>
      <c r="O1128" s="9" t="n">
        <v>15135</v>
      </c>
      <c r="P1128" s="10" t="n">
        <v>149</v>
      </c>
      <c r="Q1128" s="10" t="n">
        <v>-1245</v>
      </c>
      <c r="R1128" s="7" t="n">
        <v>14833</v>
      </c>
      <c r="S1128" s="8" t="n">
        <v>-1633</v>
      </c>
      <c r="T1128" s="8" t="n">
        <v>-2270</v>
      </c>
      <c r="U1128" s="9" t="n">
        <v>13480</v>
      </c>
      <c r="V1128" s="10" t="n">
        <v>-9721</v>
      </c>
      <c r="W1128" s="10" t="n">
        <v>8415</v>
      </c>
      <c r="X1128" s="7" t="n">
        <v>14325</v>
      </c>
      <c r="Y1128" s="8" t="n">
        <v>829</v>
      </c>
      <c r="Z1128" s="8" t="n">
        <v>-235</v>
      </c>
      <c r="AA1128" s="9" t="n">
        <v>12614</v>
      </c>
      <c r="AB1128" s="10" t="n">
        <v>-919</v>
      </c>
      <c r="AC1128" s="10" t="n">
        <v>-780</v>
      </c>
      <c r="AD1128" s="7" t="n">
        <v>13081</v>
      </c>
      <c r="AE1128" s="8" t="n">
        <v>-2924</v>
      </c>
      <c r="AF1128" s="8" t="n">
        <v>-2500</v>
      </c>
      <c r="AG1128" s="9" t="n">
        <v>11723</v>
      </c>
      <c r="AH1128" s="10" t="n">
        <v>-88</v>
      </c>
      <c r="AI1128" s="10" t="n">
        <v>1023</v>
      </c>
      <c r="AJ1128" s="11" t="n">
        <v>13340</v>
      </c>
      <c r="AK1128" s="12" t="n">
        <v>-644</v>
      </c>
      <c r="AL1128" s="12" t="n">
        <v>1833</v>
      </c>
      <c r="AM1128" s="13" t="n">
        <v>13.8</v>
      </c>
      <c r="AN1128" s="13" t="n">
        <v>-6.9</v>
      </c>
      <c r="AO1128" s="13" t="n">
        <v>-631.8</v>
      </c>
      <c r="AP1128" s="13" t="n">
        <v>-177.7</v>
      </c>
    </row>
    <row r="1129">
      <c r="A1129" s="5" t="inlineStr">
        <is>
          <t>서호전기</t>
        </is>
      </c>
      <c r="B1129" s="6" t="inlineStr">
        <is>
          <t>065710</t>
        </is>
      </c>
      <c r="C1129" s="6" t="inlineStr">
        <is>
          <t>연결</t>
        </is>
      </c>
      <c r="D1129" s="6" t="inlineStr">
        <is>
          <t>2026Q2</t>
        </is>
      </c>
      <c r="E1129" s="6" t="inlineStr"/>
      <c r="F1129" s="7" t="inlineStr"/>
      <c r="G1129" s="8" t="inlineStr"/>
      <c r="H1129" s="8" t="inlineStr"/>
      <c r="I1129" s="9" t="n">
        <v>8350</v>
      </c>
      <c r="J1129" s="10" t="n">
        <v>1178</v>
      </c>
      <c r="K1129" s="10" t="n">
        <v>4251</v>
      </c>
      <c r="L1129" s="7" t="n">
        <v>11031</v>
      </c>
      <c r="M1129" s="8" t="n">
        <v>1041</v>
      </c>
      <c r="N1129" s="8" t="n">
        <v>2664</v>
      </c>
      <c r="O1129" s="9" t="n">
        <v>13232</v>
      </c>
      <c r="P1129" s="10" t="n">
        <v>1447</v>
      </c>
      <c r="Q1129" s="10" t="n">
        <v>959</v>
      </c>
      <c r="R1129" s="7" t="n">
        <v>13854</v>
      </c>
      <c r="S1129" s="8" t="n">
        <v>-2020</v>
      </c>
      <c r="T1129" s="8" t="n">
        <v>3600</v>
      </c>
      <c r="U1129" s="9" t="n">
        <v>33981</v>
      </c>
      <c r="V1129" s="10" t="n">
        <v>9941</v>
      </c>
      <c r="W1129" s="10" t="n">
        <v>8063</v>
      </c>
      <c r="X1129" s="7" t="n">
        <v>31170</v>
      </c>
      <c r="Y1129" s="8" t="n">
        <v>5140</v>
      </c>
      <c r="Z1129" s="8" t="n">
        <v>390</v>
      </c>
      <c r="AA1129" s="9" t="n">
        <v>30762</v>
      </c>
      <c r="AB1129" s="10" t="n">
        <v>6199</v>
      </c>
      <c r="AC1129" s="10" t="n">
        <v>7791</v>
      </c>
      <c r="AD1129" s="7" t="n">
        <v>20713</v>
      </c>
      <c r="AE1129" s="8" t="n">
        <v>4046</v>
      </c>
      <c r="AF1129" s="8" t="n">
        <v>4462</v>
      </c>
      <c r="AG1129" s="9" t="n">
        <v>25936</v>
      </c>
      <c r="AH1129" s="10" t="n">
        <v>8042</v>
      </c>
      <c r="AI1129" s="10" t="n">
        <v>4955</v>
      </c>
      <c r="AJ1129" s="11" t="n">
        <v>23953</v>
      </c>
      <c r="AK1129" s="12" t="n">
        <v>4199</v>
      </c>
      <c r="AL1129" s="12" t="n">
        <v>5218</v>
      </c>
      <c r="AM1129" s="13" t="n">
        <v>-7.6</v>
      </c>
      <c r="AN1129" s="13" t="n">
        <v>-23.2</v>
      </c>
      <c r="AO1129" s="13" t="n">
        <v>-47.8</v>
      </c>
      <c r="AP1129" s="13" t="n">
        <v>-18.3</v>
      </c>
    </row>
    <row r="1130">
      <c r="A1130" s="5" t="inlineStr">
        <is>
          <t>CS</t>
        </is>
      </c>
      <c r="B1130" s="6" t="inlineStr">
        <is>
          <t>065770</t>
        </is>
      </c>
      <c r="C1130" s="6" t="inlineStr">
        <is>
          <t>연결</t>
        </is>
      </c>
      <c r="D1130" s="6" t="inlineStr">
        <is>
          <t>2026Q2</t>
        </is>
      </c>
      <c r="E1130" s="6" t="inlineStr"/>
      <c r="F1130" s="7" t="inlineStr"/>
      <c r="G1130" s="8" t="inlineStr"/>
      <c r="H1130" s="8" t="inlineStr"/>
      <c r="I1130" s="9" t="n">
        <v>14251</v>
      </c>
      <c r="J1130" s="10" t="n">
        <v>102</v>
      </c>
      <c r="K1130" s="10" t="n">
        <v>206</v>
      </c>
      <c r="L1130" s="7" t="n">
        <v>6114</v>
      </c>
      <c r="M1130" s="8" t="n">
        <v>-40</v>
      </c>
      <c r="N1130" s="8" t="n">
        <v>951</v>
      </c>
      <c r="O1130" s="9" t="n">
        <v>7650</v>
      </c>
      <c r="P1130" s="10" t="n">
        <v>-108</v>
      </c>
      <c r="Q1130" s="10" t="n">
        <v>140</v>
      </c>
      <c r="R1130" s="7" t="n">
        <v>9157</v>
      </c>
      <c r="S1130" s="8" t="n">
        <v>-154</v>
      </c>
      <c r="T1130" s="8" t="n">
        <v>-200</v>
      </c>
      <c r="U1130" s="9" t="n">
        <v>2742</v>
      </c>
      <c r="V1130" s="10" t="n">
        <v>-772</v>
      </c>
      <c r="W1130" s="10" t="n">
        <v>-641</v>
      </c>
      <c r="X1130" s="7" t="n">
        <v>4669</v>
      </c>
      <c r="Y1130" s="8" t="n">
        <v>-394</v>
      </c>
      <c r="Z1130" s="8" t="n">
        <v>-407</v>
      </c>
      <c r="AA1130" s="9" t="n">
        <v>5947</v>
      </c>
      <c r="AB1130" s="10" t="n">
        <v>-156</v>
      </c>
      <c r="AC1130" s="10" t="n">
        <v>-74</v>
      </c>
      <c r="AD1130" s="7" t="n">
        <v>10282</v>
      </c>
      <c r="AE1130" s="8" t="n">
        <v>139</v>
      </c>
      <c r="AF1130" s="8" t="n">
        <v>124</v>
      </c>
      <c r="AG1130" s="9" t="n">
        <v>3308</v>
      </c>
      <c r="AH1130" s="10" t="n">
        <v>-369</v>
      </c>
      <c r="AI1130" s="10" t="n">
        <v>-228</v>
      </c>
      <c r="AJ1130" s="11" t="n">
        <v>4306</v>
      </c>
      <c r="AK1130" s="12" t="n">
        <v>-597</v>
      </c>
      <c r="AL1130" s="12" t="n">
        <v>-371</v>
      </c>
      <c r="AM1130" s="13" t="n">
        <v>30.2</v>
      </c>
      <c r="AN1130" s="13" t="n">
        <v>-7.8</v>
      </c>
      <c r="AO1130" s="13" t="n">
        <v>-61.8</v>
      </c>
      <c r="AP1130" s="13" t="n">
        <v>-51.5</v>
      </c>
    </row>
    <row r="1131">
      <c r="A1131" s="5" t="inlineStr">
        <is>
          <t>웰크론</t>
        </is>
      </c>
      <c r="B1131" s="6" t="inlineStr">
        <is>
          <t>065950</t>
        </is>
      </c>
      <c r="C1131" s="6" t="inlineStr">
        <is>
          <t>연결</t>
        </is>
      </c>
      <c r="D1131" s="6" t="inlineStr">
        <is>
          <t>2026Q2</t>
        </is>
      </c>
      <c r="E1131" s="6" t="inlineStr"/>
      <c r="F1131" s="7" t="inlineStr"/>
      <c r="G1131" s="8" t="inlineStr"/>
      <c r="H1131" s="8" t="inlineStr"/>
      <c r="I1131" s="9" t="n">
        <v>97605</v>
      </c>
      <c r="J1131" s="10" t="n">
        <v>2091</v>
      </c>
      <c r="K1131" s="10" t="n">
        <v>672</v>
      </c>
      <c r="L1131" s="7" t="n">
        <v>83317</v>
      </c>
      <c r="M1131" s="8" t="n">
        <v>-2385</v>
      </c>
      <c r="N1131" s="8" t="n">
        <v>-3409</v>
      </c>
      <c r="O1131" s="9" t="n">
        <v>53250</v>
      </c>
      <c r="P1131" s="10" t="n">
        <v>-11208</v>
      </c>
      <c r="Q1131" s="10" t="n">
        <v>-14150</v>
      </c>
      <c r="R1131" s="7" t="n">
        <v>94945</v>
      </c>
      <c r="S1131" s="8" t="n">
        <v>13674</v>
      </c>
      <c r="T1131" s="8" t="n">
        <v>5074</v>
      </c>
      <c r="U1131" s="9" t="n">
        <v>74326</v>
      </c>
      <c r="V1131" s="10" t="n">
        <v>-964</v>
      </c>
      <c r="W1131" s="10" t="n">
        <v>-2697</v>
      </c>
      <c r="X1131" s="7" t="n">
        <v>64000</v>
      </c>
      <c r="Y1131" s="8" t="n">
        <v>846</v>
      </c>
      <c r="Z1131" s="8" t="n">
        <v>-5579</v>
      </c>
      <c r="AA1131" s="9" t="n">
        <v>62720</v>
      </c>
      <c r="AB1131" s="10" t="n">
        <v>-9180</v>
      </c>
      <c r="AC1131" s="10" t="n">
        <v>-5976</v>
      </c>
      <c r="AD1131" s="7" t="n">
        <v>67914</v>
      </c>
      <c r="AE1131" s="8" t="n">
        <v>-1820</v>
      </c>
      <c r="AF1131" s="8" t="n">
        <v>-34908</v>
      </c>
      <c r="AG1131" s="9" t="n">
        <v>59117</v>
      </c>
      <c r="AH1131" s="10" t="n">
        <v>569</v>
      </c>
      <c r="AI1131" s="10" t="n">
        <v>-5759</v>
      </c>
      <c r="AJ1131" s="11" t="n">
        <v>72023</v>
      </c>
      <c r="AK1131" s="12" t="n">
        <v>2179</v>
      </c>
      <c r="AL1131" s="12" t="n">
        <v>19857</v>
      </c>
      <c r="AM1131" s="13" t="n">
        <v>21.8</v>
      </c>
      <c r="AN1131" s="13" t="n">
        <v>12.5</v>
      </c>
      <c r="AO1131" s="13" t="n">
        <v>283</v>
      </c>
      <c r="AP1131" s="13" t="n">
        <v>157.6</v>
      </c>
    </row>
    <row r="1132">
      <c r="A1132" s="5" t="inlineStr">
        <is>
          <t>하츠</t>
        </is>
      </c>
      <c r="B1132" s="6" t="inlineStr">
        <is>
          <t>066130</t>
        </is>
      </c>
      <c r="C1132" s="6" t="inlineStr">
        <is>
          <t>별도</t>
        </is>
      </c>
      <c r="D1132" s="6" t="inlineStr">
        <is>
          <t>2026Q2</t>
        </is>
      </c>
      <c r="E1132" s="6" t="inlineStr"/>
      <c r="F1132" s="7" t="inlineStr"/>
      <c r="G1132" s="8" t="inlineStr"/>
      <c r="H1132" s="8" t="inlineStr"/>
      <c r="I1132" s="9" t="n">
        <v>40904</v>
      </c>
      <c r="J1132" s="10" t="n">
        <v>2505</v>
      </c>
      <c r="K1132" s="10" t="n">
        <v>1929</v>
      </c>
      <c r="L1132" s="7" t="n">
        <v>49928</v>
      </c>
      <c r="M1132" s="8" t="n">
        <v>5957</v>
      </c>
      <c r="N1132" s="8" t="n">
        <v>4767</v>
      </c>
      <c r="O1132" s="9" t="n">
        <v>43582</v>
      </c>
      <c r="P1132" s="10" t="n">
        <v>3030</v>
      </c>
      <c r="Q1132" s="10" t="n">
        <v>2948</v>
      </c>
      <c r="R1132" s="7" t="n">
        <v>52136</v>
      </c>
      <c r="S1132" s="8" t="n">
        <v>-779</v>
      </c>
      <c r="T1132" s="8" t="n">
        <v>-763</v>
      </c>
      <c r="U1132" s="9" t="n">
        <v>40861</v>
      </c>
      <c r="V1132" s="10" t="n">
        <v>1889</v>
      </c>
      <c r="W1132" s="10" t="n">
        <v>1561</v>
      </c>
      <c r="X1132" s="7" t="n">
        <v>48078</v>
      </c>
      <c r="Y1132" s="8" t="n">
        <v>3364</v>
      </c>
      <c r="Z1132" s="8" t="n">
        <v>4380</v>
      </c>
      <c r="AA1132" s="9" t="n">
        <v>40316</v>
      </c>
      <c r="AB1132" s="10" t="n">
        <v>2211</v>
      </c>
      <c r="AC1132" s="10" t="n">
        <v>965</v>
      </c>
      <c r="AD1132" s="7" t="n">
        <v>47684</v>
      </c>
      <c r="AE1132" s="8" t="n">
        <v>2890</v>
      </c>
      <c r="AF1132" s="8" t="n">
        <v>2159</v>
      </c>
      <c r="AG1132" s="9" t="n">
        <v>36243</v>
      </c>
      <c r="AH1132" s="10" t="n">
        <v>1089</v>
      </c>
      <c r="AI1132" s="10" t="n">
        <v>877</v>
      </c>
      <c r="AJ1132" s="11" t="n">
        <v>46761</v>
      </c>
      <c r="AK1132" s="12" t="n">
        <v>3366</v>
      </c>
      <c r="AL1132" s="12" t="n">
        <v>3560</v>
      </c>
      <c r="AM1132" s="13" t="n">
        <v>29</v>
      </c>
      <c r="AN1132" s="13" t="n">
        <v>-2.7</v>
      </c>
      <c r="AO1132" s="13" t="n">
        <v>209.1</v>
      </c>
      <c r="AP1132" s="13" t="n">
        <v>0.1</v>
      </c>
    </row>
    <row r="1133">
      <c r="A1133" s="5" t="inlineStr">
        <is>
          <t>큐에스아이</t>
        </is>
      </c>
      <c r="B1133" s="6" t="inlineStr">
        <is>
          <t>066310</t>
        </is>
      </c>
      <c r="C1133" s="6" t="inlineStr">
        <is>
          <t>연결</t>
        </is>
      </c>
      <c r="D1133" s="6" t="inlineStr">
        <is>
          <t>2026Q2</t>
        </is>
      </c>
      <c r="E1133" s="6" t="inlineStr"/>
      <c r="F1133" s="7" t="inlineStr"/>
      <c r="G1133" s="8" t="inlineStr"/>
      <c r="H1133" s="8" t="inlineStr"/>
      <c r="I1133" s="9" t="n">
        <v>4965</v>
      </c>
      <c r="J1133" s="10" t="n">
        <v>196</v>
      </c>
      <c r="K1133" s="10" t="n">
        <v>1650</v>
      </c>
      <c r="L1133" s="7" t="n">
        <v>6008</v>
      </c>
      <c r="M1133" s="8" t="n">
        <v>519</v>
      </c>
      <c r="N1133" s="8" t="n">
        <v>283</v>
      </c>
      <c r="O1133" s="9" t="n">
        <v>5061</v>
      </c>
      <c r="P1133" s="10" t="n">
        <v>459</v>
      </c>
      <c r="Q1133" s="10" t="n">
        <v>318</v>
      </c>
      <c r="R1133" s="7" t="n">
        <v>5329</v>
      </c>
      <c r="S1133" s="8" t="n">
        <v>11</v>
      </c>
      <c r="T1133" s="8" t="n">
        <v>1002</v>
      </c>
      <c r="U1133" s="9" t="n">
        <v>5633</v>
      </c>
      <c r="V1133" s="10" t="n">
        <v>-33</v>
      </c>
      <c r="W1133" s="10" t="n">
        <v>193</v>
      </c>
      <c r="X1133" s="7" t="n">
        <v>5723</v>
      </c>
      <c r="Y1133" s="8" t="n">
        <v>15</v>
      </c>
      <c r="Z1133" s="8" t="n">
        <v>194</v>
      </c>
      <c r="AA1133" s="9" t="n">
        <v>5892</v>
      </c>
      <c r="AB1133" s="10" t="n">
        <v>216</v>
      </c>
      <c r="AC1133" s="10" t="n">
        <v>585</v>
      </c>
      <c r="AD1133" s="7" t="n">
        <v>6035</v>
      </c>
      <c r="AE1133" s="8" t="n">
        <v>96</v>
      </c>
      <c r="AF1133" s="8" t="n">
        <v>1544</v>
      </c>
      <c r="AG1133" s="9" t="n">
        <v>6144</v>
      </c>
      <c r="AH1133" s="10" t="n">
        <v>534</v>
      </c>
      <c r="AI1133" s="10" t="n">
        <v>2252</v>
      </c>
      <c r="AJ1133" s="11" t="n">
        <v>7703</v>
      </c>
      <c r="AK1133" s="12" t="n">
        <v>-13</v>
      </c>
      <c r="AL1133" s="12" t="n">
        <v>2046</v>
      </c>
      <c r="AM1133" s="13" t="n">
        <v>25.4</v>
      </c>
      <c r="AN1133" s="13" t="n">
        <v>34.6</v>
      </c>
      <c r="AO1133" s="13" t="n">
        <v>-102.4</v>
      </c>
      <c r="AP1133" s="13" t="n">
        <v>-186.7</v>
      </c>
    </row>
    <row r="1134">
      <c r="A1134" s="5" t="inlineStr">
        <is>
          <t>체리부로</t>
        </is>
      </c>
      <c r="B1134" s="6" t="inlineStr">
        <is>
          <t>066360</t>
        </is>
      </c>
      <c r="C1134" s="6" t="inlineStr">
        <is>
          <t>연결</t>
        </is>
      </c>
      <c r="D1134" s="6" t="inlineStr">
        <is>
          <t>2026Q2</t>
        </is>
      </c>
      <c r="E1134" s="6" t="inlineStr"/>
      <c r="F1134" s="7" t="inlineStr"/>
      <c r="G1134" s="8" t="inlineStr"/>
      <c r="H1134" s="8" t="inlineStr"/>
      <c r="I1134" s="9" t="n">
        <v>99420</v>
      </c>
      <c r="J1134" s="10" t="n">
        <v>2049</v>
      </c>
      <c r="K1134" s="10" t="n">
        <v>-677</v>
      </c>
      <c r="L1134" s="7" t="n">
        <v>88307</v>
      </c>
      <c r="M1134" s="8" t="n">
        <v>-1147</v>
      </c>
      <c r="N1134" s="8" t="n">
        <v>-3874</v>
      </c>
      <c r="O1134" s="9" t="n">
        <v>104618</v>
      </c>
      <c r="P1134" s="10" t="n">
        <v>6663</v>
      </c>
      <c r="Q1134" s="10" t="n">
        <v>7408</v>
      </c>
      <c r="R1134" s="7" t="n">
        <v>90534</v>
      </c>
      <c r="S1134" s="8" t="n">
        <v>-4700</v>
      </c>
      <c r="T1134" s="8" t="n">
        <v>-11903</v>
      </c>
      <c r="U1134" s="9" t="n">
        <v>91106</v>
      </c>
      <c r="V1134" s="10" t="n">
        <v>3266</v>
      </c>
      <c r="W1134" s="10" t="n">
        <v>1783</v>
      </c>
      <c r="X1134" s="7" t="n">
        <v>105592</v>
      </c>
      <c r="Y1134" s="8" t="n">
        <v>8191</v>
      </c>
      <c r="Z1134" s="8" t="n">
        <v>9604</v>
      </c>
      <c r="AA1134" s="9" t="n">
        <v>108510</v>
      </c>
      <c r="AB1134" s="10" t="n">
        <v>5739</v>
      </c>
      <c r="AC1134" s="10" t="n">
        <v>3158</v>
      </c>
      <c r="AD1134" s="7" t="n">
        <v>100228</v>
      </c>
      <c r="AE1134" s="8" t="n">
        <v>11286</v>
      </c>
      <c r="AF1134" s="8" t="n">
        <v>14055</v>
      </c>
      <c r="AG1134" s="9" t="n">
        <v>94716</v>
      </c>
      <c r="AH1134" s="10" t="n">
        <v>3204</v>
      </c>
      <c r="AI1134" s="10" t="n">
        <v>10</v>
      </c>
      <c r="AJ1134" s="11" t="n">
        <v>112047</v>
      </c>
      <c r="AK1134" s="12" t="n">
        <v>8279</v>
      </c>
      <c r="AL1134" s="12" t="n">
        <v>5077</v>
      </c>
      <c r="AM1134" s="13" t="n">
        <v>18.3</v>
      </c>
      <c r="AN1134" s="13" t="n">
        <v>6.1</v>
      </c>
      <c r="AO1134" s="13" t="n">
        <v>158.4</v>
      </c>
      <c r="AP1134" s="13" t="n">
        <v>1.1</v>
      </c>
    </row>
    <row r="1135">
      <c r="A1135" s="5" t="inlineStr">
        <is>
          <t>버킷스튜디오</t>
        </is>
      </c>
      <c r="B1135" s="6" t="inlineStr">
        <is>
          <t>066410</t>
        </is>
      </c>
      <c r="C1135" s="6" t="inlineStr">
        <is>
          <t>연결</t>
        </is>
      </c>
      <c r="D1135" s="6" t="inlineStr">
        <is>
          <t>2026Q2</t>
        </is>
      </c>
      <c r="E1135" s="6" t="inlineStr"/>
      <c r="F1135" s="7" t="inlineStr"/>
      <c r="G1135" s="8" t="inlineStr"/>
      <c r="H1135" s="8" t="inlineStr"/>
      <c r="I1135" s="9" t="n">
        <v>4640</v>
      </c>
      <c r="J1135" s="10" t="n">
        <v>-1080</v>
      </c>
      <c r="K1135" s="10" t="n">
        <v>454</v>
      </c>
      <c r="L1135" s="7" t="n">
        <v>4295</v>
      </c>
      <c r="M1135" s="8" t="n">
        <v>-2293</v>
      </c>
      <c r="N1135" s="8" t="n">
        <v>-10590</v>
      </c>
      <c r="O1135" s="9" t="n">
        <v>4612</v>
      </c>
      <c r="P1135" s="10" t="n">
        <v>-2859</v>
      </c>
      <c r="Q1135" s="10" t="n">
        <v>-7135</v>
      </c>
      <c r="R1135" s="7" t="n">
        <v>3914</v>
      </c>
      <c r="S1135" s="8" t="n">
        <v>-2030</v>
      </c>
      <c r="T1135" s="8" t="n">
        <v>15460</v>
      </c>
      <c r="U1135" s="9" t="n">
        <v>3875</v>
      </c>
      <c r="V1135" s="10" t="n">
        <v>-1755</v>
      </c>
      <c r="W1135" s="10" t="n">
        <v>426</v>
      </c>
      <c r="X1135" s="7" t="n">
        <v>3988</v>
      </c>
      <c r="Y1135" s="8" t="n">
        <v>-1147</v>
      </c>
      <c r="Z1135" s="8" t="n">
        <v>-154</v>
      </c>
      <c r="AA1135" s="9" t="n">
        <v>5102</v>
      </c>
      <c r="AB1135" s="10" t="n">
        <v>-1347</v>
      </c>
      <c r="AC1135" s="10" t="n">
        <v>-14940</v>
      </c>
      <c r="AD1135" s="7" t="n">
        <v>4308</v>
      </c>
      <c r="AE1135" s="8" t="n">
        <v>-1934</v>
      </c>
      <c r="AF1135" s="8" t="n">
        <v>-23596</v>
      </c>
      <c r="AG1135" s="9" t="n">
        <v>4463</v>
      </c>
      <c r="AH1135" s="10" t="n">
        <v>-1190</v>
      </c>
      <c r="AI1135" s="10" t="n">
        <v>-15772</v>
      </c>
      <c r="AJ1135" s="11" t="n">
        <v>5241</v>
      </c>
      <c r="AK1135" s="12" t="n">
        <v>-1093</v>
      </c>
      <c r="AL1135" s="12" t="n">
        <v>-1822</v>
      </c>
      <c r="AM1135" s="13" t="n">
        <v>17.4</v>
      </c>
      <c r="AN1135" s="13" t="n">
        <v>31.4</v>
      </c>
      <c r="AO1135" s="13" t="n">
        <v>8.199999999999999</v>
      </c>
      <c r="AP1135" s="13" t="n">
        <v>4.7</v>
      </c>
    </row>
    <row r="1136">
      <c r="A1136" s="5" t="inlineStr">
        <is>
          <t>아이로보틱스</t>
        </is>
      </c>
      <c r="B1136" s="6" t="inlineStr">
        <is>
          <t>066430</t>
        </is>
      </c>
      <c r="C1136" s="6" t="inlineStr">
        <is>
          <t>별도</t>
        </is>
      </c>
      <c r="D1136" s="6" t="inlineStr">
        <is>
          <t>2026Q2</t>
        </is>
      </c>
      <c r="E1136" s="6" t="inlineStr"/>
      <c r="F1136" s="7" t="inlineStr"/>
      <c r="G1136" s="8" t="inlineStr"/>
      <c r="H1136" s="8" t="inlineStr"/>
      <c r="I1136" s="9" t="n">
        <v>8640</v>
      </c>
      <c r="J1136" s="10" t="n">
        <v>-21</v>
      </c>
      <c r="K1136" s="10" t="n">
        <v>-105</v>
      </c>
      <c r="L1136" s="7" t="n">
        <v>9056</v>
      </c>
      <c r="M1136" s="8" t="n">
        <v>-254</v>
      </c>
      <c r="N1136" s="8" t="n">
        <v>-850</v>
      </c>
      <c r="O1136" s="9" t="n">
        <v>8402</v>
      </c>
      <c r="P1136" s="10" t="n">
        <v>559</v>
      </c>
      <c r="Q1136" s="10" t="n">
        <v>105</v>
      </c>
      <c r="R1136" s="7" t="n">
        <v>10047</v>
      </c>
      <c r="S1136" s="8" t="n">
        <v>651</v>
      </c>
      <c r="T1136" s="8" t="n">
        <v>363</v>
      </c>
      <c r="U1136" s="9" t="n">
        <v>8491</v>
      </c>
      <c r="V1136" s="10" t="n">
        <v>-228</v>
      </c>
      <c r="W1136" s="10" t="n">
        <v>-234</v>
      </c>
      <c r="X1136" s="7" t="n">
        <v>10198</v>
      </c>
      <c r="Y1136" s="8" t="n">
        <v>63</v>
      </c>
      <c r="Z1136" s="8" t="n">
        <v>244</v>
      </c>
      <c r="AA1136" s="9" t="n">
        <v>8884</v>
      </c>
      <c r="AB1136" s="10" t="n">
        <v>78</v>
      </c>
      <c r="AC1136" s="10" t="n">
        <v>294</v>
      </c>
      <c r="AD1136" s="7" t="n">
        <v>8853</v>
      </c>
      <c r="AE1136" s="8" t="n">
        <v>257</v>
      </c>
      <c r="AF1136" s="8" t="n">
        <v>1397</v>
      </c>
      <c r="AG1136" s="9" t="n">
        <v>10198</v>
      </c>
      <c r="AH1136" s="10" t="n">
        <v>-80</v>
      </c>
      <c r="AI1136" s="10" t="n">
        <v>446</v>
      </c>
      <c r="AJ1136" s="11" t="n">
        <v>12086</v>
      </c>
      <c r="AK1136" s="12" t="n">
        <v>-829</v>
      </c>
      <c r="AL1136" s="12" t="n">
        <v>-1045</v>
      </c>
      <c r="AM1136" s="13" t="n">
        <v>18.5</v>
      </c>
      <c r="AN1136" s="13" t="n">
        <v>18.5</v>
      </c>
      <c r="AO1136" s="13" t="n">
        <v>-936.3</v>
      </c>
      <c r="AP1136" s="13" t="n">
        <v>-1415.9</v>
      </c>
    </row>
    <row r="1137">
      <c r="A1137" s="5" t="inlineStr">
        <is>
          <t>LG전자</t>
        </is>
      </c>
      <c r="B1137" s="6" t="inlineStr">
        <is>
          <t>066570</t>
        </is>
      </c>
      <c r="C1137" s="6" t="inlineStr">
        <is>
          <t>연결</t>
        </is>
      </c>
      <c r="D1137" s="6" t="inlineStr">
        <is>
          <t>2026Q2</t>
        </is>
      </c>
      <c r="E1137" s="6" t="inlineStr">
        <is>
          <t>2023Q4</t>
        </is>
      </c>
      <c r="F1137" s="14" t="n">
        <v>23104100</v>
      </c>
      <c r="G1137" s="15" t="n">
        <v>313100</v>
      </c>
      <c r="H1137" s="15" t="n">
        <v>-76400</v>
      </c>
      <c r="I1137" s="9" t="n">
        <v>21095949</v>
      </c>
      <c r="J1137" s="10" t="n">
        <v>1335411</v>
      </c>
      <c r="K1137" s="10" t="n">
        <v>585415</v>
      </c>
      <c r="L1137" s="7" t="n">
        <v>21694366</v>
      </c>
      <c r="M1137" s="8" t="n">
        <v>1196146</v>
      </c>
      <c r="N1137" s="8" t="n">
        <v>629470</v>
      </c>
      <c r="O1137" s="9" t="n">
        <v>22176370</v>
      </c>
      <c r="P1137" s="10" t="n">
        <v>751880</v>
      </c>
      <c r="Q1137" s="10" t="n">
        <v>90234</v>
      </c>
      <c r="R1137" s="7" t="n">
        <v>22761497</v>
      </c>
      <c r="S1137" s="8" t="n">
        <v>136238</v>
      </c>
      <c r="T1137" s="8" t="n">
        <v>-713754</v>
      </c>
      <c r="U1137" s="9" t="n">
        <v>22739812</v>
      </c>
      <c r="V1137" s="10" t="n">
        <v>1259059</v>
      </c>
      <c r="W1137" s="10" t="n">
        <v>875618</v>
      </c>
      <c r="X1137" s="7" t="n">
        <v>20735142</v>
      </c>
      <c r="Y1137" s="8" t="n">
        <v>639404</v>
      </c>
      <c r="Z1137" s="8" t="n">
        <v>609643</v>
      </c>
      <c r="AA1137" s="9" t="n">
        <v>21873774</v>
      </c>
      <c r="AB1137" s="10" t="n">
        <v>688918</v>
      </c>
      <c r="AC1137" s="10" t="n">
        <v>461074</v>
      </c>
      <c r="AD1137" s="7" t="n">
        <v>23852154</v>
      </c>
      <c r="AE1137" s="8" t="n">
        <v>-108989</v>
      </c>
      <c r="AF1137" s="8" t="n">
        <v>-725923</v>
      </c>
      <c r="AG1137" s="9" t="n">
        <v>23727227</v>
      </c>
      <c r="AH1137" s="10" t="n">
        <v>1673723</v>
      </c>
      <c r="AI1137" s="10" t="n">
        <v>1005088</v>
      </c>
      <c r="AJ1137" s="11" t="n">
        <v>23826468</v>
      </c>
      <c r="AK1137" s="12" t="n">
        <v>1579082</v>
      </c>
      <c r="AL1137" s="12" t="n">
        <v>781322</v>
      </c>
      <c r="AM1137" s="13" t="n">
        <v>0.4</v>
      </c>
      <c r="AN1137" s="13" t="n">
        <v>14.9</v>
      </c>
      <c r="AO1137" s="13" t="n">
        <v>-5.7</v>
      </c>
      <c r="AP1137" s="13" t="n">
        <v>147</v>
      </c>
    </row>
    <row r="1138">
      <c r="A1138" s="5" t="inlineStr">
        <is>
          <t>스모트로닉</t>
        </is>
      </c>
      <c r="B1138" s="6" t="inlineStr">
        <is>
          <t>066590</t>
        </is>
      </c>
      <c r="C1138" s="6" t="inlineStr">
        <is>
          <t>연결</t>
        </is>
      </c>
      <c r="D1138" s="6" t="inlineStr">
        <is>
          <t>2026Q2</t>
        </is>
      </c>
      <c r="E1138" s="6" t="inlineStr">
        <is>
          <t>2023Q4</t>
        </is>
      </c>
      <c r="F1138" s="14" t="n">
        <v>63942</v>
      </c>
      <c r="G1138" s="15" t="n">
        <v>2338</v>
      </c>
      <c r="H1138" s="15" t="n">
        <v>5887</v>
      </c>
      <c r="I1138" s="9" t="n">
        <v>87927</v>
      </c>
      <c r="J1138" s="10" t="n">
        <v>2663</v>
      </c>
      <c r="K1138" s="10" t="n">
        <v>2651</v>
      </c>
      <c r="L1138" s="7" t="n">
        <v>89866</v>
      </c>
      <c r="M1138" s="8" t="n">
        <v>2732</v>
      </c>
      <c r="N1138" s="8" t="n">
        <v>2443</v>
      </c>
      <c r="O1138" s="9" t="n">
        <v>87737</v>
      </c>
      <c r="P1138" s="10" t="n">
        <v>814</v>
      </c>
      <c r="Q1138" s="10" t="n">
        <v>-2714</v>
      </c>
      <c r="R1138" s="7" t="n">
        <v>88685</v>
      </c>
      <c r="S1138" s="8" t="n">
        <v>2840</v>
      </c>
      <c r="T1138" s="8" t="n">
        <v>4761</v>
      </c>
      <c r="U1138" s="9" t="n">
        <v>88162</v>
      </c>
      <c r="V1138" s="10" t="n">
        <v>702</v>
      </c>
      <c r="W1138" s="10" t="n">
        <v>-1280</v>
      </c>
      <c r="X1138" s="7" t="n">
        <v>93480</v>
      </c>
      <c r="Y1138" s="8" t="n">
        <v>773</v>
      </c>
      <c r="Z1138" s="8" t="n">
        <v>-1925</v>
      </c>
      <c r="AA1138" s="9" t="n">
        <v>94442</v>
      </c>
      <c r="AB1138" s="10" t="n">
        <v>497</v>
      </c>
      <c r="AC1138" s="10" t="n">
        <v>-1313</v>
      </c>
      <c r="AD1138" s="7" t="n">
        <v>92525</v>
      </c>
      <c r="AE1138" s="8" t="n">
        <v>-1521</v>
      </c>
      <c r="AF1138" s="8" t="n">
        <v>-6829</v>
      </c>
      <c r="AG1138" s="9" t="n">
        <v>94966</v>
      </c>
      <c r="AH1138" s="10" t="n">
        <v>3383</v>
      </c>
      <c r="AI1138" s="10" t="n">
        <v>4169</v>
      </c>
      <c r="AJ1138" s="11" t="n">
        <v>105230</v>
      </c>
      <c r="AK1138" s="12" t="n">
        <v>3035</v>
      </c>
      <c r="AL1138" s="12" t="n">
        <v>3064</v>
      </c>
      <c r="AM1138" s="13" t="n">
        <v>10.8</v>
      </c>
      <c r="AN1138" s="13" t="n">
        <v>12.6</v>
      </c>
      <c r="AO1138" s="13" t="n">
        <v>-10.3</v>
      </c>
      <c r="AP1138" s="13" t="n">
        <v>292.6</v>
      </c>
    </row>
    <row r="1139">
      <c r="A1139" s="5" t="inlineStr">
        <is>
          <t>국보디자인</t>
        </is>
      </c>
      <c r="B1139" s="6" t="inlineStr">
        <is>
          <t>066620</t>
        </is>
      </c>
      <c r="C1139" s="6" t="inlineStr">
        <is>
          <t>연결</t>
        </is>
      </c>
      <c r="D1139" s="6" t="inlineStr">
        <is>
          <t>2026Q2</t>
        </is>
      </c>
      <c r="E1139" s="6" t="inlineStr"/>
      <c r="F1139" s="7" t="inlineStr"/>
      <c r="G1139" s="8" t="inlineStr"/>
      <c r="H1139" s="8" t="inlineStr"/>
      <c r="I1139" s="9" t="n">
        <v>101467</v>
      </c>
      <c r="J1139" s="10" t="n">
        <v>8387</v>
      </c>
      <c r="K1139" s="10" t="n">
        <v>10909</v>
      </c>
      <c r="L1139" s="7" t="n">
        <v>106811</v>
      </c>
      <c r="M1139" s="8" t="n">
        <v>10467</v>
      </c>
      <c r="N1139" s="8" t="n">
        <v>10007</v>
      </c>
      <c r="O1139" s="9" t="n">
        <v>106344</v>
      </c>
      <c r="P1139" s="10" t="n">
        <v>16129</v>
      </c>
      <c r="Q1139" s="10" t="n">
        <v>8055</v>
      </c>
      <c r="R1139" s="7" t="n">
        <v>107019</v>
      </c>
      <c r="S1139" s="8" t="n">
        <v>6717</v>
      </c>
      <c r="T1139" s="8" t="n">
        <v>11751</v>
      </c>
      <c r="U1139" s="9" t="n">
        <v>101949</v>
      </c>
      <c r="V1139" s="10" t="n">
        <v>17104</v>
      </c>
      <c r="W1139" s="10" t="n">
        <v>7613</v>
      </c>
      <c r="X1139" s="7" t="n">
        <v>119277</v>
      </c>
      <c r="Y1139" s="8" t="n">
        <v>11203</v>
      </c>
      <c r="Z1139" s="8" t="n">
        <v>9742</v>
      </c>
      <c r="AA1139" s="9" t="n">
        <v>115878</v>
      </c>
      <c r="AB1139" s="10" t="n">
        <v>7793</v>
      </c>
      <c r="AC1139" s="10" t="n">
        <v>19438</v>
      </c>
      <c r="AD1139" s="7" t="n">
        <v>101783</v>
      </c>
      <c r="AE1139" s="8" t="n">
        <v>9662</v>
      </c>
      <c r="AF1139" s="8" t="n">
        <v>2902</v>
      </c>
      <c r="AG1139" s="9" t="n">
        <v>102195</v>
      </c>
      <c r="AH1139" s="10" t="n">
        <v>15465</v>
      </c>
      <c r="AI1139" s="10" t="n">
        <v>13556</v>
      </c>
      <c r="AJ1139" s="11" t="n">
        <v>105618</v>
      </c>
      <c r="AK1139" s="12" t="n">
        <v>7084</v>
      </c>
      <c r="AL1139" s="12" t="n">
        <v>74730</v>
      </c>
      <c r="AM1139" s="13" t="n">
        <v>3.3</v>
      </c>
      <c r="AN1139" s="13" t="n">
        <v>-11.5</v>
      </c>
      <c r="AO1139" s="13" t="n">
        <v>-54.2</v>
      </c>
      <c r="AP1139" s="13" t="n">
        <v>-36.8</v>
      </c>
    </row>
    <row r="1140">
      <c r="A1140" s="5" t="inlineStr">
        <is>
          <t>디티씨</t>
        </is>
      </c>
      <c r="B1140" s="6" t="inlineStr">
        <is>
          <t>066670</t>
        </is>
      </c>
      <c r="C1140" s="6" t="inlineStr">
        <is>
          <t>연결</t>
        </is>
      </c>
      <c r="D1140" s="6" t="inlineStr">
        <is>
          <t>2026Q2</t>
        </is>
      </c>
      <c r="E1140" s="6" t="inlineStr"/>
      <c r="F1140" s="7" t="inlineStr"/>
      <c r="G1140" s="8" t="inlineStr"/>
      <c r="H1140" s="8" t="inlineStr"/>
      <c r="I1140" s="9" t="n">
        <v>2596</v>
      </c>
      <c r="J1140" s="10" t="n">
        <v>713</v>
      </c>
      <c r="K1140" s="10" t="n">
        <v>1329</v>
      </c>
      <c r="L1140" s="7" t="n">
        <v>2626</v>
      </c>
      <c r="M1140" s="8" t="n">
        <v>387</v>
      </c>
      <c r="N1140" s="8" t="n">
        <v>986</v>
      </c>
      <c r="O1140" s="9" t="n">
        <v>3605</v>
      </c>
      <c r="P1140" s="10" t="n">
        <v>710</v>
      </c>
      <c r="Q1140" s="10" t="n">
        <v>302</v>
      </c>
      <c r="R1140" s="7" t="n">
        <v>3057</v>
      </c>
      <c r="S1140" s="8" t="n">
        <v>628</v>
      </c>
      <c r="T1140" s="8" t="n">
        <v>-448</v>
      </c>
      <c r="U1140" s="9" t="n">
        <v>51004</v>
      </c>
      <c r="V1140" s="10" t="n">
        <v>1807</v>
      </c>
      <c r="W1140" s="10" t="n">
        <v>1688</v>
      </c>
      <c r="X1140" s="7" t="n">
        <v>40013</v>
      </c>
      <c r="Y1140" s="8" t="n">
        <v>-1488</v>
      </c>
      <c r="Z1140" s="8" t="n">
        <v>-3812</v>
      </c>
      <c r="AA1140" s="9" t="n">
        <v>47468</v>
      </c>
      <c r="AB1140" s="10" t="n">
        <v>-1040</v>
      </c>
      <c r="AC1140" s="10" t="n">
        <v>1758</v>
      </c>
      <c r="AD1140" s="7" t="n">
        <v>50134</v>
      </c>
      <c r="AE1140" s="8" t="n">
        <v>-1044</v>
      </c>
      <c r="AF1140" s="8" t="n">
        <v>-1051</v>
      </c>
      <c r="AG1140" s="9" t="n">
        <v>41601</v>
      </c>
      <c r="AH1140" s="10" t="n">
        <v>1851</v>
      </c>
      <c r="AI1140" s="10" t="n">
        <v>4586</v>
      </c>
      <c r="AJ1140" s="11" t="n">
        <v>39514</v>
      </c>
      <c r="AK1140" s="12" t="n">
        <v>-660</v>
      </c>
      <c r="AL1140" s="12" t="n">
        <v>-444</v>
      </c>
      <c r="AM1140" s="13" t="n">
        <v>-5</v>
      </c>
      <c r="AN1140" s="13" t="n">
        <v>-1.2</v>
      </c>
      <c r="AO1140" s="13" t="n">
        <v>-135.7</v>
      </c>
      <c r="AP1140" s="13" t="n">
        <v>55.6</v>
      </c>
    </row>
    <row r="1141">
      <c r="A1141" s="5" t="inlineStr">
        <is>
          <t>테라젠이텍스</t>
        </is>
      </c>
      <c r="B1141" s="6" t="inlineStr">
        <is>
          <t>066700</t>
        </is>
      </c>
      <c r="C1141" s="6" t="inlineStr">
        <is>
          <t>연결</t>
        </is>
      </c>
      <c r="D1141" s="6" t="inlineStr">
        <is>
          <t>2026Q2</t>
        </is>
      </c>
      <c r="E1141" s="6" t="inlineStr"/>
      <c r="F1141" s="7" t="inlineStr"/>
      <c r="G1141" s="8" t="inlineStr"/>
      <c r="H1141" s="8" t="inlineStr"/>
      <c r="I1141" s="9" t="n">
        <v>60697</v>
      </c>
      <c r="J1141" s="10" t="n">
        <v>3763</v>
      </c>
      <c r="K1141" s="10" t="n">
        <v>1970</v>
      </c>
      <c r="L1141" s="7" t="n">
        <v>63476</v>
      </c>
      <c r="M1141" s="8" t="n">
        <v>3468</v>
      </c>
      <c r="N1141" s="8" t="n">
        <v>1441</v>
      </c>
      <c r="O1141" s="9" t="n">
        <v>59935</v>
      </c>
      <c r="P1141" s="10" t="n">
        <v>2849</v>
      </c>
      <c r="Q1141" s="10" t="n">
        <v>3676</v>
      </c>
      <c r="R1141" s="7" t="n">
        <v>65517</v>
      </c>
      <c r="S1141" s="8" t="n">
        <v>2420</v>
      </c>
      <c r="T1141" s="8" t="n">
        <v>-46368</v>
      </c>
      <c r="U1141" s="9" t="n">
        <v>67187</v>
      </c>
      <c r="V1141" s="10" t="n">
        <v>4502</v>
      </c>
      <c r="W1141" s="10" t="n">
        <v>-2472</v>
      </c>
      <c r="X1141" s="7" t="n">
        <v>66825</v>
      </c>
      <c r="Y1141" s="8" t="n">
        <v>-476</v>
      </c>
      <c r="Z1141" s="8" t="n">
        <v>793</v>
      </c>
      <c r="AA1141" s="9" t="n">
        <v>68610</v>
      </c>
      <c r="AB1141" s="10" t="n">
        <v>1951</v>
      </c>
      <c r="AC1141" s="10" t="n">
        <v>3775</v>
      </c>
      <c r="AD1141" s="7" t="n">
        <v>68968</v>
      </c>
      <c r="AE1141" s="8" t="n">
        <v>4236</v>
      </c>
      <c r="AF1141" s="8" t="n">
        <v>9650</v>
      </c>
      <c r="AG1141" s="9" t="n">
        <v>68524</v>
      </c>
      <c r="AH1141" s="10" t="n">
        <v>1944</v>
      </c>
      <c r="AI1141" s="10" t="n">
        <v>-3418</v>
      </c>
      <c r="AJ1141" s="11" t="n">
        <v>69256</v>
      </c>
      <c r="AK1141" s="12" t="n">
        <v>2647</v>
      </c>
      <c r="AL1141" s="12" t="n">
        <v>-7181</v>
      </c>
      <c r="AM1141" s="13" t="n">
        <v>1.1</v>
      </c>
      <c r="AN1141" s="13" t="n">
        <v>3.6</v>
      </c>
      <c r="AO1141" s="13" t="n">
        <v>36.2</v>
      </c>
      <c r="AP1141" s="13" t="n">
        <v>656.1</v>
      </c>
    </row>
    <row r="1142">
      <c r="A1142" s="5" t="inlineStr">
        <is>
          <t>씨씨에스</t>
        </is>
      </c>
      <c r="B1142" s="6" t="inlineStr">
        <is>
          <t>066790</t>
        </is>
      </c>
      <c r="C1142" s="6" t="inlineStr">
        <is>
          <t>연결</t>
        </is>
      </c>
      <c r="D1142" s="6" t="inlineStr">
        <is>
          <t>2026Q2</t>
        </is>
      </c>
      <c r="E1142" s="6" t="inlineStr"/>
      <c r="F1142" s="7" t="inlineStr"/>
      <c r="G1142" s="8" t="inlineStr"/>
      <c r="H1142" s="8" t="inlineStr"/>
      <c r="I1142" s="9" t="n">
        <v>4499</v>
      </c>
      <c r="J1142" s="10" t="n">
        <v>-416</v>
      </c>
      <c r="K1142" s="10" t="n">
        <v>-275</v>
      </c>
      <c r="L1142" s="7" t="n">
        <v>4591</v>
      </c>
      <c r="M1142" s="8" t="n">
        <v>-130</v>
      </c>
      <c r="N1142" s="8" t="n">
        <v>254</v>
      </c>
      <c r="O1142" s="9" t="n">
        <v>4867</v>
      </c>
      <c r="P1142" s="10" t="n">
        <v>21</v>
      </c>
      <c r="Q1142" s="10" t="n">
        <v>290</v>
      </c>
      <c r="R1142" s="7" t="n">
        <v>4380</v>
      </c>
      <c r="S1142" s="8" t="n">
        <v>-325</v>
      </c>
      <c r="T1142" s="8" t="n">
        <v>-1342</v>
      </c>
      <c r="U1142" s="9" t="n">
        <v>4352</v>
      </c>
      <c r="V1142" s="10" t="n">
        <v>-758</v>
      </c>
      <c r="W1142" s="10" t="n">
        <v>-612</v>
      </c>
      <c r="X1142" s="7" t="n">
        <v>4351</v>
      </c>
      <c r="Y1142" s="8" t="n">
        <v>-792</v>
      </c>
      <c r="Z1142" s="8" t="n">
        <v>-677</v>
      </c>
      <c r="AA1142" s="9" t="n">
        <v>5223</v>
      </c>
      <c r="AB1142" s="10" t="n">
        <v>-926</v>
      </c>
      <c r="AC1142" s="10" t="n">
        <v>-800</v>
      </c>
      <c r="AD1142" s="7" t="n">
        <v>4345</v>
      </c>
      <c r="AE1142" s="8" t="n">
        <v>-2544</v>
      </c>
      <c r="AF1142" s="8" t="n">
        <v>-6985</v>
      </c>
      <c r="AG1142" s="9" t="n">
        <v>4249</v>
      </c>
      <c r="AH1142" s="10" t="n">
        <v>-2131</v>
      </c>
      <c r="AI1142" s="10" t="n">
        <v>-1944</v>
      </c>
      <c r="AJ1142" s="11" t="n">
        <v>4564</v>
      </c>
      <c r="AK1142" s="12" t="n">
        <v>-738</v>
      </c>
      <c r="AL1142" s="12" t="n">
        <v>-598</v>
      </c>
      <c r="AM1142" s="13" t="n">
        <v>7.4</v>
      </c>
      <c r="AN1142" s="13" t="n">
        <v>4.9</v>
      </c>
      <c r="AO1142" s="13" t="n">
        <v>65.40000000000001</v>
      </c>
      <c r="AP1142" s="13" t="n">
        <v>6.8</v>
      </c>
    </row>
    <row r="1143">
      <c r="A1143" s="5" t="inlineStr">
        <is>
          <t>디에이피</t>
        </is>
      </c>
      <c r="B1143" s="6" t="inlineStr">
        <is>
          <t>066900</t>
        </is>
      </c>
      <c r="C1143" s="6" t="inlineStr">
        <is>
          <t>별도</t>
        </is>
      </c>
      <c r="D1143" s="6" t="inlineStr">
        <is>
          <t>2026Q2</t>
        </is>
      </c>
      <c r="E1143" s="6" t="inlineStr"/>
      <c r="F1143" s="7" t="inlineStr"/>
      <c r="G1143" s="8" t="inlineStr"/>
      <c r="H1143" s="8" t="inlineStr"/>
      <c r="I1143" s="9" t="n">
        <v>121900</v>
      </c>
      <c r="J1143" s="10" t="n">
        <v>989</v>
      </c>
      <c r="K1143" s="10" t="n">
        <v>-1577</v>
      </c>
      <c r="L1143" s="7" t="n">
        <v>116534</v>
      </c>
      <c r="M1143" s="8" t="n">
        <v>-10993</v>
      </c>
      <c r="N1143" s="8" t="n">
        <v>-16148</v>
      </c>
      <c r="O1143" s="9" t="n">
        <v>125533</v>
      </c>
      <c r="P1143" s="10" t="n">
        <v>-10021</v>
      </c>
      <c r="Q1143" s="10" t="n">
        <v>-7239</v>
      </c>
      <c r="R1143" s="7" t="n">
        <v>124880</v>
      </c>
      <c r="S1143" s="8" t="n">
        <v>-10372</v>
      </c>
      <c r="T1143" s="8" t="n">
        <v>-18353</v>
      </c>
      <c r="U1143" s="9" t="n">
        <v>146241</v>
      </c>
      <c r="V1143" s="10" t="n">
        <v>-1449</v>
      </c>
      <c r="W1143" s="10" t="n">
        <v>-3192</v>
      </c>
      <c r="X1143" s="7" t="n">
        <v>123660</v>
      </c>
      <c r="Y1143" s="8" t="n">
        <v>-19831</v>
      </c>
      <c r="Z1143" s="8" t="n">
        <v>-15726</v>
      </c>
      <c r="AA1143" s="9" t="n">
        <v>124805</v>
      </c>
      <c r="AB1143" s="10" t="n">
        <v>-29608</v>
      </c>
      <c r="AC1143" s="10" t="n">
        <v>-34163</v>
      </c>
      <c r="AD1143" s="7" t="n">
        <v>148490</v>
      </c>
      <c r="AE1143" s="8" t="n">
        <v>-6931</v>
      </c>
      <c r="AF1143" s="8" t="n">
        <v>-11695</v>
      </c>
      <c r="AG1143" s="9" t="n">
        <v>93778</v>
      </c>
      <c r="AH1143" s="10" t="n">
        <v>-1828</v>
      </c>
      <c r="AI1143" s="10" t="n">
        <v>95919</v>
      </c>
      <c r="AJ1143" s="11" t="n">
        <v>75834</v>
      </c>
      <c r="AK1143" s="12" t="n">
        <v>-9288</v>
      </c>
      <c r="AL1143" s="12" t="n">
        <v>-7137</v>
      </c>
      <c r="AM1143" s="13" t="n">
        <v>-19.1</v>
      </c>
      <c r="AN1143" s="13" t="n">
        <v>-38.7</v>
      </c>
      <c r="AO1143" s="13" t="n">
        <v>-408.1</v>
      </c>
      <c r="AP1143" s="13" t="n">
        <v>53.2</v>
      </c>
    </row>
    <row r="1144">
      <c r="A1144" s="5" t="inlineStr">
        <is>
          <t>손오공</t>
        </is>
      </c>
      <c r="B1144" s="6" t="inlineStr">
        <is>
          <t>066910</t>
        </is>
      </c>
      <c r="C1144" s="6" t="inlineStr">
        <is>
          <t>연결</t>
        </is>
      </c>
      <c r="D1144" s="6" t="inlineStr">
        <is>
          <t>2026Q2</t>
        </is>
      </c>
      <c r="E1144" s="6" t="inlineStr"/>
      <c r="F1144" s="7" t="inlineStr"/>
      <c r="G1144" s="8" t="inlineStr"/>
      <c r="H1144" s="8" t="inlineStr"/>
      <c r="I1144" s="9" t="n">
        <v>8358</v>
      </c>
      <c r="J1144" s="10" t="n">
        <v>-2567</v>
      </c>
      <c r="K1144" s="10" t="n">
        <v>-5188</v>
      </c>
      <c r="L1144" s="7" t="n">
        <v>8386</v>
      </c>
      <c r="M1144" s="8" t="n">
        <v>-2993</v>
      </c>
      <c r="N1144" s="8" t="n">
        <v>117</v>
      </c>
      <c r="O1144" s="9" t="n">
        <v>8311</v>
      </c>
      <c r="P1144" s="10" t="n">
        <v>-3374</v>
      </c>
      <c r="Q1144" s="10" t="n">
        <v>-1760</v>
      </c>
      <c r="R1144" s="7" t="n">
        <v>6967</v>
      </c>
      <c r="S1144" s="8" t="n">
        <v>-521</v>
      </c>
      <c r="T1144" s="8" t="n">
        <v>-2727</v>
      </c>
      <c r="U1144" s="9" t="n">
        <v>4820</v>
      </c>
      <c r="V1144" s="10" t="n">
        <v>-1154</v>
      </c>
      <c r="W1144" s="10" t="n">
        <v>-3857</v>
      </c>
      <c r="X1144" s="7" t="n">
        <v>18632</v>
      </c>
      <c r="Y1144" s="8" t="n">
        <v>-948</v>
      </c>
      <c r="Z1144" s="8" t="n">
        <v>-1166</v>
      </c>
      <c r="AA1144" s="9" t="n">
        <v>35261</v>
      </c>
      <c r="AB1144" s="10" t="n">
        <v>-1895</v>
      </c>
      <c r="AC1144" s="10" t="n">
        <v>-356</v>
      </c>
      <c r="AD1144" s="7" t="n">
        <v>38287</v>
      </c>
      <c r="AE1144" s="8" t="n">
        <v>-2686</v>
      </c>
      <c r="AF1144" s="8" t="n">
        <v>6187</v>
      </c>
      <c r="AG1144" s="9" t="n">
        <v>38389</v>
      </c>
      <c r="AH1144" s="10" t="n">
        <v>-734</v>
      </c>
      <c r="AI1144" s="10" t="n">
        <v>3418</v>
      </c>
      <c r="AJ1144" s="11" t="n">
        <v>43410</v>
      </c>
      <c r="AK1144" s="12" t="n">
        <v>-2621</v>
      </c>
      <c r="AL1144" s="12" t="n">
        <v>-4099</v>
      </c>
      <c r="AM1144" s="13" t="n">
        <v>13.1</v>
      </c>
      <c r="AN1144" s="13" t="n">
        <v>133</v>
      </c>
      <c r="AO1144" s="13" t="n">
        <v>-257.1</v>
      </c>
      <c r="AP1144" s="13" t="n">
        <v>-176.5</v>
      </c>
    </row>
    <row r="1145">
      <c r="A1145" s="5" t="inlineStr">
        <is>
          <t>엘앤에프</t>
        </is>
      </c>
      <c r="B1145" s="6" t="inlineStr">
        <is>
          <t>066970</t>
        </is>
      </c>
      <c r="C1145" s="6" t="inlineStr">
        <is>
          <t>연결</t>
        </is>
      </c>
      <c r="D1145" s="6" t="inlineStr">
        <is>
          <t>2026Q2</t>
        </is>
      </c>
      <c r="E1145" s="6" t="inlineStr">
        <is>
          <t>2023Q4</t>
        </is>
      </c>
      <c r="F1145" s="14" t="n">
        <v>657638</v>
      </c>
      <c r="G1145" s="15" t="n">
        <v>-280426</v>
      </c>
      <c r="H1145" s="15" t="n">
        <v>-299522</v>
      </c>
      <c r="I1145" s="9" t="n">
        <v>635671</v>
      </c>
      <c r="J1145" s="10" t="n">
        <v>-203850</v>
      </c>
      <c r="K1145" s="10" t="n">
        <v>-111693</v>
      </c>
      <c r="L1145" s="7" t="n">
        <v>554830</v>
      </c>
      <c r="M1145" s="8" t="n">
        <v>-84194</v>
      </c>
      <c r="N1145" s="8" t="n">
        <v>-74417</v>
      </c>
      <c r="O1145" s="9" t="n">
        <v>351628</v>
      </c>
      <c r="P1145" s="10" t="n">
        <v>-72417</v>
      </c>
      <c r="Q1145" s="10" t="n">
        <v>-76951</v>
      </c>
      <c r="R1145" s="7" t="n">
        <v>365350</v>
      </c>
      <c r="S1145" s="8" t="n">
        <v>-198224</v>
      </c>
      <c r="T1145" s="8" t="n">
        <v>-117668</v>
      </c>
      <c r="U1145" s="9" t="n">
        <v>364782</v>
      </c>
      <c r="V1145" s="10" t="n">
        <v>-140253</v>
      </c>
      <c r="W1145" s="10" t="n">
        <v>-111235</v>
      </c>
      <c r="X1145" s="7" t="n">
        <v>520076</v>
      </c>
      <c r="Y1145" s="8" t="n">
        <v>-121188</v>
      </c>
      <c r="Z1145" s="8" t="n">
        <v>-112582</v>
      </c>
      <c r="AA1145" s="9" t="n">
        <v>652296</v>
      </c>
      <c r="AB1145" s="10" t="n">
        <v>22122</v>
      </c>
      <c r="AC1145" s="10" t="n">
        <v>-118313</v>
      </c>
      <c r="AD1145" s="7" t="n">
        <v>617785</v>
      </c>
      <c r="AE1145" s="8" t="n">
        <v>82469</v>
      </c>
      <c r="AF1145" s="8" t="n">
        <v>-192571</v>
      </c>
      <c r="AG1145" s="9" t="n">
        <v>739627</v>
      </c>
      <c r="AH1145" s="10" t="n">
        <v>117261</v>
      </c>
      <c r="AI1145" s="10" t="n">
        <v>-65306</v>
      </c>
      <c r="AJ1145" s="11" t="n">
        <v>885044</v>
      </c>
      <c r="AK1145" s="12" t="n">
        <v>20829</v>
      </c>
      <c r="AL1145" s="12" t="n">
        <v>52924</v>
      </c>
      <c r="AM1145" s="13" t="n">
        <v>19.7</v>
      </c>
      <c r="AN1145" s="13" t="n">
        <v>70.2</v>
      </c>
      <c r="AO1145" s="13" t="n">
        <v>-82.2</v>
      </c>
      <c r="AP1145" s="13" t="n">
        <v>117.2</v>
      </c>
    </row>
    <row r="1146">
      <c r="A1146" s="5" t="inlineStr">
        <is>
          <t>한성크린텍</t>
        </is>
      </c>
      <c r="B1146" s="6" t="inlineStr">
        <is>
          <t>066980</t>
        </is>
      </c>
      <c r="C1146" s="6" t="inlineStr">
        <is>
          <t>연결</t>
        </is>
      </c>
      <c r="D1146" s="6" t="inlineStr">
        <is>
          <t>2026Q2</t>
        </is>
      </c>
      <c r="E1146" s="6" t="inlineStr"/>
      <c r="F1146" s="7" t="inlineStr"/>
      <c r="G1146" s="8" t="inlineStr"/>
      <c r="H1146" s="8" t="inlineStr"/>
      <c r="I1146" s="9" t="n">
        <v>71354</v>
      </c>
      <c r="J1146" s="10" t="n">
        <v>2953</v>
      </c>
      <c r="K1146" s="10" t="n">
        <v>2181</v>
      </c>
      <c r="L1146" s="7" t="n">
        <v>48325</v>
      </c>
      <c r="M1146" s="8" t="n">
        <v>-6586</v>
      </c>
      <c r="N1146" s="8" t="n">
        <v>-12940</v>
      </c>
      <c r="O1146" s="9" t="n">
        <v>34117</v>
      </c>
      <c r="P1146" s="10" t="n">
        <v>-94</v>
      </c>
      <c r="Q1146" s="10" t="n">
        <v>1589</v>
      </c>
      <c r="R1146" s="7" t="n">
        <v>1421</v>
      </c>
      <c r="S1146" s="8" t="n">
        <v>-47007</v>
      </c>
      <c r="T1146" s="8" t="n">
        <v>-68741</v>
      </c>
      <c r="U1146" s="9" t="n">
        <v>46904</v>
      </c>
      <c r="V1146" s="10" t="n">
        <v>1872</v>
      </c>
      <c r="W1146" s="10" t="n">
        <v>1742</v>
      </c>
      <c r="X1146" s="7" t="n">
        <v>54175</v>
      </c>
      <c r="Y1146" s="8" t="n">
        <v>2201</v>
      </c>
      <c r="Z1146" s="8" t="n">
        <v>2107</v>
      </c>
      <c r="AA1146" s="9" t="n">
        <v>50825</v>
      </c>
      <c r="AB1146" s="10" t="n">
        <v>506</v>
      </c>
      <c r="AC1146" s="10" t="n">
        <v>-545</v>
      </c>
      <c r="AD1146" s="7" t="n">
        <v>47947</v>
      </c>
      <c r="AE1146" s="8" t="n">
        <v>-1739</v>
      </c>
      <c r="AF1146" s="8" t="n">
        <v>-2765</v>
      </c>
      <c r="AG1146" s="9" t="n">
        <v>44881</v>
      </c>
      <c r="AH1146" s="10" t="n">
        <v>-548</v>
      </c>
      <c r="AI1146" s="10" t="n">
        <v>-812</v>
      </c>
      <c r="AJ1146" s="11" t="n">
        <v>50484</v>
      </c>
      <c r="AK1146" s="12" t="n">
        <v>1502</v>
      </c>
      <c r="AL1146" s="12" t="n">
        <v>-664</v>
      </c>
      <c r="AM1146" s="13" t="n">
        <v>12.5</v>
      </c>
      <c r="AN1146" s="13" t="n">
        <v>-6.8</v>
      </c>
      <c r="AO1146" s="13" t="n">
        <v>374.1</v>
      </c>
      <c r="AP1146" s="13" t="n">
        <v>-31.8</v>
      </c>
    </row>
    <row r="1147">
      <c r="A1147" s="5" t="inlineStr">
        <is>
          <t>조이시티</t>
        </is>
      </c>
      <c r="B1147" s="6" t="inlineStr">
        <is>
          <t>067000</t>
        </is>
      </c>
      <c r="C1147" s="6" t="inlineStr">
        <is>
          <t>연결</t>
        </is>
      </c>
      <c r="D1147" s="6" t="inlineStr">
        <is>
          <t>2026Q2</t>
        </is>
      </c>
      <c r="E1147" s="6" t="inlineStr">
        <is>
          <t>2023Q4</t>
        </is>
      </c>
      <c r="F1147" s="14" t="n">
        <v>44046</v>
      </c>
      <c r="G1147" s="15" t="n">
        <v>13088</v>
      </c>
      <c r="H1147" s="15" t="n">
        <v>2764</v>
      </c>
      <c r="I1147" s="14" t="n">
        <v>38573</v>
      </c>
      <c r="J1147" s="10" t="n">
        <v>4567</v>
      </c>
      <c r="K1147" s="10" t="n">
        <v>3618</v>
      </c>
      <c r="L1147" s="14" t="n">
        <v>36998</v>
      </c>
      <c r="M1147" s="8" t="n">
        <v>3180</v>
      </c>
      <c r="N1147" s="8" t="n">
        <v>1960</v>
      </c>
      <c r="O1147" s="14" t="n">
        <v>34002</v>
      </c>
      <c r="P1147" s="10" t="n">
        <v>1833</v>
      </c>
      <c r="Q1147" s="10" t="n">
        <v>-771</v>
      </c>
      <c r="R1147" s="14" t="n">
        <v>33317</v>
      </c>
      <c r="S1147" s="8" t="n">
        <v>2035</v>
      </c>
      <c r="T1147" s="8" t="n">
        <v>-11117</v>
      </c>
      <c r="U1147" s="14" t="n">
        <v>32801</v>
      </c>
      <c r="V1147" s="10" t="n">
        <v>2181</v>
      </c>
      <c r="W1147" s="10" t="n">
        <v>853</v>
      </c>
      <c r="X1147" s="14" t="n">
        <v>32999</v>
      </c>
      <c r="Y1147" s="8" t="n">
        <v>3149</v>
      </c>
      <c r="Z1147" s="8" t="n">
        <v>-478</v>
      </c>
      <c r="AA1147" s="14" t="n">
        <v>26485</v>
      </c>
      <c r="AB1147" s="10" t="n">
        <v>-2959</v>
      </c>
      <c r="AC1147" s="10" t="n">
        <v>-2662</v>
      </c>
      <c r="AD1147" s="14" t="n">
        <v>47994</v>
      </c>
      <c r="AE1147" s="8" t="n">
        <v>3294</v>
      </c>
      <c r="AF1147" s="8" t="n">
        <v>-8097</v>
      </c>
      <c r="AG1147" s="9" t="n">
        <v>42199</v>
      </c>
      <c r="AH1147" s="10" t="n">
        <v>312</v>
      </c>
      <c r="AI1147" s="10" t="n">
        <v>49</v>
      </c>
      <c r="AJ1147" s="11" t="n">
        <v>38635</v>
      </c>
      <c r="AK1147" s="12" t="n">
        <v>583</v>
      </c>
      <c r="AL1147" s="12" t="n">
        <v>-1011</v>
      </c>
      <c r="AM1147" s="13" t="n">
        <v>-8.4</v>
      </c>
      <c r="AN1147" s="13" t="n">
        <v>17.1</v>
      </c>
      <c r="AO1147" s="13" t="n">
        <v>86.90000000000001</v>
      </c>
      <c r="AP1147" s="13" t="n">
        <v>-81.5</v>
      </c>
    </row>
    <row r="1148">
      <c r="A1148" s="5" t="inlineStr">
        <is>
          <t>이씨에스</t>
        </is>
      </c>
      <c r="B1148" s="6" t="inlineStr">
        <is>
          <t>067010</t>
        </is>
      </c>
      <c r="C1148" s="6" t="inlineStr">
        <is>
          <t>별도</t>
        </is>
      </c>
      <c r="D1148" s="6" t="inlineStr">
        <is>
          <t>2026Q1</t>
        </is>
      </c>
      <c r="E1148" s="6" t="inlineStr"/>
      <c r="F1148" s="7" t="inlineStr"/>
      <c r="G1148" s="8" t="inlineStr"/>
      <c r="H1148" s="8" t="inlineStr"/>
      <c r="I1148" s="9" t="n">
        <v>15798</v>
      </c>
      <c r="J1148" s="10" t="n">
        <v>-1107</v>
      </c>
      <c r="K1148" s="10" t="n">
        <v>-690</v>
      </c>
      <c r="L1148" s="7" t="n">
        <v>18583</v>
      </c>
      <c r="M1148" s="8" t="n">
        <v>17</v>
      </c>
      <c r="N1148" s="8" t="n">
        <v>370</v>
      </c>
      <c r="O1148" s="9" t="n">
        <v>21645</v>
      </c>
      <c r="P1148" s="10" t="n">
        <v>75</v>
      </c>
      <c r="Q1148" s="10" t="n">
        <v>389</v>
      </c>
      <c r="R1148" s="7" t="n">
        <v>35780</v>
      </c>
      <c r="S1148" s="8" t="n">
        <v>2490</v>
      </c>
      <c r="T1148" s="8" t="n">
        <v>2558</v>
      </c>
      <c r="U1148" s="9" t="n">
        <v>21497</v>
      </c>
      <c r="V1148" s="10" t="n">
        <v>-476</v>
      </c>
      <c r="W1148" s="10" t="n">
        <v>-170</v>
      </c>
      <c r="X1148" s="7" t="n">
        <v>25730</v>
      </c>
      <c r="Y1148" s="8" t="n">
        <v>707</v>
      </c>
      <c r="Z1148" s="8" t="n">
        <v>883</v>
      </c>
      <c r="AA1148" s="9" t="n">
        <v>20573</v>
      </c>
      <c r="AB1148" s="10" t="n">
        <v>32</v>
      </c>
      <c r="AC1148" s="10" t="n">
        <v>232</v>
      </c>
      <c r="AD1148" s="7" t="n">
        <v>5547</v>
      </c>
      <c r="AE1148" s="8" t="n">
        <v>-2955</v>
      </c>
      <c r="AF1148" s="8" t="n">
        <v>-319</v>
      </c>
      <c r="AG1148" s="9" t="n">
        <v>23509</v>
      </c>
      <c r="AH1148" s="10" t="n">
        <v>1132</v>
      </c>
      <c r="AI1148" s="10" t="n">
        <v>1221</v>
      </c>
      <c r="AJ1148" s="11" t="inlineStr"/>
      <c r="AK1148" s="12" t="inlineStr"/>
      <c r="AL1148" s="12" t="inlineStr"/>
      <c r="AM1148" s="13" t="inlineStr"/>
      <c r="AN1148" s="13" t="inlineStr"/>
      <c r="AO1148" s="13" t="inlineStr"/>
      <c r="AP1148" s="13" t="inlineStr"/>
    </row>
    <row r="1149">
      <c r="A1149" s="5" t="inlineStr">
        <is>
          <t>대화제약</t>
        </is>
      </c>
      <c r="B1149" s="6" t="inlineStr">
        <is>
          <t>067080</t>
        </is>
      </c>
      <c r="C1149" s="6" t="inlineStr">
        <is>
          <t>연결</t>
        </is>
      </c>
      <c r="D1149" s="6" t="inlineStr">
        <is>
          <t>2026Q2</t>
        </is>
      </c>
      <c r="E1149" s="6" t="inlineStr"/>
      <c r="F1149" s="7" t="inlineStr"/>
      <c r="G1149" s="8" t="inlineStr"/>
      <c r="H1149" s="8" t="inlineStr"/>
      <c r="I1149" s="9" t="n">
        <v>34694</v>
      </c>
      <c r="J1149" s="10" t="n">
        <v>-187</v>
      </c>
      <c r="K1149" s="10" t="n">
        <v>-1440</v>
      </c>
      <c r="L1149" s="7" t="n">
        <v>38800</v>
      </c>
      <c r="M1149" s="8" t="n">
        <v>1792</v>
      </c>
      <c r="N1149" s="8" t="n">
        <v>676</v>
      </c>
      <c r="O1149" s="9" t="n">
        <v>35811</v>
      </c>
      <c r="P1149" s="10" t="n">
        <v>1678</v>
      </c>
      <c r="Q1149" s="10" t="n">
        <v>218</v>
      </c>
      <c r="R1149" s="7" t="n">
        <v>40104</v>
      </c>
      <c r="S1149" s="8" t="n">
        <v>3430</v>
      </c>
      <c r="T1149" s="8" t="n">
        <v>1376</v>
      </c>
      <c r="U1149" s="9" t="n">
        <v>36668</v>
      </c>
      <c r="V1149" s="10" t="n">
        <v>1129</v>
      </c>
      <c r="W1149" s="10" t="n">
        <v>-297</v>
      </c>
      <c r="X1149" s="7" t="n">
        <v>35962</v>
      </c>
      <c r="Y1149" s="8" t="n">
        <v>285</v>
      </c>
      <c r="Z1149" s="8" t="n">
        <v>-517</v>
      </c>
      <c r="AA1149" s="9" t="n">
        <v>36732</v>
      </c>
      <c r="AB1149" s="10" t="n">
        <v>1049</v>
      </c>
      <c r="AC1149" s="10" t="n">
        <v>-179</v>
      </c>
      <c r="AD1149" s="7" t="n">
        <v>33698</v>
      </c>
      <c r="AE1149" s="8" t="n">
        <v>699</v>
      </c>
      <c r="AF1149" s="8" t="n">
        <v>3323</v>
      </c>
      <c r="AG1149" s="9" t="n">
        <v>37032</v>
      </c>
      <c r="AH1149" s="10" t="n">
        <v>454</v>
      </c>
      <c r="AI1149" s="10" t="n">
        <v>-266</v>
      </c>
      <c r="AJ1149" s="11" t="n">
        <v>41291</v>
      </c>
      <c r="AK1149" s="12" t="n">
        <v>3329</v>
      </c>
      <c r="AL1149" s="12" t="n">
        <v>1983</v>
      </c>
      <c r="AM1149" s="13" t="n">
        <v>11.5</v>
      </c>
      <c r="AN1149" s="13" t="n">
        <v>14.8</v>
      </c>
      <c r="AO1149" s="13" t="n">
        <v>633.3</v>
      </c>
      <c r="AP1149" s="13" t="n">
        <v>1068.1</v>
      </c>
    </row>
    <row r="1150">
      <c r="A1150" s="5" t="inlineStr">
        <is>
          <t>SOOP</t>
        </is>
      </c>
      <c r="B1150" s="6" t="inlineStr">
        <is>
          <t>067160</t>
        </is>
      </c>
      <c r="C1150" s="6" t="inlineStr">
        <is>
          <t>연결</t>
        </is>
      </c>
      <c r="D1150" s="6" t="inlineStr">
        <is>
          <t>2026Q2</t>
        </is>
      </c>
      <c r="E1150" s="6" t="inlineStr">
        <is>
          <t>2023Q4</t>
        </is>
      </c>
      <c r="F1150" s="14" t="n">
        <v>100366</v>
      </c>
      <c r="G1150" s="15" t="n">
        <v>26396</v>
      </c>
      <c r="H1150" s="15" t="n">
        <v>16085</v>
      </c>
      <c r="I1150" s="9" t="n">
        <v>94932</v>
      </c>
      <c r="J1150" s="10" t="n">
        <v>28535</v>
      </c>
      <c r="K1150" s="10" t="n">
        <v>24739</v>
      </c>
      <c r="L1150" s="7" t="n">
        <v>106530</v>
      </c>
      <c r="M1150" s="8" t="n">
        <v>33303</v>
      </c>
      <c r="N1150" s="8" t="n">
        <v>27670</v>
      </c>
      <c r="O1150" s="9" t="n">
        <v>109997</v>
      </c>
      <c r="P1150" s="10" t="n">
        <v>23868</v>
      </c>
      <c r="Q1150" s="10" t="n">
        <v>24021</v>
      </c>
      <c r="R1150" s="7" t="n">
        <v>101719</v>
      </c>
      <c r="S1150" s="8" t="n">
        <v>27800</v>
      </c>
      <c r="T1150" s="8" t="n">
        <v>25993</v>
      </c>
      <c r="U1150" s="9" t="n">
        <v>107652</v>
      </c>
      <c r="V1150" s="10" t="n">
        <v>27944</v>
      </c>
      <c r="W1150" s="10" t="n">
        <v>23409</v>
      </c>
      <c r="X1150" s="7" t="n">
        <v>116883</v>
      </c>
      <c r="Y1150" s="8" t="n">
        <v>30014</v>
      </c>
      <c r="Z1150" s="8" t="n">
        <v>22517</v>
      </c>
      <c r="AA1150" s="9" t="n">
        <v>125862</v>
      </c>
      <c r="AB1150" s="10" t="n">
        <v>36257</v>
      </c>
      <c r="AC1150" s="10" t="n">
        <v>29392</v>
      </c>
      <c r="AD1150" s="7" t="n">
        <v>116173</v>
      </c>
      <c r="AE1150" s="8" t="n">
        <v>30625</v>
      </c>
      <c r="AF1150" s="8" t="n">
        <v>28426</v>
      </c>
      <c r="AG1150" s="9" t="n">
        <v>106018</v>
      </c>
      <c r="AH1150" s="10" t="n">
        <v>21221</v>
      </c>
      <c r="AI1150" s="10" t="n">
        <v>22481</v>
      </c>
      <c r="AJ1150" s="11" t="n">
        <v>103839</v>
      </c>
      <c r="AK1150" s="12" t="n">
        <v>12628</v>
      </c>
      <c r="AL1150" s="12" t="n">
        <v>8749</v>
      </c>
      <c r="AM1150" s="13" t="n">
        <v>-2.1</v>
      </c>
      <c r="AN1150" s="13" t="n">
        <v>-11.2</v>
      </c>
      <c r="AO1150" s="13" t="n">
        <v>-40.5</v>
      </c>
      <c r="AP1150" s="13" t="n">
        <v>-57.9</v>
      </c>
    </row>
    <row r="1151">
      <c r="A1151" s="5" t="inlineStr">
        <is>
          <t>오텍</t>
        </is>
      </c>
      <c r="B1151" s="6" t="inlineStr">
        <is>
          <t>067170</t>
        </is>
      </c>
      <c r="C1151" s="6" t="inlineStr">
        <is>
          <t>연결</t>
        </is>
      </c>
      <c r="D1151" s="6" t="inlineStr">
        <is>
          <t>2026Q2</t>
        </is>
      </c>
      <c r="E1151" s="6" t="inlineStr"/>
      <c r="F1151" s="7" t="inlineStr"/>
      <c r="G1151" s="8" t="inlineStr"/>
      <c r="H1151" s="8" t="inlineStr"/>
      <c r="I1151" s="9" t="n">
        <v>190055</v>
      </c>
      <c r="J1151" s="10" t="n">
        <v>526</v>
      </c>
      <c r="K1151" s="10" t="n">
        <v>-4621</v>
      </c>
      <c r="L1151" s="7" t="n">
        <v>283232</v>
      </c>
      <c r="M1151" s="8" t="n">
        <v>4645</v>
      </c>
      <c r="N1151" s="8" t="n">
        <v>-111</v>
      </c>
      <c r="O1151" s="9" t="n">
        <v>255955</v>
      </c>
      <c r="P1151" s="10" t="n">
        <v>256</v>
      </c>
      <c r="Q1151" s="10" t="n">
        <v>53</v>
      </c>
      <c r="R1151" s="7" t="n">
        <v>179990</v>
      </c>
      <c r="S1151" s="8" t="n">
        <v>-20304</v>
      </c>
      <c r="T1151" s="8" t="n">
        <v>-26975</v>
      </c>
      <c r="U1151" s="9" t="n">
        <v>177031</v>
      </c>
      <c r="V1151" s="10" t="n">
        <v>208</v>
      </c>
      <c r="W1151" s="10" t="n">
        <v>-1328</v>
      </c>
      <c r="X1151" s="7" t="n">
        <v>275088</v>
      </c>
      <c r="Y1151" s="8" t="n">
        <v>2985</v>
      </c>
      <c r="Z1151" s="8" t="n">
        <v>4675</v>
      </c>
      <c r="AA1151" s="9" t="n">
        <v>256519</v>
      </c>
      <c r="AB1151" s="10" t="n">
        <v>4728</v>
      </c>
      <c r="AC1151" s="10" t="n">
        <v>-331</v>
      </c>
      <c r="AD1151" s="7" t="n">
        <v>143501</v>
      </c>
      <c r="AE1151" s="8" t="n">
        <v>-10184</v>
      </c>
      <c r="AF1151" s="8" t="n">
        <v>-10972</v>
      </c>
      <c r="AG1151" s="9" t="n">
        <v>163014</v>
      </c>
      <c r="AH1151" s="10" t="n">
        <v>-4180</v>
      </c>
      <c r="AI1151" s="10" t="n">
        <v>-11670</v>
      </c>
      <c r="AJ1151" s="11" t="n">
        <v>250978</v>
      </c>
      <c r="AK1151" s="12" t="n">
        <v>5113</v>
      </c>
      <c r="AL1151" s="12" t="n">
        <v>1823</v>
      </c>
      <c r="AM1151" s="13" t="n">
        <v>54</v>
      </c>
      <c r="AN1151" s="13" t="n">
        <v>-8.800000000000001</v>
      </c>
      <c r="AO1151" s="13" t="n">
        <v>222.3</v>
      </c>
      <c r="AP1151" s="13" t="n">
        <v>71.3</v>
      </c>
    </row>
    <row r="1152">
      <c r="A1152" s="5" t="inlineStr">
        <is>
          <t>멀티캠퍼스</t>
        </is>
      </c>
      <c r="B1152" s="6" t="inlineStr">
        <is>
          <t>067280</t>
        </is>
      </c>
      <c r="C1152" s="6" t="inlineStr">
        <is>
          <t>연결</t>
        </is>
      </c>
      <c r="D1152" s="6" t="inlineStr">
        <is>
          <t>2026Q2</t>
        </is>
      </c>
      <c r="E1152" s="6" t="inlineStr"/>
      <c r="F1152" s="7" t="inlineStr"/>
      <c r="G1152" s="8" t="inlineStr"/>
      <c r="H1152" s="8" t="inlineStr"/>
      <c r="I1152" s="9" t="n">
        <v>82334</v>
      </c>
      <c r="J1152" s="10" t="n">
        <v>7153</v>
      </c>
      <c r="K1152" s="10" t="n">
        <v>6032</v>
      </c>
      <c r="L1152" s="7" t="n">
        <v>88535</v>
      </c>
      <c r="M1152" s="8" t="n">
        <v>10526</v>
      </c>
      <c r="N1152" s="8" t="n">
        <v>8004</v>
      </c>
      <c r="O1152" s="9" t="n">
        <v>91059</v>
      </c>
      <c r="P1152" s="10" t="n">
        <v>9886</v>
      </c>
      <c r="Q1152" s="10" t="n">
        <v>8249</v>
      </c>
      <c r="R1152" s="7" t="n">
        <v>90812</v>
      </c>
      <c r="S1152" s="8" t="n">
        <v>11364</v>
      </c>
      <c r="T1152" s="8" t="n">
        <v>9228</v>
      </c>
      <c r="U1152" s="9" t="n">
        <v>75918</v>
      </c>
      <c r="V1152" s="10" t="n">
        <v>4700</v>
      </c>
      <c r="W1152" s="10" t="n">
        <v>4388</v>
      </c>
      <c r="X1152" s="7" t="n">
        <v>84873</v>
      </c>
      <c r="Y1152" s="8" t="n">
        <v>8795</v>
      </c>
      <c r="Z1152" s="8" t="n">
        <v>7113</v>
      </c>
      <c r="AA1152" s="9" t="n">
        <v>84863</v>
      </c>
      <c r="AB1152" s="10" t="n">
        <v>7992</v>
      </c>
      <c r="AC1152" s="10" t="n">
        <v>6832</v>
      </c>
      <c r="AD1152" s="7" t="n">
        <v>85173</v>
      </c>
      <c r="AE1152" s="8" t="n">
        <v>10405</v>
      </c>
      <c r="AF1152" s="8" t="n">
        <v>8051</v>
      </c>
      <c r="AG1152" s="9" t="n">
        <v>80686</v>
      </c>
      <c r="AH1152" s="10" t="n">
        <v>638</v>
      </c>
      <c r="AI1152" s="10" t="n">
        <v>1584</v>
      </c>
      <c r="AJ1152" s="11" t="n">
        <v>87638</v>
      </c>
      <c r="AK1152" s="12" t="n">
        <v>8809</v>
      </c>
      <c r="AL1152" s="12" t="n">
        <v>6864</v>
      </c>
      <c r="AM1152" s="13" t="n">
        <v>8.6</v>
      </c>
      <c r="AN1152" s="13" t="n">
        <v>3.3</v>
      </c>
      <c r="AO1152" s="13" t="n">
        <v>1280.7</v>
      </c>
      <c r="AP1152" s="13" t="n">
        <v>0.2</v>
      </c>
    </row>
    <row r="1153">
      <c r="A1153" s="5" t="inlineStr">
        <is>
          <t>JW신약</t>
        </is>
      </c>
      <c r="B1153" s="6" t="inlineStr">
        <is>
          <t>067290</t>
        </is>
      </c>
      <c r="C1153" s="6" t="inlineStr">
        <is>
          <t>별도</t>
        </is>
      </c>
      <c r="D1153" s="6" t="inlineStr">
        <is>
          <t>2026Q2</t>
        </is>
      </c>
      <c r="E1153" s="6" t="inlineStr"/>
      <c r="F1153" s="7" t="inlineStr"/>
      <c r="G1153" s="8" t="inlineStr"/>
      <c r="H1153" s="8" t="inlineStr"/>
      <c r="I1153" s="9" t="n">
        <v>23792</v>
      </c>
      <c r="J1153" s="10" t="n">
        <v>2832</v>
      </c>
      <c r="K1153" s="10" t="n">
        <v>1667</v>
      </c>
      <c r="L1153" s="7" t="n">
        <v>21631</v>
      </c>
      <c r="M1153" s="8" t="n">
        <v>1885</v>
      </c>
      <c r="N1153" s="8" t="n">
        <v>987</v>
      </c>
      <c r="O1153" s="9" t="n">
        <v>31512</v>
      </c>
      <c r="P1153" s="10" t="n">
        <v>8124</v>
      </c>
      <c r="Q1153" s="10" t="n">
        <v>5875</v>
      </c>
      <c r="R1153" s="7" t="n">
        <v>16079</v>
      </c>
      <c r="S1153" s="8" t="n">
        <v>-2888</v>
      </c>
      <c r="T1153" s="8" t="n">
        <v>-3452</v>
      </c>
      <c r="U1153" s="9" t="n">
        <v>19658</v>
      </c>
      <c r="V1153" s="10" t="n">
        <v>667</v>
      </c>
      <c r="W1153" s="10" t="n">
        <v>8576</v>
      </c>
      <c r="X1153" s="7" t="n">
        <v>19697</v>
      </c>
      <c r="Y1153" s="8" t="n">
        <v>2668</v>
      </c>
      <c r="Z1153" s="8" t="n">
        <v>3101</v>
      </c>
      <c r="AA1153" s="9" t="n">
        <v>20589</v>
      </c>
      <c r="AB1153" s="10" t="n">
        <v>2696</v>
      </c>
      <c r="AC1153" s="10" t="n">
        <v>1981</v>
      </c>
      <c r="AD1153" s="7" t="n">
        <v>21100</v>
      </c>
      <c r="AE1153" s="8" t="n">
        <v>1424</v>
      </c>
      <c r="AF1153" s="8" t="n">
        <v>1999</v>
      </c>
      <c r="AG1153" s="9" t="n">
        <v>21382</v>
      </c>
      <c r="AH1153" s="10" t="n">
        <v>2883</v>
      </c>
      <c r="AI1153" s="10" t="n">
        <v>2668</v>
      </c>
      <c r="AJ1153" s="11" t="n">
        <v>21543</v>
      </c>
      <c r="AK1153" s="12" t="n">
        <v>3584</v>
      </c>
      <c r="AL1153" s="12" t="n">
        <v>3572</v>
      </c>
      <c r="AM1153" s="13" t="n">
        <v>0.8</v>
      </c>
      <c r="AN1153" s="13" t="n">
        <v>9.4</v>
      </c>
      <c r="AO1153" s="13" t="n">
        <v>24.3</v>
      </c>
      <c r="AP1153" s="13" t="n">
        <v>34.3</v>
      </c>
    </row>
    <row r="1154">
      <c r="A1154" s="5" t="inlineStr">
        <is>
          <t>하나마이크론</t>
        </is>
      </c>
      <c r="B1154" s="6" t="inlineStr">
        <is>
          <t>067310</t>
        </is>
      </c>
      <c r="C1154" s="6" t="inlineStr">
        <is>
          <t>연결</t>
        </is>
      </c>
      <c r="D1154" s="6" t="inlineStr">
        <is>
          <t>2026Q2</t>
        </is>
      </c>
      <c r="E1154" s="6" t="inlineStr"/>
      <c r="F1154" s="7" t="inlineStr"/>
      <c r="G1154" s="8" t="inlineStr"/>
      <c r="H1154" s="8" t="inlineStr"/>
      <c r="I1154" s="9" t="n">
        <v>268961</v>
      </c>
      <c r="J1154" s="10" t="n">
        <v>10826</v>
      </c>
      <c r="K1154" s="10" t="n">
        <v>-16856</v>
      </c>
      <c r="L1154" s="7" t="n">
        <v>285938</v>
      </c>
      <c r="M1154" s="8" t="n">
        <v>18618</v>
      </c>
      <c r="N1154" s="8" t="n">
        <v>-9252</v>
      </c>
      <c r="O1154" s="9" t="n">
        <v>312111</v>
      </c>
      <c r="P1154" s="10" t="n">
        <v>17467</v>
      </c>
      <c r="Q1154" s="10" t="n">
        <v>3193</v>
      </c>
      <c r="R1154" s="7" t="n">
        <v>383683</v>
      </c>
      <c r="S1154" s="8" t="n">
        <v>59882</v>
      </c>
      <c r="T1154" s="8" t="n">
        <v>11758</v>
      </c>
      <c r="U1154" s="9" t="n">
        <v>311773</v>
      </c>
      <c r="V1154" s="10" t="n">
        <v>11741</v>
      </c>
      <c r="W1154" s="10" t="n">
        <v>574</v>
      </c>
      <c r="X1154" s="7" t="n">
        <v>340179</v>
      </c>
      <c r="Y1154" s="8" t="n">
        <v>30214</v>
      </c>
      <c r="Z1154" s="8" t="n">
        <v>7089</v>
      </c>
      <c r="AA1154" s="9" t="n">
        <v>432396</v>
      </c>
      <c r="AB1154" s="10" t="n">
        <v>38390</v>
      </c>
      <c r="AC1154" s="10" t="n">
        <v>21789</v>
      </c>
      <c r="AD1154" s="7" t="n">
        <v>450071</v>
      </c>
      <c r="AE1154" s="8" t="n">
        <v>47344</v>
      </c>
      <c r="AF1154" s="8" t="n">
        <v>36127</v>
      </c>
      <c r="AG1154" s="9" t="n">
        <v>507676</v>
      </c>
      <c r="AH1154" s="10" t="n">
        <v>72041</v>
      </c>
      <c r="AI1154" s="10" t="n">
        <v>72813</v>
      </c>
      <c r="AJ1154" s="11" t="n">
        <v>683159</v>
      </c>
      <c r="AK1154" s="12" t="n">
        <v>142322</v>
      </c>
      <c r="AL1154" s="12" t="n">
        <v>85127</v>
      </c>
      <c r="AM1154" s="13" t="n">
        <v>34.6</v>
      </c>
      <c r="AN1154" s="13" t="n">
        <v>100.8</v>
      </c>
      <c r="AO1154" s="13" t="n">
        <v>97.59999999999999</v>
      </c>
      <c r="AP1154" s="13" t="n">
        <v>371</v>
      </c>
    </row>
    <row r="1155">
      <c r="A1155" s="5" t="inlineStr">
        <is>
          <t>선바이오</t>
        </is>
      </c>
      <c r="B1155" s="6" t="inlineStr">
        <is>
          <t>067370</t>
        </is>
      </c>
      <c r="C1155" s="6" t="inlineStr">
        <is>
          <t>별도</t>
        </is>
      </c>
      <c r="D1155" s="6" t="inlineStr">
        <is>
          <t>2026Q2</t>
        </is>
      </c>
      <c r="E1155" s="6" t="inlineStr"/>
      <c r="F1155" s="7" t="inlineStr"/>
      <c r="G1155" s="8" t="inlineStr"/>
      <c r="H1155" s="8" t="inlineStr"/>
      <c r="I1155" s="9" t="n">
        <v>1885</v>
      </c>
      <c r="J1155" s="10" t="n">
        <v>-434</v>
      </c>
      <c r="K1155" s="10" t="n">
        <v>-375</v>
      </c>
      <c r="L1155" s="7" t="n">
        <v>1591</v>
      </c>
      <c r="M1155" s="8" t="n">
        <v>-1500</v>
      </c>
      <c r="N1155" s="8" t="n">
        <v>-819</v>
      </c>
      <c r="O1155" s="9" t="n">
        <v>1825</v>
      </c>
      <c r="P1155" s="10" t="n">
        <v>-142</v>
      </c>
      <c r="Q1155" s="10" t="n">
        <v>-469</v>
      </c>
      <c r="R1155" s="7" t="n">
        <v>3382</v>
      </c>
      <c r="S1155" s="8" t="n">
        <v>1543</v>
      </c>
      <c r="T1155" s="8" t="n">
        <v>1559</v>
      </c>
      <c r="U1155" s="9" t="n">
        <v>3024</v>
      </c>
      <c r="V1155" s="10" t="n">
        <v>1189</v>
      </c>
      <c r="W1155" s="10" t="n">
        <v>616</v>
      </c>
      <c r="X1155" s="7" t="n">
        <v>1722</v>
      </c>
      <c r="Y1155" s="8" t="n">
        <v>118</v>
      </c>
      <c r="Z1155" s="8" t="n">
        <v>-1187</v>
      </c>
      <c r="AA1155" s="9" t="n">
        <v>4249</v>
      </c>
      <c r="AB1155" s="10" t="n">
        <v>1622</v>
      </c>
      <c r="AC1155" s="10" t="n">
        <v>1275</v>
      </c>
      <c r="AD1155" s="7" t="n">
        <v>4678</v>
      </c>
      <c r="AE1155" s="8" t="n">
        <v>2107</v>
      </c>
      <c r="AF1155" s="8" t="n">
        <v>2089</v>
      </c>
      <c r="AG1155" s="9" t="n">
        <v>1289</v>
      </c>
      <c r="AH1155" s="10" t="n">
        <v>458</v>
      </c>
      <c r="AI1155" s="10" t="n">
        <v>318</v>
      </c>
      <c r="AJ1155" s="11" t="n">
        <v>2236</v>
      </c>
      <c r="AK1155" s="12" t="n">
        <v>284</v>
      </c>
      <c r="AL1155" s="12" t="n">
        <v>631</v>
      </c>
      <c r="AM1155" s="13" t="n">
        <v>73.5</v>
      </c>
      <c r="AN1155" s="13" t="n">
        <v>29.8</v>
      </c>
      <c r="AO1155" s="13" t="n">
        <v>-38</v>
      </c>
      <c r="AP1155" s="13" t="n">
        <v>140.7</v>
      </c>
    </row>
    <row r="1156">
      <c r="A1156" s="5" t="inlineStr">
        <is>
          <t>아스트</t>
        </is>
      </c>
      <c r="B1156" s="6" t="inlineStr">
        <is>
          <t>067390</t>
        </is>
      </c>
      <c r="C1156" s="6" t="inlineStr">
        <is>
          <t>별도</t>
        </is>
      </c>
      <c r="D1156" s="6" t="inlineStr">
        <is>
          <t>2026Q2</t>
        </is>
      </c>
      <c r="E1156" s="6" t="inlineStr"/>
      <c r="F1156" s="7" t="inlineStr"/>
      <c r="G1156" s="8" t="inlineStr"/>
      <c r="H1156" s="8" t="inlineStr"/>
      <c r="I1156" s="9" t="n">
        <v>36621</v>
      </c>
      <c r="J1156" s="10" t="n">
        <v>-13587</v>
      </c>
      <c r="K1156" s="10" t="n">
        <v>-25460</v>
      </c>
      <c r="L1156" s="7" t="n">
        <v>36826</v>
      </c>
      <c r="M1156" s="8" t="n">
        <v>-6097</v>
      </c>
      <c r="N1156" s="8" t="n">
        <v>-4658</v>
      </c>
      <c r="O1156" s="9" t="n">
        <v>45727</v>
      </c>
      <c r="P1156" s="10" t="n">
        <v>4380</v>
      </c>
      <c r="Q1156" s="10" t="n">
        <v>115</v>
      </c>
      <c r="R1156" s="7" t="n">
        <v>52206</v>
      </c>
      <c r="S1156" s="8" t="n">
        <v>8907</v>
      </c>
      <c r="T1156" s="8" t="n">
        <v>12896</v>
      </c>
      <c r="U1156" s="9" t="n">
        <v>64311</v>
      </c>
      <c r="V1156" s="10" t="n">
        <v>5961</v>
      </c>
      <c r="W1156" s="10" t="n">
        <v>1767</v>
      </c>
      <c r="X1156" s="7" t="n">
        <v>56577</v>
      </c>
      <c r="Y1156" s="8" t="n">
        <v>-3408</v>
      </c>
      <c r="Z1156" s="8" t="n">
        <v>-8213</v>
      </c>
      <c r="AA1156" s="9" t="n">
        <v>68470</v>
      </c>
      <c r="AB1156" s="10" t="n">
        <v>5612</v>
      </c>
      <c r="AC1156" s="10" t="n">
        <v>1197</v>
      </c>
      <c r="AD1156" s="7" t="n">
        <v>65028</v>
      </c>
      <c r="AE1156" s="8" t="n">
        <v>-806</v>
      </c>
      <c r="AF1156" s="8" t="n">
        <v>-3588</v>
      </c>
      <c r="AG1156" s="9" t="n">
        <v>71367</v>
      </c>
      <c r="AH1156" s="10" t="n">
        <v>7046</v>
      </c>
      <c r="AI1156" s="10" t="n">
        <v>5327</v>
      </c>
      <c r="AJ1156" s="11" t="n">
        <v>56997</v>
      </c>
      <c r="AK1156" s="12" t="n">
        <v>3823</v>
      </c>
      <c r="AL1156" s="12" t="n">
        <v>1754</v>
      </c>
      <c r="AM1156" s="13" t="n">
        <v>-20.1</v>
      </c>
      <c r="AN1156" s="13" t="n">
        <v>0.7</v>
      </c>
      <c r="AO1156" s="13" t="n">
        <v>-45.7</v>
      </c>
      <c r="AP1156" s="13" t="n">
        <v>212.2</v>
      </c>
    </row>
    <row r="1157">
      <c r="A1157" s="5" t="inlineStr">
        <is>
          <t>엔브이에이치코리아</t>
        </is>
      </c>
      <c r="B1157" s="6" t="inlineStr">
        <is>
          <t>067570</t>
        </is>
      </c>
      <c r="C1157" s="6" t="inlineStr">
        <is>
          <t>연결</t>
        </is>
      </c>
      <c r="D1157" s="6" t="inlineStr">
        <is>
          <t>2026Q2</t>
        </is>
      </c>
      <c r="E1157" s="6" t="inlineStr"/>
      <c r="F1157" s="7" t="inlineStr"/>
      <c r="G1157" s="8" t="inlineStr"/>
      <c r="H1157" s="8" t="inlineStr"/>
      <c r="I1157" s="9" t="n">
        <v>348683</v>
      </c>
      <c r="J1157" s="10" t="n">
        <v>10294</v>
      </c>
      <c r="K1157" s="10" t="n">
        <v>852</v>
      </c>
      <c r="L1157" s="7" t="n">
        <v>417263</v>
      </c>
      <c r="M1157" s="8" t="n">
        <v>31063</v>
      </c>
      <c r="N1157" s="8" t="n">
        <v>23927</v>
      </c>
      <c r="O1157" s="9" t="n">
        <v>408202</v>
      </c>
      <c r="P1157" s="10" t="n">
        <v>22263</v>
      </c>
      <c r="Q1157" s="10" t="n">
        <v>-2982</v>
      </c>
      <c r="R1157" s="7" t="n">
        <v>413206</v>
      </c>
      <c r="S1157" s="8" t="n">
        <v>3963</v>
      </c>
      <c r="T1157" s="8" t="n">
        <v>-1400</v>
      </c>
      <c r="U1157" s="9" t="n">
        <v>414126</v>
      </c>
      <c r="V1157" s="10" t="n">
        <v>15228</v>
      </c>
      <c r="W1157" s="10" t="n">
        <v>19587</v>
      </c>
      <c r="X1157" s="7" t="n">
        <v>414790</v>
      </c>
      <c r="Y1157" s="8" t="n">
        <v>24117</v>
      </c>
      <c r="Z1157" s="8" t="n">
        <v>4975</v>
      </c>
      <c r="AA1157" s="9" t="n">
        <v>397419</v>
      </c>
      <c r="AB1157" s="10" t="n">
        <v>11280</v>
      </c>
      <c r="AC1157" s="10" t="n">
        <v>3417</v>
      </c>
      <c r="AD1157" s="7" t="n">
        <v>397555</v>
      </c>
      <c r="AE1157" s="8" t="n">
        <v>-72495</v>
      </c>
      <c r="AF1157" s="8" t="n">
        <v>-72948</v>
      </c>
      <c r="AG1157" s="9" t="n">
        <v>383187</v>
      </c>
      <c r="AH1157" s="10" t="n">
        <v>10528</v>
      </c>
      <c r="AI1157" s="10" t="n">
        <v>76</v>
      </c>
      <c r="AJ1157" s="11" t="n">
        <v>408933</v>
      </c>
      <c r="AK1157" s="12" t="n">
        <v>4901</v>
      </c>
      <c r="AL1157" s="12" t="n">
        <v>850</v>
      </c>
      <c r="AM1157" s="13" t="n">
        <v>6.7</v>
      </c>
      <c r="AN1157" s="13" t="n">
        <v>-1.4</v>
      </c>
      <c r="AO1157" s="13" t="n">
        <v>-53.4</v>
      </c>
      <c r="AP1157" s="13" t="n">
        <v>-79.7</v>
      </c>
    </row>
    <row r="1158">
      <c r="A1158" s="5" t="inlineStr">
        <is>
          <t>HLB생명과학</t>
        </is>
      </c>
      <c r="B1158" s="6" t="inlineStr">
        <is>
          <t>067630</t>
        </is>
      </c>
      <c r="C1158" s="6" t="inlineStr">
        <is>
          <t>연결</t>
        </is>
      </c>
      <c r="D1158" s="6" t="inlineStr">
        <is>
          <t>2026Q2</t>
        </is>
      </c>
      <c r="E1158" s="6" t="inlineStr"/>
      <c r="F1158" s="7" t="inlineStr"/>
      <c r="G1158" s="8" t="inlineStr"/>
      <c r="H1158" s="8" t="inlineStr"/>
      <c r="I1158" s="9" t="n">
        <v>23894</v>
      </c>
      <c r="J1158" s="10" t="n">
        <v>-5647</v>
      </c>
      <c r="K1158" s="10" t="n">
        <v>145390</v>
      </c>
      <c r="L1158" s="7" t="n">
        <v>23581</v>
      </c>
      <c r="M1158" s="8" t="n">
        <v>-6244</v>
      </c>
      <c r="N1158" s="8" t="n">
        <v>-144703</v>
      </c>
      <c r="O1158" s="9" t="n">
        <v>26083</v>
      </c>
      <c r="P1158" s="10" t="n">
        <v>-6088</v>
      </c>
      <c r="Q1158" s="10" t="n">
        <v>64076</v>
      </c>
      <c r="R1158" s="7" t="n">
        <v>28682</v>
      </c>
      <c r="S1158" s="8" t="n">
        <v>-6840</v>
      </c>
      <c r="T1158" s="8" t="n">
        <v>-58556</v>
      </c>
      <c r="U1158" s="9" t="n">
        <v>27477</v>
      </c>
      <c r="V1158" s="10" t="n">
        <v>-5939</v>
      </c>
      <c r="W1158" s="10" t="n">
        <v>-57243</v>
      </c>
      <c r="X1158" s="7" t="n">
        <v>11769</v>
      </c>
      <c r="Y1158" s="8" t="n">
        <v>-6651</v>
      </c>
      <c r="Z1158" s="8" t="n">
        <v>-26085</v>
      </c>
      <c r="AA1158" s="9" t="n">
        <v>13596</v>
      </c>
      <c r="AB1158" s="10" t="n">
        <v>-3840</v>
      </c>
      <c r="AC1158" s="10" t="n">
        <v>-36764</v>
      </c>
      <c r="AD1158" s="7" t="n">
        <v>-7090</v>
      </c>
      <c r="AE1158" s="8" t="n">
        <v>-5597</v>
      </c>
      <c r="AF1158" s="8" t="n">
        <v>20148</v>
      </c>
      <c r="AG1158" s="9" t="n">
        <v>15199</v>
      </c>
      <c r="AH1158" s="10" t="n">
        <v>-6454</v>
      </c>
      <c r="AI1158" s="10" t="n">
        <v>-7824</v>
      </c>
      <c r="AJ1158" s="11" t="n">
        <v>14656</v>
      </c>
      <c r="AK1158" s="12" t="n">
        <v>-7559</v>
      </c>
      <c r="AL1158" s="12" t="n">
        <v>-8697</v>
      </c>
      <c r="AM1158" s="13" t="n">
        <v>-3.6</v>
      </c>
      <c r="AN1158" s="13" t="n">
        <v>24.5</v>
      </c>
      <c r="AO1158" s="13" t="n">
        <v>-17.1</v>
      </c>
      <c r="AP1158" s="13" t="n">
        <v>-13.7</v>
      </c>
    </row>
    <row r="1159">
      <c r="A1159" s="5" t="inlineStr">
        <is>
          <t>로지시스</t>
        </is>
      </c>
      <c r="B1159" s="6" t="inlineStr">
        <is>
          <t>067730</t>
        </is>
      </c>
      <c r="C1159" s="6" t="inlineStr">
        <is>
          <t>별도</t>
        </is>
      </c>
      <c r="D1159" s="6" t="inlineStr">
        <is>
          <t>2026Q2</t>
        </is>
      </c>
      <c r="E1159" s="6" t="inlineStr"/>
      <c r="F1159" s="7" t="inlineStr"/>
      <c r="G1159" s="8" t="inlineStr"/>
      <c r="H1159" s="8" t="inlineStr"/>
      <c r="I1159" s="9" t="n">
        <v>10257</v>
      </c>
      <c r="J1159" s="10" t="n">
        <v>596</v>
      </c>
      <c r="K1159" s="10" t="n">
        <v>530</v>
      </c>
      <c r="L1159" s="7" t="n">
        <v>10221</v>
      </c>
      <c r="M1159" s="8" t="n">
        <v>579</v>
      </c>
      <c r="N1159" s="8" t="n">
        <v>466</v>
      </c>
      <c r="O1159" s="9" t="n">
        <v>10881</v>
      </c>
      <c r="P1159" s="10" t="n">
        <v>772</v>
      </c>
      <c r="Q1159" s="10" t="n">
        <v>622</v>
      </c>
      <c r="R1159" s="7" t="n">
        <v>11498</v>
      </c>
      <c r="S1159" s="8" t="n">
        <v>444</v>
      </c>
      <c r="T1159" s="8" t="n">
        <v>795</v>
      </c>
      <c r="U1159" s="9" t="n">
        <v>12419</v>
      </c>
      <c r="V1159" s="10" t="n">
        <v>1088</v>
      </c>
      <c r="W1159" s="10" t="n">
        <v>964</v>
      </c>
      <c r="X1159" s="7" t="n">
        <v>11642</v>
      </c>
      <c r="Y1159" s="8" t="n">
        <v>833</v>
      </c>
      <c r="Z1159" s="8" t="n">
        <v>695</v>
      </c>
      <c r="AA1159" s="9" t="n">
        <v>12479</v>
      </c>
      <c r="AB1159" s="10" t="n">
        <v>860</v>
      </c>
      <c r="AC1159" s="10" t="n">
        <v>721</v>
      </c>
      <c r="AD1159" s="7" t="n">
        <v>12001</v>
      </c>
      <c r="AE1159" s="8" t="n">
        <v>103</v>
      </c>
      <c r="AF1159" s="8" t="n">
        <v>925</v>
      </c>
      <c r="AG1159" s="9" t="n">
        <v>11478</v>
      </c>
      <c r="AH1159" s="10" t="n">
        <v>1057</v>
      </c>
      <c r="AI1159" s="10" t="n">
        <v>1039</v>
      </c>
      <c r="AJ1159" s="11" t="n">
        <v>12144</v>
      </c>
      <c r="AK1159" s="12" t="n">
        <v>784</v>
      </c>
      <c r="AL1159" s="12" t="n">
        <v>1007</v>
      </c>
      <c r="AM1159" s="13" t="n">
        <v>5.8</v>
      </c>
      <c r="AN1159" s="13" t="n">
        <v>4.3</v>
      </c>
      <c r="AO1159" s="13" t="n">
        <v>-25.8</v>
      </c>
      <c r="AP1159" s="13" t="n">
        <v>-5.9</v>
      </c>
    </row>
    <row r="1160">
      <c r="A1160" s="5" t="inlineStr">
        <is>
          <t>세진티에스</t>
        </is>
      </c>
      <c r="B1160" s="6" t="inlineStr">
        <is>
          <t>067770</t>
        </is>
      </c>
      <c r="C1160" s="6" t="inlineStr">
        <is>
          <t>연결</t>
        </is>
      </c>
      <c r="D1160" s="6" t="inlineStr">
        <is>
          <t>2026Q2</t>
        </is>
      </c>
      <c r="E1160" s="6" t="inlineStr"/>
      <c r="F1160" s="7" t="inlineStr"/>
      <c r="G1160" s="8" t="inlineStr"/>
      <c r="H1160" s="8" t="inlineStr"/>
      <c r="I1160" s="9" t="n">
        <v>3627</v>
      </c>
      <c r="J1160" s="10" t="n">
        <v>365</v>
      </c>
      <c r="K1160" s="10" t="n">
        <v>887</v>
      </c>
      <c r="L1160" s="7" t="n">
        <v>3483</v>
      </c>
      <c r="M1160" s="8" t="n">
        <v>400</v>
      </c>
      <c r="N1160" s="8" t="n">
        <v>1179</v>
      </c>
      <c r="O1160" s="9" t="n">
        <v>3309</v>
      </c>
      <c r="P1160" s="10" t="n">
        <v>160</v>
      </c>
      <c r="Q1160" s="10" t="n">
        <v>6</v>
      </c>
      <c r="R1160" s="7" t="n">
        <v>2757</v>
      </c>
      <c r="S1160" s="8" t="n">
        <v>-189</v>
      </c>
      <c r="T1160" s="8" t="n">
        <v>1054</v>
      </c>
      <c r="U1160" s="9" t="n">
        <v>3275</v>
      </c>
      <c r="V1160" s="10" t="n">
        <v>57</v>
      </c>
      <c r="W1160" s="10" t="n">
        <v>215</v>
      </c>
      <c r="X1160" s="7" t="n">
        <v>2749</v>
      </c>
      <c r="Y1160" s="8" t="n">
        <v>-288</v>
      </c>
      <c r="Z1160" s="8" t="n">
        <v>-573</v>
      </c>
      <c r="AA1160" s="9" t="n">
        <v>2682</v>
      </c>
      <c r="AB1160" s="10" t="n">
        <v>24</v>
      </c>
      <c r="AC1160" s="10" t="n">
        <v>546</v>
      </c>
      <c r="AD1160" s="7" t="n">
        <v>3191</v>
      </c>
      <c r="AE1160" s="8" t="n">
        <v>0</v>
      </c>
      <c r="AF1160" s="8" t="n">
        <v>526</v>
      </c>
      <c r="AG1160" s="9" t="n">
        <v>3328</v>
      </c>
      <c r="AH1160" s="10" t="n">
        <v>458</v>
      </c>
      <c r="AI1160" s="10" t="n">
        <v>1046</v>
      </c>
      <c r="AJ1160" s="11" t="n">
        <v>3063</v>
      </c>
      <c r="AK1160" s="12" t="n">
        <v>498</v>
      </c>
      <c r="AL1160" s="12" t="n">
        <v>801</v>
      </c>
      <c r="AM1160" s="13" t="n">
        <v>-8</v>
      </c>
      <c r="AN1160" s="13" t="n">
        <v>11.4</v>
      </c>
      <c r="AO1160" s="13" t="n">
        <v>8.699999999999999</v>
      </c>
      <c r="AP1160" s="13" t="n">
        <v>272.9</v>
      </c>
    </row>
    <row r="1161">
      <c r="A1161" s="5" t="inlineStr">
        <is>
          <t>세이브존I&amp;C</t>
        </is>
      </c>
      <c r="B1161" s="6" t="inlineStr">
        <is>
          <t>067830</t>
        </is>
      </c>
      <c r="C1161" s="6" t="inlineStr">
        <is>
          <t>별도</t>
        </is>
      </c>
      <c r="D1161" s="6" t="inlineStr">
        <is>
          <t>2026Q2</t>
        </is>
      </c>
      <c r="E1161" s="6" t="inlineStr"/>
      <c r="F1161" s="7" t="inlineStr"/>
      <c r="G1161" s="8" t="inlineStr"/>
      <c r="H1161" s="8" t="inlineStr"/>
      <c r="I1161" s="9" t="n">
        <v>30410</v>
      </c>
      <c r="J1161" s="10" t="n">
        <v>2811</v>
      </c>
      <c r="K1161" s="10" t="n">
        <v>3513</v>
      </c>
      <c r="L1161" s="7" t="n">
        <v>30059</v>
      </c>
      <c r="M1161" s="8" t="n">
        <v>4108</v>
      </c>
      <c r="N1161" s="8" t="n">
        <v>4614</v>
      </c>
      <c r="O1161" s="9" t="n">
        <v>27366</v>
      </c>
      <c r="P1161" s="10" t="n">
        <v>-664</v>
      </c>
      <c r="Q1161" s="10" t="n">
        <v>1322</v>
      </c>
      <c r="R1161" s="7" t="n">
        <v>29405</v>
      </c>
      <c r="S1161" s="8" t="n">
        <v>1522</v>
      </c>
      <c r="T1161" s="8" t="n">
        <v>3189</v>
      </c>
      <c r="U1161" s="9" t="n">
        <v>29394</v>
      </c>
      <c r="V1161" s="10" t="n">
        <v>1415</v>
      </c>
      <c r="W1161" s="10" t="n">
        <v>2423</v>
      </c>
      <c r="X1161" s="7" t="n">
        <v>29401</v>
      </c>
      <c r="Y1161" s="8" t="n">
        <v>2674</v>
      </c>
      <c r="Z1161" s="8" t="n">
        <v>3621</v>
      </c>
      <c r="AA1161" s="9" t="n">
        <v>27854</v>
      </c>
      <c r="AB1161" s="10" t="n">
        <v>-683</v>
      </c>
      <c r="AC1161" s="10" t="n">
        <v>827</v>
      </c>
      <c r="AD1161" s="7" t="n">
        <v>31452</v>
      </c>
      <c r="AE1161" s="8" t="n">
        <v>1180</v>
      </c>
      <c r="AF1161" s="8" t="n">
        <v>883</v>
      </c>
      <c r="AG1161" s="9" t="n">
        <v>28873</v>
      </c>
      <c r="AH1161" s="10" t="n">
        <v>1303</v>
      </c>
      <c r="AI1161" s="10" t="n">
        <v>2705</v>
      </c>
      <c r="AJ1161" s="11" t="n">
        <v>31291</v>
      </c>
      <c r="AK1161" s="12" t="n">
        <v>2686</v>
      </c>
      <c r="AL1161" s="12" t="n">
        <v>31438</v>
      </c>
      <c r="AM1161" s="13" t="n">
        <v>8.4</v>
      </c>
      <c r="AN1161" s="13" t="n">
        <v>6.4</v>
      </c>
      <c r="AO1161" s="13" t="n">
        <v>106.1</v>
      </c>
      <c r="AP1161" s="13" t="n">
        <v>0.4</v>
      </c>
    </row>
    <row r="1162">
      <c r="A1162" s="5" t="inlineStr">
        <is>
          <t>와이엔텍</t>
        </is>
      </c>
      <c r="B1162" s="6" t="inlineStr">
        <is>
          <t>067900</t>
        </is>
      </c>
      <c r="C1162" s="6" t="inlineStr">
        <is>
          <t>연결</t>
        </is>
      </c>
      <c r="D1162" s="6" t="inlineStr">
        <is>
          <t>2026Q2</t>
        </is>
      </c>
      <c r="E1162" s="6" t="inlineStr">
        <is>
          <t>2023Q4</t>
        </is>
      </c>
      <c r="F1162" s="14" t="n">
        <v>121396</v>
      </c>
      <c r="G1162" s="15" t="n">
        <v>32296</v>
      </c>
      <c r="H1162" s="15" t="n">
        <v>21012</v>
      </c>
      <c r="I1162" s="9" t="n">
        <v>27519</v>
      </c>
      <c r="J1162" s="10" t="n">
        <v>6330</v>
      </c>
      <c r="K1162" s="10" t="n">
        <v>6728</v>
      </c>
      <c r="L1162" s="7" t="n">
        <v>30537</v>
      </c>
      <c r="M1162" s="8" t="n">
        <v>9944</v>
      </c>
      <c r="N1162" s="8" t="n">
        <v>7336</v>
      </c>
      <c r="O1162" s="9" t="n">
        <v>27039</v>
      </c>
      <c r="P1162" s="10" t="n">
        <v>6904</v>
      </c>
      <c r="Q1162" s="10" t="n">
        <v>5183</v>
      </c>
      <c r="R1162" s="7" t="n">
        <v>28665</v>
      </c>
      <c r="S1162" s="8" t="n">
        <v>7100</v>
      </c>
      <c r="T1162" s="8" t="n">
        <v>12065</v>
      </c>
      <c r="U1162" s="9" t="n">
        <v>27046</v>
      </c>
      <c r="V1162" s="10" t="n">
        <v>4427</v>
      </c>
      <c r="W1162" s="10" t="n">
        <v>3637</v>
      </c>
      <c r="X1162" s="7" t="n">
        <v>30143</v>
      </c>
      <c r="Y1162" s="8" t="n">
        <v>9230</v>
      </c>
      <c r="Z1162" s="8" t="n">
        <v>7839</v>
      </c>
      <c r="AA1162" s="9" t="n">
        <v>29177</v>
      </c>
      <c r="AB1162" s="10" t="n">
        <v>6385</v>
      </c>
      <c r="AC1162" s="10" t="n">
        <v>4689</v>
      </c>
      <c r="AD1162" s="7" t="n">
        <v>30630</v>
      </c>
      <c r="AE1162" s="8" t="n">
        <v>6031</v>
      </c>
      <c r="AF1162" s="8" t="n">
        <v>14262</v>
      </c>
      <c r="AG1162" s="9" t="n">
        <v>28916</v>
      </c>
      <c r="AH1162" s="10" t="n">
        <v>4211</v>
      </c>
      <c r="AI1162" s="10" t="n">
        <v>4448</v>
      </c>
      <c r="AJ1162" s="11" t="n">
        <v>34132</v>
      </c>
      <c r="AK1162" s="12" t="n">
        <v>6369</v>
      </c>
      <c r="AL1162" s="12" t="n">
        <v>6534</v>
      </c>
      <c r="AM1162" s="13" t="n">
        <v>18</v>
      </c>
      <c r="AN1162" s="13" t="n">
        <v>13.2</v>
      </c>
      <c r="AO1162" s="13" t="n">
        <v>51.2</v>
      </c>
      <c r="AP1162" s="13" t="n">
        <v>-31</v>
      </c>
    </row>
    <row r="1163">
      <c r="A1163" s="5" t="inlineStr">
        <is>
          <t>이글루</t>
        </is>
      </c>
      <c r="B1163" s="6" t="inlineStr">
        <is>
          <t>067920</t>
        </is>
      </c>
      <c r="C1163" s="6" t="inlineStr">
        <is>
          <t>연결</t>
        </is>
      </c>
      <c r="D1163" s="6" t="inlineStr">
        <is>
          <t>2026Q2</t>
        </is>
      </c>
      <c r="E1163" s="6" t="inlineStr"/>
      <c r="F1163" s="7" t="inlineStr"/>
      <c r="G1163" s="8" t="inlineStr"/>
      <c r="H1163" s="8" t="inlineStr"/>
      <c r="I1163" s="9" t="inlineStr"/>
      <c r="J1163" s="10" t="n">
        <v>-2128</v>
      </c>
      <c r="K1163" s="10" t="n">
        <v>-2510</v>
      </c>
      <c r="L1163" s="7" t="inlineStr"/>
      <c r="M1163" s="8" t="n">
        <v>-723</v>
      </c>
      <c r="N1163" s="8" t="n">
        <v>-592</v>
      </c>
      <c r="O1163" s="9" t="inlineStr"/>
      <c r="P1163" s="10" t="n">
        <v>1415</v>
      </c>
      <c r="Q1163" s="10" t="n">
        <v>1862</v>
      </c>
      <c r="R1163" s="7" t="inlineStr"/>
      <c r="S1163" s="8" t="n">
        <v>7504</v>
      </c>
      <c r="T1163" s="8" t="n">
        <v>7480</v>
      </c>
      <c r="U1163" s="9" t="inlineStr"/>
      <c r="V1163" s="10" t="n">
        <v>-899</v>
      </c>
      <c r="W1163" s="10" t="n">
        <v>-888</v>
      </c>
      <c r="X1163" s="7" t="inlineStr"/>
      <c r="Y1163" s="8" t="n">
        <v>648</v>
      </c>
      <c r="Z1163" s="8" t="n">
        <v>1107</v>
      </c>
      <c r="AA1163" s="9" t="inlineStr"/>
      <c r="AB1163" s="10" t="n">
        <v>1426</v>
      </c>
      <c r="AC1163" s="10" t="n">
        <v>1415</v>
      </c>
      <c r="AD1163" s="7" t="inlineStr"/>
      <c r="AE1163" s="8" t="n">
        <v>14834</v>
      </c>
      <c r="AF1163" s="8" t="n">
        <v>1995</v>
      </c>
      <c r="AG1163" s="9" t="inlineStr"/>
      <c r="AH1163" s="10" t="n">
        <v>-3183</v>
      </c>
      <c r="AI1163" s="10" t="n">
        <v>-2561</v>
      </c>
      <c r="AJ1163" s="11" t="n">
        <v>45897</v>
      </c>
      <c r="AK1163" s="12" t="n">
        <v>28</v>
      </c>
      <c r="AL1163" s="12" t="n">
        <v>1641</v>
      </c>
      <c r="AM1163" s="13" t="inlineStr"/>
      <c r="AN1163" s="13" t="inlineStr"/>
      <c r="AO1163" s="13" t="n">
        <v>100.9</v>
      </c>
      <c r="AP1163" s="13" t="n">
        <v>-95.7</v>
      </c>
    </row>
    <row r="1164">
      <c r="A1164" s="5" t="inlineStr">
        <is>
          <t>도이치모터스</t>
        </is>
      </c>
      <c r="B1164" s="6" t="inlineStr">
        <is>
          <t>067990</t>
        </is>
      </c>
      <c r="C1164" s="6" t="inlineStr">
        <is>
          <t>연결</t>
        </is>
      </c>
      <c r="D1164" s="6" t="inlineStr">
        <is>
          <t>2026Q2</t>
        </is>
      </c>
      <c r="E1164" s="6" t="inlineStr"/>
      <c r="F1164" s="7" t="inlineStr"/>
      <c r="G1164" s="8" t="inlineStr"/>
      <c r="H1164" s="8" t="inlineStr"/>
      <c r="I1164" s="9" t="n">
        <v>476067</v>
      </c>
      <c r="J1164" s="10" t="n">
        <v>5194</v>
      </c>
      <c r="K1164" s="10" t="n">
        <v>-3238</v>
      </c>
      <c r="L1164" s="7" t="n">
        <v>503541</v>
      </c>
      <c r="M1164" s="8" t="n">
        <v>6271</v>
      </c>
      <c r="N1164" s="8" t="n">
        <v>1924</v>
      </c>
      <c r="O1164" s="9" t="n">
        <v>573694</v>
      </c>
      <c r="P1164" s="10" t="n">
        <v>2923</v>
      </c>
      <c r="Q1164" s="10" t="n">
        <v>-5941</v>
      </c>
      <c r="R1164" s="7" t="n">
        <v>615133</v>
      </c>
      <c r="S1164" s="8" t="n">
        <v>10653</v>
      </c>
      <c r="T1164" s="8" t="n">
        <v>-403</v>
      </c>
      <c r="U1164" s="9" t="n">
        <v>578211</v>
      </c>
      <c r="V1164" s="10" t="n">
        <v>7940</v>
      </c>
      <c r="W1164" s="10" t="n">
        <v>-1722</v>
      </c>
      <c r="X1164" s="7" t="n">
        <v>654883</v>
      </c>
      <c r="Y1164" s="8" t="n">
        <v>13729</v>
      </c>
      <c r="Z1164" s="8" t="n">
        <v>2858</v>
      </c>
      <c r="AA1164" s="9" t="n">
        <v>675501</v>
      </c>
      <c r="AB1164" s="10" t="n">
        <v>6331</v>
      </c>
      <c r="AC1164" s="10" t="n">
        <v>19</v>
      </c>
      <c r="AD1164" s="7" t="n">
        <v>640502</v>
      </c>
      <c r="AE1164" s="8" t="n">
        <v>12786</v>
      </c>
      <c r="AF1164" s="8" t="n">
        <v>553</v>
      </c>
      <c r="AG1164" s="9" t="n">
        <v>637402</v>
      </c>
      <c r="AH1164" s="10" t="n">
        <v>10444</v>
      </c>
      <c r="AI1164" s="10" t="n">
        <v>235</v>
      </c>
      <c r="AJ1164" s="11" t="n">
        <v>710941</v>
      </c>
      <c r="AK1164" s="12" t="n">
        <v>12907</v>
      </c>
      <c r="AL1164" s="12" t="n">
        <v>2980</v>
      </c>
      <c r="AM1164" s="13" t="n">
        <v>11.5</v>
      </c>
      <c r="AN1164" s="13" t="n">
        <v>8.6</v>
      </c>
      <c r="AO1164" s="13" t="n">
        <v>23.6</v>
      </c>
      <c r="AP1164" s="13" t="n">
        <v>-6</v>
      </c>
    </row>
    <row r="1165">
      <c r="A1165" s="5" t="inlineStr">
        <is>
          <t>팬엔터테인먼트</t>
        </is>
      </c>
      <c r="B1165" s="6" t="inlineStr">
        <is>
          <t>068050</t>
        </is>
      </c>
      <c r="C1165" s="6" t="inlineStr">
        <is>
          <t>연결</t>
        </is>
      </c>
      <c r="D1165" s="6" t="inlineStr">
        <is>
          <t>2026Q2</t>
        </is>
      </c>
      <c r="E1165" s="6" t="inlineStr"/>
      <c r="F1165" s="7" t="inlineStr"/>
      <c r="G1165" s="8" t="inlineStr"/>
      <c r="H1165" s="8" t="inlineStr"/>
      <c r="I1165" s="9" t="n">
        <v>13063</v>
      </c>
      <c r="J1165" s="10" t="n">
        <v>431</v>
      </c>
      <c r="K1165" s="10" t="n">
        <v>486</v>
      </c>
      <c r="L1165" s="7" t="n">
        <v>12027</v>
      </c>
      <c r="M1165" s="8" t="n">
        <v>750</v>
      </c>
      <c r="N1165" s="8" t="n">
        <v>2226</v>
      </c>
      <c r="O1165" s="9" t="n">
        <v>6624</v>
      </c>
      <c r="P1165" s="10" t="n">
        <v>-44</v>
      </c>
      <c r="Q1165" s="10" t="n">
        <v>-1220</v>
      </c>
      <c r="R1165" s="7" t="n">
        <v>2975</v>
      </c>
      <c r="S1165" s="8" t="n">
        <v>-1008</v>
      </c>
      <c r="T1165" s="8" t="n">
        <v>-4596</v>
      </c>
      <c r="U1165" s="9" t="n">
        <v>10070</v>
      </c>
      <c r="V1165" s="10" t="n">
        <v>-616</v>
      </c>
      <c r="W1165" s="10" t="n">
        <v>-1093</v>
      </c>
      <c r="X1165" s="7" t="n">
        <v>6848</v>
      </c>
      <c r="Y1165" s="8" t="n">
        <v>-1998</v>
      </c>
      <c r="Z1165" s="8" t="n">
        <v>-2104</v>
      </c>
      <c r="AA1165" s="9" t="n">
        <v>4312</v>
      </c>
      <c r="AB1165" s="10" t="n">
        <v>324</v>
      </c>
      <c r="AC1165" s="10" t="n">
        <v>24</v>
      </c>
      <c r="AD1165" s="7" t="n">
        <v>13948</v>
      </c>
      <c r="AE1165" s="8" t="n">
        <v>-1182</v>
      </c>
      <c r="AF1165" s="8" t="n">
        <v>-4955</v>
      </c>
      <c r="AG1165" s="9" t="n">
        <v>9831</v>
      </c>
      <c r="AH1165" s="10" t="n">
        <v>84</v>
      </c>
      <c r="AI1165" s="10" t="n">
        <v>-163</v>
      </c>
      <c r="AJ1165" s="11" t="n">
        <v>7697</v>
      </c>
      <c r="AK1165" s="12" t="n">
        <v>-1077</v>
      </c>
      <c r="AL1165" s="12" t="n">
        <v>-1521</v>
      </c>
      <c r="AM1165" s="13" t="n">
        <v>-21.7</v>
      </c>
      <c r="AN1165" s="13" t="n">
        <v>12.4</v>
      </c>
      <c r="AO1165" s="13" t="n">
        <v>-1382.1</v>
      </c>
      <c r="AP1165" s="13" t="n">
        <v>46.1</v>
      </c>
    </row>
    <row r="1166">
      <c r="A1166" s="5" t="inlineStr">
        <is>
          <t>케이웨더</t>
        </is>
      </c>
      <c r="B1166" s="6" t="inlineStr">
        <is>
          <t>068100</t>
        </is>
      </c>
      <c r="C1166" s="6" t="inlineStr">
        <is>
          <t>연결</t>
        </is>
      </c>
      <c r="D1166" s="6" t="inlineStr">
        <is>
          <t>2026Q2</t>
        </is>
      </c>
      <c r="E1166" s="6" t="inlineStr"/>
      <c r="F1166" s="7" t="inlineStr"/>
      <c r="G1166" s="8" t="inlineStr"/>
      <c r="H1166" s="8" t="inlineStr"/>
      <c r="I1166" s="9" t="n">
        <v>2326</v>
      </c>
      <c r="J1166" s="10" t="n">
        <v>-998</v>
      </c>
      <c r="K1166" s="10" t="n">
        <v>-989</v>
      </c>
      <c r="L1166" s="7" t="n">
        <v>2812</v>
      </c>
      <c r="M1166" s="8" t="n">
        <v>-1618</v>
      </c>
      <c r="N1166" s="8" t="n">
        <v>-1570</v>
      </c>
      <c r="O1166" s="9" t="n">
        <v>3530</v>
      </c>
      <c r="P1166" s="10" t="n">
        <v>-367</v>
      </c>
      <c r="Q1166" s="10" t="n">
        <v>-373</v>
      </c>
      <c r="R1166" s="7" t="n">
        <v>6919</v>
      </c>
      <c r="S1166" s="8" t="n">
        <v>921</v>
      </c>
      <c r="T1166" s="8" t="n">
        <v>1055</v>
      </c>
      <c r="U1166" s="9" t="n">
        <v>3424</v>
      </c>
      <c r="V1166" s="10" t="n">
        <v>-928</v>
      </c>
      <c r="W1166" s="10" t="n">
        <v>-900</v>
      </c>
      <c r="X1166" s="7" t="n">
        <v>5250</v>
      </c>
      <c r="Y1166" s="8" t="n">
        <v>-459</v>
      </c>
      <c r="Z1166" s="8" t="n">
        <v>-433</v>
      </c>
      <c r="AA1166" s="9" t="n">
        <v>4412</v>
      </c>
      <c r="AB1166" s="10" t="n">
        <v>-243</v>
      </c>
      <c r="AC1166" s="10" t="n">
        <v>-230</v>
      </c>
      <c r="AD1166" s="7" t="n">
        <v>4606</v>
      </c>
      <c r="AE1166" s="8" t="n">
        <v>-102</v>
      </c>
      <c r="AF1166" s="8" t="n">
        <v>-175</v>
      </c>
      <c r="AG1166" s="9" t="n">
        <v>3937</v>
      </c>
      <c r="AH1166" s="10" t="n">
        <v>59</v>
      </c>
      <c r="AI1166" s="10" t="n">
        <v>115</v>
      </c>
      <c r="AJ1166" s="11" t="n">
        <v>5419</v>
      </c>
      <c r="AK1166" s="12" t="n">
        <v>154</v>
      </c>
      <c r="AL1166" s="12" t="n">
        <v>211</v>
      </c>
      <c r="AM1166" s="13" t="n">
        <v>37.6</v>
      </c>
      <c r="AN1166" s="13" t="n">
        <v>3.2</v>
      </c>
      <c r="AO1166" s="13" t="n">
        <v>161</v>
      </c>
      <c r="AP1166" s="13" t="n">
        <v>133.6</v>
      </c>
    </row>
    <row r="1167">
      <c r="A1167" s="5" t="inlineStr">
        <is>
          <t>다원시스</t>
        </is>
      </c>
      <c r="B1167" s="6" t="inlineStr">
        <is>
          <t>068240</t>
        </is>
      </c>
      <c r="C1167" s="6" t="inlineStr">
        <is>
          <t>연결</t>
        </is>
      </c>
      <c r="D1167" s="6" t="inlineStr">
        <is>
          <t>2026Q2</t>
        </is>
      </c>
      <c r="E1167" s="6" t="inlineStr"/>
      <c r="F1167" s="7" t="inlineStr"/>
      <c r="G1167" s="8" t="inlineStr"/>
      <c r="H1167" s="8" t="inlineStr"/>
      <c r="I1167" s="9" t="n">
        <v>54154</v>
      </c>
      <c r="J1167" s="10" t="n">
        <v>2184</v>
      </c>
      <c r="K1167" s="10" t="n">
        <v>10953</v>
      </c>
      <c r="L1167" s="7" t="n">
        <v>96980</v>
      </c>
      <c r="M1167" s="8" t="n">
        <v>10956</v>
      </c>
      <c r="N1167" s="8" t="n">
        <v>13869</v>
      </c>
      <c r="O1167" s="9" t="n">
        <v>73890</v>
      </c>
      <c r="P1167" s="10" t="n">
        <v>1901</v>
      </c>
      <c r="Q1167" s="10" t="n">
        <v>-1273</v>
      </c>
      <c r="R1167" s="7" t="n">
        <v>76494</v>
      </c>
      <c r="S1167" s="8" t="n">
        <v>-7394</v>
      </c>
      <c r="T1167" s="8" t="n">
        <v>-11636</v>
      </c>
      <c r="U1167" s="9" t="n">
        <v>43975</v>
      </c>
      <c r="V1167" s="10" t="n">
        <v>-14216</v>
      </c>
      <c r="W1167" s="10" t="n">
        <v>-19431</v>
      </c>
      <c r="X1167" s="7" t="n">
        <v>35463</v>
      </c>
      <c r="Y1167" s="8" t="n">
        <v>-24111</v>
      </c>
      <c r="Z1167" s="8" t="n">
        <v>-19616</v>
      </c>
      <c r="AA1167" s="9" t="n">
        <v>27994</v>
      </c>
      <c r="AB1167" s="10" t="n">
        <v>-19275</v>
      </c>
      <c r="AC1167" s="10" t="n">
        <v>-18890</v>
      </c>
      <c r="AD1167" s="7" t="n">
        <v>4657</v>
      </c>
      <c r="AE1167" s="8" t="n">
        <v>-63076</v>
      </c>
      <c r="AF1167" s="8" t="n">
        <v>-138921</v>
      </c>
      <c r="AG1167" s="9" t="n">
        <v>20973</v>
      </c>
      <c r="AH1167" s="10" t="n">
        <v>-9457</v>
      </c>
      <c r="AI1167" s="10" t="n">
        <v>34309</v>
      </c>
      <c r="AJ1167" s="11" t="n">
        <v>-1128</v>
      </c>
      <c r="AK1167" s="12" t="n">
        <v>-22875</v>
      </c>
      <c r="AL1167" s="12" t="n">
        <v>-24972</v>
      </c>
      <c r="AM1167" s="13" t="n">
        <v>-105.4</v>
      </c>
      <c r="AN1167" s="13" t="n">
        <v>-103.2</v>
      </c>
      <c r="AO1167" s="13" t="n">
        <v>-141.9</v>
      </c>
      <c r="AP1167" s="13" t="n">
        <v>5.1</v>
      </c>
    </row>
    <row r="1168">
      <c r="A1168" s="5" t="inlineStr">
        <is>
          <t>셀트리온</t>
        </is>
      </c>
      <c r="B1168" s="6" t="inlineStr">
        <is>
          <t>068270</t>
        </is>
      </c>
      <c r="C1168" s="6" t="inlineStr">
        <is>
          <t>연결</t>
        </is>
      </c>
      <c r="D1168" s="6" t="inlineStr">
        <is>
          <t>2026Q2</t>
        </is>
      </c>
      <c r="E1168" s="6" t="inlineStr">
        <is>
          <t>2023Q4</t>
        </is>
      </c>
      <c r="F1168" s="14" t="n">
        <v>314866</v>
      </c>
      <c r="G1168" s="15" t="n">
        <v>25843</v>
      </c>
      <c r="H1168" s="15" t="n">
        <v>28611</v>
      </c>
      <c r="I1168" s="9" t="n">
        <v>736980</v>
      </c>
      <c r="J1168" s="10" t="n">
        <v>15437</v>
      </c>
      <c r="K1168" s="10" t="n">
        <v>20768</v>
      </c>
      <c r="L1168" s="7" t="n">
        <v>874741</v>
      </c>
      <c r="M1168" s="8" t="n">
        <v>72488</v>
      </c>
      <c r="N1168" s="8" t="n">
        <v>78452</v>
      </c>
      <c r="O1168" s="9" t="n">
        <v>881933</v>
      </c>
      <c r="P1168" s="10" t="n">
        <v>207686</v>
      </c>
      <c r="Q1168" s="10" t="n">
        <v>84094</v>
      </c>
      <c r="R1168" s="7" t="n">
        <v>1063650</v>
      </c>
      <c r="S1168" s="8" t="n">
        <v>196405</v>
      </c>
      <c r="T1168" s="8" t="n">
        <v>235569</v>
      </c>
      <c r="U1168" s="9" t="n">
        <v>841912</v>
      </c>
      <c r="V1168" s="10" t="n">
        <v>149421</v>
      </c>
      <c r="W1168" s="10" t="n">
        <v>108333</v>
      </c>
      <c r="X1168" s="7" t="n">
        <v>961457</v>
      </c>
      <c r="Y1168" s="8" t="n">
        <v>242467</v>
      </c>
      <c r="Z1168" s="8" t="n">
        <v>63300</v>
      </c>
      <c r="AA1168" s="9" t="n">
        <v>1028969</v>
      </c>
      <c r="AB1168" s="10" t="n">
        <v>301412</v>
      </c>
      <c r="AC1168" s="10" t="n">
        <v>331923</v>
      </c>
      <c r="AD1168" s="7" t="n">
        <v>1330157</v>
      </c>
      <c r="AE1168" s="8" t="n">
        <v>475171</v>
      </c>
      <c r="AF1168" s="8" t="n">
        <v>527928</v>
      </c>
      <c r="AG1168" s="9" t="n">
        <v>1144986</v>
      </c>
      <c r="AH1168" s="10" t="n">
        <v>321870</v>
      </c>
      <c r="AI1168" s="10" t="n">
        <v>349844</v>
      </c>
      <c r="AJ1168" s="11" t="n">
        <v>1393693</v>
      </c>
      <c r="AK1168" s="12" t="n">
        <v>451792</v>
      </c>
      <c r="AL1168" s="12" t="n">
        <v>371317</v>
      </c>
      <c r="AM1168" s="13" t="n">
        <v>21.7</v>
      </c>
      <c r="AN1168" s="13" t="n">
        <v>45</v>
      </c>
      <c r="AO1168" s="13" t="n">
        <v>40.4</v>
      </c>
      <c r="AP1168" s="13" t="n">
        <v>86.3</v>
      </c>
    </row>
    <row r="1169">
      <c r="A1169" s="5" t="inlineStr">
        <is>
          <t>삼성출판사</t>
        </is>
      </c>
      <c r="B1169" s="6" t="inlineStr">
        <is>
          <t>068290</t>
        </is>
      </c>
      <c r="C1169" s="6" t="inlineStr">
        <is>
          <t>별도</t>
        </is>
      </c>
      <c r="D1169" s="6" t="inlineStr">
        <is>
          <t>2026Q2</t>
        </is>
      </c>
      <c r="E1169" s="6" t="inlineStr"/>
      <c r="F1169" s="7" t="inlineStr"/>
      <c r="G1169" s="8" t="inlineStr"/>
      <c r="H1169" s="8" t="inlineStr"/>
      <c r="I1169" s="9" t="n">
        <v>10402</v>
      </c>
      <c r="J1169" s="10" t="n">
        <v>-214</v>
      </c>
      <c r="K1169" s="10" t="n">
        <v>2178</v>
      </c>
      <c r="L1169" s="7" t="n">
        <v>9670</v>
      </c>
      <c r="M1169" s="8" t="n">
        <v>-431</v>
      </c>
      <c r="N1169" s="8" t="n">
        <v>1031</v>
      </c>
      <c r="O1169" s="9" t="n">
        <v>10081</v>
      </c>
      <c r="P1169" s="10" t="n">
        <v>276</v>
      </c>
      <c r="Q1169" s="10" t="n">
        <v>2139</v>
      </c>
      <c r="R1169" s="7" t="n">
        <v>10413</v>
      </c>
      <c r="S1169" s="8" t="n">
        <v>188</v>
      </c>
      <c r="T1169" s="8" t="n">
        <v>5505</v>
      </c>
      <c r="U1169" s="9" t="n">
        <v>10268</v>
      </c>
      <c r="V1169" s="10" t="n">
        <v>-85</v>
      </c>
      <c r="W1169" s="10" t="n">
        <v>1618</v>
      </c>
      <c r="X1169" s="7" t="n">
        <v>9250</v>
      </c>
      <c r="Y1169" s="8" t="n">
        <v>-496</v>
      </c>
      <c r="Z1169" s="8" t="n">
        <v>613</v>
      </c>
      <c r="AA1169" s="9" t="n">
        <v>9872</v>
      </c>
      <c r="AB1169" s="10" t="n">
        <v>80</v>
      </c>
      <c r="AC1169" s="10" t="n">
        <v>1784</v>
      </c>
      <c r="AD1169" s="7" t="n">
        <v>10901</v>
      </c>
      <c r="AE1169" s="8" t="n">
        <v>-294</v>
      </c>
      <c r="AF1169" s="8" t="n">
        <v>34</v>
      </c>
      <c r="AG1169" s="9" t="n">
        <v>10696</v>
      </c>
      <c r="AH1169" s="10" t="n">
        <v>-198</v>
      </c>
      <c r="AI1169" s="10" t="n">
        <v>1978</v>
      </c>
      <c r="AJ1169" s="11" t="n">
        <v>10048</v>
      </c>
      <c r="AK1169" s="12" t="n">
        <v>-214</v>
      </c>
      <c r="AL1169" s="12" t="n">
        <v>3741</v>
      </c>
      <c r="AM1169" s="13" t="n">
        <v>-6.1</v>
      </c>
      <c r="AN1169" s="13" t="n">
        <v>8.6</v>
      </c>
      <c r="AO1169" s="13" t="n">
        <v>-8.1</v>
      </c>
      <c r="AP1169" s="13" t="n">
        <v>56.9</v>
      </c>
    </row>
    <row r="1170">
      <c r="A1170" s="5" t="inlineStr">
        <is>
          <t>일신바이오</t>
        </is>
      </c>
      <c r="B1170" s="6" t="inlineStr">
        <is>
          <t>068330</t>
        </is>
      </c>
      <c r="C1170" s="6" t="inlineStr">
        <is>
          <t>별도</t>
        </is>
      </c>
      <c r="D1170" s="6" t="inlineStr">
        <is>
          <t>2026Q2</t>
        </is>
      </c>
      <c r="E1170" s="6" t="inlineStr"/>
      <c r="F1170" s="7" t="inlineStr"/>
      <c r="G1170" s="8" t="inlineStr"/>
      <c r="H1170" s="8" t="inlineStr"/>
      <c r="I1170" s="9" t="n">
        <v>1544</v>
      </c>
      <c r="J1170" s="10" t="n">
        <v>118</v>
      </c>
      <c r="K1170" s="10" t="n">
        <v>571</v>
      </c>
      <c r="L1170" s="7" t="n">
        <v>2766</v>
      </c>
      <c r="M1170" s="8" t="n">
        <v>609</v>
      </c>
      <c r="N1170" s="8" t="n">
        <v>803</v>
      </c>
      <c r="O1170" s="9" t="n">
        <v>2623</v>
      </c>
      <c r="P1170" s="10" t="n">
        <v>375</v>
      </c>
      <c r="Q1170" s="10" t="n">
        <v>528</v>
      </c>
      <c r="R1170" s="7" t="n">
        <v>3885</v>
      </c>
      <c r="S1170" s="8" t="n">
        <v>1160</v>
      </c>
      <c r="T1170" s="8" t="n">
        <v>1910</v>
      </c>
      <c r="U1170" s="9" t="n">
        <v>1886</v>
      </c>
      <c r="V1170" s="10" t="n">
        <v>443</v>
      </c>
      <c r="W1170" s="10" t="n">
        <v>662</v>
      </c>
      <c r="X1170" s="7" t="n">
        <v>3543</v>
      </c>
      <c r="Y1170" s="8" t="n">
        <v>1120</v>
      </c>
      <c r="Z1170" s="8" t="n">
        <v>742</v>
      </c>
      <c r="AA1170" s="9" t="n">
        <v>4868</v>
      </c>
      <c r="AB1170" s="10" t="n">
        <v>1908</v>
      </c>
      <c r="AC1170" s="10" t="n">
        <v>1923</v>
      </c>
      <c r="AD1170" s="7" t="n">
        <v>4233</v>
      </c>
      <c r="AE1170" s="8" t="n">
        <v>1075</v>
      </c>
      <c r="AF1170" s="8" t="n">
        <v>1466</v>
      </c>
      <c r="AG1170" s="9" t="n">
        <v>2518</v>
      </c>
      <c r="AH1170" s="10" t="n">
        <v>454</v>
      </c>
      <c r="AI1170" s="10" t="n">
        <v>975</v>
      </c>
      <c r="AJ1170" s="11" t="n">
        <v>4173</v>
      </c>
      <c r="AK1170" s="12" t="n">
        <v>1525</v>
      </c>
      <c r="AL1170" s="12" t="n">
        <v>1649</v>
      </c>
      <c r="AM1170" s="13" t="n">
        <v>65.7</v>
      </c>
      <c r="AN1170" s="13" t="n">
        <v>17.8</v>
      </c>
      <c r="AO1170" s="13" t="n">
        <v>235.9</v>
      </c>
      <c r="AP1170" s="13" t="n">
        <v>36.2</v>
      </c>
    </row>
    <row r="1171">
      <c r="A1171" s="5" t="inlineStr">
        <is>
          <t>셀트리온제약</t>
        </is>
      </c>
      <c r="B1171" s="6" t="inlineStr">
        <is>
          <t>068760</t>
        </is>
      </c>
      <c r="C1171" s="6" t="inlineStr">
        <is>
          <t>별도</t>
        </is>
      </c>
      <c r="D1171" s="6" t="inlineStr">
        <is>
          <t>2026Q2</t>
        </is>
      </c>
      <c r="E1171" s="6" t="inlineStr"/>
      <c r="F1171" s="7" t="inlineStr"/>
      <c r="G1171" s="8" t="inlineStr"/>
      <c r="H1171" s="8" t="inlineStr"/>
      <c r="I1171" s="9" t="n">
        <v>96969</v>
      </c>
      <c r="J1171" s="10" t="n">
        <v>3690</v>
      </c>
      <c r="K1171" s="10" t="n">
        <v>1891</v>
      </c>
      <c r="L1171" s="7" t="n">
        <v>117155</v>
      </c>
      <c r="M1171" s="8" t="n">
        <v>9419</v>
      </c>
      <c r="N1171" s="8" t="n">
        <v>5591</v>
      </c>
      <c r="O1171" s="9" t="n">
        <v>128130</v>
      </c>
      <c r="P1171" s="10" t="n">
        <v>13647</v>
      </c>
      <c r="Q1171" s="10" t="n">
        <v>8279</v>
      </c>
      <c r="R1171" s="7" t="n">
        <v>135581</v>
      </c>
      <c r="S1171" s="8" t="n">
        <v>10467</v>
      </c>
      <c r="T1171" s="8" t="n">
        <v>6205</v>
      </c>
      <c r="U1171" s="9" t="n">
        <v>112524</v>
      </c>
      <c r="V1171" s="10" t="n">
        <v>10737</v>
      </c>
      <c r="W1171" s="10" t="n">
        <v>7322</v>
      </c>
      <c r="X1171" s="7" t="n">
        <v>131298</v>
      </c>
      <c r="Y1171" s="8" t="n">
        <v>15522</v>
      </c>
      <c r="Z1171" s="8" t="n">
        <v>11088</v>
      </c>
      <c r="AA1171" s="9" t="n">
        <v>138175</v>
      </c>
      <c r="AB1171" s="10" t="n">
        <v>16108</v>
      </c>
      <c r="AC1171" s="10" t="n">
        <v>11459</v>
      </c>
      <c r="AD1171" s="7" t="n">
        <v>154403</v>
      </c>
      <c r="AE1171" s="8" t="n">
        <v>13725</v>
      </c>
      <c r="AF1171" s="8" t="n">
        <v>8883</v>
      </c>
      <c r="AG1171" s="9" t="n">
        <v>132122</v>
      </c>
      <c r="AH1171" s="10" t="n">
        <v>12902</v>
      </c>
      <c r="AI1171" s="10" t="n">
        <v>8818</v>
      </c>
      <c r="AJ1171" s="11" t="n">
        <v>153291</v>
      </c>
      <c r="AK1171" s="12" t="n">
        <v>19306</v>
      </c>
      <c r="AL1171" s="12" t="n">
        <v>13721</v>
      </c>
      <c r="AM1171" s="13" t="n">
        <v>16</v>
      </c>
      <c r="AN1171" s="13" t="n">
        <v>16.8</v>
      </c>
      <c r="AO1171" s="13" t="n">
        <v>49.6</v>
      </c>
      <c r="AP1171" s="13" t="n">
        <v>24.4</v>
      </c>
    </row>
    <row r="1172">
      <c r="A1172" s="5" t="inlineStr">
        <is>
          <t>DMS</t>
        </is>
      </c>
      <c r="B1172" s="6" t="inlineStr">
        <is>
          <t>068790</t>
        </is>
      </c>
      <c r="C1172" s="6" t="inlineStr">
        <is>
          <t>연결</t>
        </is>
      </c>
      <c r="D1172" s="6" t="inlineStr">
        <is>
          <t>2026Q2</t>
        </is>
      </c>
      <c r="E1172" s="6" t="inlineStr"/>
      <c r="F1172" s="7" t="inlineStr"/>
      <c r="G1172" s="8" t="inlineStr"/>
      <c r="H1172" s="8" t="inlineStr"/>
      <c r="I1172" s="9" t="n">
        <v>37214</v>
      </c>
      <c r="J1172" s="10" t="n">
        <v>5366</v>
      </c>
      <c r="K1172" s="10" t="n">
        <v>9319</v>
      </c>
      <c r="L1172" s="7" t="n">
        <v>47680</v>
      </c>
      <c r="M1172" s="8" t="n">
        <v>10517</v>
      </c>
      <c r="N1172" s="8" t="n">
        <v>11212</v>
      </c>
      <c r="O1172" s="9" t="n">
        <v>43746</v>
      </c>
      <c r="P1172" s="10" t="n">
        <v>7320</v>
      </c>
      <c r="Q1172" s="10" t="n">
        <v>938</v>
      </c>
      <c r="R1172" s="7" t="n">
        <v>39148</v>
      </c>
      <c r="S1172" s="8" t="n">
        <v>7442</v>
      </c>
      <c r="T1172" s="8" t="n">
        <v>14146</v>
      </c>
      <c r="U1172" s="9" t="n">
        <v>45722</v>
      </c>
      <c r="V1172" s="10" t="n">
        <v>12435</v>
      </c>
      <c r="W1172" s="10" t="n">
        <v>12281</v>
      </c>
      <c r="X1172" s="7" t="n">
        <v>23678</v>
      </c>
      <c r="Y1172" s="8" t="n">
        <v>-7078</v>
      </c>
      <c r="Z1172" s="8" t="n">
        <v>-15623</v>
      </c>
      <c r="AA1172" s="9" t="n">
        <v>56885</v>
      </c>
      <c r="AB1172" s="10" t="n">
        <v>6354</v>
      </c>
      <c r="AC1172" s="10" t="n">
        <v>207546</v>
      </c>
      <c r="AD1172" s="7" t="n">
        <v>29186</v>
      </c>
      <c r="AE1172" s="8" t="n">
        <v>-7475</v>
      </c>
      <c r="AF1172" s="8" t="n">
        <v>-62016</v>
      </c>
      <c r="AG1172" s="9" t="n">
        <v>13752</v>
      </c>
      <c r="AH1172" s="10" t="n">
        <v>-8566</v>
      </c>
      <c r="AI1172" s="10" t="n">
        <v>3129</v>
      </c>
      <c r="AJ1172" s="11" t="n">
        <v>28807</v>
      </c>
      <c r="AK1172" s="12" t="n">
        <v>-5632</v>
      </c>
      <c r="AL1172" s="12" t="n">
        <v>-2578</v>
      </c>
      <c r="AM1172" s="13" t="n">
        <v>109.5</v>
      </c>
      <c r="AN1172" s="13" t="n">
        <v>21.7</v>
      </c>
      <c r="AO1172" s="13" t="n">
        <v>34.3</v>
      </c>
      <c r="AP1172" s="13" t="n">
        <v>20.4</v>
      </c>
    </row>
    <row r="1173">
      <c r="A1173" s="5" t="inlineStr">
        <is>
          <t>디지털대성</t>
        </is>
      </c>
      <c r="B1173" s="6" t="inlineStr">
        <is>
          <t>068930</t>
        </is>
      </c>
      <c r="C1173" s="6" t="inlineStr">
        <is>
          <t>연결</t>
        </is>
      </c>
      <c r="D1173" s="6" t="inlineStr">
        <is>
          <t>2026Q2</t>
        </is>
      </c>
      <c r="E1173" s="6" t="inlineStr"/>
      <c r="F1173" s="7" t="inlineStr"/>
      <c r="G1173" s="8" t="inlineStr"/>
      <c r="H1173" s="8" t="inlineStr"/>
      <c r="I1173" s="9" t="n">
        <v>47178</v>
      </c>
      <c r="J1173" s="10" t="n">
        <v>1224</v>
      </c>
      <c r="K1173" s="10" t="n">
        <v>368</v>
      </c>
      <c r="L1173" s="7" t="n">
        <v>47702</v>
      </c>
      <c r="M1173" s="8" t="n">
        <v>7529</v>
      </c>
      <c r="N1173" s="8" t="n">
        <v>5197</v>
      </c>
      <c r="O1173" s="9" t="n">
        <v>69276</v>
      </c>
      <c r="P1173" s="10" t="n">
        <v>18430</v>
      </c>
      <c r="Q1173" s="10" t="n">
        <v>14664</v>
      </c>
      <c r="R1173" s="7" t="n">
        <v>53566</v>
      </c>
      <c r="S1173" s="8" t="n">
        <v>-3480</v>
      </c>
      <c r="T1173" s="8" t="n">
        <v>-4149</v>
      </c>
      <c r="U1173" s="9" t="n">
        <v>60391</v>
      </c>
      <c r="V1173" s="10" t="n">
        <v>5186</v>
      </c>
      <c r="W1173" s="10" t="n">
        <v>2325</v>
      </c>
      <c r="X1173" s="7" t="n">
        <v>59312</v>
      </c>
      <c r="Y1173" s="8" t="n">
        <v>10078</v>
      </c>
      <c r="Z1173" s="8" t="n">
        <v>8231</v>
      </c>
      <c r="AA1173" s="9" t="n">
        <v>80218</v>
      </c>
      <c r="AB1173" s="10" t="n">
        <v>21219</v>
      </c>
      <c r="AC1173" s="10" t="n">
        <v>18476</v>
      </c>
      <c r="AD1173" s="7" t="n">
        <v>53901</v>
      </c>
      <c r="AE1173" s="8" t="n">
        <v>-4924</v>
      </c>
      <c r="AF1173" s="8" t="n">
        <v>-3407</v>
      </c>
      <c r="AG1173" s="9" t="n">
        <v>69787</v>
      </c>
      <c r="AH1173" s="10" t="n">
        <v>10160</v>
      </c>
      <c r="AI1173" s="10" t="n">
        <v>7119</v>
      </c>
      <c r="AJ1173" s="11" t="n">
        <v>69025</v>
      </c>
      <c r="AK1173" s="12" t="n">
        <v>15111</v>
      </c>
      <c r="AL1173" s="12" t="n">
        <v>20130</v>
      </c>
      <c r="AM1173" s="13" t="n">
        <v>-1.1</v>
      </c>
      <c r="AN1173" s="13" t="n">
        <v>16.4</v>
      </c>
      <c r="AO1173" s="13" t="n">
        <v>48.7</v>
      </c>
      <c r="AP1173" s="13" t="n">
        <v>49.9</v>
      </c>
    </row>
    <row r="1174">
      <c r="A1174" s="5" t="inlineStr">
        <is>
          <t>셀피글로벌</t>
        </is>
      </c>
      <c r="B1174" s="6" t="inlineStr">
        <is>
          <t>068940</t>
        </is>
      </c>
      <c r="C1174" s="6" t="inlineStr">
        <is>
          <t>연결</t>
        </is>
      </c>
      <c r="D1174" s="6" t="inlineStr">
        <is>
          <t>2026Q2</t>
        </is>
      </c>
      <c r="E1174" s="6" t="inlineStr"/>
      <c r="F1174" s="7" t="inlineStr"/>
      <c r="G1174" s="8" t="inlineStr"/>
      <c r="H1174" s="8" t="inlineStr"/>
      <c r="I1174" s="9" t="n">
        <v>6887</v>
      </c>
      <c r="J1174" s="10" t="n">
        <v>-726</v>
      </c>
      <c r="K1174" s="10" t="n">
        <v>-395</v>
      </c>
      <c r="L1174" s="7" t="n">
        <v>10320</v>
      </c>
      <c r="M1174" s="8" t="n">
        <v>402</v>
      </c>
      <c r="N1174" s="8" t="n">
        <v>563</v>
      </c>
      <c r="O1174" s="9" t="n">
        <v>8991</v>
      </c>
      <c r="P1174" s="10" t="n">
        <v>210</v>
      </c>
      <c r="Q1174" s="10" t="n">
        <v>-171</v>
      </c>
      <c r="R1174" s="7" t="n">
        <v>7515</v>
      </c>
      <c r="S1174" s="8" t="n">
        <v>-1593</v>
      </c>
      <c r="T1174" s="8" t="n">
        <v>-1822</v>
      </c>
      <c r="U1174" s="9" t="n">
        <v>6728</v>
      </c>
      <c r="V1174" s="10" t="n">
        <v>-1823</v>
      </c>
      <c r="W1174" s="10" t="n">
        <v>-2030</v>
      </c>
      <c r="X1174" s="7" t="n">
        <v>9385</v>
      </c>
      <c r="Y1174" s="8" t="n">
        <v>-274</v>
      </c>
      <c r="Z1174" s="8" t="n">
        <v>-312</v>
      </c>
      <c r="AA1174" s="9" t="n">
        <v>8262</v>
      </c>
      <c r="AB1174" s="10" t="n">
        <v>-1681</v>
      </c>
      <c r="AC1174" s="10" t="n">
        <v>-4112</v>
      </c>
      <c r="AD1174" s="7" t="n">
        <v>11131</v>
      </c>
      <c r="AE1174" s="8" t="n">
        <v>350</v>
      </c>
      <c r="AF1174" s="8" t="n">
        <v>-4113</v>
      </c>
      <c r="AG1174" s="9" t="n">
        <v>8780</v>
      </c>
      <c r="AH1174" s="10" t="n">
        <v>-1829</v>
      </c>
      <c r="AI1174" s="10" t="n">
        <v>-1916</v>
      </c>
      <c r="AJ1174" s="11" t="n">
        <v>9586</v>
      </c>
      <c r="AK1174" s="12" t="n">
        <v>-786</v>
      </c>
      <c r="AL1174" s="12" t="n">
        <v>-727</v>
      </c>
      <c r="AM1174" s="13" t="n">
        <v>9.199999999999999</v>
      </c>
      <c r="AN1174" s="13" t="n">
        <v>2.1</v>
      </c>
      <c r="AO1174" s="13" t="n">
        <v>57</v>
      </c>
      <c r="AP1174" s="13" t="n">
        <v>-186.9</v>
      </c>
    </row>
    <row r="1175">
      <c r="A1175" s="5" t="inlineStr">
        <is>
          <t>웹젠</t>
        </is>
      </c>
      <c r="B1175" s="6" t="inlineStr">
        <is>
          <t>069080</t>
        </is>
      </c>
      <c r="C1175" s="6" t="inlineStr">
        <is>
          <t>연결</t>
        </is>
      </c>
      <c r="D1175" s="6" t="inlineStr">
        <is>
          <t>2026Q2</t>
        </is>
      </c>
      <c r="E1175" s="6" t="inlineStr">
        <is>
          <t>2023Q4</t>
        </is>
      </c>
      <c r="F1175" s="14" t="n">
        <v>70651</v>
      </c>
      <c r="G1175" s="15" t="n">
        <v>18267</v>
      </c>
      <c r="H1175" s="15" t="n">
        <v>20516</v>
      </c>
      <c r="I1175" s="9" t="n">
        <v>61470</v>
      </c>
      <c r="J1175" s="10" t="n">
        <v>17989</v>
      </c>
      <c r="K1175" s="10" t="n">
        <v>20648</v>
      </c>
      <c r="L1175" s="7" t="n">
        <v>48047</v>
      </c>
      <c r="M1175" s="8" t="n">
        <v>11802</v>
      </c>
      <c r="N1175" s="8" t="n">
        <v>13919</v>
      </c>
      <c r="O1175" s="9" t="n">
        <v>49160</v>
      </c>
      <c r="P1175" s="10" t="n">
        <v>9626</v>
      </c>
      <c r="Q1175" s="10" t="n">
        <v>10067</v>
      </c>
      <c r="R1175" s="7" t="n">
        <v>56070</v>
      </c>
      <c r="S1175" s="8" t="n">
        <v>15136</v>
      </c>
      <c r="T1175" s="8" t="n">
        <v>12118</v>
      </c>
      <c r="U1175" s="9" t="n">
        <v>41554</v>
      </c>
      <c r="V1175" s="10" t="n">
        <v>8903</v>
      </c>
      <c r="W1175" s="10" t="n">
        <v>1268</v>
      </c>
      <c r="X1175" s="7" t="n">
        <v>39111</v>
      </c>
      <c r="Y1175" s="8" t="n">
        <v>6173</v>
      </c>
      <c r="Z1175" s="8" t="n">
        <v>6739</v>
      </c>
      <c r="AA1175" s="9" t="n">
        <v>43833</v>
      </c>
      <c r="AB1175" s="10" t="n">
        <v>7633</v>
      </c>
      <c r="AC1175" s="10" t="n">
        <v>8755</v>
      </c>
      <c r="AD1175" s="7" t="n">
        <v>49939</v>
      </c>
      <c r="AE1175" s="8" t="n">
        <v>7019</v>
      </c>
      <c r="AF1175" s="8" t="n">
        <v>6772</v>
      </c>
      <c r="AG1175" s="9" t="n">
        <v>39373</v>
      </c>
      <c r="AH1175" s="10" t="n">
        <v>5378</v>
      </c>
      <c r="AI1175" s="10" t="n">
        <v>8829</v>
      </c>
      <c r="AJ1175" s="11" t="n">
        <v>38009</v>
      </c>
      <c r="AK1175" s="12" t="n">
        <v>5657</v>
      </c>
      <c r="AL1175" s="12" t="n">
        <v>6308</v>
      </c>
      <c r="AM1175" s="13" t="n">
        <v>-3.5</v>
      </c>
      <c r="AN1175" s="13" t="n">
        <v>-2.8</v>
      </c>
      <c r="AO1175" s="13" t="n">
        <v>5.2</v>
      </c>
      <c r="AP1175" s="13" t="n">
        <v>-8.4</v>
      </c>
    </row>
    <row r="1176">
      <c r="A1176" s="5" t="inlineStr">
        <is>
          <t>누리플랜</t>
        </is>
      </c>
      <c r="B1176" s="6" t="inlineStr">
        <is>
          <t>069140</t>
        </is>
      </c>
      <c r="C1176" s="6" t="inlineStr">
        <is>
          <t>연결</t>
        </is>
      </c>
      <c r="D1176" s="6" t="inlineStr">
        <is>
          <t>2026Q2</t>
        </is>
      </c>
      <c r="E1176" s="6" t="inlineStr"/>
      <c r="F1176" s="7" t="inlineStr"/>
      <c r="G1176" s="8" t="inlineStr"/>
      <c r="H1176" s="8" t="inlineStr"/>
      <c r="I1176" s="9" t="n">
        <v>31561</v>
      </c>
      <c r="J1176" s="10" t="n">
        <v>2715</v>
      </c>
      <c r="K1176" s="10" t="n">
        <v>1944</v>
      </c>
      <c r="L1176" s="7" t="n">
        <v>25062</v>
      </c>
      <c r="M1176" s="8" t="n">
        <v>-1018</v>
      </c>
      <c r="N1176" s="8" t="n">
        <v>118</v>
      </c>
      <c r="O1176" s="9" t="n">
        <v>24679</v>
      </c>
      <c r="P1176" s="10" t="n">
        <v>69</v>
      </c>
      <c r="Q1176" s="10" t="n">
        <v>-1043</v>
      </c>
      <c r="R1176" s="7" t="n">
        <v>34757</v>
      </c>
      <c r="S1176" s="8" t="n">
        <v>2364</v>
      </c>
      <c r="T1176" s="8" t="n">
        <v>1008</v>
      </c>
      <c r="U1176" s="9" t="n">
        <v>23445</v>
      </c>
      <c r="V1176" s="10" t="n">
        <v>449</v>
      </c>
      <c r="W1176" s="10" t="n">
        <v>-354</v>
      </c>
      <c r="X1176" s="7" t="n">
        <v>32986</v>
      </c>
      <c r="Y1176" s="8" t="n">
        <v>5673</v>
      </c>
      <c r="Z1176" s="8" t="n">
        <v>4651</v>
      </c>
      <c r="AA1176" s="9" t="n">
        <v>31135</v>
      </c>
      <c r="AB1176" s="10" t="n">
        <v>3341</v>
      </c>
      <c r="AC1176" s="10" t="n">
        <v>2959</v>
      </c>
      <c r="AD1176" s="7" t="n">
        <v>30069</v>
      </c>
      <c r="AE1176" s="8" t="n">
        <v>-4642</v>
      </c>
      <c r="AF1176" s="8" t="n">
        <v>-5889</v>
      </c>
      <c r="AG1176" s="9" t="n">
        <v>27218</v>
      </c>
      <c r="AH1176" s="10" t="n">
        <v>1717</v>
      </c>
      <c r="AI1176" s="10" t="n">
        <v>1134</v>
      </c>
      <c r="AJ1176" s="11" t="n">
        <v>34976</v>
      </c>
      <c r="AK1176" s="12" t="n">
        <v>3748</v>
      </c>
      <c r="AL1176" s="12" t="n">
        <v>3859</v>
      </c>
      <c r="AM1176" s="13" t="n">
        <v>28.5</v>
      </c>
      <c r="AN1176" s="13" t="n">
        <v>6</v>
      </c>
      <c r="AO1176" s="13" t="n">
        <v>118.3</v>
      </c>
      <c r="AP1176" s="13" t="n">
        <v>-33.9</v>
      </c>
    </row>
    <row r="1177">
      <c r="A1177" s="5" t="inlineStr">
        <is>
          <t>티케이지휴켐스</t>
        </is>
      </c>
      <c r="B1177" s="6" t="inlineStr">
        <is>
          <t>069260</t>
        </is>
      </c>
      <c r="C1177" s="6" t="inlineStr">
        <is>
          <t>연결</t>
        </is>
      </c>
      <c r="D1177" s="6" t="inlineStr">
        <is>
          <t>2026Q2</t>
        </is>
      </c>
      <c r="E1177" s="6" t="inlineStr">
        <is>
          <t>2023Q4</t>
        </is>
      </c>
      <c r="F1177" s="14" t="n">
        <v>221201</v>
      </c>
      <c r="G1177" s="15" t="n">
        <v>-1563</v>
      </c>
      <c r="H1177" s="15" t="n">
        <v>20049</v>
      </c>
      <c r="I1177" s="9" t="n">
        <v>300814</v>
      </c>
      <c r="J1177" s="10" t="n">
        <v>31537</v>
      </c>
      <c r="K1177" s="10" t="n">
        <v>30384</v>
      </c>
      <c r="L1177" s="7" t="n">
        <v>280723</v>
      </c>
      <c r="M1177" s="8" t="n">
        <v>21485</v>
      </c>
      <c r="N1177" s="8" t="n">
        <v>21411</v>
      </c>
      <c r="O1177" s="9" t="n">
        <v>294769</v>
      </c>
      <c r="P1177" s="10" t="n">
        <v>19560</v>
      </c>
      <c r="Q1177" s="10" t="n">
        <v>18005</v>
      </c>
      <c r="R1177" s="7" t="n">
        <v>311933</v>
      </c>
      <c r="S1177" s="8" t="n">
        <v>8220</v>
      </c>
      <c r="T1177" s="8" t="n">
        <v>7651</v>
      </c>
      <c r="U1177" s="9" t="n">
        <v>269267</v>
      </c>
      <c r="V1177" s="10" t="n">
        <v>12619</v>
      </c>
      <c r="W1177" s="10" t="n">
        <v>13969</v>
      </c>
      <c r="X1177" s="7" t="n">
        <v>290204</v>
      </c>
      <c r="Y1177" s="8" t="n">
        <v>21990</v>
      </c>
      <c r="Z1177" s="8" t="n">
        <v>18062</v>
      </c>
      <c r="AA1177" s="9" t="n">
        <v>291740</v>
      </c>
      <c r="AB1177" s="10" t="n">
        <v>26397</v>
      </c>
      <c r="AC1177" s="10" t="n">
        <v>28298</v>
      </c>
      <c r="AD1177" s="7" t="n">
        <v>276480</v>
      </c>
      <c r="AE1177" s="8" t="n">
        <v>4609</v>
      </c>
      <c r="AF1177" s="8" t="n">
        <v>-1121</v>
      </c>
      <c r="AG1177" s="9" t="n">
        <v>294894</v>
      </c>
      <c r="AH1177" s="10" t="n">
        <v>15195</v>
      </c>
      <c r="AI1177" s="10" t="n">
        <v>13331</v>
      </c>
      <c r="AJ1177" s="11" t="n">
        <v>397199</v>
      </c>
      <c r="AK1177" s="12" t="n">
        <v>32818</v>
      </c>
      <c r="AL1177" s="12" t="n">
        <v>22288</v>
      </c>
      <c r="AM1177" s="13" t="n">
        <v>34.7</v>
      </c>
      <c r="AN1177" s="13" t="n">
        <v>36.9</v>
      </c>
      <c r="AO1177" s="13" t="n">
        <v>116</v>
      </c>
      <c r="AP1177" s="13" t="n">
        <v>49.2</v>
      </c>
    </row>
    <row r="1178">
      <c r="A1178" s="5" t="inlineStr">
        <is>
          <t>유아이디</t>
        </is>
      </c>
      <c r="B1178" s="6" t="inlineStr">
        <is>
          <t>069330</t>
        </is>
      </c>
      <c r="C1178" s="6" t="inlineStr">
        <is>
          <t>연결</t>
        </is>
      </c>
      <c r="D1178" s="6" t="inlineStr">
        <is>
          <t>2026Q2</t>
        </is>
      </c>
      <c r="E1178" s="6" t="inlineStr"/>
      <c r="F1178" s="7" t="inlineStr"/>
      <c r="G1178" s="8" t="inlineStr"/>
      <c r="H1178" s="8" t="inlineStr"/>
      <c r="I1178" s="9" t="n">
        <v>14837</v>
      </c>
      <c r="J1178" s="10" t="n">
        <v>155</v>
      </c>
      <c r="K1178" s="10" t="n">
        <v>170</v>
      </c>
      <c r="L1178" s="7" t="n">
        <v>14055</v>
      </c>
      <c r="M1178" s="8" t="n">
        <v>486</v>
      </c>
      <c r="N1178" s="8" t="inlineStr"/>
      <c r="O1178" s="9" t="n">
        <v>12955</v>
      </c>
      <c r="P1178" s="10" t="n">
        <v>-334</v>
      </c>
      <c r="Q1178" s="10" t="n">
        <v>-260</v>
      </c>
      <c r="R1178" s="7" t="n">
        <v>11711</v>
      </c>
      <c r="S1178" s="8" t="n">
        <v>-63</v>
      </c>
      <c r="T1178" s="8" t="inlineStr"/>
      <c r="U1178" s="9" t="n">
        <v>12168</v>
      </c>
      <c r="V1178" s="10" t="n">
        <v>-192</v>
      </c>
      <c r="W1178" s="10" t="n">
        <v>-208</v>
      </c>
      <c r="X1178" s="7" t="n">
        <v>13195</v>
      </c>
      <c r="Y1178" s="8" t="n">
        <v>103</v>
      </c>
      <c r="Z1178" s="8" t="n">
        <v>-251</v>
      </c>
      <c r="AA1178" s="9" t="n">
        <v>12146</v>
      </c>
      <c r="AB1178" s="10" t="n">
        <v>664</v>
      </c>
      <c r="AC1178" s="10" t="n">
        <v>862</v>
      </c>
      <c r="AD1178" s="7" t="n">
        <v>12182</v>
      </c>
      <c r="AE1178" s="8" t="n">
        <v>727</v>
      </c>
      <c r="AF1178" s="8" t="n">
        <v>883</v>
      </c>
      <c r="AG1178" s="9" t="n">
        <v>15561</v>
      </c>
      <c r="AH1178" s="10" t="n">
        <v>3487</v>
      </c>
      <c r="AI1178" s="10" t="n">
        <v>3731</v>
      </c>
      <c r="AJ1178" s="11" t="n">
        <v>12469</v>
      </c>
      <c r="AK1178" s="12" t="n">
        <v>-740</v>
      </c>
      <c r="AL1178" s="12" t="n">
        <v>-538</v>
      </c>
      <c r="AM1178" s="13" t="n">
        <v>-19.9</v>
      </c>
      <c r="AN1178" s="13" t="n">
        <v>-5.5</v>
      </c>
      <c r="AO1178" s="13" t="n">
        <v>-121.2</v>
      </c>
      <c r="AP1178" s="13" t="n">
        <v>-818.4</v>
      </c>
    </row>
    <row r="1179">
      <c r="A1179" s="5" t="inlineStr">
        <is>
          <t>엔텔스</t>
        </is>
      </c>
      <c r="B1179" s="6" t="inlineStr">
        <is>
          <t>069410</t>
        </is>
      </c>
      <c r="C1179" s="6" t="inlineStr">
        <is>
          <t>연결</t>
        </is>
      </c>
      <c r="D1179" s="6" t="inlineStr">
        <is>
          <t>2026Q2</t>
        </is>
      </c>
      <c r="E1179" s="6" t="inlineStr">
        <is>
          <t>2023Q4</t>
        </is>
      </c>
      <c r="F1179" s="14" t="n">
        <v>15593</v>
      </c>
      <c r="G1179" s="15" t="n">
        <v>1406</v>
      </c>
      <c r="H1179" s="15" t="n">
        <v>1675</v>
      </c>
      <c r="I1179" s="9" t="n">
        <v>7812</v>
      </c>
      <c r="J1179" s="10" t="n">
        <v>-2352</v>
      </c>
      <c r="K1179" s="10" t="n">
        <v>-1446</v>
      </c>
      <c r="L1179" s="7" t="n">
        <v>8681</v>
      </c>
      <c r="M1179" s="8" t="n">
        <v>-1675</v>
      </c>
      <c r="N1179" s="8" t="n">
        <v>-1036</v>
      </c>
      <c r="O1179" s="9" t="n">
        <v>12782</v>
      </c>
      <c r="P1179" s="10" t="n">
        <v>335</v>
      </c>
      <c r="Q1179" s="10" t="n">
        <v>153</v>
      </c>
      <c r="R1179" s="7" t="n">
        <v>18604</v>
      </c>
      <c r="S1179" s="8" t="n">
        <v>3449</v>
      </c>
      <c r="T1179" s="8" t="n">
        <v>3594</v>
      </c>
      <c r="U1179" s="9" t="n">
        <v>14616</v>
      </c>
      <c r="V1179" s="10" t="n">
        <v>420</v>
      </c>
      <c r="W1179" s="10" t="n">
        <v>746</v>
      </c>
      <c r="X1179" s="7" t="n">
        <v>14914</v>
      </c>
      <c r="Y1179" s="8" t="n">
        <v>508</v>
      </c>
      <c r="Z1179" s="8" t="n">
        <v>589</v>
      </c>
      <c r="AA1179" s="9" t="n">
        <v>17117</v>
      </c>
      <c r="AB1179" s="10" t="n">
        <v>513</v>
      </c>
      <c r="AC1179" s="10" t="n">
        <v>936</v>
      </c>
      <c r="AD1179" s="7" t="n">
        <v>20114</v>
      </c>
      <c r="AE1179" s="8" t="n">
        <v>721</v>
      </c>
      <c r="AF1179" s="8" t="n">
        <v>891</v>
      </c>
      <c r="AG1179" s="9" t="n">
        <v>15996</v>
      </c>
      <c r="AH1179" s="10" t="n">
        <v>146</v>
      </c>
      <c r="AI1179" s="10" t="n">
        <v>626</v>
      </c>
      <c r="AJ1179" s="11" t="n">
        <v>18282</v>
      </c>
      <c r="AK1179" s="12" t="n">
        <v>21</v>
      </c>
      <c r="AL1179" s="12" t="n">
        <v>366</v>
      </c>
      <c r="AM1179" s="13" t="n">
        <v>14.3</v>
      </c>
      <c r="AN1179" s="13" t="n">
        <v>22.6</v>
      </c>
      <c r="AO1179" s="13" t="n">
        <v>-85.59999999999999</v>
      </c>
      <c r="AP1179" s="13" t="n">
        <v>-95.90000000000001</v>
      </c>
    </row>
    <row r="1180">
      <c r="A1180" s="5" t="inlineStr">
        <is>
          <t>대호에이엘</t>
        </is>
      </c>
      <c r="B1180" s="6" t="inlineStr">
        <is>
          <t>069460</t>
        </is>
      </c>
      <c r="C1180" s="6" t="inlineStr">
        <is>
          <t>연결</t>
        </is>
      </c>
      <c r="D1180" s="6" t="inlineStr">
        <is>
          <t>2026Q2</t>
        </is>
      </c>
      <c r="E1180" s="6" t="inlineStr"/>
      <c r="F1180" s="7" t="inlineStr"/>
      <c r="G1180" s="8" t="inlineStr"/>
      <c r="H1180" s="8" t="inlineStr"/>
      <c r="I1180" s="9" t="n">
        <v>40837</v>
      </c>
      <c r="J1180" s="10" t="n">
        <v>1702</v>
      </c>
      <c r="K1180" s="10" t="n">
        <v>407</v>
      </c>
      <c r="L1180" s="7" t="n">
        <v>45582</v>
      </c>
      <c r="M1180" s="8" t="n">
        <v>1486</v>
      </c>
      <c r="N1180" s="8" t="n">
        <v>131</v>
      </c>
      <c r="O1180" s="9" t="n">
        <v>39612</v>
      </c>
      <c r="P1180" s="10" t="n">
        <v>975</v>
      </c>
      <c r="Q1180" s="10" t="n">
        <v>1476</v>
      </c>
      <c r="R1180" s="7" t="n">
        <v>42502</v>
      </c>
      <c r="S1180" s="8" t="n">
        <v>1664</v>
      </c>
      <c r="T1180" s="8" t="n">
        <v>-619</v>
      </c>
      <c r="U1180" s="9" t="n">
        <v>52059</v>
      </c>
      <c r="V1180" s="10" t="n">
        <v>4589</v>
      </c>
      <c r="W1180" s="10" t="n">
        <v>4064</v>
      </c>
      <c r="X1180" s="7" t="n">
        <v>50136</v>
      </c>
      <c r="Y1180" s="8" t="n">
        <v>3998</v>
      </c>
      <c r="Z1180" s="8" t="n">
        <v>3517</v>
      </c>
      <c r="AA1180" s="9" t="n">
        <v>59069</v>
      </c>
      <c r="AB1180" s="10" t="n">
        <v>-3042</v>
      </c>
      <c r="AC1180" s="10" t="n">
        <v>-3662</v>
      </c>
      <c r="AD1180" s="7" t="n">
        <v>54378</v>
      </c>
      <c r="AE1180" s="8" t="n">
        <v>-2073</v>
      </c>
      <c r="AF1180" s="8" t="n">
        <v>-36418</v>
      </c>
      <c r="AG1180" s="9" t="n">
        <v>65446</v>
      </c>
      <c r="AH1180" s="10" t="n">
        <v>1740</v>
      </c>
      <c r="AI1180" s="10" t="n">
        <v>-7639</v>
      </c>
      <c r="AJ1180" s="11" t="n">
        <v>71141</v>
      </c>
      <c r="AK1180" s="12" t="n">
        <v>1867</v>
      </c>
      <c r="AL1180" s="12" t="n">
        <v>-2948</v>
      </c>
      <c r="AM1180" s="13" t="n">
        <v>8.699999999999999</v>
      </c>
      <c r="AN1180" s="13" t="n">
        <v>41.9</v>
      </c>
      <c r="AO1180" s="13" t="n">
        <v>7.3</v>
      </c>
      <c r="AP1180" s="13" t="n">
        <v>-53.3</v>
      </c>
    </row>
    <row r="1181">
      <c r="A1181" s="5" t="inlineStr">
        <is>
          <t>에스텍</t>
        </is>
      </c>
      <c r="B1181" s="6" t="inlineStr">
        <is>
          <t>069510</t>
        </is>
      </c>
      <c r="C1181" s="6" t="inlineStr">
        <is>
          <t>연결</t>
        </is>
      </c>
      <c r="D1181" s="6" t="inlineStr">
        <is>
          <t>2026Q2</t>
        </is>
      </c>
      <c r="E1181" s="6" t="inlineStr"/>
      <c r="F1181" s="7" t="inlineStr"/>
      <c r="G1181" s="8" t="inlineStr"/>
      <c r="H1181" s="8" t="inlineStr"/>
      <c r="I1181" s="9" t="n">
        <v>101219</v>
      </c>
      <c r="J1181" s="10" t="n">
        <v>8693</v>
      </c>
      <c r="K1181" s="10" t="n">
        <v>9110</v>
      </c>
      <c r="L1181" s="7" t="n">
        <v>123510</v>
      </c>
      <c r="M1181" s="8" t="n">
        <v>15849</v>
      </c>
      <c r="N1181" s="8" t="n">
        <v>16464</v>
      </c>
      <c r="O1181" s="9" t="n">
        <v>153373</v>
      </c>
      <c r="P1181" s="10" t="n">
        <v>15412</v>
      </c>
      <c r="Q1181" s="10" t="n">
        <v>10600</v>
      </c>
      <c r="R1181" s="7" t="n">
        <v>131272</v>
      </c>
      <c r="S1181" s="8" t="n">
        <v>4028</v>
      </c>
      <c r="T1181" s="8" t="n">
        <v>10093</v>
      </c>
      <c r="U1181" s="9" t="n">
        <v>119358</v>
      </c>
      <c r="V1181" s="10" t="n">
        <v>12033</v>
      </c>
      <c r="W1181" s="10" t="n">
        <v>10756</v>
      </c>
      <c r="X1181" s="7" t="n">
        <v>118341</v>
      </c>
      <c r="Y1181" s="8" t="n">
        <v>14928</v>
      </c>
      <c r="Z1181" s="8" t="n">
        <v>8149</v>
      </c>
      <c r="AA1181" s="9" t="n">
        <v>114295</v>
      </c>
      <c r="AB1181" s="10" t="n">
        <v>9287</v>
      </c>
      <c r="AC1181" s="10" t="n">
        <v>11755</v>
      </c>
      <c r="AD1181" s="7" t="n">
        <v>116198</v>
      </c>
      <c r="AE1181" s="8" t="n">
        <v>9568</v>
      </c>
      <c r="AF1181" s="8" t="n">
        <v>10963</v>
      </c>
      <c r="AG1181" s="9" t="n">
        <v>105188</v>
      </c>
      <c r="AH1181" s="10" t="n">
        <v>5322</v>
      </c>
      <c r="AI1181" s="10" t="n">
        <v>7912</v>
      </c>
      <c r="AJ1181" s="11" t="n">
        <v>127106</v>
      </c>
      <c r="AK1181" s="12" t="n">
        <v>12543</v>
      </c>
      <c r="AL1181" s="12" t="n">
        <v>12602</v>
      </c>
      <c r="AM1181" s="13" t="n">
        <v>20.8</v>
      </c>
      <c r="AN1181" s="13" t="n">
        <v>7.4</v>
      </c>
      <c r="AO1181" s="13" t="n">
        <v>135.7</v>
      </c>
      <c r="AP1181" s="13" t="n">
        <v>-16</v>
      </c>
    </row>
    <row r="1182">
      <c r="A1182" s="5" t="inlineStr">
        <is>
          <t>빛과전자</t>
        </is>
      </c>
      <c r="B1182" s="6" t="inlineStr">
        <is>
          <t>069540</t>
        </is>
      </c>
      <c r="C1182" s="6" t="inlineStr">
        <is>
          <t>연결</t>
        </is>
      </c>
      <c r="D1182" s="6" t="inlineStr">
        <is>
          <t>2026Q2</t>
        </is>
      </c>
      <c r="E1182" s="6" t="inlineStr"/>
      <c r="F1182" s="7" t="inlineStr"/>
      <c r="G1182" s="8" t="inlineStr"/>
      <c r="H1182" s="8" t="inlineStr"/>
      <c r="I1182" s="9" t="n">
        <v>3808</v>
      </c>
      <c r="J1182" s="10" t="n">
        <v>-2373</v>
      </c>
      <c r="K1182" s="10" t="n">
        <v>-2492</v>
      </c>
      <c r="L1182" s="7" t="n">
        <v>5225</v>
      </c>
      <c r="M1182" s="8" t="n">
        <v>-3144</v>
      </c>
      <c r="N1182" s="8" t="n">
        <v>-5712</v>
      </c>
      <c r="O1182" s="9" t="n">
        <v>3146</v>
      </c>
      <c r="P1182" s="10" t="n">
        <v>-2724</v>
      </c>
      <c r="Q1182" s="10" t="n">
        <v>-4117</v>
      </c>
      <c r="R1182" s="7" t="n">
        <v>5954</v>
      </c>
      <c r="S1182" s="8" t="n">
        <v>-2030</v>
      </c>
      <c r="T1182" s="8" t="n">
        <v>-6260</v>
      </c>
      <c r="U1182" s="9" t="n">
        <v>8460</v>
      </c>
      <c r="V1182" s="10" t="n">
        <v>-2261</v>
      </c>
      <c r="W1182" s="10" t="n">
        <v>-1987</v>
      </c>
      <c r="X1182" s="7" t="n">
        <v>7977</v>
      </c>
      <c r="Y1182" s="8" t="n">
        <v>-3693</v>
      </c>
      <c r="Z1182" s="8" t="n">
        <v>-6156</v>
      </c>
      <c r="AA1182" s="9" t="n">
        <v>7623</v>
      </c>
      <c r="AB1182" s="10" t="n">
        <v>-2272</v>
      </c>
      <c r="AC1182" s="10" t="n">
        <v>-1859</v>
      </c>
      <c r="AD1182" s="7" t="n">
        <v>7710</v>
      </c>
      <c r="AE1182" s="8" t="n">
        <v>-8305</v>
      </c>
      <c r="AF1182" s="8" t="n">
        <v>-9649</v>
      </c>
      <c r="AG1182" s="9" t="n">
        <v>8460</v>
      </c>
      <c r="AH1182" s="10" t="n">
        <v>-2261</v>
      </c>
      <c r="AI1182" s="10" t="n">
        <v>-1987</v>
      </c>
      <c r="AJ1182" s="11" t="n">
        <v>4329</v>
      </c>
      <c r="AK1182" s="12" t="n">
        <v>-2078</v>
      </c>
      <c r="AL1182" s="12" t="n">
        <v>1035</v>
      </c>
      <c r="AM1182" s="13" t="n">
        <v>-48.8</v>
      </c>
      <c r="AN1182" s="13" t="n">
        <v>-45.7</v>
      </c>
      <c r="AO1182" s="13" t="n">
        <v>8.1</v>
      </c>
      <c r="AP1182" s="13" t="n">
        <v>43.7</v>
      </c>
    </row>
    <row r="1183">
      <c r="A1183" s="5" t="inlineStr">
        <is>
          <t>대웅제약</t>
        </is>
      </c>
      <c r="B1183" s="6" t="inlineStr">
        <is>
          <t>069620</t>
        </is>
      </c>
      <c r="C1183" s="6" t="inlineStr">
        <is>
          <t>연결</t>
        </is>
      </c>
      <c r="D1183" s="6" t="inlineStr">
        <is>
          <t>2026Q2</t>
        </is>
      </c>
      <c r="E1183" s="6" t="inlineStr">
        <is>
          <t>2023Q4</t>
        </is>
      </c>
      <c r="F1183" s="14" t="n">
        <v>319551</v>
      </c>
      <c r="G1183" s="15" t="n">
        <v>32049</v>
      </c>
      <c r="H1183" s="15" t="n">
        <v>42543</v>
      </c>
      <c r="I1183" s="9" t="n">
        <v>335785</v>
      </c>
      <c r="J1183" s="10" t="n">
        <v>29661</v>
      </c>
      <c r="K1183" s="10" t="n">
        <v>7917</v>
      </c>
      <c r="L1183" s="7" t="n">
        <v>360545</v>
      </c>
      <c r="M1183" s="8" t="n">
        <v>42313</v>
      </c>
      <c r="N1183" s="8" t="n">
        <v>-1322</v>
      </c>
      <c r="O1183" s="9" t="n">
        <v>358473</v>
      </c>
      <c r="P1183" s="10" t="n">
        <v>37275</v>
      </c>
      <c r="Q1183" s="10" t="n">
        <v>28265</v>
      </c>
      <c r="R1183" s="7" t="n">
        <v>367880</v>
      </c>
      <c r="S1183" s="8" t="n">
        <v>38693</v>
      </c>
      <c r="T1183" s="8" t="n">
        <v>-11513</v>
      </c>
      <c r="U1183" s="9" t="n">
        <v>356488</v>
      </c>
      <c r="V1183" s="10" t="n">
        <v>38697</v>
      </c>
      <c r="W1183" s="10" t="n">
        <v>19779</v>
      </c>
      <c r="X1183" s="7" t="n">
        <v>405449</v>
      </c>
      <c r="Y1183" s="8" t="n">
        <v>57856</v>
      </c>
      <c r="Z1183" s="8" t="n">
        <v>40118</v>
      </c>
      <c r="AA1183" s="9" t="n">
        <v>411832</v>
      </c>
      <c r="AB1183" s="10" t="n">
        <v>56893</v>
      </c>
      <c r="AC1183" s="10" t="n">
        <v>47309</v>
      </c>
      <c r="AD1183" s="7" t="n">
        <v>397122</v>
      </c>
      <c r="AE1183" s="8" t="n">
        <v>43336</v>
      </c>
      <c r="AF1183" s="8" t="n">
        <v>85703</v>
      </c>
      <c r="AG1183" s="9" t="n">
        <v>377796</v>
      </c>
      <c r="AH1183" s="10" t="n">
        <v>22208</v>
      </c>
      <c r="AI1183" s="10" t="n">
        <v>25512</v>
      </c>
      <c r="AJ1183" s="11" t="n">
        <v>448464</v>
      </c>
      <c r="AK1183" s="12" t="n">
        <v>68069</v>
      </c>
      <c r="AL1183" s="12" t="n">
        <v>19916</v>
      </c>
      <c r="AM1183" s="13" t="n">
        <v>18.7</v>
      </c>
      <c r="AN1183" s="13" t="n">
        <v>10.6</v>
      </c>
      <c r="AO1183" s="13" t="n">
        <v>206.5</v>
      </c>
      <c r="AP1183" s="13" t="n">
        <v>17.7</v>
      </c>
    </row>
    <row r="1184">
      <c r="A1184" s="5" t="inlineStr">
        <is>
          <t>한세엠케이</t>
        </is>
      </c>
      <c r="B1184" s="6" t="inlineStr">
        <is>
          <t>069640</t>
        </is>
      </c>
      <c r="C1184" s="6" t="inlineStr">
        <is>
          <t>연결</t>
        </is>
      </c>
      <c r="D1184" s="6" t="inlineStr">
        <is>
          <t>2026Q2</t>
        </is>
      </c>
      <c r="E1184" s="6" t="inlineStr"/>
      <c r="F1184" s="7" t="inlineStr"/>
      <c r="G1184" s="8" t="inlineStr"/>
      <c r="H1184" s="8" t="inlineStr"/>
      <c r="I1184" s="9" t="n">
        <v>67342</v>
      </c>
      <c r="J1184" s="10" t="n">
        <v>-175</v>
      </c>
      <c r="K1184" s="10" t="n">
        <v>-1727</v>
      </c>
      <c r="L1184" s="7" t="n">
        <v>65055</v>
      </c>
      <c r="M1184" s="8" t="n">
        <v>-4365</v>
      </c>
      <c r="N1184" s="8" t="n">
        <v>-5771</v>
      </c>
      <c r="O1184" s="9" t="n">
        <v>47677</v>
      </c>
      <c r="P1184" s="10" t="n">
        <v>-8484</v>
      </c>
      <c r="Q1184" s="10" t="n">
        <v>-9893</v>
      </c>
      <c r="R1184" s="7" t="n">
        <v>76200</v>
      </c>
      <c r="S1184" s="8" t="n">
        <v>-8592</v>
      </c>
      <c r="T1184" s="8" t="n">
        <v>-21909</v>
      </c>
      <c r="U1184" s="9" t="n">
        <v>61543</v>
      </c>
      <c r="V1184" s="10" t="n">
        <v>-8119</v>
      </c>
      <c r="W1184" s="10" t="n">
        <v>-10778</v>
      </c>
      <c r="X1184" s="7" t="n">
        <v>60848</v>
      </c>
      <c r="Y1184" s="8" t="n">
        <v>-7219</v>
      </c>
      <c r="Z1184" s="8" t="n">
        <v>-12348</v>
      </c>
      <c r="AA1184" s="9" t="n">
        <v>50943</v>
      </c>
      <c r="AB1184" s="10" t="n">
        <v>-4844</v>
      </c>
      <c r="AC1184" s="10" t="n">
        <v>-6607</v>
      </c>
      <c r="AD1184" s="7" t="n">
        <v>75555</v>
      </c>
      <c r="AE1184" s="8" t="n">
        <v>8043</v>
      </c>
      <c r="AF1184" s="8" t="n">
        <v>-8183</v>
      </c>
      <c r="AG1184" s="9" t="n">
        <v>66020</v>
      </c>
      <c r="AH1184" s="10" t="n">
        <v>374</v>
      </c>
      <c r="AI1184" s="10" t="n">
        <v>-1383</v>
      </c>
      <c r="AJ1184" s="11" t="n">
        <v>61342</v>
      </c>
      <c r="AK1184" s="12" t="n">
        <v>-734</v>
      </c>
      <c r="AL1184" s="12" t="n">
        <v>-3096</v>
      </c>
      <c r="AM1184" s="13" t="n">
        <v>-7.1</v>
      </c>
      <c r="AN1184" s="13" t="n">
        <v>0.8</v>
      </c>
      <c r="AO1184" s="13" t="n">
        <v>-296.3</v>
      </c>
      <c r="AP1184" s="13" t="n">
        <v>89.8</v>
      </c>
    </row>
    <row r="1185">
      <c r="A1185" s="5" t="inlineStr">
        <is>
          <t>DSR제강</t>
        </is>
      </c>
      <c r="B1185" s="6" t="inlineStr">
        <is>
          <t>069730</t>
        </is>
      </c>
      <c r="C1185" s="6" t="inlineStr">
        <is>
          <t>연결</t>
        </is>
      </c>
      <c r="D1185" s="6" t="inlineStr">
        <is>
          <t>2026Q2</t>
        </is>
      </c>
      <c r="E1185" s="6" t="inlineStr"/>
      <c r="F1185" s="7" t="inlineStr"/>
      <c r="G1185" s="8" t="inlineStr"/>
      <c r="H1185" s="8" t="inlineStr"/>
      <c r="I1185" s="9" t="n">
        <v>48825</v>
      </c>
      <c r="J1185" s="10" t="n">
        <v>4652</v>
      </c>
      <c r="K1185" s="10" t="n">
        <v>5946</v>
      </c>
      <c r="L1185" s="7" t="n">
        <v>54735</v>
      </c>
      <c r="M1185" s="8" t="n">
        <v>6371</v>
      </c>
      <c r="N1185" s="8" t="n">
        <v>-41362</v>
      </c>
      <c r="O1185" s="9" t="n">
        <v>54743</v>
      </c>
      <c r="P1185" s="10" t="n">
        <v>2087</v>
      </c>
      <c r="Q1185" s="10" t="n">
        <v>2052</v>
      </c>
      <c r="R1185" s="7" t="n">
        <v>57279</v>
      </c>
      <c r="S1185" s="8" t="n">
        <v>6401</v>
      </c>
      <c r="T1185" s="8" t="n">
        <v>5065</v>
      </c>
      <c r="U1185" s="9" t="n">
        <v>52360</v>
      </c>
      <c r="V1185" s="10" t="n">
        <v>6050</v>
      </c>
      <c r="W1185" s="10" t="n">
        <v>6124</v>
      </c>
      <c r="X1185" s="7" t="n">
        <v>61611</v>
      </c>
      <c r="Y1185" s="8" t="n">
        <v>7724</v>
      </c>
      <c r="Z1185" s="8" t="n">
        <v>6064</v>
      </c>
      <c r="AA1185" s="9" t="n">
        <v>55318</v>
      </c>
      <c r="AB1185" s="10" t="n">
        <v>8392</v>
      </c>
      <c r="AC1185" s="10" t="n">
        <v>5880</v>
      </c>
      <c r="AD1185" s="7" t="n">
        <v>57261</v>
      </c>
      <c r="AE1185" s="8" t="n">
        <v>5869</v>
      </c>
      <c r="AF1185" s="8" t="n">
        <v>6606</v>
      </c>
      <c r="AG1185" s="9" t="n">
        <v>56749</v>
      </c>
      <c r="AH1185" s="10" t="n">
        <v>6570</v>
      </c>
      <c r="AI1185" s="10" t="n">
        <v>9018</v>
      </c>
      <c r="AJ1185" s="11" t="n">
        <v>64084</v>
      </c>
      <c r="AK1185" s="12" t="n">
        <v>7720</v>
      </c>
      <c r="AL1185" s="12" t="n">
        <v>12012</v>
      </c>
      <c r="AM1185" s="13" t="n">
        <v>12.9</v>
      </c>
      <c r="AN1185" s="13" t="n">
        <v>4</v>
      </c>
      <c r="AO1185" s="13" t="n">
        <v>17.5</v>
      </c>
      <c r="AP1185" s="13" t="n">
        <v>-0.1</v>
      </c>
    </row>
    <row r="1186">
      <c r="A1186" s="5" t="inlineStr">
        <is>
          <t>엑시온그룹</t>
        </is>
      </c>
      <c r="B1186" s="6" t="inlineStr">
        <is>
          <t>069920</t>
        </is>
      </c>
      <c r="C1186" s="6" t="inlineStr">
        <is>
          <t>별도</t>
        </is>
      </c>
      <c r="D1186" s="6" t="inlineStr">
        <is>
          <t>2026Q2</t>
        </is>
      </c>
      <c r="E1186" s="6" t="inlineStr"/>
      <c r="F1186" s="7" t="inlineStr"/>
      <c r="G1186" s="8" t="inlineStr"/>
      <c r="H1186" s="8" t="inlineStr"/>
      <c r="I1186" s="9" t="n">
        <v>1041</v>
      </c>
      <c r="J1186" s="10" t="n">
        <v>-2683</v>
      </c>
      <c r="K1186" s="10" t="n">
        <v>-2391</v>
      </c>
      <c r="L1186" s="7" t="n">
        <v>993</v>
      </c>
      <c r="M1186" s="8" t="n">
        <v>-2449</v>
      </c>
      <c r="N1186" s="8" t="n">
        <v>-3770</v>
      </c>
      <c r="O1186" s="9" t="n">
        <v>1337</v>
      </c>
      <c r="P1186" s="10" t="n">
        <v>-2756</v>
      </c>
      <c r="Q1186" s="10" t="n">
        <v>-4418</v>
      </c>
      <c r="R1186" s="7" t="n">
        <v>1454</v>
      </c>
      <c r="S1186" s="8" t="n">
        <v>-2623</v>
      </c>
      <c r="T1186" s="8" t="n">
        <v>-7330</v>
      </c>
      <c r="U1186" s="9" t="n">
        <v>1090</v>
      </c>
      <c r="V1186" s="10" t="n">
        <v>-1949</v>
      </c>
      <c r="W1186" s="10" t="n">
        <v>-2722</v>
      </c>
      <c r="X1186" s="7" t="n">
        <v>821</v>
      </c>
      <c r="Y1186" s="8" t="n">
        <v>-1420</v>
      </c>
      <c r="Z1186" s="8" t="n">
        <v>-3482</v>
      </c>
      <c r="AA1186" s="9" t="n">
        <v>5998</v>
      </c>
      <c r="AB1186" s="10" t="n">
        <v>1126</v>
      </c>
      <c r="AC1186" s="10" t="n">
        <v>2538</v>
      </c>
      <c r="AD1186" s="7" t="n">
        <v>16095</v>
      </c>
      <c r="AE1186" s="8" t="n">
        <v>-3666</v>
      </c>
      <c r="AF1186" s="8" t="n">
        <v>-18740</v>
      </c>
      <c r="AG1186" s="9" t="n">
        <v>21127</v>
      </c>
      <c r="AH1186" s="10" t="n">
        <v>-479</v>
      </c>
      <c r="AI1186" s="10" t="n">
        <v>-205</v>
      </c>
      <c r="AJ1186" s="11" t="n">
        <v>24027</v>
      </c>
      <c r="AK1186" s="12" t="n">
        <v>-674</v>
      </c>
      <c r="AL1186" s="12" t="n">
        <v>-549</v>
      </c>
      <c r="AM1186" s="13" t="n">
        <v>13.7</v>
      </c>
      <c r="AN1186" s="13" t="n">
        <v>2826.6</v>
      </c>
      <c r="AO1186" s="13" t="n">
        <v>-40.7</v>
      </c>
      <c r="AP1186" s="13" t="n">
        <v>52.5</v>
      </c>
    </row>
    <row r="1187">
      <c r="A1187" s="5" t="inlineStr">
        <is>
          <t>현대백화점</t>
        </is>
      </c>
      <c r="B1187" s="6" t="inlineStr">
        <is>
          <t>069960</t>
        </is>
      </c>
      <c r="C1187" s="6" t="inlineStr">
        <is>
          <t>연결</t>
        </is>
      </c>
      <c r="D1187" s="6" t="inlineStr">
        <is>
          <t>2026Q2</t>
        </is>
      </c>
      <c r="E1187" s="6" t="inlineStr">
        <is>
          <t>2023Q4</t>
        </is>
      </c>
      <c r="F1187" s="14" t="n">
        <v>1135300</v>
      </c>
      <c r="G1187" s="15" t="n">
        <v>96000</v>
      </c>
      <c r="H1187" s="15" t="n">
        <v>-198800</v>
      </c>
      <c r="I1187" s="9" t="n">
        <v>951731</v>
      </c>
      <c r="J1187" s="10" t="n">
        <v>68864</v>
      </c>
      <c r="K1187" s="10" t="n">
        <v>70759</v>
      </c>
      <c r="L1187" s="7" t="n">
        <v>1023813</v>
      </c>
      <c r="M1187" s="8" t="n">
        <v>42838</v>
      </c>
      <c r="N1187" s="8" t="n">
        <v>-145436</v>
      </c>
      <c r="O1187" s="9" t="n">
        <v>1036834</v>
      </c>
      <c r="P1187" s="10" t="n">
        <v>64591</v>
      </c>
      <c r="Q1187" s="10" t="n">
        <v>28404</v>
      </c>
      <c r="R1187" s="7" t="n">
        <v>1175236</v>
      </c>
      <c r="S1187" s="8" t="n">
        <v>107749</v>
      </c>
      <c r="T1187" s="8" t="n">
        <v>45519</v>
      </c>
      <c r="U1187" s="9" t="n">
        <v>1098096</v>
      </c>
      <c r="V1187" s="10" t="n">
        <v>112463</v>
      </c>
      <c r="W1187" s="10" t="n">
        <v>88279</v>
      </c>
      <c r="X1187" s="7" t="n">
        <v>1080286</v>
      </c>
      <c r="Y1187" s="8" t="n">
        <v>86873</v>
      </c>
      <c r="Z1187" s="8" t="n">
        <v>54472</v>
      </c>
      <c r="AA1187" s="9" t="n">
        <v>1010253</v>
      </c>
      <c r="AB1187" s="10" t="n">
        <v>72695</v>
      </c>
      <c r="AC1187" s="10" t="n">
        <v>47711</v>
      </c>
      <c r="AD1187" s="7" t="n">
        <v>1041686</v>
      </c>
      <c r="AE1187" s="8" t="n">
        <v>105917</v>
      </c>
      <c r="AF1187" s="8" t="n">
        <v>-48933</v>
      </c>
      <c r="AG1187" s="9" t="n">
        <v>950062</v>
      </c>
      <c r="AH1187" s="10" t="n">
        <v>98785</v>
      </c>
      <c r="AI1187" s="10" t="n">
        <v>64912</v>
      </c>
      <c r="AJ1187" s="11" t="n">
        <v>1068053</v>
      </c>
      <c r="AK1187" s="12" t="n">
        <v>79319</v>
      </c>
      <c r="AL1187" s="12" t="n">
        <v>60830</v>
      </c>
      <c r="AM1187" s="13" t="n">
        <v>12.4</v>
      </c>
      <c r="AN1187" s="13" t="n">
        <v>-1.1</v>
      </c>
      <c r="AO1187" s="13" t="n">
        <v>-19.7</v>
      </c>
      <c r="AP1187" s="13" t="n">
        <v>-8.699999999999999</v>
      </c>
    </row>
    <row r="1188">
      <c r="A1188" s="5" t="inlineStr">
        <is>
          <t>엑스큐어</t>
        </is>
      </c>
      <c r="B1188" s="6" t="inlineStr">
        <is>
          <t>070300</t>
        </is>
      </c>
      <c r="C1188" s="6" t="inlineStr">
        <is>
          <t>연결</t>
        </is>
      </c>
      <c r="D1188" s="6" t="inlineStr">
        <is>
          <t>2026Q2</t>
        </is>
      </c>
      <c r="E1188" s="6" t="inlineStr"/>
      <c r="F1188" s="7" t="inlineStr"/>
      <c r="G1188" s="8" t="inlineStr"/>
      <c r="H1188" s="8" t="inlineStr"/>
      <c r="I1188" s="9" t="n">
        <v>15084</v>
      </c>
      <c r="J1188" s="10" t="n">
        <v>83</v>
      </c>
      <c r="K1188" s="10" t="n">
        <v>348</v>
      </c>
      <c r="L1188" s="7" t="n">
        <v>17137</v>
      </c>
      <c r="M1188" s="8" t="n">
        <v>-91</v>
      </c>
      <c r="N1188" s="8" t="n">
        <v>-591</v>
      </c>
      <c r="O1188" s="9" t="n">
        <v>11323</v>
      </c>
      <c r="P1188" s="10" t="n">
        <v>-1117</v>
      </c>
      <c r="Q1188" s="10" t="n">
        <v>-2042</v>
      </c>
      <c r="R1188" s="7" t="n">
        <v>-32797</v>
      </c>
      <c r="S1188" s="8" t="n">
        <v>-1052</v>
      </c>
      <c r="T1188" s="8" t="n">
        <v>-14005</v>
      </c>
      <c r="U1188" s="9" t="n">
        <v>2903</v>
      </c>
      <c r="V1188" s="10" t="n">
        <v>-70</v>
      </c>
      <c r="W1188" s="10" t="n">
        <v>2282</v>
      </c>
      <c r="X1188" s="7" t="n">
        <v>5217</v>
      </c>
      <c r="Y1188" s="8" t="n">
        <v>1181</v>
      </c>
      <c r="Z1188" s="8" t="n">
        <v>-766</v>
      </c>
      <c r="AA1188" s="9" t="n">
        <v>5617</v>
      </c>
      <c r="AB1188" s="10" t="n">
        <v>1288</v>
      </c>
      <c r="AC1188" s="10" t="n">
        <v>1826</v>
      </c>
      <c r="AD1188" s="7" t="n">
        <v>4800</v>
      </c>
      <c r="AE1188" s="8" t="n">
        <v>-497</v>
      </c>
      <c r="AF1188" s="8" t="n">
        <v>-3840</v>
      </c>
      <c r="AG1188" s="9" t="n">
        <v>1621</v>
      </c>
      <c r="AH1188" s="10" t="n">
        <v>-1928</v>
      </c>
      <c r="AI1188" s="10" t="n">
        <v>-4822</v>
      </c>
      <c r="AJ1188" s="11" t="n">
        <v>2330</v>
      </c>
      <c r="AK1188" s="12" t="n">
        <v>-1548</v>
      </c>
      <c r="AL1188" s="12" t="n">
        <v>-1309</v>
      </c>
      <c r="AM1188" s="13" t="n">
        <v>43.7</v>
      </c>
      <c r="AN1188" s="13" t="n">
        <v>-55.3</v>
      </c>
      <c r="AO1188" s="13" t="n">
        <v>19.7</v>
      </c>
      <c r="AP1188" s="13" t="n">
        <v>-231.1</v>
      </c>
    </row>
    <row r="1189">
      <c r="A1189" s="5" t="inlineStr">
        <is>
          <t>인티큐브</t>
        </is>
      </c>
      <c r="B1189" s="6" t="inlineStr">
        <is>
          <t>070590</t>
        </is>
      </c>
      <c r="C1189" s="6" t="inlineStr">
        <is>
          <t>연결</t>
        </is>
      </c>
      <c r="D1189" s="6" t="inlineStr">
        <is>
          <t>2026Q2</t>
        </is>
      </c>
      <c r="E1189" s="6" t="inlineStr"/>
      <c r="F1189" s="7" t="inlineStr"/>
      <c r="G1189" s="8" t="inlineStr"/>
      <c r="H1189" s="8" t="inlineStr"/>
      <c r="I1189" s="9" t="n">
        <v>9430</v>
      </c>
      <c r="J1189" s="10" t="n">
        <v>-1682</v>
      </c>
      <c r="K1189" s="10" t="n">
        <v>-1374</v>
      </c>
      <c r="L1189" s="7" t="n">
        <v>11140</v>
      </c>
      <c r="M1189" s="8" t="n">
        <v>-980</v>
      </c>
      <c r="N1189" s="8" t="n">
        <v>-1239</v>
      </c>
      <c r="O1189" s="9" t="n">
        <v>12119</v>
      </c>
      <c r="P1189" s="10" t="n">
        <v>-591</v>
      </c>
      <c r="Q1189" s="10" t="n">
        <v>-573</v>
      </c>
      <c r="R1189" s="7" t="n">
        <v>16097</v>
      </c>
      <c r="S1189" s="8" t="n">
        <v>269</v>
      </c>
      <c r="T1189" s="8" t="n">
        <v>5</v>
      </c>
      <c r="U1189" s="9" t="n">
        <v>16883</v>
      </c>
      <c r="V1189" s="10" t="n">
        <v>765</v>
      </c>
      <c r="W1189" s="10" t="n">
        <v>611</v>
      </c>
      <c r="X1189" s="7" t="n">
        <v>19573</v>
      </c>
      <c r="Y1189" s="8" t="n">
        <v>317</v>
      </c>
      <c r="Z1189" s="8" t="n">
        <v>308</v>
      </c>
      <c r="AA1189" s="9" t="n">
        <v>14565</v>
      </c>
      <c r="AB1189" s="10" t="n">
        <v>346</v>
      </c>
      <c r="AC1189" s="10" t="n">
        <v>265</v>
      </c>
      <c r="AD1189" s="7" t="n">
        <v>13797</v>
      </c>
      <c r="AE1189" s="8" t="n">
        <v>-381</v>
      </c>
      <c r="AF1189" s="8" t="n">
        <v>-288</v>
      </c>
      <c r="AG1189" s="9" t="n">
        <v>10437</v>
      </c>
      <c r="AH1189" s="10" t="n">
        <v>-2274</v>
      </c>
      <c r="AI1189" s="10" t="n">
        <v>-2361</v>
      </c>
      <c r="AJ1189" s="11" t="n">
        <v>10728</v>
      </c>
      <c r="AK1189" s="12" t="n">
        <v>-1023</v>
      </c>
      <c r="AL1189" s="12" t="n">
        <v>-934</v>
      </c>
      <c r="AM1189" s="13" t="n">
        <v>2.8</v>
      </c>
      <c r="AN1189" s="13" t="n">
        <v>-45.2</v>
      </c>
      <c r="AO1189" s="13" t="n">
        <v>55</v>
      </c>
      <c r="AP1189" s="13" t="n">
        <v>-422.7</v>
      </c>
    </row>
    <row r="1190">
      <c r="A1190" s="5" t="inlineStr">
        <is>
          <t>모나용평</t>
        </is>
      </c>
      <c r="B1190" s="6" t="inlineStr">
        <is>
          <t>070960</t>
        </is>
      </c>
      <c r="C1190" s="6" t="inlineStr">
        <is>
          <t>연결</t>
        </is>
      </c>
      <c r="D1190" s="6" t="inlineStr">
        <is>
          <t>2026Q2</t>
        </is>
      </c>
      <c r="E1190" s="6" t="inlineStr"/>
      <c r="F1190" s="7" t="inlineStr"/>
      <c r="G1190" s="8" t="inlineStr"/>
      <c r="H1190" s="8" t="inlineStr"/>
      <c r="I1190" s="9" t="n">
        <v>55954</v>
      </c>
      <c r="J1190" s="10" t="n">
        <v>9980</v>
      </c>
      <c r="K1190" s="10" t="n">
        <v>5796</v>
      </c>
      <c r="L1190" s="7" t="n">
        <v>61288</v>
      </c>
      <c r="M1190" s="8" t="n">
        <v>473</v>
      </c>
      <c r="N1190" s="8" t="n">
        <v>-2582</v>
      </c>
      <c r="O1190" s="9" t="n">
        <v>76417</v>
      </c>
      <c r="P1190" s="10" t="n">
        <v>10153</v>
      </c>
      <c r="Q1190" s="10" t="n">
        <v>6767</v>
      </c>
      <c r="R1190" s="7" t="n">
        <v>74124</v>
      </c>
      <c r="S1190" s="8" t="n">
        <v>6369</v>
      </c>
      <c r="T1190" s="8" t="n">
        <v>-2033</v>
      </c>
      <c r="U1190" s="9" t="n">
        <v>70662</v>
      </c>
      <c r="V1190" s="10" t="n">
        <v>13320</v>
      </c>
      <c r="W1190" s="10" t="n">
        <v>7877</v>
      </c>
      <c r="X1190" s="7" t="n">
        <v>89292</v>
      </c>
      <c r="Y1190" s="8" t="n">
        <v>5924</v>
      </c>
      <c r="Z1190" s="8" t="n">
        <v>1627</v>
      </c>
      <c r="AA1190" s="9" t="n">
        <v>48084</v>
      </c>
      <c r="AB1190" s="10" t="n">
        <v>4523</v>
      </c>
      <c r="AC1190" s="10" t="n">
        <v>-179</v>
      </c>
      <c r="AD1190" s="7" t="n">
        <v>42112</v>
      </c>
      <c r="AE1190" s="8" t="n">
        <v>-487</v>
      </c>
      <c r="AF1190" s="8" t="n">
        <v>-39962</v>
      </c>
      <c r="AG1190" s="9" t="n">
        <v>47716</v>
      </c>
      <c r="AH1190" s="10" t="n">
        <v>9371</v>
      </c>
      <c r="AI1190" s="10" t="n">
        <v>5870</v>
      </c>
      <c r="AJ1190" s="11" t="n">
        <v>34023</v>
      </c>
      <c r="AK1190" s="12" t="n">
        <v>-8194</v>
      </c>
      <c r="AL1190" s="12" t="n">
        <v>-9198</v>
      </c>
      <c r="AM1190" s="13" t="n">
        <v>-28.7</v>
      </c>
      <c r="AN1190" s="13" t="n">
        <v>-61.9</v>
      </c>
      <c r="AO1190" s="13" t="n">
        <v>-187.4</v>
      </c>
      <c r="AP1190" s="13" t="n">
        <v>-238.3</v>
      </c>
    </row>
    <row r="1191">
      <c r="A1191" s="5" t="inlineStr">
        <is>
          <t>한국금융지주</t>
        </is>
      </c>
      <c r="B1191" s="6" t="inlineStr">
        <is>
          <t>071050</t>
        </is>
      </c>
      <c r="C1191" s="6" t="inlineStr">
        <is>
          <t>연결</t>
        </is>
      </c>
      <c r="D1191" s="6" t="inlineStr">
        <is>
          <t>2026Q2</t>
        </is>
      </c>
      <c r="E1191" s="6" t="inlineStr"/>
      <c r="F1191" s="7" t="inlineStr"/>
      <c r="G1191" s="8" t="inlineStr"/>
      <c r="H1191" s="8" t="inlineStr"/>
      <c r="I1191" s="9" t="n">
        <v>6681819</v>
      </c>
      <c r="J1191" s="10" t="n">
        <v>381499</v>
      </c>
      <c r="K1191" s="10" t="n">
        <v>342869</v>
      </c>
      <c r="L1191" s="7" t="n">
        <v>5755455</v>
      </c>
      <c r="M1191" s="8" t="n">
        <v>299472</v>
      </c>
      <c r="N1191" s="8" t="n">
        <v>281136</v>
      </c>
      <c r="O1191" s="9" t="n">
        <v>6303579</v>
      </c>
      <c r="P1191" s="10" t="n">
        <v>363513</v>
      </c>
      <c r="Q1191" s="10" t="n">
        <v>314531</v>
      </c>
      <c r="R1191" s="7" t="n">
        <v>2433281</v>
      </c>
      <c r="S1191" s="8" t="n">
        <v>155240</v>
      </c>
      <c r="T1191" s="8" t="n">
        <v>107333</v>
      </c>
      <c r="U1191" s="9" t="n">
        <v>5363814</v>
      </c>
      <c r="V1191" s="10" t="n">
        <v>529612</v>
      </c>
      <c r="W1191" s="10" t="n">
        <v>459329</v>
      </c>
      <c r="X1191" s="7" t="n">
        <v>7033792</v>
      </c>
      <c r="Y1191" s="8" t="n">
        <v>585551</v>
      </c>
      <c r="Z1191" s="8" t="n">
        <v>540313</v>
      </c>
      <c r="AA1191" s="9" t="n">
        <v>5988214</v>
      </c>
      <c r="AB1191" s="10" t="n">
        <v>849091</v>
      </c>
      <c r="AC1191" s="10" t="n">
        <v>674867</v>
      </c>
      <c r="AD1191" s="7" t="inlineStr"/>
      <c r="AE1191" s="8" t="n">
        <v>381075</v>
      </c>
      <c r="AF1191" s="8" t="n">
        <v>349843</v>
      </c>
      <c r="AG1191" s="14" t="n">
        <v>11996589</v>
      </c>
      <c r="AH1191" s="10" t="n">
        <v>1106314</v>
      </c>
      <c r="AI1191" s="10" t="n">
        <v>916654</v>
      </c>
      <c r="AJ1191" s="14" t="n">
        <v>12895631</v>
      </c>
      <c r="AK1191" s="12" t="n">
        <v>1344172</v>
      </c>
      <c r="AL1191" s="12" t="n">
        <v>998385</v>
      </c>
      <c r="AM1191" s="13" t="n">
        <v>7.5</v>
      </c>
      <c r="AN1191" s="13" t="n">
        <v>83.3</v>
      </c>
      <c r="AO1191" s="13" t="n">
        <v>21.5</v>
      </c>
      <c r="AP1191" s="13" t="n">
        <v>129.6</v>
      </c>
    </row>
    <row r="1192">
      <c r="A1192" s="5" t="inlineStr">
        <is>
          <t>하이스틸</t>
        </is>
      </c>
      <c r="B1192" s="6" t="inlineStr">
        <is>
          <t>071090</t>
        </is>
      </c>
      <c r="C1192" s="6" t="inlineStr">
        <is>
          <t>연결</t>
        </is>
      </c>
      <c r="D1192" s="6" t="inlineStr">
        <is>
          <t>2026Q2</t>
        </is>
      </c>
      <c r="E1192" s="6" t="inlineStr"/>
      <c r="F1192" s="7" t="inlineStr"/>
      <c r="G1192" s="8" t="inlineStr"/>
      <c r="H1192" s="8" t="inlineStr"/>
      <c r="I1192" s="9" t="n">
        <v>70208</v>
      </c>
      <c r="J1192" s="10" t="n">
        <v>111</v>
      </c>
      <c r="K1192" s="10" t="n">
        <v>246</v>
      </c>
      <c r="L1192" s="7" t="n">
        <v>56030</v>
      </c>
      <c r="M1192" s="8" t="n">
        <v>-1168</v>
      </c>
      <c r="N1192" s="8" t="n">
        <v>-3420</v>
      </c>
      <c r="O1192" s="9" t="n">
        <v>51899</v>
      </c>
      <c r="P1192" s="10" t="n">
        <v>-21</v>
      </c>
      <c r="Q1192" s="10" t="n">
        <v>-940</v>
      </c>
      <c r="R1192" s="7" t="n">
        <v>68127</v>
      </c>
      <c r="S1192" s="8" t="n">
        <v>1990</v>
      </c>
      <c r="T1192" s="8" t="n">
        <v>3009</v>
      </c>
      <c r="U1192" s="9" t="n">
        <v>70523</v>
      </c>
      <c r="V1192" s="10" t="n">
        <v>421</v>
      </c>
      <c r="W1192" s="10" t="n">
        <v>586</v>
      </c>
      <c r="X1192" s="7" t="n">
        <v>58870</v>
      </c>
      <c r="Y1192" s="8" t="n">
        <v>1783</v>
      </c>
      <c r="Z1192" s="8" t="n">
        <v>-546</v>
      </c>
      <c r="AA1192" s="9" t="n">
        <v>54023</v>
      </c>
      <c r="AB1192" s="10" t="n">
        <v>-3361</v>
      </c>
      <c r="AC1192" s="10" t="n">
        <v>-2677</v>
      </c>
      <c r="AD1192" s="7" t="n">
        <v>73207</v>
      </c>
      <c r="AE1192" s="8" t="n">
        <v>-2168</v>
      </c>
      <c r="AF1192" s="8" t="n">
        <v>-1940</v>
      </c>
      <c r="AG1192" s="9" t="n">
        <v>54905</v>
      </c>
      <c r="AH1192" s="10" t="n">
        <v>1766</v>
      </c>
      <c r="AI1192" s="10" t="n">
        <v>2223</v>
      </c>
      <c r="AJ1192" s="11" t="n">
        <v>81277</v>
      </c>
      <c r="AK1192" s="12" t="n">
        <v>3233</v>
      </c>
      <c r="AL1192" s="12" t="n">
        <v>3296</v>
      </c>
      <c r="AM1192" s="13" t="n">
        <v>48</v>
      </c>
      <c r="AN1192" s="13" t="n">
        <v>38.1</v>
      </c>
      <c r="AO1192" s="13" t="n">
        <v>83.09999999999999</v>
      </c>
      <c r="AP1192" s="13" t="n">
        <v>81.3</v>
      </c>
    </row>
    <row r="1193">
      <c r="A1193" s="5" t="inlineStr">
        <is>
          <t>인피니트헬스케어</t>
        </is>
      </c>
      <c r="B1193" s="6" t="inlineStr">
        <is>
          <t>071200</t>
        </is>
      </c>
      <c r="C1193" s="6" t="inlineStr">
        <is>
          <t>연결</t>
        </is>
      </c>
      <c r="D1193" s="6" t="inlineStr">
        <is>
          <t>2026Q2</t>
        </is>
      </c>
      <c r="E1193" s="6" t="inlineStr"/>
      <c r="F1193" s="7" t="inlineStr"/>
      <c r="G1193" s="8" t="inlineStr"/>
      <c r="H1193" s="8" t="inlineStr"/>
      <c r="I1193" s="9" t="n">
        <v>21268</v>
      </c>
      <c r="J1193" s="10" t="n">
        <v>-3193</v>
      </c>
      <c r="K1193" s="10" t="n">
        <v>9843</v>
      </c>
      <c r="L1193" s="7" t="n">
        <v>24249</v>
      </c>
      <c r="M1193" s="8" t="n">
        <v>3699</v>
      </c>
      <c r="N1193" s="8" t="n">
        <v>8459</v>
      </c>
      <c r="O1193" s="9" t="n">
        <v>25682</v>
      </c>
      <c r="P1193" s="10" t="n">
        <v>4069</v>
      </c>
      <c r="Q1193" s="10" t="n">
        <v>3457</v>
      </c>
      <c r="R1193" s="7" t="n">
        <v>24551</v>
      </c>
      <c r="S1193" s="8" t="n">
        <v>3149</v>
      </c>
      <c r="T1193" s="8" t="n">
        <v>16738</v>
      </c>
      <c r="U1193" s="9" t="n">
        <v>24516</v>
      </c>
      <c r="V1193" s="10" t="n">
        <v>2846</v>
      </c>
      <c r="W1193" s="10" t="n">
        <v>-1026</v>
      </c>
      <c r="X1193" s="7" t="n">
        <v>25775</v>
      </c>
      <c r="Y1193" s="8" t="n">
        <v>1324</v>
      </c>
      <c r="Z1193" s="8" t="n">
        <v>953</v>
      </c>
      <c r="AA1193" s="9" t="n">
        <v>22081</v>
      </c>
      <c r="AB1193" s="10" t="n">
        <v>-1542</v>
      </c>
      <c r="AC1193" s="10" t="n">
        <v>14346</v>
      </c>
      <c r="AD1193" s="7" t="n">
        <v>30020</v>
      </c>
      <c r="AE1193" s="8" t="n">
        <v>11589</v>
      </c>
      <c r="AF1193" s="8" t="n">
        <v>12480</v>
      </c>
      <c r="AG1193" s="9" t="n">
        <v>32148</v>
      </c>
      <c r="AH1193" s="10" t="n">
        <v>9467</v>
      </c>
      <c r="AI1193" s="10" t="n">
        <v>13371</v>
      </c>
      <c r="AJ1193" s="11" t="n">
        <v>25485</v>
      </c>
      <c r="AK1193" s="12" t="n">
        <v>4927</v>
      </c>
      <c r="AL1193" s="12" t="n">
        <v>25368</v>
      </c>
      <c r="AM1193" s="13" t="n">
        <v>-20.7</v>
      </c>
      <c r="AN1193" s="13" t="n">
        <v>-1.1</v>
      </c>
      <c r="AO1193" s="13" t="n">
        <v>-48</v>
      </c>
      <c r="AP1193" s="13" t="n">
        <v>272.1</v>
      </c>
    </row>
    <row r="1194">
      <c r="A1194" s="5" t="inlineStr">
        <is>
          <t>로체시스템즈</t>
        </is>
      </c>
      <c r="B1194" s="6" t="inlineStr">
        <is>
          <t>071280</t>
        </is>
      </c>
      <c r="C1194" s="6" t="inlineStr">
        <is>
          <t>연결</t>
        </is>
      </c>
      <c r="D1194" s="6" t="inlineStr">
        <is>
          <t>2026Q2</t>
        </is>
      </c>
      <c r="E1194" s="6" t="inlineStr"/>
      <c r="F1194" s="7" t="inlineStr"/>
      <c r="G1194" s="8" t="inlineStr"/>
      <c r="H1194" s="8" t="inlineStr"/>
      <c r="I1194" s="9" t="n">
        <v>20352</v>
      </c>
      <c r="J1194" s="10" t="n">
        <v>3142</v>
      </c>
      <c r="K1194" s="10" t="n">
        <v>1854</v>
      </c>
      <c r="L1194" s="7" t="n">
        <v>44739</v>
      </c>
      <c r="M1194" s="8" t="n">
        <v>4438</v>
      </c>
      <c r="N1194" s="8" t="n">
        <v>3068</v>
      </c>
      <c r="O1194" s="9" t="n">
        <v>27220</v>
      </c>
      <c r="P1194" s="10" t="n">
        <v>7045</v>
      </c>
      <c r="Q1194" s="10" t="n">
        <v>6864</v>
      </c>
      <c r="R1194" s="7" t="n">
        <v>67766</v>
      </c>
      <c r="S1194" s="8" t="n">
        <v>5152</v>
      </c>
      <c r="T1194" s="8" t="n">
        <v>327</v>
      </c>
      <c r="U1194" s="9" t="n">
        <v>30243</v>
      </c>
      <c r="V1194" s="10" t="n">
        <v>5069</v>
      </c>
      <c r="W1194" s="10" t="n">
        <v>3802</v>
      </c>
      <c r="X1194" s="7" t="n">
        <v>36255</v>
      </c>
      <c r="Y1194" s="8" t="n">
        <v>4921</v>
      </c>
      <c r="Z1194" s="8" t="n">
        <v>4635</v>
      </c>
      <c r="AA1194" s="9" t="n">
        <v>16920</v>
      </c>
      <c r="AB1194" s="10" t="n">
        <v>2035</v>
      </c>
      <c r="AC1194" s="10" t="n">
        <v>1407</v>
      </c>
      <c r="AD1194" s="7" t="n">
        <v>41452</v>
      </c>
      <c r="AE1194" s="8" t="n">
        <v>2398</v>
      </c>
      <c r="AF1194" s="8" t="n">
        <v>2414</v>
      </c>
      <c r="AG1194" s="9" t="n">
        <v>40048</v>
      </c>
      <c r="AH1194" s="10" t="n">
        <v>4296</v>
      </c>
      <c r="AI1194" s="10" t="n">
        <v>3445</v>
      </c>
      <c r="AJ1194" s="11" t="n">
        <v>46913</v>
      </c>
      <c r="AK1194" s="12" t="n">
        <v>7514</v>
      </c>
      <c r="AL1194" s="12" t="n">
        <v>6501</v>
      </c>
      <c r="AM1194" s="13" t="n">
        <v>17.1</v>
      </c>
      <c r="AN1194" s="13" t="n">
        <v>29.4</v>
      </c>
      <c r="AO1194" s="13" t="n">
        <v>74.90000000000001</v>
      </c>
      <c r="AP1194" s="13" t="n">
        <v>52.7</v>
      </c>
    </row>
    <row r="1195">
      <c r="A1195" s="5" t="inlineStr">
        <is>
          <t>지역난방공사</t>
        </is>
      </c>
      <c r="B1195" s="6" t="inlineStr">
        <is>
          <t>071320</t>
        </is>
      </c>
      <c r="C1195" s="6" t="inlineStr">
        <is>
          <t>연결</t>
        </is>
      </c>
      <c r="D1195" s="6" t="inlineStr">
        <is>
          <t>2026Q2</t>
        </is>
      </c>
      <c r="E1195" s="6" t="inlineStr">
        <is>
          <t>2023Q4</t>
        </is>
      </c>
      <c r="F1195" s="14" t="n">
        <v>1038471</v>
      </c>
      <c r="G1195" s="15" t="n">
        <v>493336</v>
      </c>
      <c r="H1195" s="15" t="n">
        <v>380066</v>
      </c>
      <c r="I1195" s="9" t="n">
        <v>1374588</v>
      </c>
      <c r="J1195" s="10" t="n">
        <v>208552</v>
      </c>
      <c r="K1195" s="10" t="n">
        <v>142451</v>
      </c>
      <c r="L1195" s="7" t="n">
        <v>532347</v>
      </c>
      <c r="M1195" s="8" t="n">
        <v>-23353</v>
      </c>
      <c r="N1195" s="8" t="n">
        <v>-31597</v>
      </c>
      <c r="O1195" s="9" t="n">
        <v>585081</v>
      </c>
      <c r="P1195" s="10" t="n">
        <v>28866</v>
      </c>
      <c r="Q1195" s="10" t="n">
        <v>32609</v>
      </c>
      <c r="R1195" s="7" t="n">
        <v>1078294</v>
      </c>
      <c r="S1195" s="8" t="n">
        <v>113877</v>
      </c>
      <c r="T1195" s="8" t="n">
        <v>66407</v>
      </c>
      <c r="U1195" s="9" t="n">
        <v>1576835</v>
      </c>
      <c r="V1195" s="10" t="n">
        <v>323778</v>
      </c>
      <c r="W1195" s="10" t="n">
        <v>233486</v>
      </c>
      <c r="X1195" s="7" t="n">
        <v>623079</v>
      </c>
      <c r="Y1195" s="8" t="n">
        <v>-9557</v>
      </c>
      <c r="Z1195" s="8" t="n">
        <v>-21569</v>
      </c>
      <c r="AA1195" s="9" t="n">
        <v>758200</v>
      </c>
      <c r="AB1195" s="10" t="n">
        <v>89373</v>
      </c>
      <c r="AC1195" s="10" t="n">
        <v>49021</v>
      </c>
      <c r="AD1195" s="7" t="n">
        <v>1040073</v>
      </c>
      <c r="AE1195" s="8" t="n">
        <v>126030</v>
      </c>
      <c r="AF1195" s="8" t="n">
        <v>77948</v>
      </c>
      <c r="AG1195" s="9" t="n">
        <v>1434112</v>
      </c>
      <c r="AH1195" s="10" t="n">
        <v>320164</v>
      </c>
      <c r="AI1195" s="10" t="n">
        <v>216312</v>
      </c>
      <c r="AJ1195" s="11" t="n">
        <v>653113</v>
      </c>
      <c r="AK1195" s="12" t="n">
        <v>33094</v>
      </c>
      <c r="AL1195" s="12" t="n">
        <v>10408</v>
      </c>
      <c r="AM1195" s="13" t="n">
        <v>-54.5</v>
      </c>
      <c r="AN1195" s="13" t="n">
        <v>4.8</v>
      </c>
      <c r="AO1195" s="13" t="n">
        <v>-89.7</v>
      </c>
      <c r="AP1195" s="13" t="n">
        <v>446.3</v>
      </c>
    </row>
    <row r="1196">
      <c r="A1196" s="5" t="inlineStr">
        <is>
          <t>에이테크솔루션</t>
        </is>
      </c>
      <c r="B1196" s="6" t="inlineStr">
        <is>
          <t>071670</t>
        </is>
      </c>
      <c r="C1196" s="6" t="inlineStr">
        <is>
          <t>연결</t>
        </is>
      </c>
      <c r="D1196" s="6" t="inlineStr">
        <is>
          <t>2026Q2</t>
        </is>
      </c>
      <c r="E1196" s="6" t="inlineStr"/>
      <c r="F1196" s="7" t="inlineStr"/>
      <c r="G1196" s="8" t="inlineStr"/>
      <c r="H1196" s="8" t="inlineStr"/>
      <c r="I1196" s="9" t="n">
        <v>77078</v>
      </c>
      <c r="J1196" s="10" t="n">
        <v>720</v>
      </c>
      <c r="K1196" s="10" t="n">
        <v>205</v>
      </c>
      <c r="L1196" s="7" t="n">
        <v>69665</v>
      </c>
      <c r="M1196" s="8" t="n">
        <v>800</v>
      </c>
      <c r="N1196" s="8" t="n">
        <v>212</v>
      </c>
      <c r="O1196" s="9" t="n">
        <v>66937</v>
      </c>
      <c r="P1196" s="10" t="n">
        <v>362</v>
      </c>
      <c r="Q1196" s="10" t="n">
        <v>-330</v>
      </c>
      <c r="R1196" s="7" t="n">
        <v>75847</v>
      </c>
      <c r="S1196" s="8" t="n">
        <v>-1390</v>
      </c>
      <c r="T1196" s="8" t="n">
        <v>309</v>
      </c>
      <c r="U1196" s="9" t="n">
        <v>74087</v>
      </c>
      <c r="V1196" s="10" t="n">
        <v>694</v>
      </c>
      <c r="W1196" s="10" t="n">
        <v>139</v>
      </c>
      <c r="X1196" s="7" t="n">
        <v>68287</v>
      </c>
      <c r="Y1196" s="8" t="n">
        <v>1350</v>
      </c>
      <c r="Z1196" s="8" t="n">
        <v>-122</v>
      </c>
      <c r="AA1196" s="9" t="n">
        <v>68977</v>
      </c>
      <c r="AB1196" s="10" t="n">
        <v>123</v>
      </c>
      <c r="AC1196" s="10" t="n">
        <v>265</v>
      </c>
      <c r="AD1196" s="7" t="n">
        <v>94139</v>
      </c>
      <c r="AE1196" s="8" t="n">
        <v>-1556</v>
      </c>
      <c r="AF1196" s="8" t="n">
        <v>48</v>
      </c>
      <c r="AG1196" s="9" t="n">
        <v>68749</v>
      </c>
      <c r="AH1196" s="10" t="n">
        <v>-949</v>
      </c>
      <c r="AI1196" s="10" t="n">
        <v>-957</v>
      </c>
      <c r="AJ1196" s="11" t="n">
        <v>72995</v>
      </c>
      <c r="AK1196" s="12" t="n">
        <v>-328</v>
      </c>
      <c r="AL1196" s="12" t="n">
        <v>-775</v>
      </c>
      <c r="AM1196" s="13" t="n">
        <v>6.2</v>
      </c>
      <c r="AN1196" s="13" t="n">
        <v>6.9</v>
      </c>
      <c r="AO1196" s="13" t="n">
        <v>65.40000000000001</v>
      </c>
      <c r="AP1196" s="13" t="n">
        <v>-124.3</v>
      </c>
    </row>
    <row r="1197">
      <c r="A1197" s="5" t="inlineStr">
        <is>
          <t>롯데하이마트</t>
        </is>
      </c>
      <c r="B1197" s="6" t="inlineStr">
        <is>
          <t>071840</t>
        </is>
      </c>
      <c r="C1197" s="6" t="inlineStr">
        <is>
          <t>별도</t>
        </is>
      </c>
      <c r="D1197" s="6" t="inlineStr">
        <is>
          <t>2026Q2</t>
        </is>
      </c>
      <c r="E1197" s="6" t="inlineStr">
        <is>
          <t>2023Q4</t>
        </is>
      </c>
      <c r="F1197" s="14" t="n">
        <v>578546</v>
      </c>
      <c r="G1197" s="15" t="n">
        <v>-10033</v>
      </c>
      <c r="H1197" s="15" t="n">
        <v>-38381</v>
      </c>
      <c r="I1197" s="9" t="n">
        <v>525083</v>
      </c>
      <c r="J1197" s="10" t="n">
        <v>-16038</v>
      </c>
      <c r="K1197" s="10" t="n">
        <v>-19531</v>
      </c>
      <c r="L1197" s="7" t="n">
        <v>589327</v>
      </c>
      <c r="M1197" s="8" t="n">
        <v>2781</v>
      </c>
      <c r="N1197" s="8" t="n">
        <v>1449</v>
      </c>
      <c r="O1197" s="9" t="n">
        <v>685882</v>
      </c>
      <c r="P1197" s="10" t="n">
        <v>31230</v>
      </c>
      <c r="Q1197" s="10" t="n">
        <v>26752</v>
      </c>
      <c r="R1197" s="7" t="n">
        <v>556365</v>
      </c>
      <c r="S1197" s="8" t="n">
        <v>-16252</v>
      </c>
      <c r="T1197" s="8" t="n">
        <v>-314039</v>
      </c>
      <c r="U1197" s="9" t="n">
        <v>529016</v>
      </c>
      <c r="V1197" s="10" t="n">
        <v>-11064</v>
      </c>
      <c r="W1197" s="10" t="n">
        <v>-13796</v>
      </c>
      <c r="X1197" s="7" t="n">
        <v>594203</v>
      </c>
      <c r="Y1197" s="8" t="n">
        <v>10491</v>
      </c>
      <c r="Z1197" s="8" t="n">
        <v>11117</v>
      </c>
      <c r="AA1197" s="9" t="n">
        <v>652473</v>
      </c>
      <c r="AB1197" s="10" t="n">
        <v>18952</v>
      </c>
      <c r="AC1197" s="10" t="n">
        <v>14158</v>
      </c>
      <c r="AD1197" s="7" t="n">
        <v>524404</v>
      </c>
      <c r="AE1197" s="8" t="n">
        <v>-8740</v>
      </c>
      <c r="AF1197" s="8" t="n">
        <v>-13922</v>
      </c>
      <c r="AG1197" s="9" t="n">
        <v>496908</v>
      </c>
      <c r="AH1197" s="10" t="n">
        <v>-14780</v>
      </c>
      <c r="AI1197" s="10" t="n">
        <v>-20403</v>
      </c>
      <c r="AJ1197" s="11" t="n">
        <v>591096</v>
      </c>
      <c r="AK1197" s="12" t="n">
        <v>918</v>
      </c>
      <c r="AL1197" s="12" t="n">
        <v>-4470</v>
      </c>
      <c r="AM1197" s="13" t="n">
        <v>19</v>
      </c>
      <c r="AN1197" s="13" t="n">
        <v>-0.5</v>
      </c>
      <c r="AO1197" s="13" t="n">
        <v>106.2</v>
      </c>
      <c r="AP1197" s="13" t="n">
        <v>-91.2</v>
      </c>
    </row>
    <row r="1198">
      <c r="A1198" s="5" t="inlineStr">
        <is>
          <t>캐스텍코리아</t>
        </is>
      </c>
      <c r="B1198" s="6" t="inlineStr">
        <is>
          <t>071850</t>
        </is>
      </c>
      <c r="C1198" s="6" t="inlineStr">
        <is>
          <t>연결</t>
        </is>
      </c>
      <c r="D1198" s="6" t="inlineStr">
        <is>
          <t>2026Q2</t>
        </is>
      </c>
      <c r="E1198" s="6" t="inlineStr"/>
      <c r="F1198" s="7" t="inlineStr"/>
      <c r="G1198" s="8" t="inlineStr"/>
      <c r="H1198" s="8" t="inlineStr"/>
      <c r="I1198" s="9" t="n">
        <v>41216</v>
      </c>
      <c r="J1198" s="10" t="n">
        <v>-1681</v>
      </c>
      <c r="K1198" s="10" t="n">
        <v>-3007</v>
      </c>
      <c r="L1198" s="7" t="n">
        <v>41843</v>
      </c>
      <c r="M1198" s="8" t="n">
        <v>-2181</v>
      </c>
      <c r="N1198" s="8" t="n">
        <v>-589</v>
      </c>
      <c r="O1198" s="9" t="n">
        <v>36800</v>
      </c>
      <c r="P1198" s="10" t="n">
        <v>-5378</v>
      </c>
      <c r="Q1198" s="10" t="n">
        <v>-3506</v>
      </c>
      <c r="R1198" s="7" t="n">
        <v>38653</v>
      </c>
      <c r="S1198" s="8" t="n">
        <v>-780</v>
      </c>
      <c r="T1198" s="8" t="n">
        <v>-2312</v>
      </c>
      <c r="U1198" s="9" t="n">
        <v>37819</v>
      </c>
      <c r="V1198" s="10" t="n">
        <v>-2116</v>
      </c>
      <c r="W1198" s="10" t="n">
        <v>-2673</v>
      </c>
      <c r="X1198" s="7" t="n">
        <v>42588</v>
      </c>
      <c r="Y1198" s="8" t="n">
        <v>49</v>
      </c>
      <c r="Z1198" s="8" t="n">
        <v>-2908</v>
      </c>
      <c r="AA1198" s="9" t="n">
        <v>38594</v>
      </c>
      <c r="AB1198" s="10" t="n">
        <v>64</v>
      </c>
      <c r="AC1198" s="10" t="n">
        <v>1778</v>
      </c>
      <c r="AD1198" s="7" t="n">
        <v>36324</v>
      </c>
      <c r="AE1198" s="8" t="n">
        <v>-4271</v>
      </c>
      <c r="AF1198" s="8" t="n">
        <v>-17518</v>
      </c>
      <c r="AG1198" s="9" t="n">
        <v>37277</v>
      </c>
      <c r="AH1198" s="10" t="n">
        <v>-1170</v>
      </c>
      <c r="AI1198" s="10" t="n">
        <v>1243</v>
      </c>
      <c r="AJ1198" s="11" t="n">
        <v>43503</v>
      </c>
      <c r="AK1198" s="12" t="n">
        <v>64</v>
      </c>
      <c r="AL1198" s="12" t="n">
        <v>9268</v>
      </c>
      <c r="AM1198" s="13" t="n">
        <v>16.7</v>
      </c>
      <c r="AN1198" s="13" t="n">
        <v>2.1</v>
      </c>
      <c r="AO1198" s="13" t="n">
        <v>105.5</v>
      </c>
      <c r="AP1198" s="13" t="n">
        <v>30.6</v>
      </c>
    </row>
    <row r="1199">
      <c r="A1199" s="5" t="inlineStr">
        <is>
          <t>코아스</t>
        </is>
      </c>
      <c r="B1199" s="6" t="inlineStr">
        <is>
          <t>071950</t>
        </is>
      </c>
      <c r="C1199" s="6" t="inlineStr">
        <is>
          <t>연결</t>
        </is>
      </c>
      <c r="D1199" s="6" t="inlineStr">
        <is>
          <t>2026Q2</t>
        </is>
      </c>
      <c r="E1199" s="6" t="inlineStr">
        <is>
          <t>2023Q4</t>
        </is>
      </c>
      <c r="F1199" s="14" t="n">
        <v>21336</v>
      </c>
      <c r="G1199" s="15" t="n">
        <v>-1613</v>
      </c>
      <c r="H1199" s="15" t="n">
        <v>-3376</v>
      </c>
      <c r="I1199" s="9" t="n">
        <v>23614</v>
      </c>
      <c r="J1199" s="10" t="n">
        <v>829</v>
      </c>
      <c r="K1199" s="10" t="n">
        <v>333</v>
      </c>
      <c r="L1199" s="7" t="n">
        <v>15258</v>
      </c>
      <c r="M1199" s="8" t="n">
        <v>-914</v>
      </c>
      <c r="N1199" s="8" t="n">
        <v>-1316</v>
      </c>
      <c r="O1199" s="9" t="n">
        <v>17883</v>
      </c>
      <c r="P1199" s="10" t="n">
        <v>-1894</v>
      </c>
      <c r="Q1199" s="10" t="n">
        <v>-2227</v>
      </c>
      <c r="R1199" s="7" t="n">
        <v>21197</v>
      </c>
      <c r="S1199" s="8" t="n">
        <v>-5266</v>
      </c>
      <c r="T1199" s="8" t="n">
        <v>-5725</v>
      </c>
      <c r="U1199" s="9" t="n">
        <v>20326</v>
      </c>
      <c r="V1199" s="10" t="n">
        <v>48</v>
      </c>
      <c r="W1199" s="10" t="n">
        <v>-1048</v>
      </c>
      <c r="X1199" s="7" t="n">
        <v>10867</v>
      </c>
      <c r="Y1199" s="8" t="n">
        <v>-2203</v>
      </c>
      <c r="Z1199" s="8" t="n">
        <v>-8141</v>
      </c>
      <c r="AA1199" s="9" t="n">
        <v>12047</v>
      </c>
      <c r="AB1199" s="10" t="n">
        <v>-2533</v>
      </c>
      <c r="AC1199" s="10" t="n">
        <v>-21375</v>
      </c>
      <c r="AD1199" s="7" t="n">
        <v>18989</v>
      </c>
      <c r="AE1199" s="8" t="n">
        <v>-992</v>
      </c>
      <c r="AF1199" s="8" t="n">
        <v>-879</v>
      </c>
      <c r="AG1199" s="9" t="n">
        <v>21350</v>
      </c>
      <c r="AH1199" s="10" t="n">
        <v>1898</v>
      </c>
      <c r="AI1199" s="10" t="n">
        <v>91</v>
      </c>
      <c r="AJ1199" s="11" t="n">
        <v>15802</v>
      </c>
      <c r="AK1199" s="12" t="n">
        <v>-771</v>
      </c>
      <c r="AL1199" s="12" t="n">
        <v>-3127</v>
      </c>
      <c r="AM1199" s="13" t="n">
        <v>-26</v>
      </c>
      <c r="AN1199" s="13" t="n">
        <v>45.4</v>
      </c>
      <c r="AO1199" s="13" t="n">
        <v>-140.6</v>
      </c>
      <c r="AP1199" s="13" t="n">
        <v>65</v>
      </c>
    </row>
    <row r="1200">
      <c r="A1200" s="5" t="inlineStr">
        <is>
          <t>HD현대마린엔진</t>
        </is>
      </c>
      <c r="B1200" s="6" t="inlineStr">
        <is>
          <t>071970</t>
        </is>
      </c>
      <c r="C1200" s="6" t="inlineStr">
        <is>
          <t>연결</t>
        </is>
      </c>
      <c r="D1200" s="6" t="inlineStr">
        <is>
          <t>2026Q2</t>
        </is>
      </c>
      <c r="E1200" s="6" t="inlineStr"/>
      <c r="F1200" s="7" t="inlineStr"/>
      <c r="G1200" s="8" t="inlineStr"/>
      <c r="H1200" s="8" t="inlineStr"/>
      <c r="I1200" s="9" t="n">
        <v>61359</v>
      </c>
      <c r="J1200" s="10" t="n">
        <v>6247</v>
      </c>
      <c r="K1200" s="10" t="n">
        <v>6706</v>
      </c>
      <c r="L1200" s="7" t="n">
        <v>85093</v>
      </c>
      <c r="M1200" s="8" t="n">
        <v>9004</v>
      </c>
      <c r="N1200" s="8" t="n">
        <v>9383</v>
      </c>
      <c r="O1200" s="9" t="n">
        <v>80788</v>
      </c>
      <c r="P1200" s="10" t="n">
        <v>8807</v>
      </c>
      <c r="Q1200" s="10" t="n">
        <v>9512</v>
      </c>
      <c r="R1200" s="7" t="n">
        <v>88554</v>
      </c>
      <c r="S1200" s="8" t="n">
        <v>9136</v>
      </c>
      <c r="T1200" s="8" t="n">
        <v>50174</v>
      </c>
      <c r="U1200" s="9" t="n">
        <v>83019</v>
      </c>
      <c r="V1200" s="10" t="n">
        <v>10272</v>
      </c>
      <c r="W1200" s="10" t="n">
        <v>13863</v>
      </c>
      <c r="X1200" s="7" t="n">
        <v>99233</v>
      </c>
      <c r="Y1200" s="8" t="n">
        <v>17462</v>
      </c>
      <c r="Z1200" s="8" t="n">
        <v>16559</v>
      </c>
      <c r="AA1200" s="9" t="n">
        <v>109169</v>
      </c>
      <c r="AB1200" s="10" t="n">
        <v>20288</v>
      </c>
      <c r="AC1200" s="10" t="n">
        <v>22588</v>
      </c>
      <c r="AD1200" s="7" t="n">
        <v>110975</v>
      </c>
      <c r="AE1200" s="8" t="n">
        <v>27890</v>
      </c>
      <c r="AF1200" s="8" t="n">
        <v>112092</v>
      </c>
      <c r="AG1200" s="9" t="n">
        <v>133461</v>
      </c>
      <c r="AH1200" s="10" t="n">
        <v>32564</v>
      </c>
      <c r="AI1200" s="10" t="n">
        <v>28148</v>
      </c>
      <c r="AJ1200" s="11" t="n">
        <v>128119</v>
      </c>
      <c r="AK1200" s="12" t="n">
        <v>31286</v>
      </c>
      <c r="AL1200" s="12" t="n">
        <v>31873</v>
      </c>
      <c r="AM1200" s="13" t="n">
        <v>-4</v>
      </c>
      <c r="AN1200" s="13" t="n">
        <v>29.1</v>
      </c>
      <c r="AO1200" s="13" t="n">
        <v>-3.9</v>
      </c>
      <c r="AP1200" s="13" t="n">
        <v>79.2</v>
      </c>
    </row>
    <row r="1201">
      <c r="A1201" s="5" t="inlineStr">
        <is>
          <t>중앙백신</t>
        </is>
      </c>
      <c r="B1201" s="6" t="inlineStr">
        <is>
          <t>072020</t>
        </is>
      </c>
      <c r="C1201" s="6" t="inlineStr">
        <is>
          <t>별도</t>
        </is>
      </c>
      <c r="D1201" s="6" t="inlineStr">
        <is>
          <t>2026Q2</t>
        </is>
      </c>
      <c r="E1201" s="6" t="inlineStr"/>
      <c r="F1201" s="7" t="inlineStr"/>
      <c r="G1201" s="8" t="inlineStr"/>
      <c r="H1201" s="8" t="inlineStr"/>
      <c r="I1201" s="9" t="n">
        <v>11340</v>
      </c>
      <c r="J1201" s="10" t="n">
        <v>1448</v>
      </c>
      <c r="K1201" s="10" t="n">
        <v>1669</v>
      </c>
      <c r="L1201" s="7" t="n">
        <v>12296</v>
      </c>
      <c r="M1201" s="8" t="n">
        <v>2018</v>
      </c>
      <c r="N1201" s="8" t="n">
        <v>2071</v>
      </c>
      <c r="O1201" s="9" t="n">
        <v>10721</v>
      </c>
      <c r="P1201" s="10" t="n">
        <v>1711</v>
      </c>
      <c r="Q1201" s="10" t="n">
        <v>933</v>
      </c>
      <c r="R1201" s="7" t="n">
        <v>11236</v>
      </c>
      <c r="S1201" s="8" t="n">
        <v>581</v>
      </c>
      <c r="T1201" s="8" t="n">
        <v>2177</v>
      </c>
      <c r="U1201" s="9" t="n">
        <v>13242</v>
      </c>
      <c r="V1201" s="10" t="n">
        <v>2287</v>
      </c>
      <c r="W1201" s="10" t="n">
        <v>2114</v>
      </c>
      <c r="X1201" s="7" t="n">
        <v>12046</v>
      </c>
      <c r="Y1201" s="8" t="n">
        <v>1500</v>
      </c>
      <c r="Z1201" s="8" t="n">
        <v>677</v>
      </c>
      <c r="AA1201" s="9" t="n">
        <v>10977</v>
      </c>
      <c r="AB1201" s="10" t="n">
        <v>1548</v>
      </c>
      <c r="AC1201" s="10" t="n">
        <v>1697</v>
      </c>
      <c r="AD1201" s="7" t="n">
        <v>12804</v>
      </c>
      <c r="AE1201" s="8" t="n">
        <v>1144</v>
      </c>
      <c r="AF1201" s="8" t="n">
        <v>1669</v>
      </c>
      <c r="AG1201" s="9" t="n">
        <v>12594</v>
      </c>
      <c r="AH1201" s="10" t="n">
        <v>2997</v>
      </c>
      <c r="AI1201" s="10" t="n">
        <v>3333</v>
      </c>
      <c r="AJ1201" s="11" t="n">
        <v>11901</v>
      </c>
      <c r="AK1201" s="12" t="n">
        <v>1144</v>
      </c>
      <c r="AL1201" s="12" t="n">
        <v>1289</v>
      </c>
      <c r="AM1201" s="13" t="n">
        <v>-5.5</v>
      </c>
      <c r="AN1201" s="13" t="n">
        <v>-1.2</v>
      </c>
      <c r="AO1201" s="13" t="n">
        <v>-61.8</v>
      </c>
      <c r="AP1201" s="13" t="n">
        <v>-23.7</v>
      </c>
    </row>
    <row r="1202">
      <c r="A1202" s="5" t="inlineStr">
        <is>
          <t>유엔젤</t>
        </is>
      </c>
      <c r="B1202" s="6" t="inlineStr">
        <is>
          <t>072130</t>
        </is>
      </c>
      <c r="C1202" s="6" t="inlineStr">
        <is>
          <t>연결</t>
        </is>
      </c>
      <c r="D1202" s="6" t="inlineStr">
        <is>
          <t>2026Q2</t>
        </is>
      </c>
      <c r="E1202" s="6" t="inlineStr"/>
      <c r="F1202" s="7" t="inlineStr"/>
      <c r="G1202" s="8" t="inlineStr"/>
      <c r="H1202" s="8" t="inlineStr"/>
      <c r="I1202" s="9" t="n">
        <v>13674</v>
      </c>
      <c r="J1202" s="10" t="n">
        <v>-468</v>
      </c>
      <c r="K1202" s="10" t="n">
        <v>-102</v>
      </c>
      <c r="L1202" s="7" t="n">
        <v>10806</v>
      </c>
      <c r="M1202" s="8" t="n">
        <v>-611</v>
      </c>
      <c r="N1202" s="8" t="n">
        <v>1118</v>
      </c>
      <c r="O1202" s="9" t="n">
        <v>11436</v>
      </c>
      <c r="P1202" s="10" t="n">
        <v>712</v>
      </c>
      <c r="Q1202" s="10" t="n">
        <v>1101</v>
      </c>
      <c r="R1202" s="7" t="n">
        <v>17130</v>
      </c>
      <c r="S1202" s="8" t="n">
        <v>1156</v>
      </c>
      <c r="T1202" s="8" t="n">
        <v>1530</v>
      </c>
      <c r="U1202" s="9" t="n">
        <v>17912</v>
      </c>
      <c r="V1202" s="10" t="n">
        <v>698</v>
      </c>
      <c r="W1202" s="10" t="n">
        <v>1516</v>
      </c>
      <c r="X1202" s="7" t="n">
        <v>14203</v>
      </c>
      <c r="Y1202" s="8" t="n">
        <v>835</v>
      </c>
      <c r="Z1202" s="8" t="n">
        <v>-22</v>
      </c>
      <c r="AA1202" s="9" t="n">
        <v>14475</v>
      </c>
      <c r="AB1202" s="10" t="n">
        <v>1548</v>
      </c>
      <c r="AC1202" s="10" t="n">
        <v>2452</v>
      </c>
      <c r="AD1202" s="7" t="n">
        <v>14977</v>
      </c>
      <c r="AE1202" s="8" t="n">
        <v>339</v>
      </c>
      <c r="AF1202" s="8" t="n">
        <v>419</v>
      </c>
      <c r="AG1202" s="9" t="n">
        <v>17721</v>
      </c>
      <c r="AH1202" s="10" t="n">
        <v>202</v>
      </c>
      <c r="AI1202" s="10" t="n">
        <v>1719</v>
      </c>
      <c r="AJ1202" s="11" t="n">
        <v>15195</v>
      </c>
      <c r="AK1202" s="12" t="n">
        <v>1234</v>
      </c>
      <c r="AL1202" s="12" t="n">
        <v>1893</v>
      </c>
      <c r="AM1202" s="13" t="n">
        <v>-14.3</v>
      </c>
      <c r="AN1202" s="13" t="n">
        <v>7</v>
      </c>
      <c r="AO1202" s="13" t="n">
        <v>510.9</v>
      </c>
      <c r="AP1202" s="13" t="n">
        <v>47.8</v>
      </c>
    </row>
    <row r="1203">
      <c r="A1203" s="5" t="inlineStr">
        <is>
          <t>우리산업홀딩스</t>
        </is>
      </c>
      <c r="B1203" s="6" t="inlineStr">
        <is>
          <t>072470</t>
        </is>
      </c>
      <c r="C1203" s="6" t="inlineStr">
        <is>
          <t>연결</t>
        </is>
      </c>
      <c r="D1203" s="6" t="inlineStr">
        <is>
          <t>2026Q2</t>
        </is>
      </c>
      <c r="E1203" s="6" t="inlineStr"/>
      <c r="F1203" s="7" t="inlineStr"/>
      <c r="G1203" s="8" t="inlineStr"/>
      <c r="H1203" s="8" t="inlineStr"/>
      <c r="I1203" s="9" t="n">
        <v>156810</v>
      </c>
      <c r="J1203" s="10" t="n">
        <v>3630</v>
      </c>
      <c r="K1203" s="10" t="n">
        <v>4297</v>
      </c>
      <c r="L1203" s="7" t="n">
        <v>173502</v>
      </c>
      <c r="M1203" s="8" t="n">
        <v>5715</v>
      </c>
      <c r="N1203" s="8" t="n">
        <v>3498</v>
      </c>
      <c r="O1203" s="9" t="n">
        <v>142952</v>
      </c>
      <c r="P1203" s="10" t="n">
        <v>79</v>
      </c>
      <c r="Q1203" s="10" t="n">
        <v>-5435</v>
      </c>
      <c r="R1203" s="7" t="n">
        <v>171995</v>
      </c>
      <c r="S1203" s="8" t="n">
        <v>5602</v>
      </c>
      <c r="T1203" s="8" t="n">
        <v>-1032</v>
      </c>
      <c r="U1203" s="9" t="n">
        <v>174334</v>
      </c>
      <c r="V1203" s="10" t="n">
        <v>5443</v>
      </c>
      <c r="W1203" s="10" t="n">
        <v>2687</v>
      </c>
      <c r="X1203" s="7" t="n">
        <v>183141</v>
      </c>
      <c r="Y1203" s="8" t="n">
        <v>12016</v>
      </c>
      <c r="Z1203" s="8" t="n">
        <v>2289</v>
      </c>
      <c r="AA1203" s="9" t="n">
        <v>175028</v>
      </c>
      <c r="AB1203" s="10" t="n">
        <v>9918</v>
      </c>
      <c r="AC1203" s="10" t="n">
        <v>9202</v>
      </c>
      <c r="AD1203" s="7" t="n">
        <v>172500</v>
      </c>
      <c r="AE1203" s="8" t="n">
        <v>6863</v>
      </c>
      <c r="AF1203" s="8" t="n">
        <v>4792</v>
      </c>
      <c r="AG1203" s="9" t="n">
        <v>171892</v>
      </c>
      <c r="AH1203" s="10" t="n">
        <v>8626</v>
      </c>
      <c r="AI1203" s="10" t="n">
        <v>7696</v>
      </c>
      <c r="AJ1203" s="11" t="n">
        <v>177263</v>
      </c>
      <c r="AK1203" s="12" t="n">
        <v>1457</v>
      </c>
      <c r="AL1203" s="12" t="n">
        <v>1991</v>
      </c>
      <c r="AM1203" s="13" t="n">
        <v>3.1</v>
      </c>
      <c r="AN1203" s="13" t="n">
        <v>-3.2</v>
      </c>
      <c r="AO1203" s="13" t="n">
        <v>-83.09999999999999</v>
      </c>
      <c r="AP1203" s="13" t="n">
        <v>-87.90000000000001</v>
      </c>
    </row>
    <row r="1204">
      <c r="A1204" s="5" t="inlineStr">
        <is>
          <t>농심홀딩스</t>
        </is>
      </c>
      <c r="B1204" s="6" t="inlineStr">
        <is>
          <t>072710</t>
        </is>
      </c>
      <c r="C1204" s="6" t="inlineStr">
        <is>
          <t>연결</t>
        </is>
      </c>
      <c r="D1204" s="6" t="inlineStr">
        <is>
          <t>2026Q2</t>
        </is>
      </c>
      <c r="E1204" s="6" t="inlineStr"/>
      <c r="F1204" s="7" t="inlineStr"/>
      <c r="G1204" s="8" t="inlineStr"/>
      <c r="H1204" s="8" t="inlineStr"/>
      <c r="I1204" s="9" t="n">
        <v>223781</v>
      </c>
      <c r="J1204" s="10" t="n">
        <v>35763</v>
      </c>
      <c r="K1204" s="10" t="n">
        <v>32209</v>
      </c>
      <c r="L1204" s="7" t="n">
        <v>199537</v>
      </c>
      <c r="M1204" s="8" t="n">
        <v>28697</v>
      </c>
      <c r="N1204" s="8" t="n">
        <v>24281</v>
      </c>
      <c r="O1204" s="9" t="n">
        <v>203457</v>
      </c>
      <c r="P1204" s="10" t="n">
        <v>19454</v>
      </c>
      <c r="Q1204" s="10" t="n">
        <v>16386</v>
      </c>
      <c r="R1204" s="7" t="n">
        <v>171498</v>
      </c>
      <c r="S1204" s="8" t="n">
        <v>2725</v>
      </c>
      <c r="T1204" s="8" t="n">
        <v>1974</v>
      </c>
      <c r="U1204" s="9" t="n">
        <v>191082</v>
      </c>
      <c r="V1204" s="10" t="n">
        <v>25263</v>
      </c>
      <c r="W1204" s="10" t="n">
        <v>23328</v>
      </c>
      <c r="X1204" s="7" t="n">
        <v>174380</v>
      </c>
      <c r="Y1204" s="8" t="n">
        <v>18472</v>
      </c>
      <c r="Z1204" s="8" t="n">
        <v>15545</v>
      </c>
      <c r="AA1204" s="9" t="n">
        <v>266027</v>
      </c>
      <c r="AB1204" s="10" t="n">
        <v>22802</v>
      </c>
      <c r="AC1204" s="10" t="n">
        <v>64953</v>
      </c>
      <c r="AD1204" s="7" t="n">
        <v>227327</v>
      </c>
      <c r="AE1204" s="8" t="n">
        <v>14580</v>
      </c>
      <c r="AF1204" s="8" t="n">
        <v>10755</v>
      </c>
      <c r="AG1204" s="9" t="n">
        <v>265401</v>
      </c>
      <c r="AH1204" s="10" t="n">
        <v>30893</v>
      </c>
      <c r="AI1204" s="10" t="n">
        <v>27186</v>
      </c>
      <c r="AJ1204" s="11" t="n">
        <v>255122</v>
      </c>
      <c r="AK1204" s="12" t="n">
        <v>34609</v>
      </c>
      <c r="AL1204" s="12" t="n">
        <v>29124</v>
      </c>
      <c r="AM1204" s="13" t="n">
        <v>-3.9</v>
      </c>
      <c r="AN1204" s="13" t="n">
        <v>46.3</v>
      </c>
      <c r="AO1204" s="13" t="n">
        <v>12</v>
      </c>
      <c r="AP1204" s="13" t="n">
        <v>87.40000000000001</v>
      </c>
    </row>
    <row r="1205">
      <c r="A1205" s="5" t="inlineStr">
        <is>
          <t>멤레이비티</t>
        </is>
      </c>
      <c r="B1205" s="6" t="inlineStr">
        <is>
          <t>072770</t>
        </is>
      </c>
      <c r="C1205" s="6" t="inlineStr">
        <is>
          <t>연결</t>
        </is>
      </c>
      <c r="D1205" s="6" t="inlineStr">
        <is>
          <t>2026Q2</t>
        </is>
      </c>
      <c r="E1205" s="6" t="inlineStr"/>
      <c r="F1205" s="7" t="inlineStr"/>
      <c r="G1205" s="8" t="inlineStr"/>
      <c r="H1205" s="8" t="inlineStr"/>
      <c r="I1205" s="9" t="n">
        <v>9238</v>
      </c>
      <c r="J1205" s="10" t="n">
        <v>-2348</v>
      </c>
      <c r="K1205" s="10" t="n">
        <v>-2756</v>
      </c>
      <c r="L1205" s="7" t="n">
        <v>19371</v>
      </c>
      <c r="M1205" s="8" t="n">
        <v>373</v>
      </c>
      <c r="N1205" s="8" t="n">
        <v>451</v>
      </c>
      <c r="O1205" s="9" t="n">
        <v>17322</v>
      </c>
      <c r="P1205" s="10" t="n">
        <v>-2230</v>
      </c>
      <c r="Q1205" s="10" t="n">
        <v>-2218</v>
      </c>
      <c r="R1205" s="7" t="n">
        <v>84214</v>
      </c>
      <c r="S1205" s="8" t="n">
        <v>1384</v>
      </c>
      <c r="T1205" s="8" t="n">
        <v>-10356</v>
      </c>
      <c r="U1205" s="9" t="n">
        <v>15951</v>
      </c>
      <c r="V1205" s="10" t="n">
        <v>-1124</v>
      </c>
      <c r="W1205" s="10" t="n">
        <v>-1468</v>
      </c>
      <c r="X1205" s="7" t="n">
        <v>22978</v>
      </c>
      <c r="Y1205" s="8" t="n">
        <v>-657</v>
      </c>
      <c r="Z1205" s="8" t="n">
        <v>-3033</v>
      </c>
      <c r="AA1205" s="9" t="n">
        <v>18989</v>
      </c>
      <c r="AB1205" s="10" t="n">
        <v>-1134</v>
      </c>
      <c r="AC1205" s="10" t="n">
        <v>-2017</v>
      </c>
      <c r="AD1205" s="7" t="n">
        <v>31711</v>
      </c>
      <c r="AE1205" s="8" t="n">
        <v>108</v>
      </c>
      <c r="AF1205" s="8" t="n">
        <v>-14116</v>
      </c>
      <c r="AG1205" s="9" t="n">
        <v>9961</v>
      </c>
      <c r="AH1205" s="10" t="n">
        <v>-1608</v>
      </c>
      <c r="AI1205" s="10" t="n">
        <v>-1813</v>
      </c>
      <c r="AJ1205" s="11" t="n">
        <v>25205</v>
      </c>
      <c r="AK1205" s="12" t="n">
        <v>-728</v>
      </c>
      <c r="AL1205" s="12" t="n">
        <v>-1983</v>
      </c>
      <c r="AM1205" s="13" t="n">
        <v>153</v>
      </c>
      <c r="AN1205" s="13" t="n">
        <v>9.699999999999999</v>
      </c>
      <c r="AO1205" s="13" t="n">
        <v>54.7</v>
      </c>
      <c r="AP1205" s="13" t="n">
        <v>-10.8</v>
      </c>
    </row>
    <row r="1206">
      <c r="A1206" s="5" t="inlineStr">
        <is>
          <t>메가스터디</t>
        </is>
      </c>
      <c r="B1206" s="6" t="inlineStr">
        <is>
          <t>072870</t>
        </is>
      </c>
      <c r="C1206" s="6" t="inlineStr">
        <is>
          <t>연결</t>
        </is>
      </c>
      <c r="D1206" s="6" t="inlineStr">
        <is>
          <t>2026Q2</t>
        </is>
      </c>
      <c r="E1206" s="6" t="inlineStr"/>
      <c r="F1206" s="7" t="inlineStr"/>
      <c r="G1206" s="8" t="inlineStr"/>
      <c r="H1206" s="8" t="inlineStr"/>
      <c r="I1206" s="9" t="n">
        <v>28872</v>
      </c>
      <c r="J1206" s="10" t="n">
        <v>5224</v>
      </c>
      <c r="K1206" s="10" t="n">
        <v>5895</v>
      </c>
      <c r="L1206" s="7" t="n">
        <v>38162</v>
      </c>
      <c r="M1206" s="8" t="n">
        <v>9078</v>
      </c>
      <c r="N1206" s="8" t="n">
        <v>6919</v>
      </c>
      <c r="O1206" s="9" t="n">
        <v>36385</v>
      </c>
      <c r="P1206" s="10" t="n">
        <v>7551</v>
      </c>
      <c r="Q1206" s="10" t="n">
        <v>8103</v>
      </c>
      <c r="R1206" s="7" t="n">
        <v>30845</v>
      </c>
      <c r="S1206" s="8" t="n">
        <v>1927</v>
      </c>
      <c r="T1206" s="8" t="n">
        <v>-2070</v>
      </c>
      <c r="U1206" s="9" t="n">
        <v>28808</v>
      </c>
      <c r="V1206" s="10" t="n">
        <v>1666</v>
      </c>
      <c r="W1206" s="10" t="n">
        <v>2954</v>
      </c>
      <c r="X1206" s="7" t="n">
        <v>35907</v>
      </c>
      <c r="Y1206" s="8" t="n">
        <v>8812</v>
      </c>
      <c r="Z1206" s="8" t="n">
        <v>9981</v>
      </c>
      <c r="AA1206" s="9" t="n">
        <v>34299</v>
      </c>
      <c r="AB1206" s="10" t="n">
        <v>6981</v>
      </c>
      <c r="AC1206" s="10" t="n">
        <v>11298</v>
      </c>
      <c r="AD1206" s="7" t="n">
        <v>28271</v>
      </c>
      <c r="AE1206" s="8" t="n">
        <v>3084</v>
      </c>
      <c r="AF1206" s="8" t="n">
        <v>5250</v>
      </c>
      <c r="AG1206" s="9" t="n">
        <v>27568</v>
      </c>
      <c r="AH1206" s="10" t="n">
        <v>1531</v>
      </c>
      <c r="AI1206" s="10" t="n">
        <v>5751</v>
      </c>
      <c r="AJ1206" s="11" t="n">
        <v>33685</v>
      </c>
      <c r="AK1206" s="12" t="n">
        <v>7367</v>
      </c>
      <c r="AL1206" s="12" t="n">
        <v>10500</v>
      </c>
      <c r="AM1206" s="13" t="n">
        <v>22.2</v>
      </c>
      <c r="AN1206" s="13" t="n">
        <v>-6.2</v>
      </c>
      <c r="AO1206" s="13" t="n">
        <v>381.2</v>
      </c>
      <c r="AP1206" s="13" t="n">
        <v>-16.4</v>
      </c>
    </row>
    <row r="1207">
      <c r="A1207" s="5" t="inlineStr">
        <is>
          <t>빛샘전자</t>
        </is>
      </c>
      <c r="B1207" s="6" t="inlineStr">
        <is>
          <t>072950</t>
        </is>
      </c>
      <c r="C1207" s="6" t="inlineStr">
        <is>
          <t>연결</t>
        </is>
      </c>
      <c r="D1207" s="6" t="inlineStr">
        <is>
          <t>2026Q2</t>
        </is>
      </c>
      <c r="E1207" s="6" t="inlineStr"/>
      <c r="F1207" s="7" t="inlineStr"/>
      <c r="G1207" s="8" t="inlineStr"/>
      <c r="H1207" s="8" t="inlineStr"/>
      <c r="I1207" s="9" t="n">
        <v>15378</v>
      </c>
      <c r="J1207" s="10" t="n">
        <v>676</v>
      </c>
      <c r="K1207" s="10" t="n">
        <v>643</v>
      </c>
      <c r="L1207" s="7" t="n">
        <v>16637</v>
      </c>
      <c r="M1207" s="8" t="n">
        <v>1015</v>
      </c>
      <c r="N1207" s="8" t="n">
        <v>1195</v>
      </c>
      <c r="O1207" s="9" t="n">
        <v>22818</v>
      </c>
      <c r="P1207" s="10" t="n">
        <v>500</v>
      </c>
      <c r="Q1207" s="10" t="n">
        <v>645</v>
      </c>
      <c r="R1207" s="7" t="n">
        <v>30288</v>
      </c>
      <c r="S1207" s="8" t="n">
        <v>2882</v>
      </c>
      <c r="T1207" s="8" t="n">
        <v>2682</v>
      </c>
      <c r="U1207" s="9" t="n">
        <v>28066</v>
      </c>
      <c r="V1207" s="10" t="n">
        <v>1541</v>
      </c>
      <c r="W1207" s="10" t="n">
        <v>1336</v>
      </c>
      <c r="X1207" s="7" t="n">
        <v>29220</v>
      </c>
      <c r="Y1207" s="8" t="n">
        <v>1478</v>
      </c>
      <c r="Z1207" s="8" t="n">
        <v>1193</v>
      </c>
      <c r="AA1207" s="9" t="n">
        <v>31922</v>
      </c>
      <c r="AB1207" s="10" t="n">
        <v>2521</v>
      </c>
      <c r="AC1207" s="10" t="n">
        <v>2429</v>
      </c>
      <c r="AD1207" s="7" t="n">
        <v>31651</v>
      </c>
      <c r="AE1207" s="8" t="n">
        <v>3450</v>
      </c>
      <c r="AF1207" s="8" t="n">
        <v>2768</v>
      </c>
      <c r="AG1207" s="9" t="n">
        <v>38858</v>
      </c>
      <c r="AH1207" s="10" t="n">
        <v>3792</v>
      </c>
      <c r="AI1207" s="10" t="n">
        <v>3378</v>
      </c>
      <c r="AJ1207" s="11" t="n">
        <v>41225</v>
      </c>
      <c r="AK1207" s="12" t="n">
        <v>3630</v>
      </c>
      <c r="AL1207" s="12" t="n">
        <v>2985</v>
      </c>
      <c r="AM1207" s="13" t="n">
        <v>6.1</v>
      </c>
      <c r="AN1207" s="13" t="n">
        <v>41.1</v>
      </c>
      <c r="AO1207" s="13" t="n">
        <v>-4.3</v>
      </c>
      <c r="AP1207" s="13" t="n">
        <v>145.6</v>
      </c>
    </row>
    <row r="1208">
      <c r="A1208" s="5" t="inlineStr">
        <is>
          <t>에이치시티</t>
        </is>
      </c>
      <c r="B1208" s="6" t="inlineStr">
        <is>
          <t>072990</t>
        </is>
      </c>
      <c r="C1208" s="6" t="inlineStr">
        <is>
          <t>연결</t>
        </is>
      </c>
      <c r="D1208" s="6" t="inlineStr">
        <is>
          <t>2026Q2</t>
        </is>
      </c>
      <c r="E1208" s="6" t="inlineStr"/>
      <c r="F1208" s="7" t="inlineStr"/>
      <c r="G1208" s="8" t="inlineStr"/>
      <c r="H1208" s="8" t="inlineStr"/>
      <c r="I1208" s="9" t="n">
        <v>19909</v>
      </c>
      <c r="J1208" s="10" t="n">
        <v>1771</v>
      </c>
      <c r="K1208" s="10" t="n">
        <v>1300</v>
      </c>
      <c r="L1208" s="7" t="n">
        <v>23980</v>
      </c>
      <c r="M1208" s="8" t="n">
        <v>3846</v>
      </c>
      <c r="N1208" s="8" t="n">
        <v>2953</v>
      </c>
      <c r="O1208" s="9" t="n">
        <v>24205</v>
      </c>
      <c r="P1208" s="10" t="n">
        <v>2763</v>
      </c>
      <c r="Q1208" s="10" t="n">
        <v>2293</v>
      </c>
      <c r="R1208" s="7" t="n">
        <v>26311</v>
      </c>
      <c r="S1208" s="8" t="n">
        <v>2826</v>
      </c>
      <c r="T1208" s="8" t="n">
        <v>-1214</v>
      </c>
      <c r="U1208" s="9" t="n">
        <v>25671</v>
      </c>
      <c r="V1208" s="10" t="n">
        <v>1438</v>
      </c>
      <c r="W1208" s="10" t="n">
        <v>715</v>
      </c>
      <c r="X1208" s="7" t="n">
        <v>29187</v>
      </c>
      <c r="Y1208" s="8" t="n">
        <v>4969</v>
      </c>
      <c r="Z1208" s="8" t="n">
        <v>3303</v>
      </c>
      <c r="AA1208" s="9" t="n">
        <v>28067</v>
      </c>
      <c r="AB1208" s="10" t="n">
        <v>4452</v>
      </c>
      <c r="AC1208" s="10" t="n">
        <v>3291</v>
      </c>
      <c r="AD1208" s="7" t="n">
        <v>24602</v>
      </c>
      <c r="AE1208" s="8" t="n">
        <v>-2586</v>
      </c>
      <c r="AF1208" s="8" t="n">
        <v>-2087</v>
      </c>
      <c r="AG1208" s="9" t="n">
        <v>24719</v>
      </c>
      <c r="AH1208" s="10" t="n">
        <v>405</v>
      </c>
      <c r="AI1208" s="10" t="n">
        <v>-115</v>
      </c>
      <c r="AJ1208" s="11" t="n">
        <v>25615</v>
      </c>
      <c r="AK1208" s="12" t="n">
        <v>-403</v>
      </c>
      <c r="AL1208" s="12" t="n">
        <v>-818</v>
      </c>
      <c r="AM1208" s="13" t="n">
        <v>3.6</v>
      </c>
      <c r="AN1208" s="13" t="n">
        <v>-12.2</v>
      </c>
      <c r="AO1208" s="13" t="n">
        <v>-199.5</v>
      </c>
      <c r="AP1208" s="13" t="n">
        <v>-108.1</v>
      </c>
    </row>
    <row r="1209">
      <c r="A1209" s="5" t="inlineStr">
        <is>
          <t>케이에스피</t>
        </is>
      </c>
      <c r="B1209" s="6" t="inlineStr">
        <is>
          <t>073010</t>
        </is>
      </c>
      <c r="C1209" s="6" t="inlineStr">
        <is>
          <t>연결</t>
        </is>
      </c>
      <c r="D1209" s="6" t="inlineStr">
        <is>
          <t>2026Q2</t>
        </is>
      </c>
      <c r="E1209" s="6" t="inlineStr"/>
      <c r="F1209" s="7" t="inlineStr"/>
      <c r="G1209" s="8" t="inlineStr"/>
      <c r="H1209" s="8" t="inlineStr"/>
      <c r="I1209" s="9" t="n">
        <v>21390</v>
      </c>
      <c r="J1209" s="10" t="n">
        <v>3913</v>
      </c>
      <c r="K1209" s="10" t="n">
        <v>3841</v>
      </c>
      <c r="L1209" s="7" t="n">
        <v>20562</v>
      </c>
      <c r="M1209" s="8" t="n">
        <v>4190</v>
      </c>
      <c r="N1209" s="8" t="n">
        <v>3896</v>
      </c>
      <c r="O1209" s="9" t="n">
        <v>19049</v>
      </c>
      <c r="P1209" s="10" t="n">
        <v>3282</v>
      </c>
      <c r="Q1209" s="10" t="n">
        <v>2581</v>
      </c>
      <c r="R1209" s="7" t="n">
        <v>24264</v>
      </c>
      <c r="S1209" s="8" t="n">
        <v>2425</v>
      </c>
      <c r="T1209" s="8" t="n">
        <v>4973</v>
      </c>
      <c r="U1209" s="9" t="n">
        <v>21745</v>
      </c>
      <c r="V1209" s="10" t="n">
        <v>2809</v>
      </c>
      <c r="W1209" s="10" t="n">
        <v>2024</v>
      </c>
      <c r="X1209" s="7" t="n">
        <v>23669</v>
      </c>
      <c r="Y1209" s="8" t="n">
        <v>3341</v>
      </c>
      <c r="Z1209" s="8" t="n">
        <v>2067</v>
      </c>
      <c r="AA1209" s="9" t="n">
        <v>24219</v>
      </c>
      <c r="AB1209" s="10" t="n">
        <v>2953</v>
      </c>
      <c r="AC1209" s="10" t="n">
        <v>1966</v>
      </c>
      <c r="AD1209" s="7" t="n">
        <v>25900</v>
      </c>
      <c r="AE1209" s="8" t="n">
        <v>2437</v>
      </c>
      <c r="AF1209" s="8" t="n">
        <v>502</v>
      </c>
      <c r="AG1209" s="9" t="n">
        <v>25021</v>
      </c>
      <c r="AH1209" s="10" t="n">
        <v>4026</v>
      </c>
      <c r="AI1209" s="10" t="n">
        <v>2488</v>
      </c>
      <c r="AJ1209" s="11" t="n">
        <v>31358</v>
      </c>
      <c r="AK1209" s="12" t="n">
        <v>4297</v>
      </c>
      <c r="AL1209" s="12" t="n">
        <v>2953</v>
      </c>
      <c r="AM1209" s="13" t="n">
        <v>25.3</v>
      </c>
      <c r="AN1209" s="13" t="n">
        <v>32.5</v>
      </c>
      <c r="AO1209" s="13" t="n">
        <v>6.7</v>
      </c>
      <c r="AP1209" s="13" t="n">
        <v>28.6</v>
      </c>
    </row>
    <row r="1210">
      <c r="A1210" s="5" t="inlineStr">
        <is>
          <t>엘엠에스</t>
        </is>
      </c>
      <c r="B1210" s="6" t="inlineStr">
        <is>
          <t>073110</t>
        </is>
      </c>
      <c r="C1210" s="6" t="inlineStr">
        <is>
          <t>연결</t>
        </is>
      </c>
      <c r="D1210" s="6" t="inlineStr">
        <is>
          <t>2026Q2</t>
        </is>
      </c>
      <c r="E1210" s="6" t="inlineStr"/>
      <c r="F1210" s="7" t="inlineStr"/>
      <c r="G1210" s="8" t="inlineStr"/>
      <c r="H1210" s="8" t="inlineStr"/>
      <c r="I1210" s="9" t="n">
        <v>23569</v>
      </c>
      <c r="J1210" s="10" t="n">
        <v>4772</v>
      </c>
      <c r="K1210" s="10" t="n">
        <v>5103</v>
      </c>
      <c r="L1210" s="7" t="n">
        <v>15845</v>
      </c>
      <c r="M1210" s="8" t="n">
        <v>-1730</v>
      </c>
      <c r="N1210" s="8" t="n">
        <v>-1703</v>
      </c>
      <c r="O1210" s="9" t="n">
        <v>14686</v>
      </c>
      <c r="P1210" s="10" t="n">
        <v>-2729</v>
      </c>
      <c r="Q1210" s="10" t="n">
        <v>-3844</v>
      </c>
      <c r="R1210" s="7" t="n">
        <v>13610</v>
      </c>
      <c r="S1210" s="8" t="n">
        <v>-3983</v>
      </c>
      <c r="T1210" s="8" t="n">
        <v>-4172</v>
      </c>
      <c r="U1210" s="9" t="n">
        <v>14733</v>
      </c>
      <c r="V1210" s="10" t="n">
        <v>-1450</v>
      </c>
      <c r="W1210" s="10" t="n">
        <v>-1590</v>
      </c>
      <c r="X1210" s="7" t="n">
        <v>18049</v>
      </c>
      <c r="Y1210" s="8" t="n">
        <v>-3478</v>
      </c>
      <c r="Z1210" s="8" t="n">
        <v>-6197</v>
      </c>
      <c r="AA1210" s="9" t="n">
        <v>17846</v>
      </c>
      <c r="AB1210" s="10" t="n">
        <v>-2656</v>
      </c>
      <c r="AC1210" s="10" t="n">
        <v>-112</v>
      </c>
      <c r="AD1210" s="7" t="n">
        <v>18946</v>
      </c>
      <c r="AE1210" s="8" t="n">
        <v>-2037</v>
      </c>
      <c r="AF1210" s="8" t="n">
        <v>-4231</v>
      </c>
      <c r="AG1210" s="9" t="n">
        <v>22350</v>
      </c>
      <c r="AH1210" s="10" t="n">
        <v>-836</v>
      </c>
      <c r="AI1210" s="10" t="n">
        <v>3690</v>
      </c>
      <c r="AJ1210" s="11" t="n">
        <v>26681</v>
      </c>
      <c r="AK1210" s="12" t="n">
        <v>1674</v>
      </c>
      <c r="AL1210" s="12" t="n">
        <v>3760</v>
      </c>
      <c r="AM1210" s="13" t="n">
        <v>19.4</v>
      </c>
      <c r="AN1210" s="13" t="n">
        <v>47.8</v>
      </c>
      <c r="AO1210" s="13" t="n">
        <v>300.2</v>
      </c>
      <c r="AP1210" s="13" t="n">
        <v>148.1</v>
      </c>
    </row>
    <row r="1211">
      <c r="A1211" s="5" t="inlineStr">
        <is>
          <t>듀오백</t>
        </is>
      </c>
      <c r="B1211" s="6" t="inlineStr">
        <is>
          <t>073190</t>
        </is>
      </c>
      <c r="C1211" s="6" t="inlineStr">
        <is>
          <t>별도</t>
        </is>
      </c>
      <c r="D1211" s="6" t="inlineStr">
        <is>
          <t>2026Q2</t>
        </is>
      </c>
      <c r="E1211" s="6" t="inlineStr"/>
      <c r="F1211" s="7" t="inlineStr"/>
      <c r="G1211" s="8" t="inlineStr"/>
      <c r="H1211" s="8" t="inlineStr"/>
      <c r="I1211" s="9" t="n">
        <v>6701</v>
      </c>
      <c r="J1211" s="10" t="n">
        <v>-271</v>
      </c>
      <c r="K1211" s="10" t="n">
        <v>-248</v>
      </c>
      <c r="L1211" s="7" t="n">
        <v>6290</v>
      </c>
      <c r="M1211" s="8" t="n">
        <v>-898</v>
      </c>
      <c r="N1211" s="8" t="n">
        <v>-875</v>
      </c>
      <c r="O1211" s="9" t="n">
        <v>4767</v>
      </c>
      <c r="P1211" s="10" t="n">
        <v>-1225</v>
      </c>
      <c r="Q1211" s="10" t="n">
        <v>-1307</v>
      </c>
      <c r="R1211" s="7" t="n">
        <v>5345</v>
      </c>
      <c r="S1211" s="8" t="n">
        <v>-980</v>
      </c>
      <c r="T1211" s="8" t="n">
        <v>-1131</v>
      </c>
      <c r="U1211" s="9" t="n">
        <v>5419</v>
      </c>
      <c r="V1211" s="10" t="n">
        <v>-765</v>
      </c>
      <c r="W1211" s="10" t="n">
        <v>-657</v>
      </c>
      <c r="X1211" s="7" t="n">
        <v>4538</v>
      </c>
      <c r="Y1211" s="8" t="n">
        <v>-680</v>
      </c>
      <c r="Z1211" s="8" t="n">
        <v>-823</v>
      </c>
      <c r="AA1211" s="9" t="n">
        <v>4828</v>
      </c>
      <c r="AB1211" s="10" t="n">
        <v>-779</v>
      </c>
      <c r="AC1211" s="10" t="n">
        <v>-796</v>
      </c>
      <c r="AD1211" s="7" t="n">
        <v>5310</v>
      </c>
      <c r="AE1211" s="8" t="n">
        <v>-796</v>
      </c>
      <c r="AF1211" s="8" t="n">
        <v>-2306</v>
      </c>
      <c r="AG1211" s="9" t="n">
        <v>6261</v>
      </c>
      <c r="AH1211" s="10" t="n">
        <v>-234</v>
      </c>
      <c r="AI1211" s="10" t="n">
        <v>-286</v>
      </c>
      <c r="AJ1211" s="11" t="n">
        <v>5782</v>
      </c>
      <c r="AK1211" s="12" t="n">
        <v>-652</v>
      </c>
      <c r="AL1211" s="12" t="n">
        <v>-659</v>
      </c>
      <c r="AM1211" s="13" t="n">
        <v>-7.7</v>
      </c>
      <c r="AN1211" s="13" t="n">
        <v>27.4</v>
      </c>
      <c r="AO1211" s="13" t="n">
        <v>-178.6</v>
      </c>
      <c r="AP1211" s="13" t="n">
        <v>4.1</v>
      </c>
    </row>
    <row r="1212">
      <c r="A1212" s="5" t="inlineStr">
        <is>
          <t>금호타이어</t>
        </is>
      </c>
      <c r="B1212" s="6" t="inlineStr">
        <is>
          <t>073240</t>
        </is>
      </c>
      <c r="C1212" s="6" t="inlineStr">
        <is>
          <t>연결</t>
        </is>
      </c>
      <c r="D1212" s="6" t="inlineStr">
        <is>
          <t>2026Q2</t>
        </is>
      </c>
      <c r="E1212" s="6" t="inlineStr">
        <is>
          <t>2023Q4</t>
        </is>
      </c>
      <c r="F1212" s="14" t="n">
        <v>1060876</v>
      </c>
      <c r="G1212" s="15" t="n">
        <v>172139</v>
      </c>
      <c r="H1212" s="15" t="n">
        <v>90268</v>
      </c>
      <c r="I1212" s="9" t="n">
        <v>1044507</v>
      </c>
      <c r="J1212" s="10" t="n">
        <v>145630</v>
      </c>
      <c r="K1212" s="10" t="n">
        <v>90984</v>
      </c>
      <c r="L1212" s="7" t="n">
        <v>1131937</v>
      </c>
      <c r="M1212" s="8" t="n">
        <v>151509</v>
      </c>
      <c r="N1212" s="8" t="n">
        <v>80810</v>
      </c>
      <c r="O1212" s="9" t="n">
        <v>1114995</v>
      </c>
      <c r="P1212" s="10" t="n">
        <v>140223</v>
      </c>
      <c r="Q1212" s="10" t="n">
        <v>92202</v>
      </c>
      <c r="R1212" s="7" t="n">
        <v>1240739</v>
      </c>
      <c r="S1212" s="8" t="n">
        <v>151230</v>
      </c>
      <c r="T1212" s="8" t="n">
        <v>87622</v>
      </c>
      <c r="U1212" s="9" t="n">
        <v>1206213</v>
      </c>
      <c r="V1212" s="10" t="n">
        <v>146551</v>
      </c>
      <c r="W1212" s="10" t="n">
        <v>103001</v>
      </c>
      <c r="X1212" s="7" t="n">
        <v>1221253</v>
      </c>
      <c r="Y1212" s="8" t="n">
        <v>175175</v>
      </c>
      <c r="Z1212" s="8" t="n">
        <v>5543</v>
      </c>
      <c r="AA1212" s="9" t="n">
        <v>1113746</v>
      </c>
      <c r="AB1212" s="10" t="n">
        <v>108507</v>
      </c>
      <c r="AC1212" s="10" t="n">
        <v>91548</v>
      </c>
      <c r="AD1212" s="7" t="n">
        <v>1160070</v>
      </c>
      <c r="AE1212" s="8" t="n">
        <v>145626</v>
      </c>
      <c r="AF1212" s="8" t="n">
        <v>176681</v>
      </c>
      <c r="AG1212" s="9" t="n">
        <v>1167810</v>
      </c>
      <c r="AH1212" s="10" t="n">
        <v>147027</v>
      </c>
      <c r="AI1212" s="10" t="n">
        <v>103424</v>
      </c>
      <c r="AJ1212" s="11" t="n">
        <v>1332767</v>
      </c>
      <c r="AK1212" s="12" t="n">
        <v>182238</v>
      </c>
      <c r="AL1212" s="12" t="n">
        <v>137774</v>
      </c>
      <c r="AM1212" s="13" t="n">
        <v>14.1</v>
      </c>
      <c r="AN1212" s="13" t="n">
        <v>9.1</v>
      </c>
      <c r="AO1212" s="13" t="n">
        <v>23.9</v>
      </c>
      <c r="AP1212" s="13" t="n">
        <v>4</v>
      </c>
    </row>
    <row r="1213">
      <c r="A1213" s="5" t="inlineStr">
        <is>
          <t>LIG아큐버</t>
        </is>
      </c>
      <c r="B1213" s="6" t="inlineStr">
        <is>
          <t>073490</t>
        </is>
      </c>
      <c r="C1213" s="6" t="inlineStr">
        <is>
          <t>연결</t>
        </is>
      </c>
      <c r="D1213" s="6" t="inlineStr">
        <is>
          <t>2026Q2</t>
        </is>
      </c>
      <c r="E1213" s="6" t="inlineStr"/>
      <c r="F1213" s="7" t="inlineStr"/>
      <c r="G1213" s="8" t="inlineStr"/>
      <c r="H1213" s="8" t="inlineStr"/>
      <c r="I1213" s="9" t="n">
        <v>40429</v>
      </c>
      <c r="J1213" s="10" t="n">
        <v>-5020</v>
      </c>
      <c r="K1213" s="10" t="n">
        <v>-4037</v>
      </c>
      <c r="L1213" s="7" t="n">
        <v>41300</v>
      </c>
      <c r="M1213" s="8" t="n">
        <v>-3632</v>
      </c>
      <c r="N1213" s="8" t="n">
        <v>-2779</v>
      </c>
      <c r="O1213" s="9" t="n">
        <v>49604</v>
      </c>
      <c r="P1213" s="10" t="n">
        <v>4525</v>
      </c>
      <c r="Q1213" s="10" t="n">
        <v>3551</v>
      </c>
      <c r="R1213" s="7" t="n">
        <v>58387</v>
      </c>
      <c r="S1213" s="8" t="n">
        <v>6565</v>
      </c>
      <c r="T1213" s="8" t="n">
        <v>6173</v>
      </c>
      <c r="U1213" s="9" t="n">
        <v>37891</v>
      </c>
      <c r="V1213" s="10" t="n">
        <v>-4753</v>
      </c>
      <c r="W1213" s="10" t="n">
        <v>-4450</v>
      </c>
      <c r="X1213" s="7" t="n">
        <v>44927</v>
      </c>
      <c r="Y1213" s="8" t="n">
        <v>-1624</v>
      </c>
      <c r="Z1213" s="8" t="n">
        <v>-2706</v>
      </c>
      <c r="AA1213" s="9" t="n">
        <v>41591</v>
      </c>
      <c r="AB1213" s="10" t="n">
        <v>-2525</v>
      </c>
      <c r="AC1213" s="10" t="n">
        <v>-2193</v>
      </c>
      <c r="AD1213" s="7" t="n">
        <v>61692</v>
      </c>
      <c r="AE1213" s="8" t="n">
        <v>7782</v>
      </c>
      <c r="AF1213" s="8" t="n">
        <v>8150</v>
      </c>
      <c r="AG1213" s="9" t="n">
        <v>45465</v>
      </c>
      <c r="AH1213" s="10" t="n">
        <v>-276</v>
      </c>
      <c r="AI1213" s="10" t="n">
        <v>-270</v>
      </c>
      <c r="AJ1213" s="11" t="n">
        <v>63669</v>
      </c>
      <c r="AK1213" s="12" t="n">
        <v>5644</v>
      </c>
      <c r="AL1213" s="12" t="n">
        <v>4583</v>
      </c>
      <c r="AM1213" s="13" t="n">
        <v>40</v>
      </c>
      <c r="AN1213" s="13" t="n">
        <v>41.7</v>
      </c>
      <c r="AO1213" s="13" t="n">
        <v>2144.9</v>
      </c>
      <c r="AP1213" s="13" t="n">
        <v>447.5</v>
      </c>
    </row>
    <row r="1214">
      <c r="A1214" s="5" t="inlineStr">
        <is>
          <t>에프알텍</t>
        </is>
      </c>
      <c r="B1214" s="6" t="inlineStr">
        <is>
          <t>073540</t>
        </is>
      </c>
      <c r="C1214" s="6" t="inlineStr">
        <is>
          <t>연결</t>
        </is>
      </c>
      <c r="D1214" s="6" t="inlineStr">
        <is>
          <t>2026Q2</t>
        </is>
      </c>
      <c r="E1214" s="6" t="inlineStr"/>
      <c r="F1214" s="7" t="inlineStr"/>
      <c r="G1214" s="8" t="inlineStr"/>
      <c r="H1214" s="8" t="inlineStr"/>
      <c r="I1214" s="9" t="n">
        <v>5808176</v>
      </c>
      <c r="J1214" s="10" t="n">
        <v>-771065</v>
      </c>
      <c r="K1214" s="10" t="n">
        <v>-594269</v>
      </c>
      <c r="L1214" s="7" t="n">
        <v>4276</v>
      </c>
      <c r="M1214" s="8" t="n">
        <v>-606</v>
      </c>
      <c r="N1214" s="8" t="n">
        <v>253</v>
      </c>
      <c r="O1214" s="9" t="n">
        <v>10354</v>
      </c>
      <c r="P1214" s="10" t="n">
        <v>14</v>
      </c>
      <c r="Q1214" s="10" t="n">
        <v>454</v>
      </c>
      <c r="R1214" s="7" t="n">
        <v>-5793046</v>
      </c>
      <c r="S1214" s="8" t="n">
        <v>772472</v>
      </c>
      <c r="T1214" s="8" t="n">
        <v>594814</v>
      </c>
      <c r="U1214" s="9" t="n">
        <v>9193</v>
      </c>
      <c r="V1214" s="10" t="n">
        <v>644</v>
      </c>
      <c r="W1214" s="10" t="n">
        <v>1529</v>
      </c>
      <c r="X1214" s="7" t="n">
        <v>4145</v>
      </c>
      <c r="Y1214" s="8" t="n">
        <v>-19</v>
      </c>
      <c r="Z1214" s="8" t="n">
        <v>-58</v>
      </c>
      <c r="AA1214" s="9" t="n">
        <v>5601</v>
      </c>
      <c r="AB1214" s="10" t="n">
        <v>-159</v>
      </c>
      <c r="AC1214" s="10" t="n">
        <v>118</v>
      </c>
      <c r="AD1214" s="7" t="n">
        <v>6325</v>
      </c>
      <c r="AE1214" s="8" t="n">
        <v>454</v>
      </c>
      <c r="AF1214" s="8" t="n">
        <v>615</v>
      </c>
      <c r="AG1214" s="9" t="n">
        <v>4081</v>
      </c>
      <c r="AH1214" s="10" t="n">
        <v>-514</v>
      </c>
      <c r="AI1214" s="10" t="n">
        <v>-319</v>
      </c>
      <c r="AJ1214" s="11" t="n">
        <v>1832</v>
      </c>
      <c r="AK1214" s="12" t="n">
        <v>-1175</v>
      </c>
      <c r="AL1214" s="12" t="n">
        <v>-1041</v>
      </c>
      <c r="AM1214" s="13" t="n">
        <v>-55.1</v>
      </c>
      <c r="AN1214" s="13" t="n">
        <v>-55.8</v>
      </c>
      <c r="AO1214" s="13" t="n">
        <v>-128.6</v>
      </c>
      <c r="AP1214" s="13" t="n">
        <v>-6084.2</v>
      </c>
    </row>
    <row r="1215">
      <c r="A1215" s="5" t="inlineStr">
        <is>
          <t>우리손에프앤지</t>
        </is>
      </c>
      <c r="B1215" s="6" t="inlineStr">
        <is>
          <t>073560</t>
        </is>
      </c>
      <c r="C1215" s="6" t="inlineStr">
        <is>
          <t>연결</t>
        </is>
      </c>
      <c r="D1215" s="6" t="inlineStr">
        <is>
          <t>2026Q2</t>
        </is>
      </c>
      <c r="E1215" s="6" t="inlineStr"/>
      <c r="F1215" s="7" t="inlineStr"/>
      <c r="G1215" s="8" t="inlineStr"/>
      <c r="H1215" s="8" t="inlineStr"/>
      <c r="I1215" s="9" t="n">
        <v>64978</v>
      </c>
      <c r="J1215" s="10" t="n">
        <v>2240</v>
      </c>
      <c r="K1215" s="10" t="n">
        <v>1335</v>
      </c>
      <c r="L1215" s="7" t="n">
        <v>73395</v>
      </c>
      <c r="M1215" s="8" t="n">
        <v>17820</v>
      </c>
      <c r="N1215" s="8" t="n">
        <v>12329</v>
      </c>
      <c r="O1215" s="9" t="n">
        <v>73331</v>
      </c>
      <c r="P1215" s="10" t="n">
        <v>8255</v>
      </c>
      <c r="Q1215" s="10" t="n">
        <v>6197</v>
      </c>
      <c r="R1215" s="7" t="n">
        <v>80959</v>
      </c>
      <c r="S1215" s="8" t="n">
        <v>-788</v>
      </c>
      <c r="T1215" s="8" t="n">
        <v>-4280</v>
      </c>
      <c r="U1215" s="9" t="n">
        <v>69562</v>
      </c>
      <c r="V1215" s="10" t="n">
        <v>734</v>
      </c>
      <c r="W1215" s="10" t="n">
        <v>-1020</v>
      </c>
      <c r="X1215" s="7" t="n">
        <v>70767</v>
      </c>
      <c r="Y1215" s="8" t="n">
        <v>16526</v>
      </c>
      <c r="Z1215" s="8" t="n">
        <v>11220</v>
      </c>
      <c r="AA1215" s="9" t="n">
        <v>71389</v>
      </c>
      <c r="AB1215" s="10" t="n">
        <v>18646</v>
      </c>
      <c r="AC1215" s="10" t="n">
        <v>16035</v>
      </c>
      <c r="AD1215" s="7" t="n">
        <v>75332</v>
      </c>
      <c r="AE1215" s="8" t="n">
        <v>-3215</v>
      </c>
      <c r="AF1215" s="8" t="n">
        <v>-2640</v>
      </c>
      <c r="AG1215" s="9" t="n">
        <v>71126</v>
      </c>
      <c r="AH1215" s="10" t="n">
        <v>2659</v>
      </c>
      <c r="AI1215" s="10" t="n">
        <v>825</v>
      </c>
      <c r="AJ1215" s="11" t="n">
        <v>77007</v>
      </c>
      <c r="AK1215" s="12" t="n">
        <v>17018</v>
      </c>
      <c r="AL1215" s="12" t="n">
        <v>12469</v>
      </c>
      <c r="AM1215" s="13" t="n">
        <v>8.300000000000001</v>
      </c>
      <c r="AN1215" s="13" t="n">
        <v>8.800000000000001</v>
      </c>
      <c r="AO1215" s="13" t="n">
        <v>540</v>
      </c>
      <c r="AP1215" s="13" t="n">
        <v>3</v>
      </c>
    </row>
    <row r="1216">
      <c r="A1216" s="5" t="inlineStr">
        <is>
          <t>리튬포어스</t>
        </is>
      </c>
      <c r="B1216" s="6" t="inlineStr">
        <is>
          <t>073570</t>
        </is>
      </c>
      <c r="C1216" s="6" t="inlineStr">
        <is>
          <t>연결</t>
        </is>
      </c>
      <c r="D1216" s="6" t="inlineStr">
        <is>
          <t>2026Q2</t>
        </is>
      </c>
      <c r="E1216" s="6" t="inlineStr"/>
      <c r="F1216" s="7" t="inlineStr"/>
      <c r="G1216" s="8" t="inlineStr"/>
      <c r="H1216" s="8" t="inlineStr"/>
      <c r="I1216" s="9" t="n">
        <v>3184</v>
      </c>
      <c r="J1216" s="10" t="n">
        <v>-1626</v>
      </c>
      <c r="K1216" s="10" t="n">
        <v>-18042</v>
      </c>
      <c r="L1216" s="7" t="n">
        <v>3585</v>
      </c>
      <c r="M1216" s="8" t="n">
        <v>-531</v>
      </c>
      <c r="N1216" s="8" t="n">
        <v>-71223</v>
      </c>
      <c r="O1216" s="9" t="n">
        <v>3459</v>
      </c>
      <c r="P1216" s="10" t="n">
        <v>-1744</v>
      </c>
      <c r="Q1216" s="10" t="n">
        <v>-10371</v>
      </c>
      <c r="R1216" s="7" t="n">
        <v>4936</v>
      </c>
      <c r="S1216" s="8" t="n">
        <v>-1320</v>
      </c>
      <c r="T1216" s="8" t="n">
        <v>-2594</v>
      </c>
      <c r="U1216" s="9" t="n">
        <v>2339</v>
      </c>
      <c r="V1216" s="10" t="n">
        <v>-1160</v>
      </c>
      <c r="W1216" s="10" t="n">
        <v>-789</v>
      </c>
      <c r="X1216" s="7" t="n">
        <v>2583</v>
      </c>
      <c r="Y1216" s="8" t="n">
        <v>-1377</v>
      </c>
      <c r="Z1216" s="8" t="n">
        <v>-1830</v>
      </c>
      <c r="AA1216" s="9" t="n">
        <v>2671</v>
      </c>
      <c r="AB1216" s="10" t="n">
        <v>-841</v>
      </c>
      <c r="AC1216" s="10" t="n">
        <v>-455</v>
      </c>
      <c r="AD1216" s="7" t="n">
        <v>3061</v>
      </c>
      <c r="AE1216" s="8" t="n">
        <v>-1104</v>
      </c>
      <c r="AF1216" s="8" t="n">
        <v>-10330</v>
      </c>
      <c r="AG1216" s="9" t="n">
        <v>2926</v>
      </c>
      <c r="AH1216" s="10" t="n">
        <v>-1900</v>
      </c>
      <c r="AI1216" s="10" t="n">
        <v>-1268</v>
      </c>
      <c r="AJ1216" s="11" t="n">
        <v>4875</v>
      </c>
      <c r="AK1216" s="12" t="n">
        <v>-1332</v>
      </c>
      <c r="AL1216" s="12" t="n">
        <v>1184</v>
      </c>
      <c r="AM1216" s="13" t="n">
        <v>66.59999999999999</v>
      </c>
      <c r="AN1216" s="13" t="n">
        <v>88.7</v>
      </c>
      <c r="AO1216" s="13" t="n">
        <v>29.9</v>
      </c>
      <c r="AP1216" s="13" t="n">
        <v>3.3</v>
      </c>
    </row>
    <row r="1217">
      <c r="A1217" s="5" t="inlineStr">
        <is>
          <t>테라사이언스</t>
        </is>
      </c>
      <c r="B1217" s="6" t="inlineStr">
        <is>
          <t>073640</t>
        </is>
      </c>
      <c r="C1217" s="6" t="inlineStr">
        <is>
          <t>연결</t>
        </is>
      </c>
      <c r="D1217" s="6" t="inlineStr">
        <is>
          <t>2026Q2</t>
        </is>
      </c>
      <c r="E1217" s="6" t="inlineStr"/>
      <c r="F1217" s="7" t="inlineStr"/>
      <c r="G1217" s="8" t="inlineStr"/>
      <c r="H1217" s="8" t="inlineStr"/>
      <c r="I1217" s="9" t="n">
        <v>5089</v>
      </c>
      <c r="J1217" s="10" t="n">
        <v>-3036</v>
      </c>
      <c r="K1217" s="10" t="n">
        <v>-3948</v>
      </c>
      <c r="L1217" s="7" t="n">
        <v>5016</v>
      </c>
      <c r="M1217" s="8" t="n">
        <v>-1828</v>
      </c>
      <c r="N1217" s="8" t="n">
        <v>-3321</v>
      </c>
      <c r="O1217" s="9" t="n">
        <v>3780</v>
      </c>
      <c r="P1217" s="10" t="n">
        <v>-2280</v>
      </c>
      <c r="Q1217" s="10" t="n">
        <v>-2323</v>
      </c>
      <c r="R1217" s="7" t="n">
        <v>3388</v>
      </c>
      <c r="S1217" s="8" t="n">
        <v>-2331</v>
      </c>
      <c r="T1217" s="8" t="n">
        <v>-423</v>
      </c>
      <c r="U1217" s="9" t="n">
        <v>3749</v>
      </c>
      <c r="V1217" s="10" t="n">
        <v>-2973</v>
      </c>
      <c r="W1217" s="10" t="n">
        <v>-5719</v>
      </c>
      <c r="X1217" s="7" t="n">
        <v>3645</v>
      </c>
      <c r="Y1217" s="8" t="n">
        <v>-2628</v>
      </c>
      <c r="Z1217" s="8" t="n">
        <v>-1692</v>
      </c>
      <c r="AA1217" s="9" t="n">
        <v>3297</v>
      </c>
      <c r="AB1217" s="10" t="n">
        <v>-2515</v>
      </c>
      <c r="AC1217" s="10" t="n">
        <v>-2574</v>
      </c>
      <c r="AD1217" s="7" t="n">
        <v>3443</v>
      </c>
      <c r="AE1217" s="8" t="n">
        <v>-2024</v>
      </c>
      <c r="AF1217" s="8" t="n">
        <v>-7259</v>
      </c>
      <c r="AG1217" s="9" t="n">
        <v>3750</v>
      </c>
      <c r="AH1217" s="10" t="n">
        <v>-1749</v>
      </c>
      <c r="AI1217" s="10" t="n">
        <v>-2005</v>
      </c>
      <c r="AJ1217" s="11" t="n">
        <v>3890</v>
      </c>
      <c r="AK1217" s="12" t="n">
        <v>-2128</v>
      </c>
      <c r="AL1217" s="12" t="inlineStr"/>
      <c r="AM1217" s="13" t="n">
        <v>3.7</v>
      </c>
      <c r="AN1217" s="13" t="n">
        <v>6.7</v>
      </c>
      <c r="AO1217" s="13" t="n">
        <v>-21.7</v>
      </c>
      <c r="AP1217" s="13" t="n">
        <v>19</v>
      </c>
    </row>
    <row r="1218">
      <c r="A1218" s="5" t="inlineStr">
        <is>
          <t>아미노로직스</t>
        </is>
      </c>
      <c r="B1218" s="6" t="inlineStr">
        <is>
          <t>074430</t>
        </is>
      </c>
      <c r="C1218" s="6" t="inlineStr">
        <is>
          <t>연결</t>
        </is>
      </c>
      <c r="D1218" s="6" t="inlineStr">
        <is>
          <t>2026Q2</t>
        </is>
      </c>
      <c r="E1218" s="6" t="inlineStr"/>
      <c r="F1218" s="7" t="inlineStr"/>
      <c r="G1218" s="8" t="inlineStr"/>
      <c r="H1218" s="8" t="inlineStr"/>
      <c r="I1218" s="9" t="n">
        <v>4937</v>
      </c>
      <c r="J1218" s="10" t="n">
        <v>99</v>
      </c>
      <c r="K1218" s="10" t="n">
        <v>1291</v>
      </c>
      <c r="L1218" s="7" t="n">
        <v>5440</v>
      </c>
      <c r="M1218" s="8" t="n">
        <v>266</v>
      </c>
      <c r="N1218" s="8" t="n">
        <v>451</v>
      </c>
      <c r="O1218" s="9" t="n">
        <v>2393</v>
      </c>
      <c r="P1218" s="10" t="n">
        <v>-2127</v>
      </c>
      <c r="Q1218" s="10" t="n">
        <v>-1535</v>
      </c>
      <c r="R1218" s="7" t="n">
        <v>4020</v>
      </c>
      <c r="S1218" s="8" t="n">
        <v>-391</v>
      </c>
      <c r="T1218" s="8" t="n">
        <v>-1827</v>
      </c>
      <c r="U1218" s="9" t="n">
        <v>4728</v>
      </c>
      <c r="V1218" s="10" t="n">
        <v>512</v>
      </c>
      <c r="W1218" s="10" t="n">
        <v>2330</v>
      </c>
      <c r="X1218" s="7" t="n">
        <v>4764</v>
      </c>
      <c r="Y1218" s="8" t="n">
        <v>216</v>
      </c>
      <c r="Z1218" s="8" t="n">
        <v>90</v>
      </c>
      <c r="AA1218" s="9" t="n">
        <v>6005</v>
      </c>
      <c r="AB1218" s="10" t="n">
        <v>1402</v>
      </c>
      <c r="AC1218" s="10" t="n">
        <v>1359</v>
      </c>
      <c r="AD1218" s="7" t="n">
        <v>6523</v>
      </c>
      <c r="AE1218" s="8" t="n">
        <v>1464</v>
      </c>
      <c r="AF1218" s="8" t="n">
        <v>-257</v>
      </c>
      <c r="AG1218" s="9" t="n">
        <v>5383</v>
      </c>
      <c r="AH1218" s="10" t="n">
        <v>630</v>
      </c>
      <c r="AI1218" s="10" t="n">
        <v>1067</v>
      </c>
      <c r="AJ1218" s="11" t="n">
        <v>8246</v>
      </c>
      <c r="AK1218" s="12" t="n">
        <v>1984</v>
      </c>
      <c r="AL1218" s="12" t="n">
        <v>990</v>
      </c>
      <c r="AM1218" s="13" t="n">
        <v>53.2</v>
      </c>
      <c r="AN1218" s="13" t="n">
        <v>73.09999999999999</v>
      </c>
      <c r="AO1218" s="13" t="n">
        <v>214.9</v>
      </c>
      <c r="AP1218" s="13" t="n">
        <v>818.5</v>
      </c>
    </row>
    <row r="1219">
      <c r="A1219" s="5" t="inlineStr">
        <is>
          <t>원익QnC</t>
        </is>
      </c>
      <c r="B1219" s="6" t="inlineStr">
        <is>
          <t>074600</t>
        </is>
      </c>
      <c r="C1219" s="6" t="inlineStr">
        <is>
          <t>연결</t>
        </is>
      </c>
      <c r="D1219" s="6" t="inlineStr">
        <is>
          <t>2026Q2</t>
        </is>
      </c>
      <c r="E1219" s="6" t="inlineStr">
        <is>
          <t>2023Q4</t>
        </is>
      </c>
      <c r="F1219" s="14" t="n">
        <v>202496</v>
      </c>
      <c r="G1219" s="15" t="n">
        <v>9110</v>
      </c>
      <c r="H1219" s="15" t="n">
        <v>2420</v>
      </c>
      <c r="I1219" s="9" t="n">
        <v>216354</v>
      </c>
      <c r="J1219" s="10" t="n">
        <v>32504</v>
      </c>
      <c r="K1219" s="10" t="n">
        <v>22570</v>
      </c>
      <c r="L1219" s="7" t="n">
        <v>232978</v>
      </c>
      <c r="M1219" s="8" t="n">
        <v>36316</v>
      </c>
      <c r="N1219" s="8" t="n">
        <v>20138</v>
      </c>
      <c r="O1219" s="9" t="n">
        <v>225115</v>
      </c>
      <c r="P1219" s="10" t="n">
        <v>29921</v>
      </c>
      <c r="Q1219" s="10" t="n">
        <v>13048</v>
      </c>
      <c r="R1219" s="7" t="n">
        <v>217092</v>
      </c>
      <c r="S1219" s="8" t="n">
        <v>-8129</v>
      </c>
      <c r="T1219" s="8" t="n">
        <v>5763</v>
      </c>
      <c r="U1219" s="9" t="n">
        <v>231373</v>
      </c>
      <c r="V1219" s="10" t="n">
        <v>19076</v>
      </c>
      <c r="W1219" s="10" t="n">
        <v>15361</v>
      </c>
      <c r="X1219" s="7" t="n">
        <v>232915</v>
      </c>
      <c r="Y1219" s="8" t="n">
        <v>14091</v>
      </c>
      <c r="Z1219" s="8" t="n">
        <v>-11594</v>
      </c>
      <c r="AA1219" s="9" t="n">
        <v>230269</v>
      </c>
      <c r="AB1219" s="10" t="n">
        <v>8000</v>
      </c>
      <c r="AC1219" s="10" t="n">
        <v>2585</v>
      </c>
      <c r="AD1219" s="7" t="n">
        <v>249084</v>
      </c>
      <c r="AE1219" s="8" t="n">
        <v>18443</v>
      </c>
      <c r="AF1219" s="8" t="n">
        <v>-5394</v>
      </c>
      <c r="AG1219" s="9" t="n">
        <v>256233</v>
      </c>
      <c r="AH1219" s="10" t="n">
        <v>21862</v>
      </c>
      <c r="AI1219" s="10" t="n">
        <v>14421</v>
      </c>
      <c r="AJ1219" s="11" t="n">
        <v>271857</v>
      </c>
      <c r="AK1219" s="12" t="n">
        <v>30873</v>
      </c>
      <c r="AL1219" s="12" t="n">
        <v>26732</v>
      </c>
      <c r="AM1219" s="13" t="n">
        <v>6.1</v>
      </c>
      <c r="AN1219" s="13" t="n">
        <v>16.7</v>
      </c>
      <c r="AO1219" s="13" t="n">
        <v>41.2</v>
      </c>
      <c r="AP1219" s="13" t="n">
        <v>119.1</v>
      </c>
    </row>
    <row r="1220">
      <c r="A1220" s="5" t="inlineStr">
        <is>
          <t>이엔플러스</t>
        </is>
      </c>
      <c r="B1220" s="6" t="inlineStr">
        <is>
          <t>074610</t>
        </is>
      </c>
      <c r="C1220" s="6" t="inlineStr">
        <is>
          <t>연결</t>
        </is>
      </c>
      <c r="D1220" s="6" t="inlineStr">
        <is>
          <t>2026Q2</t>
        </is>
      </c>
      <c r="E1220" s="6" t="inlineStr"/>
      <c r="F1220" s="7" t="inlineStr"/>
      <c r="G1220" s="8" t="inlineStr"/>
      <c r="H1220" s="8" t="inlineStr"/>
      <c r="I1220" s="9" t="n">
        <v>16005</v>
      </c>
      <c r="J1220" s="10" t="n">
        <v>-4659</v>
      </c>
      <c r="K1220" s="10" t="n">
        <v>-7637</v>
      </c>
      <c r="L1220" s="7" t="n">
        <v>13635</v>
      </c>
      <c r="M1220" s="8" t="n">
        <v>-8109</v>
      </c>
      <c r="N1220" s="8" t="n">
        <v>-14221</v>
      </c>
      <c r="O1220" s="9" t="n">
        <v>10794</v>
      </c>
      <c r="P1220" s="10" t="n">
        <v>-5763</v>
      </c>
      <c r="Q1220" s="10" t="n">
        <v>-10097</v>
      </c>
      <c r="R1220" s="7" t="n">
        <v>17880</v>
      </c>
      <c r="S1220" s="8" t="n">
        <v>-3854</v>
      </c>
      <c r="T1220" s="8" t="n">
        <v>-48769</v>
      </c>
      <c r="U1220" s="9" t="n">
        <v>9864</v>
      </c>
      <c r="V1220" s="10" t="n">
        <v>-4135</v>
      </c>
      <c r="W1220" s="10" t="n">
        <v>14602</v>
      </c>
      <c r="X1220" s="7" t="n">
        <v>5318</v>
      </c>
      <c r="Y1220" s="8" t="n">
        <v>-1084</v>
      </c>
      <c r="Z1220" s="8" t="n">
        <v>-5002</v>
      </c>
      <c r="AA1220" s="9" t="n">
        <v>7718</v>
      </c>
      <c r="AB1220" s="10" t="n">
        <v>-189</v>
      </c>
      <c r="AC1220" s="10" t="n">
        <v>-32</v>
      </c>
      <c r="AD1220" s="7" t="n">
        <v>6604</v>
      </c>
      <c r="AE1220" s="8" t="n">
        <v>2582</v>
      </c>
      <c r="AF1220" s="8" t="n">
        <v>-9177</v>
      </c>
      <c r="AG1220" s="9" t="n">
        <v>6303</v>
      </c>
      <c r="AH1220" s="10" t="n">
        <v>-638</v>
      </c>
      <c r="AI1220" s="10" t="n">
        <v>-609</v>
      </c>
      <c r="AJ1220" s="11" t="n">
        <v>2243</v>
      </c>
      <c r="AK1220" s="12" t="n">
        <v>-1155</v>
      </c>
      <c r="AL1220" s="12" t="n">
        <v>-1221</v>
      </c>
      <c r="AM1220" s="13" t="n">
        <v>-64.40000000000001</v>
      </c>
      <c r="AN1220" s="13" t="n">
        <v>-57.8</v>
      </c>
      <c r="AO1220" s="13" t="n">
        <v>-81</v>
      </c>
      <c r="AP1220" s="13" t="n">
        <v>-6.5</v>
      </c>
    </row>
    <row r="1221">
      <c r="A1221" s="5" t="inlineStr">
        <is>
          <t>플랜티넷</t>
        </is>
      </c>
      <c r="B1221" s="6" t="inlineStr">
        <is>
          <t>075130</t>
        </is>
      </c>
      <c r="C1221" s="6" t="inlineStr">
        <is>
          <t>연결</t>
        </is>
      </c>
      <c r="D1221" s="6" t="inlineStr">
        <is>
          <t>2026Q2</t>
        </is>
      </c>
      <c r="E1221" s="6" t="inlineStr"/>
      <c r="F1221" s="7" t="inlineStr"/>
      <c r="G1221" s="8" t="inlineStr"/>
      <c r="H1221" s="8" t="inlineStr"/>
      <c r="I1221" s="9" t="n">
        <v>7543</v>
      </c>
      <c r="J1221" s="10" t="n">
        <v>-77</v>
      </c>
      <c r="K1221" s="10" t="n">
        <v>4511</v>
      </c>
      <c r="L1221" s="7" t="n">
        <v>9118</v>
      </c>
      <c r="M1221" s="8" t="n">
        <v>931</v>
      </c>
      <c r="N1221" s="8" t="n">
        <v>-836</v>
      </c>
      <c r="O1221" s="9" t="n">
        <v>9721</v>
      </c>
      <c r="P1221" s="10" t="n">
        <v>872</v>
      </c>
      <c r="Q1221" s="10" t="n">
        <v>63</v>
      </c>
      <c r="R1221" s="7" t="n">
        <v>10295</v>
      </c>
      <c r="S1221" s="8" t="n">
        <v>414</v>
      </c>
      <c r="T1221" s="8" t="n">
        <v>-572</v>
      </c>
      <c r="U1221" s="9" t="n">
        <v>13245</v>
      </c>
      <c r="V1221" s="10" t="n">
        <v>3360</v>
      </c>
      <c r="W1221" s="10" t="n">
        <v>2566</v>
      </c>
      <c r="X1221" s="7" t="n">
        <v>11942</v>
      </c>
      <c r="Y1221" s="8" t="n">
        <v>133</v>
      </c>
      <c r="Z1221" s="8" t="n">
        <v>889</v>
      </c>
      <c r="AA1221" s="9" t="n">
        <v>10846</v>
      </c>
      <c r="AB1221" s="10" t="n">
        <v>-82</v>
      </c>
      <c r="AC1221" s="10" t="n">
        <v>14</v>
      </c>
      <c r="AD1221" s="7" t="n">
        <v>9580</v>
      </c>
      <c r="AE1221" s="8" t="n">
        <v>-150</v>
      </c>
      <c r="AF1221" s="8" t="n">
        <v>-1552</v>
      </c>
      <c r="AG1221" s="9" t="n">
        <v>10553</v>
      </c>
      <c r="AH1221" s="10" t="n">
        <v>476</v>
      </c>
      <c r="AI1221" s="10" t="n">
        <v>405</v>
      </c>
      <c r="AJ1221" s="11" t="n">
        <v>9463</v>
      </c>
      <c r="AK1221" s="12" t="n">
        <v>85</v>
      </c>
      <c r="AL1221" s="12" t="n">
        <v>82</v>
      </c>
      <c r="AM1221" s="13" t="n">
        <v>-10.3</v>
      </c>
      <c r="AN1221" s="13" t="n">
        <v>-20.8</v>
      </c>
      <c r="AO1221" s="13" t="n">
        <v>-82.09999999999999</v>
      </c>
      <c r="AP1221" s="13" t="n">
        <v>-36.1</v>
      </c>
    </row>
    <row r="1222">
      <c r="A1222" s="5" t="inlineStr">
        <is>
          <t>새론오토모티브</t>
        </is>
      </c>
      <c r="B1222" s="6" t="inlineStr">
        <is>
          <t>075180</t>
        </is>
      </c>
      <c r="C1222" s="6" t="inlineStr">
        <is>
          <t>연결</t>
        </is>
      </c>
      <c r="D1222" s="6" t="inlineStr">
        <is>
          <t>2026Q2</t>
        </is>
      </c>
      <c r="E1222" s="6" t="inlineStr"/>
      <c r="F1222" s="7" t="inlineStr"/>
      <c r="G1222" s="8" t="inlineStr"/>
      <c r="H1222" s="8" t="inlineStr"/>
      <c r="I1222" s="9" t="n">
        <v>34039</v>
      </c>
      <c r="J1222" s="10" t="n">
        <v>-736</v>
      </c>
      <c r="K1222" s="10" t="n">
        <v>4457</v>
      </c>
      <c r="L1222" s="7" t="n">
        <v>38315</v>
      </c>
      <c r="M1222" s="8" t="n">
        <v>874</v>
      </c>
      <c r="N1222" s="8" t="n">
        <v>3786</v>
      </c>
      <c r="O1222" s="9" t="n">
        <v>33535</v>
      </c>
      <c r="P1222" s="10" t="n">
        <v>-1749</v>
      </c>
      <c r="Q1222" s="10" t="n">
        <v>-3025</v>
      </c>
      <c r="R1222" s="7" t="n">
        <v>36120</v>
      </c>
      <c r="S1222" s="8" t="n">
        <v>-4172</v>
      </c>
      <c r="T1222" s="8" t="n">
        <v>4471</v>
      </c>
      <c r="U1222" s="9" t="n">
        <v>31881</v>
      </c>
      <c r="V1222" s="10" t="n">
        <v>198</v>
      </c>
      <c r="W1222" s="10" t="n">
        <v>1778</v>
      </c>
      <c r="X1222" s="7" t="n">
        <v>36393</v>
      </c>
      <c r="Y1222" s="8" t="n">
        <v>-296</v>
      </c>
      <c r="Z1222" s="8" t="n">
        <v>-6552</v>
      </c>
      <c r="AA1222" s="9" t="n">
        <v>34187</v>
      </c>
      <c r="AB1222" s="10" t="n">
        <v>-530</v>
      </c>
      <c r="AC1222" s="10" t="n">
        <v>4149</v>
      </c>
      <c r="AD1222" s="7" t="n">
        <v>36234</v>
      </c>
      <c r="AE1222" s="8" t="n">
        <v>-111</v>
      </c>
      <c r="AF1222" s="8" t="n">
        <v>110</v>
      </c>
      <c r="AG1222" s="9" t="n">
        <v>36117</v>
      </c>
      <c r="AH1222" s="10" t="n">
        <v>-1730</v>
      </c>
      <c r="AI1222" s="10" t="n">
        <v>3539</v>
      </c>
      <c r="AJ1222" s="11" t="n">
        <v>37579</v>
      </c>
      <c r="AK1222" s="12" t="n">
        <v>-639</v>
      </c>
      <c r="AL1222" s="12" t="n">
        <v>2464</v>
      </c>
      <c r="AM1222" s="13" t="n">
        <v>4</v>
      </c>
      <c r="AN1222" s="13" t="n">
        <v>3.3</v>
      </c>
      <c r="AO1222" s="13" t="n">
        <v>63.1</v>
      </c>
      <c r="AP1222" s="13" t="n">
        <v>-115.9</v>
      </c>
    </row>
    <row r="1223">
      <c r="A1223" s="5" t="inlineStr">
        <is>
          <t>세진중공업</t>
        </is>
      </c>
      <c r="B1223" s="6" t="inlineStr">
        <is>
          <t>075580</t>
        </is>
      </c>
      <c r="C1223" s="6" t="inlineStr">
        <is>
          <t>연결</t>
        </is>
      </c>
      <c r="D1223" s="6" t="inlineStr">
        <is>
          <t>2026Q2</t>
        </is>
      </c>
      <c r="E1223" s="6" t="inlineStr"/>
      <c r="F1223" s="7" t="inlineStr"/>
      <c r="G1223" s="8" t="inlineStr"/>
      <c r="H1223" s="8" t="inlineStr"/>
      <c r="I1223" s="9" t="n">
        <v>86078</v>
      </c>
      <c r="J1223" s="10" t="n">
        <v>4259</v>
      </c>
      <c r="K1223" s="10" t="n">
        <v>2603</v>
      </c>
      <c r="L1223" s="7" t="n">
        <v>80838</v>
      </c>
      <c r="M1223" s="8" t="n">
        <v>7951</v>
      </c>
      <c r="N1223" s="8" t="n">
        <v>1735</v>
      </c>
      <c r="O1223" s="9" t="n">
        <v>74152</v>
      </c>
      <c r="P1223" s="10" t="n">
        <v>638</v>
      </c>
      <c r="Q1223" s="10" t="n">
        <v>-1120</v>
      </c>
      <c r="R1223" s="7" t="n">
        <v>111309</v>
      </c>
      <c r="S1223" s="8" t="n">
        <v>23131</v>
      </c>
      <c r="T1223" s="8" t="n">
        <v>18803</v>
      </c>
      <c r="U1223" s="9" t="n">
        <v>98496</v>
      </c>
      <c r="V1223" s="10" t="n">
        <v>17801</v>
      </c>
      <c r="W1223" s="10" t="n">
        <v>13181</v>
      </c>
      <c r="X1223" s="7" t="n">
        <v>98171</v>
      </c>
      <c r="Y1223" s="8" t="n">
        <v>8764</v>
      </c>
      <c r="Z1223" s="8" t="n">
        <v>4830</v>
      </c>
      <c r="AA1223" s="9" t="n">
        <v>90368</v>
      </c>
      <c r="AB1223" s="10" t="n">
        <v>12144</v>
      </c>
      <c r="AC1223" s="10" t="n">
        <v>10041</v>
      </c>
      <c r="AD1223" s="7" t="n">
        <v>115651</v>
      </c>
      <c r="AE1223" s="8" t="n">
        <v>34680</v>
      </c>
      <c r="AF1223" s="8" t="n">
        <v>31792</v>
      </c>
      <c r="AG1223" s="9" t="n">
        <v>87243</v>
      </c>
      <c r="AH1223" s="10" t="n">
        <v>13639</v>
      </c>
      <c r="AI1223" s="10" t="n">
        <v>15785</v>
      </c>
      <c r="AJ1223" s="11" t="n">
        <v>93498</v>
      </c>
      <c r="AK1223" s="12" t="n">
        <v>20368</v>
      </c>
      <c r="AL1223" s="12" t="n">
        <v>20623</v>
      </c>
      <c r="AM1223" s="13" t="n">
        <v>7.2</v>
      </c>
      <c r="AN1223" s="13" t="n">
        <v>-4.8</v>
      </c>
      <c r="AO1223" s="13" t="n">
        <v>49.3</v>
      </c>
      <c r="AP1223" s="13" t="n">
        <v>132.4</v>
      </c>
    </row>
    <row r="1224">
      <c r="A1224" s="5" t="inlineStr">
        <is>
          <t>동국알앤에스</t>
        </is>
      </c>
      <c r="B1224" s="6" t="inlineStr">
        <is>
          <t>075970</t>
        </is>
      </c>
      <c r="C1224" s="6" t="inlineStr">
        <is>
          <t>연결</t>
        </is>
      </c>
      <c r="D1224" s="6" t="inlineStr">
        <is>
          <t>2026Q2</t>
        </is>
      </c>
      <c r="E1224" s="6" t="inlineStr"/>
      <c r="F1224" s="7" t="inlineStr"/>
      <c r="G1224" s="8" t="inlineStr"/>
      <c r="H1224" s="8" t="inlineStr"/>
      <c r="I1224" s="9" t="n">
        <v>27892</v>
      </c>
      <c r="J1224" s="10" t="n">
        <v>442</v>
      </c>
      <c r="K1224" s="10" t="n">
        <v>214</v>
      </c>
      <c r="L1224" s="7" t="n">
        <v>29221</v>
      </c>
      <c r="M1224" s="8" t="n">
        <v>421</v>
      </c>
      <c r="N1224" s="8" t="n">
        <v>650</v>
      </c>
      <c r="O1224" s="9" t="n">
        <v>25947</v>
      </c>
      <c r="P1224" s="10" t="n">
        <v>-77</v>
      </c>
      <c r="Q1224" s="10" t="n">
        <v>-353</v>
      </c>
      <c r="R1224" s="7" t="n">
        <v>27300</v>
      </c>
      <c r="S1224" s="8" t="n">
        <v>352</v>
      </c>
      <c r="T1224" s="8" t="n">
        <v>1222</v>
      </c>
      <c r="U1224" s="9" t="n">
        <v>26937</v>
      </c>
      <c r="V1224" s="10" t="n">
        <v>411</v>
      </c>
      <c r="W1224" s="10" t="n">
        <v>-469</v>
      </c>
      <c r="X1224" s="7" t="n">
        <v>29194</v>
      </c>
      <c r="Y1224" s="8" t="n">
        <v>1556</v>
      </c>
      <c r="Z1224" s="8" t="n">
        <v>844</v>
      </c>
      <c r="AA1224" s="9" t="n">
        <v>28561</v>
      </c>
      <c r="AB1224" s="10" t="n">
        <v>1244</v>
      </c>
      <c r="AC1224" s="10" t="n">
        <v>655</v>
      </c>
      <c r="AD1224" s="7" t="n">
        <v>26043</v>
      </c>
      <c r="AE1224" s="8" t="n">
        <v>167</v>
      </c>
      <c r="AF1224" s="8" t="n">
        <v>-451</v>
      </c>
      <c r="AG1224" s="9" t="n">
        <v>27840</v>
      </c>
      <c r="AH1224" s="10" t="n">
        <v>565</v>
      </c>
      <c r="AI1224" s="10" t="n">
        <v>85</v>
      </c>
      <c r="AJ1224" s="11" t="n">
        <v>30110</v>
      </c>
      <c r="AK1224" s="12" t="n">
        <v>893</v>
      </c>
      <c r="AL1224" s="12" t="n">
        <v>410</v>
      </c>
      <c r="AM1224" s="13" t="n">
        <v>8.199999999999999</v>
      </c>
      <c r="AN1224" s="13" t="n">
        <v>3.1</v>
      </c>
      <c r="AO1224" s="13" t="n">
        <v>58.1</v>
      </c>
      <c r="AP1224" s="13" t="n">
        <v>-42.6</v>
      </c>
    </row>
    <row r="1225">
      <c r="A1225" s="5" t="inlineStr">
        <is>
          <t>웰크론한텍</t>
        </is>
      </c>
      <c r="B1225" s="6" t="inlineStr">
        <is>
          <t>076080</t>
        </is>
      </c>
      <c r="C1225" s="6" t="inlineStr">
        <is>
          <t>연결</t>
        </is>
      </c>
      <c r="D1225" s="6" t="inlineStr">
        <is>
          <t>2026Q2</t>
        </is>
      </c>
      <c r="E1225" s="6" t="inlineStr"/>
      <c r="F1225" s="7" t="inlineStr"/>
      <c r="G1225" s="8" t="inlineStr"/>
      <c r="H1225" s="8" t="inlineStr"/>
      <c r="I1225" s="9" t="n">
        <v>85900</v>
      </c>
      <c r="J1225" s="10" t="n">
        <v>2290</v>
      </c>
      <c r="K1225" s="10" t="n">
        <v>1099</v>
      </c>
      <c r="L1225" s="7" t="n">
        <v>58810</v>
      </c>
      <c r="M1225" s="8" t="n">
        <v>-5346</v>
      </c>
      <c r="N1225" s="8" t="n">
        <v>-6021</v>
      </c>
      <c r="O1225" s="9" t="n">
        <v>39719</v>
      </c>
      <c r="P1225" s="10" t="n">
        <v>-8719</v>
      </c>
      <c r="Q1225" s="10" t="n">
        <v>-11261</v>
      </c>
      <c r="R1225" s="7" t="n">
        <v>77459</v>
      </c>
      <c r="S1225" s="8" t="n">
        <v>13722</v>
      </c>
      <c r="T1225" s="8" t="n">
        <v>9502</v>
      </c>
      <c r="U1225" s="9" t="n">
        <v>56904</v>
      </c>
      <c r="V1225" s="10" t="n">
        <v>945</v>
      </c>
      <c r="W1225" s="10" t="n">
        <v>-17</v>
      </c>
      <c r="X1225" s="7" t="n">
        <v>28128</v>
      </c>
      <c r="Y1225" s="8" t="n">
        <v>-2500</v>
      </c>
      <c r="Z1225" s="8" t="n">
        <v>-7878</v>
      </c>
      <c r="AA1225" s="9" t="n">
        <v>44121</v>
      </c>
      <c r="AB1225" s="10" t="n">
        <v>-7942</v>
      </c>
      <c r="AC1225" s="10" t="n">
        <v>-4357</v>
      </c>
      <c r="AD1225" s="7" t="n">
        <v>37540</v>
      </c>
      <c r="AE1225" s="8" t="n">
        <v>-8633</v>
      </c>
      <c r="AF1225" s="8" t="n">
        <v>-31186</v>
      </c>
      <c r="AG1225" s="9" t="n">
        <v>31308</v>
      </c>
      <c r="AH1225" s="10" t="n">
        <v>1590</v>
      </c>
      <c r="AI1225" s="10" t="n">
        <v>-3552</v>
      </c>
      <c r="AJ1225" s="11" t="n">
        <v>35836</v>
      </c>
      <c r="AK1225" s="12" t="n">
        <v>1271</v>
      </c>
      <c r="AL1225" s="12" t="n">
        <v>20022</v>
      </c>
      <c r="AM1225" s="13" t="n">
        <v>14.5</v>
      </c>
      <c r="AN1225" s="13" t="n">
        <v>27.4</v>
      </c>
      <c r="AO1225" s="13" t="n">
        <v>-20.1</v>
      </c>
      <c r="AP1225" s="13" t="n">
        <v>150.8</v>
      </c>
    </row>
    <row r="1226">
      <c r="A1226" s="5" t="inlineStr">
        <is>
          <t>해성옵틱스</t>
        </is>
      </c>
      <c r="B1226" s="6" t="inlineStr">
        <is>
          <t>076610</t>
        </is>
      </c>
      <c r="C1226" s="6" t="inlineStr">
        <is>
          <t>연결</t>
        </is>
      </c>
      <c r="D1226" s="6" t="inlineStr">
        <is>
          <t>2026Q2</t>
        </is>
      </c>
      <c r="E1226" s="6" t="inlineStr"/>
      <c r="F1226" s="7" t="inlineStr"/>
      <c r="G1226" s="8" t="inlineStr"/>
      <c r="H1226" s="8" t="inlineStr"/>
      <c r="I1226" s="9" t="n">
        <v>31970</v>
      </c>
      <c r="J1226" s="10" t="n">
        <v>1596</v>
      </c>
      <c r="K1226" s="10" t="n">
        <v>3275</v>
      </c>
      <c r="L1226" s="7" t="n">
        <v>25592</v>
      </c>
      <c r="M1226" s="8" t="n">
        <v>-981</v>
      </c>
      <c r="N1226" s="8" t="n">
        <v>-4551</v>
      </c>
      <c r="O1226" s="9" t="n">
        <v>25181</v>
      </c>
      <c r="P1226" s="10" t="n">
        <v>-5184</v>
      </c>
      <c r="Q1226" s="10" t="n">
        <v>-2327</v>
      </c>
      <c r="R1226" s="7" t="n">
        <v>25787</v>
      </c>
      <c r="S1226" s="8" t="n">
        <v>-8824</v>
      </c>
      <c r="T1226" s="8" t="n">
        <v>-14806</v>
      </c>
      <c r="U1226" s="9" t="n">
        <v>30878</v>
      </c>
      <c r="V1226" s="10" t="n">
        <v>-3237</v>
      </c>
      <c r="W1226" s="10" t="n">
        <v>-1304</v>
      </c>
      <c r="X1226" s="7" t="n">
        <v>32218</v>
      </c>
      <c r="Y1226" s="8" t="n">
        <v>-2123</v>
      </c>
      <c r="Z1226" s="8" t="n">
        <v>-2317</v>
      </c>
      <c r="AA1226" s="9" t="n">
        <v>42306</v>
      </c>
      <c r="AB1226" s="10" t="n">
        <v>-2053</v>
      </c>
      <c r="AC1226" s="10" t="n">
        <v>-650</v>
      </c>
      <c r="AD1226" s="7" t="n">
        <v>54933</v>
      </c>
      <c r="AE1226" s="8" t="n">
        <v>676</v>
      </c>
      <c r="AF1226" s="8" t="n">
        <v>1467</v>
      </c>
      <c r="AG1226" s="9" t="n">
        <v>69498</v>
      </c>
      <c r="AH1226" s="10" t="n">
        <v>704</v>
      </c>
      <c r="AI1226" s="10" t="n">
        <v>2185</v>
      </c>
      <c r="AJ1226" s="11" t="n">
        <v>55887</v>
      </c>
      <c r="AK1226" s="12" t="n">
        <v>406</v>
      </c>
      <c r="AL1226" s="12" t="n">
        <v>-7401</v>
      </c>
      <c r="AM1226" s="13" t="n">
        <v>-19.6</v>
      </c>
      <c r="AN1226" s="13" t="n">
        <v>73.5</v>
      </c>
      <c r="AO1226" s="13" t="n">
        <v>-42.3</v>
      </c>
      <c r="AP1226" s="13" t="n">
        <v>119.1</v>
      </c>
    </row>
    <row r="1227">
      <c r="A1227" s="5" t="inlineStr">
        <is>
          <t>덕산하이메탈</t>
        </is>
      </c>
      <c r="B1227" s="6" t="inlineStr">
        <is>
          <t>077360</t>
        </is>
      </c>
      <c r="C1227" s="6" t="inlineStr">
        <is>
          <t>연결</t>
        </is>
      </c>
      <c r="D1227" s="6" t="inlineStr">
        <is>
          <t>2026Q2</t>
        </is>
      </c>
      <c r="E1227" s="6" t="inlineStr"/>
      <c r="F1227" s="7" t="inlineStr"/>
      <c r="G1227" s="8" t="inlineStr"/>
      <c r="H1227" s="8" t="inlineStr"/>
      <c r="I1227" s="9" t="n">
        <v>60809</v>
      </c>
      <c r="J1227" s="10" t="n">
        <v>4000</v>
      </c>
      <c r="K1227" s="10" t="n">
        <v>7197</v>
      </c>
      <c r="L1227" s="7" t="n">
        <v>60679</v>
      </c>
      <c r="M1227" s="8" t="n">
        <v>7057</v>
      </c>
      <c r="N1227" s="8" t="n">
        <v>6067</v>
      </c>
      <c r="O1227" s="9" t="n">
        <v>57546</v>
      </c>
      <c r="P1227" s="10" t="n">
        <v>2424</v>
      </c>
      <c r="Q1227" s="10" t="n">
        <v>2394</v>
      </c>
      <c r="R1227" s="7" t="n">
        <v>56858</v>
      </c>
      <c r="S1227" s="8" t="n">
        <v>5158</v>
      </c>
      <c r="T1227" s="8" t="n">
        <v>15637</v>
      </c>
      <c r="U1227" s="9" t="n">
        <v>44151</v>
      </c>
      <c r="V1227" s="10" t="n">
        <v>-1393</v>
      </c>
      <c r="W1227" s="10" t="n">
        <v>-1761</v>
      </c>
      <c r="X1227" s="7" t="n">
        <v>57408</v>
      </c>
      <c r="Y1227" s="8" t="n">
        <v>2581</v>
      </c>
      <c r="Z1227" s="8" t="n">
        <v>1174</v>
      </c>
      <c r="AA1227" s="9" t="n">
        <v>61470</v>
      </c>
      <c r="AB1227" s="10" t="n">
        <v>1567</v>
      </c>
      <c r="AC1227" s="10" t="n">
        <v>4993</v>
      </c>
      <c r="AD1227" s="7" t="n">
        <v>73376</v>
      </c>
      <c r="AE1227" s="8" t="n">
        <v>58</v>
      </c>
      <c r="AF1227" s="8" t="n">
        <v>-120111</v>
      </c>
      <c r="AG1227" s="9" t="n">
        <v>68701</v>
      </c>
      <c r="AH1227" s="10" t="n">
        <v>-668</v>
      </c>
      <c r="AI1227" s="10" t="n">
        <v>5178</v>
      </c>
      <c r="AJ1227" s="11" t="n">
        <v>90753</v>
      </c>
      <c r="AK1227" s="12" t="n">
        <v>10078</v>
      </c>
      <c r="AL1227" s="12" t="n">
        <v>12439</v>
      </c>
      <c r="AM1227" s="13" t="n">
        <v>32.1</v>
      </c>
      <c r="AN1227" s="13" t="n">
        <v>58.1</v>
      </c>
      <c r="AO1227" s="13" t="n">
        <v>1608.7</v>
      </c>
      <c r="AP1227" s="13" t="n">
        <v>290.5</v>
      </c>
    </row>
    <row r="1228">
      <c r="A1228" s="5" t="inlineStr">
        <is>
          <t>유니퀘스트</t>
        </is>
      </c>
      <c r="B1228" s="6" t="inlineStr">
        <is>
          <t>077500</t>
        </is>
      </c>
      <c r="C1228" s="6" t="inlineStr">
        <is>
          <t>연결</t>
        </is>
      </c>
      <c r="D1228" s="6" t="inlineStr">
        <is>
          <t>2026Q2</t>
        </is>
      </c>
      <c r="E1228" s="6" t="inlineStr"/>
      <c r="F1228" s="7" t="inlineStr"/>
      <c r="G1228" s="8" t="inlineStr"/>
      <c r="H1228" s="8" t="inlineStr"/>
      <c r="I1228" s="9" t="n">
        <v>172175</v>
      </c>
      <c r="J1228" s="10" t="n">
        <v>8514</v>
      </c>
      <c r="K1228" s="10" t="n">
        <v>5462</v>
      </c>
      <c r="L1228" s="7" t="n">
        <v>171097</v>
      </c>
      <c r="M1228" s="8" t="n">
        <v>9124</v>
      </c>
      <c r="N1228" s="8" t="n">
        <v>6063</v>
      </c>
      <c r="O1228" s="9" t="n">
        <v>169350</v>
      </c>
      <c r="P1228" s="10" t="n">
        <v>7845</v>
      </c>
      <c r="Q1228" s="10" t="n">
        <v>4746</v>
      </c>
      <c r="R1228" s="7" t="n">
        <v>197860</v>
      </c>
      <c r="S1228" s="8" t="n">
        <v>8655</v>
      </c>
      <c r="T1228" s="8" t="n">
        <v>-11322</v>
      </c>
      <c r="U1228" s="9" t="n">
        <v>176864</v>
      </c>
      <c r="V1228" s="10" t="n">
        <v>9856</v>
      </c>
      <c r="W1228" s="10" t="n">
        <v>6445</v>
      </c>
      <c r="X1228" s="7" t="n">
        <v>164905</v>
      </c>
      <c r="Y1228" s="8" t="n">
        <v>7364</v>
      </c>
      <c r="Z1228" s="8" t="n">
        <v>4967</v>
      </c>
      <c r="AA1228" s="9" t="n">
        <v>176258</v>
      </c>
      <c r="AB1228" s="10" t="n">
        <v>9791</v>
      </c>
      <c r="AC1228" s="10" t="n">
        <v>6037</v>
      </c>
      <c r="AD1228" s="7" t="n">
        <v>212016</v>
      </c>
      <c r="AE1228" s="8" t="n">
        <v>9676</v>
      </c>
      <c r="AF1228" s="8" t="n">
        <v>1853</v>
      </c>
      <c r="AG1228" s="9" t="n">
        <v>169048</v>
      </c>
      <c r="AH1228" s="10" t="n">
        <v>11544</v>
      </c>
      <c r="AI1228" s="10" t="n">
        <v>8850</v>
      </c>
      <c r="AJ1228" s="11" t="n">
        <v>216298</v>
      </c>
      <c r="AK1228" s="12" t="n">
        <v>16574</v>
      </c>
      <c r="AL1228" s="12" t="n">
        <v>12930</v>
      </c>
      <c r="AM1228" s="13" t="n">
        <v>28</v>
      </c>
      <c r="AN1228" s="13" t="n">
        <v>31.2</v>
      </c>
      <c r="AO1228" s="13" t="n">
        <v>43.6</v>
      </c>
      <c r="AP1228" s="13" t="n">
        <v>125.1</v>
      </c>
    </row>
    <row r="1229">
      <c r="A1229" s="5" t="inlineStr">
        <is>
          <t>STX엔진</t>
        </is>
      </c>
      <c r="B1229" s="6" t="inlineStr">
        <is>
          <t>077970</t>
        </is>
      </c>
      <c r="C1229" s="6" t="inlineStr">
        <is>
          <t>연결</t>
        </is>
      </c>
      <c r="D1229" s="6" t="inlineStr">
        <is>
          <t>2026Q2</t>
        </is>
      </c>
      <c r="E1229" s="6" t="inlineStr"/>
      <c r="F1229" s="7" t="inlineStr"/>
      <c r="G1229" s="8" t="inlineStr"/>
      <c r="H1229" s="8" t="inlineStr"/>
      <c r="I1229" s="9" t="n">
        <v>115506</v>
      </c>
      <c r="J1229" s="10" t="n">
        <v>6813</v>
      </c>
      <c r="K1229" s="10" t="n">
        <v>2402</v>
      </c>
      <c r="L1229" s="7" t="n">
        <v>197361</v>
      </c>
      <c r="M1229" s="8" t="n">
        <v>21766</v>
      </c>
      <c r="N1229" s="8" t="n">
        <v>15868</v>
      </c>
      <c r="O1229" s="9" t="n">
        <v>193968</v>
      </c>
      <c r="P1229" s="10" t="n">
        <v>5426</v>
      </c>
      <c r="Q1229" s="10" t="n">
        <v>2234</v>
      </c>
      <c r="R1229" s="7" t="n">
        <v>217775</v>
      </c>
      <c r="S1229" s="8" t="n">
        <v>8232</v>
      </c>
      <c r="T1229" s="8" t="n">
        <v>6712</v>
      </c>
      <c r="U1229" s="9" t="n">
        <v>139139</v>
      </c>
      <c r="V1229" s="10" t="n">
        <v>15452</v>
      </c>
      <c r="W1229" s="10" t="n">
        <v>10547</v>
      </c>
      <c r="X1229" s="7" t="n">
        <v>213655</v>
      </c>
      <c r="Y1229" s="8" t="n">
        <v>33348</v>
      </c>
      <c r="Z1229" s="8" t="n">
        <v>29714</v>
      </c>
      <c r="AA1229" s="9" t="n">
        <v>192066</v>
      </c>
      <c r="AB1229" s="10" t="n">
        <v>15426</v>
      </c>
      <c r="AC1229" s="10" t="n">
        <v>14050</v>
      </c>
      <c r="AD1229" s="7" t="n">
        <v>244482</v>
      </c>
      <c r="AE1229" s="8" t="n">
        <v>5367</v>
      </c>
      <c r="AF1229" s="8" t="n">
        <v>14637</v>
      </c>
      <c r="AG1229" s="9" t="n">
        <v>189011</v>
      </c>
      <c r="AH1229" s="10" t="n">
        <v>17504</v>
      </c>
      <c r="AI1229" s="10" t="n">
        <v>16668</v>
      </c>
      <c r="AJ1229" s="11" t="n">
        <v>212990</v>
      </c>
      <c r="AK1229" s="12" t="n">
        <v>24961</v>
      </c>
      <c r="AL1229" s="12" t="n">
        <v>22156</v>
      </c>
      <c r="AM1229" s="13" t="n">
        <v>12.7</v>
      </c>
      <c r="AN1229" s="13" t="n">
        <v>-0.3</v>
      </c>
      <c r="AO1229" s="13" t="n">
        <v>42.6</v>
      </c>
      <c r="AP1229" s="13" t="n">
        <v>-25.1</v>
      </c>
    </row>
    <row r="1230">
      <c r="A1230" s="5" t="inlineStr">
        <is>
          <t>텔코웨어</t>
        </is>
      </c>
      <c r="B1230" s="6" t="inlineStr">
        <is>
          <t>078000</t>
        </is>
      </c>
      <c r="C1230" s="6" t="inlineStr">
        <is>
          <t>연결</t>
        </is>
      </c>
      <c r="D1230" s="6" t="inlineStr">
        <is>
          <t>2026Q2</t>
        </is>
      </c>
      <c r="E1230" s="6" t="inlineStr"/>
      <c r="F1230" s="7" t="inlineStr"/>
      <c r="G1230" s="8" t="inlineStr"/>
      <c r="H1230" s="8" t="inlineStr"/>
      <c r="I1230" s="9" t="n">
        <v>7022</v>
      </c>
      <c r="J1230" s="10" t="n">
        <v>-2203</v>
      </c>
      <c r="K1230" s="10" t="n">
        <v>-1427</v>
      </c>
      <c r="L1230" s="7" t="n">
        <v>8922</v>
      </c>
      <c r="M1230" s="8" t="n">
        <v>-540</v>
      </c>
      <c r="N1230" s="8" t="n">
        <v>157</v>
      </c>
      <c r="O1230" s="9" t="n">
        <v>7521</v>
      </c>
      <c r="P1230" s="10" t="n">
        <v>-880</v>
      </c>
      <c r="Q1230" s="10" t="n">
        <v>16</v>
      </c>
      <c r="R1230" s="7" t="n">
        <v>21388</v>
      </c>
      <c r="S1230" s="8" t="n">
        <v>6998</v>
      </c>
      <c r="T1230" s="8" t="n">
        <v>6230</v>
      </c>
      <c r="U1230" s="9" t="n">
        <v>6373</v>
      </c>
      <c r="V1230" s="10" t="n">
        <v>-1816</v>
      </c>
      <c r="W1230" s="10" t="n">
        <v>-1109</v>
      </c>
      <c r="X1230" s="7" t="n">
        <v>6116</v>
      </c>
      <c r="Y1230" s="8" t="n">
        <v>-1390</v>
      </c>
      <c r="Z1230" s="8" t="n">
        <v>-377</v>
      </c>
      <c r="AA1230" s="9" t="n">
        <v>7136</v>
      </c>
      <c r="AB1230" s="10" t="n">
        <v>-30</v>
      </c>
      <c r="AC1230" s="10" t="n">
        <v>727</v>
      </c>
      <c r="AD1230" s="7" t="n">
        <v>18726</v>
      </c>
      <c r="AE1230" s="8" t="n">
        <v>6522</v>
      </c>
      <c r="AF1230" s="8" t="n">
        <v>6928</v>
      </c>
      <c r="AG1230" s="9" t="n">
        <v>6823</v>
      </c>
      <c r="AH1230" s="10" t="n">
        <v>-1350</v>
      </c>
      <c r="AI1230" s="10" t="n">
        <v>5226</v>
      </c>
      <c r="AJ1230" s="11" t="n">
        <v>10304</v>
      </c>
      <c r="AK1230" s="12" t="n">
        <v>3144</v>
      </c>
      <c r="AL1230" s="12" t="n">
        <v>3076</v>
      </c>
      <c r="AM1230" s="13" t="n">
        <v>51</v>
      </c>
      <c r="AN1230" s="13" t="n">
        <v>68.5</v>
      </c>
      <c r="AO1230" s="13" t="n">
        <v>332.9</v>
      </c>
      <c r="AP1230" s="13" t="n">
        <v>326.2</v>
      </c>
    </row>
    <row r="1231">
      <c r="A1231" s="5" t="inlineStr">
        <is>
          <t>LS증권</t>
        </is>
      </c>
      <c r="B1231" s="6" t="inlineStr">
        <is>
          <t>078020</t>
        </is>
      </c>
      <c r="C1231" s="6" t="inlineStr">
        <is>
          <t>연결</t>
        </is>
      </c>
      <c r="D1231" s="6" t="inlineStr">
        <is>
          <t>2026Q2</t>
        </is>
      </c>
      <c r="E1231" s="6" t="inlineStr"/>
      <c r="F1231" s="7" t="inlineStr"/>
      <c r="G1231" s="8" t="inlineStr"/>
      <c r="H1231" s="8" t="inlineStr"/>
      <c r="I1231" s="9" t="n">
        <v>378972</v>
      </c>
      <c r="J1231" s="10" t="n">
        <v>20503</v>
      </c>
      <c r="K1231" s="10" t="n">
        <v>15984</v>
      </c>
      <c r="L1231" s="7" t="n">
        <v>403343</v>
      </c>
      <c r="M1231" s="8" t="n">
        <v>16125</v>
      </c>
      <c r="N1231" s="8" t="n">
        <v>10345</v>
      </c>
      <c r="O1231" s="9" t="n">
        <v>433849</v>
      </c>
      <c r="P1231" s="10" t="n">
        <v>-2266</v>
      </c>
      <c r="Q1231" s="10" t="n">
        <v>392</v>
      </c>
      <c r="R1231" s="7" t="n">
        <v>437509</v>
      </c>
      <c r="S1231" s="8" t="n">
        <v>-12554</v>
      </c>
      <c r="T1231" s="8" t="n">
        <v>-10101</v>
      </c>
      <c r="U1231" s="9" t="n">
        <v>369220</v>
      </c>
      <c r="V1231" s="10" t="n">
        <v>16779</v>
      </c>
      <c r="W1231" s="10" t="n">
        <v>12504</v>
      </c>
      <c r="X1231" s="7" t="n">
        <v>470988</v>
      </c>
      <c r="Y1231" s="8" t="n">
        <v>26410</v>
      </c>
      <c r="Z1231" s="8" t="n">
        <v>21651</v>
      </c>
      <c r="AA1231" s="9" t="n">
        <v>503469</v>
      </c>
      <c r="AB1231" s="10" t="n">
        <v>-679</v>
      </c>
      <c r="AC1231" s="10" t="n">
        <v>2913</v>
      </c>
      <c r="AD1231" s="7" t="n">
        <v>951663</v>
      </c>
      <c r="AE1231" s="8" t="n">
        <v>-20289</v>
      </c>
      <c r="AF1231" s="8" t="n">
        <v>-14118</v>
      </c>
      <c r="AG1231" s="9" t="n">
        <v>1636451</v>
      </c>
      <c r="AH1231" s="10" t="n">
        <v>39220</v>
      </c>
      <c r="AI1231" s="10" t="n">
        <v>30318</v>
      </c>
      <c r="AJ1231" s="11" t="n">
        <v>2299403</v>
      </c>
      <c r="AK1231" s="12" t="n">
        <v>58075</v>
      </c>
      <c r="AL1231" s="12" t="n">
        <v>43573</v>
      </c>
      <c r="AM1231" s="13" t="n">
        <v>40.5</v>
      </c>
      <c r="AN1231" s="13" t="n">
        <v>388.2</v>
      </c>
      <c r="AO1231" s="13" t="n">
        <v>48.1</v>
      </c>
      <c r="AP1231" s="13" t="n">
        <v>119.9</v>
      </c>
    </row>
    <row r="1232">
      <c r="A1232" s="5" t="inlineStr">
        <is>
          <t>유비쿼스홀딩스</t>
        </is>
      </c>
      <c r="B1232" s="6" t="inlineStr">
        <is>
          <t>078070</t>
        </is>
      </c>
      <c r="C1232" s="6" t="inlineStr">
        <is>
          <t>연결</t>
        </is>
      </c>
      <c r="D1232" s="6" t="inlineStr">
        <is>
          <t>2026Q2</t>
        </is>
      </c>
      <c r="E1232" s="6" t="inlineStr"/>
      <c r="F1232" s="7" t="inlineStr"/>
      <c r="G1232" s="8" t="inlineStr"/>
      <c r="H1232" s="8" t="inlineStr"/>
      <c r="I1232" s="9" t="n">
        <v>29710</v>
      </c>
      <c r="J1232" s="10" t="n">
        <v>2260</v>
      </c>
      <c r="K1232" s="10" t="n">
        <v>9531</v>
      </c>
      <c r="L1232" s="7" t="n">
        <v>25855</v>
      </c>
      <c r="M1232" s="8" t="n">
        <v>2480</v>
      </c>
      <c r="N1232" s="8" t="n">
        <v>3745</v>
      </c>
      <c r="O1232" s="9" t="n">
        <v>29366</v>
      </c>
      <c r="P1232" s="10" t="n">
        <v>3628</v>
      </c>
      <c r="Q1232" s="10" t="n">
        <v>2432</v>
      </c>
      <c r="R1232" s="7" t="n">
        <v>40718</v>
      </c>
      <c r="S1232" s="8" t="n">
        <v>5980</v>
      </c>
      <c r="T1232" s="8" t="n">
        <v>5711</v>
      </c>
      <c r="U1232" s="9" t="n">
        <v>28976</v>
      </c>
      <c r="V1232" s="10" t="n">
        <v>4486</v>
      </c>
      <c r="W1232" s="10" t="n">
        <v>5632</v>
      </c>
      <c r="X1232" s="7" t="n">
        <v>43529</v>
      </c>
      <c r="Y1232" s="8" t="n">
        <v>7863</v>
      </c>
      <c r="Z1232" s="8" t="n">
        <v>7936</v>
      </c>
      <c r="AA1232" s="9" t="n">
        <v>39626</v>
      </c>
      <c r="AB1232" s="10" t="n">
        <v>8196</v>
      </c>
      <c r="AC1232" s="10" t="n">
        <v>9637</v>
      </c>
      <c r="AD1232" s="7" t="n">
        <v>43531</v>
      </c>
      <c r="AE1232" s="8" t="n">
        <v>10060</v>
      </c>
      <c r="AF1232" s="8" t="n">
        <v>10440</v>
      </c>
      <c r="AG1232" s="9" t="n">
        <v>32855</v>
      </c>
      <c r="AH1232" s="10" t="n">
        <v>5750</v>
      </c>
      <c r="AI1232" s="10" t="n">
        <v>14303</v>
      </c>
      <c r="AJ1232" s="11" t="n">
        <v>43339</v>
      </c>
      <c r="AK1232" s="12" t="n">
        <v>10576</v>
      </c>
      <c r="AL1232" s="12" t="n">
        <v>17458</v>
      </c>
      <c r="AM1232" s="13" t="n">
        <v>31.9</v>
      </c>
      <c r="AN1232" s="13" t="n">
        <v>-0.4</v>
      </c>
      <c r="AO1232" s="13" t="n">
        <v>83.90000000000001</v>
      </c>
      <c r="AP1232" s="13" t="n">
        <v>34.5</v>
      </c>
    </row>
    <row r="1233">
      <c r="A1233" s="5" t="inlineStr">
        <is>
          <t>국일제지</t>
        </is>
      </c>
      <c r="B1233" s="6" t="inlineStr">
        <is>
          <t>078130</t>
        </is>
      </c>
      <c r="C1233" s="6" t="inlineStr">
        <is>
          <t>연결</t>
        </is>
      </c>
      <c r="D1233" s="6" t="inlineStr">
        <is>
          <t>2026Q2</t>
        </is>
      </c>
      <c r="E1233" s="6" t="inlineStr"/>
      <c r="F1233" s="7" t="inlineStr"/>
      <c r="G1233" s="8" t="inlineStr"/>
      <c r="H1233" s="8" t="inlineStr"/>
      <c r="I1233" s="9" t="n">
        <v>17329</v>
      </c>
      <c r="J1233" s="10" t="n">
        <v>-2661</v>
      </c>
      <c r="K1233" s="10" t="n">
        <v>-2510</v>
      </c>
      <c r="L1233" s="7" t="n">
        <v>20508</v>
      </c>
      <c r="M1233" s="8" t="n">
        <v>-875</v>
      </c>
      <c r="N1233" s="8" t="n">
        <v>-209</v>
      </c>
      <c r="O1233" s="9" t="n">
        <v>20149</v>
      </c>
      <c r="P1233" s="10" t="n">
        <v>-2115</v>
      </c>
      <c r="Q1233" s="10" t="n">
        <v>-1828</v>
      </c>
      <c r="R1233" s="7" t="n">
        <v>-1621</v>
      </c>
      <c r="S1233" s="8" t="n">
        <v>4362</v>
      </c>
      <c r="T1233" s="8" t="n">
        <v>-8465</v>
      </c>
      <c r="U1233" s="9" t="n">
        <v>18680</v>
      </c>
      <c r="V1233" s="10" t="n">
        <v>136</v>
      </c>
      <c r="W1233" s="10" t="n">
        <v>276</v>
      </c>
      <c r="X1233" s="7" t="n">
        <v>18365</v>
      </c>
      <c r="Y1233" s="8" t="n">
        <v>-55</v>
      </c>
      <c r="Z1233" s="8" t="n">
        <v>1805</v>
      </c>
      <c r="AA1233" s="9" t="n">
        <v>15770</v>
      </c>
      <c r="AB1233" s="10" t="n">
        <v>26</v>
      </c>
      <c r="AC1233" s="10" t="n">
        <v>-456</v>
      </c>
      <c r="AD1233" s="7" t="n">
        <v>14970</v>
      </c>
      <c r="AE1233" s="8" t="n">
        <v>-602</v>
      </c>
      <c r="AF1233" s="8" t="n">
        <v>-3482</v>
      </c>
      <c r="AG1233" s="9" t="n">
        <v>16725</v>
      </c>
      <c r="AH1233" s="10" t="n">
        <v>-504</v>
      </c>
      <c r="AI1233" s="10" t="n">
        <v>-359</v>
      </c>
      <c r="AJ1233" s="11" t="n">
        <v>15252</v>
      </c>
      <c r="AK1233" s="12" t="n">
        <v>-200</v>
      </c>
      <c r="AL1233" s="12" t="n">
        <v>-208</v>
      </c>
      <c r="AM1233" s="13" t="n">
        <v>-8.800000000000001</v>
      </c>
      <c r="AN1233" s="13" t="n">
        <v>-17</v>
      </c>
      <c r="AO1233" s="13" t="n">
        <v>60.3</v>
      </c>
      <c r="AP1233" s="13" t="n">
        <v>-263.6</v>
      </c>
    </row>
    <row r="1234">
      <c r="A1234" s="5" t="inlineStr">
        <is>
          <t>대봉엘에스</t>
        </is>
      </c>
      <c r="B1234" s="6" t="inlineStr">
        <is>
          <t>078140</t>
        </is>
      </c>
      <c r="C1234" s="6" t="inlineStr">
        <is>
          <t>연결</t>
        </is>
      </c>
      <c r="D1234" s="6" t="inlineStr">
        <is>
          <t>2026Q2</t>
        </is>
      </c>
      <c r="E1234" s="6" t="inlineStr"/>
      <c r="F1234" s="7" t="inlineStr"/>
      <c r="G1234" s="8" t="inlineStr"/>
      <c r="H1234" s="8" t="inlineStr"/>
      <c r="I1234" s="9" t="n">
        <v>22987</v>
      </c>
      <c r="J1234" s="10" t="n">
        <v>2045</v>
      </c>
      <c r="K1234" s="10" t="n">
        <v>1521</v>
      </c>
      <c r="L1234" s="7" t="n">
        <v>23578</v>
      </c>
      <c r="M1234" s="8" t="n">
        <v>2306</v>
      </c>
      <c r="N1234" s="8" t="n">
        <v>1672</v>
      </c>
      <c r="O1234" s="9" t="n">
        <v>24232</v>
      </c>
      <c r="P1234" s="10" t="n">
        <v>3159</v>
      </c>
      <c r="Q1234" s="10" t="n">
        <v>6923</v>
      </c>
      <c r="R1234" s="7" t="n">
        <v>23157</v>
      </c>
      <c r="S1234" s="8" t="n">
        <v>1544</v>
      </c>
      <c r="T1234" s="8" t="n">
        <v>-429</v>
      </c>
      <c r="U1234" s="9" t="n">
        <v>25933</v>
      </c>
      <c r="V1234" s="10" t="n">
        <v>3613</v>
      </c>
      <c r="W1234" s="10" t="n">
        <v>3697</v>
      </c>
      <c r="X1234" s="7" t="n">
        <v>26450</v>
      </c>
      <c r="Y1234" s="8" t="n">
        <v>2352</v>
      </c>
      <c r="Z1234" s="8" t="n">
        <v>7804</v>
      </c>
      <c r="AA1234" s="9" t="n">
        <v>24835</v>
      </c>
      <c r="AB1234" s="10" t="n">
        <v>768</v>
      </c>
      <c r="AC1234" s="10" t="n">
        <v>1621</v>
      </c>
      <c r="AD1234" s="7" t="n">
        <v>24846</v>
      </c>
      <c r="AE1234" s="8" t="n">
        <v>599</v>
      </c>
      <c r="AF1234" s="8" t="n">
        <v>-1180</v>
      </c>
      <c r="AG1234" s="9" t="n">
        <v>29056</v>
      </c>
      <c r="AH1234" s="10" t="n">
        <v>1991</v>
      </c>
      <c r="AI1234" s="10" t="n">
        <v>584</v>
      </c>
      <c r="AJ1234" s="11" t="n">
        <v>33650</v>
      </c>
      <c r="AK1234" s="12" t="n">
        <v>3670</v>
      </c>
      <c r="AL1234" s="12" t="n">
        <v>1808</v>
      </c>
      <c r="AM1234" s="13" t="n">
        <v>15.8</v>
      </c>
      <c r="AN1234" s="13" t="n">
        <v>27.2</v>
      </c>
      <c r="AO1234" s="13" t="n">
        <v>84.3</v>
      </c>
      <c r="AP1234" s="13" t="n">
        <v>56</v>
      </c>
    </row>
    <row r="1235">
      <c r="A1235" s="5" t="inlineStr">
        <is>
          <t>HB테크놀러지</t>
        </is>
      </c>
      <c r="B1235" s="6" t="inlineStr">
        <is>
          <t>078150</t>
        </is>
      </c>
      <c r="C1235" s="6" t="inlineStr">
        <is>
          <t>연결</t>
        </is>
      </c>
      <c r="D1235" s="6" t="inlineStr">
        <is>
          <t>2026Q2</t>
        </is>
      </c>
      <c r="E1235" s="6" t="inlineStr"/>
      <c r="F1235" s="7" t="inlineStr"/>
      <c r="G1235" s="8" t="inlineStr"/>
      <c r="H1235" s="8" t="inlineStr"/>
      <c r="I1235" s="9" t="n">
        <v>29132</v>
      </c>
      <c r="J1235" s="10" t="n">
        <v>-2874</v>
      </c>
      <c r="K1235" s="10" t="n">
        <v>23008</v>
      </c>
      <c r="L1235" s="7" t="n">
        <v>60692</v>
      </c>
      <c r="M1235" s="8" t="n">
        <v>865</v>
      </c>
      <c r="N1235" s="8" t="n">
        <v>-19810</v>
      </c>
      <c r="O1235" s="9" t="n">
        <v>43507</v>
      </c>
      <c r="P1235" s="10" t="n">
        <v>-5576</v>
      </c>
      <c r="Q1235" s="10" t="n">
        <v>-25837</v>
      </c>
      <c r="R1235" s="7" t="n">
        <v>29038</v>
      </c>
      <c r="S1235" s="8" t="n">
        <v>-8927</v>
      </c>
      <c r="T1235" s="8" t="n">
        <v>-28954</v>
      </c>
      <c r="U1235" s="9" t="n">
        <v>30012</v>
      </c>
      <c r="V1235" s="10" t="n">
        <v>-3066</v>
      </c>
      <c r="W1235" s="10" t="n">
        <v>-567</v>
      </c>
      <c r="X1235" s="7" t="n">
        <v>42289</v>
      </c>
      <c r="Y1235" s="8" t="n">
        <v>112</v>
      </c>
      <c r="Z1235" s="8" t="n">
        <v>8475</v>
      </c>
      <c r="AA1235" s="9" t="n">
        <v>36164</v>
      </c>
      <c r="AB1235" s="10" t="n">
        <v>-205</v>
      </c>
      <c r="AC1235" s="10" t="n">
        <v>16957</v>
      </c>
      <c r="AD1235" s="7" t="n">
        <v>51846</v>
      </c>
      <c r="AE1235" s="8" t="n">
        <v>9400</v>
      </c>
      <c r="AF1235" s="8" t="n">
        <v>3538</v>
      </c>
      <c r="AG1235" s="9" t="n">
        <v>36325</v>
      </c>
      <c r="AH1235" s="10" t="n">
        <v>528</v>
      </c>
      <c r="AI1235" s="10" t="n">
        <v>18154</v>
      </c>
      <c r="AJ1235" s="11" t="n">
        <v>28536</v>
      </c>
      <c r="AK1235" s="12" t="n">
        <v>517</v>
      </c>
      <c r="AL1235" s="12" t="n">
        <v>10604</v>
      </c>
      <c r="AM1235" s="13" t="n">
        <v>-21.4</v>
      </c>
      <c r="AN1235" s="13" t="n">
        <v>-32.5</v>
      </c>
      <c r="AO1235" s="13" t="n">
        <v>-2.1</v>
      </c>
      <c r="AP1235" s="13" t="n">
        <v>361.6</v>
      </c>
    </row>
    <row r="1236">
      <c r="A1236" s="5" t="inlineStr">
        <is>
          <t>메디포스트</t>
        </is>
      </c>
      <c r="B1236" s="6" t="inlineStr">
        <is>
          <t>078160</t>
        </is>
      </c>
      <c r="C1236" s="6" t="inlineStr">
        <is>
          <t>연결</t>
        </is>
      </c>
      <c r="D1236" s="6" t="inlineStr">
        <is>
          <t>2026Q2</t>
        </is>
      </c>
      <c r="E1236" s="6" t="inlineStr"/>
      <c r="F1236" s="7" t="inlineStr"/>
      <c r="G1236" s="8" t="inlineStr"/>
      <c r="H1236" s="8" t="inlineStr"/>
      <c r="I1236" s="9" t="n">
        <v>18031</v>
      </c>
      <c r="J1236" s="10" t="n">
        <v>-5963</v>
      </c>
      <c r="K1236" s="10" t="n">
        <v>-7152</v>
      </c>
      <c r="L1236" s="7" t="n">
        <v>17516</v>
      </c>
      <c r="M1236" s="8" t="n">
        <v>-9256</v>
      </c>
      <c r="N1236" s="8" t="n">
        <v>2588</v>
      </c>
      <c r="O1236" s="9" t="n">
        <v>17275</v>
      </c>
      <c r="P1236" s="10" t="n">
        <v>-14573</v>
      </c>
      <c r="Q1236" s="10" t="n">
        <v>-18342</v>
      </c>
      <c r="R1236" s="7" t="n">
        <v>17835</v>
      </c>
      <c r="S1236" s="8" t="n">
        <v>-18752</v>
      </c>
      <c r="T1236" s="8" t="n">
        <v>-40472</v>
      </c>
      <c r="U1236" s="9" t="n">
        <v>19225</v>
      </c>
      <c r="V1236" s="10" t="n">
        <v>-13666</v>
      </c>
      <c r="W1236" s="10" t="n">
        <v>-16521</v>
      </c>
      <c r="X1236" s="7" t="n">
        <v>17836</v>
      </c>
      <c r="Y1236" s="8" t="n">
        <v>-18994</v>
      </c>
      <c r="Z1236" s="8" t="n">
        <v>-24310</v>
      </c>
      <c r="AA1236" s="9" t="n">
        <v>18689</v>
      </c>
      <c r="AB1236" s="10" t="n">
        <v>-14064</v>
      </c>
      <c r="AC1236" s="10" t="n">
        <v>-17174</v>
      </c>
      <c r="AD1236" s="7" t="n">
        <v>17907</v>
      </c>
      <c r="AE1236" s="8" t="n">
        <v>-21260</v>
      </c>
      <c r="AF1236" s="8" t="n">
        <v>-27986</v>
      </c>
      <c r="AG1236" s="9" t="n">
        <v>19464</v>
      </c>
      <c r="AH1236" s="10" t="n">
        <v>-16852</v>
      </c>
      <c r="AI1236" s="10" t="n">
        <v>-10716</v>
      </c>
      <c r="AJ1236" s="11" t="n">
        <v>18784</v>
      </c>
      <c r="AK1236" s="12" t="n">
        <v>-24339</v>
      </c>
      <c r="AL1236" s="12" t="n">
        <v>32160</v>
      </c>
      <c r="AM1236" s="13" t="n">
        <v>-3.5</v>
      </c>
      <c r="AN1236" s="13" t="n">
        <v>5.3</v>
      </c>
      <c r="AO1236" s="13" t="n">
        <v>-44.4</v>
      </c>
      <c r="AP1236" s="13" t="n">
        <v>-28.1</v>
      </c>
    </row>
    <row r="1237">
      <c r="A1237" s="5" t="inlineStr">
        <is>
          <t>컴투스</t>
        </is>
      </c>
      <c r="B1237" s="6" t="inlineStr">
        <is>
          <t>078340</t>
        </is>
      </c>
      <c r="C1237" s="6" t="inlineStr">
        <is>
          <t>연결</t>
        </is>
      </c>
      <c r="D1237" s="6" t="inlineStr">
        <is>
          <t>2026Q2</t>
        </is>
      </c>
      <c r="E1237" s="6" t="inlineStr">
        <is>
          <t>2023Q4</t>
        </is>
      </c>
      <c r="F1237" s="14" t="n">
        <v>164472</v>
      </c>
      <c r="G1237" s="15" t="n">
        <v>-17593</v>
      </c>
      <c r="H1237" s="15" t="n">
        <v>-43001</v>
      </c>
      <c r="I1237" s="9" t="n">
        <v>157772</v>
      </c>
      <c r="J1237" s="10" t="n">
        <v>1160</v>
      </c>
      <c r="K1237" s="10" t="n">
        <v>4048</v>
      </c>
      <c r="L1237" s="7" t="n">
        <v>173009</v>
      </c>
      <c r="M1237" s="8" t="n">
        <v>1374</v>
      </c>
      <c r="N1237" s="8" t="n">
        <v>505</v>
      </c>
      <c r="O1237" s="9" t="n">
        <v>172814</v>
      </c>
      <c r="P1237" s="10" t="n">
        <v>1436</v>
      </c>
      <c r="Q1237" s="10" t="n">
        <v>970</v>
      </c>
      <c r="R1237" s="7" t="n">
        <v>190348</v>
      </c>
      <c r="S1237" s="8" t="n">
        <v>2158</v>
      </c>
      <c r="T1237" s="8" t="n">
        <v>-157502</v>
      </c>
      <c r="U1237" s="9" t="n">
        <v>168005</v>
      </c>
      <c r="V1237" s="10" t="n">
        <v>1674</v>
      </c>
      <c r="W1237" s="10" t="n">
        <v>2048</v>
      </c>
      <c r="X1237" s="7" t="n">
        <v>184819</v>
      </c>
      <c r="Y1237" s="8" t="n">
        <v>1375</v>
      </c>
      <c r="Z1237" s="8" t="n">
        <v>2393</v>
      </c>
      <c r="AA1237" s="9" t="n">
        <v>161199</v>
      </c>
      <c r="AB1237" s="10" t="n">
        <v>-19607</v>
      </c>
      <c r="AC1237" s="10" t="n">
        <v>-14141</v>
      </c>
      <c r="AD1237" s="7" t="n">
        <v>182401</v>
      </c>
      <c r="AE1237" s="8" t="n">
        <v>19192</v>
      </c>
      <c r="AF1237" s="8" t="n">
        <v>19064</v>
      </c>
      <c r="AG1237" s="9" t="n">
        <v>144732</v>
      </c>
      <c r="AH1237" s="10" t="n">
        <v>5136</v>
      </c>
      <c r="AI1237" s="10" t="n">
        <v>-7788</v>
      </c>
      <c r="AJ1237" s="11" t="n">
        <v>157020</v>
      </c>
      <c r="AK1237" s="12" t="n">
        <v>7160</v>
      </c>
      <c r="AL1237" s="12" t="n">
        <v>-3507</v>
      </c>
      <c r="AM1237" s="13" t="n">
        <v>8.5</v>
      </c>
      <c r="AN1237" s="13" t="n">
        <v>-15</v>
      </c>
      <c r="AO1237" s="13" t="n">
        <v>39.4</v>
      </c>
      <c r="AP1237" s="13" t="n">
        <v>420.7</v>
      </c>
    </row>
    <row r="1238">
      <c r="A1238" s="5" t="inlineStr">
        <is>
          <t>한양디지텍</t>
        </is>
      </c>
      <c r="B1238" s="6" t="inlineStr">
        <is>
          <t>078350</t>
        </is>
      </c>
      <c r="C1238" s="6" t="inlineStr">
        <is>
          <t>연결</t>
        </is>
      </c>
      <c r="D1238" s="6" t="inlineStr">
        <is>
          <t>2026Q2</t>
        </is>
      </c>
      <c r="E1238" s="6" t="inlineStr"/>
      <c r="F1238" s="7" t="inlineStr"/>
      <c r="G1238" s="8" t="inlineStr"/>
      <c r="H1238" s="8" t="inlineStr"/>
      <c r="I1238" s="9" t="n">
        <v>167530</v>
      </c>
      <c r="J1238" s="10" t="n">
        <v>11156</v>
      </c>
      <c r="K1238" s="10" t="n">
        <v>7524</v>
      </c>
      <c r="L1238" s="7" t="n">
        <v>155680</v>
      </c>
      <c r="M1238" s="8" t="n">
        <v>9898</v>
      </c>
      <c r="N1238" s="8" t="n">
        <v>6059</v>
      </c>
      <c r="O1238" s="9" t="n">
        <v>129061</v>
      </c>
      <c r="P1238" s="10" t="n">
        <v>4333</v>
      </c>
      <c r="Q1238" s="10" t="n">
        <v>3867</v>
      </c>
      <c r="R1238" s="7" t="n">
        <v>142896</v>
      </c>
      <c r="S1238" s="8" t="n">
        <v>9656</v>
      </c>
      <c r="T1238" s="8" t="n">
        <v>8073</v>
      </c>
      <c r="U1238" s="9" t="n">
        <v>149448</v>
      </c>
      <c r="V1238" s="10" t="n">
        <v>4726</v>
      </c>
      <c r="W1238" s="10" t="n">
        <v>3685</v>
      </c>
      <c r="X1238" s="7" t="n">
        <v>155195</v>
      </c>
      <c r="Y1238" s="8" t="n">
        <v>-92</v>
      </c>
      <c r="Z1238" s="8" t="n">
        <v>-3546</v>
      </c>
      <c r="AA1238" s="9" t="n">
        <v>178415</v>
      </c>
      <c r="AB1238" s="10" t="n">
        <v>9770</v>
      </c>
      <c r="AC1238" s="10" t="n">
        <v>8722</v>
      </c>
      <c r="AD1238" s="7" t="n">
        <v>167993</v>
      </c>
      <c r="AE1238" s="8" t="n">
        <v>9467</v>
      </c>
      <c r="AF1238" s="8" t="n">
        <v>6115</v>
      </c>
      <c r="AG1238" s="9" t="n">
        <v>191987</v>
      </c>
      <c r="AH1238" s="10" t="n">
        <v>6765</v>
      </c>
      <c r="AI1238" s="10" t="n">
        <v>5024</v>
      </c>
      <c r="AJ1238" s="11" t="n">
        <v>258012</v>
      </c>
      <c r="AK1238" s="12" t="n">
        <v>15383</v>
      </c>
      <c r="AL1238" s="12" t="n">
        <v>11142</v>
      </c>
      <c r="AM1238" s="13" t="n">
        <v>34.4</v>
      </c>
      <c r="AN1238" s="13" t="n">
        <v>66.3</v>
      </c>
      <c r="AO1238" s="13" t="n">
        <v>127.4</v>
      </c>
      <c r="AP1238" s="13" t="n">
        <v>16820.7</v>
      </c>
    </row>
    <row r="1239">
      <c r="A1239" s="5" t="inlineStr">
        <is>
          <t>에이블씨엔씨</t>
        </is>
      </c>
      <c r="B1239" s="6" t="inlineStr">
        <is>
          <t>078520</t>
        </is>
      </c>
      <c r="C1239" s="6" t="inlineStr">
        <is>
          <t>연결</t>
        </is>
      </c>
      <c r="D1239" s="6" t="inlineStr">
        <is>
          <t>2026Q2</t>
        </is>
      </c>
      <c r="E1239" s="6" t="inlineStr">
        <is>
          <t>2023Q4</t>
        </is>
      </c>
      <c r="F1239" s="14" t="n">
        <v>70620</v>
      </c>
      <c r="G1239" s="15" t="n">
        <v>2177</v>
      </c>
      <c r="H1239" s="15" t="n">
        <v>369</v>
      </c>
      <c r="I1239" s="9" t="n">
        <v>66841</v>
      </c>
      <c r="J1239" s="10" t="n">
        <v>5107</v>
      </c>
      <c r="K1239" s="10" t="n">
        <v>4039</v>
      </c>
      <c r="L1239" s="7" t="n">
        <v>65686</v>
      </c>
      <c r="M1239" s="8" t="n">
        <v>5150</v>
      </c>
      <c r="N1239" s="8" t="n">
        <v>3615</v>
      </c>
      <c r="O1239" s="9" t="n">
        <v>62897</v>
      </c>
      <c r="P1239" s="10" t="n">
        <v>3860</v>
      </c>
      <c r="Q1239" s="10" t="n">
        <v>3932</v>
      </c>
      <c r="R1239" s="7" t="n">
        <v>68574</v>
      </c>
      <c r="S1239" s="8" t="n">
        <v>5611</v>
      </c>
      <c r="T1239" s="8" t="n">
        <v>2960</v>
      </c>
      <c r="U1239" s="9" t="n">
        <v>60284</v>
      </c>
      <c r="V1239" s="10" t="n">
        <v>5240</v>
      </c>
      <c r="W1239" s="10" t="n">
        <v>4549</v>
      </c>
      <c r="X1239" s="7" t="n">
        <v>67693</v>
      </c>
      <c r="Y1239" s="8" t="n">
        <v>7188</v>
      </c>
      <c r="Z1239" s="8" t="n">
        <v>3944</v>
      </c>
      <c r="AA1239" s="9" t="n">
        <v>59463</v>
      </c>
      <c r="AB1239" s="10" t="n">
        <v>-955</v>
      </c>
      <c r="AC1239" s="10" t="n">
        <v>-326</v>
      </c>
      <c r="AD1239" s="7" t="n">
        <v>54562</v>
      </c>
      <c r="AE1239" s="8" t="n">
        <v>6480</v>
      </c>
      <c r="AF1239" s="8" t="n">
        <v>5959</v>
      </c>
      <c r="AG1239" s="9" t="n">
        <v>61368</v>
      </c>
      <c r="AH1239" s="10" t="n">
        <v>9424</v>
      </c>
      <c r="AI1239" s="10" t="n">
        <v>8921</v>
      </c>
      <c r="AJ1239" s="11" t="n">
        <v>65238</v>
      </c>
      <c r="AK1239" s="12" t="n">
        <v>10408</v>
      </c>
      <c r="AL1239" s="12" t="n">
        <v>9240</v>
      </c>
      <c r="AM1239" s="13" t="n">
        <v>6.3</v>
      </c>
      <c r="AN1239" s="13" t="n">
        <v>-3.6</v>
      </c>
      <c r="AO1239" s="13" t="n">
        <v>10.4</v>
      </c>
      <c r="AP1239" s="13" t="n">
        <v>44.8</v>
      </c>
    </row>
    <row r="1240">
      <c r="A1240" s="5" t="inlineStr">
        <is>
          <t>휴림에이텍</t>
        </is>
      </c>
      <c r="B1240" s="6" t="inlineStr">
        <is>
          <t>078590</t>
        </is>
      </c>
      <c r="C1240" s="6" t="inlineStr">
        <is>
          <t>별도</t>
        </is>
      </c>
      <c r="D1240" s="6" t="inlineStr">
        <is>
          <t>2026Q2</t>
        </is>
      </c>
      <c r="E1240" s="6" t="inlineStr"/>
      <c r="F1240" s="7" t="inlineStr"/>
      <c r="G1240" s="8" t="inlineStr"/>
      <c r="H1240" s="8" t="inlineStr"/>
      <c r="I1240" s="9" t="n">
        <v>17825</v>
      </c>
      <c r="J1240" s="10" t="n">
        <v>1333</v>
      </c>
      <c r="K1240" s="10" t="n">
        <v>1316</v>
      </c>
      <c r="L1240" s="7" t="n">
        <v>18076</v>
      </c>
      <c r="M1240" s="8" t="n">
        <v>1156</v>
      </c>
      <c r="N1240" s="8" t="n">
        <v>1035</v>
      </c>
      <c r="O1240" s="9" t="n">
        <v>16146</v>
      </c>
      <c r="P1240" s="10" t="n">
        <v>588</v>
      </c>
      <c r="Q1240" s="10" t="n">
        <v>-260</v>
      </c>
      <c r="R1240" s="7" t="n">
        <v>18270</v>
      </c>
      <c r="S1240" s="8" t="n">
        <v>905</v>
      </c>
      <c r="T1240" s="8" t="n">
        <v>2507</v>
      </c>
      <c r="U1240" s="9" t="n">
        <v>16601</v>
      </c>
      <c r="V1240" s="10" t="n">
        <v>683</v>
      </c>
      <c r="W1240" s="10" t="n">
        <v>1304</v>
      </c>
      <c r="X1240" s="7" t="n">
        <v>16616</v>
      </c>
      <c r="Y1240" s="8" t="n">
        <v>125</v>
      </c>
      <c r="Z1240" s="8" t="n">
        <v>1461</v>
      </c>
      <c r="AA1240" s="9" t="n">
        <v>14872</v>
      </c>
      <c r="AB1240" s="10" t="n">
        <v>-171</v>
      </c>
      <c r="AC1240" s="10" t="n">
        <v>-3414</v>
      </c>
      <c r="AD1240" s="7" t="n">
        <v>16286</v>
      </c>
      <c r="AE1240" s="8" t="n">
        <v>-389</v>
      </c>
      <c r="AF1240" s="8" t="n">
        <v>-10473</v>
      </c>
      <c r="AG1240" s="9" t="n">
        <v>15831</v>
      </c>
      <c r="AH1240" s="10" t="n">
        <v>-89</v>
      </c>
      <c r="AI1240" s="10" t="n">
        <v>-1181</v>
      </c>
      <c r="AJ1240" s="11" t="n">
        <v>14571</v>
      </c>
      <c r="AK1240" s="12" t="n">
        <v>-584</v>
      </c>
      <c r="AL1240" s="12" t="n">
        <v>10</v>
      </c>
      <c r="AM1240" s="13" t="n">
        <v>-8</v>
      </c>
      <c r="AN1240" s="13" t="n">
        <v>-12.3</v>
      </c>
      <c r="AO1240" s="13" t="n">
        <v>-556.2</v>
      </c>
      <c r="AP1240" s="13" t="n">
        <v>-567.2</v>
      </c>
    </row>
    <row r="1241">
      <c r="A1241" s="5" t="inlineStr">
        <is>
          <t>대주전자재료</t>
        </is>
      </c>
      <c r="B1241" s="6" t="inlineStr">
        <is>
          <t>078600</t>
        </is>
      </c>
      <c r="C1241" s="6" t="inlineStr">
        <is>
          <t>연결</t>
        </is>
      </c>
      <c r="D1241" s="6" t="inlineStr">
        <is>
          <t>2026Q2</t>
        </is>
      </c>
      <c r="E1241" s="6" t="inlineStr"/>
      <c r="F1241" s="7" t="inlineStr"/>
      <c r="G1241" s="8" t="inlineStr"/>
      <c r="H1241" s="8" t="inlineStr"/>
      <c r="I1241" s="9" t="n">
        <v>46298</v>
      </c>
      <c r="J1241" s="10" t="n">
        <v>5015</v>
      </c>
      <c r="K1241" s="10" t="n">
        <v>5531</v>
      </c>
      <c r="L1241" s="7" t="n">
        <v>58264</v>
      </c>
      <c r="M1241" s="8" t="n">
        <v>8293</v>
      </c>
      <c r="N1241" s="8" t="n">
        <v>6457</v>
      </c>
      <c r="O1241" s="9" t="n">
        <v>55768</v>
      </c>
      <c r="P1241" s="10" t="n">
        <v>8141</v>
      </c>
      <c r="Q1241" s="10" t="n">
        <v>4152</v>
      </c>
      <c r="R1241" s="7" t="n">
        <v>58986</v>
      </c>
      <c r="S1241" s="8" t="n">
        <v>7905</v>
      </c>
      <c r="T1241" s="8" t="n">
        <v>20254</v>
      </c>
      <c r="U1241" s="9" t="n">
        <v>54033</v>
      </c>
      <c r="V1241" s="10" t="n">
        <v>4779</v>
      </c>
      <c r="W1241" s="10" t="n">
        <v>6743</v>
      </c>
      <c r="X1241" s="7" t="n">
        <v>63420</v>
      </c>
      <c r="Y1241" s="8" t="n">
        <v>5349</v>
      </c>
      <c r="Z1241" s="8" t="n">
        <v>4330</v>
      </c>
      <c r="AA1241" s="9" t="n">
        <v>63583</v>
      </c>
      <c r="AB1241" s="10" t="n">
        <v>5988</v>
      </c>
      <c r="AC1241" s="10" t="n">
        <v>6544</v>
      </c>
      <c r="AD1241" s="7" t="n">
        <v>73577</v>
      </c>
      <c r="AE1241" s="8" t="n">
        <v>4570</v>
      </c>
      <c r="AF1241" s="8" t="n">
        <v>3282</v>
      </c>
      <c r="AG1241" s="9" t="n">
        <v>90914</v>
      </c>
      <c r="AH1241" s="10" t="n">
        <v>9224</v>
      </c>
      <c r="AI1241" s="10" t="n">
        <v>-3523</v>
      </c>
      <c r="AJ1241" s="11" t="n">
        <v>100582</v>
      </c>
      <c r="AK1241" s="12" t="n">
        <v>6784</v>
      </c>
      <c r="AL1241" s="12" t="n">
        <v>4258</v>
      </c>
      <c r="AM1241" s="13" t="n">
        <v>10.6</v>
      </c>
      <c r="AN1241" s="13" t="n">
        <v>58.6</v>
      </c>
      <c r="AO1241" s="13" t="n">
        <v>-26.5</v>
      </c>
      <c r="AP1241" s="13" t="n">
        <v>26.8</v>
      </c>
    </row>
    <row r="1242">
      <c r="A1242" s="5" t="inlineStr">
        <is>
          <t>아이오케이이엔엠</t>
        </is>
      </c>
      <c r="B1242" s="6" t="inlineStr">
        <is>
          <t>078860</t>
        </is>
      </c>
      <c r="C1242" s="6" t="inlineStr">
        <is>
          <t>연결</t>
        </is>
      </c>
      <c r="D1242" s="6" t="inlineStr">
        <is>
          <t>2026Q2</t>
        </is>
      </c>
      <c r="E1242" s="6" t="inlineStr"/>
      <c r="F1242" s="7" t="inlineStr"/>
      <c r="G1242" s="8" t="inlineStr"/>
      <c r="H1242" s="8" t="inlineStr"/>
      <c r="I1242" s="9" t="n">
        <v>3972</v>
      </c>
      <c r="J1242" s="10" t="n">
        <v>-2292</v>
      </c>
      <c r="K1242" s="10" t="n">
        <v>-2877</v>
      </c>
      <c r="L1242" s="7" t="n">
        <v>3160</v>
      </c>
      <c r="M1242" s="8" t="n">
        <v>-2205</v>
      </c>
      <c r="N1242" s="8" t="n">
        <v>-2891</v>
      </c>
      <c r="O1242" s="9" t="n">
        <v>7271</v>
      </c>
      <c r="P1242" s="10" t="n">
        <v>-2278</v>
      </c>
      <c r="Q1242" s="10" t="n">
        <v>-4453</v>
      </c>
      <c r="R1242" s="7" t="n">
        <v>10701</v>
      </c>
      <c r="S1242" s="8" t="n">
        <v>-501</v>
      </c>
      <c r="T1242" s="8" t="n">
        <v>-11163</v>
      </c>
      <c r="U1242" s="9" t="n">
        <v>3808</v>
      </c>
      <c r="V1242" s="10" t="n">
        <v>-2141</v>
      </c>
      <c r="W1242" s="10" t="n">
        <v>-4629</v>
      </c>
      <c r="X1242" s="7" t="n">
        <v>2497</v>
      </c>
      <c r="Y1242" s="8" t="n">
        <v>-1823</v>
      </c>
      <c r="Z1242" s="8" t="n">
        <v>-2140</v>
      </c>
      <c r="AA1242" s="9" t="n">
        <v>3154</v>
      </c>
      <c r="AB1242" s="10" t="n">
        <v>-1151</v>
      </c>
      <c r="AC1242" s="10" t="n">
        <v>-1488</v>
      </c>
      <c r="AD1242" s="7" t="n">
        <v>2769</v>
      </c>
      <c r="AE1242" s="8" t="n">
        <v>-2908</v>
      </c>
      <c r="AF1242" s="8" t="n">
        <v>-9152</v>
      </c>
      <c r="AG1242" s="9" t="n">
        <v>981</v>
      </c>
      <c r="AH1242" s="10" t="n">
        <v>-1382</v>
      </c>
      <c r="AI1242" s="10" t="n">
        <v>5068</v>
      </c>
      <c r="AJ1242" s="11" t="n">
        <v>2759</v>
      </c>
      <c r="AK1242" s="12" t="n">
        <v>-746</v>
      </c>
      <c r="AL1242" s="12" t="n">
        <v>-3414</v>
      </c>
      <c r="AM1242" s="13" t="n">
        <v>181.2</v>
      </c>
      <c r="AN1242" s="13" t="n">
        <v>10.5</v>
      </c>
      <c r="AO1242" s="13" t="n">
        <v>46</v>
      </c>
      <c r="AP1242" s="13" t="n">
        <v>59.1</v>
      </c>
    </row>
    <row r="1243">
      <c r="A1243" s="5" t="inlineStr">
        <is>
          <t>가온그룹</t>
        </is>
      </c>
      <c r="B1243" s="6" t="inlineStr">
        <is>
          <t>078890</t>
        </is>
      </c>
      <c r="C1243" s="6" t="inlineStr">
        <is>
          <t>연결</t>
        </is>
      </c>
      <c r="D1243" s="6" t="inlineStr">
        <is>
          <t>2026Q2</t>
        </is>
      </c>
      <c r="E1243" s="6" t="inlineStr"/>
      <c r="F1243" s="7" t="inlineStr"/>
      <c r="G1243" s="8" t="inlineStr"/>
      <c r="H1243" s="8" t="inlineStr"/>
      <c r="I1243" s="9" t="n">
        <v>116367</v>
      </c>
      <c r="J1243" s="10" t="n">
        <v>-6065</v>
      </c>
      <c r="K1243" s="10" t="n">
        <v>-5429</v>
      </c>
      <c r="L1243" s="7" t="n">
        <v>116098</v>
      </c>
      <c r="M1243" s="8" t="n">
        <v>-11032</v>
      </c>
      <c r="N1243" s="8" t="n">
        <v>-17622</v>
      </c>
      <c r="O1243" s="9" t="n">
        <v>115104</v>
      </c>
      <c r="P1243" s="10" t="n">
        <v>-13766</v>
      </c>
      <c r="Q1243" s="10" t="n">
        <v>-12703</v>
      </c>
      <c r="R1243" s="7" t="n">
        <v>141773</v>
      </c>
      <c r="S1243" s="8" t="n">
        <v>-11027</v>
      </c>
      <c r="T1243" s="8" t="n">
        <v>-20328</v>
      </c>
      <c r="U1243" s="9" t="n">
        <v>127279</v>
      </c>
      <c r="V1243" s="10" t="n">
        <v>443</v>
      </c>
      <c r="W1243" s="10" t="n">
        <v>3260</v>
      </c>
      <c r="X1243" s="7" t="n">
        <v>133336</v>
      </c>
      <c r="Y1243" s="8" t="n">
        <v>1479</v>
      </c>
      <c r="Z1243" s="8" t="n">
        <v>5396</v>
      </c>
      <c r="AA1243" s="9" t="n">
        <v>115734</v>
      </c>
      <c r="AB1243" s="10" t="n">
        <v>2089</v>
      </c>
      <c r="AC1243" s="10" t="n">
        <v>-9503</v>
      </c>
      <c r="AD1243" s="7" t="n">
        <v>141201</v>
      </c>
      <c r="AE1243" s="8" t="n">
        <v>8515</v>
      </c>
      <c r="AF1243" s="8" t="n">
        <v>6652</v>
      </c>
      <c r="AG1243" s="9" t="n">
        <v>121753</v>
      </c>
      <c r="AH1243" s="10" t="n">
        <v>11300</v>
      </c>
      <c r="AI1243" s="10" t="n">
        <v>3942</v>
      </c>
      <c r="AJ1243" s="11" t="n">
        <v>127025</v>
      </c>
      <c r="AK1243" s="12" t="n">
        <v>7899</v>
      </c>
      <c r="AL1243" s="12" t="n">
        <v>3565</v>
      </c>
      <c r="AM1243" s="13" t="n">
        <v>4.3</v>
      </c>
      <c r="AN1243" s="13" t="n">
        <v>-4.7</v>
      </c>
      <c r="AO1243" s="13" t="n">
        <v>-30.1</v>
      </c>
      <c r="AP1243" s="13" t="n">
        <v>434.1</v>
      </c>
    </row>
    <row r="1244">
      <c r="A1244" s="5" t="inlineStr">
        <is>
          <t>GS</t>
        </is>
      </c>
      <c r="B1244" s="6" t="inlineStr">
        <is>
          <t>078930</t>
        </is>
      </c>
      <c r="C1244" s="6" t="inlineStr">
        <is>
          <t>연결</t>
        </is>
      </c>
      <c r="D1244" s="6" t="inlineStr">
        <is>
          <t>2026Q2</t>
        </is>
      </c>
      <c r="E1244" s="6" t="inlineStr">
        <is>
          <t>2023Q4</t>
        </is>
      </c>
      <c r="F1244" s="14" t="n">
        <v>6559271</v>
      </c>
      <c r="G1244" s="15" t="n">
        <v>695342</v>
      </c>
      <c r="H1244" s="15" t="n">
        <v>126264</v>
      </c>
      <c r="I1244" s="9" t="n">
        <v>6288978</v>
      </c>
      <c r="J1244" s="10" t="n">
        <v>1016270</v>
      </c>
      <c r="K1244" s="10" t="n">
        <v>476008</v>
      </c>
      <c r="L1244" s="7" t="n">
        <v>6203678</v>
      </c>
      <c r="M1244" s="8" t="n">
        <v>798093</v>
      </c>
      <c r="N1244" s="8" t="n">
        <v>275410</v>
      </c>
      <c r="O1244" s="9" t="n">
        <v>6397456</v>
      </c>
      <c r="P1244" s="10" t="n">
        <v>627741</v>
      </c>
      <c r="Q1244" s="10" t="n">
        <v>38707</v>
      </c>
      <c r="R1244" s="7" t="n">
        <v>6407355</v>
      </c>
      <c r="S1244" s="8" t="n">
        <v>618059</v>
      </c>
      <c r="T1244" s="8" t="n">
        <v>73392</v>
      </c>
      <c r="U1244" s="9" t="n">
        <v>6238785</v>
      </c>
      <c r="V1244" s="10" t="n">
        <v>800160</v>
      </c>
      <c r="W1244" s="10" t="n">
        <v>291451</v>
      </c>
      <c r="X1244" s="7" t="n">
        <v>5937959</v>
      </c>
      <c r="Y1244" s="8" t="n">
        <v>484647</v>
      </c>
      <c r="Z1244" s="8" t="n">
        <v>88453</v>
      </c>
      <c r="AA1244" s="9" t="n">
        <v>6535868</v>
      </c>
      <c r="AB1244" s="10" t="n">
        <v>870568</v>
      </c>
      <c r="AC1244" s="10" t="n">
        <v>407708</v>
      </c>
      <c r="AD1244" s="7" t="n">
        <v>6471515</v>
      </c>
      <c r="AE1244" s="8" t="n">
        <v>780686</v>
      </c>
      <c r="AF1244" s="8" t="n">
        <v>250525</v>
      </c>
      <c r="AG1244" s="9" t="n">
        <v>6842343</v>
      </c>
      <c r="AH1244" s="10" t="n">
        <v>1258574</v>
      </c>
      <c r="AI1244" s="10" t="n">
        <v>826693</v>
      </c>
      <c r="AJ1244" s="11" t="n">
        <v>7413135</v>
      </c>
      <c r="AK1244" s="12" t="n">
        <v>1717400</v>
      </c>
      <c r="AL1244" s="12" t="n">
        <v>1132031</v>
      </c>
      <c r="AM1244" s="13" t="n">
        <v>8.300000000000001</v>
      </c>
      <c r="AN1244" s="13" t="n">
        <v>24.8</v>
      </c>
      <c r="AO1244" s="13" t="n">
        <v>36.5</v>
      </c>
      <c r="AP1244" s="13" t="n">
        <v>254.4</v>
      </c>
    </row>
    <row r="1245">
      <c r="A1245" s="5" t="inlineStr">
        <is>
          <t>와토스코리아</t>
        </is>
      </c>
      <c r="B1245" s="6" t="inlineStr">
        <is>
          <t>079000</t>
        </is>
      </c>
      <c r="C1245" s="6" t="inlineStr">
        <is>
          <t>별도</t>
        </is>
      </c>
      <c r="D1245" s="6" t="inlineStr">
        <is>
          <t>2026Q2</t>
        </is>
      </c>
      <c r="E1245" s="6" t="inlineStr"/>
      <c r="F1245" s="7" t="inlineStr"/>
      <c r="G1245" s="8" t="inlineStr"/>
      <c r="H1245" s="8" t="inlineStr"/>
      <c r="I1245" s="9" t="n">
        <v>4405</v>
      </c>
      <c r="J1245" s="10" t="n">
        <v>-277</v>
      </c>
      <c r="K1245" s="10" t="n">
        <v>477</v>
      </c>
      <c r="L1245" s="7" t="n">
        <v>4306</v>
      </c>
      <c r="M1245" s="8" t="n">
        <v>0</v>
      </c>
      <c r="N1245" s="8" t="n">
        <v>449</v>
      </c>
      <c r="O1245" s="9" t="n">
        <v>4215</v>
      </c>
      <c r="P1245" s="10" t="n">
        <v>-67</v>
      </c>
      <c r="Q1245" s="10" t="n">
        <v>368</v>
      </c>
      <c r="R1245" s="7" t="n">
        <v>4572</v>
      </c>
      <c r="S1245" s="8" t="n">
        <v>97</v>
      </c>
      <c r="T1245" s="8" t="n">
        <v>772</v>
      </c>
      <c r="U1245" s="9" t="n">
        <v>3735</v>
      </c>
      <c r="V1245" s="10" t="n">
        <v>-789</v>
      </c>
      <c r="W1245" s="10" t="n">
        <v>208</v>
      </c>
      <c r="X1245" s="7" t="n">
        <v>3331</v>
      </c>
      <c r="Y1245" s="8" t="n">
        <v>-438</v>
      </c>
      <c r="Z1245" s="8" t="n">
        <v>-34</v>
      </c>
      <c r="AA1245" s="9" t="n">
        <v>3580</v>
      </c>
      <c r="AB1245" s="10" t="n">
        <v>-454</v>
      </c>
      <c r="AC1245" s="10" t="n">
        <v>-68</v>
      </c>
      <c r="AD1245" s="7" t="n">
        <v>3480</v>
      </c>
      <c r="AE1245" s="8" t="n">
        <v>-2635</v>
      </c>
      <c r="AF1245" s="8" t="n">
        <v>-2848</v>
      </c>
      <c r="AG1245" s="9" t="n">
        <v>3020</v>
      </c>
      <c r="AH1245" s="10" t="n">
        <v>-834</v>
      </c>
      <c r="AI1245" s="10" t="n">
        <v>-235</v>
      </c>
      <c r="AJ1245" s="11" t="n">
        <v>3401</v>
      </c>
      <c r="AK1245" s="12" t="n">
        <v>-480</v>
      </c>
      <c r="AL1245" s="12" t="n">
        <v>-26</v>
      </c>
      <c r="AM1245" s="13" t="n">
        <v>12.6</v>
      </c>
      <c r="AN1245" s="13" t="n">
        <v>2.1</v>
      </c>
      <c r="AO1245" s="13" t="n">
        <v>42.4</v>
      </c>
      <c r="AP1245" s="13" t="n">
        <v>-9.6</v>
      </c>
    </row>
    <row r="1246">
      <c r="A1246" s="5" t="inlineStr">
        <is>
          <t>CJ CGV</t>
        </is>
      </c>
      <c r="B1246" s="6" t="inlineStr">
        <is>
          <t>079160</t>
        </is>
      </c>
      <c r="C1246" s="6" t="inlineStr">
        <is>
          <t>연결</t>
        </is>
      </c>
      <c r="D1246" s="6" t="inlineStr">
        <is>
          <t>2026Q2</t>
        </is>
      </c>
      <c r="E1246" s="6" t="inlineStr">
        <is>
          <t>2023Q4</t>
        </is>
      </c>
      <c r="F1246" s="14" t="n">
        <v>342990</v>
      </c>
      <c r="G1246" s="15" t="n">
        <v>16859</v>
      </c>
      <c r="H1246" s="15" t="n">
        <v>-41317</v>
      </c>
      <c r="I1246" s="9" t="n">
        <v>392946</v>
      </c>
      <c r="J1246" s="10" t="n">
        <v>4541</v>
      </c>
      <c r="K1246" s="10" t="n">
        <v>-41089</v>
      </c>
      <c r="L1246" s="7" t="n">
        <v>429940</v>
      </c>
      <c r="M1246" s="8" t="n">
        <v>22345</v>
      </c>
      <c r="N1246" s="8" t="n">
        <v>-6706</v>
      </c>
      <c r="O1246" s="9" t="n">
        <v>547001</v>
      </c>
      <c r="P1246" s="10" t="n">
        <v>32071</v>
      </c>
      <c r="Q1246" s="10" t="n">
        <v>8030</v>
      </c>
      <c r="R1246" s="7" t="n">
        <v>587997</v>
      </c>
      <c r="S1246" s="8" t="n">
        <v>16977</v>
      </c>
      <c r="T1246" s="8" t="n">
        <v>-135704</v>
      </c>
      <c r="U1246" s="9" t="n">
        <v>533591</v>
      </c>
      <c r="V1246" s="10" t="n">
        <v>3201</v>
      </c>
      <c r="W1246" s="10" t="n">
        <v>-38091</v>
      </c>
      <c r="X1246" s="7" t="n">
        <v>491617</v>
      </c>
      <c r="Y1246" s="8" t="n">
        <v>1717</v>
      </c>
      <c r="Z1246" s="8" t="n">
        <v>-38212</v>
      </c>
      <c r="AA1246" s="9" t="n">
        <v>583079</v>
      </c>
      <c r="AB1246" s="10" t="n">
        <v>23344</v>
      </c>
      <c r="AC1246" s="10" t="n">
        <v>-28707</v>
      </c>
      <c r="AD1246" s="7" t="n">
        <v>667082</v>
      </c>
      <c r="AE1246" s="8" t="n">
        <v>67955</v>
      </c>
      <c r="AF1246" s="8" t="n">
        <v>-38359</v>
      </c>
      <c r="AG1246" s="9" t="n">
        <v>573378</v>
      </c>
      <c r="AH1246" s="10" t="n">
        <v>8719</v>
      </c>
      <c r="AI1246" s="10" t="n">
        <v>-25441</v>
      </c>
      <c r="AJ1246" s="11" t="n">
        <v>593958</v>
      </c>
      <c r="AK1246" s="12" t="n">
        <v>11470</v>
      </c>
      <c r="AL1246" s="12" t="n">
        <v>22609</v>
      </c>
      <c r="AM1246" s="13" t="n">
        <v>3.6</v>
      </c>
      <c r="AN1246" s="13" t="n">
        <v>20.8</v>
      </c>
      <c r="AO1246" s="13" t="n">
        <v>31.6</v>
      </c>
      <c r="AP1246" s="13" t="n">
        <v>568</v>
      </c>
    </row>
    <row r="1247">
      <c r="A1247" s="5" t="inlineStr">
        <is>
          <t>한창산업</t>
        </is>
      </c>
      <c r="B1247" s="6" t="inlineStr">
        <is>
          <t>079170</t>
        </is>
      </c>
      <c r="C1247" s="6" t="inlineStr">
        <is>
          <t>별도</t>
        </is>
      </c>
      <c r="D1247" s="6" t="inlineStr">
        <is>
          <t>2026Q2</t>
        </is>
      </c>
      <c r="E1247" s="6" t="inlineStr"/>
      <c r="F1247" s="7" t="inlineStr"/>
      <c r="G1247" s="8" t="inlineStr"/>
      <c r="H1247" s="8" t="inlineStr"/>
      <c r="I1247" s="9" t="n">
        <v>17303</v>
      </c>
      <c r="J1247" s="10" t="n">
        <v>912</v>
      </c>
      <c r="K1247" s="10" t="n">
        <v>409</v>
      </c>
      <c r="L1247" s="7" t="n">
        <v>37164</v>
      </c>
      <c r="M1247" s="8" t="n">
        <v>7207</v>
      </c>
      <c r="N1247" s="8" t="n">
        <v>5572</v>
      </c>
      <c r="O1247" s="9" t="n">
        <v>18444</v>
      </c>
      <c r="P1247" s="10" t="n">
        <v>648</v>
      </c>
      <c r="Q1247" s="10" t="n">
        <v>226</v>
      </c>
      <c r="R1247" s="7" t="n">
        <v>21729</v>
      </c>
      <c r="S1247" s="8" t="n">
        <v>2</v>
      </c>
      <c r="T1247" s="8" t="n">
        <v>610</v>
      </c>
      <c r="U1247" s="9" t="n">
        <v>21755</v>
      </c>
      <c r="V1247" s="10" t="n">
        <v>833</v>
      </c>
      <c r="W1247" s="10" t="n">
        <v>738</v>
      </c>
      <c r="X1247" s="7" t="n">
        <v>34349</v>
      </c>
      <c r="Y1247" s="8" t="n">
        <v>6830</v>
      </c>
      <c r="Z1247" s="8" t="n">
        <v>5252</v>
      </c>
      <c r="AA1247" s="9" t="n">
        <v>21335</v>
      </c>
      <c r="AB1247" s="10" t="n">
        <v>-87</v>
      </c>
      <c r="AC1247" s="10" t="n">
        <v>-15</v>
      </c>
      <c r="AD1247" s="7" t="n">
        <v>21124</v>
      </c>
      <c r="AE1247" s="8" t="n">
        <v>309</v>
      </c>
      <c r="AF1247" s="8" t="n">
        <v>608</v>
      </c>
      <c r="AG1247" s="9" t="n">
        <v>21232</v>
      </c>
      <c r="AH1247" s="10" t="n">
        <v>667</v>
      </c>
      <c r="AI1247" s="10" t="n">
        <v>1334</v>
      </c>
      <c r="AJ1247" s="11" t="n">
        <v>28947</v>
      </c>
      <c r="AK1247" s="12" t="n">
        <v>2224</v>
      </c>
      <c r="AL1247" s="12" t="n">
        <v>2259</v>
      </c>
      <c r="AM1247" s="13" t="n">
        <v>36.3</v>
      </c>
      <c r="AN1247" s="13" t="n">
        <v>-15.7</v>
      </c>
      <c r="AO1247" s="13" t="n">
        <v>233.4</v>
      </c>
      <c r="AP1247" s="13" t="n">
        <v>-67.40000000000001</v>
      </c>
    </row>
    <row r="1248">
      <c r="A1248" s="5" t="inlineStr">
        <is>
          <t>케스피온</t>
        </is>
      </c>
      <c r="B1248" s="6" t="inlineStr">
        <is>
          <t>079190</t>
        </is>
      </c>
      <c r="C1248" s="6" t="inlineStr">
        <is>
          <t>연결</t>
        </is>
      </c>
      <c r="D1248" s="6" t="inlineStr">
        <is>
          <t>2026Q2</t>
        </is>
      </c>
      <c r="E1248" s="6" t="inlineStr"/>
      <c r="F1248" s="7" t="inlineStr"/>
      <c r="G1248" s="8" t="inlineStr"/>
      <c r="H1248" s="8" t="inlineStr"/>
      <c r="I1248" s="9" t="n">
        <v>7094</v>
      </c>
      <c r="J1248" s="10" t="n">
        <v>-1591</v>
      </c>
      <c r="K1248" s="10" t="n">
        <v>-714</v>
      </c>
      <c r="L1248" s="7" t="n">
        <v>6175</v>
      </c>
      <c r="M1248" s="8" t="n">
        <v>-1599</v>
      </c>
      <c r="N1248" s="8" t="n">
        <v>-438</v>
      </c>
      <c r="O1248" s="9" t="n">
        <v>9728</v>
      </c>
      <c r="P1248" s="10" t="n">
        <v>-1453</v>
      </c>
      <c r="Q1248" s="10" t="n">
        <v>-2263</v>
      </c>
      <c r="R1248" s="7" t="n">
        <v>9602</v>
      </c>
      <c r="S1248" s="8" t="n">
        <v>-730</v>
      </c>
      <c r="T1248" s="8" t="n">
        <v>-456</v>
      </c>
      <c r="U1248" s="9" t="n">
        <v>10162</v>
      </c>
      <c r="V1248" s="10" t="n">
        <v>-1300</v>
      </c>
      <c r="W1248" s="10" t="n">
        <v>-1347</v>
      </c>
      <c r="X1248" s="7" t="n">
        <v>9590</v>
      </c>
      <c r="Y1248" s="8" t="n">
        <v>-973</v>
      </c>
      <c r="Z1248" s="8" t="n">
        <v>-164</v>
      </c>
      <c r="AA1248" s="9" t="n">
        <v>11512</v>
      </c>
      <c r="AB1248" s="10" t="n">
        <v>-452</v>
      </c>
      <c r="AC1248" s="10" t="n">
        <v>199</v>
      </c>
      <c r="AD1248" s="7" t="n">
        <v>12886</v>
      </c>
      <c r="AE1248" s="8" t="n">
        <v>-13</v>
      </c>
      <c r="AF1248" s="8" t="n">
        <v>-3267</v>
      </c>
      <c r="AG1248" s="9" t="n">
        <v>10553</v>
      </c>
      <c r="AH1248" s="10" t="n">
        <v>228</v>
      </c>
      <c r="AI1248" s="10" t="n">
        <v>857</v>
      </c>
      <c r="AJ1248" s="11" t="n">
        <v>9955</v>
      </c>
      <c r="AK1248" s="12" t="n">
        <v>563</v>
      </c>
      <c r="AL1248" s="12" t="n">
        <v>821</v>
      </c>
      <c r="AM1248" s="13" t="n">
        <v>-5.7</v>
      </c>
      <c r="AN1248" s="13" t="n">
        <v>3.8</v>
      </c>
      <c r="AO1248" s="13" t="n">
        <v>146.9</v>
      </c>
      <c r="AP1248" s="13" t="n">
        <v>157.9</v>
      </c>
    </row>
    <row r="1249">
      <c r="A1249" s="5" t="inlineStr">
        <is>
          <t>제우스</t>
        </is>
      </c>
      <c r="B1249" s="6" t="inlineStr">
        <is>
          <t>079370</t>
        </is>
      </c>
      <c r="C1249" s="6" t="inlineStr">
        <is>
          <t>연결</t>
        </is>
      </c>
      <c r="D1249" s="6" t="inlineStr">
        <is>
          <t>2026Q2</t>
        </is>
      </c>
      <c r="E1249" s="6" t="inlineStr"/>
      <c r="F1249" s="7" t="inlineStr"/>
      <c r="G1249" s="8" t="inlineStr"/>
      <c r="H1249" s="8" t="inlineStr"/>
      <c r="I1249" s="9" t="n">
        <v>88225</v>
      </c>
      <c r="J1249" s="10" t="n">
        <v>7559</v>
      </c>
      <c r="K1249" s="10" t="n">
        <v>5215</v>
      </c>
      <c r="L1249" s="7" t="n">
        <v>130797</v>
      </c>
      <c r="M1249" s="8" t="n">
        <v>9242</v>
      </c>
      <c r="N1249" s="8" t="n">
        <v>7796</v>
      </c>
      <c r="O1249" s="9" t="n">
        <v>125010</v>
      </c>
      <c r="P1249" s="10" t="n">
        <v>16597</v>
      </c>
      <c r="Q1249" s="10" t="n">
        <v>11705</v>
      </c>
      <c r="R1249" s="7" t="n">
        <v>146754</v>
      </c>
      <c r="S1249" s="8" t="n">
        <v>15774</v>
      </c>
      <c r="T1249" s="8" t="n">
        <v>18395</v>
      </c>
      <c r="U1249" s="9" t="n">
        <v>81563</v>
      </c>
      <c r="V1249" s="10" t="n">
        <v>-395</v>
      </c>
      <c r="W1249" s="10" t="n">
        <v>1323</v>
      </c>
      <c r="X1249" s="7" t="n">
        <v>116164</v>
      </c>
      <c r="Y1249" s="8" t="n">
        <v>672</v>
      </c>
      <c r="Z1249" s="8" t="n">
        <v>-13031</v>
      </c>
      <c r="AA1249" s="9" t="n">
        <v>86788</v>
      </c>
      <c r="AB1249" s="10" t="n">
        <v>-2509</v>
      </c>
      <c r="AC1249" s="10" t="n">
        <v>-2182</v>
      </c>
      <c r="AD1249" s="7" t="n">
        <v>98793</v>
      </c>
      <c r="AE1249" s="8" t="n">
        <v>-2233</v>
      </c>
      <c r="AF1249" s="8" t="n">
        <v>-246</v>
      </c>
      <c r="AG1249" s="9" t="n">
        <v>54890</v>
      </c>
      <c r="AH1249" s="10" t="n">
        <v>-17138</v>
      </c>
      <c r="AI1249" s="10" t="n">
        <v>-4776</v>
      </c>
      <c r="AJ1249" s="11" t="n">
        <v>82392</v>
      </c>
      <c r="AK1249" s="12" t="n">
        <v>-9635</v>
      </c>
      <c r="AL1249" s="12" t="n">
        <v>-7865</v>
      </c>
      <c r="AM1249" s="13" t="n">
        <v>50.1</v>
      </c>
      <c r="AN1249" s="13" t="n">
        <v>-29.1</v>
      </c>
      <c r="AO1249" s="13" t="n">
        <v>43.8</v>
      </c>
      <c r="AP1249" s="13" t="n">
        <v>-1533.8</v>
      </c>
    </row>
    <row r="1250">
      <c r="A1250" s="5" t="inlineStr">
        <is>
          <t>현대리바트</t>
        </is>
      </c>
      <c r="B1250" s="6" t="inlineStr">
        <is>
          <t>079430</t>
        </is>
      </c>
      <c r="C1250" s="6" t="inlineStr">
        <is>
          <t>연결</t>
        </is>
      </c>
      <c r="D1250" s="6" t="inlineStr">
        <is>
          <t>2026Q2</t>
        </is>
      </c>
      <c r="E1250" s="6" t="inlineStr">
        <is>
          <t>2023Q4</t>
        </is>
      </c>
      <c r="F1250" s="14" t="n">
        <v>420200</v>
      </c>
      <c r="G1250" s="15" t="n">
        <v>-16972</v>
      </c>
      <c r="H1250" s="15" t="n">
        <v>-29187</v>
      </c>
      <c r="I1250" s="9" t="n">
        <v>504787</v>
      </c>
      <c r="J1250" s="10" t="n">
        <v>6799</v>
      </c>
      <c r="K1250" s="10" t="n">
        <v>4684</v>
      </c>
      <c r="L1250" s="7" t="n">
        <v>496957</v>
      </c>
      <c r="M1250" s="8" t="n">
        <v>8170</v>
      </c>
      <c r="N1250" s="8" t="n">
        <v>5749</v>
      </c>
      <c r="O1250" s="9" t="n">
        <v>454115</v>
      </c>
      <c r="P1250" s="10" t="n">
        <v>9764</v>
      </c>
      <c r="Q1250" s="10" t="n">
        <v>4223</v>
      </c>
      <c r="R1250" s="7" t="n">
        <v>414798</v>
      </c>
      <c r="S1250" s="8" t="n">
        <v>-696</v>
      </c>
      <c r="T1250" s="8" t="n">
        <v>523</v>
      </c>
      <c r="U1250" s="9" t="n">
        <v>437760</v>
      </c>
      <c r="V1250" s="10" t="n">
        <v>9512</v>
      </c>
      <c r="W1250" s="10" t="n">
        <v>6556</v>
      </c>
      <c r="X1250" s="7" t="n">
        <v>409871</v>
      </c>
      <c r="Y1250" s="8" t="n">
        <v>5080</v>
      </c>
      <c r="Z1250" s="8" t="n">
        <v>618</v>
      </c>
      <c r="AA1250" s="9" t="n">
        <v>340655</v>
      </c>
      <c r="AB1250" s="10" t="n">
        <v>3737</v>
      </c>
      <c r="AC1250" s="10" t="n">
        <v>3002</v>
      </c>
      <c r="AD1250" s="7" t="n">
        <v>357920</v>
      </c>
      <c r="AE1250" s="8" t="n">
        <v>-2612</v>
      </c>
      <c r="AF1250" s="8" t="n">
        <v>-2769</v>
      </c>
      <c r="AG1250" s="9" t="n">
        <v>355935</v>
      </c>
      <c r="AH1250" s="10" t="n">
        <v>1053</v>
      </c>
      <c r="AI1250" s="10" t="n">
        <v>1615</v>
      </c>
      <c r="AJ1250" s="11" t="n">
        <v>373133</v>
      </c>
      <c r="AK1250" s="12" t="n">
        <v>5559</v>
      </c>
      <c r="AL1250" s="12" t="n">
        <v>3754</v>
      </c>
      <c r="AM1250" s="13" t="n">
        <v>4.8</v>
      </c>
      <c r="AN1250" s="13" t="n">
        <v>-9</v>
      </c>
      <c r="AO1250" s="13" t="n">
        <v>427.9</v>
      </c>
      <c r="AP1250" s="13" t="n">
        <v>9.4</v>
      </c>
    </row>
    <row r="1251">
      <c r="A1251" s="5" t="inlineStr">
        <is>
          <t>LIG디펜스앤에어로스페이스</t>
        </is>
      </c>
      <c r="B1251" s="6" t="inlineStr">
        <is>
          <t>079550</t>
        </is>
      </c>
      <c r="C1251" s="6" t="inlineStr">
        <is>
          <t>연결</t>
        </is>
      </c>
      <c r="D1251" s="6" t="inlineStr">
        <is>
          <t>2026Q2</t>
        </is>
      </c>
      <c r="E1251" s="6" t="inlineStr">
        <is>
          <t>2023Q4</t>
        </is>
      </c>
      <c r="F1251" s="14" t="n">
        <v>680000</v>
      </c>
      <c r="G1251" s="15" t="n">
        <v>36900</v>
      </c>
      <c r="H1251" s="15" t="n">
        <v>49800</v>
      </c>
      <c r="I1251" s="9" t="n">
        <v>763537</v>
      </c>
      <c r="J1251" s="10" t="n">
        <v>66990</v>
      </c>
      <c r="K1251" s="10" t="n">
        <v>60575</v>
      </c>
      <c r="L1251" s="7" t="n">
        <v>604684</v>
      </c>
      <c r="M1251" s="8" t="n">
        <v>49140</v>
      </c>
      <c r="N1251" s="8" t="n">
        <v>45662</v>
      </c>
      <c r="O1251" s="9" t="n">
        <v>740297</v>
      </c>
      <c r="P1251" s="10" t="n">
        <v>51939</v>
      </c>
      <c r="Q1251" s="10" t="n">
        <v>40728</v>
      </c>
      <c r="R1251" s="7" t="n">
        <v>1167822</v>
      </c>
      <c r="S1251" s="8" t="n">
        <v>61710</v>
      </c>
      <c r="T1251" s="8" t="n">
        <v>69684</v>
      </c>
      <c r="U1251" s="9" t="n">
        <v>907623</v>
      </c>
      <c r="V1251" s="10" t="n">
        <v>113597</v>
      </c>
      <c r="W1251" s="10" t="n">
        <v>82832</v>
      </c>
      <c r="X1251" s="7" t="n">
        <v>945351</v>
      </c>
      <c r="Y1251" s="8" t="n">
        <v>77579</v>
      </c>
      <c r="Z1251" s="8" t="n">
        <v>100596</v>
      </c>
      <c r="AA1251" s="9" t="n">
        <v>1049198</v>
      </c>
      <c r="AB1251" s="10" t="n">
        <v>89588</v>
      </c>
      <c r="AC1251" s="10" t="n">
        <v>54193</v>
      </c>
      <c r="AD1251" s="7" t="n">
        <v>1404764</v>
      </c>
      <c r="AE1251" s="8" t="n">
        <v>38678</v>
      </c>
      <c r="AF1251" s="8" t="n">
        <v>-141</v>
      </c>
      <c r="AG1251" s="9" t="n">
        <v>1167857</v>
      </c>
      <c r="AH1251" s="10" t="n">
        <v>171095</v>
      </c>
      <c r="AI1251" s="10" t="n">
        <v>135398</v>
      </c>
      <c r="AJ1251" s="11" t="n">
        <v>1110094</v>
      </c>
      <c r="AK1251" s="12" t="n">
        <v>105657</v>
      </c>
      <c r="AL1251" s="12" t="n">
        <v>78179</v>
      </c>
      <c r="AM1251" s="13" t="n">
        <v>-4.9</v>
      </c>
      <c r="AN1251" s="13" t="n">
        <v>17.4</v>
      </c>
      <c r="AO1251" s="13" t="n">
        <v>-38.2</v>
      </c>
      <c r="AP1251" s="13" t="n">
        <v>36.2</v>
      </c>
    </row>
    <row r="1252">
      <c r="A1252" s="5" t="inlineStr">
        <is>
          <t>서산</t>
        </is>
      </c>
      <c r="B1252" s="6" t="inlineStr">
        <is>
          <t>079650</t>
        </is>
      </c>
      <c r="C1252" s="6" t="inlineStr">
        <is>
          <t>연결</t>
        </is>
      </c>
      <c r="D1252" s="6" t="inlineStr">
        <is>
          <t>2026Q2</t>
        </is>
      </c>
      <c r="E1252" s="6" t="inlineStr"/>
      <c r="F1252" s="7" t="inlineStr"/>
      <c r="G1252" s="8" t="inlineStr"/>
      <c r="H1252" s="8" t="inlineStr"/>
      <c r="I1252" s="9" t="n">
        <v>9767</v>
      </c>
      <c r="J1252" s="10" t="n">
        <v>-780</v>
      </c>
      <c r="K1252" s="10" t="n">
        <v>-40</v>
      </c>
      <c r="L1252" s="7" t="n">
        <v>9764</v>
      </c>
      <c r="M1252" s="8" t="n">
        <v>-244</v>
      </c>
      <c r="N1252" s="8" t="n">
        <v>513</v>
      </c>
      <c r="O1252" s="9" t="n">
        <v>7290</v>
      </c>
      <c r="P1252" s="10" t="n">
        <v>-429</v>
      </c>
      <c r="Q1252" s="10" t="n">
        <v>423</v>
      </c>
      <c r="R1252" s="7" t="n">
        <v>8863</v>
      </c>
      <c r="S1252" s="8" t="n">
        <v>-1042</v>
      </c>
      <c r="T1252" s="8" t="n">
        <v>-3355</v>
      </c>
      <c r="U1252" s="9" t="n">
        <v>7865</v>
      </c>
      <c r="V1252" s="10" t="n">
        <v>-1987</v>
      </c>
      <c r="W1252" s="10" t="n">
        <v>-1629</v>
      </c>
      <c r="X1252" s="7" t="n">
        <v>11011</v>
      </c>
      <c r="Y1252" s="8" t="n">
        <v>-625</v>
      </c>
      <c r="Z1252" s="8" t="n">
        <v>34</v>
      </c>
      <c r="AA1252" s="9" t="n">
        <v>13473</v>
      </c>
      <c r="AB1252" s="10" t="n">
        <v>-387</v>
      </c>
      <c r="AC1252" s="10" t="n">
        <v>-1385</v>
      </c>
      <c r="AD1252" s="7" t="n">
        <v>12754</v>
      </c>
      <c r="AE1252" s="8" t="n">
        <v>-332</v>
      </c>
      <c r="AF1252" s="8" t="n">
        <v>135</v>
      </c>
      <c r="AG1252" s="9" t="n">
        <v>11491</v>
      </c>
      <c r="AH1252" s="10" t="n">
        <v>308</v>
      </c>
      <c r="AI1252" s="10" t="n">
        <v>642</v>
      </c>
      <c r="AJ1252" s="11" t="n">
        <v>12976</v>
      </c>
      <c r="AK1252" s="12" t="n">
        <v>-326</v>
      </c>
      <c r="AL1252" s="12" t="n">
        <v>420</v>
      </c>
      <c r="AM1252" s="13" t="n">
        <v>12.9</v>
      </c>
      <c r="AN1252" s="13" t="n">
        <v>17.8</v>
      </c>
      <c r="AO1252" s="13" t="n">
        <v>-205.8</v>
      </c>
      <c r="AP1252" s="13" t="n">
        <v>47.8</v>
      </c>
    </row>
    <row r="1253">
      <c r="A1253" s="5" t="inlineStr">
        <is>
          <t>APS이노베이션</t>
        </is>
      </c>
      <c r="B1253" s="6" t="inlineStr">
        <is>
          <t>079810</t>
        </is>
      </c>
      <c r="C1253" s="6" t="inlineStr">
        <is>
          <t>연결</t>
        </is>
      </c>
      <c r="D1253" s="6" t="inlineStr">
        <is>
          <t>2026Q2</t>
        </is>
      </c>
      <c r="E1253" s="6" t="inlineStr"/>
      <c r="F1253" s="7" t="inlineStr"/>
      <c r="G1253" s="8" t="inlineStr"/>
      <c r="H1253" s="8" t="inlineStr"/>
      <c r="I1253" s="9" t="n">
        <v>43099</v>
      </c>
      <c r="J1253" s="10" t="n">
        <v>1434</v>
      </c>
      <c r="K1253" s="10" t="n">
        <v>5281</v>
      </c>
      <c r="L1253" s="7" t="n">
        <v>19720</v>
      </c>
      <c r="M1253" s="8" t="n">
        <v>-523</v>
      </c>
      <c r="N1253" s="8" t="n">
        <v>1737</v>
      </c>
      <c r="O1253" s="9" t="n">
        <v>35798</v>
      </c>
      <c r="P1253" s="10" t="n">
        <v>2071</v>
      </c>
      <c r="Q1253" s="10" t="n">
        <v>-1414</v>
      </c>
      <c r="R1253" s="7" t="n">
        <v>47757</v>
      </c>
      <c r="S1253" s="8" t="n">
        <v>2374</v>
      </c>
      <c r="T1253" s="8" t="n">
        <v>12596</v>
      </c>
      <c r="U1253" s="9" t="n">
        <v>16043</v>
      </c>
      <c r="V1253" s="10" t="n">
        <v>1241</v>
      </c>
      <c r="W1253" s="10" t="n">
        <v>1501</v>
      </c>
      <c r="X1253" s="7" t="n">
        <v>23799</v>
      </c>
      <c r="Y1253" s="8" t="n">
        <v>538</v>
      </c>
      <c r="Z1253" s="8" t="n">
        <v>-4784</v>
      </c>
      <c r="AA1253" s="9" t="n">
        <v>9212</v>
      </c>
      <c r="AB1253" s="10" t="n">
        <v>504</v>
      </c>
      <c r="AC1253" s="10" t="n">
        <v>2895</v>
      </c>
      <c r="AD1253" s="7" t="n">
        <v>24931</v>
      </c>
      <c r="AE1253" s="8" t="n">
        <v>267</v>
      </c>
      <c r="AF1253" s="8" t="n">
        <v>478</v>
      </c>
      <c r="AG1253" s="9" t="n">
        <v>19648</v>
      </c>
      <c r="AH1253" s="10" t="n">
        <v>3003</v>
      </c>
      <c r="AI1253" s="10" t="n">
        <v>6505</v>
      </c>
      <c r="AJ1253" s="11" t="n">
        <v>15849</v>
      </c>
      <c r="AK1253" s="12" t="n">
        <v>535</v>
      </c>
      <c r="AL1253" s="12" t="n">
        <v>2195</v>
      </c>
      <c r="AM1253" s="13" t="n">
        <v>-19.3</v>
      </c>
      <c r="AN1253" s="13" t="n">
        <v>-33.4</v>
      </c>
      <c r="AO1253" s="13" t="n">
        <v>-82.2</v>
      </c>
      <c r="AP1253" s="13" t="n">
        <v>-0.6</v>
      </c>
    </row>
    <row r="1254">
      <c r="A1254" s="5" t="inlineStr">
        <is>
          <t>전진건설로봇</t>
        </is>
      </c>
      <c r="B1254" s="6" t="inlineStr">
        <is>
          <t>079900</t>
        </is>
      </c>
      <c r="C1254" s="6" t="inlineStr">
        <is>
          <t>연결</t>
        </is>
      </c>
      <c r="D1254" s="6" t="inlineStr">
        <is>
          <t>2026Q2</t>
        </is>
      </c>
      <c r="E1254" s="6" t="inlineStr"/>
      <c r="F1254" s="7" t="inlineStr"/>
      <c r="G1254" s="8" t="inlineStr"/>
      <c r="H1254" s="8" t="inlineStr"/>
      <c r="I1254" s="9" t="inlineStr"/>
      <c r="J1254" s="10" t="inlineStr"/>
      <c r="K1254" s="10" t="inlineStr"/>
      <c r="L1254" s="7" t="inlineStr"/>
      <c r="M1254" s="8" t="inlineStr"/>
      <c r="N1254" s="8" t="inlineStr"/>
      <c r="O1254" s="9" t="n">
        <v>43045</v>
      </c>
      <c r="P1254" s="10" t="n">
        <v>9210</v>
      </c>
      <c r="Q1254" s="10" t="n">
        <v>6559</v>
      </c>
      <c r="R1254" s="7" t="inlineStr"/>
      <c r="S1254" s="8" t="inlineStr"/>
      <c r="T1254" s="8" t="inlineStr"/>
      <c r="U1254" s="9" t="n">
        <v>48877</v>
      </c>
      <c r="V1254" s="10" t="n">
        <v>8663</v>
      </c>
      <c r="W1254" s="10" t="n">
        <v>7748</v>
      </c>
      <c r="X1254" s="7" t="n">
        <v>51467</v>
      </c>
      <c r="Y1254" s="8" t="n">
        <v>9449</v>
      </c>
      <c r="Z1254" s="8" t="n">
        <v>6056</v>
      </c>
      <c r="AA1254" s="9" t="n">
        <v>44907</v>
      </c>
      <c r="AB1254" s="10" t="n">
        <v>4956</v>
      </c>
      <c r="AC1254" s="10" t="n">
        <v>10129</v>
      </c>
      <c r="AD1254" s="7" t="n">
        <v>45410</v>
      </c>
      <c r="AE1254" s="8" t="n">
        <v>5651</v>
      </c>
      <c r="AF1254" s="8" t="n">
        <v>5313</v>
      </c>
      <c r="AG1254" s="9" t="n">
        <v>46017</v>
      </c>
      <c r="AH1254" s="10" t="n">
        <v>4260</v>
      </c>
      <c r="AI1254" s="10" t="n">
        <v>6530</v>
      </c>
      <c r="AJ1254" s="11" t="n">
        <v>47254</v>
      </c>
      <c r="AK1254" s="12" t="n">
        <v>9608</v>
      </c>
      <c r="AL1254" s="12" t="n">
        <v>9529</v>
      </c>
      <c r="AM1254" s="13" t="n">
        <v>2.7</v>
      </c>
      <c r="AN1254" s="13" t="n">
        <v>-8.199999999999999</v>
      </c>
      <c r="AO1254" s="13" t="n">
        <v>125.5</v>
      </c>
      <c r="AP1254" s="13" t="n">
        <v>1.7</v>
      </c>
    </row>
    <row r="1255">
      <c r="A1255" s="5" t="inlineStr">
        <is>
          <t>가비아</t>
        </is>
      </c>
      <c r="B1255" s="6" t="inlineStr">
        <is>
          <t>079940</t>
        </is>
      </c>
      <c r="C1255" s="6" t="inlineStr">
        <is>
          <t>연결</t>
        </is>
      </c>
      <c r="D1255" s="6" t="inlineStr">
        <is>
          <t>2026Q2</t>
        </is>
      </c>
      <c r="E1255" s="6" t="inlineStr"/>
      <c r="F1255" s="7" t="inlineStr"/>
      <c r="G1255" s="8" t="inlineStr"/>
      <c r="H1255" s="8" t="inlineStr"/>
      <c r="I1255" s="9" t="n">
        <v>62035</v>
      </c>
      <c r="J1255" s="10" t="n">
        <v>7203</v>
      </c>
      <c r="K1255" s="10" t="n">
        <v>3897</v>
      </c>
      <c r="L1255" s="7" t="n">
        <v>64451</v>
      </c>
      <c r="M1255" s="8" t="n">
        <v>7648</v>
      </c>
      <c r="N1255" s="8" t="n">
        <v>6345</v>
      </c>
      <c r="O1255" s="9" t="n">
        <v>65982</v>
      </c>
      <c r="P1255" s="10" t="n">
        <v>5917</v>
      </c>
      <c r="Q1255" s="10" t="n">
        <v>4356</v>
      </c>
      <c r="R1255" s="7" t="n">
        <v>89950</v>
      </c>
      <c r="S1255" s="8" t="n">
        <v>14342</v>
      </c>
      <c r="T1255" s="8" t="n">
        <v>13995</v>
      </c>
      <c r="U1255" s="9" t="n">
        <v>76963</v>
      </c>
      <c r="V1255" s="10" t="n">
        <v>5776</v>
      </c>
      <c r="W1255" s="10" t="n">
        <v>3816</v>
      </c>
      <c r="X1255" s="7" t="n">
        <v>80647</v>
      </c>
      <c r="Y1255" s="8" t="n">
        <v>8038</v>
      </c>
      <c r="Z1255" s="8" t="n">
        <v>6096</v>
      </c>
      <c r="AA1255" s="9" t="n">
        <v>80581</v>
      </c>
      <c r="AB1255" s="10" t="n">
        <v>7543</v>
      </c>
      <c r="AC1255" s="10" t="n">
        <v>4655</v>
      </c>
      <c r="AD1255" s="7" t="n">
        <v>97490</v>
      </c>
      <c r="AE1255" s="8" t="n">
        <v>19129</v>
      </c>
      <c r="AF1255" s="8" t="n">
        <v>16552</v>
      </c>
      <c r="AG1255" s="9" t="n">
        <v>84969</v>
      </c>
      <c r="AH1255" s="10" t="n">
        <v>10726</v>
      </c>
      <c r="AI1255" s="10" t="n">
        <v>9033</v>
      </c>
      <c r="AJ1255" s="11" t="n">
        <v>88761</v>
      </c>
      <c r="AK1255" s="12" t="n">
        <v>12477</v>
      </c>
      <c r="AL1255" s="12" t="n">
        <v>8716</v>
      </c>
      <c r="AM1255" s="13" t="n">
        <v>4.5</v>
      </c>
      <c r="AN1255" s="13" t="n">
        <v>10.1</v>
      </c>
      <c r="AO1255" s="13" t="n">
        <v>16.3</v>
      </c>
      <c r="AP1255" s="13" t="n">
        <v>55.2</v>
      </c>
    </row>
    <row r="1256">
      <c r="A1256" s="5" t="inlineStr">
        <is>
          <t>인베니아</t>
        </is>
      </c>
      <c r="B1256" s="6" t="inlineStr">
        <is>
          <t>079950</t>
        </is>
      </c>
      <c r="C1256" s="6" t="inlineStr">
        <is>
          <t>연결</t>
        </is>
      </c>
      <c r="D1256" s="6" t="inlineStr">
        <is>
          <t>2026Q2</t>
        </is>
      </c>
      <c r="E1256" s="6" t="inlineStr"/>
      <c r="F1256" s="7" t="inlineStr"/>
      <c r="G1256" s="8" t="inlineStr"/>
      <c r="H1256" s="8" t="inlineStr"/>
      <c r="I1256" s="9" t="n">
        <v>3217</v>
      </c>
      <c r="J1256" s="10" t="n">
        <v>-678</v>
      </c>
      <c r="K1256" s="10" t="n">
        <v>394</v>
      </c>
      <c r="L1256" s="7" t="n">
        <v>6231</v>
      </c>
      <c r="M1256" s="8" t="n">
        <v>-5627</v>
      </c>
      <c r="N1256" s="8" t="n">
        <v>-5469</v>
      </c>
      <c r="O1256" s="9" t="n">
        <v>4696</v>
      </c>
      <c r="P1256" s="10" t="n">
        <v>-1160</v>
      </c>
      <c r="Q1256" s="10" t="n">
        <v>-3832</v>
      </c>
      <c r="R1256" s="7" t="n">
        <v>7698</v>
      </c>
      <c r="S1256" s="8" t="n">
        <v>-3393</v>
      </c>
      <c r="T1256" s="8" t="n">
        <v>-1142</v>
      </c>
      <c r="U1256" s="9" t="n">
        <v>2435</v>
      </c>
      <c r="V1256" s="10" t="n">
        <v>-2619</v>
      </c>
      <c r="W1256" s="10" t="n">
        <v>-3464</v>
      </c>
      <c r="X1256" s="7" t="n">
        <v>2850</v>
      </c>
      <c r="Y1256" s="8" t="n">
        <v>-565</v>
      </c>
      <c r="Z1256" s="8" t="n">
        <v>-2946</v>
      </c>
      <c r="AA1256" s="9" t="n">
        <v>1255</v>
      </c>
      <c r="AB1256" s="10" t="n">
        <v>-3224</v>
      </c>
      <c r="AC1256" s="10" t="n">
        <v>-3232</v>
      </c>
      <c r="AD1256" s="7" t="n">
        <v>11873</v>
      </c>
      <c r="AE1256" s="8" t="n">
        <v>-2199</v>
      </c>
      <c r="AF1256" s="8" t="n">
        <v>-3082</v>
      </c>
      <c r="AG1256" s="9" t="n">
        <v>14005</v>
      </c>
      <c r="AH1256" s="10" t="n">
        <v>191</v>
      </c>
      <c r="AI1256" s="10" t="n">
        <v>2210</v>
      </c>
      <c r="AJ1256" s="11" t="n">
        <v>2623</v>
      </c>
      <c r="AK1256" s="12" t="n">
        <v>-2648</v>
      </c>
      <c r="AL1256" s="12" t="n">
        <v>-2774</v>
      </c>
      <c r="AM1256" s="13" t="n">
        <v>-81.3</v>
      </c>
      <c r="AN1256" s="13" t="n">
        <v>-8</v>
      </c>
      <c r="AO1256" s="13" t="n">
        <v>-1486.4</v>
      </c>
      <c r="AP1256" s="13" t="n">
        <v>-368.7</v>
      </c>
    </row>
    <row r="1257">
      <c r="A1257" s="5" t="inlineStr">
        <is>
          <t>동양이엔피</t>
        </is>
      </c>
      <c r="B1257" s="6" t="inlineStr">
        <is>
          <t>079960</t>
        </is>
      </c>
      <c r="C1257" s="6" t="inlineStr">
        <is>
          <t>연결</t>
        </is>
      </c>
      <c r="D1257" s="6" t="inlineStr">
        <is>
          <t>2026Q2</t>
        </is>
      </c>
      <c r="E1257" s="6" t="inlineStr"/>
      <c r="F1257" s="7" t="inlineStr"/>
      <c r="G1257" s="8" t="inlineStr"/>
      <c r="H1257" s="8" t="inlineStr"/>
      <c r="I1257" s="9" t="n">
        <v>125626</v>
      </c>
      <c r="J1257" s="10" t="n">
        <v>10988</v>
      </c>
      <c r="K1257" s="10" t="n">
        <v>18252</v>
      </c>
      <c r="L1257" s="7" t="n">
        <v>141470</v>
      </c>
      <c r="M1257" s="8" t="n">
        <v>13530</v>
      </c>
      <c r="N1257" s="8" t="n">
        <v>15828</v>
      </c>
      <c r="O1257" s="9" t="n">
        <v>159332</v>
      </c>
      <c r="P1257" s="10" t="n">
        <v>15622</v>
      </c>
      <c r="Q1257" s="10" t="n">
        <v>6503</v>
      </c>
      <c r="R1257" s="7" t="n">
        <v>121965</v>
      </c>
      <c r="S1257" s="8" t="n">
        <v>11478</v>
      </c>
      <c r="T1257" s="8" t="n">
        <v>28918</v>
      </c>
      <c r="U1257" s="9" t="n">
        <v>163435</v>
      </c>
      <c r="V1257" s="10" t="n">
        <v>15901</v>
      </c>
      <c r="W1257" s="10" t="n">
        <v>15140</v>
      </c>
      <c r="X1257" s="7" t="n">
        <v>141213</v>
      </c>
      <c r="Y1257" s="8" t="n">
        <v>13504</v>
      </c>
      <c r="Z1257" s="8" t="n">
        <v>312</v>
      </c>
      <c r="AA1257" s="9" t="n">
        <v>165242</v>
      </c>
      <c r="AB1257" s="10" t="n">
        <v>16261</v>
      </c>
      <c r="AC1257" s="10" t="n">
        <v>23565</v>
      </c>
      <c r="AD1257" s="7" t="n">
        <v>126585</v>
      </c>
      <c r="AE1257" s="8" t="n">
        <v>7952</v>
      </c>
      <c r="AF1257" s="8" t="n">
        <v>10435</v>
      </c>
      <c r="AG1257" s="9" t="n">
        <v>122844</v>
      </c>
      <c r="AH1257" s="10" t="n">
        <v>6520</v>
      </c>
      <c r="AI1257" s="10" t="n">
        <v>13312</v>
      </c>
      <c r="AJ1257" s="11" t="n">
        <v>105678</v>
      </c>
      <c r="AK1257" s="12" t="n">
        <v>2721</v>
      </c>
      <c r="AL1257" s="12" t="n">
        <v>9198</v>
      </c>
      <c r="AM1257" s="13" t="n">
        <v>-14</v>
      </c>
      <c r="AN1257" s="13" t="n">
        <v>-25.2</v>
      </c>
      <c r="AO1257" s="13" t="n">
        <v>-58.3</v>
      </c>
      <c r="AP1257" s="13" t="n">
        <v>-79.90000000000001</v>
      </c>
    </row>
    <row r="1258">
      <c r="A1258" s="5" t="inlineStr">
        <is>
          <t>투비소프트</t>
        </is>
      </c>
      <c r="B1258" s="6" t="inlineStr">
        <is>
          <t>079970</t>
        </is>
      </c>
      <c r="C1258" s="6" t="inlineStr">
        <is>
          <t>연결</t>
        </is>
      </c>
      <c r="D1258" s="6" t="inlineStr">
        <is>
          <t>2026Q2</t>
        </is>
      </c>
      <c r="E1258" s="6" t="inlineStr"/>
      <c r="F1258" s="7" t="inlineStr"/>
      <c r="G1258" s="8" t="inlineStr"/>
      <c r="H1258" s="8" t="inlineStr"/>
      <c r="I1258" s="9" t="n">
        <v>7402</v>
      </c>
      <c r="J1258" s="10" t="n">
        <v>-2421</v>
      </c>
      <c r="K1258" s="10" t="n">
        <v>-1834</v>
      </c>
      <c r="L1258" s="7" t="n">
        <v>8681</v>
      </c>
      <c r="M1258" s="8" t="n">
        <v>-956</v>
      </c>
      <c r="N1258" s="8" t="n">
        <v>-16536</v>
      </c>
      <c r="O1258" s="9" t="n">
        <v>9744</v>
      </c>
      <c r="P1258" s="10" t="n">
        <v>-894</v>
      </c>
      <c r="Q1258" s="10" t="n">
        <v>3742</v>
      </c>
      <c r="R1258" s="7" t="n">
        <v>2298</v>
      </c>
      <c r="S1258" s="8" t="n">
        <v>2292</v>
      </c>
      <c r="T1258" s="8" t="n">
        <v>-8328</v>
      </c>
      <c r="U1258" s="9" t="n">
        <v>7261</v>
      </c>
      <c r="V1258" s="10" t="n">
        <v>-815</v>
      </c>
      <c r="W1258" s="10" t="n">
        <v>-787</v>
      </c>
      <c r="X1258" s="7" t="n">
        <v>6418</v>
      </c>
      <c r="Y1258" s="8" t="n">
        <v>70</v>
      </c>
      <c r="Z1258" s="8" t="n">
        <v>108</v>
      </c>
      <c r="AA1258" s="9" t="n">
        <v>6102</v>
      </c>
      <c r="AB1258" s="10" t="n">
        <v>370</v>
      </c>
      <c r="AC1258" s="10" t="n">
        <v>602</v>
      </c>
      <c r="AD1258" s="7" t="n">
        <v>6980</v>
      </c>
      <c r="AE1258" s="8" t="n">
        <v>1118</v>
      </c>
      <c r="AF1258" s="8" t="n">
        <v>1046</v>
      </c>
      <c r="AG1258" s="9" t="n">
        <v>5848</v>
      </c>
      <c r="AH1258" s="10" t="n">
        <v>-35</v>
      </c>
      <c r="AI1258" s="10" t="n">
        <v>15</v>
      </c>
      <c r="AJ1258" s="11" t="n">
        <v>5966</v>
      </c>
      <c r="AK1258" s="12" t="n">
        <v>567</v>
      </c>
      <c r="AL1258" s="12" t="n">
        <v>550</v>
      </c>
      <c r="AM1258" s="13" t="n">
        <v>2</v>
      </c>
      <c r="AN1258" s="13" t="n">
        <v>-7</v>
      </c>
      <c r="AO1258" s="13" t="n">
        <v>1720</v>
      </c>
      <c r="AP1258" s="13" t="n">
        <v>710</v>
      </c>
    </row>
    <row r="1259">
      <c r="A1259" s="5" t="inlineStr">
        <is>
          <t>휴비스</t>
        </is>
      </c>
      <c r="B1259" s="6" t="inlineStr">
        <is>
          <t>079980</t>
        </is>
      </c>
      <c r="C1259" s="6" t="inlineStr">
        <is>
          <t>연결</t>
        </is>
      </c>
      <c r="D1259" s="6" t="inlineStr">
        <is>
          <t>2026Q2</t>
        </is>
      </c>
      <c r="E1259" s="6" t="inlineStr"/>
      <c r="F1259" s="7" t="inlineStr"/>
      <c r="G1259" s="8" t="inlineStr"/>
      <c r="H1259" s="8" t="inlineStr"/>
      <c r="I1259" s="9" t="n">
        <v>224057</v>
      </c>
      <c r="J1259" s="10" t="n">
        <v>-7234</v>
      </c>
      <c r="K1259" s="10" t="n">
        <v>-12527</v>
      </c>
      <c r="L1259" s="7" t="n">
        <v>240465</v>
      </c>
      <c r="M1259" s="8" t="n">
        <v>-4765</v>
      </c>
      <c r="N1259" s="8" t="n">
        <v>-18539</v>
      </c>
      <c r="O1259" s="9" t="n">
        <v>236384</v>
      </c>
      <c r="P1259" s="10" t="n">
        <v>-6742</v>
      </c>
      <c r="Q1259" s="10" t="n">
        <v>-21147</v>
      </c>
      <c r="R1259" s="7" t="n">
        <v>238522</v>
      </c>
      <c r="S1259" s="8" t="n">
        <v>-19514</v>
      </c>
      <c r="T1259" s="8" t="n">
        <v>-80381</v>
      </c>
      <c r="U1259" s="9" t="n">
        <v>240103</v>
      </c>
      <c r="V1259" s="10" t="n">
        <v>6364</v>
      </c>
      <c r="W1259" s="10" t="n">
        <v>3317</v>
      </c>
      <c r="X1259" s="7" t="n">
        <v>224518</v>
      </c>
      <c r="Y1259" s="8" t="n">
        <v>2458</v>
      </c>
      <c r="Z1259" s="8" t="n">
        <v>8984</v>
      </c>
      <c r="AA1259" s="9" t="n">
        <v>210186</v>
      </c>
      <c r="AB1259" s="10" t="n">
        <v>1012</v>
      </c>
      <c r="AC1259" s="10" t="n">
        <v>-3246</v>
      </c>
      <c r="AD1259" s="7" t="n">
        <v>214721</v>
      </c>
      <c r="AE1259" s="8" t="n">
        <v>9928</v>
      </c>
      <c r="AF1259" s="8" t="n">
        <v>-6728</v>
      </c>
      <c r="AG1259" s="9" t="n">
        <v>226017</v>
      </c>
      <c r="AH1259" s="10" t="n">
        <v>179</v>
      </c>
      <c r="AI1259" s="10" t="n">
        <v>-818</v>
      </c>
      <c r="AJ1259" s="11" t="n">
        <v>238729</v>
      </c>
      <c r="AK1259" s="12" t="n">
        <v>3342</v>
      </c>
      <c r="AL1259" s="12" t="n">
        <v>-1595</v>
      </c>
      <c r="AM1259" s="13" t="n">
        <v>5.6</v>
      </c>
      <c r="AN1259" s="13" t="n">
        <v>6.3</v>
      </c>
      <c r="AO1259" s="13" t="n">
        <v>1767</v>
      </c>
      <c r="AP1259" s="13" t="n">
        <v>36</v>
      </c>
    </row>
    <row r="1260">
      <c r="A1260" s="5" t="inlineStr">
        <is>
          <t>이상네트웍스</t>
        </is>
      </c>
      <c r="B1260" s="6" t="inlineStr">
        <is>
          <t>080010</t>
        </is>
      </c>
      <c r="C1260" s="6" t="inlineStr">
        <is>
          <t>연결</t>
        </is>
      </c>
      <c r="D1260" s="6" t="inlineStr">
        <is>
          <t>2026Q2</t>
        </is>
      </c>
      <c r="E1260" s="6" t="inlineStr"/>
      <c r="F1260" s="7" t="inlineStr"/>
      <c r="G1260" s="8" t="inlineStr"/>
      <c r="H1260" s="8" t="inlineStr"/>
      <c r="I1260" s="9" t="n">
        <v>19595</v>
      </c>
      <c r="J1260" s="10" t="n">
        <v>3867</v>
      </c>
      <c r="K1260" s="10" t="n">
        <v>3646</v>
      </c>
      <c r="L1260" s="7" t="n">
        <v>21598</v>
      </c>
      <c r="M1260" s="8" t="n">
        <v>4688</v>
      </c>
      <c r="N1260" s="8" t="n">
        <v>3909</v>
      </c>
      <c r="O1260" s="9" t="n">
        <v>20740</v>
      </c>
      <c r="P1260" s="10" t="n">
        <v>4013</v>
      </c>
      <c r="Q1260" s="10" t="n">
        <v>2642</v>
      </c>
      <c r="R1260" s="7" t="n">
        <v>35863</v>
      </c>
      <c r="S1260" s="8" t="n">
        <v>8169</v>
      </c>
      <c r="T1260" s="8" t="n">
        <v>6416</v>
      </c>
      <c r="U1260" s="9" t="n">
        <v>20572</v>
      </c>
      <c r="V1260" s="10" t="n">
        <v>4067</v>
      </c>
      <c r="W1260" s="10" t="n">
        <v>4397</v>
      </c>
      <c r="X1260" s="7" t="n">
        <v>26275</v>
      </c>
      <c r="Y1260" s="8" t="n">
        <v>8477</v>
      </c>
      <c r="Z1260" s="8" t="n">
        <v>7604</v>
      </c>
      <c r="AA1260" s="9" t="n">
        <v>29548</v>
      </c>
      <c r="AB1260" s="10" t="n">
        <v>7301</v>
      </c>
      <c r="AC1260" s="10" t="n">
        <v>5887</v>
      </c>
      <c r="AD1260" s="7" t="n">
        <v>27388</v>
      </c>
      <c r="AE1260" s="8" t="n">
        <v>3072</v>
      </c>
      <c r="AF1260" s="8" t="n">
        <v>2739</v>
      </c>
      <c r="AG1260" s="9" t="n">
        <v>24680</v>
      </c>
      <c r="AH1260" s="10" t="n">
        <v>5843</v>
      </c>
      <c r="AI1260" s="10" t="n">
        <v>4749</v>
      </c>
      <c r="AJ1260" s="11" t="n">
        <v>28763</v>
      </c>
      <c r="AK1260" s="12" t="n">
        <v>8982</v>
      </c>
      <c r="AL1260" s="12" t="n">
        <v>8298</v>
      </c>
      <c r="AM1260" s="13" t="n">
        <v>16.5</v>
      </c>
      <c r="AN1260" s="13" t="n">
        <v>9.5</v>
      </c>
      <c r="AO1260" s="13" t="n">
        <v>53.7</v>
      </c>
      <c r="AP1260" s="13" t="n">
        <v>6</v>
      </c>
    </row>
    <row r="1261">
      <c r="A1261" s="5" t="inlineStr">
        <is>
          <t>모두투어</t>
        </is>
      </c>
      <c r="B1261" s="6" t="inlineStr">
        <is>
          <t>080160</t>
        </is>
      </c>
      <c r="C1261" s="6" t="inlineStr">
        <is>
          <t>연결</t>
        </is>
      </c>
      <c r="D1261" s="6" t="inlineStr">
        <is>
          <t>2026Q2</t>
        </is>
      </c>
      <c r="E1261" s="6" t="inlineStr"/>
      <c r="F1261" s="7" t="inlineStr"/>
      <c r="G1261" s="8" t="inlineStr"/>
      <c r="H1261" s="8" t="inlineStr"/>
      <c r="I1261" s="9" t="n">
        <v>79271</v>
      </c>
      <c r="J1261" s="10" t="n">
        <v>5741</v>
      </c>
      <c r="K1261" s="10" t="n">
        <v>7609</v>
      </c>
      <c r="L1261" s="7" t="n">
        <v>51956</v>
      </c>
      <c r="M1261" s="8" t="n">
        <v>-4727</v>
      </c>
      <c r="N1261" s="8" t="n">
        <v>-3598</v>
      </c>
      <c r="O1261" s="9" t="n">
        <v>65204</v>
      </c>
      <c r="P1261" s="10" t="n">
        <v>1579</v>
      </c>
      <c r="Q1261" s="10" t="n">
        <v>1399</v>
      </c>
      <c r="R1261" s="7" t="n">
        <v>55121</v>
      </c>
      <c r="S1261" s="8" t="n">
        <v>2059</v>
      </c>
      <c r="T1261" s="8" t="n">
        <v>5431</v>
      </c>
      <c r="U1261" s="9" t="n">
        <v>65578</v>
      </c>
      <c r="V1261" s="10" t="n">
        <v>7897</v>
      </c>
      <c r="W1261" s="10" t="n">
        <v>6771</v>
      </c>
      <c r="X1261" s="7" t="n">
        <v>39696</v>
      </c>
      <c r="Y1261" s="8" t="n">
        <v>2689</v>
      </c>
      <c r="Z1261" s="8" t="n">
        <v>6716</v>
      </c>
      <c r="AA1261" s="9" t="n">
        <v>37593</v>
      </c>
      <c r="AB1261" s="10" t="n">
        <v>-3453</v>
      </c>
      <c r="AC1261" s="10" t="n">
        <v>-1463</v>
      </c>
      <c r="AD1261" s="7" t="n">
        <v>67540</v>
      </c>
      <c r="AE1261" s="8" t="n">
        <v>305</v>
      </c>
      <c r="AF1261" s="8" t="n">
        <v>2455</v>
      </c>
      <c r="AG1261" s="9" t="n">
        <v>61340</v>
      </c>
      <c r="AH1261" s="10" t="n">
        <v>2832</v>
      </c>
      <c r="AI1261" s="10" t="n">
        <v>4566</v>
      </c>
      <c r="AJ1261" s="11" t="n">
        <v>42245</v>
      </c>
      <c r="AK1261" s="12" t="n">
        <v>-856</v>
      </c>
      <c r="AL1261" s="12" t="n">
        <v>-216</v>
      </c>
      <c r="AM1261" s="13" t="n">
        <v>-31.1</v>
      </c>
      <c r="AN1261" s="13" t="n">
        <v>6.4</v>
      </c>
      <c r="AO1261" s="13" t="n">
        <v>-130.2</v>
      </c>
      <c r="AP1261" s="13" t="n">
        <v>-131.8</v>
      </c>
    </row>
    <row r="1262">
      <c r="A1262" s="5" t="inlineStr">
        <is>
          <t>제주반도체</t>
        </is>
      </c>
      <c r="B1262" s="6" t="inlineStr">
        <is>
          <t>080220</t>
        </is>
      </c>
      <c r="C1262" s="6" t="inlineStr">
        <is>
          <t>연결</t>
        </is>
      </c>
      <c r="D1262" s="6" t="inlineStr">
        <is>
          <t>2026Q2</t>
        </is>
      </c>
      <c r="E1262" s="6" t="inlineStr"/>
      <c r="F1262" s="7" t="inlineStr"/>
      <c r="G1262" s="8" t="inlineStr"/>
      <c r="H1262" s="8" t="inlineStr"/>
      <c r="I1262" s="9" t="n">
        <v>42590</v>
      </c>
      <c r="J1262" s="10" t="n">
        <v>4767</v>
      </c>
      <c r="K1262" s="10" t="n">
        <v>7293</v>
      </c>
      <c r="L1262" s="7" t="n">
        <v>43871</v>
      </c>
      <c r="M1262" s="8" t="n">
        <v>2401</v>
      </c>
      <c r="N1262" s="8" t="n">
        <v>2023</v>
      </c>
      <c r="O1262" s="9" t="n">
        <v>39051</v>
      </c>
      <c r="P1262" s="10" t="n">
        <v>1906</v>
      </c>
      <c r="Q1262" s="10" t="n">
        <v>-1410</v>
      </c>
      <c r="R1262" s="7" t="n">
        <v>36838</v>
      </c>
      <c r="S1262" s="8" t="n">
        <v>507</v>
      </c>
      <c r="T1262" s="8" t="n">
        <v>11499</v>
      </c>
      <c r="U1262" s="9" t="n">
        <v>48440</v>
      </c>
      <c r="V1262" s="10" t="n">
        <v>3700</v>
      </c>
      <c r="W1262" s="10" t="n">
        <v>4328</v>
      </c>
      <c r="X1262" s="7" t="n">
        <v>51067</v>
      </c>
      <c r="Y1262" s="8" t="n">
        <v>4338</v>
      </c>
      <c r="Z1262" s="8" t="n">
        <v>-2622</v>
      </c>
      <c r="AA1262" s="9" t="n">
        <v>110951</v>
      </c>
      <c r="AB1262" s="10" t="n">
        <v>13902</v>
      </c>
      <c r="AC1262" s="10" t="n">
        <v>22690</v>
      </c>
      <c r="AD1262" s="7" t="n">
        <v>91773</v>
      </c>
      <c r="AE1262" s="8" t="n">
        <v>13934</v>
      </c>
      <c r="AF1262" s="8" t="n">
        <v>15103</v>
      </c>
      <c r="AG1262" s="9" t="n">
        <v>180472</v>
      </c>
      <c r="AH1262" s="10" t="n">
        <v>67113</v>
      </c>
      <c r="AI1262" s="10" t="n">
        <v>78064</v>
      </c>
      <c r="AJ1262" s="11" t="n">
        <v>289938</v>
      </c>
      <c r="AK1262" s="12" t="n">
        <v>121871</v>
      </c>
      <c r="AL1262" s="12" t="n">
        <v>145020</v>
      </c>
      <c r="AM1262" s="13" t="n">
        <v>60.7</v>
      </c>
      <c r="AN1262" s="13" t="n">
        <v>467.8</v>
      </c>
      <c r="AO1262" s="13" t="n">
        <v>81.59999999999999</v>
      </c>
      <c r="AP1262" s="13" t="n">
        <v>2709.4</v>
      </c>
    </row>
    <row r="1263">
      <c r="A1263" s="5" t="inlineStr">
        <is>
          <t>모다이노칩</t>
        </is>
      </c>
      <c r="B1263" s="6" t="inlineStr">
        <is>
          <t>080420</t>
        </is>
      </c>
      <c r="C1263" s="6" t="inlineStr">
        <is>
          <t>연결</t>
        </is>
      </c>
      <c r="D1263" s="6" t="inlineStr">
        <is>
          <t>2026Q2</t>
        </is>
      </c>
      <c r="E1263" s="6" t="inlineStr"/>
      <c r="F1263" s="7" t="inlineStr"/>
      <c r="G1263" s="8" t="inlineStr"/>
      <c r="H1263" s="8" t="inlineStr"/>
      <c r="I1263" s="9" t="n">
        <v>98920</v>
      </c>
      <c r="J1263" s="10" t="n">
        <v>12911</v>
      </c>
      <c r="K1263" s="10" t="n">
        <v>6669</v>
      </c>
      <c r="L1263" s="7" t="n">
        <v>99715</v>
      </c>
      <c r="M1263" s="8" t="n">
        <v>13814</v>
      </c>
      <c r="N1263" s="8" t="n">
        <v>7042</v>
      </c>
      <c r="O1263" s="9" t="n">
        <v>92798</v>
      </c>
      <c r="P1263" s="10" t="n">
        <v>3514</v>
      </c>
      <c r="Q1263" s="10" t="n">
        <v>-1171</v>
      </c>
      <c r="R1263" s="7" t="n">
        <v>97506</v>
      </c>
      <c r="S1263" s="8" t="n">
        <v>8374</v>
      </c>
      <c r="T1263" s="8" t="n">
        <v>157</v>
      </c>
      <c r="U1263" s="9" t="n">
        <v>95549</v>
      </c>
      <c r="V1263" s="10" t="n">
        <v>8026</v>
      </c>
      <c r="W1263" s="10" t="n">
        <v>1945</v>
      </c>
      <c r="X1263" s="7" t="n">
        <v>91660</v>
      </c>
      <c r="Y1263" s="8" t="n">
        <v>12154</v>
      </c>
      <c r="Z1263" s="8" t="n">
        <v>3953</v>
      </c>
      <c r="AA1263" s="9" t="n">
        <v>76820</v>
      </c>
      <c r="AB1263" s="10" t="n">
        <v>-3687</v>
      </c>
      <c r="AC1263" s="10" t="n">
        <v>-9240</v>
      </c>
      <c r="AD1263" s="7" t="n">
        <v>94048</v>
      </c>
      <c r="AE1263" s="8" t="n">
        <v>11375</v>
      </c>
      <c r="AF1263" s="8" t="n">
        <v>-2889</v>
      </c>
      <c r="AG1263" s="9" t="n">
        <v>87557</v>
      </c>
      <c r="AH1263" s="10" t="n">
        <v>3057</v>
      </c>
      <c r="AI1263" s="10" t="n">
        <v>-4889</v>
      </c>
      <c r="AJ1263" s="11" t="n">
        <v>93685</v>
      </c>
      <c r="AK1263" s="12" t="n">
        <v>6395</v>
      </c>
      <c r="AL1263" s="12" t="n">
        <v>2595</v>
      </c>
      <c r="AM1263" s="13" t="n">
        <v>7</v>
      </c>
      <c r="AN1263" s="13" t="n">
        <v>2.2</v>
      </c>
      <c r="AO1263" s="13" t="n">
        <v>109.2</v>
      </c>
      <c r="AP1263" s="13" t="n">
        <v>-47.4</v>
      </c>
    </row>
    <row r="1264">
      <c r="A1264" s="5" t="inlineStr">
        <is>
          <t>성창오토텍</t>
        </is>
      </c>
      <c r="B1264" s="6" t="inlineStr">
        <is>
          <t>080470</t>
        </is>
      </c>
      <c r="C1264" s="6" t="inlineStr">
        <is>
          <t>연결</t>
        </is>
      </c>
      <c r="D1264" s="6" t="inlineStr">
        <is>
          <t>2026Q2</t>
        </is>
      </c>
      <c r="E1264" s="6" t="inlineStr"/>
      <c r="F1264" s="7" t="inlineStr"/>
      <c r="G1264" s="8" t="inlineStr"/>
      <c r="H1264" s="8" t="inlineStr"/>
      <c r="I1264" s="9" t="n">
        <v>43413</v>
      </c>
      <c r="J1264" s="10" t="n">
        <v>814</v>
      </c>
      <c r="K1264" s="10" t="n">
        <v>1023</v>
      </c>
      <c r="L1264" s="7" t="n">
        <v>50130</v>
      </c>
      <c r="M1264" s="8" t="n">
        <v>2225</v>
      </c>
      <c r="N1264" s="8" t="n">
        <v>3085</v>
      </c>
      <c r="O1264" s="9" t="n">
        <v>50218</v>
      </c>
      <c r="P1264" s="10" t="n">
        <v>2093</v>
      </c>
      <c r="Q1264" s="10" t="n">
        <v>1175</v>
      </c>
      <c r="R1264" s="7" t="n">
        <v>50599</v>
      </c>
      <c r="S1264" s="8" t="n">
        <v>1175</v>
      </c>
      <c r="T1264" s="8" t="n">
        <v>1845</v>
      </c>
      <c r="U1264" s="9" t="n">
        <v>57417</v>
      </c>
      <c r="V1264" s="10" t="n">
        <v>2560</v>
      </c>
      <c r="W1264" s="10" t="n">
        <v>2799</v>
      </c>
      <c r="X1264" s="7" t="n">
        <v>64651</v>
      </c>
      <c r="Y1264" s="8" t="n">
        <v>5841</v>
      </c>
      <c r="Z1264" s="8" t="n">
        <v>2860</v>
      </c>
      <c r="AA1264" s="9" t="n">
        <v>64114</v>
      </c>
      <c r="AB1264" s="10" t="n">
        <v>1862</v>
      </c>
      <c r="AC1264" s="10" t="n">
        <v>3251</v>
      </c>
      <c r="AD1264" s="7" t="n">
        <v>57340</v>
      </c>
      <c r="AE1264" s="8" t="n">
        <v>1345</v>
      </c>
      <c r="AF1264" s="8" t="n">
        <v>2085</v>
      </c>
      <c r="AG1264" s="9" t="n">
        <v>56423</v>
      </c>
      <c r="AH1264" s="10" t="n">
        <v>2045</v>
      </c>
      <c r="AI1264" s="10" t="n">
        <v>3450</v>
      </c>
      <c r="AJ1264" s="11" t="n">
        <v>58787</v>
      </c>
      <c r="AK1264" s="12" t="n">
        <v>2612</v>
      </c>
      <c r="AL1264" s="12" t="n">
        <v>-1239</v>
      </c>
      <c r="AM1264" s="13" t="n">
        <v>4.2</v>
      </c>
      <c r="AN1264" s="13" t="n">
        <v>-9.1</v>
      </c>
      <c r="AO1264" s="13" t="n">
        <v>27.7</v>
      </c>
      <c r="AP1264" s="13" t="n">
        <v>-55.3</v>
      </c>
    </row>
    <row r="1265">
      <c r="A1265" s="5" t="inlineStr">
        <is>
          <t>오디텍</t>
        </is>
      </c>
      <c r="B1265" s="6" t="inlineStr">
        <is>
          <t>080520</t>
        </is>
      </c>
      <c r="C1265" s="6" t="inlineStr">
        <is>
          <t>연결</t>
        </is>
      </c>
      <c r="D1265" s="6" t="inlineStr">
        <is>
          <t>2026Q2</t>
        </is>
      </c>
      <c r="E1265" s="6" t="inlineStr"/>
      <c r="F1265" s="7" t="inlineStr"/>
      <c r="G1265" s="8" t="inlineStr"/>
      <c r="H1265" s="8" t="inlineStr"/>
      <c r="I1265" s="9" t="n">
        <v>7925</v>
      </c>
      <c r="J1265" s="10" t="n">
        <v>-1833</v>
      </c>
      <c r="K1265" s="10" t="n">
        <v>12286</v>
      </c>
      <c r="L1265" s="7" t="n">
        <v>10442</v>
      </c>
      <c r="M1265" s="8" t="n">
        <v>-1015</v>
      </c>
      <c r="N1265" s="8" t="n">
        <v>862</v>
      </c>
      <c r="O1265" s="9" t="n">
        <v>10219</v>
      </c>
      <c r="P1265" s="10" t="n">
        <v>648</v>
      </c>
      <c r="Q1265" s="10" t="n">
        <v>-423</v>
      </c>
      <c r="R1265" s="7" t="n">
        <v>8416</v>
      </c>
      <c r="S1265" s="8" t="n">
        <v>-4161</v>
      </c>
      <c r="T1265" s="8" t="n">
        <v>-7253</v>
      </c>
      <c r="U1265" s="9" t="n">
        <v>10027</v>
      </c>
      <c r="V1265" s="10" t="n">
        <v>-572</v>
      </c>
      <c r="W1265" s="10" t="n">
        <v>391</v>
      </c>
      <c r="X1265" s="7" t="n">
        <v>8972</v>
      </c>
      <c r="Y1265" s="8" t="n">
        <v>-1077</v>
      </c>
      <c r="Z1265" s="8" t="n">
        <v>-798</v>
      </c>
      <c r="AA1265" s="9" t="n">
        <v>9069</v>
      </c>
      <c r="AB1265" s="10" t="n">
        <v>-733</v>
      </c>
      <c r="AC1265" s="10" t="n">
        <v>435</v>
      </c>
      <c r="AD1265" s="7" t="n">
        <v>9892</v>
      </c>
      <c r="AE1265" s="8" t="n">
        <v>105</v>
      </c>
      <c r="AF1265" s="8" t="n">
        <v>863</v>
      </c>
      <c r="AG1265" s="9" t="n">
        <v>11079</v>
      </c>
      <c r="AH1265" s="10" t="n">
        <v>-2337</v>
      </c>
      <c r="AI1265" s="10" t="n">
        <v>-1727</v>
      </c>
      <c r="AJ1265" s="11" t="n">
        <v>12562</v>
      </c>
      <c r="AK1265" s="12" t="n">
        <v>-1495</v>
      </c>
      <c r="AL1265" s="12" t="n">
        <v>995</v>
      </c>
      <c r="AM1265" s="13" t="n">
        <v>13.4</v>
      </c>
      <c r="AN1265" s="13" t="n">
        <v>40</v>
      </c>
      <c r="AO1265" s="13" t="n">
        <v>36</v>
      </c>
      <c r="AP1265" s="13" t="n">
        <v>-38.8</v>
      </c>
    </row>
    <row r="1266">
      <c r="A1266" s="5" t="inlineStr">
        <is>
          <t>코디</t>
        </is>
      </c>
      <c r="B1266" s="6" t="inlineStr">
        <is>
          <t>080530</t>
        </is>
      </c>
      <c r="C1266" s="6" t="inlineStr">
        <is>
          <t>연결</t>
        </is>
      </c>
      <c r="D1266" s="6" t="inlineStr">
        <is>
          <t>2026Q2</t>
        </is>
      </c>
      <c r="E1266" s="6" t="inlineStr"/>
      <c r="F1266" s="7" t="inlineStr"/>
      <c r="G1266" s="8" t="inlineStr"/>
      <c r="H1266" s="8" t="inlineStr"/>
      <c r="I1266" s="9" t="n">
        <v>18002</v>
      </c>
      <c r="J1266" s="10" t="n">
        <v>153</v>
      </c>
      <c r="K1266" s="10" t="n">
        <v>-270</v>
      </c>
      <c r="L1266" s="7" t="n">
        <v>23131</v>
      </c>
      <c r="M1266" s="8" t="n">
        <v>1007</v>
      </c>
      <c r="N1266" s="8" t="n">
        <v>2502</v>
      </c>
      <c r="O1266" s="9" t="n">
        <v>19926</v>
      </c>
      <c r="P1266" s="10" t="n">
        <v>210</v>
      </c>
      <c r="Q1266" s="10" t="n">
        <v>-957</v>
      </c>
      <c r="R1266" s="7" t="n">
        <v>17355</v>
      </c>
      <c r="S1266" s="8" t="n">
        <v>173</v>
      </c>
      <c r="T1266" s="8" t="n">
        <v>-670</v>
      </c>
      <c r="U1266" s="9" t="n">
        <v>23215</v>
      </c>
      <c r="V1266" s="10" t="n">
        <v>2023</v>
      </c>
      <c r="W1266" s="10" t="n">
        <v>1600</v>
      </c>
      <c r="X1266" s="7" t="n">
        <v>22023</v>
      </c>
      <c r="Y1266" s="8" t="n">
        <v>2021</v>
      </c>
      <c r="Z1266" s="8" t="n">
        <v>1416</v>
      </c>
      <c r="AA1266" s="9" t="n">
        <v>16775</v>
      </c>
      <c r="AB1266" s="10" t="n">
        <v>280</v>
      </c>
      <c r="AC1266" s="10" t="n">
        <v>286</v>
      </c>
      <c r="AD1266" s="7" t="n">
        <v>14518</v>
      </c>
      <c r="AE1266" s="8" t="n">
        <v>-570</v>
      </c>
      <c r="AF1266" s="8" t="n">
        <v>1948</v>
      </c>
      <c r="AG1266" s="9" t="n">
        <v>19994</v>
      </c>
      <c r="AH1266" s="10" t="n">
        <v>1072</v>
      </c>
      <c r="AI1266" s="10" t="n">
        <v>1007</v>
      </c>
      <c r="AJ1266" s="11" t="n">
        <v>23602</v>
      </c>
      <c r="AK1266" s="12" t="n">
        <v>1031</v>
      </c>
      <c r="AL1266" s="12" t="n">
        <v>1916</v>
      </c>
      <c r="AM1266" s="13" t="n">
        <v>18</v>
      </c>
      <c r="AN1266" s="13" t="n">
        <v>7.2</v>
      </c>
      <c r="AO1266" s="13" t="n">
        <v>-3.8</v>
      </c>
      <c r="AP1266" s="13" t="n">
        <v>-49</v>
      </c>
    </row>
    <row r="1267">
      <c r="A1267" s="5" t="inlineStr">
        <is>
          <t>오킨스전자</t>
        </is>
      </c>
      <c r="B1267" s="6" t="inlineStr">
        <is>
          <t>080580</t>
        </is>
      </c>
      <c r="C1267" s="6" t="inlineStr">
        <is>
          <t>연결</t>
        </is>
      </c>
      <c r="D1267" s="6" t="inlineStr">
        <is>
          <t>2026Q2</t>
        </is>
      </c>
      <c r="E1267" s="6" t="inlineStr"/>
      <c r="F1267" s="7" t="inlineStr"/>
      <c r="G1267" s="8" t="inlineStr"/>
      <c r="H1267" s="8" t="inlineStr"/>
      <c r="I1267" s="9" t="n">
        <v>15583</v>
      </c>
      <c r="J1267" s="10" t="n">
        <v>212</v>
      </c>
      <c r="K1267" s="10" t="n">
        <v>149</v>
      </c>
      <c r="L1267" s="7" t="n">
        <v>16068</v>
      </c>
      <c r="M1267" s="8" t="n">
        <v>1307</v>
      </c>
      <c r="N1267" s="8" t="n">
        <v>-149</v>
      </c>
      <c r="O1267" s="9" t="n">
        <v>17126</v>
      </c>
      <c r="P1267" s="10" t="n">
        <v>-462</v>
      </c>
      <c r="Q1267" s="10" t="n">
        <v>-1757</v>
      </c>
      <c r="R1267" s="7" t="n">
        <v>17903</v>
      </c>
      <c r="S1267" s="8" t="n">
        <v>847</v>
      </c>
      <c r="T1267" s="8" t="n">
        <v>-3651</v>
      </c>
      <c r="U1267" s="9" t="n">
        <v>18882</v>
      </c>
      <c r="V1267" s="10" t="n">
        <v>1654</v>
      </c>
      <c r="W1267" s="10" t="n">
        <v>665</v>
      </c>
      <c r="X1267" s="7" t="n">
        <v>27082</v>
      </c>
      <c r="Y1267" s="8" t="n">
        <v>3187</v>
      </c>
      <c r="Z1267" s="8" t="n">
        <v>2953</v>
      </c>
      <c r="AA1267" s="9" t="n">
        <v>23317</v>
      </c>
      <c r="AB1267" s="10" t="n">
        <v>3694</v>
      </c>
      <c r="AC1267" s="10" t="n">
        <v>397</v>
      </c>
      <c r="AD1267" s="7" t="n">
        <v>25093</v>
      </c>
      <c r="AE1267" s="8" t="n">
        <v>2551</v>
      </c>
      <c r="AF1267" s="8" t="n">
        <v>3775</v>
      </c>
      <c r="AG1267" s="9" t="n">
        <v>25613</v>
      </c>
      <c r="AH1267" s="10" t="n">
        <v>3607</v>
      </c>
      <c r="AI1267" s="10" t="n">
        <v>3760</v>
      </c>
      <c r="AJ1267" s="11" t="n">
        <v>35083</v>
      </c>
      <c r="AK1267" s="12" t="n">
        <v>8394</v>
      </c>
      <c r="AL1267" s="12" t="n">
        <v>8810</v>
      </c>
      <c r="AM1267" s="13" t="n">
        <v>37</v>
      </c>
      <c r="AN1267" s="13" t="n">
        <v>29.5</v>
      </c>
      <c r="AO1267" s="13" t="n">
        <v>132.7</v>
      </c>
      <c r="AP1267" s="13" t="n">
        <v>163.4</v>
      </c>
    </row>
    <row r="1268">
      <c r="A1268" s="5" t="inlineStr">
        <is>
          <t>한국유니온제약</t>
        </is>
      </c>
      <c r="B1268" s="6" t="inlineStr">
        <is>
          <t>080720</t>
        </is>
      </c>
      <c r="C1268" s="6" t="inlineStr">
        <is>
          <t>연결</t>
        </is>
      </c>
      <c r="D1268" s="6" t="inlineStr">
        <is>
          <t>2026Q2</t>
        </is>
      </c>
      <c r="E1268" s="6" t="inlineStr"/>
      <c r="F1268" s="7" t="inlineStr"/>
      <c r="G1268" s="8" t="inlineStr"/>
      <c r="H1268" s="8" t="inlineStr"/>
      <c r="I1268" s="9" t="n">
        <v>16533</v>
      </c>
      <c r="J1268" s="10" t="n">
        <v>-2171</v>
      </c>
      <c r="K1268" s="10" t="n">
        <v>-3000</v>
      </c>
      <c r="L1268" s="7" t="n">
        <v>15043</v>
      </c>
      <c r="M1268" s="8" t="n">
        <v>-1573</v>
      </c>
      <c r="N1268" s="8" t="n">
        <v>-3826</v>
      </c>
      <c r="O1268" s="9" t="n">
        <v>15771</v>
      </c>
      <c r="P1268" s="10" t="n">
        <v>-1938</v>
      </c>
      <c r="Q1268" s="10" t="n">
        <v>-1315</v>
      </c>
      <c r="R1268" s="7" t="n">
        <v>3933</v>
      </c>
      <c r="S1268" s="8" t="n">
        <v>-7768</v>
      </c>
      <c r="T1268" s="8" t="n">
        <v>-12731</v>
      </c>
      <c r="U1268" s="9" t="n">
        <v>12617</v>
      </c>
      <c r="V1268" s="10" t="n">
        <v>-1779</v>
      </c>
      <c r="W1268" s="10" t="n">
        <v>-2561</v>
      </c>
      <c r="X1268" s="7" t="n">
        <v>10152</v>
      </c>
      <c r="Y1268" s="8" t="n">
        <v>-2894</v>
      </c>
      <c r="Z1268" s="8" t="n">
        <v>-4106</v>
      </c>
      <c r="AA1268" s="9" t="n">
        <v>7129</v>
      </c>
      <c r="AB1268" s="10" t="n">
        <v>-9911</v>
      </c>
      <c r="AC1268" s="10" t="n">
        <v>-11019</v>
      </c>
      <c r="AD1268" s="7" t="n">
        <v>6480</v>
      </c>
      <c r="AE1268" s="8" t="n">
        <v>-2648</v>
      </c>
      <c r="AF1268" s="8" t="n">
        <v>-13134</v>
      </c>
      <c r="AG1268" s="9" t="n">
        <v>5900</v>
      </c>
      <c r="AH1268" s="10" t="n">
        <v>-1566</v>
      </c>
      <c r="AI1268" s="10" t="n">
        <v>-2285</v>
      </c>
      <c r="AJ1268" s="11" t="n">
        <v>5944</v>
      </c>
      <c r="AK1268" s="12" t="n">
        <v>-1252</v>
      </c>
      <c r="AL1268" s="12" t="n">
        <v>2136</v>
      </c>
      <c r="AM1268" s="13" t="n">
        <v>0.7</v>
      </c>
      <c r="AN1268" s="13" t="n">
        <v>-41.4</v>
      </c>
      <c r="AO1268" s="13" t="n">
        <v>20.1</v>
      </c>
      <c r="AP1268" s="13" t="n">
        <v>56.7</v>
      </c>
    </row>
    <row r="1269">
      <c r="A1269" s="5" t="inlineStr">
        <is>
          <t>일진다이아</t>
        </is>
      </c>
      <c r="B1269" s="6" t="inlineStr">
        <is>
          <t>081000</t>
        </is>
      </c>
      <c r="C1269" s="6" t="inlineStr">
        <is>
          <t>연결</t>
        </is>
      </c>
      <c r="D1269" s="6" t="inlineStr">
        <is>
          <t>2026Q2</t>
        </is>
      </c>
      <c r="E1269" s="6" t="inlineStr"/>
      <c r="F1269" s="7" t="inlineStr"/>
      <c r="G1269" s="8" t="inlineStr"/>
      <c r="H1269" s="8" t="inlineStr"/>
      <c r="I1269" s="9" t="n">
        <v>28685</v>
      </c>
      <c r="J1269" s="10" t="n">
        <v>-152</v>
      </c>
      <c r="K1269" s="10" t="n">
        <v>3224</v>
      </c>
      <c r="L1269" s="7" t="n">
        <v>41294</v>
      </c>
      <c r="M1269" s="8" t="n">
        <v>843</v>
      </c>
      <c r="N1269" s="8" t="n">
        <v>3628</v>
      </c>
      <c r="O1269" s="9" t="n">
        <v>41048</v>
      </c>
      <c r="P1269" s="10" t="n">
        <v>-1470</v>
      </c>
      <c r="Q1269" s="10" t="n">
        <v>1022</v>
      </c>
      <c r="R1269" s="7" t="n">
        <v>46024</v>
      </c>
      <c r="S1269" s="8" t="n">
        <v>-3865</v>
      </c>
      <c r="T1269" s="8" t="n">
        <v>5758</v>
      </c>
      <c r="U1269" s="9" t="n">
        <v>30056</v>
      </c>
      <c r="V1269" s="10" t="n">
        <v>-2248</v>
      </c>
      <c r="W1269" s="10" t="n">
        <v>1205</v>
      </c>
      <c r="X1269" s="7" t="n">
        <v>37994</v>
      </c>
      <c r="Y1269" s="8" t="n">
        <v>-1949</v>
      </c>
      <c r="Z1269" s="8" t="n">
        <v>2580</v>
      </c>
      <c r="AA1269" s="9" t="n">
        <v>48583</v>
      </c>
      <c r="AB1269" s="10" t="n">
        <v>-3617</v>
      </c>
      <c r="AC1269" s="10" t="n">
        <v>385</v>
      </c>
      <c r="AD1269" s="7" t="n">
        <v>45767</v>
      </c>
      <c r="AE1269" s="8" t="n">
        <v>1029</v>
      </c>
      <c r="AF1269" s="8" t="n">
        <v>1625</v>
      </c>
      <c r="AG1269" s="9" t="n">
        <v>47761</v>
      </c>
      <c r="AH1269" s="10" t="n">
        <v>435</v>
      </c>
      <c r="AI1269" s="10" t="n">
        <v>4040</v>
      </c>
      <c r="AJ1269" s="11" t="n">
        <v>55098</v>
      </c>
      <c r="AK1269" s="12" t="n">
        <v>5732</v>
      </c>
      <c r="AL1269" s="12" t="n">
        <v>8236</v>
      </c>
      <c r="AM1269" s="13" t="n">
        <v>15.4</v>
      </c>
      <c r="AN1269" s="13" t="n">
        <v>45</v>
      </c>
      <c r="AO1269" s="13" t="n">
        <v>1217.7</v>
      </c>
      <c r="AP1269" s="13" t="n">
        <v>394.1</v>
      </c>
    </row>
    <row r="1270">
      <c r="A1270" s="5" t="inlineStr">
        <is>
          <t>티플랙스</t>
        </is>
      </c>
      <c r="B1270" s="6" t="inlineStr">
        <is>
          <t>081150</t>
        </is>
      </c>
      <c r="C1270" s="6" t="inlineStr">
        <is>
          <t>별도</t>
        </is>
      </c>
      <c r="D1270" s="6" t="inlineStr">
        <is>
          <t>2026Q2</t>
        </is>
      </c>
      <c r="E1270" s="6" t="inlineStr"/>
      <c r="F1270" s="7" t="inlineStr"/>
      <c r="G1270" s="8" t="inlineStr"/>
      <c r="H1270" s="8" t="inlineStr"/>
      <c r="I1270" s="9" t="n">
        <v>53023</v>
      </c>
      <c r="J1270" s="10" t="n">
        <v>210</v>
      </c>
      <c r="K1270" s="10" t="n">
        <v>-260</v>
      </c>
      <c r="L1270" s="7" t="n">
        <v>55099</v>
      </c>
      <c r="M1270" s="8" t="n">
        <v>1991</v>
      </c>
      <c r="N1270" s="8" t="n">
        <v>332</v>
      </c>
      <c r="O1270" s="9" t="n">
        <v>50514</v>
      </c>
      <c r="P1270" s="10" t="n">
        <v>811</v>
      </c>
      <c r="Q1270" s="10" t="n">
        <v>83</v>
      </c>
      <c r="R1270" s="7" t="n">
        <v>48862</v>
      </c>
      <c r="S1270" s="8" t="n">
        <v>1783</v>
      </c>
      <c r="T1270" s="8" t="n">
        <v>1206</v>
      </c>
      <c r="U1270" s="9" t="n">
        <v>50602</v>
      </c>
      <c r="V1270" s="10" t="n">
        <v>825</v>
      </c>
      <c r="W1270" s="10" t="n">
        <v>508</v>
      </c>
      <c r="X1270" s="7" t="n">
        <v>53672</v>
      </c>
      <c r="Y1270" s="8" t="n">
        <v>1583</v>
      </c>
      <c r="Z1270" s="8" t="n">
        <v>1164</v>
      </c>
      <c r="AA1270" s="9" t="n">
        <v>52527</v>
      </c>
      <c r="AB1270" s="10" t="n">
        <v>1093</v>
      </c>
      <c r="AC1270" s="10" t="n">
        <v>510</v>
      </c>
      <c r="AD1270" s="7" t="n">
        <v>52434</v>
      </c>
      <c r="AE1270" s="8" t="n">
        <v>1736</v>
      </c>
      <c r="AF1270" s="8" t="n">
        <v>1015</v>
      </c>
      <c r="AG1270" s="9" t="n">
        <v>63945</v>
      </c>
      <c r="AH1270" s="10" t="n">
        <v>2362</v>
      </c>
      <c r="AI1270" s="10" t="n">
        <v>1342</v>
      </c>
      <c r="AJ1270" s="11" t="n">
        <v>71479</v>
      </c>
      <c r="AK1270" s="12" t="n">
        <v>2156</v>
      </c>
      <c r="AL1270" s="12" t="n">
        <v>455</v>
      </c>
      <c r="AM1270" s="13" t="n">
        <v>11.8</v>
      </c>
      <c r="AN1270" s="13" t="n">
        <v>33.2</v>
      </c>
      <c r="AO1270" s="13" t="n">
        <v>-8.699999999999999</v>
      </c>
      <c r="AP1270" s="13" t="n">
        <v>36.2</v>
      </c>
    </row>
    <row r="1271">
      <c r="A1271" s="5" t="inlineStr">
        <is>
          <t>쎄크</t>
        </is>
      </c>
      <c r="B1271" s="6" t="inlineStr">
        <is>
          <t>081180</t>
        </is>
      </c>
      <c r="C1271" s="6" t="inlineStr">
        <is>
          <t>별도</t>
        </is>
      </c>
      <c r="D1271" s="6" t="inlineStr">
        <is>
          <t>2026Q2</t>
        </is>
      </c>
      <c r="E1271" s="6" t="inlineStr"/>
      <c r="F1271" s="7" t="inlineStr"/>
      <c r="G1271" s="8" t="inlineStr"/>
      <c r="H1271" s="8" t="inlineStr"/>
      <c r="I1271" s="9" t="inlineStr"/>
      <c r="J1271" s="10" t="inlineStr"/>
      <c r="K1271" s="10" t="inlineStr"/>
      <c r="L1271" s="7" t="inlineStr"/>
      <c r="M1271" s="8" t="inlineStr"/>
      <c r="N1271" s="8" t="inlineStr"/>
      <c r="O1271" s="9" t="inlineStr"/>
      <c r="P1271" s="10" t="inlineStr"/>
      <c r="Q1271" s="10" t="inlineStr"/>
      <c r="R1271" s="7" t="inlineStr"/>
      <c r="S1271" s="8" t="inlineStr"/>
      <c r="T1271" s="8" t="inlineStr"/>
      <c r="U1271" s="9" t="n">
        <v>7577</v>
      </c>
      <c r="V1271" s="10" t="n">
        <v>-2270</v>
      </c>
      <c r="W1271" s="10" t="n">
        <v>-2522</v>
      </c>
      <c r="X1271" s="7" t="n">
        <v>13179</v>
      </c>
      <c r="Y1271" s="8" t="n">
        <v>-1921</v>
      </c>
      <c r="Z1271" s="8" t="n">
        <v>-2374</v>
      </c>
      <c r="AA1271" s="9" t="n">
        <v>15720</v>
      </c>
      <c r="AB1271" s="10" t="n">
        <v>95</v>
      </c>
      <c r="AC1271" s="10" t="n">
        <v>375</v>
      </c>
      <c r="AD1271" s="7" t="n">
        <v>22730</v>
      </c>
      <c r="AE1271" s="8" t="n">
        <v>1032</v>
      </c>
      <c r="AF1271" s="8" t="n">
        <v>736</v>
      </c>
      <c r="AG1271" s="9" t="n">
        <v>9735</v>
      </c>
      <c r="AH1271" s="10" t="n">
        <v>-3754</v>
      </c>
      <c r="AI1271" s="10" t="n">
        <v>-3548</v>
      </c>
      <c r="AJ1271" s="11" t="n">
        <v>7555</v>
      </c>
      <c r="AK1271" s="12" t="n">
        <v>-3964</v>
      </c>
      <c r="AL1271" s="12" t="n">
        <v>-3769</v>
      </c>
      <c r="AM1271" s="13" t="n">
        <v>-22.4</v>
      </c>
      <c r="AN1271" s="13" t="n">
        <v>-42.7</v>
      </c>
      <c r="AO1271" s="13" t="n">
        <v>-5.6</v>
      </c>
      <c r="AP1271" s="13" t="n">
        <v>-106.4</v>
      </c>
    </row>
    <row r="1272">
      <c r="A1272" s="5" t="inlineStr">
        <is>
          <t>성우전자</t>
        </is>
      </c>
      <c r="B1272" s="6" t="inlineStr">
        <is>
          <t>081580</t>
        </is>
      </c>
      <c r="C1272" s="6" t="inlineStr">
        <is>
          <t>연결</t>
        </is>
      </c>
      <c r="D1272" s="6" t="inlineStr">
        <is>
          <t>2026Q2</t>
        </is>
      </c>
      <c r="E1272" s="6" t="inlineStr"/>
      <c r="F1272" s="7" t="inlineStr"/>
      <c r="G1272" s="8" t="inlineStr"/>
      <c r="H1272" s="8" t="inlineStr"/>
      <c r="I1272" s="9" t="n">
        <v>32380</v>
      </c>
      <c r="J1272" s="10" t="n">
        <v>-1842</v>
      </c>
      <c r="K1272" s="10" t="n">
        <v>-937</v>
      </c>
      <c r="L1272" s="7" t="n">
        <v>31889</v>
      </c>
      <c r="M1272" s="8" t="n">
        <v>-2095</v>
      </c>
      <c r="N1272" s="8" t="n">
        <v>-1214</v>
      </c>
      <c r="O1272" s="9" t="n">
        <v>38828</v>
      </c>
      <c r="P1272" s="10" t="n">
        <v>-1375</v>
      </c>
      <c r="Q1272" s="10" t="n">
        <v>-780</v>
      </c>
      <c r="R1272" s="7" t="n">
        <v>43804</v>
      </c>
      <c r="S1272" s="8" t="n">
        <v>217</v>
      </c>
      <c r="T1272" s="8" t="n">
        <v>-1262</v>
      </c>
      <c r="U1272" s="9" t="n">
        <v>46040</v>
      </c>
      <c r="V1272" s="10" t="n">
        <v>1442</v>
      </c>
      <c r="W1272" s="10" t="n">
        <v>2179</v>
      </c>
      <c r="X1272" s="7" t="n">
        <v>43044</v>
      </c>
      <c r="Y1272" s="8" t="n">
        <v>1728</v>
      </c>
      <c r="Z1272" s="8" t="n">
        <v>2012</v>
      </c>
      <c r="AA1272" s="9" t="n">
        <v>46142</v>
      </c>
      <c r="AB1272" s="10" t="n">
        <v>-243</v>
      </c>
      <c r="AC1272" s="10" t="n">
        <v>584</v>
      </c>
      <c r="AD1272" s="7" t="n">
        <v>47513</v>
      </c>
      <c r="AE1272" s="8" t="n">
        <v>1056</v>
      </c>
      <c r="AF1272" s="8" t="n">
        <v>7310</v>
      </c>
      <c r="AG1272" s="9" t="n">
        <v>47219</v>
      </c>
      <c r="AH1272" s="10" t="n">
        <v>1693</v>
      </c>
      <c r="AI1272" s="10" t="n">
        <v>2068</v>
      </c>
      <c r="AJ1272" s="11" t="n">
        <v>46382</v>
      </c>
      <c r="AK1272" s="12" t="n">
        <v>351</v>
      </c>
      <c r="AL1272" s="12" t="n">
        <v>-959</v>
      </c>
      <c r="AM1272" s="13" t="n">
        <v>-1.8</v>
      </c>
      <c r="AN1272" s="13" t="n">
        <v>7.8</v>
      </c>
      <c r="AO1272" s="13" t="n">
        <v>-79.3</v>
      </c>
      <c r="AP1272" s="13" t="n">
        <v>-79.7</v>
      </c>
    </row>
    <row r="1273">
      <c r="A1273" s="5" t="inlineStr">
        <is>
          <t>미스토홀딩스</t>
        </is>
      </c>
      <c r="B1273" s="6" t="inlineStr">
        <is>
          <t>081660</t>
        </is>
      </c>
      <c r="C1273" s="6" t="inlineStr">
        <is>
          <t>연결</t>
        </is>
      </c>
      <c r="D1273" s="6" t="inlineStr">
        <is>
          <t>2026Q2</t>
        </is>
      </c>
      <c r="E1273" s="6" t="inlineStr"/>
      <c r="F1273" s="7" t="inlineStr"/>
      <c r="G1273" s="8" t="inlineStr"/>
      <c r="H1273" s="8" t="inlineStr"/>
      <c r="I1273" s="9" t="n">
        <v>1182623</v>
      </c>
      <c r="J1273" s="10" t="n">
        <v>163259</v>
      </c>
      <c r="K1273" s="10" t="n">
        <v>123330</v>
      </c>
      <c r="L1273" s="7" t="n">
        <v>1175289</v>
      </c>
      <c r="M1273" s="8" t="n">
        <v>140147</v>
      </c>
      <c r="N1273" s="8" t="n">
        <v>100434</v>
      </c>
      <c r="O1273" s="9" t="n">
        <v>1049458</v>
      </c>
      <c r="P1273" s="10" t="n">
        <v>93371</v>
      </c>
      <c r="Q1273" s="10" t="n">
        <v>53360</v>
      </c>
      <c r="R1273" s="7" t="n">
        <v>861373</v>
      </c>
      <c r="S1273" s="8" t="n">
        <v>-35973</v>
      </c>
      <c r="T1273" s="8" t="n">
        <v>-69402</v>
      </c>
      <c r="U1273" s="9" t="n">
        <v>1237499</v>
      </c>
      <c r="V1273" s="10" t="n">
        <v>162675</v>
      </c>
      <c r="W1273" s="10" t="n">
        <v>151456</v>
      </c>
      <c r="X1273" s="7" t="n">
        <v>1227714</v>
      </c>
      <c r="Y1273" s="8" t="n">
        <v>181885</v>
      </c>
      <c r="Z1273" s="8" t="n">
        <v>139202</v>
      </c>
      <c r="AA1273" s="9" t="n">
        <v>1088201</v>
      </c>
      <c r="AB1273" s="10" t="n">
        <v>131869</v>
      </c>
      <c r="AC1273" s="10" t="n">
        <v>101896</v>
      </c>
      <c r="AD1273" s="7" t="n">
        <v>915232</v>
      </c>
      <c r="AE1273" s="8" t="n">
        <v>-1648</v>
      </c>
      <c r="AF1273" s="8" t="n">
        <v>-43936</v>
      </c>
      <c r="AG1273" s="9" t="n">
        <v>1289035</v>
      </c>
      <c r="AH1273" s="10" t="n">
        <v>193657</v>
      </c>
      <c r="AI1273" s="10" t="n">
        <v>146084</v>
      </c>
      <c r="AJ1273" s="11" t="n">
        <v>1431157</v>
      </c>
      <c r="AK1273" s="12" t="n">
        <v>295229</v>
      </c>
      <c r="AL1273" s="12" t="n">
        <v>220775</v>
      </c>
      <c r="AM1273" s="13" t="n">
        <v>11</v>
      </c>
      <c r="AN1273" s="13" t="n">
        <v>16.6</v>
      </c>
      <c r="AO1273" s="13" t="n">
        <v>52.4</v>
      </c>
      <c r="AP1273" s="13" t="n">
        <v>62.3</v>
      </c>
    </row>
    <row r="1274">
      <c r="A1274" s="5" t="inlineStr">
        <is>
          <t>옵트론텍</t>
        </is>
      </c>
      <c r="B1274" s="6" t="inlineStr">
        <is>
          <t>082210</t>
        </is>
      </c>
      <c r="C1274" s="6" t="inlineStr">
        <is>
          <t>연결</t>
        </is>
      </c>
      <c r="D1274" s="6" t="inlineStr">
        <is>
          <t>2026Q2</t>
        </is>
      </c>
      <c r="E1274" s="6" t="inlineStr"/>
      <c r="F1274" s="7" t="inlineStr"/>
      <c r="G1274" s="8" t="inlineStr"/>
      <c r="H1274" s="8" t="inlineStr"/>
      <c r="I1274" s="9" t="n">
        <v>76832</v>
      </c>
      <c r="J1274" s="10" t="n">
        <v>5522</v>
      </c>
      <c r="K1274" s="10" t="n">
        <v>656</v>
      </c>
      <c r="L1274" s="7" t="n">
        <v>43213</v>
      </c>
      <c r="M1274" s="8" t="n">
        <v>-400</v>
      </c>
      <c r="N1274" s="8" t="n">
        <v>-7319</v>
      </c>
      <c r="O1274" s="9" t="n">
        <v>45883</v>
      </c>
      <c r="P1274" s="10" t="n">
        <v>290</v>
      </c>
      <c r="Q1274" s="10" t="n">
        <v>-2741</v>
      </c>
      <c r="R1274" s="7" t="n">
        <v>52030</v>
      </c>
      <c r="S1274" s="8" t="n">
        <v>-9859</v>
      </c>
      <c r="T1274" s="8" t="n">
        <v>35715</v>
      </c>
      <c r="U1274" s="9" t="n">
        <v>47303</v>
      </c>
      <c r="V1274" s="10" t="n">
        <v>658</v>
      </c>
      <c r="W1274" s="10" t="n">
        <v>-2000</v>
      </c>
      <c r="X1274" s="7" t="n">
        <v>44590</v>
      </c>
      <c r="Y1274" s="8" t="n">
        <v>734</v>
      </c>
      <c r="Z1274" s="8" t="n">
        <v>-947</v>
      </c>
      <c r="AA1274" s="9" t="n">
        <v>45170</v>
      </c>
      <c r="AB1274" s="10" t="n">
        <v>917</v>
      </c>
      <c r="AC1274" s="10" t="n">
        <v>-763</v>
      </c>
      <c r="AD1274" s="7" t="n">
        <v>58674</v>
      </c>
      <c r="AE1274" s="8" t="n">
        <v>-5419</v>
      </c>
      <c r="AF1274" s="8" t="n">
        <v>-18251</v>
      </c>
      <c r="AG1274" s="9" t="n">
        <v>59344</v>
      </c>
      <c r="AH1274" s="10" t="n">
        <v>4414</v>
      </c>
      <c r="AI1274" s="10" t="n">
        <v>-566</v>
      </c>
      <c r="AJ1274" s="11" t="n">
        <v>60743</v>
      </c>
      <c r="AK1274" s="12" t="n">
        <v>2646</v>
      </c>
      <c r="AL1274" s="12" t="n">
        <v>-2734</v>
      </c>
      <c r="AM1274" s="13" t="n">
        <v>2.4</v>
      </c>
      <c r="AN1274" s="13" t="n">
        <v>36.2</v>
      </c>
      <c r="AO1274" s="13" t="n">
        <v>-40.1</v>
      </c>
      <c r="AP1274" s="13" t="n">
        <v>260.5</v>
      </c>
    </row>
    <row r="1275">
      <c r="A1275" s="5" t="inlineStr">
        <is>
          <t>젬백스</t>
        </is>
      </c>
      <c r="B1275" s="6" t="inlineStr">
        <is>
          <t>082270</t>
        </is>
      </c>
      <c r="C1275" s="6" t="inlineStr">
        <is>
          <t>연결</t>
        </is>
      </c>
      <c r="D1275" s="6" t="inlineStr">
        <is>
          <t>2026Q2</t>
        </is>
      </c>
      <c r="E1275" s="6" t="inlineStr"/>
      <c r="F1275" s="7" t="inlineStr"/>
      <c r="G1275" s="8" t="inlineStr"/>
      <c r="H1275" s="8" t="inlineStr"/>
      <c r="I1275" s="9" t="n">
        <v>14731</v>
      </c>
      <c r="J1275" s="10" t="n">
        <v>-18195</v>
      </c>
      <c r="K1275" s="10" t="n">
        <v>-34510</v>
      </c>
      <c r="L1275" s="7" t="n">
        <v>16952</v>
      </c>
      <c r="M1275" s="8" t="n">
        <v>-3116</v>
      </c>
      <c r="N1275" s="8" t="n">
        <v>2207</v>
      </c>
      <c r="O1275" s="9" t="n">
        <v>12735</v>
      </c>
      <c r="P1275" s="10" t="n">
        <v>-8866</v>
      </c>
      <c r="Q1275" s="10" t="n">
        <v>-8186</v>
      </c>
      <c r="R1275" s="7" t="n">
        <v>18274</v>
      </c>
      <c r="S1275" s="8" t="n">
        <v>-8160</v>
      </c>
      <c r="T1275" s="8" t="n">
        <v>-46730</v>
      </c>
      <c r="U1275" s="9" t="n">
        <v>12373</v>
      </c>
      <c r="V1275" s="10" t="n">
        <v>-2956</v>
      </c>
      <c r="W1275" s="10" t="n">
        <v>-8883</v>
      </c>
      <c r="X1275" s="7" t="n">
        <v>25017</v>
      </c>
      <c r="Y1275" s="8" t="n">
        <v>-1503</v>
      </c>
      <c r="Z1275" s="8" t="n">
        <v>-1583</v>
      </c>
      <c r="AA1275" s="9" t="n">
        <v>17978</v>
      </c>
      <c r="AB1275" s="10" t="n">
        <v>723</v>
      </c>
      <c r="AC1275" s="10" t="n">
        <v>-2520</v>
      </c>
      <c r="AD1275" s="7" t="n">
        <v>26163</v>
      </c>
      <c r="AE1275" s="8" t="n">
        <v>7529</v>
      </c>
      <c r="AF1275" s="8" t="n">
        <v>1649</v>
      </c>
      <c r="AG1275" s="9" t="n">
        <v>18257</v>
      </c>
      <c r="AH1275" s="10" t="n">
        <v>-765</v>
      </c>
      <c r="AI1275" s="10" t="n">
        <v>-1491</v>
      </c>
      <c r="AJ1275" s="11" t="n">
        <v>22705</v>
      </c>
      <c r="AK1275" s="12" t="n">
        <v>997</v>
      </c>
      <c r="AL1275" s="12" t="n">
        <v>-9865</v>
      </c>
      <c r="AM1275" s="13" t="n">
        <v>24.4</v>
      </c>
      <c r="AN1275" s="13" t="n">
        <v>-9.199999999999999</v>
      </c>
      <c r="AO1275" s="13" t="n">
        <v>230.3</v>
      </c>
      <c r="AP1275" s="13" t="n">
        <v>166.3</v>
      </c>
    </row>
    <row r="1276">
      <c r="A1276" s="5" t="inlineStr">
        <is>
          <t>동양생명</t>
        </is>
      </c>
      <c r="B1276" s="6" t="inlineStr">
        <is>
          <t>082640</t>
        </is>
      </c>
      <c r="C1276" s="6" t="inlineStr">
        <is>
          <t>연결</t>
        </is>
      </c>
      <c r="D1276" s="6" t="inlineStr">
        <is>
          <t>2026Q2</t>
        </is>
      </c>
      <c r="E1276" s="6" t="inlineStr"/>
      <c r="F1276" s="7" t="inlineStr"/>
      <c r="G1276" s="8" t="inlineStr"/>
      <c r="H1276" s="8" t="inlineStr"/>
      <c r="I1276" s="14" t="n">
        <v>961297</v>
      </c>
      <c r="J1276" s="10" t="n">
        <v>99706</v>
      </c>
      <c r="K1276" s="10" t="n">
        <v>82672</v>
      </c>
      <c r="L1276" s="14" t="n">
        <v>897935</v>
      </c>
      <c r="M1276" s="8" t="n">
        <v>113449</v>
      </c>
      <c r="N1276" s="8" t="n">
        <v>85682</v>
      </c>
      <c r="O1276" s="14" t="n">
        <v>548890</v>
      </c>
      <c r="P1276" s="10" t="n">
        <v>116691</v>
      </c>
      <c r="Q1276" s="10" t="n">
        <v>89259</v>
      </c>
      <c r="R1276" s="7" t="inlineStr"/>
      <c r="S1276" s="8" t="n">
        <v>38212</v>
      </c>
      <c r="T1276" s="8" t="n">
        <v>56680</v>
      </c>
      <c r="U1276" s="9" t="inlineStr"/>
      <c r="V1276" s="10" t="n">
        <v>58665</v>
      </c>
      <c r="W1276" s="10" t="n">
        <v>46194</v>
      </c>
      <c r="X1276" s="7" t="inlineStr"/>
      <c r="Y1276" s="8" t="n">
        <v>41389</v>
      </c>
      <c r="Z1276" s="8" t="n">
        <v>36218</v>
      </c>
      <c r="AA1276" s="14" t="n">
        <v>679189</v>
      </c>
      <c r="AB1276" s="10" t="n">
        <v>47744</v>
      </c>
      <c r="AC1276" s="10" t="n">
        <v>27444</v>
      </c>
      <c r="AD1276" s="14" t="n">
        <v>938388</v>
      </c>
      <c r="AE1276" s="8" t="n">
        <v>51014</v>
      </c>
      <c r="AF1276" s="8" t="n">
        <v>14638</v>
      </c>
      <c r="AG1276" s="14" t="n">
        <v>1117839</v>
      </c>
      <c r="AH1276" s="10" t="n">
        <v>31104</v>
      </c>
      <c r="AI1276" s="10" t="n">
        <v>25023</v>
      </c>
      <c r="AJ1276" s="14" t="n">
        <v>1378872</v>
      </c>
      <c r="AK1276" s="12" t="n">
        <v>86840</v>
      </c>
      <c r="AL1276" s="12" t="n">
        <v>66907</v>
      </c>
      <c r="AM1276" s="13" t="n">
        <v>23.4</v>
      </c>
      <c r="AN1276" s="13" t="inlineStr"/>
      <c r="AO1276" s="13" t="n">
        <v>179.2</v>
      </c>
      <c r="AP1276" s="13" t="n">
        <v>109.8</v>
      </c>
    </row>
    <row r="1277">
      <c r="A1277" s="5" t="inlineStr">
        <is>
          <t>코스나인</t>
        </is>
      </c>
      <c r="B1277" s="6" t="inlineStr">
        <is>
          <t>082660</t>
        </is>
      </c>
      <c r="C1277" s="6" t="inlineStr">
        <is>
          <t>연결</t>
        </is>
      </c>
      <c r="D1277" s="6" t="inlineStr">
        <is>
          <t>2026Q1</t>
        </is>
      </c>
      <c r="E1277" s="6" t="inlineStr"/>
      <c r="F1277" s="7" t="inlineStr"/>
      <c r="G1277" s="8" t="inlineStr"/>
      <c r="H1277" s="8" t="inlineStr"/>
      <c r="I1277" s="9" t="n">
        <v>2160</v>
      </c>
      <c r="J1277" s="10" t="n">
        <v>-1714</v>
      </c>
      <c r="K1277" s="10" t="n">
        <v>-2130</v>
      </c>
      <c r="L1277" s="7" t="n">
        <v>2804</v>
      </c>
      <c r="M1277" s="8" t="n">
        <v>-1684</v>
      </c>
      <c r="N1277" s="8" t="n">
        <v>-1297</v>
      </c>
      <c r="O1277" s="9" t="n">
        <v>2171</v>
      </c>
      <c r="P1277" s="10" t="n">
        <v>-2829</v>
      </c>
      <c r="Q1277" s="10" t="n">
        <v>-12490</v>
      </c>
      <c r="R1277" s="7" t="inlineStr"/>
      <c r="S1277" s="8" t="inlineStr"/>
      <c r="T1277" s="8" t="inlineStr"/>
      <c r="U1277" s="9" t="n">
        <v>1675</v>
      </c>
      <c r="V1277" s="10" t="n">
        <v>-2356</v>
      </c>
      <c r="W1277" s="10" t="n">
        <v>-15762</v>
      </c>
      <c r="X1277" s="7" t="n">
        <v>1871</v>
      </c>
      <c r="Y1277" s="8" t="n">
        <v>-1629</v>
      </c>
      <c r="Z1277" s="8" t="n">
        <v>-160</v>
      </c>
      <c r="AA1277" s="9" t="n">
        <v>1339</v>
      </c>
      <c r="AB1277" s="10" t="n">
        <v>-1488</v>
      </c>
      <c r="AC1277" s="10" t="n">
        <v>-1489</v>
      </c>
      <c r="AD1277" s="7" t="inlineStr"/>
      <c r="AE1277" s="8" t="inlineStr"/>
      <c r="AF1277" s="8" t="inlineStr"/>
      <c r="AG1277" s="9" t="n">
        <v>0</v>
      </c>
      <c r="AH1277" s="10" t="n">
        <v>0</v>
      </c>
      <c r="AI1277" s="10" t="n">
        <v>0</v>
      </c>
      <c r="AJ1277" s="11" t="inlineStr"/>
      <c r="AK1277" s="12" t="inlineStr"/>
      <c r="AL1277" s="12" t="inlineStr"/>
      <c r="AM1277" s="13" t="inlineStr"/>
      <c r="AN1277" s="13" t="inlineStr"/>
      <c r="AO1277" s="13" t="inlineStr"/>
      <c r="AP1277" s="13" t="inlineStr"/>
    </row>
    <row r="1278">
      <c r="A1278" s="5" t="inlineStr">
        <is>
          <t>한화엔진</t>
        </is>
      </c>
      <c r="B1278" s="6" t="inlineStr">
        <is>
          <t>082740</t>
        </is>
      </c>
      <c r="C1278" s="6" t="inlineStr">
        <is>
          <t>연결</t>
        </is>
      </c>
      <c r="D1278" s="6" t="inlineStr">
        <is>
          <t>2026Q2</t>
        </is>
      </c>
      <c r="E1278" s="6" t="inlineStr">
        <is>
          <t>2023Q4</t>
        </is>
      </c>
      <c r="F1278" s="14" t="n">
        <v>854384</v>
      </c>
      <c r="G1278" s="15" t="n">
        <v>8729</v>
      </c>
      <c r="H1278" s="15" t="n">
        <v>-426</v>
      </c>
      <c r="I1278" s="9" t="n">
        <v>293365</v>
      </c>
      <c r="J1278" s="10" t="n">
        <v>19427</v>
      </c>
      <c r="K1278" s="10" t="n">
        <v>14870</v>
      </c>
      <c r="L1278" s="7" t="n">
        <v>286485</v>
      </c>
      <c r="M1278" s="8" t="n">
        <v>18623</v>
      </c>
      <c r="N1278" s="8" t="n">
        <v>14308</v>
      </c>
      <c r="O1278" s="9" t="n">
        <v>296086</v>
      </c>
      <c r="P1278" s="10" t="n">
        <v>15287</v>
      </c>
      <c r="Q1278" s="10" t="n">
        <v>10586</v>
      </c>
      <c r="R1278" s="7" t="n">
        <v>326269</v>
      </c>
      <c r="S1278" s="8" t="n">
        <v>18195</v>
      </c>
      <c r="T1278" s="8" t="n">
        <v>39396</v>
      </c>
      <c r="U1278" s="9" t="n">
        <v>318182</v>
      </c>
      <c r="V1278" s="10" t="n">
        <v>22312</v>
      </c>
      <c r="W1278" s="10" t="n">
        <v>19409</v>
      </c>
      <c r="X1278" s="7" t="n">
        <v>387700</v>
      </c>
      <c r="Y1278" s="8" t="n">
        <v>33775</v>
      </c>
      <c r="Z1278" s="8" t="n">
        <v>21556</v>
      </c>
      <c r="AA1278" s="9" t="n">
        <v>297345</v>
      </c>
      <c r="AB1278" s="10" t="n">
        <v>26631</v>
      </c>
      <c r="AC1278" s="10" t="n">
        <v>30300</v>
      </c>
      <c r="AD1278" s="7" t="n">
        <v>367830</v>
      </c>
      <c r="AE1278" s="8" t="n">
        <v>47348</v>
      </c>
      <c r="AF1278" s="8" t="n">
        <v>102488</v>
      </c>
      <c r="AG1278" s="9" t="n">
        <v>345239</v>
      </c>
      <c r="AH1278" s="10" t="n">
        <v>51379</v>
      </c>
      <c r="AI1278" s="10" t="n">
        <v>52853</v>
      </c>
      <c r="AJ1278" s="11" t="n">
        <v>362220</v>
      </c>
      <c r="AK1278" s="12" t="n">
        <v>37911</v>
      </c>
      <c r="AL1278" s="12" t="n">
        <v>33200</v>
      </c>
      <c r="AM1278" s="13" t="n">
        <v>4.9</v>
      </c>
      <c r="AN1278" s="13" t="n">
        <v>-6.6</v>
      </c>
      <c r="AO1278" s="13" t="n">
        <v>-26.2</v>
      </c>
      <c r="AP1278" s="13" t="n">
        <v>12.2</v>
      </c>
    </row>
    <row r="1279">
      <c r="A1279" s="5" t="inlineStr">
        <is>
          <t>비보존 제약</t>
        </is>
      </c>
      <c r="B1279" s="6" t="inlineStr">
        <is>
          <t>082800</t>
        </is>
      </c>
      <c r="C1279" s="6" t="inlineStr">
        <is>
          <t>연결</t>
        </is>
      </c>
      <c r="D1279" s="6" t="inlineStr">
        <is>
          <t>2026Q2</t>
        </is>
      </c>
      <c r="E1279" s="6" t="inlineStr"/>
      <c r="F1279" s="7" t="inlineStr"/>
      <c r="G1279" s="8" t="inlineStr"/>
      <c r="H1279" s="8" t="inlineStr"/>
      <c r="I1279" s="9" t="n">
        <v>19854</v>
      </c>
      <c r="J1279" s="10" t="n">
        <v>712</v>
      </c>
      <c r="K1279" s="10" t="n">
        <v>-987</v>
      </c>
      <c r="L1279" s="7" t="n">
        <v>20867</v>
      </c>
      <c r="M1279" s="8" t="n">
        <v>351</v>
      </c>
      <c r="N1279" s="8" t="n">
        <v>-522</v>
      </c>
      <c r="O1279" s="9" t="n">
        <v>23631</v>
      </c>
      <c r="P1279" s="10" t="n">
        <v>1279</v>
      </c>
      <c r="Q1279" s="10" t="n">
        <v>256</v>
      </c>
      <c r="R1279" s="7" t="n">
        <v>23249</v>
      </c>
      <c r="S1279" s="8" t="n">
        <v>511</v>
      </c>
      <c r="T1279" s="8" t="n">
        <v>-8729</v>
      </c>
      <c r="U1279" s="9" t="n">
        <v>18585</v>
      </c>
      <c r="V1279" s="10" t="n">
        <v>-2503</v>
      </c>
      <c r="W1279" s="10" t="n">
        <v>-3772</v>
      </c>
      <c r="X1279" s="7" t="n">
        <v>17802</v>
      </c>
      <c r="Y1279" s="8" t="n">
        <v>-2731</v>
      </c>
      <c r="Z1279" s="8" t="n">
        <v>-4224</v>
      </c>
      <c r="AA1279" s="9" t="n">
        <v>6758</v>
      </c>
      <c r="AB1279" s="10" t="n">
        <v>-10203</v>
      </c>
      <c r="AC1279" s="10" t="n">
        <v>-11642</v>
      </c>
      <c r="AD1279" s="7" t="n">
        <v>16198</v>
      </c>
      <c r="AE1279" s="8" t="n">
        <v>-3729</v>
      </c>
      <c r="AF1279" s="8" t="n">
        <v>-12786</v>
      </c>
      <c r="AG1279" s="9" t="n">
        <v>14106</v>
      </c>
      <c r="AH1279" s="10" t="n">
        <v>-3019</v>
      </c>
      <c r="AI1279" s="10" t="n">
        <v>-5559</v>
      </c>
      <c r="AJ1279" s="11" t="n">
        <v>13282</v>
      </c>
      <c r="AK1279" s="12" t="n">
        <v>-1938</v>
      </c>
      <c r="AL1279" s="12" t="n">
        <v>-2840</v>
      </c>
      <c r="AM1279" s="13" t="n">
        <v>-5.8</v>
      </c>
      <c r="AN1279" s="13" t="n">
        <v>-25.4</v>
      </c>
      <c r="AO1279" s="13" t="n">
        <v>35.8</v>
      </c>
      <c r="AP1279" s="13" t="n">
        <v>29</v>
      </c>
    </row>
    <row r="1280">
      <c r="A1280" s="5" t="inlineStr">
        <is>
          <t>우리바이오</t>
        </is>
      </c>
      <c r="B1280" s="6" t="inlineStr">
        <is>
          <t>082850</t>
        </is>
      </c>
      <c r="C1280" s="6" t="inlineStr">
        <is>
          <t>연결</t>
        </is>
      </c>
      <c r="D1280" s="6" t="inlineStr">
        <is>
          <t>2026Q2</t>
        </is>
      </c>
      <c r="E1280" s="6" t="inlineStr"/>
      <c r="F1280" s="7" t="inlineStr"/>
      <c r="G1280" s="8" t="inlineStr"/>
      <c r="H1280" s="8" t="inlineStr"/>
      <c r="I1280" s="9" t="n">
        <v>292177</v>
      </c>
      <c r="J1280" s="10" t="n">
        <v>2929</v>
      </c>
      <c r="K1280" s="10" t="n">
        <v>3835</v>
      </c>
      <c r="L1280" s="7" t="n">
        <v>306675</v>
      </c>
      <c r="M1280" s="8" t="n">
        <v>10010</v>
      </c>
      <c r="N1280" s="8" t="n">
        <v>8147</v>
      </c>
      <c r="O1280" s="9" t="n">
        <v>348358</v>
      </c>
      <c r="P1280" s="10" t="n">
        <v>6236</v>
      </c>
      <c r="Q1280" s="10" t="n">
        <v>1753</v>
      </c>
      <c r="R1280" s="7" t="n">
        <v>289988</v>
      </c>
      <c r="S1280" s="8" t="n">
        <v>-3970</v>
      </c>
      <c r="T1280" s="8" t="n">
        <v>-5508</v>
      </c>
      <c r="U1280" s="9" t="n">
        <v>298303</v>
      </c>
      <c r="V1280" s="10" t="n">
        <v>775</v>
      </c>
      <c r="W1280" s="10" t="n">
        <v>-528</v>
      </c>
      <c r="X1280" s="7" t="n">
        <v>231006</v>
      </c>
      <c r="Y1280" s="8" t="n">
        <v>-2344</v>
      </c>
      <c r="Z1280" s="8" t="n">
        <v>-10244</v>
      </c>
      <c r="AA1280" s="9" t="n">
        <v>263901</v>
      </c>
      <c r="AB1280" s="10" t="n">
        <v>2368</v>
      </c>
      <c r="AC1280" s="10" t="n">
        <v>2706</v>
      </c>
      <c r="AD1280" s="7" t="n">
        <v>250752</v>
      </c>
      <c r="AE1280" s="8" t="n">
        <v>153</v>
      </c>
      <c r="AF1280" s="8" t="n">
        <v>-2107</v>
      </c>
      <c r="AG1280" s="9" t="n">
        <v>269197</v>
      </c>
      <c r="AH1280" s="10" t="n">
        <v>-4314</v>
      </c>
      <c r="AI1280" s="10" t="n">
        <v>351</v>
      </c>
      <c r="AJ1280" s="11" t="n">
        <v>316366</v>
      </c>
      <c r="AK1280" s="12" t="n">
        <v>-2422</v>
      </c>
      <c r="AL1280" s="12" t="n">
        <v>-2801</v>
      </c>
      <c r="AM1280" s="13" t="n">
        <v>17.5</v>
      </c>
      <c r="AN1280" s="13" t="n">
        <v>37</v>
      </c>
      <c r="AO1280" s="13" t="n">
        <v>43.9</v>
      </c>
      <c r="AP1280" s="13" t="n">
        <v>-3.3</v>
      </c>
    </row>
    <row r="1281">
      <c r="A1281" s="5" t="inlineStr">
        <is>
          <t>비츠로셀</t>
        </is>
      </c>
      <c r="B1281" s="6" t="inlineStr">
        <is>
          <t>082920</t>
        </is>
      </c>
      <c r="C1281" s="6" t="inlineStr">
        <is>
          <t>연결</t>
        </is>
      </c>
      <c r="D1281" s="6" t="inlineStr">
        <is>
          <t>2026Q2</t>
        </is>
      </c>
      <c r="E1281" s="6" t="inlineStr"/>
      <c r="F1281" s="7" t="inlineStr"/>
      <c r="G1281" s="8" t="inlineStr"/>
      <c r="H1281" s="8" t="inlineStr"/>
      <c r="I1281" s="9" t="n">
        <v>37571</v>
      </c>
      <c r="J1281" s="10" t="n">
        <v>10108</v>
      </c>
      <c r="K1281" s="10" t="n">
        <v>11960</v>
      </c>
      <c r="L1281" s="7" t="n">
        <v>54169</v>
      </c>
      <c r="M1281" s="8" t="n">
        <v>14661</v>
      </c>
      <c r="N1281" s="8" t="n">
        <v>12588</v>
      </c>
      <c r="O1281" s="9" t="n">
        <v>48793</v>
      </c>
      <c r="P1281" s="10" t="n">
        <v>12125</v>
      </c>
      <c r="Q1281" s="10" t="n">
        <v>8137</v>
      </c>
      <c r="R1281" s="7" t="n">
        <v>70246</v>
      </c>
      <c r="S1281" s="8" t="n">
        <v>15017</v>
      </c>
      <c r="T1281" s="8" t="n">
        <v>18575</v>
      </c>
      <c r="U1281" s="9" t="n">
        <v>53941</v>
      </c>
      <c r="V1281" s="10" t="n">
        <v>15074</v>
      </c>
      <c r="W1281" s="10" t="n">
        <v>12995</v>
      </c>
      <c r="X1281" s="7" t="n">
        <v>56513</v>
      </c>
      <c r="Y1281" s="8" t="n">
        <v>16131</v>
      </c>
      <c r="Z1281" s="8" t="n">
        <v>10163</v>
      </c>
      <c r="AA1281" s="9" t="n">
        <v>55346</v>
      </c>
      <c r="AB1281" s="10" t="n">
        <v>16733</v>
      </c>
      <c r="AC1281" s="10" t="n">
        <v>15819</v>
      </c>
      <c r="AD1281" s="7" t="n">
        <v>77283</v>
      </c>
      <c r="AE1281" s="8" t="n">
        <v>21330</v>
      </c>
      <c r="AF1281" s="8" t="n">
        <v>17948</v>
      </c>
      <c r="AG1281" s="9" t="n">
        <v>68268</v>
      </c>
      <c r="AH1281" s="10" t="n">
        <v>20279</v>
      </c>
      <c r="AI1281" s="10" t="n">
        <v>20229</v>
      </c>
      <c r="AJ1281" s="11" t="n">
        <v>76169</v>
      </c>
      <c r="AK1281" s="12" t="n">
        <v>18762</v>
      </c>
      <c r="AL1281" s="12" t="n">
        <v>17302</v>
      </c>
      <c r="AM1281" s="13" t="n">
        <v>11.6</v>
      </c>
      <c r="AN1281" s="13" t="n">
        <v>34.8</v>
      </c>
      <c r="AO1281" s="13" t="n">
        <v>-7.5</v>
      </c>
      <c r="AP1281" s="13" t="n">
        <v>16.3</v>
      </c>
    </row>
    <row r="1282">
      <c r="A1282" s="5" t="inlineStr">
        <is>
          <t>엘오티베큠</t>
        </is>
      </c>
      <c r="B1282" s="6" t="inlineStr">
        <is>
          <t>083310</t>
        </is>
      </c>
      <c r="C1282" s="6" t="inlineStr">
        <is>
          <t>연결</t>
        </is>
      </c>
      <c r="D1282" s="6" t="inlineStr">
        <is>
          <t>2026Q2</t>
        </is>
      </c>
      <c r="E1282" s="6" t="inlineStr"/>
      <c r="F1282" s="7" t="inlineStr"/>
      <c r="G1282" s="8" t="inlineStr"/>
      <c r="H1282" s="8" t="inlineStr"/>
      <c r="I1282" s="9" t="n">
        <v>72577</v>
      </c>
      <c r="J1282" s="10" t="n">
        <v>1734</v>
      </c>
      <c r="K1282" s="10" t="n">
        <v>2590</v>
      </c>
      <c r="L1282" s="7" t="n">
        <v>69567</v>
      </c>
      <c r="M1282" s="8" t="n">
        <v>1007</v>
      </c>
      <c r="N1282" s="8" t="n">
        <v>2011</v>
      </c>
      <c r="O1282" s="9" t="n">
        <v>59915</v>
      </c>
      <c r="P1282" s="10" t="n">
        <v>-2716</v>
      </c>
      <c r="Q1282" s="10" t="n">
        <v>-2030</v>
      </c>
      <c r="R1282" s="7" t="n">
        <v>63910</v>
      </c>
      <c r="S1282" s="8" t="n">
        <v>-4197</v>
      </c>
      <c r="T1282" s="8" t="n">
        <v>-204</v>
      </c>
      <c r="U1282" s="9" t="n">
        <v>55587</v>
      </c>
      <c r="V1282" s="10" t="n">
        <v>-5992</v>
      </c>
      <c r="W1282" s="10" t="n">
        <v>-6355</v>
      </c>
      <c r="X1282" s="7" t="n">
        <v>63218</v>
      </c>
      <c r="Y1282" s="8" t="n">
        <v>3323</v>
      </c>
      <c r="Z1282" s="8" t="n">
        <v>2315</v>
      </c>
      <c r="AA1282" s="9" t="n">
        <v>58555</v>
      </c>
      <c r="AB1282" s="10" t="n">
        <v>-2210</v>
      </c>
      <c r="AC1282" s="10" t="n">
        <v>-1491</v>
      </c>
      <c r="AD1282" s="7" t="n">
        <v>67533</v>
      </c>
      <c r="AE1282" s="8" t="n">
        <v>-3175</v>
      </c>
      <c r="AF1282" s="8" t="n">
        <v>-2250</v>
      </c>
      <c r="AG1282" s="9" t="n">
        <v>62627</v>
      </c>
      <c r="AH1282" s="10" t="n">
        <v>-5425</v>
      </c>
      <c r="AI1282" s="10" t="n">
        <v>-2503</v>
      </c>
      <c r="AJ1282" s="11" t="n">
        <v>81458</v>
      </c>
      <c r="AK1282" s="12" t="n">
        <v>8738</v>
      </c>
      <c r="AL1282" s="12" t="n">
        <v>7962</v>
      </c>
      <c r="AM1282" s="13" t="n">
        <v>30.1</v>
      </c>
      <c r="AN1282" s="13" t="n">
        <v>28.9</v>
      </c>
      <c r="AO1282" s="13" t="n">
        <v>261.1</v>
      </c>
      <c r="AP1282" s="13" t="n">
        <v>163</v>
      </c>
    </row>
    <row r="1283">
      <c r="A1283" s="5" t="inlineStr">
        <is>
          <t>그린케미칼</t>
        </is>
      </c>
      <c r="B1283" s="6" t="inlineStr">
        <is>
          <t>083420</t>
        </is>
      </c>
      <c r="C1283" s="6" t="inlineStr">
        <is>
          <t>별도</t>
        </is>
      </c>
      <c r="D1283" s="6" t="inlineStr">
        <is>
          <t>2026Q2</t>
        </is>
      </c>
      <c r="E1283" s="6" t="inlineStr"/>
      <c r="F1283" s="7" t="inlineStr"/>
      <c r="G1283" s="8" t="inlineStr"/>
      <c r="H1283" s="8" t="inlineStr"/>
      <c r="I1283" s="9" t="n">
        <v>81461</v>
      </c>
      <c r="J1283" s="10" t="n">
        <v>1963</v>
      </c>
      <c r="K1283" s="10" t="n">
        <v>1961</v>
      </c>
      <c r="L1283" s="7" t="n">
        <v>85424</v>
      </c>
      <c r="M1283" s="8" t="n">
        <v>3971</v>
      </c>
      <c r="N1283" s="8" t="n">
        <v>2958</v>
      </c>
      <c r="O1283" s="9" t="n">
        <v>82460</v>
      </c>
      <c r="P1283" s="10" t="n">
        <v>1790</v>
      </c>
      <c r="Q1283" s="10" t="n">
        <v>318</v>
      </c>
      <c r="R1283" s="7" t="n">
        <v>80994</v>
      </c>
      <c r="S1283" s="8" t="n">
        <v>2963</v>
      </c>
      <c r="T1283" s="8" t="n">
        <v>2958</v>
      </c>
      <c r="U1283" s="9" t="n">
        <v>86077</v>
      </c>
      <c r="V1283" s="10" t="n">
        <v>1930</v>
      </c>
      <c r="W1283" s="10" t="n">
        <v>1279</v>
      </c>
      <c r="X1283" s="7" t="n">
        <v>71777</v>
      </c>
      <c r="Y1283" s="8" t="n">
        <v>1096</v>
      </c>
      <c r="Z1283" s="8" t="n">
        <v>784</v>
      </c>
      <c r="AA1283" s="9" t="n">
        <v>77305</v>
      </c>
      <c r="AB1283" s="10" t="n">
        <v>5045</v>
      </c>
      <c r="AC1283" s="10" t="n">
        <v>4523</v>
      </c>
      <c r="AD1283" s="7" t="n">
        <v>68898</v>
      </c>
      <c r="AE1283" s="8" t="n">
        <v>2078</v>
      </c>
      <c r="AF1283" s="8" t="n">
        <v>3066</v>
      </c>
      <c r="AG1283" s="9" t="n">
        <v>77690</v>
      </c>
      <c r="AH1283" s="10" t="n">
        <v>3016</v>
      </c>
      <c r="AI1283" s="10" t="n">
        <v>2917</v>
      </c>
      <c r="AJ1283" s="11" t="n">
        <v>91922</v>
      </c>
      <c r="AK1283" s="12" t="n">
        <v>7523</v>
      </c>
      <c r="AL1283" s="12" t="n">
        <v>9622</v>
      </c>
      <c r="AM1283" s="13" t="n">
        <v>18.3</v>
      </c>
      <c r="AN1283" s="13" t="n">
        <v>28.1</v>
      </c>
      <c r="AO1283" s="13" t="n">
        <v>149.4</v>
      </c>
      <c r="AP1283" s="13" t="n">
        <v>586.4</v>
      </c>
    </row>
    <row r="1284">
      <c r="A1284" s="5" t="inlineStr">
        <is>
          <t>GST</t>
        </is>
      </c>
      <c r="B1284" s="6" t="inlineStr">
        <is>
          <t>083450</t>
        </is>
      </c>
      <c r="C1284" s="6" t="inlineStr">
        <is>
          <t>연결</t>
        </is>
      </c>
      <c r="D1284" s="6" t="inlineStr">
        <is>
          <t>2026Q2</t>
        </is>
      </c>
      <c r="E1284" s="6" t="inlineStr"/>
      <c r="F1284" s="7" t="inlineStr"/>
      <c r="G1284" s="8" t="inlineStr"/>
      <c r="H1284" s="8" t="inlineStr"/>
      <c r="I1284" s="9" t="n">
        <v>75711</v>
      </c>
      <c r="J1284" s="10" t="n">
        <v>8549</v>
      </c>
      <c r="K1284" s="10" t="n">
        <v>7879</v>
      </c>
      <c r="L1284" s="7" t="n">
        <v>91716</v>
      </c>
      <c r="M1284" s="8" t="n">
        <v>19633</v>
      </c>
      <c r="N1284" s="8" t="n">
        <v>13570</v>
      </c>
      <c r="O1284" s="9" t="n">
        <v>91827</v>
      </c>
      <c r="P1284" s="10" t="n">
        <v>19250</v>
      </c>
      <c r="Q1284" s="10" t="n">
        <v>14398</v>
      </c>
      <c r="R1284" s="7" t="n">
        <v>86974</v>
      </c>
      <c r="S1284" s="8" t="n">
        <v>11649</v>
      </c>
      <c r="T1284" s="8" t="n">
        <v>10015</v>
      </c>
      <c r="U1284" s="9" t="n">
        <v>74758</v>
      </c>
      <c r="V1284" s="10" t="n">
        <v>9596</v>
      </c>
      <c r="W1284" s="10" t="n">
        <v>7918</v>
      </c>
      <c r="X1284" s="7" t="n">
        <v>99436</v>
      </c>
      <c r="Y1284" s="8" t="n">
        <v>17341</v>
      </c>
      <c r="Z1284" s="8" t="n">
        <v>11365</v>
      </c>
      <c r="AA1284" s="9" t="n">
        <v>80773</v>
      </c>
      <c r="AB1284" s="10" t="n">
        <v>16676</v>
      </c>
      <c r="AC1284" s="10" t="n">
        <v>13404</v>
      </c>
      <c r="AD1284" s="7" t="n">
        <v>92192</v>
      </c>
      <c r="AE1284" s="8" t="n">
        <v>15559</v>
      </c>
      <c r="AF1284" s="8" t="n">
        <v>12897</v>
      </c>
      <c r="AG1284" s="9" t="n">
        <v>115886</v>
      </c>
      <c r="AH1284" s="10" t="n">
        <v>20191</v>
      </c>
      <c r="AI1284" s="10" t="n">
        <v>17353</v>
      </c>
      <c r="AJ1284" s="11" t="n">
        <v>99244</v>
      </c>
      <c r="AK1284" s="12" t="n">
        <v>15459</v>
      </c>
      <c r="AL1284" s="12" t="n">
        <v>12190</v>
      </c>
      <c r="AM1284" s="13" t="n">
        <v>-14.4</v>
      </c>
      <c r="AN1284" s="13" t="n">
        <v>-0.2</v>
      </c>
      <c r="AO1284" s="13" t="n">
        <v>-23.4</v>
      </c>
      <c r="AP1284" s="13" t="n">
        <v>-10.9</v>
      </c>
    </row>
    <row r="1285">
      <c r="A1285" s="5" t="inlineStr">
        <is>
          <t>이엠앤아이</t>
        </is>
      </c>
      <c r="B1285" s="6" t="inlineStr">
        <is>
          <t>083470</t>
        </is>
      </c>
      <c r="C1285" s="6" t="inlineStr">
        <is>
          <t>연결</t>
        </is>
      </c>
      <c r="D1285" s="6" t="inlineStr">
        <is>
          <t>2026Q2</t>
        </is>
      </c>
      <c r="E1285" s="6" t="inlineStr"/>
      <c r="F1285" s="7" t="inlineStr"/>
      <c r="G1285" s="8" t="inlineStr"/>
      <c r="H1285" s="8" t="inlineStr"/>
      <c r="I1285" s="9" t="n">
        <v>7739</v>
      </c>
      <c r="J1285" s="10" t="n">
        <v>226</v>
      </c>
      <c r="K1285" s="10" t="n">
        <v>16</v>
      </c>
      <c r="L1285" s="7" t="n">
        <v>8462</v>
      </c>
      <c r="M1285" s="8" t="n">
        <v>591</v>
      </c>
      <c r="N1285" s="8" t="n">
        <v>1071</v>
      </c>
      <c r="O1285" s="9" t="n">
        <v>7173</v>
      </c>
      <c r="P1285" s="10" t="n">
        <v>180</v>
      </c>
      <c r="Q1285" s="10" t="n">
        <v>117</v>
      </c>
      <c r="R1285" s="7" t="n">
        <v>6325</v>
      </c>
      <c r="S1285" s="8" t="n">
        <v>-657</v>
      </c>
      <c r="T1285" s="8" t="n">
        <v>283</v>
      </c>
      <c r="U1285" s="9" t="n">
        <v>6018</v>
      </c>
      <c r="V1285" s="10" t="n">
        <v>-487</v>
      </c>
      <c r="W1285" s="10" t="n">
        <v>-647</v>
      </c>
      <c r="X1285" s="7" t="n">
        <v>6286</v>
      </c>
      <c r="Y1285" s="8" t="n">
        <v>212</v>
      </c>
      <c r="Z1285" s="8" t="n">
        <v>176</v>
      </c>
      <c r="AA1285" s="9" t="n">
        <v>2999</v>
      </c>
      <c r="AB1285" s="10" t="n">
        <v>-481</v>
      </c>
      <c r="AC1285" s="10" t="n">
        <v>-1068</v>
      </c>
      <c r="AD1285" s="7" t="n">
        <v>3077</v>
      </c>
      <c r="AE1285" s="8" t="n">
        <v>-1171</v>
      </c>
      <c r="AF1285" s="8" t="n">
        <v>-3299</v>
      </c>
      <c r="AG1285" s="9" t="n">
        <v>1732</v>
      </c>
      <c r="AH1285" s="10" t="n">
        <v>-1269</v>
      </c>
      <c r="AI1285" s="10" t="n">
        <v>-1225</v>
      </c>
      <c r="AJ1285" s="11" t="n">
        <v>4414</v>
      </c>
      <c r="AK1285" s="12" t="n">
        <v>-274</v>
      </c>
      <c r="AL1285" s="12" t="n">
        <v>-591</v>
      </c>
      <c r="AM1285" s="13" t="n">
        <v>154.8</v>
      </c>
      <c r="AN1285" s="13" t="n">
        <v>-29.8</v>
      </c>
      <c r="AO1285" s="13" t="n">
        <v>78.40000000000001</v>
      </c>
      <c r="AP1285" s="13" t="n">
        <v>-229.2</v>
      </c>
    </row>
    <row r="1286">
      <c r="A1286" s="5" t="inlineStr">
        <is>
          <t>에프엔에스테크</t>
        </is>
      </c>
      <c r="B1286" s="6" t="inlineStr">
        <is>
          <t>083500</t>
        </is>
      </c>
      <c r="C1286" s="6" t="inlineStr">
        <is>
          <t>연결</t>
        </is>
      </c>
      <c r="D1286" s="6" t="inlineStr">
        <is>
          <t>2026Q2</t>
        </is>
      </c>
      <c r="E1286" s="6" t="inlineStr"/>
      <c r="F1286" s="7" t="inlineStr"/>
      <c r="G1286" s="8" t="inlineStr"/>
      <c r="H1286" s="8" t="inlineStr"/>
      <c r="I1286" s="9" t="n">
        <v>5637</v>
      </c>
      <c r="J1286" s="10" t="n">
        <v>-331</v>
      </c>
      <c r="K1286" s="10" t="n">
        <v>-15</v>
      </c>
      <c r="L1286" s="7" t="n">
        <v>13021</v>
      </c>
      <c r="M1286" s="8" t="n">
        <v>423</v>
      </c>
      <c r="N1286" s="8" t="n">
        <v>5546</v>
      </c>
      <c r="O1286" s="9" t="n">
        <v>32417</v>
      </c>
      <c r="P1286" s="10" t="n">
        <v>3820</v>
      </c>
      <c r="Q1286" s="10" t="n">
        <v>3551</v>
      </c>
      <c r="R1286" s="7" t="n">
        <v>37407</v>
      </c>
      <c r="S1286" s="8" t="n">
        <v>4893</v>
      </c>
      <c r="T1286" s="8" t="n">
        <v>5486</v>
      </c>
      <c r="U1286" s="9" t="n">
        <v>13057</v>
      </c>
      <c r="V1286" s="10" t="n">
        <v>1177</v>
      </c>
      <c r="W1286" s="10" t="n">
        <v>1388</v>
      </c>
      <c r="X1286" s="7" t="n">
        <v>29876</v>
      </c>
      <c r="Y1286" s="8" t="n">
        <v>4540</v>
      </c>
      <c r="Z1286" s="8" t="n">
        <v>3574</v>
      </c>
      <c r="AA1286" s="9" t="n">
        <v>17209</v>
      </c>
      <c r="AB1286" s="10" t="n">
        <v>3157</v>
      </c>
      <c r="AC1286" s="10" t="n">
        <v>3264</v>
      </c>
      <c r="AD1286" s="7" t="n">
        <v>13516</v>
      </c>
      <c r="AE1286" s="8" t="n">
        <v>1476</v>
      </c>
      <c r="AF1286" s="8" t="n">
        <v>933</v>
      </c>
      <c r="AG1286" s="9" t="n">
        <v>12946</v>
      </c>
      <c r="AH1286" s="10" t="n">
        <v>3500</v>
      </c>
      <c r="AI1286" s="10" t="n">
        <v>3204</v>
      </c>
      <c r="AJ1286" s="11" t="n">
        <v>14043</v>
      </c>
      <c r="AK1286" s="12" t="n">
        <v>3759</v>
      </c>
      <c r="AL1286" s="12" t="n">
        <v>3496</v>
      </c>
      <c r="AM1286" s="13" t="n">
        <v>8.5</v>
      </c>
      <c r="AN1286" s="13" t="n">
        <v>-53</v>
      </c>
      <c r="AO1286" s="13" t="n">
        <v>7.4</v>
      </c>
      <c r="AP1286" s="13" t="n">
        <v>-17.2</v>
      </c>
    </row>
    <row r="1287">
      <c r="A1287" s="5" t="inlineStr">
        <is>
          <t>케이엠</t>
        </is>
      </c>
      <c r="B1287" s="6" t="inlineStr">
        <is>
          <t>083550</t>
        </is>
      </c>
      <c r="C1287" s="6" t="inlineStr">
        <is>
          <t>연결</t>
        </is>
      </c>
      <c r="D1287" s="6" t="inlineStr">
        <is>
          <t>2026Q2</t>
        </is>
      </c>
      <c r="E1287" s="6" t="inlineStr"/>
      <c r="F1287" s="7" t="inlineStr"/>
      <c r="G1287" s="8" t="inlineStr"/>
      <c r="H1287" s="8" t="inlineStr"/>
      <c r="I1287" s="9" t="n">
        <v>31184</v>
      </c>
      <c r="J1287" s="10" t="n">
        <v>-1404</v>
      </c>
      <c r="K1287" s="10" t="n">
        <v>-334</v>
      </c>
      <c r="L1287" s="7" t="n">
        <v>31911</v>
      </c>
      <c r="M1287" s="8" t="n">
        <v>-905</v>
      </c>
      <c r="N1287" s="8" t="n">
        <v>-825</v>
      </c>
      <c r="O1287" s="9" t="n">
        <v>34239</v>
      </c>
      <c r="P1287" s="10" t="n">
        <v>285</v>
      </c>
      <c r="Q1287" s="10" t="n">
        <v>3</v>
      </c>
      <c r="R1287" s="7" t="n">
        <v>33808</v>
      </c>
      <c r="S1287" s="8" t="n">
        <v>-1408</v>
      </c>
      <c r="T1287" s="8" t="n">
        <v>-1216</v>
      </c>
      <c r="U1287" s="9" t="n">
        <v>31281</v>
      </c>
      <c r="V1287" s="10" t="n">
        <v>-1544</v>
      </c>
      <c r="W1287" s="10" t="n">
        <v>-1303</v>
      </c>
      <c r="X1287" s="7" t="n">
        <v>33439</v>
      </c>
      <c r="Y1287" s="8" t="n">
        <v>101</v>
      </c>
      <c r="Z1287" s="8" t="n">
        <v>1407</v>
      </c>
      <c r="AA1287" s="9" t="n">
        <v>34527</v>
      </c>
      <c r="AB1287" s="10" t="n">
        <v>1666</v>
      </c>
      <c r="AC1287" s="10" t="n">
        <v>1780</v>
      </c>
      <c r="AD1287" s="7" t="n">
        <v>36167</v>
      </c>
      <c r="AE1287" s="8" t="n">
        <v>-616</v>
      </c>
      <c r="AF1287" s="8" t="n">
        <v>2311</v>
      </c>
      <c r="AG1287" s="9" t="n">
        <v>33837</v>
      </c>
      <c r="AH1287" s="10" t="n">
        <v>-928</v>
      </c>
      <c r="AI1287" s="10" t="n">
        <v>-231</v>
      </c>
      <c r="AJ1287" s="11" t="n">
        <v>39564</v>
      </c>
      <c r="AK1287" s="12" t="n">
        <v>928</v>
      </c>
      <c r="AL1287" s="12" t="n">
        <v>797</v>
      </c>
      <c r="AM1287" s="13" t="n">
        <v>16.9</v>
      </c>
      <c r="AN1287" s="13" t="n">
        <v>18.3</v>
      </c>
      <c r="AO1287" s="13" t="n">
        <v>200</v>
      </c>
      <c r="AP1287" s="13" t="n">
        <v>818.8</v>
      </c>
    </row>
    <row r="1288">
      <c r="A1288" s="5" t="inlineStr">
        <is>
          <t>인콘</t>
        </is>
      </c>
      <c r="B1288" s="6" t="inlineStr">
        <is>
          <t>083640</t>
        </is>
      </c>
      <c r="C1288" s="6" t="inlineStr">
        <is>
          <t>별도</t>
        </is>
      </c>
      <c r="D1288" s="6" t="inlineStr">
        <is>
          <t>2026Q2</t>
        </is>
      </c>
      <c r="E1288" s="6" t="inlineStr"/>
      <c r="F1288" s="7" t="inlineStr"/>
      <c r="G1288" s="8" t="inlineStr"/>
      <c r="H1288" s="8" t="inlineStr"/>
      <c r="I1288" s="9" t="n">
        <v>9247</v>
      </c>
      <c r="J1288" s="10" t="n">
        <v>-302</v>
      </c>
      <c r="K1288" s="10" t="n">
        <v>734</v>
      </c>
      <c r="L1288" s="7" t="n">
        <v>12015</v>
      </c>
      <c r="M1288" s="8" t="n">
        <v>205</v>
      </c>
      <c r="N1288" s="8" t="n">
        <v>1685</v>
      </c>
      <c r="O1288" s="9" t="n">
        <v>10259</v>
      </c>
      <c r="P1288" s="10" t="n">
        <v>204</v>
      </c>
      <c r="Q1288" s="10" t="n">
        <v>1080</v>
      </c>
      <c r="R1288" s="7" t="n">
        <v>17597</v>
      </c>
      <c r="S1288" s="8" t="n">
        <v>1503</v>
      </c>
      <c r="T1288" s="8" t="n">
        <v>-6403</v>
      </c>
      <c r="U1288" s="9" t="n">
        <v>13579</v>
      </c>
      <c r="V1288" s="10" t="n">
        <v>739</v>
      </c>
      <c r="W1288" s="10" t="n">
        <v>423</v>
      </c>
      <c r="X1288" s="7" t="n">
        <v>10784</v>
      </c>
      <c r="Y1288" s="8" t="n">
        <v>-54</v>
      </c>
      <c r="Z1288" s="8" t="n">
        <v>-2227</v>
      </c>
      <c r="AA1288" s="9" t="n">
        <v>8196</v>
      </c>
      <c r="AB1288" s="10" t="n">
        <v>-185</v>
      </c>
      <c r="AC1288" s="10" t="n">
        <v>228</v>
      </c>
      <c r="AD1288" s="7" t="n">
        <v>18262</v>
      </c>
      <c r="AE1288" s="8" t="n">
        <v>1195</v>
      </c>
      <c r="AF1288" s="8" t="n">
        <v>315</v>
      </c>
      <c r="AG1288" s="9" t="n">
        <v>6364</v>
      </c>
      <c r="AH1288" s="10" t="n">
        <v>-612</v>
      </c>
      <c r="AI1288" s="10" t="n">
        <v>2563</v>
      </c>
      <c r="AJ1288" s="11" t="n">
        <v>9572</v>
      </c>
      <c r="AK1288" s="12" t="n">
        <v>-461</v>
      </c>
      <c r="AL1288" s="12" t="n">
        <v>-2131</v>
      </c>
      <c r="AM1288" s="13" t="n">
        <v>50.4</v>
      </c>
      <c r="AN1288" s="13" t="n">
        <v>-11.2</v>
      </c>
      <c r="AO1288" s="13" t="n">
        <v>24.7</v>
      </c>
      <c r="AP1288" s="13" t="n">
        <v>-753.7</v>
      </c>
    </row>
    <row r="1289">
      <c r="A1289" s="5" t="inlineStr">
        <is>
          <t>비에이치아이</t>
        </is>
      </c>
      <c r="B1289" s="6" t="inlineStr">
        <is>
          <t>083650</t>
        </is>
      </c>
      <c r="C1289" s="6" t="inlineStr">
        <is>
          <t>연결</t>
        </is>
      </c>
      <c r="D1289" s="6" t="inlineStr">
        <is>
          <t>2026Q2</t>
        </is>
      </c>
      <c r="E1289" s="6" t="inlineStr"/>
      <c r="F1289" s="7" t="inlineStr"/>
      <c r="G1289" s="8" t="inlineStr"/>
      <c r="H1289" s="8" t="inlineStr"/>
      <c r="I1289" s="9" t="n">
        <v>73094</v>
      </c>
      <c r="J1289" s="10" t="n">
        <v>3521</v>
      </c>
      <c r="K1289" s="10" t="n">
        <v>5990</v>
      </c>
      <c r="L1289" s="7" t="n">
        <v>86309</v>
      </c>
      <c r="M1289" s="8" t="n">
        <v>5980</v>
      </c>
      <c r="N1289" s="8" t="n">
        <v>1502</v>
      </c>
      <c r="O1289" s="9" t="n">
        <v>98232</v>
      </c>
      <c r="P1289" s="10" t="n">
        <v>4769</v>
      </c>
      <c r="Q1289" s="10" t="n">
        <v>1746</v>
      </c>
      <c r="R1289" s="7" t="n">
        <v>147106</v>
      </c>
      <c r="S1289" s="8" t="n">
        <v>7657</v>
      </c>
      <c r="T1289" s="8" t="n">
        <v>10347</v>
      </c>
      <c r="U1289" s="9" t="n">
        <v>135275</v>
      </c>
      <c r="V1289" s="10" t="n">
        <v>12443</v>
      </c>
      <c r="W1289" s="10" t="n">
        <v>8680</v>
      </c>
      <c r="X1289" s="7" t="n">
        <v>169299</v>
      </c>
      <c r="Y1289" s="8" t="n">
        <v>20390</v>
      </c>
      <c r="Z1289" s="8" t="n">
        <v>29888</v>
      </c>
      <c r="AA1289" s="9" t="n">
        <v>204695</v>
      </c>
      <c r="AB1289" s="10" t="n">
        <v>18354</v>
      </c>
      <c r="AC1289" s="10" t="n">
        <v>11666</v>
      </c>
      <c r="AD1289" s="7" t="n">
        <v>264848</v>
      </c>
      <c r="AE1289" s="8" t="n">
        <v>24310</v>
      </c>
      <c r="AF1289" s="8" t="n">
        <v>14962</v>
      </c>
      <c r="AG1289" s="9" t="n">
        <v>280793</v>
      </c>
      <c r="AH1289" s="10" t="n">
        <v>35325</v>
      </c>
      <c r="AI1289" s="10" t="n">
        <v>5099</v>
      </c>
      <c r="AJ1289" s="11" t="n">
        <v>296273</v>
      </c>
      <c r="AK1289" s="12" t="n">
        <v>45483</v>
      </c>
      <c r="AL1289" s="12" t="n">
        <v>20318</v>
      </c>
      <c r="AM1289" s="13" t="n">
        <v>5.5</v>
      </c>
      <c r="AN1289" s="13" t="n">
        <v>75</v>
      </c>
      <c r="AO1289" s="13" t="n">
        <v>28.8</v>
      </c>
      <c r="AP1289" s="13" t="n">
        <v>123.1</v>
      </c>
    </row>
    <row r="1290">
      <c r="A1290" s="5" t="inlineStr">
        <is>
          <t>CSA 코스믹</t>
        </is>
      </c>
      <c r="B1290" s="6" t="inlineStr">
        <is>
          <t>083660</t>
        </is>
      </c>
      <c r="C1290" s="6" t="inlineStr">
        <is>
          <t>연결</t>
        </is>
      </c>
      <c r="D1290" s="6" t="inlineStr">
        <is>
          <t>2026Q2</t>
        </is>
      </c>
      <c r="E1290" s="6" t="inlineStr"/>
      <c r="F1290" s="7" t="inlineStr"/>
      <c r="G1290" s="8" t="inlineStr"/>
      <c r="H1290" s="8" t="inlineStr"/>
      <c r="I1290" s="9" t="n">
        <v>7693</v>
      </c>
      <c r="J1290" s="10" t="n">
        <v>-2241</v>
      </c>
      <c r="K1290" s="10" t="n">
        <v>-2261</v>
      </c>
      <c r="L1290" s="7" t="n">
        <v>10879</v>
      </c>
      <c r="M1290" s="8" t="n">
        <v>191</v>
      </c>
      <c r="N1290" s="8" t="n">
        <v>126</v>
      </c>
      <c r="O1290" s="9" t="n">
        <v>8342</v>
      </c>
      <c r="P1290" s="10" t="n">
        <v>-438</v>
      </c>
      <c r="Q1290" s="10" t="n">
        <v>-816</v>
      </c>
      <c r="R1290" s="7" t="n">
        <v>9467</v>
      </c>
      <c r="S1290" s="8" t="n">
        <v>-1286</v>
      </c>
      <c r="T1290" s="8" t="n">
        <v>-3022</v>
      </c>
      <c r="U1290" s="9" t="n">
        <v>7644</v>
      </c>
      <c r="V1290" s="10" t="n">
        <v>-923</v>
      </c>
      <c r="W1290" s="10" t="n">
        <v>-976</v>
      </c>
      <c r="X1290" s="7" t="n">
        <v>6416</v>
      </c>
      <c r="Y1290" s="8" t="n">
        <v>-1734</v>
      </c>
      <c r="Z1290" s="8" t="n">
        <v>-1838</v>
      </c>
      <c r="AA1290" s="9" t="n">
        <v>8079</v>
      </c>
      <c r="AB1290" s="10" t="n">
        <v>-1098</v>
      </c>
      <c r="AC1290" s="10" t="n">
        <v>-1244</v>
      </c>
      <c r="AD1290" s="7" t="n">
        <v>5791</v>
      </c>
      <c r="AE1290" s="8" t="n">
        <v>-1879</v>
      </c>
      <c r="AF1290" s="8" t="n">
        <v>-2617</v>
      </c>
      <c r="AG1290" s="9" t="n">
        <v>7084</v>
      </c>
      <c r="AH1290" s="10" t="n">
        <v>-1582</v>
      </c>
      <c r="AI1290" s="10" t="n">
        <v>-2085</v>
      </c>
      <c r="AJ1290" s="11" t="n">
        <v>8405</v>
      </c>
      <c r="AK1290" s="12" t="n">
        <v>-5686</v>
      </c>
      <c r="AL1290" s="12" t="n">
        <v>-1628</v>
      </c>
      <c r="AM1290" s="13" t="n">
        <v>18.6</v>
      </c>
      <c r="AN1290" s="13" t="n">
        <v>31</v>
      </c>
      <c r="AO1290" s="13" t="n">
        <v>-259.4</v>
      </c>
      <c r="AP1290" s="13" t="n">
        <v>-227.9</v>
      </c>
    </row>
    <row r="1291">
      <c r="A1291" s="5" t="inlineStr">
        <is>
          <t>CG인바이츠</t>
        </is>
      </c>
      <c r="B1291" s="6" t="inlineStr">
        <is>
          <t>083790</t>
        </is>
      </c>
      <c r="C1291" s="6" t="inlineStr">
        <is>
          <t>연결</t>
        </is>
      </c>
      <c r="D1291" s="6" t="inlineStr">
        <is>
          <t>2026Q2</t>
        </is>
      </c>
      <c r="E1291" s="6" t="inlineStr"/>
      <c r="F1291" s="7" t="inlineStr"/>
      <c r="G1291" s="8" t="inlineStr"/>
      <c r="H1291" s="8" t="inlineStr"/>
      <c r="I1291" s="9" t="n">
        <v>709</v>
      </c>
      <c r="J1291" s="10" t="n">
        <v>-6099</v>
      </c>
      <c r="K1291" s="10" t="n">
        <v>-7513</v>
      </c>
      <c r="L1291" s="7" t="n">
        <v>2180</v>
      </c>
      <c r="M1291" s="8" t="n">
        <v>-7511</v>
      </c>
      <c r="N1291" s="8" t="n">
        <v>-14253</v>
      </c>
      <c r="O1291" s="9" t="n">
        <v>1629</v>
      </c>
      <c r="P1291" s="10" t="n">
        <v>-3903</v>
      </c>
      <c r="Q1291" s="10" t="n">
        <v>-7376</v>
      </c>
      <c r="R1291" s="7" t="n">
        <v>2735</v>
      </c>
      <c r="S1291" s="8" t="n">
        <v>-21300</v>
      </c>
      <c r="T1291" s="8" t="n">
        <v>-22667</v>
      </c>
      <c r="U1291" s="9" t="n">
        <v>3081</v>
      </c>
      <c r="V1291" s="10" t="n">
        <v>-5179</v>
      </c>
      <c r="W1291" s="10" t="n">
        <v>-5384</v>
      </c>
      <c r="X1291" s="7" t="n">
        <v>6179</v>
      </c>
      <c r="Y1291" s="8" t="n">
        <v>-7898</v>
      </c>
      <c r="Z1291" s="8" t="n">
        <v>-11705</v>
      </c>
      <c r="AA1291" s="9" t="n">
        <v>6128</v>
      </c>
      <c r="AB1291" s="10" t="n">
        <v>-6889</v>
      </c>
      <c r="AC1291" s="10" t="n">
        <v>-12679</v>
      </c>
      <c r="AD1291" s="7" t="n">
        <v>12003</v>
      </c>
      <c r="AE1291" s="8" t="n">
        <v>-3791</v>
      </c>
      <c r="AF1291" s="8" t="n">
        <v>17256</v>
      </c>
      <c r="AG1291" s="9" t="n">
        <v>4289</v>
      </c>
      <c r="AH1291" s="10" t="n">
        <v>-6102</v>
      </c>
      <c r="AI1291" s="10" t="n">
        <v>-5833</v>
      </c>
      <c r="AJ1291" s="11" t="n">
        <v>4614</v>
      </c>
      <c r="AK1291" s="12" t="n">
        <v>-5873</v>
      </c>
      <c r="AL1291" s="12" t="n">
        <v>-7492</v>
      </c>
      <c r="AM1291" s="13" t="n">
        <v>7.6</v>
      </c>
      <c r="AN1291" s="13" t="n">
        <v>-25.3</v>
      </c>
      <c r="AO1291" s="13" t="n">
        <v>3.8</v>
      </c>
      <c r="AP1291" s="13" t="n">
        <v>25.6</v>
      </c>
    </row>
    <row r="1292">
      <c r="A1292" s="5" t="inlineStr">
        <is>
          <t>아바코</t>
        </is>
      </c>
      <c r="B1292" s="6" t="inlineStr">
        <is>
          <t>083930</t>
        </is>
      </c>
      <c r="C1292" s="6" t="inlineStr">
        <is>
          <t>연결</t>
        </is>
      </c>
      <c r="D1292" s="6" t="inlineStr">
        <is>
          <t>2026Q2</t>
        </is>
      </c>
      <c r="E1292" s="6" t="inlineStr">
        <is>
          <t>2023Q4</t>
        </is>
      </c>
      <c r="F1292" s="14" t="n">
        <v>81168</v>
      </c>
      <c r="G1292" s="15" t="n">
        <v>13384</v>
      </c>
      <c r="H1292" s="15" t="n">
        <v>8611</v>
      </c>
      <c r="I1292" s="9" t="n">
        <v>46323</v>
      </c>
      <c r="J1292" s="10" t="n">
        <v>2989</v>
      </c>
      <c r="K1292" s="10" t="n">
        <v>5122</v>
      </c>
      <c r="L1292" s="7" t="n">
        <v>58114</v>
      </c>
      <c r="M1292" s="8" t="n">
        <v>3279</v>
      </c>
      <c r="N1292" s="8" t="n">
        <v>2294</v>
      </c>
      <c r="O1292" s="9" t="n">
        <v>97506</v>
      </c>
      <c r="P1292" s="10" t="n">
        <v>7474</v>
      </c>
      <c r="Q1292" s="10" t="n">
        <v>1903</v>
      </c>
      <c r="R1292" s="7" t="n">
        <v>103572</v>
      </c>
      <c r="S1292" s="8" t="n">
        <v>7362</v>
      </c>
      <c r="T1292" s="8" t="n">
        <v>17074</v>
      </c>
      <c r="U1292" s="9" t="n">
        <v>26083</v>
      </c>
      <c r="V1292" s="10" t="n">
        <v>-3382</v>
      </c>
      <c r="W1292" s="10" t="n">
        <v>-1050</v>
      </c>
      <c r="X1292" s="7" t="n">
        <v>159047</v>
      </c>
      <c r="Y1292" s="8" t="n">
        <v>19405</v>
      </c>
      <c r="Z1292" s="8" t="n">
        <v>6727</v>
      </c>
      <c r="AA1292" s="9" t="n">
        <v>50897</v>
      </c>
      <c r="AB1292" s="10" t="n">
        <v>6968</v>
      </c>
      <c r="AC1292" s="10" t="n">
        <v>9122</v>
      </c>
      <c r="AD1292" s="7" t="n">
        <v>156869</v>
      </c>
      <c r="AE1292" s="8" t="n">
        <v>11627</v>
      </c>
      <c r="AF1292" s="8" t="n">
        <v>13851</v>
      </c>
      <c r="AG1292" s="9" t="n">
        <v>14837</v>
      </c>
      <c r="AH1292" s="10" t="n">
        <v>-4001</v>
      </c>
      <c r="AI1292" s="10" t="n">
        <v>1448</v>
      </c>
      <c r="AJ1292" s="11" t="n">
        <v>16488</v>
      </c>
      <c r="AK1292" s="12" t="n">
        <v>-11028</v>
      </c>
      <c r="AL1292" s="12" t="n">
        <v>-7580</v>
      </c>
      <c r="AM1292" s="13" t="n">
        <v>11.1</v>
      </c>
      <c r="AN1292" s="13" t="n">
        <v>-89.59999999999999</v>
      </c>
      <c r="AO1292" s="13" t="n">
        <v>-175.6</v>
      </c>
      <c r="AP1292" s="13" t="n">
        <v>-156.8</v>
      </c>
    </row>
    <row r="1293">
      <c r="A1293" s="5" t="inlineStr">
        <is>
          <t>대한제강</t>
        </is>
      </c>
      <c r="B1293" s="6" t="inlineStr">
        <is>
          <t>084010</t>
        </is>
      </c>
      <c r="C1293" s="6" t="inlineStr">
        <is>
          <t>연결</t>
        </is>
      </c>
      <c r="D1293" s="6" t="inlineStr">
        <is>
          <t>2026Q2</t>
        </is>
      </c>
      <c r="E1293" s="6" t="inlineStr"/>
      <c r="F1293" s="7" t="inlineStr"/>
      <c r="G1293" s="8" t="inlineStr"/>
      <c r="H1293" s="8" t="inlineStr"/>
      <c r="I1293" s="9" t="n">
        <v>278988</v>
      </c>
      <c r="J1293" s="10" t="n">
        <v>5996</v>
      </c>
      <c r="K1293" s="10" t="n">
        <v>8295</v>
      </c>
      <c r="L1293" s="7" t="n">
        <v>337116</v>
      </c>
      <c r="M1293" s="8" t="n">
        <v>18898</v>
      </c>
      <c r="N1293" s="8" t="n">
        <v>16796</v>
      </c>
      <c r="O1293" s="9" t="n">
        <v>298512</v>
      </c>
      <c r="P1293" s="10" t="n">
        <v>2129</v>
      </c>
      <c r="Q1293" s="10" t="n">
        <v>16340</v>
      </c>
      <c r="R1293" s="7" t="n">
        <v>309919</v>
      </c>
      <c r="S1293" s="8" t="n">
        <v>-16706</v>
      </c>
      <c r="T1293" s="8" t="n">
        <v>-1417</v>
      </c>
      <c r="U1293" s="9" t="n">
        <v>289594</v>
      </c>
      <c r="V1293" s="10" t="n">
        <v>1868</v>
      </c>
      <c r="W1293" s="10" t="n">
        <v>6798</v>
      </c>
      <c r="X1293" s="7" t="n">
        <v>348879</v>
      </c>
      <c r="Y1293" s="8" t="n">
        <v>7920</v>
      </c>
      <c r="Z1293" s="8" t="n">
        <v>10388</v>
      </c>
      <c r="AA1293" s="9" t="n">
        <v>320015</v>
      </c>
      <c r="AB1293" s="10" t="n">
        <v>8003</v>
      </c>
      <c r="AC1293" s="10" t="n">
        <v>14261</v>
      </c>
      <c r="AD1293" s="7" t="n">
        <v>288571</v>
      </c>
      <c r="AE1293" s="8" t="n">
        <v>-20664</v>
      </c>
      <c r="AF1293" s="8" t="n">
        <v>-17598</v>
      </c>
      <c r="AG1293" s="9" t="n">
        <v>305601</v>
      </c>
      <c r="AH1293" s="10" t="n">
        <v>64</v>
      </c>
      <c r="AI1293" s="10" t="n">
        <v>167</v>
      </c>
      <c r="AJ1293" s="11" t="n">
        <v>387727</v>
      </c>
      <c r="AK1293" s="12" t="n">
        <v>16293</v>
      </c>
      <c r="AL1293" s="12" t="n">
        <v>7254</v>
      </c>
      <c r="AM1293" s="13" t="n">
        <v>26.9</v>
      </c>
      <c r="AN1293" s="13" t="n">
        <v>11.1</v>
      </c>
      <c r="AO1293" s="13" t="n">
        <v>25357.8</v>
      </c>
      <c r="AP1293" s="13" t="n">
        <v>105.7</v>
      </c>
    </row>
    <row r="1294">
      <c r="A1294" s="5" t="inlineStr">
        <is>
          <t>휴온스글로벌</t>
        </is>
      </c>
      <c r="B1294" s="6" t="inlineStr">
        <is>
          <t>084110</t>
        </is>
      </c>
      <c r="C1294" s="6" t="inlineStr">
        <is>
          <t>연결</t>
        </is>
      </c>
      <c r="D1294" s="6" t="inlineStr">
        <is>
          <t>2026Q2</t>
        </is>
      </c>
      <c r="E1294" s="6" t="inlineStr"/>
      <c r="F1294" s="7" t="inlineStr"/>
      <c r="G1294" s="8" t="inlineStr"/>
      <c r="H1294" s="8" t="inlineStr"/>
      <c r="I1294" s="9" t="n">
        <v>201881</v>
      </c>
      <c r="J1294" s="10" t="n">
        <v>25950</v>
      </c>
      <c r="K1294" s="10" t="n">
        <v>23059</v>
      </c>
      <c r="L1294" s="7" t="n">
        <v>209651</v>
      </c>
      <c r="M1294" s="8" t="n">
        <v>30390</v>
      </c>
      <c r="N1294" s="8" t="n">
        <v>22993</v>
      </c>
      <c r="O1294" s="9" t="n">
        <v>199421</v>
      </c>
      <c r="P1294" s="10" t="n">
        <v>14369</v>
      </c>
      <c r="Q1294" s="10" t="n">
        <v>9102</v>
      </c>
      <c r="R1294" s="7" t="n">
        <v>202508</v>
      </c>
      <c r="S1294" s="8" t="n">
        <v>26282</v>
      </c>
      <c r="T1294" s="8" t="n">
        <v>11973</v>
      </c>
      <c r="U1294" s="9" t="n">
        <v>199105</v>
      </c>
      <c r="V1294" s="10" t="n">
        <v>25551</v>
      </c>
      <c r="W1294" s="10" t="n">
        <v>26091</v>
      </c>
      <c r="X1294" s="7" t="n">
        <v>212659</v>
      </c>
      <c r="Y1294" s="8" t="n">
        <v>25266</v>
      </c>
      <c r="Z1294" s="8" t="n">
        <v>11495</v>
      </c>
      <c r="AA1294" s="9" t="n">
        <v>211168</v>
      </c>
      <c r="AB1294" s="10" t="n">
        <v>20344</v>
      </c>
      <c r="AC1294" s="10" t="n">
        <v>28773</v>
      </c>
      <c r="AD1294" s="7" t="n">
        <v>224521</v>
      </c>
      <c r="AE1294" s="8" t="n">
        <v>19391</v>
      </c>
      <c r="AF1294" s="8" t="n">
        <v>15459</v>
      </c>
      <c r="AG1294" s="9" t="n">
        <v>196954</v>
      </c>
      <c r="AH1294" s="10" t="n">
        <v>9161</v>
      </c>
      <c r="AI1294" s="10" t="n">
        <v>15578</v>
      </c>
      <c r="AJ1294" s="11" t="n">
        <v>214141</v>
      </c>
      <c r="AK1294" s="12" t="n">
        <v>19504</v>
      </c>
      <c r="AL1294" s="12" t="n">
        <v>-344</v>
      </c>
      <c r="AM1294" s="13" t="n">
        <v>8.699999999999999</v>
      </c>
      <c r="AN1294" s="13" t="n">
        <v>0.7</v>
      </c>
      <c r="AO1294" s="13" t="n">
        <v>112.9</v>
      </c>
      <c r="AP1294" s="13" t="n">
        <v>-22.8</v>
      </c>
    </row>
    <row r="1295">
      <c r="A1295" s="5" t="inlineStr">
        <is>
          <t>수성웹툰</t>
        </is>
      </c>
      <c r="B1295" s="6" t="inlineStr">
        <is>
          <t>084180</t>
        </is>
      </c>
      <c r="C1295" s="6" t="inlineStr">
        <is>
          <t>연결</t>
        </is>
      </c>
      <c r="D1295" s="6" t="inlineStr">
        <is>
          <t>2026Q2</t>
        </is>
      </c>
      <c r="E1295" s="6" t="inlineStr"/>
      <c r="F1295" s="7" t="inlineStr"/>
      <c r="G1295" s="8" t="inlineStr"/>
      <c r="H1295" s="8" t="inlineStr"/>
      <c r="I1295" s="9" t="n">
        <v>15692</v>
      </c>
      <c r="J1295" s="10" t="n">
        <v>588</v>
      </c>
      <c r="K1295" s="10" t="n">
        <v>-2229</v>
      </c>
      <c r="L1295" s="7" t="n">
        <v>11491</v>
      </c>
      <c r="M1295" s="8" t="n">
        <v>-1017</v>
      </c>
      <c r="N1295" s="8" t="n">
        <v>568</v>
      </c>
      <c r="O1295" s="9" t="n">
        <v>12775</v>
      </c>
      <c r="P1295" s="10" t="n">
        <v>-408</v>
      </c>
      <c r="Q1295" s="10" t="n">
        <v>-2169</v>
      </c>
      <c r="R1295" s="7" t="n">
        <v>28647</v>
      </c>
      <c r="S1295" s="8" t="n">
        <v>530</v>
      </c>
      <c r="T1295" s="8" t="n">
        <v>-20821</v>
      </c>
      <c r="U1295" s="9" t="n">
        <v>30875</v>
      </c>
      <c r="V1295" s="10" t="n">
        <v>2883</v>
      </c>
      <c r="W1295" s="10" t="n">
        <v>-1856</v>
      </c>
      <c r="X1295" s="7" t="n">
        <v>31961</v>
      </c>
      <c r="Y1295" s="8" t="n">
        <v>3122</v>
      </c>
      <c r="Z1295" s="8" t="n">
        <v>-289</v>
      </c>
      <c r="AA1295" s="9" t="n">
        <v>30137</v>
      </c>
      <c r="AB1295" s="10" t="n">
        <v>3160</v>
      </c>
      <c r="AC1295" s="10" t="n">
        <v>-2272</v>
      </c>
      <c r="AD1295" s="7" t="n">
        <v>-199</v>
      </c>
      <c r="AE1295" s="8" t="n">
        <v>-3952</v>
      </c>
      <c r="AF1295" s="8" t="n">
        <v>-34956</v>
      </c>
      <c r="AG1295" s="9" t="n">
        <v>22583</v>
      </c>
      <c r="AH1295" s="10" t="n">
        <v>508</v>
      </c>
      <c r="AI1295" s="10" t="n">
        <v>-1708</v>
      </c>
      <c r="AJ1295" s="11" t="n">
        <v>24661</v>
      </c>
      <c r="AK1295" s="12" t="n">
        <v>1830</v>
      </c>
      <c r="AL1295" s="12" t="n">
        <v>-866</v>
      </c>
      <c r="AM1295" s="13" t="n">
        <v>9.199999999999999</v>
      </c>
      <c r="AN1295" s="13" t="n">
        <v>-22.8</v>
      </c>
      <c r="AO1295" s="13" t="n">
        <v>260.2</v>
      </c>
      <c r="AP1295" s="13" t="n">
        <v>-41.4</v>
      </c>
    </row>
    <row r="1296">
      <c r="A1296" s="5" t="inlineStr">
        <is>
          <t>유진테크</t>
        </is>
      </c>
      <c r="B1296" s="6" t="inlineStr">
        <is>
          <t>084370</t>
        </is>
      </c>
      <c r="C1296" s="6" t="inlineStr">
        <is>
          <t>연결</t>
        </is>
      </c>
      <c r="D1296" s="6" t="inlineStr">
        <is>
          <t>2026Q2</t>
        </is>
      </c>
      <c r="E1296" s="6" t="inlineStr">
        <is>
          <t>2023Q4</t>
        </is>
      </c>
      <c r="F1296" s="14" t="n">
        <v>276533</v>
      </c>
      <c r="G1296" s="15" t="n">
        <v>24326</v>
      </c>
      <c r="H1296" s="15" t="n">
        <v>25397</v>
      </c>
      <c r="I1296" s="9" t="n">
        <v>68405</v>
      </c>
      <c r="J1296" s="10" t="n">
        <v>3971</v>
      </c>
      <c r="K1296" s="10" t="n">
        <v>6434</v>
      </c>
      <c r="L1296" s="7" t="n">
        <v>77716</v>
      </c>
      <c r="M1296" s="8" t="n">
        <v>9903</v>
      </c>
      <c r="N1296" s="8" t="n">
        <v>12302</v>
      </c>
      <c r="O1296" s="9" t="n">
        <v>77442</v>
      </c>
      <c r="P1296" s="10" t="n">
        <v>15752</v>
      </c>
      <c r="Q1296" s="10" t="n">
        <v>10617</v>
      </c>
      <c r="R1296" s="7" t="n">
        <v>114505</v>
      </c>
      <c r="S1296" s="8" t="n">
        <v>31551</v>
      </c>
      <c r="T1296" s="8" t="n">
        <v>36087</v>
      </c>
      <c r="U1296" s="9" t="n">
        <v>83154</v>
      </c>
      <c r="V1296" s="10" t="n">
        <v>9203</v>
      </c>
      <c r="W1296" s="10" t="n">
        <v>8123</v>
      </c>
      <c r="X1296" s="7" t="n">
        <v>104925</v>
      </c>
      <c r="Y1296" s="8" t="n">
        <v>19740</v>
      </c>
      <c r="Z1296" s="8" t="n">
        <v>10900</v>
      </c>
      <c r="AA1296" s="9" t="n">
        <v>62343</v>
      </c>
      <c r="AB1296" s="10" t="n">
        <v>5182</v>
      </c>
      <c r="AC1296" s="10" t="n">
        <v>8600</v>
      </c>
      <c r="AD1296" s="7" t="n">
        <v>99902</v>
      </c>
      <c r="AE1296" s="8" t="n">
        <v>17547</v>
      </c>
      <c r="AF1296" s="8" t="n">
        <v>16859</v>
      </c>
      <c r="AG1296" s="9" t="n">
        <v>101874</v>
      </c>
      <c r="AH1296" s="10" t="n">
        <v>18834</v>
      </c>
      <c r="AI1296" s="10" t="n">
        <v>22816</v>
      </c>
      <c r="AJ1296" s="11" t="n">
        <v>122110</v>
      </c>
      <c r="AK1296" s="12" t="n">
        <v>18221</v>
      </c>
      <c r="AL1296" s="12" t="n">
        <v>65958</v>
      </c>
      <c r="AM1296" s="13" t="n">
        <v>19.9</v>
      </c>
      <c r="AN1296" s="13" t="n">
        <v>16.4</v>
      </c>
      <c r="AO1296" s="13" t="n">
        <v>-3.3</v>
      </c>
      <c r="AP1296" s="13" t="n">
        <v>-7.7</v>
      </c>
    </row>
    <row r="1297">
      <c r="A1297" s="5" t="inlineStr">
        <is>
          <t>유비온</t>
        </is>
      </c>
      <c r="B1297" s="6" t="inlineStr">
        <is>
          <t>084440</t>
        </is>
      </c>
      <c r="C1297" s="6" t="inlineStr">
        <is>
          <t>연결</t>
        </is>
      </c>
      <c r="D1297" s="6" t="inlineStr">
        <is>
          <t>2026Q2</t>
        </is>
      </c>
      <c r="E1297" s="6" t="inlineStr"/>
      <c r="F1297" s="7" t="inlineStr"/>
      <c r="G1297" s="8" t="inlineStr"/>
      <c r="H1297" s="8" t="inlineStr"/>
      <c r="I1297" s="9" t="n">
        <v>11103</v>
      </c>
      <c r="J1297" s="10" t="n">
        <v>1660</v>
      </c>
      <c r="K1297" s="10" t="n">
        <v>1391</v>
      </c>
      <c r="L1297" s="7" t="n">
        <v>7772</v>
      </c>
      <c r="M1297" s="8" t="n">
        <v>-1249</v>
      </c>
      <c r="N1297" s="8" t="n">
        <v>-1103</v>
      </c>
      <c r="O1297" s="9" t="n">
        <v>9221</v>
      </c>
      <c r="P1297" s="10" t="n">
        <v>-393</v>
      </c>
      <c r="Q1297" s="10" t="n">
        <v>-454</v>
      </c>
      <c r="R1297" s="7" t="n">
        <v>5186</v>
      </c>
      <c r="S1297" s="8" t="n">
        <v>-2039</v>
      </c>
      <c r="T1297" s="8" t="n">
        <v>-2634</v>
      </c>
      <c r="U1297" s="9" t="n">
        <v>8135</v>
      </c>
      <c r="V1297" s="10" t="n">
        <v>-123</v>
      </c>
      <c r="W1297" s="10" t="n">
        <v>40</v>
      </c>
      <c r="X1297" s="7" t="n">
        <v>8873</v>
      </c>
      <c r="Y1297" s="8" t="n">
        <v>336</v>
      </c>
      <c r="Z1297" s="8" t="n">
        <v>284</v>
      </c>
      <c r="AA1297" s="9" t="n">
        <v>9275</v>
      </c>
      <c r="AB1297" s="10" t="n">
        <v>-523</v>
      </c>
      <c r="AC1297" s="10" t="n">
        <v>-394</v>
      </c>
      <c r="AD1297" s="7" t="n">
        <v>7401</v>
      </c>
      <c r="AE1297" s="8" t="n">
        <v>1720</v>
      </c>
      <c r="AF1297" s="8" t="n">
        <v>1382</v>
      </c>
      <c r="AG1297" s="9" t="inlineStr"/>
      <c r="AH1297" s="10" t="inlineStr"/>
      <c r="AI1297" s="10" t="inlineStr"/>
      <c r="AJ1297" s="11" t="n">
        <v>12731</v>
      </c>
      <c r="AK1297" s="12" t="n">
        <v>1125</v>
      </c>
      <c r="AL1297" s="12" t="n">
        <v>799</v>
      </c>
      <c r="AM1297" s="13" t="inlineStr"/>
      <c r="AN1297" s="13" t="n">
        <v>43.5</v>
      </c>
      <c r="AO1297" s="13" t="inlineStr"/>
      <c r="AP1297" s="13" t="n">
        <v>234.8</v>
      </c>
    </row>
    <row r="1298">
      <c r="A1298" s="5" t="inlineStr">
        <is>
          <t>랩지노믹스</t>
        </is>
      </c>
      <c r="B1298" s="6" t="inlineStr">
        <is>
          <t>084650</t>
        </is>
      </c>
      <c r="C1298" s="6" t="inlineStr">
        <is>
          <t>연결</t>
        </is>
      </c>
      <c r="D1298" s="6" t="inlineStr">
        <is>
          <t>2026Q2</t>
        </is>
      </c>
      <c r="E1298" s="6" t="inlineStr"/>
      <c r="F1298" s="7" t="inlineStr"/>
      <c r="G1298" s="8" t="inlineStr"/>
      <c r="H1298" s="8" t="inlineStr"/>
      <c r="I1298" s="9" t="n">
        <v>19913</v>
      </c>
      <c r="J1298" s="10" t="n">
        <v>-6131</v>
      </c>
      <c r="K1298" s="10" t="n">
        <v>-9098</v>
      </c>
      <c r="L1298" s="7" t="n">
        <v>22231</v>
      </c>
      <c r="M1298" s="8" t="n">
        <v>-2901</v>
      </c>
      <c r="N1298" s="8" t="n">
        <v>208</v>
      </c>
      <c r="O1298" s="9" t="n">
        <v>21654</v>
      </c>
      <c r="P1298" s="10" t="n">
        <v>-3811</v>
      </c>
      <c r="Q1298" s="10" t="n">
        <v>-2709</v>
      </c>
      <c r="R1298" s="7" t="n">
        <v>22100</v>
      </c>
      <c r="S1298" s="8" t="n">
        <v>-5648</v>
      </c>
      <c r="T1298" s="8" t="n">
        <v>-12305</v>
      </c>
      <c r="U1298" s="9" t="n">
        <v>21899</v>
      </c>
      <c r="V1298" s="10" t="n">
        <v>-5716</v>
      </c>
      <c r="W1298" s="10" t="n">
        <v>-5375</v>
      </c>
      <c r="X1298" s="7" t="n">
        <v>22301</v>
      </c>
      <c r="Y1298" s="8" t="n">
        <v>-20165</v>
      </c>
      <c r="Z1298" s="8" t="n">
        <v>-14650</v>
      </c>
      <c r="AA1298" s="9" t="n">
        <v>23041</v>
      </c>
      <c r="AB1298" s="10" t="n">
        <v>-2115</v>
      </c>
      <c r="AC1298" s="10" t="n">
        <v>-3481</v>
      </c>
      <c r="AD1298" s="7" t="n">
        <v>20920</v>
      </c>
      <c r="AE1298" s="8" t="n">
        <v>-25521</v>
      </c>
      <c r="AF1298" s="8" t="n">
        <v>-40869</v>
      </c>
      <c r="AG1298" s="9" t="n">
        <v>17928</v>
      </c>
      <c r="AH1298" s="10" t="n">
        <v>-4178</v>
      </c>
      <c r="AI1298" s="10" t="n">
        <v>-4708</v>
      </c>
      <c r="AJ1298" s="11" t="n">
        <v>15751</v>
      </c>
      <c r="AK1298" s="12" t="n">
        <v>-6866</v>
      </c>
      <c r="AL1298" s="12" t="n">
        <v>-2538</v>
      </c>
      <c r="AM1298" s="13" t="n">
        <v>-12.1</v>
      </c>
      <c r="AN1298" s="13" t="n">
        <v>-29.4</v>
      </c>
      <c r="AO1298" s="13" t="n">
        <v>-64.3</v>
      </c>
      <c r="AP1298" s="13" t="n">
        <v>66</v>
      </c>
    </row>
    <row r="1299">
      <c r="A1299" s="5" t="inlineStr">
        <is>
          <t>동양고속</t>
        </is>
      </c>
      <c r="B1299" s="6" t="inlineStr">
        <is>
          <t>084670</t>
        </is>
      </c>
      <c r="C1299" s="6" t="inlineStr">
        <is>
          <t>연결</t>
        </is>
      </c>
      <c r="D1299" s="6" t="inlineStr">
        <is>
          <t>2026Q2</t>
        </is>
      </c>
      <c r="E1299" s="6" t="inlineStr"/>
      <c r="F1299" s="7" t="inlineStr"/>
      <c r="G1299" s="8" t="inlineStr"/>
      <c r="H1299" s="8" t="inlineStr"/>
      <c r="I1299" s="9" t="n">
        <v>29620</v>
      </c>
      <c r="J1299" s="10" t="n">
        <v>-372</v>
      </c>
      <c r="K1299" s="10" t="n">
        <v>-673</v>
      </c>
      <c r="L1299" s="7" t="n">
        <v>30218</v>
      </c>
      <c r="M1299" s="8" t="n">
        <v>-1231</v>
      </c>
      <c r="N1299" s="8" t="n">
        <v>-1518</v>
      </c>
      <c r="O1299" s="9" t="n">
        <v>29952</v>
      </c>
      <c r="P1299" s="10" t="n">
        <v>-950</v>
      </c>
      <c r="Q1299" s="10" t="n">
        <v>-1195</v>
      </c>
      <c r="R1299" s="7" t="n">
        <v>31931</v>
      </c>
      <c r="S1299" s="8" t="n">
        <v>1022</v>
      </c>
      <c r="T1299" s="8" t="n">
        <v>-13294</v>
      </c>
      <c r="U1299" s="9" t="n">
        <v>29228</v>
      </c>
      <c r="V1299" s="10" t="n">
        <v>-286</v>
      </c>
      <c r="W1299" s="10" t="n">
        <v>-807</v>
      </c>
      <c r="X1299" s="7" t="n">
        <v>30899</v>
      </c>
      <c r="Y1299" s="8" t="n">
        <v>1113</v>
      </c>
      <c r="Z1299" s="8" t="n">
        <v>1438</v>
      </c>
      <c r="AA1299" s="9" t="n">
        <v>30041</v>
      </c>
      <c r="AB1299" s="10" t="n">
        <v>759</v>
      </c>
      <c r="AC1299" s="10" t="n">
        <v>745</v>
      </c>
      <c r="AD1299" s="7" t="n">
        <v>35015</v>
      </c>
      <c r="AE1299" s="8" t="n">
        <v>3512</v>
      </c>
      <c r="AF1299" s="8" t="n">
        <v>1575</v>
      </c>
      <c r="AG1299" s="9" t="n">
        <v>30597</v>
      </c>
      <c r="AH1299" s="10" t="n">
        <v>622</v>
      </c>
      <c r="AI1299" s="10" t="n">
        <v>-200</v>
      </c>
      <c r="AJ1299" s="11" t="n">
        <v>33678</v>
      </c>
      <c r="AK1299" s="12" t="n">
        <v>-1404</v>
      </c>
      <c r="AL1299" s="12" t="n">
        <v>-2196</v>
      </c>
      <c r="AM1299" s="13" t="n">
        <v>10.1</v>
      </c>
      <c r="AN1299" s="13" t="n">
        <v>9</v>
      </c>
      <c r="AO1299" s="13" t="n">
        <v>-325.7</v>
      </c>
      <c r="AP1299" s="13" t="n">
        <v>-226.1</v>
      </c>
    </row>
    <row r="1300">
      <c r="A1300" s="5" t="inlineStr">
        <is>
          <t>이월드</t>
        </is>
      </c>
      <c r="B1300" s="6" t="inlineStr">
        <is>
          <t>084680</t>
        </is>
      </c>
      <c r="C1300" s="6" t="inlineStr">
        <is>
          <t>별도</t>
        </is>
      </c>
      <c r="D1300" s="6" t="inlineStr">
        <is>
          <t>2026Q2</t>
        </is>
      </c>
      <c r="E1300" s="6" t="inlineStr"/>
      <c r="F1300" s="7" t="inlineStr"/>
      <c r="G1300" s="8" t="inlineStr"/>
      <c r="H1300" s="8" t="inlineStr"/>
      <c r="I1300" s="9" t="n">
        <v>28890</v>
      </c>
      <c r="J1300" s="10" t="n">
        <v>1701</v>
      </c>
      <c r="K1300" s="10" t="n">
        <v>-261</v>
      </c>
      <c r="L1300" s="7" t="n">
        <v>31723</v>
      </c>
      <c r="M1300" s="8" t="n">
        <v>818</v>
      </c>
      <c r="N1300" s="8" t="n">
        <v>-1002</v>
      </c>
      <c r="O1300" s="9" t="n">
        <v>21665</v>
      </c>
      <c r="P1300" s="10" t="n">
        <v>-2780</v>
      </c>
      <c r="Q1300" s="10" t="n">
        <v>-5055</v>
      </c>
      <c r="R1300" s="7" t="n">
        <v>26176</v>
      </c>
      <c r="S1300" s="8" t="n">
        <v>-159</v>
      </c>
      <c r="T1300" s="8" t="n">
        <v>-14285</v>
      </c>
      <c r="U1300" s="9" t="n">
        <v>18881</v>
      </c>
      <c r="V1300" s="10" t="n">
        <v>-2434</v>
      </c>
      <c r="W1300" s="10" t="n">
        <v>-5198</v>
      </c>
      <c r="X1300" s="7" t="n">
        <v>24174</v>
      </c>
      <c r="Y1300" s="8" t="n">
        <v>385</v>
      </c>
      <c r="Z1300" s="8" t="n">
        <v>-490</v>
      </c>
      <c r="AA1300" s="9" t="n">
        <v>19947</v>
      </c>
      <c r="AB1300" s="10" t="n">
        <v>-1385</v>
      </c>
      <c r="AC1300" s="10" t="n">
        <v>-2585</v>
      </c>
      <c r="AD1300" s="7" t="n">
        <v>25725</v>
      </c>
      <c r="AE1300" s="8" t="n">
        <v>257</v>
      </c>
      <c r="AF1300" s="8" t="n">
        <v>-10364</v>
      </c>
      <c r="AG1300" s="9" t="n">
        <v>23268</v>
      </c>
      <c r="AH1300" s="10" t="n">
        <v>245</v>
      </c>
      <c r="AI1300" s="10" t="n">
        <v>-1727</v>
      </c>
      <c r="AJ1300" s="11" t="n">
        <v>29178</v>
      </c>
      <c r="AK1300" s="12" t="n">
        <v>2482</v>
      </c>
      <c r="AL1300" s="12" t="n">
        <v>307</v>
      </c>
      <c r="AM1300" s="13" t="n">
        <v>25.4</v>
      </c>
      <c r="AN1300" s="13" t="n">
        <v>20.7</v>
      </c>
      <c r="AO1300" s="13" t="n">
        <v>913.1</v>
      </c>
      <c r="AP1300" s="13" t="n">
        <v>544.7</v>
      </c>
    </row>
    <row r="1301">
      <c r="A1301" s="5" t="inlineStr">
        <is>
          <t>대상홀딩스</t>
        </is>
      </c>
      <c r="B1301" s="6" t="inlineStr">
        <is>
          <t>084690</t>
        </is>
      </c>
      <c r="C1301" s="6" t="inlineStr">
        <is>
          <t>연결</t>
        </is>
      </c>
      <c r="D1301" s="6" t="inlineStr">
        <is>
          <t>2026Q2</t>
        </is>
      </c>
      <c r="E1301" s="6" t="inlineStr"/>
      <c r="F1301" s="7" t="inlineStr"/>
      <c r="G1301" s="8" t="inlineStr"/>
      <c r="H1301" s="8" t="inlineStr"/>
      <c r="I1301" s="9" t="n">
        <v>1315097</v>
      </c>
      <c r="J1301" s="10" t="n">
        <v>53975</v>
      </c>
      <c r="K1301" s="10" t="n">
        <v>20069</v>
      </c>
      <c r="L1301" s="7" t="n">
        <v>1305451</v>
      </c>
      <c r="M1301" s="8" t="n">
        <v>45599</v>
      </c>
      <c r="N1301" s="8" t="n">
        <v>17141</v>
      </c>
      <c r="O1301" s="9" t="n">
        <v>1391929</v>
      </c>
      <c r="P1301" s="10" t="n">
        <v>58716</v>
      </c>
      <c r="Q1301" s="10" t="n">
        <v>41909</v>
      </c>
      <c r="R1301" s="7" t="n">
        <v>1345413</v>
      </c>
      <c r="S1301" s="8" t="n">
        <v>25740</v>
      </c>
      <c r="T1301" s="8" t="n">
        <v>814</v>
      </c>
      <c r="U1301" s="9" t="n">
        <v>1409186</v>
      </c>
      <c r="V1301" s="10" t="n">
        <v>52747</v>
      </c>
      <c r="W1301" s="10" t="n">
        <v>17864</v>
      </c>
      <c r="X1301" s="7" t="n">
        <v>1381159</v>
      </c>
      <c r="Y1301" s="8" t="n">
        <v>49862</v>
      </c>
      <c r="Z1301" s="8" t="n">
        <v>22700</v>
      </c>
      <c r="AA1301" s="9" t="n">
        <v>1487300</v>
      </c>
      <c r="AB1301" s="10" t="n">
        <v>69256</v>
      </c>
      <c r="AC1301" s="10" t="n">
        <v>35335</v>
      </c>
      <c r="AD1301" s="7" t="n">
        <v>1351154</v>
      </c>
      <c r="AE1301" s="8" t="n">
        <v>27963</v>
      </c>
      <c r="AF1301" s="8" t="n">
        <v>-369072</v>
      </c>
      <c r="AG1301" s="9" t="n">
        <v>1425942</v>
      </c>
      <c r="AH1301" s="10" t="n">
        <v>78108</v>
      </c>
      <c r="AI1301" s="10" t="n">
        <v>45350</v>
      </c>
      <c r="AJ1301" s="11" t="n">
        <v>1497730</v>
      </c>
      <c r="AK1301" s="12" t="n">
        <v>59423</v>
      </c>
      <c r="AL1301" s="12" t="n">
        <v>25822</v>
      </c>
      <c r="AM1301" s="13" t="n">
        <v>5</v>
      </c>
      <c r="AN1301" s="13" t="n">
        <v>8.4</v>
      </c>
      <c r="AO1301" s="13" t="n">
        <v>-23.9</v>
      </c>
      <c r="AP1301" s="13" t="n">
        <v>19.2</v>
      </c>
    </row>
    <row r="1302">
      <c r="A1302" s="5" t="inlineStr">
        <is>
          <t>팅크웨어</t>
        </is>
      </c>
      <c r="B1302" s="6" t="inlineStr">
        <is>
          <t>084730</t>
        </is>
      </c>
      <c r="C1302" s="6" t="inlineStr">
        <is>
          <t>연결</t>
        </is>
      </c>
      <c r="D1302" s="6" t="inlineStr">
        <is>
          <t>2026Q2</t>
        </is>
      </c>
      <c r="E1302" s="6" t="inlineStr"/>
      <c r="F1302" s="7" t="inlineStr"/>
      <c r="G1302" s="8" t="inlineStr"/>
      <c r="H1302" s="8" t="inlineStr"/>
      <c r="I1302" s="9" t="n">
        <v>96292</v>
      </c>
      <c r="J1302" s="10" t="n">
        <v>4945</v>
      </c>
      <c r="K1302" s="10" t="n">
        <v>5353</v>
      </c>
      <c r="L1302" s="7" t="n">
        <v>126827</v>
      </c>
      <c r="M1302" s="8" t="n">
        <v>9199</v>
      </c>
      <c r="N1302" s="8" t="n">
        <v>11632</v>
      </c>
      <c r="O1302" s="9" t="n">
        <v>131584</v>
      </c>
      <c r="P1302" s="10" t="n">
        <v>8608</v>
      </c>
      <c r="Q1302" s="10" t="n">
        <v>3749</v>
      </c>
      <c r="R1302" s="7" t="n">
        <v>134432</v>
      </c>
      <c r="S1302" s="8" t="n">
        <v>3283</v>
      </c>
      <c r="T1302" s="8" t="n">
        <v>-1730</v>
      </c>
      <c r="U1302" s="9" t="n">
        <v>142491</v>
      </c>
      <c r="V1302" s="10" t="n">
        <v>412</v>
      </c>
      <c r="W1302" s="10" t="n">
        <v>-1336</v>
      </c>
      <c r="X1302" s="7" t="n">
        <v>138442</v>
      </c>
      <c r="Y1302" s="8" t="n">
        <v>9099</v>
      </c>
      <c r="Z1302" s="8" t="n">
        <v>2830</v>
      </c>
      <c r="AA1302" s="9" t="n">
        <v>131968</v>
      </c>
      <c r="AB1302" s="10" t="n">
        <v>3509</v>
      </c>
      <c r="AC1302" s="10" t="n">
        <v>1773</v>
      </c>
      <c r="AD1302" s="7" t="n">
        <v>123685</v>
      </c>
      <c r="AE1302" s="8" t="n">
        <v>2872</v>
      </c>
      <c r="AF1302" s="8" t="n">
        <v>-24512</v>
      </c>
      <c r="AG1302" s="9" t="n">
        <v>119665</v>
      </c>
      <c r="AH1302" s="10" t="n">
        <v>-4567</v>
      </c>
      <c r="AI1302" s="10" t="n">
        <v>-4016</v>
      </c>
      <c r="AJ1302" s="11" t="n">
        <v>133794</v>
      </c>
      <c r="AK1302" s="12" t="n">
        <v>-3551</v>
      </c>
      <c r="AL1302" s="12" t="n">
        <v>-657</v>
      </c>
      <c r="AM1302" s="13" t="n">
        <v>11.8</v>
      </c>
      <c r="AN1302" s="13" t="n">
        <v>-3.4</v>
      </c>
      <c r="AO1302" s="13" t="n">
        <v>22.2</v>
      </c>
      <c r="AP1302" s="13" t="n">
        <v>-139</v>
      </c>
    </row>
    <row r="1303">
      <c r="A1303" s="5" t="inlineStr">
        <is>
          <t>아이티엠반도체</t>
        </is>
      </c>
      <c r="B1303" s="6" t="inlineStr">
        <is>
          <t>084850</t>
        </is>
      </c>
      <c r="C1303" s="6" t="inlineStr">
        <is>
          <t>연결</t>
        </is>
      </c>
      <c r="D1303" s="6" t="inlineStr">
        <is>
          <t>2026Q2</t>
        </is>
      </c>
      <c r="E1303" s="6" t="inlineStr"/>
      <c r="F1303" s="7" t="inlineStr"/>
      <c r="G1303" s="8" t="inlineStr"/>
      <c r="H1303" s="8" t="inlineStr"/>
      <c r="I1303" s="9" t="n">
        <v>138579</v>
      </c>
      <c r="J1303" s="10" t="n">
        <v>-4724</v>
      </c>
      <c r="K1303" s="10" t="n">
        <v>-3998</v>
      </c>
      <c r="L1303" s="7" t="n">
        <v>143422</v>
      </c>
      <c r="M1303" s="8" t="n">
        <v>1056</v>
      </c>
      <c r="N1303" s="8" t="n">
        <v>702</v>
      </c>
      <c r="O1303" s="9" t="n">
        <v>187311</v>
      </c>
      <c r="P1303" s="10" t="n">
        <v>6153</v>
      </c>
      <c r="Q1303" s="10" t="n">
        <v>-8213</v>
      </c>
      <c r="R1303" s="7" t="n">
        <v>178598</v>
      </c>
      <c r="S1303" s="8" t="n">
        <v>-82</v>
      </c>
      <c r="T1303" s="8" t="n">
        <v>12730</v>
      </c>
      <c r="U1303" s="9" t="n">
        <v>138169</v>
      </c>
      <c r="V1303" s="10" t="n">
        <v>-5749</v>
      </c>
      <c r="W1303" s="10" t="n">
        <v>-10575</v>
      </c>
      <c r="X1303" s="7" t="n">
        <v>134518</v>
      </c>
      <c r="Y1303" s="8" t="n">
        <v>496</v>
      </c>
      <c r="Z1303" s="8" t="n">
        <v>-14403</v>
      </c>
      <c r="AA1303" s="9" t="n">
        <v>163558</v>
      </c>
      <c r="AB1303" s="10" t="n">
        <v>88</v>
      </c>
      <c r="AC1303" s="10" t="n">
        <v>508</v>
      </c>
      <c r="AD1303" s="7" t="n">
        <v>166866</v>
      </c>
      <c r="AE1303" s="8" t="n">
        <v>-1832</v>
      </c>
      <c r="AF1303" s="8" t="n">
        <v>-69089</v>
      </c>
      <c r="AG1303" s="9" t="n">
        <v>132245</v>
      </c>
      <c r="AH1303" s="10" t="n">
        <v>-4926</v>
      </c>
      <c r="AI1303" s="10" t="n">
        <v>-3587</v>
      </c>
      <c r="AJ1303" s="11" t="n">
        <v>66982</v>
      </c>
      <c r="AK1303" s="12" t="n">
        <v>-8262</v>
      </c>
      <c r="AL1303" s="12" t="n">
        <v>-65926</v>
      </c>
      <c r="AM1303" s="13" t="n">
        <v>-49.4</v>
      </c>
      <c r="AN1303" s="13" t="n">
        <v>-50.2</v>
      </c>
      <c r="AO1303" s="13" t="n">
        <v>-67.7</v>
      </c>
      <c r="AP1303" s="13" t="n">
        <v>-1765.7</v>
      </c>
    </row>
    <row r="1304">
      <c r="A1304" s="5" t="inlineStr">
        <is>
          <t>티비에이치글로벌</t>
        </is>
      </c>
      <c r="B1304" s="6" t="inlineStr">
        <is>
          <t>084870</t>
        </is>
      </c>
      <c r="C1304" s="6" t="inlineStr">
        <is>
          <t>연결</t>
        </is>
      </c>
      <c r="D1304" s="6" t="inlineStr">
        <is>
          <t>2026Q2</t>
        </is>
      </c>
      <c r="E1304" s="6" t="inlineStr">
        <is>
          <t>2023Q4</t>
        </is>
      </c>
      <c r="F1304" s="14" t="n">
        <v>56873</v>
      </c>
      <c r="G1304" s="15" t="n">
        <v>3999</v>
      </c>
      <c r="H1304" s="15" t="n">
        <v>2788</v>
      </c>
      <c r="I1304" s="9" t="n">
        <v>40693</v>
      </c>
      <c r="J1304" s="10" t="n">
        <v>-593</v>
      </c>
      <c r="K1304" s="10" t="n">
        <v>-1426</v>
      </c>
      <c r="L1304" s="7" t="n">
        <v>49889</v>
      </c>
      <c r="M1304" s="8" t="n">
        <v>3026</v>
      </c>
      <c r="N1304" s="8" t="n">
        <v>2080</v>
      </c>
      <c r="O1304" s="9" t="n">
        <v>31764</v>
      </c>
      <c r="P1304" s="10" t="n">
        <v>-2819</v>
      </c>
      <c r="Q1304" s="10" t="n">
        <v>-2721</v>
      </c>
      <c r="R1304" s="7" t="n">
        <v>56119</v>
      </c>
      <c r="S1304" s="8" t="n">
        <v>3746</v>
      </c>
      <c r="T1304" s="8" t="n">
        <v>1365</v>
      </c>
      <c r="U1304" s="9" t="n">
        <v>40448</v>
      </c>
      <c r="V1304" s="10" t="n">
        <v>-2784</v>
      </c>
      <c r="W1304" s="10" t="n">
        <v>-2677</v>
      </c>
      <c r="X1304" s="7" t="n">
        <v>47849</v>
      </c>
      <c r="Y1304" s="8" t="n">
        <v>3754</v>
      </c>
      <c r="Z1304" s="8" t="n">
        <v>3925</v>
      </c>
      <c r="AA1304" s="9" t="n">
        <v>35508</v>
      </c>
      <c r="AB1304" s="10" t="n">
        <v>-1517</v>
      </c>
      <c r="AC1304" s="10" t="n">
        <v>-2764</v>
      </c>
      <c r="AD1304" s="7" t="n">
        <v>58614</v>
      </c>
      <c r="AE1304" s="8" t="n">
        <v>3697</v>
      </c>
      <c r="AF1304" s="8" t="n">
        <v>3067</v>
      </c>
      <c r="AG1304" s="9" t="n">
        <v>47289</v>
      </c>
      <c r="AH1304" s="10" t="n">
        <v>-910</v>
      </c>
      <c r="AI1304" s="10" t="n">
        <v>-2430</v>
      </c>
      <c r="AJ1304" s="11" t="n">
        <v>53312</v>
      </c>
      <c r="AK1304" s="12" t="n">
        <v>3588</v>
      </c>
      <c r="AL1304" s="12" t="n">
        <v>2748</v>
      </c>
      <c r="AM1304" s="13" t="n">
        <v>12.7</v>
      </c>
      <c r="AN1304" s="13" t="n">
        <v>11.4</v>
      </c>
      <c r="AO1304" s="13" t="n">
        <v>494.3</v>
      </c>
      <c r="AP1304" s="13" t="n">
        <v>-4.4</v>
      </c>
    </row>
    <row r="1305">
      <c r="A1305" s="5" t="inlineStr">
        <is>
          <t>헬릭스미스</t>
        </is>
      </c>
      <c r="B1305" s="6" t="inlineStr">
        <is>
          <t>084990</t>
        </is>
      </c>
      <c r="C1305" s="6" t="inlineStr">
        <is>
          <t>연결</t>
        </is>
      </c>
      <c r="D1305" s="6" t="inlineStr">
        <is>
          <t>2026Q2</t>
        </is>
      </c>
      <c r="E1305" s="6" t="inlineStr"/>
      <c r="F1305" s="7" t="inlineStr"/>
      <c r="G1305" s="8" t="inlineStr"/>
      <c r="H1305" s="8" t="inlineStr"/>
      <c r="I1305" s="9" t="n">
        <v>818</v>
      </c>
      <c r="J1305" s="10" t="n">
        <v>-5730</v>
      </c>
      <c r="K1305" s="10" t="n">
        <v>-5365</v>
      </c>
      <c r="L1305" s="7" t="n">
        <v>720</v>
      </c>
      <c r="M1305" s="8" t="n">
        <v>-5915</v>
      </c>
      <c r="N1305" s="8" t="n">
        <v>-4354</v>
      </c>
      <c r="O1305" s="9" t="n">
        <v>1803</v>
      </c>
      <c r="P1305" s="10" t="n">
        <v>-5057</v>
      </c>
      <c r="Q1305" s="10" t="n">
        <v>-3800</v>
      </c>
      <c r="R1305" s="7" t="n">
        <v>1633</v>
      </c>
      <c r="S1305" s="8" t="n">
        <v>-1253</v>
      </c>
      <c r="T1305" s="8" t="n">
        <v>-1967</v>
      </c>
      <c r="U1305" s="9" t="n">
        <v>930</v>
      </c>
      <c r="V1305" s="10" t="n">
        <v>-2858</v>
      </c>
      <c r="W1305" s="10" t="n">
        <v>-1535</v>
      </c>
      <c r="X1305" s="7" t="n">
        <v>613</v>
      </c>
      <c r="Y1305" s="8" t="n">
        <v>-1990</v>
      </c>
      <c r="Z1305" s="8" t="n">
        <v>-770</v>
      </c>
      <c r="AA1305" s="9" t="n">
        <v>565</v>
      </c>
      <c r="AB1305" s="10" t="n">
        <v>-2677</v>
      </c>
      <c r="AC1305" s="10" t="n">
        <v>-1024</v>
      </c>
      <c r="AD1305" s="7" t="n">
        <v>490</v>
      </c>
      <c r="AE1305" s="8" t="n">
        <v>-2373</v>
      </c>
      <c r="AF1305" s="8" t="n">
        <v>2869</v>
      </c>
      <c r="AG1305" s="9" t="n">
        <v>555</v>
      </c>
      <c r="AH1305" s="10" t="n">
        <v>-2197</v>
      </c>
      <c r="AI1305" s="10" t="n">
        <v>-1406</v>
      </c>
      <c r="AJ1305" s="11" t="n">
        <v>810</v>
      </c>
      <c r="AK1305" s="12" t="n">
        <v>-2184</v>
      </c>
      <c r="AL1305" s="12" t="n">
        <v>-2070</v>
      </c>
      <c r="AM1305" s="13" t="n">
        <v>45.9</v>
      </c>
      <c r="AN1305" s="13" t="n">
        <v>32.1</v>
      </c>
      <c r="AO1305" s="13" t="n">
        <v>0.6</v>
      </c>
      <c r="AP1305" s="13" t="n">
        <v>-9.699999999999999</v>
      </c>
    </row>
    <row r="1306">
      <c r="A1306" s="5" t="inlineStr">
        <is>
          <t>엔케이</t>
        </is>
      </c>
      <c r="B1306" s="6" t="inlineStr">
        <is>
          <t>085310</t>
        </is>
      </c>
      <c r="C1306" s="6" t="inlineStr">
        <is>
          <t>연결</t>
        </is>
      </c>
      <c r="D1306" s="6" t="inlineStr">
        <is>
          <t>2026Q2</t>
        </is>
      </c>
      <c r="E1306" s="6" t="inlineStr"/>
      <c r="F1306" s="7" t="inlineStr"/>
      <c r="G1306" s="8" t="inlineStr"/>
      <c r="H1306" s="8" t="inlineStr"/>
      <c r="I1306" s="9" t="n">
        <v>25529</v>
      </c>
      <c r="J1306" s="10" t="n">
        <v>-16</v>
      </c>
      <c r="K1306" s="10" t="n">
        <v>2179</v>
      </c>
      <c r="L1306" s="7" t="n">
        <v>25568</v>
      </c>
      <c r="M1306" s="8" t="n">
        <v>-2031</v>
      </c>
      <c r="N1306" s="8" t="n">
        <v>-4127</v>
      </c>
      <c r="O1306" s="9" t="n">
        <v>23854</v>
      </c>
      <c r="P1306" s="10" t="n">
        <v>-1338</v>
      </c>
      <c r="Q1306" s="10" t="n">
        <v>-2704</v>
      </c>
      <c r="R1306" s="7" t="n">
        <v>35986</v>
      </c>
      <c r="S1306" s="8" t="n">
        <v>-1440</v>
      </c>
      <c r="T1306" s="8" t="n">
        <v>2407</v>
      </c>
      <c r="U1306" s="9" t="n">
        <v>23945</v>
      </c>
      <c r="V1306" s="10" t="n">
        <v>-962</v>
      </c>
      <c r="W1306" s="10" t="n">
        <v>-356</v>
      </c>
      <c r="X1306" s="7" t="n">
        <v>28559</v>
      </c>
      <c r="Y1306" s="8" t="n">
        <v>340</v>
      </c>
      <c r="Z1306" s="8" t="n">
        <v>-1677</v>
      </c>
      <c r="AA1306" s="9" t="n">
        <v>28556</v>
      </c>
      <c r="AB1306" s="10" t="n">
        <v>-5022</v>
      </c>
      <c r="AC1306" s="10" t="n">
        <v>-2862</v>
      </c>
      <c r="AD1306" s="7" t="n">
        <v>49042</v>
      </c>
      <c r="AE1306" s="8" t="n">
        <v>4996</v>
      </c>
      <c r="AF1306" s="8" t="n">
        <v>1201</v>
      </c>
      <c r="AG1306" s="9" t="n">
        <v>31914</v>
      </c>
      <c r="AH1306" s="10" t="n">
        <v>534</v>
      </c>
      <c r="AI1306" s="10" t="n">
        <v>2918</v>
      </c>
      <c r="AJ1306" s="11" t="n">
        <v>36792</v>
      </c>
      <c r="AK1306" s="12" t="n">
        <v>3144</v>
      </c>
      <c r="AL1306" s="12" t="n">
        <v>3552</v>
      </c>
      <c r="AM1306" s="13" t="n">
        <v>15.3</v>
      </c>
      <c r="AN1306" s="13" t="n">
        <v>28.8</v>
      </c>
      <c r="AO1306" s="13" t="n">
        <v>488.8</v>
      </c>
      <c r="AP1306" s="13" t="n">
        <v>824.7</v>
      </c>
    </row>
    <row r="1307">
      <c r="A1307" s="5" t="inlineStr">
        <is>
          <t>미래에셋생명</t>
        </is>
      </c>
      <c r="B1307" s="6" t="inlineStr">
        <is>
          <t>085620</t>
        </is>
      </c>
      <c r="C1307" s="6" t="inlineStr">
        <is>
          <t>연결</t>
        </is>
      </c>
      <c r="D1307" s="6" t="inlineStr">
        <is>
          <t>2026Q2</t>
        </is>
      </c>
      <c r="E1307" s="6" t="inlineStr"/>
      <c r="F1307" s="7" t="inlineStr"/>
      <c r="G1307" s="8" t="inlineStr"/>
      <c r="H1307" s="8" t="inlineStr"/>
      <c r="I1307" s="9" t="inlineStr"/>
      <c r="J1307" s="10" t="n">
        <v>54374</v>
      </c>
      <c r="K1307" s="10" t="n">
        <v>43627</v>
      </c>
      <c r="L1307" s="7" t="inlineStr"/>
      <c r="M1307" s="8" t="n">
        <v>22121</v>
      </c>
      <c r="N1307" s="8" t="n">
        <v>21955</v>
      </c>
      <c r="O1307" s="9" t="inlineStr"/>
      <c r="P1307" s="10" t="n">
        <v>6889</v>
      </c>
      <c r="Q1307" s="10" t="n">
        <v>4276</v>
      </c>
      <c r="R1307" s="7" t="inlineStr"/>
      <c r="S1307" s="8" t="n">
        <v>38746</v>
      </c>
      <c r="T1307" s="8" t="n">
        <v>66257</v>
      </c>
      <c r="U1307" s="9" t="inlineStr"/>
      <c r="V1307" s="10" t="n">
        <v>39354</v>
      </c>
      <c r="W1307" s="10" t="n">
        <v>24783</v>
      </c>
      <c r="X1307" s="14" t="n">
        <v>1618092</v>
      </c>
      <c r="Y1307" s="8" t="n">
        <v>65039</v>
      </c>
      <c r="Z1307" s="8" t="n">
        <v>50692</v>
      </c>
      <c r="AA1307" s="14" t="n">
        <v>1254900</v>
      </c>
      <c r="AB1307" s="10" t="n">
        <v>61774</v>
      </c>
      <c r="AC1307" s="10" t="n">
        <v>49756</v>
      </c>
      <c r="AD1307" s="7" t="inlineStr"/>
      <c r="AE1307" s="8" t="n">
        <v>28345</v>
      </c>
      <c r="AF1307" s="8" t="n">
        <v>5545</v>
      </c>
      <c r="AG1307" s="14" t="n">
        <v>2796438</v>
      </c>
      <c r="AH1307" s="10" t="n">
        <v>68389</v>
      </c>
      <c r="AI1307" s="10" t="n">
        <v>53392</v>
      </c>
      <c r="AJ1307" s="14" t="n">
        <v>3779261</v>
      </c>
      <c r="AK1307" s="12" t="n">
        <v>23650</v>
      </c>
      <c r="AL1307" s="12" t="n">
        <v>17970</v>
      </c>
      <c r="AM1307" s="13" t="n">
        <v>35.1</v>
      </c>
      <c r="AN1307" s="13" t="n">
        <v>133.6</v>
      </c>
      <c r="AO1307" s="13" t="n">
        <v>-65.40000000000001</v>
      </c>
      <c r="AP1307" s="13" t="n">
        <v>-63.6</v>
      </c>
    </row>
    <row r="1308">
      <c r="A1308" s="5" t="inlineStr">
        <is>
          <t>차바이오텍</t>
        </is>
      </c>
      <c r="B1308" s="6" t="inlineStr">
        <is>
          <t>085660</t>
        </is>
      </c>
      <c r="C1308" s="6" t="inlineStr">
        <is>
          <t>연결</t>
        </is>
      </c>
      <c r="D1308" s="6" t="inlineStr">
        <is>
          <t>2026Q2</t>
        </is>
      </c>
      <c r="E1308" s="6" t="inlineStr"/>
      <c r="F1308" s="7" t="inlineStr"/>
      <c r="G1308" s="8" t="inlineStr"/>
      <c r="H1308" s="8" t="inlineStr"/>
      <c r="I1308" s="9" t="n">
        <v>232404</v>
      </c>
      <c r="J1308" s="10" t="n">
        <v>-12565</v>
      </c>
      <c r="K1308" s="10" t="n">
        <v>-16187</v>
      </c>
      <c r="L1308" s="7" t="n">
        <v>264645</v>
      </c>
      <c r="M1308" s="8" t="n">
        <v>-777</v>
      </c>
      <c r="N1308" s="8" t="n">
        <v>10479</v>
      </c>
      <c r="O1308" s="9" t="n">
        <v>272016</v>
      </c>
      <c r="P1308" s="10" t="n">
        <v>-6823</v>
      </c>
      <c r="Q1308" s="10" t="n">
        <v>20299</v>
      </c>
      <c r="R1308" s="7" t="n">
        <v>275984</v>
      </c>
      <c r="S1308" s="8" t="n">
        <v>-39519</v>
      </c>
      <c r="T1308" s="8" t="n">
        <v>-29141</v>
      </c>
      <c r="U1308" s="9" t="n">
        <v>304140</v>
      </c>
      <c r="V1308" s="10" t="n">
        <v>-12509</v>
      </c>
      <c r="W1308" s="10" t="n">
        <v>-26976</v>
      </c>
      <c r="X1308" s="7" t="n">
        <v>298895</v>
      </c>
      <c r="Y1308" s="8" t="n">
        <v>-20767</v>
      </c>
      <c r="Z1308" s="8" t="n">
        <v>-75242</v>
      </c>
      <c r="AA1308" s="9" t="n">
        <v>318675</v>
      </c>
      <c r="AB1308" s="10" t="n">
        <v>-8056</v>
      </c>
      <c r="AC1308" s="10" t="n">
        <v>-9174</v>
      </c>
      <c r="AD1308" s="7" t="n">
        <v>346544</v>
      </c>
      <c r="AE1308" s="8" t="n">
        <v>-7443</v>
      </c>
      <c r="AF1308" s="8" t="n">
        <v>-35316</v>
      </c>
      <c r="AG1308" s="9" t="n">
        <v>329706</v>
      </c>
      <c r="AH1308" s="10" t="n">
        <v>-30731</v>
      </c>
      <c r="AI1308" s="10" t="n">
        <v>-2616</v>
      </c>
      <c r="AJ1308" s="11" t="n">
        <v>316430</v>
      </c>
      <c r="AK1308" s="12" t="n">
        <v>-28195</v>
      </c>
      <c r="AL1308" s="12" t="n">
        <v>30679</v>
      </c>
      <c r="AM1308" s="13" t="n">
        <v>-4</v>
      </c>
      <c r="AN1308" s="13" t="n">
        <v>5.9</v>
      </c>
      <c r="AO1308" s="13" t="n">
        <v>8.300000000000001</v>
      </c>
      <c r="AP1308" s="13" t="n">
        <v>-35.8</v>
      </c>
    </row>
    <row r="1309">
      <c r="A1309" s="5" t="inlineStr">
        <is>
          <t>뉴프렉스</t>
        </is>
      </c>
      <c r="B1309" s="6" t="inlineStr">
        <is>
          <t>085670</t>
        </is>
      </c>
      <c r="C1309" s="6" t="inlineStr">
        <is>
          <t>연결</t>
        </is>
      </c>
      <c r="D1309" s="6" t="inlineStr">
        <is>
          <t>2026Q2</t>
        </is>
      </c>
      <c r="E1309" s="6" t="inlineStr"/>
      <c r="F1309" s="7" t="inlineStr"/>
      <c r="G1309" s="8" t="inlineStr"/>
      <c r="H1309" s="8" t="inlineStr"/>
      <c r="I1309" s="9" t="n">
        <v>50939</v>
      </c>
      <c r="J1309" s="10" t="n">
        <v>4837</v>
      </c>
      <c r="K1309" s="10" t="n">
        <v>5646</v>
      </c>
      <c r="L1309" s="7" t="n">
        <v>41533</v>
      </c>
      <c r="M1309" s="8" t="n">
        <v>4088</v>
      </c>
      <c r="N1309" s="8" t="n">
        <v>3173</v>
      </c>
      <c r="O1309" s="9" t="n">
        <v>45242</v>
      </c>
      <c r="P1309" s="10" t="n">
        <v>3908</v>
      </c>
      <c r="Q1309" s="10" t="n">
        <v>3105</v>
      </c>
      <c r="R1309" s="7" t="n">
        <v>38228</v>
      </c>
      <c r="S1309" s="8" t="n">
        <v>1808</v>
      </c>
      <c r="T1309" s="8" t="n">
        <v>4171</v>
      </c>
      <c r="U1309" s="9" t="n">
        <v>36630</v>
      </c>
      <c r="V1309" s="10" t="n">
        <v>672</v>
      </c>
      <c r="W1309" s="10" t="n">
        <v>749</v>
      </c>
      <c r="X1309" s="7" t="n">
        <v>39961</v>
      </c>
      <c r="Y1309" s="8" t="n">
        <v>3214</v>
      </c>
      <c r="Z1309" s="8" t="n">
        <v>1043</v>
      </c>
      <c r="AA1309" s="9" t="n">
        <v>37961</v>
      </c>
      <c r="AB1309" s="10" t="n">
        <v>2119</v>
      </c>
      <c r="AC1309" s="10" t="n">
        <v>3076</v>
      </c>
      <c r="AD1309" s="7" t="n">
        <v>39584</v>
      </c>
      <c r="AE1309" s="8" t="n">
        <v>3228</v>
      </c>
      <c r="AF1309" s="8" t="n">
        <v>3931</v>
      </c>
      <c r="AG1309" s="9" t="n">
        <v>34969</v>
      </c>
      <c r="AH1309" s="10" t="n">
        <v>291</v>
      </c>
      <c r="AI1309" s="10" t="n">
        <v>1486</v>
      </c>
      <c r="AJ1309" s="11" t="n">
        <v>37118</v>
      </c>
      <c r="AK1309" s="12" t="n">
        <v>1421</v>
      </c>
      <c r="AL1309" s="12" t="n">
        <v>1584</v>
      </c>
      <c r="AM1309" s="13" t="n">
        <v>6.1</v>
      </c>
      <c r="AN1309" s="13" t="n">
        <v>-7.1</v>
      </c>
      <c r="AO1309" s="13" t="n">
        <v>388.3</v>
      </c>
      <c r="AP1309" s="13" t="n">
        <v>-55.8</v>
      </c>
    </row>
    <row r="1310">
      <c r="A1310" s="5" t="inlineStr">
        <is>
          <t>알티캐스트</t>
        </is>
      </c>
      <c r="B1310" s="6" t="inlineStr">
        <is>
          <t>085810</t>
        </is>
      </c>
      <c r="C1310" s="6" t="inlineStr">
        <is>
          <t>연결</t>
        </is>
      </c>
      <c r="D1310" s="6" t="inlineStr">
        <is>
          <t>2026Q2</t>
        </is>
      </c>
      <c r="E1310" s="6" t="inlineStr"/>
      <c r="F1310" s="7" t="inlineStr"/>
      <c r="G1310" s="8" t="inlineStr"/>
      <c r="H1310" s="8" t="inlineStr"/>
      <c r="I1310" s="9" t="inlineStr"/>
      <c r="J1310" s="10" t="n">
        <v>-1334</v>
      </c>
      <c r="K1310" s="10" t="n">
        <v>-3336</v>
      </c>
      <c r="L1310" s="7" t="inlineStr"/>
      <c r="M1310" s="8" t="n">
        <v>-946</v>
      </c>
      <c r="N1310" s="8" t="n">
        <v>-4772</v>
      </c>
      <c r="O1310" s="9" t="inlineStr"/>
      <c r="P1310" s="10" t="n">
        <v>-577</v>
      </c>
      <c r="Q1310" s="10" t="n">
        <v>-1954</v>
      </c>
      <c r="R1310" s="7" t="inlineStr"/>
      <c r="S1310" s="8" t="n">
        <v>-1165</v>
      </c>
      <c r="T1310" s="8" t="n">
        <v>-3212</v>
      </c>
      <c r="U1310" s="9" t="inlineStr"/>
      <c r="V1310" s="10" t="n">
        <v>-501</v>
      </c>
      <c r="W1310" s="10" t="n">
        <v>-187</v>
      </c>
      <c r="X1310" s="7" t="inlineStr"/>
      <c r="Y1310" s="8" t="n">
        <v>1162</v>
      </c>
      <c r="Z1310" s="8" t="n">
        <v>1769</v>
      </c>
      <c r="AA1310" s="9" t="n">
        <v>16046</v>
      </c>
      <c r="AB1310" s="10" t="n">
        <v>2182</v>
      </c>
      <c r="AC1310" s="10" t="n">
        <v>2096</v>
      </c>
      <c r="AD1310" s="7" t="inlineStr"/>
      <c r="AE1310" s="8" t="n">
        <v>338</v>
      </c>
      <c r="AF1310" s="8" t="n">
        <v>-3665</v>
      </c>
      <c r="AG1310" s="9" t="n">
        <v>17479</v>
      </c>
      <c r="AH1310" s="10" t="n">
        <v>-1091</v>
      </c>
      <c r="AI1310" s="10" t="n">
        <v>-1746</v>
      </c>
      <c r="AJ1310" s="11" t="n">
        <v>24336</v>
      </c>
      <c r="AK1310" s="12" t="n">
        <v>-268</v>
      </c>
      <c r="AL1310" s="12" t="n">
        <v>-1730</v>
      </c>
      <c r="AM1310" s="13" t="n">
        <v>39.2</v>
      </c>
      <c r="AN1310" s="13" t="inlineStr"/>
      <c r="AO1310" s="13" t="n">
        <v>75.40000000000001</v>
      </c>
      <c r="AP1310" s="13" t="n">
        <v>-123.1</v>
      </c>
    </row>
    <row r="1311">
      <c r="A1311" s="5" t="inlineStr">
        <is>
          <t>네오티스</t>
        </is>
      </c>
      <c r="B1311" s="6" t="inlineStr">
        <is>
          <t>085910</t>
        </is>
      </c>
      <c r="C1311" s="6" t="inlineStr">
        <is>
          <t>연결</t>
        </is>
      </c>
      <c r="D1311" s="6" t="inlineStr">
        <is>
          <t>2026Q2</t>
        </is>
      </c>
      <c r="E1311" s="6" t="inlineStr"/>
      <c r="F1311" s="7" t="inlineStr"/>
      <c r="G1311" s="8" t="inlineStr"/>
      <c r="H1311" s="8" t="inlineStr"/>
      <c r="I1311" s="9" t="n">
        <v>14216</v>
      </c>
      <c r="J1311" s="10" t="n">
        <v>937</v>
      </c>
      <c r="K1311" s="10" t="n">
        <v>1601</v>
      </c>
      <c r="L1311" s="7" t="n">
        <v>14837</v>
      </c>
      <c r="M1311" s="8" t="n">
        <v>1792</v>
      </c>
      <c r="N1311" s="8" t="n">
        <v>3449</v>
      </c>
      <c r="O1311" s="9" t="n">
        <v>13458</v>
      </c>
      <c r="P1311" s="10" t="n">
        <v>-16</v>
      </c>
      <c r="Q1311" s="10" t="n">
        <v>-185</v>
      </c>
      <c r="R1311" s="7" t="n">
        <v>11776</v>
      </c>
      <c r="S1311" s="8" t="n">
        <v>466</v>
      </c>
      <c r="T1311" s="8" t="n">
        <v>1371</v>
      </c>
      <c r="U1311" s="9" t="n">
        <v>17307</v>
      </c>
      <c r="V1311" s="10" t="n">
        <v>1681</v>
      </c>
      <c r="W1311" s="10" t="n">
        <v>1442</v>
      </c>
      <c r="X1311" s="7" t="n">
        <v>15737</v>
      </c>
      <c r="Y1311" s="8" t="n">
        <v>1285</v>
      </c>
      <c r="Z1311" s="8" t="n">
        <v>-383</v>
      </c>
      <c r="AA1311" s="9" t="n">
        <v>17994</v>
      </c>
      <c r="AB1311" s="10" t="n">
        <v>2636</v>
      </c>
      <c r="AC1311" s="10" t="n">
        <v>2808</v>
      </c>
      <c r="AD1311" s="7" t="n">
        <v>17639</v>
      </c>
      <c r="AE1311" s="8" t="n">
        <v>2178</v>
      </c>
      <c r="AF1311" s="8" t="n">
        <v>2402</v>
      </c>
      <c r="AG1311" s="9" t="n">
        <v>17889</v>
      </c>
      <c r="AH1311" s="10" t="n">
        <v>2292</v>
      </c>
      <c r="AI1311" s="10" t="n">
        <v>2816</v>
      </c>
      <c r="AJ1311" s="11" t="n">
        <v>22576</v>
      </c>
      <c r="AK1311" s="12" t="n">
        <v>4495</v>
      </c>
      <c r="AL1311" s="12" t="n">
        <v>4157</v>
      </c>
      <c r="AM1311" s="13" t="n">
        <v>26.2</v>
      </c>
      <c r="AN1311" s="13" t="n">
        <v>43.5</v>
      </c>
      <c r="AO1311" s="13" t="n">
        <v>96.09999999999999</v>
      </c>
      <c r="AP1311" s="13" t="n">
        <v>249.8</v>
      </c>
    </row>
    <row r="1312">
      <c r="A1312" s="5" t="inlineStr">
        <is>
          <t>바이오톡스텍</t>
        </is>
      </c>
      <c r="B1312" s="6" t="inlineStr">
        <is>
          <t>086040</t>
        </is>
      </c>
      <c r="C1312" s="6" t="inlineStr">
        <is>
          <t>연결</t>
        </is>
      </c>
      <c r="D1312" s="6" t="inlineStr">
        <is>
          <t>2026Q2</t>
        </is>
      </c>
      <c r="E1312" s="6" t="inlineStr"/>
      <c r="F1312" s="7" t="inlineStr"/>
      <c r="G1312" s="8" t="inlineStr"/>
      <c r="H1312" s="8" t="inlineStr"/>
      <c r="I1312" s="9" t="n">
        <v>8987</v>
      </c>
      <c r="J1312" s="10" t="n">
        <v>-2536</v>
      </c>
      <c r="K1312" s="10" t="n">
        <v>-2601</v>
      </c>
      <c r="L1312" s="7" t="n">
        <v>9813</v>
      </c>
      <c r="M1312" s="8" t="n">
        <v>-2906</v>
      </c>
      <c r="N1312" s="8" t="n">
        <v>-3232</v>
      </c>
      <c r="O1312" s="9" t="n">
        <v>11122</v>
      </c>
      <c r="P1312" s="10" t="n">
        <v>-2031</v>
      </c>
      <c r="Q1312" s="10" t="n">
        <v>-2865</v>
      </c>
      <c r="R1312" s="7" t="n">
        <v>11419</v>
      </c>
      <c r="S1312" s="8" t="n">
        <v>-1406</v>
      </c>
      <c r="T1312" s="8" t="n">
        <v>-3959</v>
      </c>
      <c r="U1312" s="9" t="n">
        <v>11246</v>
      </c>
      <c r="V1312" s="10" t="n">
        <v>-1420</v>
      </c>
      <c r="W1312" s="10" t="n">
        <v>-2057</v>
      </c>
      <c r="X1312" s="7" t="n">
        <v>9623</v>
      </c>
      <c r="Y1312" s="8" t="n">
        <v>-1928</v>
      </c>
      <c r="Z1312" s="8" t="n">
        <v>-2000</v>
      </c>
      <c r="AA1312" s="9" t="n">
        <v>11901</v>
      </c>
      <c r="AB1312" s="10" t="n">
        <v>-1364</v>
      </c>
      <c r="AC1312" s="10" t="n">
        <v>4456</v>
      </c>
      <c r="AD1312" s="7" t="n">
        <v>14247</v>
      </c>
      <c r="AE1312" s="8" t="n">
        <v>-98</v>
      </c>
      <c r="AF1312" s="8" t="n">
        <v>-1972</v>
      </c>
      <c r="AG1312" s="9" t="n">
        <v>11866</v>
      </c>
      <c r="AH1312" s="10" t="n">
        <v>-1822</v>
      </c>
      <c r="AI1312" s="10" t="n">
        <v>-2709</v>
      </c>
      <c r="AJ1312" s="11" t="n">
        <v>14463</v>
      </c>
      <c r="AK1312" s="12" t="n">
        <v>-182</v>
      </c>
      <c r="AL1312" s="12" t="n">
        <v>-6894</v>
      </c>
      <c r="AM1312" s="13" t="n">
        <v>21.9</v>
      </c>
      <c r="AN1312" s="13" t="n">
        <v>50.3</v>
      </c>
      <c r="AO1312" s="13" t="n">
        <v>90</v>
      </c>
      <c r="AP1312" s="13" t="n">
        <v>90.59999999999999</v>
      </c>
    </row>
    <row r="1313">
      <c r="A1313" s="5" t="inlineStr">
        <is>
          <t>진바이오텍</t>
        </is>
      </c>
      <c r="B1313" s="6" t="inlineStr">
        <is>
          <t>086060</t>
        </is>
      </c>
      <c r="C1313" s="6" t="inlineStr">
        <is>
          <t>연결</t>
        </is>
      </c>
      <c r="D1313" s="6" t="inlineStr">
        <is>
          <t>2026Q2</t>
        </is>
      </c>
      <c r="E1313" s="6" t="inlineStr"/>
      <c r="F1313" s="7" t="inlineStr"/>
      <c r="G1313" s="8" t="inlineStr"/>
      <c r="H1313" s="8" t="inlineStr"/>
      <c r="I1313" s="9" t="n">
        <v>20152</v>
      </c>
      <c r="J1313" s="10" t="n">
        <v>1071</v>
      </c>
      <c r="K1313" s="10" t="n">
        <v>700</v>
      </c>
      <c r="L1313" s="7" t="n">
        <v>20344</v>
      </c>
      <c r="M1313" s="8" t="n">
        <v>781</v>
      </c>
      <c r="N1313" s="8" t="n">
        <v>541</v>
      </c>
      <c r="O1313" s="9" t="n">
        <v>20435</v>
      </c>
      <c r="P1313" s="10" t="n">
        <v>699</v>
      </c>
      <c r="Q1313" s="10" t="n">
        <v>903</v>
      </c>
      <c r="R1313" s="7" t="n">
        <v>22028</v>
      </c>
      <c r="S1313" s="8" t="n">
        <v>1293</v>
      </c>
      <c r="T1313" s="8" t="n">
        <v>721</v>
      </c>
      <c r="U1313" s="9" t="n">
        <v>22846</v>
      </c>
      <c r="V1313" s="10" t="n">
        <v>749</v>
      </c>
      <c r="W1313" s="10" t="n">
        <v>765</v>
      </c>
      <c r="X1313" s="7" t="n">
        <v>23148</v>
      </c>
      <c r="Y1313" s="8" t="n">
        <v>897</v>
      </c>
      <c r="Z1313" s="8" t="n">
        <v>1209</v>
      </c>
      <c r="AA1313" s="9" t="n">
        <v>24256</v>
      </c>
      <c r="AB1313" s="10" t="n">
        <v>1360</v>
      </c>
      <c r="AC1313" s="10" t="n">
        <v>986</v>
      </c>
      <c r="AD1313" s="7" t="n">
        <v>20539</v>
      </c>
      <c r="AE1313" s="8" t="n">
        <v>916</v>
      </c>
      <c r="AF1313" s="8" t="n">
        <v>829</v>
      </c>
      <c r="AG1313" s="9" t="n">
        <v>21496</v>
      </c>
      <c r="AH1313" s="10" t="n">
        <v>763</v>
      </c>
      <c r="AI1313" s="10" t="n">
        <v>565</v>
      </c>
      <c r="AJ1313" s="11" t="n">
        <v>23024</v>
      </c>
      <c r="AK1313" s="12" t="n">
        <v>1498</v>
      </c>
      <c r="AL1313" s="12" t="n">
        <v>1292</v>
      </c>
      <c r="AM1313" s="13" t="n">
        <v>7.1</v>
      </c>
      <c r="AN1313" s="13" t="n">
        <v>-0.5</v>
      </c>
      <c r="AO1313" s="13" t="n">
        <v>96.3</v>
      </c>
      <c r="AP1313" s="13" t="n">
        <v>67</v>
      </c>
    </row>
    <row r="1314">
      <c r="A1314" s="5" t="inlineStr">
        <is>
          <t>현대글로비스</t>
        </is>
      </c>
      <c r="B1314" s="6" t="inlineStr">
        <is>
          <t>086280</t>
        </is>
      </c>
      <c r="C1314" s="6" t="inlineStr">
        <is>
          <t>연결</t>
        </is>
      </c>
      <c r="D1314" s="6" t="inlineStr">
        <is>
          <t>2026Q2</t>
        </is>
      </c>
      <c r="E1314" s="6" t="inlineStr">
        <is>
          <t>2023Q4</t>
        </is>
      </c>
      <c r="F1314" s="14" t="n">
        <v>6517406</v>
      </c>
      <c r="G1314" s="15" t="n">
        <v>350661</v>
      </c>
      <c r="H1314" s="15" t="n">
        <v>249752</v>
      </c>
      <c r="I1314" s="9" t="n">
        <v>6586436</v>
      </c>
      <c r="J1314" s="10" t="n">
        <v>384769</v>
      </c>
      <c r="K1314" s="10" t="n">
        <v>306168</v>
      </c>
      <c r="L1314" s="7" t="n">
        <v>7064319</v>
      </c>
      <c r="M1314" s="8" t="n">
        <v>439290</v>
      </c>
      <c r="N1314" s="8" t="n">
        <v>313040</v>
      </c>
      <c r="O1314" s="9" t="n">
        <v>7468714</v>
      </c>
      <c r="P1314" s="10" t="n">
        <v>469066</v>
      </c>
      <c r="Q1314" s="10" t="n">
        <v>383695</v>
      </c>
      <c r="R1314" s="7" t="n">
        <v>7287905</v>
      </c>
      <c r="S1314" s="8" t="n">
        <v>459742</v>
      </c>
      <c r="T1314" s="8" t="n">
        <v>96584</v>
      </c>
      <c r="U1314" s="9" t="n">
        <v>7223390</v>
      </c>
      <c r="V1314" s="10" t="n">
        <v>501884</v>
      </c>
      <c r="W1314" s="10" t="n">
        <v>398229</v>
      </c>
      <c r="X1314" s="7" t="n">
        <v>7515967</v>
      </c>
      <c r="Y1314" s="8" t="n">
        <v>538878</v>
      </c>
      <c r="Z1314" s="8" t="n">
        <v>503392</v>
      </c>
      <c r="AA1314" s="9" t="n">
        <v>7355054</v>
      </c>
      <c r="AB1314" s="10" t="n">
        <v>523988</v>
      </c>
      <c r="AC1314" s="10" t="n">
        <v>392648</v>
      </c>
      <c r="AD1314" s="7" t="n">
        <v>7471998</v>
      </c>
      <c r="AE1314" s="8" t="n">
        <v>508258</v>
      </c>
      <c r="AF1314" s="8" t="n">
        <v>440428</v>
      </c>
      <c r="AG1314" s="9" t="n">
        <v>7812730</v>
      </c>
      <c r="AH1314" s="10" t="n">
        <v>521455</v>
      </c>
      <c r="AI1314" s="10" t="n">
        <v>340990</v>
      </c>
      <c r="AJ1314" s="11" t="n">
        <v>8705366</v>
      </c>
      <c r="AK1314" s="12" t="n">
        <v>495063</v>
      </c>
      <c r="AL1314" s="12" t="n">
        <v>369212</v>
      </c>
      <c r="AM1314" s="13" t="n">
        <v>11.4</v>
      </c>
      <c r="AN1314" s="13" t="n">
        <v>15.8</v>
      </c>
      <c r="AO1314" s="13" t="n">
        <v>-5.1</v>
      </c>
      <c r="AP1314" s="13" t="n">
        <v>-8.1</v>
      </c>
    </row>
    <row r="1315">
      <c r="A1315" s="5" t="inlineStr">
        <is>
          <t>유니테스트</t>
        </is>
      </c>
      <c r="B1315" s="6" t="inlineStr">
        <is>
          <t>086390</t>
        </is>
      </c>
      <c r="C1315" s="6" t="inlineStr">
        <is>
          <t>연결</t>
        </is>
      </c>
      <c r="D1315" s="6" t="inlineStr">
        <is>
          <t>2026Q2</t>
        </is>
      </c>
      <c r="E1315" s="6" t="inlineStr"/>
      <c r="F1315" s="7" t="inlineStr"/>
      <c r="G1315" s="8" t="inlineStr"/>
      <c r="H1315" s="8" t="inlineStr"/>
      <c r="I1315" s="9" t="n">
        <v>9010</v>
      </c>
      <c r="J1315" s="10" t="n">
        <v>-7939</v>
      </c>
      <c r="K1315" s="10" t="n">
        <v>-7431</v>
      </c>
      <c r="L1315" s="7" t="n">
        <v>20601</v>
      </c>
      <c r="M1315" s="8" t="n">
        <v>-8649</v>
      </c>
      <c r="N1315" s="8" t="n">
        <v>-7544</v>
      </c>
      <c r="O1315" s="9" t="n">
        <v>25510</v>
      </c>
      <c r="P1315" s="10" t="n">
        <v>1474</v>
      </c>
      <c r="Q1315" s="10" t="n">
        <v>458</v>
      </c>
      <c r="R1315" s="7" t="n">
        <v>37313</v>
      </c>
      <c r="S1315" s="8" t="n">
        <v>-8325</v>
      </c>
      <c r="T1315" s="8" t="n">
        <v>-12753</v>
      </c>
      <c r="U1315" s="9" t="n">
        <v>22397</v>
      </c>
      <c r="V1315" s="10" t="n">
        <v>-3989</v>
      </c>
      <c r="W1315" s="10" t="n">
        <v>-4702</v>
      </c>
      <c r="X1315" s="7" t="n">
        <v>29198</v>
      </c>
      <c r="Y1315" s="8" t="n">
        <v>-4392</v>
      </c>
      <c r="Z1315" s="8" t="n">
        <v>-6158</v>
      </c>
      <c r="AA1315" s="9" t="n">
        <v>31266</v>
      </c>
      <c r="AB1315" s="10" t="n">
        <v>-443</v>
      </c>
      <c r="AC1315" s="10" t="n">
        <v>161</v>
      </c>
      <c r="AD1315" s="7" t="n">
        <v>27334</v>
      </c>
      <c r="AE1315" s="8" t="n">
        <v>-12265</v>
      </c>
      <c r="AF1315" s="8" t="n">
        <v>-11743</v>
      </c>
      <c r="AG1315" s="9" t="n">
        <v>22399</v>
      </c>
      <c r="AH1315" s="10" t="n">
        <v>-2533</v>
      </c>
      <c r="AI1315" s="10" t="n">
        <v>-787</v>
      </c>
      <c r="AJ1315" s="11" t="n">
        <v>50527</v>
      </c>
      <c r="AK1315" s="12" t="n">
        <v>7881</v>
      </c>
      <c r="AL1315" s="12" t="n">
        <v>6969</v>
      </c>
      <c r="AM1315" s="13" t="n">
        <v>125.6</v>
      </c>
      <c r="AN1315" s="13" t="n">
        <v>73</v>
      </c>
      <c r="AO1315" s="13" t="n">
        <v>411.1</v>
      </c>
      <c r="AP1315" s="13" t="n">
        <v>279.4</v>
      </c>
    </row>
    <row r="1316">
      <c r="A1316" s="5" t="inlineStr">
        <is>
          <t>동국제약</t>
        </is>
      </c>
      <c r="B1316" s="6" t="inlineStr">
        <is>
          <t>086450</t>
        </is>
      </c>
      <c r="C1316" s="6" t="inlineStr">
        <is>
          <t>연결</t>
        </is>
      </c>
      <c r="D1316" s="6" t="inlineStr">
        <is>
          <t>2026Q2</t>
        </is>
      </c>
      <c r="E1316" s="6" t="inlineStr"/>
      <c r="F1316" s="7" t="inlineStr"/>
      <c r="G1316" s="8" t="inlineStr"/>
      <c r="H1316" s="8" t="inlineStr"/>
      <c r="I1316" s="9" t="n">
        <v>196821</v>
      </c>
      <c r="J1316" s="10" t="n">
        <v>21014</v>
      </c>
      <c r="K1316" s="10" t="n">
        <v>19985</v>
      </c>
      <c r="L1316" s="7" t="n">
        <v>203538</v>
      </c>
      <c r="M1316" s="8" t="n">
        <v>19222</v>
      </c>
      <c r="N1316" s="8" t="n">
        <v>12828</v>
      </c>
      <c r="O1316" s="9" t="n">
        <v>200879</v>
      </c>
      <c r="P1316" s="10" t="n">
        <v>22531</v>
      </c>
      <c r="Q1316" s="10" t="n">
        <v>21250</v>
      </c>
      <c r="R1316" s="7" t="n">
        <v>210928</v>
      </c>
      <c r="S1316" s="8" t="n">
        <v>17653</v>
      </c>
      <c r="T1316" s="8" t="n">
        <v>8273</v>
      </c>
      <c r="U1316" s="9" t="n">
        <v>223736</v>
      </c>
      <c r="V1316" s="10" t="n">
        <v>25317</v>
      </c>
      <c r="W1316" s="10" t="n">
        <v>17967</v>
      </c>
      <c r="X1316" s="7" t="n">
        <v>233461</v>
      </c>
      <c r="Y1316" s="8" t="n">
        <v>22141</v>
      </c>
      <c r="Z1316" s="8" t="n">
        <v>18058</v>
      </c>
      <c r="AA1316" s="9" t="n">
        <v>226809</v>
      </c>
      <c r="AB1316" s="10" t="n">
        <v>24797</v>
      </c>
      <c r="AC1316" s="10" t="n">
        <v>22326</v>
      </c>
      <c r="AD1316" s="7" t="n">
        <v>242878</v>
      </c>
      <c r="AE1316" s="8" t="n">
        <v>24299</v>
      </c>
      <c r="AF1316" s="8" t="n">
        <v>15582</v>
      </c>
      <c r="AG1316" s="9" t="n">
        <v>251016</v>
      </c>
      <c r="AH1316" s="10" t="n">
        <v>27336</v>
      </c>
      <c r="AI1316" s="10" t="n">
        <v>26309</v>
      </c>
      <c r="AJ1316" s="11" t="n">
        <v>258897</v>
      </c>
      <c r="AK1316" s="12" t="n">
        <v>26094</v>
      </c>
      <c r="AL1316" s="12" t="n">
        <v>17242</v>
      </c>
      <c r="AM1316" s="13" t="n">
        <v>3.1</v>
      </c>
      <c r="AN1316" s="13" t="n">
        <v>10.9</v>
      </c>
      <c r="AO1316" s="13" t="n">
        <v>-4.5</v>
      </c>
      <c r="AP1316" s="13" t="n">
        <v>17.9</v>
      </c>
    </row>
    <row r="1317">
      <c r="A1317" s="5" t="inlineStr">
        <is>
          <t>에코프로</t>
        </is>
      </c>
      <c r="B1317" s="6" t="inlineStr">
        <is>
          <t>086520</t>
        </is>
      </c>
      <c r="C1317" s="6" t="inlineStr">
        <is>
          <t>연결</t>
        </is>
      </c>
      <c r="D1317" s="6" t="inlineStr">
        <is>
          <t>2026Q2</t>
        </is>
      </c>
      <c r="E1317" s="6" t="inlineStr">
        <is>
          <t>2023Q4</t>
        </is>
      </c>
      <c r="F1317" s="14" t="n">
        <v>1273648</v>
      </c>
      <c r="G1317" s="15" t="n">
        <v>-122376</v>
      </c>
      <c r="H1317" s="15" t="n">
        <v>-143190</v>
      </c>
      <c r="I1317" s="9" t="n">
        <v>1020594</v>
      </c>
      <c r="J1317" s="10" t="n">
        <v>-29841</v>
      </c>
      <c r="K1317" s="10" t="n">
        <v>-42517</v>
      </c>
      <c r="L1317" s="7" t="n">
        <v>864090</v>
      </c>
      <c r="M1317" s="8" t="n">
        <v>-54648</v>
      </c>
      <c r="N1317" s="8" t="n">
        <v>-47703</v>
      </c>
      <c r="O1317" s="9" t="n">
        <v>594279</v>
      </c>
      <c r="P1317" s="10" t="n">
        <v>-108757</v>
      </c>
      <c r="Q1317" s="10" t="n">
        <v>-119422</v>
      </c>
      <c r="R1317" s="7" t="n">
        <v>648890</v>
      </c>
      <c r="S1317" s="8" t="n">
        <v>-99793</v>
      </c>
      <c r="T1317" s="8" t="n">
        <v>-85725</v>
      </c>
      <c r="U1317" s="9" t="n">
        <v>806827</v>
      </c>
      <c r="V1317" s="10" t="n">
        <v>1374</v>
      </c>
      <c r="W1317" s="10" t="n">
        <v>-10759</v>
      </c>
      <c r="X1317" s="7" t="n">
        <v>931705</v>
      </c>
      <c r="Y1317" s="8" t="n">
        <v>16228</v>
      </c>
      <c r="Z1317" s="8" t="n">
        <v>-37959</v>
      </c>
      <c r="AA1317" s="9" t="n">
        <v>959384</v>
      </c>
      <c r="AB1317" s="10" t="n">
        <v>149387</v>
      </c>
      <c r="AC1317" s="10" t="n">
        <v>173937</v>
      </c>
      <c r="AD1317" s="7" t="n">
        <v>715106</v>
      </c>
      <c r="AE1317" s="8" t="n">
        <v>46775</v>
      </c>
      <c r="AF1317" s="8" t="n">
        <v>-230759</v>
      </c>
      <c r="AG1317" s="9" t="n">
        <v>818256</v>
      </c>
      <c r="AH1317" s="10" t="n">
        <v>56386</v>
      </c>
      <c r="AI1317" s="10" t="n">
        <v>236527</v>
      </c>
      <c r="AJ1317" s="11" t="n">
        <v>821509</v>
      </c>
      <c r="AK1317" s="12" t="n">
        <v>33582</v>
      </c>
      <c r="AL1317" s="12" t="n">
        <v>51795</v>
      </c>
      <c r="AM1317" s="13" t="n">
        <v>0.4</v>
      </c>
      <c r="AN1317" s="13" t="n">
        <v>-11.8</v>
      </c>
      <c r="AO1317" s="13" t="n">
        <v>-40.4</v>
      </c>
      <c r="AP1317" s="13" t="n">
        <v>106.9</v>
      </c>
    </row>
    <row r="1318">
      <c r="A1318" s="5" t="inlineStr">
        <is>
          <t>비엠티</t>
        </is>
      </c>
      <c r="B1318" s="6" t="inlineStr">
        <is>
          <t>086670</t>
        </is>
      </c>
      <c r="C1318" s="6" t="inlineStr">
        <is>
          <t>연결</t>
        </is>
      </c>
      <c r="D1318" s="6" t="inlineStr">
        <is>
          <t>2026Q2</t>
        </is>
      </c>
      <c r="E1318" s="6" t="inlineStr">
        <is>
          <t>2023Q4</t>
        </is>
      </c>
      <c r="F1318" s="14" t="n">
        <v>39941</v>
      </c>
      <c r="G1318" s="15" t="n">
        <v>1026</v>
      </c>
      <c r="H1318" s="15" t="n">
        <v>973</v>
      </c>
      <c r="I1318" s="9" t="n">
        <v>31285</v>
      </c>
      <c r="J1318" s="10" t="n">
        <v>2762</v>
      </c>
      <c r="K1318" s="10" t="n">
        <v>2552</v>
      </c>
      <c r="L1318" s="7" t="n">
        <v>32566</v>
      </c>
      <c r="M1318" s="8" t="n">
        <v>1384</v>
      </c>
      <c r="N1318" s="8" t="n">
        <v>-1266</v>
      </c>
      <c r="O1318" s="9" t="n">
        <v>32655</v>
      </c>
      <c r="P1318" s="10" t="n">
        <v>-7</v>
      </c>
      <c r="Q1318" s="10" t="n">
        <v>-1518</v>
      </c>
      <c r="R1318" s="7" t="n">
        <v>36303</v>
      </c>
      <c r="S1318" s="8" t="n">
        <v>2327</v>
      </c>
      <c r="T1318" s="8" t="n">
        <v>4277</v>
      </c>
      <c r="U1318" s="9" t="n">
        <v>36598</v>
      </c>
      <c r="V1318" s="10" t="n">
        <v>2777</v>
      </c>
      <c r="W1318" s="10" t="n">
        <v>3588</v>
      </c>
      <c r="X1318" s="7" t="n">
        <v>39269</v>
      </c>
      <c r="Y1318" s="8" t="n">
        <v>3417</v>
      </c>
      <c r="Z1318" s="8" t="n">
        <v>1095</v>
      </c>
      <c r="AA1318" s="9" t="n">
        <v>37464</v>
      </c>
      <c r="AB1318" s="10" t="n">
        <v>5813</v>
      </c>
      <c r="AC1318" s="10" t="n">
        <v>12541</v>
      </c>
      <c r="AD1318" s="7" t="n">
        <v>33660</v>
      </c>
      <c r="AE1318" s="8" t="n">
        <v>3307</v>
      </c>
      <c r="AF1318" s="8" t="n">
        <v>1714</v>
      </c>
      <c r="AG1318" s="9" t="n">
        <v>35569</v>
      </c>
      <c r="AH1318" s="10" t="n">
        <v>1772</v>
      </c>
      <c r="AI1318" s="10" t="n">
        <v>3643</v>
      </c>
      <c r="AJ1318" s="11" t="n">
        <v>48647</v>
      </c>
      <c r="AK1318" s="12" t="n">
        <v>6296</v>
      </c>
      <c r="AL1318" s="12" t="n">
        <v>4883</v>
      </c>
      <c r="AM1318" s="13" t="n">
        <v>36.8</v>
      </c>
      <c r="AN1318" s="13" t="n">
        <v>23.9</v>
      </c>
      <c r="AO1318" s="13" t="n">
        <v>255.3</v>
      </c>
      <c r="AP1318" s="13" t="n">
        <v>84.3</v>
      </c>
    </row>
    <row r="1319">
      <c r="A1319" s="5" t="inlineStr">
        <is>
          <t>선진뷰티사이언스</t>
        </is>
      </c>
      <c r="B1319" s="6" t="inlineStr">
        <is>
          <t>086710</t>
        </is>
      </c>
      <c r="C1319" s="6" t="inlineStr">
        <is>
          <t>연결</t>
        </is>
      </c>
      <c r="D1319" s="6" t="inlineStr">
        <is>
          <t>2026Q2</t>
        </is>
      </c>
      <c r="E1319" s="6" t="inlineStr"/>
      <c r="F1319" s="7" t="inlineStr"/>
      <c r="G1319" s="8" t="inlineStr"/>
      <c r="H1319" s="8" t="inlineStr"/>
      <c r="I1319" s="9" t="n">
        <v>20794</v>
      </c>
      <c r="J1319" s="10" t="n">
        <v>3817</v>
      </c>
      <c r="K1319" s="10" t="n">
        <v>3604</v>
      </c>
      <c r="L1319" s="7" t="n">
        <v>21843</v>
      </c>
      <c r="M1319" s="8" t="n">
        <v>3809</v>
      </c>
      <c r="N1319" s="8" t="n">
        <v>2684</v>
      </c>
      <c r="O1319" s="9" t="n">
        <v>18229</v>
      </c>
      <c r="P1319" s="10" t="n">
        <v>2520</v>
      </c>
      <c r="Q1319" s="10" t="n">
        <v>1408</v>
      </c>
      <c r="R1319" s="7" t="n">
        <v>18506</v>
      </c>
      <c r="S1319" s="8" t="n">
        <v>494</v>
      </c>
      <c r="T1319" s="8" t="n">
        <v>2737</v>
      </c>
      <c r="U1319" s="9" t="n">
        <v>22488</v>
      </c>
      <c r="V1319" s="10" t="n">
        <v>3735</v>
      </c>
      <c r="W1319" s="10" t="n">
        <v>3330</v>
      </c>
      <c r="X1319" s="7" t="n">
        <v>21648</v>
      </c>
      <c r="Y1319" s="8" t="n">
        <v>2033</v>
      </c>
      <c r="Z1319" s="8" t="n">
        <v>2190</v>
      </c>
      <c r="AA1319" s="9" t="n">
        <v>18856</v>
      </c>
      <c r="AB1319" s="10" t="n">
        <v>697</v>
      </c>
      <c r="AC1319" s="10" t="n">
        <v>1209</v>
      </c>
      <c r="AD1319" s="7" t="n">
        <v>17774</v>
      </c>
      <c r="AE1319" s="8" t="n">
        <v>-405</v>
      </c>
      <c r="AF1319" s="8" t="n">
        <v>588</v>
      </c>
      <c r="AG1319" s="9" t="n">
        <v>22733</v>
      </c>
      <c r="AH1319" s="10" t="n">
        <v>1519</v>
      </c>
      <c r="AI1319" s="10" t="n">
        <v>2097</v>
      </c>
      <c r="AJ1319" s="11" t="n">
        <v>23572</v>
      </c>
      <c r="AK1319" s="12" t="n">
        <v>1676</v>
      </c>
      <c r="AL1319" s="12" t="n">
        <v>2311</v>
      </c>
      <c r="AM1319" s="13" t="n">
        <v>3.7</v>
      </c>
      <c r="AN1319" s="13" t="n">
        <v>8.9</v>
      </c>
      <c r="AO1319" s="13" t="n">
        <v>10.3</v>
      </c>
      <c r="AP1319" s="13" t="n">
        <v>-17.6</v>
      </c>
    </row>
    <row r="1320">
      <c r="A1320" s="5" t="inlineStr">
        <is>
          <t>하나금융지주</t>
        </is>
      </c>
      <c r="B1320" s="6" t="inlineStr">
        <is>
          <t>086790</t>
        </is>
      </c>
      <c r="C1320" s="6" t="inlineStr">
        <is>
          <t>연결</t>
        </is>
      </c>
      <c r="D1320" s="6" t="inlineStr">
        <is>
          <t>2026Q2</t>
        </is>
      </c>
      <c r="E1320" s="6" t="inlineStr">
        <is>
          <t>2023Q4</t>
        </is>
      </c>
      <c r="F1320" s="14" t="n">
        <v>14270603</v>
      </c>
      <c r="G1320" s="15" t="n">
        <v>692206</v>
      </c>
      <c r="H1320" s="15" t="n">
        <v>489607</v>
      </c>
      <c r="I1320" s="14" t="n">
        <v>22437964</v>
      </c>
      <c r="J1320" s="10" t="n">
        <v>1563142</v>
      </c>
      <c r="K1320" s="10" t="n">
        <v>1041553</v>
      </c>
      <c r="L1320" s="14" t="n">
        <v>19710699</v>
      </c>
      <c r="M1320" s="8" t="n">
        <v>1359085</v>
      </c>
      <c r="N1320" s="8" t="n">
        <v>1045551</v>
      </c>
      <c r="O1320" s="14" t="n">
        <v>10927788</v>
      </c>
      <c r="P1320" s="10" t="n">
        <v>1331397</v>
      </c>
      <c r="Q1320" s="10" t="n">
        <v>1160327</v>
      </c>
      <c r="R1320" s="14" t="n">
        <v>28501361</v>
      </c>
      <c r="S1320" s="8" t="n">
        <v>601558</v>
      </c>
      <c r="T1320" s="8" t="n">
        <v>521098</v>
      </c>
      <c r="U1320" s="14" t="n">
        <v>16922150</v>
      </c>
      <c r="V1320" s="10" t="n">
        <v>1488926</v>
      </c>
      <c r="W1320" s="10" t="n">
        <v>1138429</v>
      </c>
      <c r="X1320" s="14" t="n">
        <v>23977916</v>
      </c>
      <c r="Y1320" s="8" t="n">
        <v>1493322</v>
      </c>
      <c r="Z1320" s="8" t="n">
        <v>1184800</v>
      </c>
      <c r="AA1320" s="14" t="n">
        <v>10892322</v>
      </c>
      <c r="AB1320" s="10" t="n">
        <v>1478246</v>
      </c>
      <c r="AC1320" s="10" t="n">
        <v>1135778</v>
      </c>
      <c r="AD1320" s="14" t="n">
        <v>17149199</v>
      </c>
      <c r="AE1320" s="8" t="n">
        <v>890404</v>
      </c>
      <c r="AF1320" s="8" t="n">
        <v>577631</v>
      </c>
      <c r="AG1320" s="14" t="n">
        <v>29006084</v>
      </c>
      <c r="AH1320" s="10" t="n">
        <v>1653600</v>
      </c>
      <c r="AI1320" s="10" t="n">
        <v>1230660</v>
      </c>
      <c r="AJ1320" s="14" t="n">
        <v>27258944</v>
      </c>
      <c r="AK1320" s="12" t="n">
        <v>1594384</v>
      </c>
      <c r="AL1320" s="12" t="n">
        <v>1206086</v>
      </c>
      <c r="AM1320" s="13" t="n">
        <v>-6</v>
      </c>
      <c r="AN1320" s="13" t="n">
        <v>13.7</v>
      </c>
      <c r="AO1320" s="13" t="n">
        <v>-3.6</v>
      </c>
      <c r="AP1320" s="13" t="n">
        <v>6.8</v>
      </c>
    </row>
    <row r="1321">
      <c r="A1321" s="5" t="inlineStr">
        <is>
          <t>바이오솔루션</t>
        </is>
      </c>
      <c r="B1321" s="6" t="inlineStr">
        <is>
          <t>086820</t>
        </is>
      </c>
      <c r="C1321" s="6" t="inlineStr">
        <is>
          <t>연결</t>
        </is>
      </c>
      <c r="D1321" s="6" t="inlineStr">
        <is>
          <t>2026Q2</t>
        </is>
      </c>
      <c r="E1321" s="6" t="inlineStr"/>
      <c r="F1321" s="7" t="inlineStr"/>
      <c r="G1321" s="8" t="inlineStr"/>
      <c r="H1321" s="8" t="inlineStr"/>
      <c r="I1321" s="9" t="n">
        <v>2577</v>
      </c>
      <c r="J1321" s="10" t="n">
        <v>-2622</v>
      </c>
      <c r="K1321" s="10" t="n">
        <v>-3483</v>
      </c>
      <c r="L1321" s="7" t="n">
        <v>3293</v>
      </c>
      <c r="M1321" s="8" t="n">
        <v>-714</v>
      </c>
      <c r="N1321" s="8" t="n">
        <v>-687</v>
      </c>
      <c r="O1321" s="9" t="n">
        <v>3433</v>
      </c>
      <c r="P1321" s="10" t="n">
        <v>-1257</v>
      </c>
      <c r="Q1321" s="10" t="n">
        <v>-2595</v>
      </c>
      <c r="R1321" s="7" t="n">
        <v>3586</v>
      </c>
      <c r="S1321" s="8" t="n">
        <v>-476</v>
      </c>
      <c r="T1321" s="8" t="n">
        <v>-5163</v>
      </c>
      <c r="U1321" s="9" t="n">
        <v>3139</v>
      </c>
      <c r="V1321" s="10" t="n">
        <v>-1377</v>
      </c>
      <c r="W1321" s="10" t="n">
        <v>-2420</v>
      </c>
      <c r="X1321" s="7" t="n">
        <v>3133</v>
      </c>
      <c r="Y1321" s="8" t="n">
        <v>-1380</v>
      </c>
      <c r="Z1321" s="8" t="n">
        <v>-950</v>
      </c>
      <c r="AA1321" s="9" t="n">
        <v>4512</v>
      </c>
      <c r="AB1321" s="10" t="n">
        <v>-1099</v>
      </c>
      <c r="AC1321" s="10" t="n">
        <v>-1856</v>
      </c>
      <c r="AD1321" s="7" t="n">
        <v>4416</v>
      </c>
      <c r="AE1321" s="8" t="n">
        <v>-485</v>
      </c>
      <c r="AF1321" s="8" t="n">
        <v>5499</v>
      </c>
      <c r="AG1321" s="9" t="n">
        <v>3763</v>
      </c>
      <c r="AH1321" s="10" t="n">
        <v>-1299</v>
      </c>
      <c r="AI1321" s="10" t="n">
        <v>-2039</v>
      </c>
      <c r="AJ1321" s="11" t="n">
        <v>4704</v>
      </c>
      <c r="AK1321" s="12" t="n">
        <v>-482</v>
      </c>
      <c r="AL1321" s="12" t="n">
        <v>-736</v>
      </c>
      <c r="AM1321" s="13" t="n">
        <v>25</v>
      </c>
      <c r="AN1321" s="13" t="n">
        <v>50.1</v>
      </c>
      <c r="AO1321" s="13" t="n">
        <v>62.9</v>
      </c>
      <c r="AP1321" s="13" t="n">
        <v>65.09999999999999</v>
      </c>
    </row>
    <row r="1322">
      <c r="A1322" s="5" t="inlineStr">
        <is>
          <t>이수앱지스</t>
        </is>
      </c>
      <c r="B1322" s="6" t="inlineStr">
        <is>
          <t>086890</t>
        </is>
      </c>
      <c r="C1322" s="6" t="inlineStr">
        <is>
          <t>별도</t>
        </is>
      </c>
      <c r="D1322" s="6" t="inlineStr">
        <is>
          <t>2026Q2</t>
        </is>
      </c>
      <c r="E1322" s="6" t="inlineStr"/>
      <c r="F1322" s="7" t="inlineStr"/>
      <c r="G1322" s="8" t="inlineStr"/>
      <c r="H1322" s="8" t="inlineStr"/>
      <c r="I1322" s="9" t="n">
        <v>16511</v>
      </c>
      <c r="J1322" s="10" t="n">
        <v>3237</v>
      </c>
      <c r="K1322" s="10" t="n">
        <v>-16379</v>
      </c>
      <c r="L1322" s="7" t="n">
        <v>14342</v>
      </c>
      <c r="M1322" s="8" t="n">
        <v>4768</v>
      </c>
      <c r="N1322" s="8" t="n">
        <v>2047</v>
      </c>
      <c r="O1322" s="9" t="n">
        <v>8764</v>
      </c>
      <c r="P1322" s="10" t="n">
        <v>145</v>
      </c>
      <c r="Q1322" s="10" t="n">
        <v>1122</v>
      </c>
      <c r="R1322" s="7" t="n">
        <v>20641</v>
      </c>
      <c r="S1322" s="8" t="n">
        <v>5252</v>
      </c>
      <c r="T1322" s="8" t="n">
        <v>27928</v>
      </c>
      <c r="U1322" s="9" t="n">
        <v>7183</v>
      </c>
      <c r="V1322" s="10" t="n">
        <v>-463</v>
      </c>
      <c r="W1322" s="10" t="n">
        <v>-8762</v>
      </c>
      <c r="X1322" s="7" t="n">
        <v>22829</v>
      </c>
      <c r="Y1322" s="8" t="n">
        <v>9382</v>
      </c>
      <c r="Z1322" s="8" t="n">
        <v>9232</v>
      </c>
      <c r="AA1322" s="9" t="n">
        <v>15734</v>
      </c>
      <c r="AB1322" s="10" t="n">
        <v>562</v>
      </c>
      <c r="AC1322" s="10" t="n">
        <v>-255</v>
      </c>
      <c r="AD1322" s="7" t="n">
        <v>10926</v>
      </c>
      <c r="AE1322" s="8" t="n">
        <v>-7847</v>
      </c>
      <c r="AF1322" s="8" t="n">
        <v>-10893</v>
      </c>
      <c r="AG1322" s="9" t="n">
        <v>9452</v>
      </c>
      <c r="AH1322" s="10" t="n">
        <v>-3441</v>
      </c>
      <c r="AI1322" s="10" t="n">
        <v>-202</v>
      </c>
      <c r="AJ1322" s="11" t="n">
        <v>14929</v>
      </c>
      <c r="AK1322" s="12" t="n">
        <v>479</v>
      </c>
      <c r="AL1322" s="12" t="n">
        <v>3170</v>
      </c>
      <c r="AM1322" s="13" t="n">
        <v>57.9</v>
      </c>
      <c r="AN1322" s="13" t="n">
        <v>-34.6</v>
      </c>
      <c r="AO1322" s="13" t="n">
        <v>113.9</v>
      </c>
      <c r="AP1322" s="13" t="n">
        <v>-94.90000000000001</v>
      </c>
    </row>
    <row r="1323">
      <c r="A1323" s="5" t="inlineStr">
        <is>
          <t>메디톡스</t>
        </is>
      </c>
      <c r="B1323" s="6" t="inlineStr">
        <is>
          <t>086900</t>
        </is>
      </c>
      <c r="C1323" s="6" t="inlineStr">
        <is>
          <t>연결</t>
        </is>
      </c>
      <c r="D1323" s="6" t="inlineStr">
        <is>
          <t>2026Q2</t>
        </is>
      </c>
      <c r="E1323" s="6" t="inlineStr"/>
      <c r="F1323" s="7" t="inlineStr"/>
      <c r="G1323" s="8" t="inlineStr"/>
      <c r="H1323" s="8" t="inlineStr"/>
      <c r="I1323" s="9" t="n">
        <v>54588</v>
      </c>
      <c r="J1323" s="10" t="n">
        <v>-930</v>
      </c>
      <c r="K1323" s="10" t="n">
        <v>-1462</v>
      </c>
      <c r="L1323" s="7" t="n">
        <v>65005</v>
      </c>
      <c r="M1323" s="8" t="n">
        <v>14332</v>
      </c>
      <c r="N1323" s="8" t="n">
        <v>11329</v>
      </c>
      <c r="O1323" s="9" t="n">
        <v>53852</v>
      </c>
      <c r="P1323" s="10" t="n">
        <v>6000</v>
      </c>
      <c r="Q1323" s="10" t="n">
        <v>3779</v>
      </c>
      <c r="R1323" s="7" t="n">
        <v>55177</v>
      </c>
      <c r="S1323" s="8" t="n">
        <v>947</v>
      </c>
      <c r="T1323" s="8" t="n">
        <v>2428</v>
      </c>
      <c r="U1323" s="9" t="n">
        <v>63957</v>
      </c>
      <c r="V1323" s="10" t="n">
        <v>5476</v>
      </c>
      <c r="W1323" s="10" t="n">
        <v>3343</v>
      </c>
      <c r="X1323" s="7" t="n">
        <v>61647</v>
      </c>
      <c r="Y1323" s="8" t="n">
        <v>6317</v>
      </c>
      <c r="Z1323" s="8" t="n">
        <v>8174</v>
      </c>
      <c r="AA1323" s="9" t="n">
        <v>61017</v>
      </c>
      <c r="AB1323" s="10" t="n">
        <v>8899</v>
      </c>
      <c r="AC1323" s="10" t="n">
        <v>7199</v>
      </c>
      <c r="AD1323" s="7" t="n">
        <v>60669</v>
      </c>
      <c r="AE1323" s="8" t="n">
        <v>-3688</v>
      </c>
      <c r="AF1323" s="8" t="n">
        <v>-3057</v>
      </c>
      <c r="AG1323" s="9" t="n">
        <v>60688</v>
      </c>
      <c r="AH1323" s="10" t="n">
        <v>7372</v>
      </c>
      <c r="AI1323" s="10" t="n">
        <v>7879</v>
      </c>
      <c r="AJ1323" s="11" t="n">
        <v>68702</v>
      </c>
      <c r="AK1323" s="12" t="n">
        <v>4765</v>
      </c>
      <c r="AL1323" s="12" t="n">
        <v>3128</v>
      </c>
      <c r="AM1323" s="13" t="n">
        <v>13.2</v>
      </c>
      <c r="AN1323" s="13" t="n">
        <v>11.4</v>
      </c>
      <c r="AO1323" s="13" t="n">
        <v>-35.4</v>
      </c>
      <c r="AP1323" s="13" t="n">
        <v>-24.6</v>
      </c>
    </row>
    <row r="1324">
      <c r="A1324" s="5" t="inlineStr">
        <is>
          <t>MDS테크</t>
        </is>
      </c>
      <c r="B1324" s="6" t="inlineStr">
        <is>
          <t>086960</t>
        </is>
      </c>
      <c r="C1324" s="6" t="inlineStr">
        <is>
          <t>연결</t>
        </is>
      </c>
      <c r="D1324" s="6" t="inlineStr">
        <is>
          <t>2026Q2</t>
        </is>
      </c>
      <c r="E1324" s="6" t="inlineStr"/>
      <c r="F1324" s="7" t="inlineStr"/>
      <c r="G1324" s="8" t="inlineStr"/>
      <c r="H1324" s="8" t="inlineStr"/>
      <c r="I1324" s="9" t="n">
        <v>42401</v>
      </c>
      <c r="J1324" s="10" t="n">
        <v>2347</v>
      </c>
      <c r="K1324" s="10" t="n">
        <v>2577</v>
      </c>
      <c r="L1324" s="7" t="n">
        <v>38656</v>
      </c>
      <c r="M1324" s="8" t="n">
        <v>939</v>
      </c>
      <c r="N1324" s="8" t="n">
        <v>2859</v>
      </c>
      <c r="O1324" s="9" t="n">
        <v>43084</v>
      </c>
      <c r="P1324" s="10" t="n">
        <v>3447</v>
      </c>
      <c r="Q1324" s="10" t="n">
        <v>1219</v>
      </c>
      <c r="R1324" s="7" t="n">
        <v>41438</v>
      </c>
      <c r="S1324" s="8" t="n">
        <v>-789</v>
      </c>
      <c r="T1324" s="8" t="n">
        <v>-534</v>
      </c>
      <c r="U1324" s="9" t="n">
        <v>50653</v>
      </c>
      <c r="V1324" s="10" t="n">
        <v>930</v>
      </c>
      <c r="W1324" s="10" t="n">
        <v>165</v>
      </c>
      <c r="X1324" s="7" t="n">
        <v>44572</v>
      </c>
      <c r="Y1324" s="8" t="n">
        <v>1885</v>
      </c>
      <c r="Z1324" s="8" t="n">
        <v>-4780</v>
      </c>
      <c r="AA1324" s="9" t="n">
        <v>47709</v>
      </c>
      <c r="AB1324" s="10" t="n">
        <v>2406</v>
      </c>
      <c r="AC1324" s="10" t="n">
        <v>7117</v>
      </c>
      <c r="AD1324" s="7" t="n">
        <v>44772</v>
      </c>
      <c r="AE1324" s="8" t="n">
        <v>592</v>
      </c>
      <c r="AF1324" s="8" t="n">
        <v>3688</v>
      </c>
      <c r="AG1324" s="9" t="n">
        <v>50867</v>
      </c>
      <c r="AH1324" s="10" t="n">
        <v>4527</v>
      </c>
      <c r="AI1324" s="10" t="n">
        <v>2051</v>
      </c>
      <c r="AJ1324" s="11" t="n">
        <v>57637</v>
      </c>
      <c r="AK1324" s="12" t="n">
        <v>4200</v>
      </c>
      <c r="AL1324" s="12" t="n">
        <v>6597</v>
      </c>
      <c r="AM1324" s="13" t="n">
        <v>13.3</v>
      </c>
      <c r="AN1324" s="13" t="n">
        <v>29.3</v>
      </c>
      <c r="AO1324" s="13" t="n">
        <v>-7.2</v>
      </c>
      <c r="AP1324" s="13" t="n">
        <v>122.8</v>
      </c>
    </row>
    <row r="1325">
      <c r="A1325" s="5" t="inlineStr">
        <is>
          <t>쇼박스</t>
        </is>
      </c>
      <c r="B1325" s="6" t="inlineStr">
        <is>
          <t>086980</t>
        </is>
      </c>
      <c r="C1325" s="6" t="inlineStr">
        <is>
          <t>연결</t>
        </is>
      </c>
      <c r="D1325" s="6" t="inlineStr">
        <is>
          <t>2026Q2</t>
        </is>
      </c>
      <c r="E1325" s="6" t="inlineStr"/>
      <c r="F1325" s="7" t="inlineStr"/>
      <c r="G1325" s="8" t="inlineStr"/>
      <c r="H1325" s="8" t="inlineStr"/>
      <c r="I1325" s="9" t="n">
        <v>63214</v>
      </c>
      <c r="J1325" s="10" t="n">
        <v>19954</v>
      </c>
      <c r="K1325" s="10" t="n">
        <v>20077</v>
      </c>
      <c r="L1325" s="7" t="n">
        <v>16979</v>
      </c>
      <c r="M1325" s="8" t="n">
        <v>5563</v>
      </c>
      <c r="N1325" s="8" t="n">
        <v>6418</v>
      </c>
      <c r="O1325" s="9" t="n">
        <v>4854</v>
      </c>
      <c r="P1325" s="10" t="n">
        <v>-582</v>
      </c>
      <c r="Q1325" s="10" t="n">
        <v>-65</v>
      </c>
      <c r="R1325" s="7" t="n">
        <v>8071</v>
      </c>
      <c r="S1325" s="8" t="n">
        <v>-411</v>
      </c>
      <c r="T1325" s="8" t="n">
        <v>998</v>
      </c>
      <c r="U1325" s="9" t="n">
        <v>11734</v>
      </c>
      <c r="V1325" s="10" t="n">
        <v>-1412</v>
      </c>
      <c r="W1325" s="10" t="n">
        <v>-1450</v>
      </c>
      <c r="X1325" s="7" t="n">
        <v>18898</v>
      </c>
      <c r="Y1325" s="8" t="n">
        <v>-5480</v>
      </c>
      <c r="Z1325" s="8" t="n">
        <v>-5984</v>
      </c>
      <c r="AA1325" s="9" t="n">
        <v>17285</v>
      </c>
      <c r="AB1325" s="10" t="n">
        <v>-1192</v>
      </c>
      <c r="AC1325" s="10" t="n">
        <v>-2007</v>
      </c>
      <c r="AD1325" s="7" t="n">
        <v>14831</v>
      </c>
      <c r="AE1325" s="8" t="n">
        <v>-3567</v>
      </c>
      <c r="AF1325" s="8" t="n">
        <v>-5607</v>
      </c>
      <c r="AG1325" s="9" t="n">
        <v>78855</v>
      </c>
      <c r="AH1325" s="10" t="n">
        <v>21667</v>
      </c>
      <c r="AI1325" s="10" t="n">
        <v>17900</v>
      </c>
      <c r="AJ1325" s="11" t="n">
        <v>67583</v>
      </c>
      <c r="AK1325" s="12" t="n">
        <v>12497</v>
      </c>
      <c r="AL1325" s="12" t="n">
        <v>9827</v>
      </c>
      <c r="AM1325" s="13" t="n">
        <v>-14.3</v>
      </c>
      <c r="AN1325" s="13" t="n">
        <v>257.6</v>
      </c>
      <c r="AO1325" s="13" t="n">
        <v>-42.3</v>
      </c>
      <c r="AP1325" s="13" t="n">
        <v>328</v>
      </c>
    </row>
    <row r="1326">
      <c r="A1326" s="5" t="inlineStr">
        <is>
          <t>펩트론</t>
        </is>
      </c>
      <c r="B1326" s="6" t="inlineStr">
        <is>
          <t>087010</t>
        </is>
      </c>
      <c r="C1326" s="6" t="inlineStr">
        <is>
          <t>별도</t>
        </is>
      </c>
      <c r="D1326" s="6" t="inlineStr">
        <is>
          <t>2026Q2</t>
        </is>
      </c>
      <c r="E1326" s="6" t="inlineStr"/>
      <c r="F1326" s="7" t="inlineStr"/>
      <c r="G1326" s="8" t="inlineStr"/>
      <c r="H1326" s="8" t="inlineStr"/>
      <c r="I1326" s="9" t="n">
        <v>477</v>
      </c>
      <c r="J1326" s="10" t="n">
        <v>-4038</v>
      </c>
      <c r="K1326" s="10" t="n">
        <v>-4031</v>
      </c>
      <c r="L1326" s="7" t="n">
        <v>542</v>
      </c>
      <c r="M1326" s="8" t="n">
        <v>-4278</v>
      </c>
      <c r="N1326" s="8" t="n">
        <v>-8189</v>
      </c>
      <c r="O1326" s="9" t="n">
        <v>588</v>
      </c>
      <c r="P1326" s="10" t="n">
        <v>-4700</v>
      </c>
      <c r="Q1326" s="10" t="n">
        <v>-4768</v>
      </c>
      <c r="R1326" s="7" t="n">
        <v>1545</v>
      </c>
      <c r="S1326" s="8" t="n">
        <v>-3512</v>
      </c>
      <c r="T1326" s="8" t="n">
        <v>-5046</v>
      </c>
      <c r="U1326" s="9" t="n">
        <v>1620</v>
      </c>
      <c r="V1326" s="10" t="n">
        <v>-4353</v>
      </c>
      <c r="W1326" s="10" t="n">
        <v>-3322</v>
      </c>
      <c r="X1326" s="7" t="n">
        <v>1426</v>
      </c>
      <c r="Y1326" s="8" t="n">
        <v>-4979</v>
      </c>
      <c r="Z1326" s="8" t="n">
        <v>-3798</v>
      </c>
      <c r="AA1326" s="9" t="n">
        <v>1602</v>
      </c>
      <c r="AB1326" s="10" t="n">
        <v>-6235</v>
      </c>
      <c r="AC1326" s="10" t="n">
        <v>-2024</v>
      </c>
      <c r="AD1326" s="7" t="n">
        <v>987</v>
      </c>
      <c r="AE1326" s="8" t="n">
        <v>-5690</v>
      </c>
      <c r="AF1326" s="8" t="n">
        <v>-4680</v>
      </c>
      <c r="AG1326" s="9" t="n">
        <v>1967</v>
      </c>
      <c r="AH1326" s="10" t="n">
        <v>-5778</v>
      </c>
      <c r="AI1326" s="10" t="n">
        <v>-6115</v>
      </c>
      <c r="AJ1326" s="11" t="n">
        <v>1445</v>
      </c>
      <c r="AK1326" s="12" t="n">
        <v>-7948</v>
      </c>
      <c r="AL1326" s="12" t="n">
        <v>-7713</v>
      </c>
      <c r="AM1326" s="13" t="n">
        <v>-26.5</v>
      </c>
      <c r="AN1326" s="13" t="n">
        <v>1.3</v>
      </c>
      <c r="AO1326" s="13" t="n">
        <v>-37.6</v>
      </c>
      <c r="AP1326" s="13" t="n">
        <v>-59.6</v>
      </c>
    </row>
    <row r="1327">
      <c r="A1327" s="5" t="inlineStr">
        <is>
          <t>모바일어플라이언스</t>
        </is>
      </c>
      <c r="B1327" s="6" t="inlineStr">
        <is>
          <t>087260</t>
        </is>
      </c>
      <c r="C1327" s="6" t="inlineStr">
        <is>
          <t>연결</t>
        </is>
      </c>
      <c r="D1327" s="6" t="inlineStr">
        <is>
          <t>2026Q2</t>
        </is>
      </c>
      <c r="E1327" s="6" t="inlineStr"/>
      <c r="F1327" s="7" t="inlineStr"/>
      <c r="G1327" s="8" t="inlineStr"/>
      <c r="H1327" s="8" t="inlineStr"/>
      <c r="I1327" s="9" t="n">
        <v>6713</v>
      </c>
      <c r="J1327" s="10" t="n">
        <v>-932</v>
      </c>
      <c r="K1327" s="10" t="n">
        <v>-1407</v>
      </c>
      <c r="L1327" s="7" t="n">
        <v>7910</v>
      </c>
      <c r="M1327" s="8" t="n">
        <v>-219</v>
      </c>
      <c r="N1327" s="8" t="n">
        <v>-993</v>
      </c>
      <c r="O1327" s="9" t="n">
        <v>10941</v>
      </c>
      <c r="P1327" s="10" t="n">
        <v>607</v>
      </c>
      <c r="Q1327" s="10" t="n">
        <v>1099</v>
      </c>
      <c r="R1327" s="7" t="n">
        <v>14917</v>
      </c>
      <c r="S1327" s="8" t="n">
        <v>1516</v>
      </c>
      <c r="T1327" s="8" t="n">
        <v>2702</v>
      </c>
      <c r="U1327" s="9" t="n">
        <v>8392</v>
      </c>
      <c r="V1327" s="10" t="n">
        <v>-30</v>
      </c>
      <c r="W1327" s="10" t="n">
        <v>381</v>
      </c>
      <c r="X1327" s="7" t="n">
        <v>11089</v>
      </c>
      <c r="Y1327" s="8" t="n">
        <v>256</v>
      </c>
      <c r="Z1327" s="8" t="n">
        <v>1684</v>
      </c>
      <c r="AA1327" s="9" t="n">
        <v>7877</v>
      </c>
      <c r="AB1327" s="10" t="n">
        <v>-560</v>
      </c>
      <c r="AC1327" s="10" t="n">
        <v>-103</v>
      </c>
      <c r="AD1327" s="7" t="n">
        <v>7585</v>
      </c>
      <c r="AE1327" s="8" t="n">
        <v>-562</v>
      </c>
      <c r="AF1327" s="8" t="n">
        <v>-2527</v>
      </c>
      <c r="AG1327" s="9" t="n">
        <v>4455</v>
      </c>
      <c r="AH1327" s="10" t="n">
        <v>-2868</v>
      </c>
      <c r="AI1327" s="10" t="n">
        <v>-2986</v>
      </c>
      <c r="AJ1327" s="11" t="n">
        <v>8671</v>
      </c>
      <c r="AK1327" s="12" t="n">
        <v>-2807</v>
      </c>
      <c r="AL1327" s="12" t="n">
        <v>-3167</v>
      </c>
      <c r="AM1327" s="13" t="n">
        <v>94.59999999999999</v>
      </c>
      <c r="AN1327" s="13" t="n">
        <v>-21.8</v>
      </c>
      <c r="AO1327" s="13" t="n">
        <v>2.1</v>
      </c>
      <c r="AP1327" s="13" t="n">
        <v>-1196.5</v>
      </c>
    </row>
    <row r="1328">
      <c r="A1328" s="5" t="inlineStr">
        <is>
          <t>픽셀플러스</t>
        </is>
      </c>
      <c r="B1328" s="6" t="inlineStr">
        <is>
          <t>087600</t>
        </is>
      </c>
      <c r="C1328" s="6" t="inlineStr">
        <is>
          <t>별도</t>
        </is>
      </c>
      <c r="D1328" s="6" t="inlineStr">
        <is>
          <t>2026Q2</t>
        </is>
      </c>
      <c r="E1328" s="6" t="inlineStr">
        <is>
          <t>2023Q4</t>
        </is>
      </c>
      <c r="F1328" s="14" t="n">
        <v>11570</v>
      </c>
      <c r="G1328" s="15" t="n">
        <v>-1703</v>
      </c>
      <c r="H1328" s="15" t="n">
        <v>266</v>
      </c>
      <c r="I1328" s="9" t="n">
        <v>14142</v>
      </c>
      <c r="J1328" s="10" t="n">
        <v>186</v>
      </c>
      <c r="K1328" s="10" t="n">
        <v>856</v>
      </c>
      <c r="L1328" s="7" t="n">
        <v>14032</v>
      </c>
      <c r="M1328" s="8" t="n">
        <v>-627</v>
      </c>
      <c r="N1328" s="8" t="n">
        <v>-276</v>
      </c>
      <c r="O1328" s="9" t="n">
        <v>12721</v>
      </c>
      <c r="P1328" s="10" t="n">
        <v>329</v>
      </c>
      <c r="Q1328" s="10" t="n">
        <v>952</v>
      </c>
      <c r="R1328" s="7" t="n">
        <v>12587</v>
      </c>
      <c r="S1328" s="8" t="n">
        <v>958</v>
      </c>
      <c r="T1328" s="8" t="n">
        <v>1941</v>
      </c>
      <c r="U1328" s="9" t="n">
        <v>10646</v>
      </c>
      <c r="V1328" s="10" t="n">
        <v>-886</v>
      </c>
      <c r="W1328" s="10" t="n">
        <v>-836</v>
      </c>
      <c r="X1328" s="7" t="n">
        <v>9351</v>
      </c>
      <c r="Y1328" s="8" t="n">
        <v>-2229</v>
      </c>
      <c r="Z1328" s="8" t="n">
        <v>-2324</v>
      </c>
      <c r="AA1328" s="9" t="n">
        <v>11793</v>
      </c>
      <c r="AB1328" s="10" t="n">
        <v>354</v>
      </c>
      <c r="AC1328" s="10" t="n">
        <v>467</v>
      </c>
      <c r="AD1328" s="7" t="n">
        <v>10918</v>
      </c>
      <c r="AE1328" s="8" t="n">
        <v>-2869</v>
      </c>
      <c r="AF1328" s="8" t="n">
        <v>-605</v>
      </c>
      <c r="AG1328" s="9" t="n">
        <v>12143</v>
      </c>
      <c r="AH1328" s="10" t="n">
        <v>-2046</v>
      </c>
      <c r="AI1328" s="10" t="n">
        <v>-1144</v>
      </c>
      <c r="AJ1328" s="11" t="n">
        <v>11844</v>
      </c>
      <c r="AK1328" s="12" t="n">
        <v>-1989</v>
      </c>
      <c r="AL1328" s="12" t="n">
        <v>-1951</v>
      </c>
      <c r="AM1328" s="13" t="n">
        <v>-2.5</v>
      </c>
      <c r="AN1328" s="13" t="n">
        <v>26.7</v>
      </c>
      <c r="AO1328" s="13" t="n">
        <v>2.8</v>
      </c>
      <c r="AP1328" s="13" t="n">
        <v>10.8</v>
      </c>
    </row>
    <row r="1329">
      <c r="A1329" s="5" t="inlineStr">
        <is>
          <t>동아엘텍</t>
        </is>
      </c>
      <c r="B1329" s="6" t="inlineStr">
        <is>
          <t>088130</t>
        </is>
      </c>
      <c r="C1329" s="6" t="inlineStr">
        <is>
          <t>연결</t>
        </is>
      </c>
      <c r="D1329" s="6" t="inlineStr">
        <is>
          <t>2026Q2</t>
        </is>
      </c>
      <c r="E1329" s="6" t="inlineStr"/>
      <c r="F1329" s="7" t="inlineStr"/>
      <c r="G1329" s="8" t="inlineStr"/>
      <c r="H1329" s="8" t="inlineStr"/>
      <c r="I1329" s="9" t="n">
        <v>33943</v>
      </c>
      <c r="J1329" s="10" t="n">
        <v>-1211</v>
      </c>
      <c r="K1329" s="10" t="n">
        <v>-10832</v>
      </c>
      <c r="L1329" s="7" t="n">
        <v>66971</v>
      </c>
      <c r="M1329" s="8" t="n">
        <v>12459</v>
      </c>
      <c r="N1329" s="8" t="n">
        <v>135</v>
      </c>
      <c r="O1329" s="9" t="n">
        <v>24856</v>
      </c>
      <c r="P1329" s="10" t="n">
        <v>-130</v>
      </c>
      <c r="Q1329" s="10" t="n">
        <v>15449</v>
      </c>
      <c r="R1329" s="7" t="n">
        <v>52667</v>
      </c>
      <c r="S1329" s="8" t="n">
        <v>3612</v>
      </c>
      <c r="T1329" s="8" t="n">
        <v>-48071</v>
      </c>
      <c r="U1329" s="9" t="n">
        <v>26510</v>
      </c>
      <c r="V1329" s="10" t="n">
        <v>-3131</v>
      </c>
      <c r="W1329" s="10" t="n">
        <v>-4821</v>
      </c>
      <c r="X1329" s="7" t="n">
        <v>210480</v>
      </c>
      <c r="Y1329" s="8" t="n">
        <v>40458</v>
      </c>
      <c r="Z1329" s="8" t="n">
        <v>58511</v>
      </c>
      <c r="AA1329" s="9" t="n">
        <v>106403</v>
      </c>
      <c r="AB1329" s="10" t="n">
        <v>21051</v>
      </c>
      <c r="AC1329" s="10" t="n">
        <v>8145</v>
      </c>
      <c r="AD1329" s="7" t="n">
        <v>239044</v>
      </c>
      <c r="AE1329" s="8" t="n">
        <v>54853</v>
      </c>
      <c r="AF1329" s="8" t="n">
        <v>34461</v>
      </c>
      <c r="AG1329" s="9" t="n">
        <v>40874</v>
      </c>
      <c r="AH1329" s="10" t="n">
        <v>4016</v>
      </c>
      <c r="AI1329" s="10" t="n">
        <v>-17225</v>
      </c>
      <c r="AJ1329" s="11" t="n">
        <v>55482</v>
      </c>
      <c r="AK1329" s="12" t="n">
        <v>991</v>
      </c>
      <c r="AL1329" s="12" t="n">
        <v>2724</v>
      </c>
      <c r="AM1329" s="13" t="n">
        <v>35.7</v>
      </c>
      <c r="AN1329" s="13" t="n">
        <v>-73.59999999999999</v>
      </c>
      <c r="AO1329" s="13" t="n">
        <v>-75.3</v>
      </c>
      <c r="AP1329" s="13" t="n">
        <v>-97.59999999999999</v>
      </c>
    </row>
    <row r="1330">
      <c r="A1330" s="5" t="inlineStr">
        <is>
          <t>이리츠코크렙</t>
        </is>
      </c>
      <c r="B1330" s="6" t="inlineStr">
        <is>
          <t>088260</t>
        </is>
      </c>
      <c r="C1330" s="6" t="inlineStr">
        <is>
          <t>연결</t>
        </is>
      </c>
      <c r="D1330" s="6" t="inlineStr">
        <is>
          <t>2026Q2</t>
        </is>
      </c>
      <c r="E1330" s="6" t="inlineStr"/>
      <c r="F1330" s="7" t="inlineStr"/>
      <c r="G1330" s="8" t="inlineStr"/>
      <c r="H1330" s="8" t="inlineStr"/>
      <c r="I1330" s="9" t="inlineStr"/>
      <c r="J1330" s="10" t="inlineStr"/>
      <c r="K1330" s="10" t="inlineStr"/>
      <c r="L1330" s="7" t="n">
        <v>11316</v>
      </c>
      <c r="M1330" s="8" t="n">
        <v>8765</v>
      </c>
      <c r="N1330" s="8" t="n">
        <v>2463</v>
      </c>
      <c r="O1330" s="9" t="inlineStr"/>
      <c r="P1330" s="10" t="inlineStr"/>
      <c r="Q1330" s="10" t="inlineStr"/>
      <c r="R1330" s="7" t="inlineStr"/>
      <c r="S1330" s="8" t="inlineStr"/>
      <c r="T1330" s="8" t="inlineStr"/>
      <c r="U1330" s="9" t="inlineStr"/>
      <c r="V1330" s="10" t="inlineStr"/>
      <c r="W1330" s="10" t="inlineStr"/>
      <c r="X1330" s="7" t="n">
        <v>11550</v>
      </c>
      <c r="Y1330" s="8" t="n">
        <v>9028</v>
      </c>
      <c r="Z1330" s="8" t="n">
        <v>3486</v>
      </c>
      <c r="AA1330" s="9" t="inlineStr"/>
      <c r="AB1330" s="10" t="inlineStr"/>
      <c r="AC1330" s="10" t="inlineStr"/>
      <c r="AD1330" s="7" t="inlineStr"/>
      <c r="AE1330" s="8" t="inlineStr"/>
      <c r="AF1330" s="8" t="inlineStr"/>
      <c r="AG1330" s="9" t="inlineStr"/>
      <c r="AH1330" s="10" t="inlineStr"/>
      <c r="AI1330" s="10" t="inlineStr"/>
      <c r="AJ1330" s="11" t="n">
        <v>11668</v>
      </c>
      <c r="AK1330" s="12" t="n">
        <v>9163</v>
      </c>
      <c r="AL1330" s="12" t="n">
        <v>3438</v>
      </c>
      <c r="AM1330" s="13" t="inlineStr"/>
      <c r="AN1330" s="13" t="n">
        <v>1</v>
      </c>
      <c r="AO1330" s="13" t="inlineStr"/>
      <c r="AP1330" s="13" t="n">
        <v>1.5</v>
      </c>
    </row>
    <row r="1331">
      <c r="A1331" s="5" t="inlineStr">
        <is>
          <t>쏘닉스</t>
        </is>
      </c>
      <c r="B1331" s="6" t="inlineStr">
        <is>
          <t>088280</t>
        </is>
      </c>
      <c r="C1331" s="6" t="inlineStr">
        <is>
          <t>별도</t>
        </is>
      </c>
      <c r="D1331" s="6" t="inlineStr">
        <is>
          <t>2026Q2</t>
        </is>
      </c>
      <c r="E1331" s="6" t="inlineStr"/>
      <c r="F1331" s="7" t="inlineStr"/>
      <c r="G1331" s="8" t="inlineStr"/>
      <c r="H1331" s="8" t="inlineStr"/>
      <c r="I1331" s="9" t="n">
        <v>4826</v>
      </c>
      <c r="J1331" s="10" t="n">
        <v>-882</v>
      </c>
      <c r="K1331" s="10" t="n">
        <v>-176</v>
      </c>
      <c r="L1331" s="7" t="n">
        <v>5175</v>
      </c>
      <c r="M1331" s="8" t="n">
        <v>-724</v>
      </c>
      <c r="N1331" s="8" t="n">
        <v>-318</v>
      </c>
      <c r="O1331" s="9" t="n">
        <v>3402</v>
      </c>
      <c r="P1331" s="10" t="n">
        <v>-1566</v>
      </c>
      <c r="Q1331" s="10" t="n">
        <v>-1843</v>
      </c>
      <c r="R1331" s="7" t="n">
        <v>3575</v>
      </c>
      <c r="S1331" s="8" t="n">
        <v>-1367</v>
      </c>
      <c r="T1331" s="8" t="n">
        <v>100</v>
      </c>
      <c r="U1331" s="9" t="n">
        <v>4592</v>
      </c>
      <c r="V1331" s="10" t="n">
        <v>-1608</v>
      </c>
      <c r="W1331" s="10" t="n">
        <v>-1635</v>
      </c>
      <c r="X1331" s="7" t="n">
        <v>4489</v>
      </c>
      <c r="Y1331" s="8" t="n">
        <v>-1507</v>
      </c>
      <c r="Z1331" s="8" t="n">
        <v>-2567</v>
      </c>
      <c r="AA1331" s="9" t="n">
        <v>4421</v>
      </c>
      <c r="AB1331" s="10" t="n">
        <v>-1671</v>
      </c>
      <c r="AC1331" s="10" t="n">
        <v>-1195</v>
      </c>
      <c r="AD1331" s="7" t="n">
        <v>4704</v>
      </c>
      <c r="AE1331" s="8" t="n">
        <v>-1875</v>
      </c>
      <c r="AF1331" s="8" t="n">
        <v>-1501</v>
      </c>
      <c r="AG1331" s="9" t="n">
        <v>4401</v>
      </c>
      <c r="AH1331" s="10" t="n">
        <v>-1816</v>
      </c>
      <c r="AI1331" s="10" t="n">
        <v>-1027</v>
      </c>
      <c r="AJ1331" s="11" t="n">
        <v>5868</v>
      </c>
      <c r="AK1331" s="12" t="n">
        <v>-1305</v>
      </c>
      <c r="AL1331" s="12" t="n">
        <v>-1143</v>
      </c>
      <c r="AM1331" s="13" t="n">
        <v>33.3</v>
      </c>
      <c r="AN1331" s="13" t="n">
        <v>30.7</v>
      </c>
      <c r="AO1331" s="13" t="n">
        <v>28.1</v>
      </c>
      <c r="AP1331" s="13" t="n">
        <v>13.4</v>
      </c>
    </row>
    <row r="1332">
      <c r="A1332" s="5" t="inlineStr">
        <is>
          <t>이원컴포텍</t>
        </is>
      </c>
      <c r="B1332" s="6" t="inlineStr">
        <is>
          <t>088290</t>
        </is>
      </c>
      <c r="C1332" s="6" t="inlineStr">
        <is>
          <t>연결</t>
        </is>
      </c>
      <c r="D1332" s="6" t="inlineStr">
        <is>
          <t>2026Q2</t>
        </is>
      </c>
      <c r="E1332" s="6" t="inlineStr"/>
      <c r="F1332" s="7" t="inlineStr"/>
      <c r="G1332" s="8" t="inlineStr"/>
      <c r="H1332" s="8" t="inlineStr"/>
      <c r="I1332" s="9" t="n">
        <v>10848</v>
      </c>
      <c r="J1332" s="10" t="n">
        <v>-327</v>
      </c>
      <c r="K1332" s="10" t="n">
        <v>-6027</v>
      </c>
      <c r="L1332" s="7" t="n">
        <v>14213</v>
      </c>
      <c r="M1332" s="8" t="n">
        <v>1238</v>
      </c>
      <c r="N1332" s="8" t="n">
        <v>4968</v>
      </c>
      <c r="O1332" s="9" t="n">
        <v>13568</v>
      </c>
      <c r="P1332" s="10" t="n">
        <v>1279</v>
      </c>
      <c r="Q1332" s="10" t="n">
        <v>754</v>
      </c>
      <c r="R1332" s="7" t="n">
        <v>13865</v>
      </c>
      <c r="S1332" s="8" t="n">
        <v>282</v>
      </c>
      <c r="T1332" s="8" t="n">
        <v>-20709</v>
      </c>
      <c r="U1332" s="9" t="n">
        <v>14324</v>
      </c>
      <c r="V1332" s="10" t="n">
        <v>1118</v>
      </c>
      <c r="W1332" s="10" t="n">
        <v>-4912</v>
      </c>
      <c r="X1332" s="7" t="n">
        <v>16601</v>
      </c>
      <c r="Y1332" s="8" t="n">
        <v>664</v>
      </c>
      <c r="Z1332" s="8" t="n">
        <v>79</v>
      </c>
      <c r="AA1332" s="9" t="n">
        <v>15573</v>
      </c>
      <c r="AB1332" s="10" t="n">
        <v>1064</v>
      </c>
      <c r="AC1332" s="10" t="n">
        <v>597</v>
      </c>
      <c r="AD1332" s="7" t="n">
        <v>10079</v>
      </c>
      <c r="AE1332" s="8" t="n">
        <v>-1271</v>
      </c>
      <c r="AF1332" s="8" t="n">
        <v>139</v>
      </c>
      <c r="AG1332" s="9" t="n">
        <v>8548</v>
      </c>
      <c r="AH1332" s="10" t="n">
        <v>-859</v>
      </c>
      <c r="AI1332" s="10" t="n">
        <v>-1540</v>
      </c>
      <c r="AJ1332" s="11" t="n">
        <v>15516</v>
      </c>
      <c r="AK1332" s="12" t="n">
        <v>1337</v>
      </c>
      <c r="AL1332" s="12" t="n">
        <v>1058</v>
      </c>
      <c r="AM1332" s="13" t="n">
        <v>81.5</v>
      </c>
      <c r="AN1332" s="13" t="n">
        <v>-6.5</v>
      </c>
      <c r="AO1332" s="13" t="n">
        <v>255.6</v>
      </c>
      <c r="AP1332" s="13" t="n">
        <v>101.4</v>
      </c>
    </row>
    <row r="1333">
      <c r="A1333" s="5" t="inlineStr">
        <is>
          <t>유라클</t>
        </is>
      </c>
      <c r="B1333" s="6" t="inlineStr">
        <is>
          <t>088340</t>
        </is>
      </c>
      <c r="C1333" s="6" t="inlineStr">
        <is>
          <t>연결</t>
        </is>
      </c>
      <c r="D1333" s="6" t="inlineStr">
        <is>
          <t>2026Q2</t>
        </is>
      </c>
      <c r="E1333" s="6" t="inlineStr"/>
      <c r="F1333" s="7" t="inlineStr"/>
      <c r="G1333" s="8" t="inlineStr"/>
      <c r="H1333" s="8" t="inlineStr"/>
      <c r="I1333" s="9" t="inlineStr"/>
      <c r="J1333" s="10" t="inlineStr"/>
      <c r="K1333" s="10" t="inlineStr"/>
      <c r="L1333" s="7" t="inlineStr"/>
      <c r="M1333" s="8" t="inlineStr"/>
      <c r="N1333" s="8" t="inlineStr"/>
      <c r="O1333" s="9" t="n">
        <v>13372</v>
      </c>
      <c r="P1333" s="10" t="n">
        <v>772</v>
      </c>
      <c r="Q1333" s="10" t="n">
        <v>686</v>
      </c>
      <c r="R1333" s="7" t="inlineStr"/>
      <c r="S1333" s="8" t="inlineStr"/>
      <c r="T1333" s="8" t="inlineStr"/>
      <c r="U1333" s="9" t="n">
        <v>11635</v>
      </c>
      <c r="V1333" s="10" t="n">
        <v>-981</v>
      </c>
      <c r="W1333" s="10" t="n">
        <v>-859</v>
      </c>
      <c r="X1333" s="7" t="n">
        <v>11626</v>
      </c>
      <c r="Y1333" s="8" t="n">
        <v>-1272</v>
      </c>
      <c r="Z1333" s="8" t="n">
        <v>-1281</v>
      </c>
      <c r="AA1333" s="9" t="n">
        <v>12685</v>
      </c>
      <c r="AB1333" s="10" t="n">
        <v>-1207</v>
      </c>
      <c r="AC1333" s="10" t="n">
        <v>-1232</v>
      </c>
      <c r="AD1333" s="7" t="n">
        <v>7808</v>
      </c>
      <c r="AE1333" s="8" t="n">
        <v>-3315</v>
      </c>
      <c r="AF1333" s="8" t="n">
        <v>-3461</v>
      </c>
      <c r="AG1333" s="9" t="n">
        <v>8684</v>
      </c>
      <c r="AH1333" s="10" t="n">
        <v>-799</v>
      </c>
      <c r="AI1333" s="10" t="n">
        <v>-755</v>
      </c>
      <c r="AJ1333" s="11" t="n">
        <v>9981</v>
      </c>
      <c r="AK1333" s="12" t="n">
        <v>-1127</v>
      </c>
      <c r="AL1333" s="12" t="n">
        <v>-1142</v>
      </c>
      <c r="AM1333" s="13" t="n">
        <v>14.9</v>
      </c>
      <c r="AN1333" s="13" t="n">
        <v>-14.1</v>
      </c>
      <c r="AO1333" s="13" t="n">
        <v>-41.1</v>
      </c>
      <c r="AP1333" s="13" t="n">
        <v>11.4</v>
      </c>
    </row>
    <row r="1334">
      <c r="A1334" s="5" t="inlineStr">
        <is>
          <t>한화생명</t>
        </is>
      </c>
      <c r="B1334" s="6" t="inlineStr">
        <is>
          <t>088350</t>
        </is>
      </c>
      <c r="C1334" s="6" t="inlineStr">
        <is>
          <t>연결</t>
        </is>
      </c>
      <c r="D1334" s="6" t="inlineStr">
        <is>
          <t>2026Q2</t>
        </is>
      </c>
      <c r="E1334" s="6" t="inlineStr">
        <is>
          <t>2023Q4</t>
        </is>
      </c>
      <c r="F1334" s="14" t="n">
        <v>3361981</v>
      </c>
      <c r="G1334" s="15" t="n">
        <v>4854</v>
      </c>
      <c r="H1334" s="15" t="n">
        <v>38369</v>
      </c>
      <c r="I1334" s="9" t="inlineStr"/>
      <c r="J1334" s="10" t="n">
        <v>400912</v>
      </c>
      <c r="K1334" s="10" t="n">
        <v>368322</v>
      </c>
      <c r="L1334" s="7" t="inlineStr"/>
      <c r="M1334" s="8" t="n">
        <v>379596</v>
      </c>
      <c r="N1334" s="8" t="n">
        <v>299005</v>
      </c>
      <c r="O1334" s="9" t="inlineStr"/>
      <c r="P1334" s="10" t="n">
        <v>128177</v>
      </c>
      <c r="Q1334" s="10" t="n">
        <v>59681</v>
      </c>
      <c r="R1334" s="14" t="n">
        <v>3730499</v>
      </c>
      <c r="S1334" s="8" t="n">
        <v>188280</v>
      </c>
      <c r="T1334" s="8" t="n">
        <v>138993</v>
      </c>
      <c r="U1334" s="9" t="inlineStr"/>
      <c r="V1334" s="10" t="n">
        <v>371359</v>
      </c>
      <c r="W1334" s="10" t="n">
        <v>295728</v>
      </c>
      <c r="X1334" s="7" t="inlineStr"/>
      <c r="Y1334" s="8" t="n">
        <v>240704</v>
      </c>
      <c r="Z1334" s="8" t="n">
        <v>165765</v>
      </c>
      <c r="AA1334" s="9" t="inlineStr"/>
      <c r="AB1334" s="10" t="n">
        <v>354889</v>
      </c>
      <c r="AC1334" s="10" t="n">
        <v>307420</v>
      </c>
      <c r="AD1334" s="14" t="n">
        <v>7344164</v>
      </c>
      <c r="AE1334" s="8" t="n">
        <v>180298</v>
      </c>
      <c r="AF1334" s="8" t="n">
        <v>67406</v>
      </c>
      <c r="AG1334" s="14" t="n">
        <v>9985187</v>
      </c>
      <c r="AH1334" s="10" t="n">
        <v>480782</v>
      </c>
      <c r="AI1334" s="10" t="n">
        <v>381582</v>
      </c>
      <c r="AJ1334" s="14" t="n">
        <v>12604054</v>
      </c>
      <c r="AK1334" s="12" t="n">
        <v>626782</v>
      </c>
      <c r="AL1334" s="12" t="n">
        <v>522943</v>
      </c>
      <c r="AM1334" s="13" t="n">
        <v>26.2</v>
      </c>
      <c r="AN1334" s="13" t="inlineStr"/>
      <c r="AO1334" s="13" t="n">
        <v>30.4</v>
      </c>
      <c r="AP1334" s="13" t="n">
        <v>160.4</v>
      </c>
    </row>
    <row r="1335">
      <c r="A1335" s="5" t="inlineStr">
        <is>
          <t>이녹스</t>
        </is>
      </c>
      <c r="B1335" s="6" t="inlineStr">
        <is>
          <t>088390</t>
        </is>
      </c>
      <c r="C1335" s="6" t="inlineStr">
        <is>
          <t>연결</t>
        </is>
      </c>
      <c r="D1335" s="6" t="inlineStr">
        <is>
          <t>2026Q2</t>
        </is>
      </c>
      <c r="E1335" s="6" t="inlineStr"/>
      <c r="F1335" s="7" t="inlineStr"/>
      <c r="G1335" s="8" t="inlineStr"/>
      <c r="H1335" s="8" t="inlineStr"/>
      <c r="I1335" s="9" t="n">
        <v>15238</v>
      </c>
      <c r="J1335" s="10" t="n">
        <v>453</v>
      </c>
      <c r="K1335" s="10" t="n">
        <v>209</v>
      </c>
      <c r="L1335" s="7" t="n">
        <v>14461</v>
      </c>
      <c r="M1335" s="8" t="n">
        <v>3672</v>
      </c>
      <c r="N1335" s="8" t="n">
        <v>4464</v>
      </c>
      <c r="O1335" s="9" t="n">
        <v>10781</v>
      </c>
      <c r="P1335" s="10" t="n">
        <v>-1389</v>
      </c>
      <c r="Q1335" s="10" t="n">
        <v>-2927</v>
      </c>
      <c r="R1335" s="7" t="n">
        <v>15685</v>
      </c>
      <c r="S1335" s="8" t="n">
        <v>3745</v>
      </c>
      <c r="T1335" s="8" t="n">
        <v>-25515</v>
      </c>
      <c r="U1335" s="9" t="n">
        <v>15361</v>
      </c>
      <c r="V1335" s="10" t="n">
        <v>3353</v>
      </c>
      <c r="W1335" s="10" t="n">
        <v>3023</v>
      </c>
      <c r="X1335" s="7" t="n">
        <v>19786</v>
      </c>
      <c r="Y1335" s="8" t="n">
        <v>2840</v>
      </c>
      <c r="Z1335" s="8" t="n">
        <v>4104</v>
      </c>
      <c r="AA1335" s="9" t="n">
        <v>13297</v>
      </c>
      <c r="AB1335" s="10" t="n">
        <v>2259</v>
      </c>
      <c r="AC1335" s="10" t="n">
        <v>1119</v>
      </c>
      <c r="AD1335" s="7" t="n">
        <v>10669</v>
      </c>
      <c r="AE1335" s="8" t="n">
        <v>-1924</v>
      </c>
      <c r="AF1335" s="8" t="n">
        <v>12430</v>
      </c>
      <c r="AG1335" s="9" t="n">
        <v>14409</v>
      </c>
      <c r="AH1335" s="10" t="n">
        <v>821</v>
      </c>
      <c r="AI1335" s="10" t="n">
        <v>1019</v>
      </c>
      <c r="AJ1335" s="11" t="n">
        <v>26170</v>
      </c>
      <c r="AK1335" s="12" t="n">
        <v>5267</v>
      </c>
      <c r="AL1335" s="12" t="n">
        <v>11241</v>
      </c>
      <c r="AM1335" s="13" t="n">
        <v>81.59999999999999</v>
      </c>
      <c r="AN1335" s="13" t="n">
        <v>32.3</v>
      </c>
      <c r="AO1335" s="13" t="n">
        <v>541.5</v>
      </c>
      <c r="AP1335" s="13" t="n">
        <v>85.5</v>
      </c>
    </row>
    <row r="1336">
      <c r="A1336" s="5" t="inlineStr">
        <is>
          <t>진도</t>
        </is>
      </c>
      <c r="B1336" s="6" t="inlineStr">
        <is>
          <t>088790</t>
        </is>
      </c>
      <c r="C1336" s="6" t="inlineStr">
        <is>
          <t>별도</t>
        </is>
      </c>
      <c r="D1336" s="6" t="inlineStr">
        <is>
          <t>2026Q2</t>
        </is>
      </c>
      <c r="E1336" s="6" t="inlineStr"/>
      <c r="F1336" s="7" t="inlineStr"/>
      <c r="G1336" s="8" t="inlineStr"/>
      <c r="H1336" s="8" t="inlineStr"/>
      <c r="I1336" s="9" t="n">
        <v>15369</v>
      </c>
      <c r="J1336" s="10" t="n">
        <v>635</v>
      </c>
      <c r="K1336" s="10" t="n">
        <v>667</v>
      </c>
      <c r="L1336" s="7" t="n">
        <v>3780</v>
      </c>
      <c r="M1336" s="8" t="n">
        <v>-1533</v>
      </c>
      <c r="N1336" s="8" t="n">
        <v>-1347</v>
      </c>
      <c r="O1336" s="9" t="n">
        <v>6308</v>
      </c>
      <c r="P1336" s="10" t="n">
        <v>-522</v>
      </c>
      <c r="Q1336" s="10" t="n">
        <v>-255</v>
      </c>
      <c r="R1336" s="7" t="n">
        <v>18696</v>
      </c>
      <c r="S1336" s="8" t="n">
        <v>2564</v>
      </c>
      <c r="T1336" s="8" t="n">
        <v>1845</v>
      </c>
      <c r="U1336" s="9" t="n">
        <v>15627</v>
      </c>
      <c r="V1336" s="10" t="n">
        <v>903</v>
      </c>
      <c r="W1336" s="10" t="n">
        <v>978</v>
      </c>
      <c r="X1336" s="7" t="n">
        <v>3455</v>
      </c>
      <c r="Y1336" s="8" t="n">
        <v>-991</v>
      </c>
      <c r="Z1336" s="8" t="n">
        <v>-600</v>
      </c>
      <c r="AA1336" s="9" t="n">
        <v>7381</v>
      </c>
      <c r="AB1336" s="10" t="n">
        <v>-280</v>
      </c>
      <c r="AC1336" s="10" t="n">
        <v>-38</v>
      </c>
      <c r="AD1336" s="7" t="n">
        <v>21145</v>
      </c>
      <c r="AE1336" s="8" t="n">
        <v>4351</v>
      </c>
      <c r="AF1336" s="8" t="n">
        <v>3767</v>
      </c>
      <c r="AG1336" s="9" t="n">
        <v>24841</v>
      </c>
      <c r="AH1336" s="10" t="n">
        <v>4132</v>
      </c>
      <c r="AI1336" s="10" t="n">
        <v>3674</v>
      </c>
      <c r="AJ1336" s="11" t="n">
        <v>3717</v>
      </c>
      <c r="AK1336" s="12" t="n">
        <v>-1697</v>
      </c>
      <c r="AL1336" s="12" t="n">
        <v>-1226</v>
      </c>
      <c r="AM1336" s="13" t="n">
        <v>-85</v>
      </c>
      <c r="AN1336" s="13" t="n">
        <v>7.6</v>
      </c>
      <c r="AO1336" s="13" t="n">
        <v>-141.1</v>
      </c>
      <c r="AP1336" s="13" t="n">
        <v>-71.2</v>
      </c>
    </row>
    <row r="1337">
      <c r="A1337" s="5" t="inlineStr">
        <is>
          <t>에이스테크</t>
        </is>
      </c>
      <c r="B1337" s="6" t="inlineStr">
        <is>
          <t>088800</t>
        </is>
      </c>
      <c r="C1337" s="6" t="inlineStr">
        <is>
          <t>연결</t>
        </is>
      </c>
      <c r="D1337" s="6" t="inlineStr">
        <is>
          <t>2026Q2</t>
        </is>
      </c>
      <c r="E1337" s="6" t="inlineStr"/>
      <c r="F1337" s="7" t="inlineStr"/>
      <c r="G1337" s="8" t="inlineStr"/>
      <c r="H1337" s="8" t="inlineStr"/>
      <c r="I1337" s="9" t="n">
        <v>30602</v>
      </c>
      <c r="J1337" s="10" t="n">
        <v>-4032</v>
      </c>
      <c r="K1337" s="10" t="n">
        <v>-3062</v>
      </c>
      <c r="L1337" s="7" t="n">
        <v>35276</v>
      </c>
      <c r="M1337" s="8" t="n">
        <v>-9629</v>
      </c>
      <c r="N1337" s="8" t="n">
        <v>-12175</v>
      </c>
      <c r="O1337" s="9" t="n">
        <v>36912</v>
      </c>
      <c r="P1337" s="10" t="n">
        <v>-10173</v>
      </c>
      <c r="Q1337" s="10" t="n">
        <v>-10759</v>
      </c>
      <c r="R1337" s="7" t="n">
        <v>42286</v>
      </c>
      <c r="S1337" s="8" t="n">
        <v>-7315</v>
      </c>
      <c r="T1337" s="8" t="n">
        <v>-14759</v>
      </c>
      <c r="U1337" s="9" t="n">
        <v>53018</v>
      </c>
      <c r="V1337" s="10" t="n">
        <v>-1906</v>
      </c>
      <c r="W1337" s="10" t="n">
        <v>-3430</v>
      </c>
      <c r="X1337" s="7" t="n">
        <v>46088</v>
      </c>
      <c r="Y1337" s="8" t="n">
        <v>-4989</v>
      </c>
      <c r="Z1337" s="8" t="n">
        <v>-12886</v>
      </c>
      <c r="AA1337" s="9" t="n">
        <v>37886</v>
      </c>
      <c r="AB1337" s="10" t="n">
        <v>-4254</v>
      </c>
      <c r="AC1337" s="10" t="n">
        <v>-3417</v>
      </c>
      <c r="AD1337" s="7" t="n">
        <v>41434</v>
      </c>
      <c r="AE1337" s="8" t="n">
        <v>-11004</v>
      </c>
      <c r="AF1337" s="8" t="n">
        <v>-9382</v>
      </c>
      <c r="AG1337" s="9" t="n">
        <v>33167</v>
      </c>
      <c r="AH1337" s="10" t="n">
        <v>-4085</v>
      </c>
      <c r="AI1337" s="10" t="n">
        <v>-3656</v>
      </c>
      <c r="AJ1337" s="11" t="n">
        <v>28725</v>
      </c>
      <c r="AK1337" s="12" t="n">
        <v>-8130</v>
      </c>
      <c r="AL1337" s="12" t="n">
        <v>-9531</v>
      </c>
      <c r="AM1337" s="13" t="n">
        <v>-13.4</v>
      </c>
      <c r="AN1337" s="13" t="n">
        <v>-37.7</v>
      </c>
      <c r="AO1337" s="13" t="n">
        <v>-99</v>
      </c>
      <c r="AP1337" s="13" t="n">
        <v>-63</v>
      </c>
    </row>
    <row r="1338">
      <c r="A1338" s="5" t="inlineStr">
        <is>
          <t>동우팜투테이블</t>
        </is>
      </c>
      <c r="B1338" s="6" t="inlineStr">
        <is>
          <t>088910</t>
        </is>
      </c>
      <c r="C1338" s="6" t="inlineStr">
        <is>
          <t>연결</t>
        </is>
      </c>
      <c r="D1338" s="6" t="inlineStr">
        <is>
          <t>2026Q2</t>
        </is>
      </c>
      <c r="E1338" s="6" t="inlineStr"/>
      <c r="F1338" s="7" t="inlineStr"/>
      <c r="G1338" s="8" t="inlineStr"/>
      <c r="H1338" s="8" t="inlineStr"/>
      <c r="I1338" s="9" t="n">
        <v>71331</v>
      </c>
      <c r="J1338" s="10" t="n">
        <v>-3944</v>
      </c>
      <c r="K1338" s="10" t="n">
        <v>-4948</v>
      </c>
      <c r="L1338" s="7" t="n">
        <v>78842</v>
      </c>
      <c r="M1338" s="8" t="n">
        <v>-1481</v>
      </c>
      <c r="N1338" s="8" t="n">
        <v>-715</v>
      </c>
      <c r="O1338" s="9" t="n">
        <v>84802</v>
      </c>
      <c r="P1338" s="10" t="n">
        <v>6299</v>
      </c>
      <c r="Q1338" s="10" t="n">
        <v>9521</v>
      </c>
      <c r="R1338" s="7" t="n">
        <v>68145</v>
      </c>
      <c r="S1338" s="8" t="n">
        <v>-5184</v>
      </c>
      <c r="T1338" s="8" t="n">
        <v>-11692</v>
      </c>
      <c r="U1338" s="9" t="n">
        <v>71169</v>
      </c>
      <c r="V1338" s="10" t="n">
        <v>264</v>
      </c>
      <c r="W1338" s="10" t="n">
        <v>2159</v>
      </c>
      <c r="X1338" s="7" t="n">
        <v>85463</v>
      </c>
      <c r="Y1338" s="8" t="n">
        <v>5185</v>
      </c>
      <c r="Z1338" s="8" t="n">
        <v>11296</v>
      </c>
      <c r="AA1338" s="9" t="n">
        <v>88272</v>
      </c>
      <c r="AB1338" s="10" t="n">
        <v>3051</v>
      </c>
      <c r="AC1338" s="10" t="n">
        <v>7008</v>
      </c>
      <c r="AD1338" s="7" t="n">
        <v>80554</v>
      </c>
      <c r="AE1338" s="8" t="n">
        <v>4651</v>
      </c>
      <c r="AF1338" s="8" t="n">
        <v>7768</v>
      </c>
      <c r="AG1338" s="9" t="n">
        <v>75973</v>
      </c>
      <c r="AH1338" s="10" t="n">
        <v>4197</v>
      </c>
      <c r="AI1338" s="10" t="n">
        <v>7111</v>
      </c>
      <c r="AJ1338" s="11" t="n">
        <v>91205</v>
      </c>
      <c r="AK1338" s="12" t="n">
        <v>957</v>
      </c>
      <c r="AL1338" s="12" t="n">
        <v>10778</v>
      </c>
      <c r="AM1338" s="13" t="n">
        <v>20</v>
      </c>
      <c r="AN1338" s="13" t="n">
        <v>6.7</v>
      </c>
      <c r="AO1338" s="13" t="n">
        <v>-77.2</v>
      </c>
      <c r="AP1338" s="13" t="n">
        <v>-81.5</v>
      </c>
    </row>
    <row r="1339">
      <c r="A1339" s="5" t="inlineStr">
        <is>
          <t>켐트로닉스</t>
        </is>
      </c>
      <c r="B1339" s="6" t="inlineStr">
        <is>
          <t>089010</t>
        </is>
      </c>
      <c r="C1339" s="6" t="inlineStr">
        <is>
          <t>연결</t>
        </is>
      </c>
      <c r="D1339" s="6" t="inlineStr">
        <is>
          <t>2026Q2</t>
        </is>
      </c>
      <c r="E1339" s="6" t="inlineStr"/>
      <c r="F1339" s="7" t="inlineStr"/>
      <c r="G1339" s="8" t="inlineStr"/>
      <c r="H1339" s="8" t="inlineStr"/>
      <c r="I1339" s="9" t="n">
        <v>147487</v>
      </c>
      <c r="J1339" s="10" t="n">
        <v>12483</v>
      </c>
      <c r="K1339" s="10" t="n">
        <v>8772</v>
      </c>
      <c r="L1339" s="7" t="n">
        <v>160026</v>
      </c>
      <c r="M1339" s="8" t="n">
        <v>14994</v>
      </c>
      <c r="N1339" s="8" t="n">
        <v>9015</v>
      </c>
      <c r="O1339" s="9" t="n">
        <v>150909</v>
      </c>
      <c r="P1339" s="10" t="n">
        <v>7715</v>
      </c>
      <c r="Q1339" s="10" t="n">
        <v>4414</v>
      </c>
      <c r="R1339" s="7" t="n">
        <v>116800</v>
      </c>
      <c r="S1339" s="8" t="n">
        <v>2128</v>
      </c>
      <c r="T1339" s="8" t="n">
        <v>-819</v>
      </c>
      <c r="U1339" s="9" t="n">
        <v>149284</v>
      </c>
      <c r="V1339" s="10" t="n">
        <v>7139</v>
      </c>
      <c r="W1339" s="10" t="n">
        <v>8157</v>
      </c>
      <c r="X1339" s="7" t="n">
        <v>147729</v>
      </c>
      <c r="Y1339" s="8" t="n">
        <v>6102</v>
      </c>
      <c r="Z1339" s="8" t="n">
        <v>2478</v>
      </c>
      <c r="AA1339" s="9" t="n">
        <v>178908</v>
      </c>
      <c r="AB1339" s="10" t="n">
        <v>8061</v>
      </c>
      <c r="AC1339" s="10" t="n">
        <v>4771</v>
      </c>
      <c r="AD1339" s="7" t="n">
        <v>161565</v>
      </c>
      <c r="AE1339" s="8" t="n">
        <v>1899</v>
      </c>
      <c r="AF1339" s="8" t="n">
        <v>-1941</v>
      </c>
      <c r="AG1339" s="9" t="n">
        <v>174530</v>
      </c>
      <c r="AH1339" s="10" t="n">
        <v>7421</v>
      </c>
      <c r="AI1339" s="10" t="n">
        <v>4019</v>
      </c>
      <c r="AJ1339" s="11" t="n">
        <v>175295</v>
      </c>
      <c r="AK1339" s="12" t="n">
        <v>10021</v>
      </c>
      <c r="AL1339" s="12" t="n">
        <v>5693</v>
      </c>
      <c r="AM1339" s="13" t="n">
        <v>0.4</v>
      </c>
      <c r="AN1339" s="13" t="n">
        <v>18.7</v>
      </c>
      <c r="AO1339" s="13" t="n">
        <v>35</v>
      </c>
      <c r="AP1339" s="13" t="n">
        <v>64.2</v>
      </c>
    </row>
    <row r="1340">
      <c r="A1340" s="5" t="inlineStr">
        <is>
          <t>테크윙</t>
        </is>
      </c>
      <c r="B1340" s="6" t="inlineStr">
        <is>
          <t>089030</t>
        </is>
      </c>
      <c r="C1340" s="6" t="inlineStr">
        <is>
          <t>연결</t>
        </is>
      </c>
      <c r="D1340" s="6" t="inlineStr">
        <is>
          <t>2026Q2</t>
        </is>
      </c>
      <c r="E1340" s="6" t="inlineStr">
        <is>
          <t>2023Q4</t>
        </is>
      </c>
      <c r="F1340" s="14" t="n">
        <v>41160</v>
      </c>
      <c r="G1340" s="15" t="n">
        <v>3276</v>
      </c>
      <c r="H1340" s="8" t="inlineStr"/>
      <c r="I1340" s="9" t="n">
        <v>40339</v>
      </c>
      <c r="J1340" s="10" t="n">
        <v>5573</v>
      </c>
      <c r="K1340" s="10" t="n">
        <v>-8215</v>
      </c>
      <c r="L1340" s="7" t="n">
        <v>50770</v>
      </c>
      <c r="M1340" s="8" t="n">
        <v>7175</v>
      </c>
      <c r="N1340" s="8" t="n">
        <v>-1424</v>
      </c>
      <c r="O1340" s="9" t="n">
        <v>46722</v>
      </c>
      <c r="P1340" s="10" t="n">
        <v>6177</v>
      </c>
      <c r="Q1340" s="10" t="n">
        <v>14105</v>
      </c>
      <c r="R1340" s="7" t="n">
        <v>47676</v>
      </c>
      <c r="S1340" s="8" t="n">
        <v>4486</v>
      </c>
      <c r="T1340" s="8" t="n">
        <v>-26436</v>
      </c>
      <c r="U1340" s="9" t="n">
        <v>34587</v>
      </c>
      <c r="V1340" s="10" t="n">
        <v>1783</v>
      </c>
      <c r="W1340" s="10" t="n">
        <v>-1587</v>
      </c>
      <c r="X1340" s="7" t="n">
        <v>48894</v>
      </c>
      <c r="Y1340" s="8" t="n">
        <v>6361</v>
      </c>
      <c r="Z1340" s="8" t="n">
        <v>21723</v>
      </c>
      <c r="AA1340" s="9" t="n">
        <v>41766</v>
      </c>
      <c r="AB1340" s="10" t="n">
        <v>7111</v>
      </c>
      <c r="AC1340" s="10" t="n">
        <v>-6687</v>
      </c>
      <c r="AD1340" s="7" t="n">
        <v>33881</v>
      </c>
      <c r="AE1340" s="8" t="n">
        <v>583</v>
      </c>
      <c r="AF1340" s="8" t="n">
        <v>-4453</v>
      </c>
      <c r="AG1340" s="9" t="n">
        <v>52400</v>
      </c>
      <c r="AH1340" s="10" t="n">
        <v>9702</v>
      </c>
      <c r="AI1340" s="10" t="n">
        <v>-6098</v>
      </c>
      <c r="AJ1340" s="11" t="n">
        <v>56777</v>
      </c>
      <c r="AK1340" s="12" t="n">
        <v>12508</v>
      </c>
      <c r="AL1340" s="12" t="n">
        <v>5080</v>
      </c>
      <c r="AM1340" s="13" t="n">
        <v>8.4</v>
      </c>
      <c r="AN1340" s="13" t="n">
        <v>16.1</v>
      </c>
      <c r="AO1340" s="13" t="n">
        <v>28.9</v>
      </c>
      <c r="AP1340" s="13" t="n">
        <v>96.59999999999999</v>
      </c>
    </row>
    <row r="1341">
      <c r="A1341" s="5" t="inlineStr">
        <is>
          <t>넥스턴앤롤코리아</t>
        </is>
      </c>
      <c r="B1341" s="6" t="inlineStr">
        <is>
          <t>089140</t>
        </is>
      </c>
      <c r="C1341" s="6" t="inlineStr">
        <is>
          <t>연결</t>
        </is>
      </c>
      <c r="D1341" s="6" t="inlineStr">
        <is>
          <t>2026Q2</t>
        </is>
      </c>
      <c r="E1341" s="6" t="inlineStr"/>
      <c r="F1341" s="7" t="inlineStr"/>
      <c r="G1341" s="8" t="inlineStr"/>
      <c r="H1341" s="8" t="inlineStr"/>
      <c r="I1341" s="9" t="n">
        <v>6420</v>
      </c>
      <c r="J1341" s="10" t="n">
        <v>-1027</v>
      </c>
      <c r="K1341" s="10" t="n">
        <v>742</v>
      </c>
      <c r="L1341" s="7" t="n">
        <v>7702</v>
      </c>
      <c r="M1341" s="8" t="n">
        <v>55</v>
      </c>
      <c r="N1341" s="8" t="n">
        <v>-3711</v>
      </c>
      <c r="O1341" s="9" t="n">
        <v>9893</v>
      </c>
      <c r="P1341" s="10" t="n">
        <v>467</v>
      </c>
      <c r="Q1341" s="10" t="n">
        <v>1224</v>
      </c>
      <c r="R1341" s="7" t="n">
        <v>7625</v>
      </c>
      <c r="S1341" s="8" t="n">
        <v>-741</v>
      </c>
      <c r="T1341" s="8" t="n">
        <v>-11260</v>
      </c>
      <c r="U1341" s="9" t="n">
        <v>6392</v>
      </c>
      <c r="V1341" s="10" t="n">
        <v>-653</v>
      </c>
      <c r="W1341" s="10" t="n">
        <v>-1480</v>
      </c>
      <c r="X1341" s="7" t="n">
        <v>13959</v>
      </c>
      <c r="Y1341" s="8" t="n">
        <v>1119</v>
      </c>
      <c r="Z1341" s="8" t="n">
        <v>12368</v>
      </c>
      <c r="AA1341" s="9" t="n">
        <v>28358</v>
      </c>
      <c r="AB1341" s="10" t="n">
        <v>3853</v>
      </c>
      <c r="AC1341" s="10" t="n">
        <v>4637</v>
      </c>
      <c r="AD1341" s="7" t="n">
        <v>21732</v>
      </c>
      <c r="AE1341" s="8" t="n">
        <v>-2037</v>
      </c>
      <c r="AF1341" s="8" t="n">
        <v>-17874</v>
      </c>
      <c r="AG1341" s="9" t="n">
        <v>25459</v>
      </c>
      <c r="AH1341" s="10" t="n">
        <v>3551</v>
      </c>
      <c r="AI1341" s="10" t="n">
        <v>5184</v>
      </c>
      <c r="AJ1341" s="11" t="n">
        <v>37056</v>
      </c>
      <c r="AK1341" s="12" t="n">
        <v>8213</v>
      </c>
      <c r="AL1341" s="12" t="n">
        <v>9661</v>
      </c>
      <c r="AM1341" s="13" t="n">
        <v>45.6</v>
      </c>
      <c r="AN1341" s="13" t="n">
        <v>165.5</v>
      </c>
      <c r="AO1341" s="13" t="n">
        <v>131.3</v>
      </c>
      <c r="AP1341" s="13" t="n">
        <v>634</v>
      </c>
    </row>
    <row r="1342">
      <c r="A1342" s="5" t="inlineStr">
        <is>
          <t>케이씨티</t>
        </is>
      </c>
      <c r="B1342" s="6" t="inlineStr">
        <is>
          <t>089150</t>
        </is>
      </c>
      <c r="C1342" s="6" t="inlineStr">
        <is>
          <t>별도</t>
        </is>
      </c>
      <c r="D1342" s="6" t="inlineStr">
        <is>
          <t>2026Q2</t>
        </is>
      </c>
      <c r="E1342" s="6" t="inlineStr"/>
      <c r="F1342" s="7" t="inlineStr"/>
      <c r="G1342" s="8" t="inlineStr"/>
      <c r="H1342" s="8" t="inlineStr"/>
      <c r="I1342" s="9" t="n">
        <v>2160</v>
      </c>
      <c r="J1342" s="10" t="n">
        <v>305</v>
      </c>
      <c r="K1342" s="10" t="n">
        <v>191</v>
      </c>
      <c r="L1342" s="7" t="n">
        <v>1987</v>
      </c>
      <c r="M1342" s="8" t="n">
        <v>90</v>
      </c>
      <c r="N1342" s="8" t="n">
        <v>-121</v>
      </c>
      <c r="O1342" s="9" t="n">
        <v>3788</v>
      </c>
      <c r="P1342" s="10" t="n">
        <v>721</v>
      </c>
      <c r="Q1342" s="10" t="n">
        <v>484</v>
      </c>
      <c r="R1342" s="7" t="n">
        <v>3733</v>
      </c>
      <c r="S1342" s="8" t="n">
        <v>491</v>
      </c>
      <c r="T1342" s="8" t="n">
        <v>322</v>
      </c>
      <c r="U1342" s="9" t="n">
        <v>2200</v>
      </c>
      <c r="V1342" s="10" t="n">
        <v>157</v>
      </c>
      <c r="W1342" s="10" t="n">
        <v>26</v>
      </c>
      <c r="X1342" s="7" t="n">
        <v>4568</v>
      </c>
      <c r="Y1342" s="8" t="n">
        <v>933</v>
      </c>
      <c r="Z1342" s="8" t="n">
        <v>643</v>
      </c>
      <c r="AA1342" s="9" t="n">
        <v>3055</v>
      </c>
      <c r="AB1342" s="10" t="n">
        <v>220</v>
      </c>
      <c r="AC1342" s="10" t="n">
        <v>15</v>
      </c>
      <c r="AD1342" s="7" t="n">
        <v>13267</v>
      </c>
      <c r="AE1342" s="8" t="n">
        <v>2725</v>
      </c>
      <c r="AF1342" s="8" t="n">
        <v>2087</v>
      </c>
      <c r="AG1342" s="9" t="n">
        <v>2637</v>
      </c>
      <c r="AH1342" s="10" t="n">
        <v>182</v>
      </c>
      <c r="AI1342" s="10" t="n">
        <v>41</v>
      </c>
      <c r="AJ1342" s="11" t="n">
        <v>2751</v>
      </c>
      <c r="AK1342" s="12" t="n">
        <v>179</v>
      </c>
      <c r="AL1342" s="12" t="n">
        <v>11</v>
      </c>
      <c r="AM1342" s="13" t="n">
        <v>4.3</v>
      </c>
      <c r="AN1342" s="13" t="n">
        <v>-39.8</v>
      </c>
      <c r="AO1342" s="13" t="n">
        <v>-1.6</v>
      </c>
      <c r="AP1342" s="13" t="n">
        <v>-80.8</v>
      </c>
    </row>
    <row r="1343">
      <c r="A1343" s="5" t="inlineStr">
        <is>
          <t>THE E&amp;M</t>
        </is>
      </c>
      <c r="B1343" s="6" t="inlineStr">
        <is>
          <t>089230</t>
        </is>
      </c>
      <c r="C1343" s="6" t="inlineStr">
        <is>
          <t>연결</t>
        </is>
      </c>
      <c r="D1343" s="6" t="inlineStr">
        <is>
          <t>2026Q2</t>
        </is>
      </c>
      <c r="E1343" s="6" t="inlineStr"/>
      <c r="F1343" s="7" t="inlineStr"/>
      <c r="G1343" s="8" t="inlineStr"/>
      <c r="H1343" s="8" t="inlineStr"/>
      <c r="I1343" s="9" t="n">
        <v>6427</v>
      </c>
      <c r="J1343" s="10" t="n">
        <v>-1745</v>
      </c>
      <c r="K1343" s="10" t="n">
        <v>-4851</v>
      </c>
      <c r="L1343" s="7" t="n">
        <v>5684</v>
      </c>
      <c r="M1343" s="8" t="n">
        <v>-1791</v>
      </c>
      <c r="N1343" s="8" t="n">
        <v>-3164</v>
      </c>
      <c r="O1343" s="9" t="n">
        <v>5011</v>
      </c>
      <c r="P1343" s="10" t="n">
        <v>-2008</v>
      </c>
      <c r="Q1343" s="10" t="n">
        <v>-2684</v>
      </c>
      <c r="R1343" s="7" t="n">
        <v>5074</v>
      </c>
      <c r="S1343" s="8" t="n">
        <v>-1928</v>
      </c>
      <c r="T1343" s="8" t="n">
        <v>-2548</v>
      </c>
      <c r="U1343" s="9" t="n">
        <v>4525</v>
      </c>
      <c r="V1343" s="10" t="n">
        <v>-1741</v>
      </c>
      <c r="W1343" s="10" t="n">
        <v>-3755</v>
      </c>
      <c r="X1343" s="7" t="n">
        <v>4571</v>
      </c>
      <c r="Y1343" s="8" t="n">
        <v>-1841</v>
      </c>
      <c r="Z1343" s="8" t="n">
        <v>-3822</v>
      </c>
      <c r="AA1343" s="9" t="n">
        <v>4259</v>
      </c>
      <c r="AB1343" s="10" t="n">
        <v>-2070</v>
      </c>
      <c r="AC1343" s="10" t="n">
        <v>-3924</v>
      </c>
      <c r="AD1343" s="7" t="n">
        <v>-1014</v>
      </c>
      <c r="AE1343" s="8" t="n">
        <v>-2924</v>
      </c>
      <c r="AF1343" s="8" t="n">
        <v>-8404</v>
      </c>
      <c r="AG1343" s="9" t="n">
        <v>6196</v>
      </c>
      <c r="AH1343" s="10" t="n">
        <v>-2143</v>
      </c>
      <c r="AI1343" s="10" t="n">
        <v>-17594</v>
      </c>
      <c r="AJ1343" s="11" t="n">
        <v>7326</v>
      </c>
      <c r="AK1343" s="12" t="n">
        <v>-4073</v>
      </c>
      <c r="AL1343" s="12" t="n">
        <v>955</v>
      </c>
      <c r="AM1343" s="13" t="n">
        <v>18.2</v>
      </c>
      <c r="AN1343" s="13" t="n">
        <v>60.3</v>
      </c>
      <c r="AO1343" s="13" t="n">
        <v>-90.09999999999999</v>
      </c>
      <c r="AP1343" s="13" t="n">
        <v>-121.2</v>
      </c>
    </row>
    <row r="1344">
      <c r="A1344" s="5" t="inlineStr">
        <is>
          <t>HDC현대EP</t>
        </is>
      </c>
      <c r="B1344" s="6" t="inlineStr">
        <is>
          <t>089470</t>
        </is>
      </c>
      <c r="C1344" s="6" t="inlineStr">
        <is>
          <t>연결</t>
        </is>
      </c>
      <c r="D1344" s="6" t="inlineStr">
        <is>
          <t>2026Q2</t>
        </is>
      </c>
      <c r="E1344" s="6" t="inlineStr"/>
      <c r="F1344" s="7" t="inlineStr"/>
      <c r="G1344" s="8" t="inlineStr"/>
      <c r="H1344" s="8" t="inlineStr"/>
      <c r="I1344" s="9" t="n">
        <v>243673</v>
      </c>
      <c r="J1344" s="10" t="n">
        <v>11792</v>
      </c>
      <c r="K1344" s="10" t="n">
        <v>7618</v>
      </c>
      <c r="L1344" s="7" t="n">
        <v>257408</v>
      </c>
      <c r="M1344" s="8" t="n">
        <v>7503</v>
      </c>
      <c r="N1344" s="8" t="n">
        <v>3785</v>
      </c>
      <c r="O1344" s="9" t="n">
        <v>242020</v>
      </c>
      <c r="P1344" s="10" t="n">
        <v>6988</v>
      </c>
      <c r="Q1344" s="10" t="n">
        <v>1275</v>
      </c>
      <c r="R1344" s="7" t="n">
        <v>247465</v>
      </c>
      <c r="S1344" s="8" t="n">
        <v>6393</v>
      </c>
      <c r="T1344" s="8" t="n">
        <v>3220</v>
      </c>
      <c r="U1344" s="9" t="n">
        <v>253979</v>
      </c>
      <c r="V1344" s="10" t="n">
        <v>11651</v>
      </c>
      <c r="W1344" s="10" t="n">
        <v>7091</v>
      </c>
      <c r="X1344" s="7" t="n">
        <v>258580</v>
      </c>
      <c r="Y1344" s="8" t="n">
        <v>13447</v>
      </c>
      <c r="Z1344" s="8" t="n">
        <v>6573</v>
      </c>
      <c r="AA1344" s="9" t="n">
        <v>247407</v>
      </c>
      <c r="AB1344" s="10" t="n">
        <v>15260</v>
      </c>
      <c r="AC1344" s="10" t="n">
        <v>11155</v>
      </c>
      <c r="AD1344" s="7" t="n">
        <v>232696</v>
      </c>
      <c r="AE1344" s="8" t="n">
        <v>9331</v>
      </c>
      <c r="AF1344" s="8" t="n">
        <v>5417</v>
      </c>
      <c r="AG1344" s="9" t="n">
        <v>254870</v>
      </c>
      <c r="AH1344" s="10" t="n">
        <v>7762</v>
      </c>
      <c r="AI1344" s="10" t="n">
        <v>4559</v>
      </c>
      <c r="AJ1344" s="11" t="n">
        <v>301412</v>
      </c>
      <c r="AK1344" s="12" t="n">
        <v>12833</v>
      </c>
      <c r="AL1344" s="12" t="n">
        <v>8054</v>
      </c>
      <c r="AM1344" s="13" t="n">
        <v>18.3</v>
      </c>
      <c r="AN1344" s="13" t="n">
        <v>16.6</v>
      </c>
      <c r="AO1344" s="13" t="n">
        <v>65.3</v>
      </c>
      <c r="AP1344" s="13" t="n">
        <v>-4.6</v>
      </c>
    </row>
    <row r="1345">
      <c r="A1345" s="5" t="inlineStr">
        <is>
          <t>제주항공</t>
        </is>
      </c>
      <c r="B1345" s="6" t="inlineStr">
        <is>
          <t>089590</t>
        </is>
      </c>
      <c r="C1345" s="6" t="inlineStr">
        <is>
          <t>연결</t>
        </is>
      </c>
      <c r="D1345" s="6" t="inlineStr">
        <is>
          <t>2026Q2</t>
        </is>
      </c>
      <c r="E1345" s="6" t="inlineStr"/>
      <c r="F1345" s="7" t="inlineStr"/>
      <c r="G1345" s="8" t="inlineStr"/>
      <c r="H1345" s="8" t="inlineStr"/>
      <c r="I1345" s="9" t="n">
        <v>555891</v>
      </c>
      <c r="J1345" s="10" t="n">
        <v>78946</v>
      </c>
      <c r="K1345" s="10" t="n">
        <v>47196</v>
      </c>
      <c r="L1345" s="7" t="n">
        <v>449047</v>
      </c>
      <c r="M1345" s="8" t="n">
        <v>-5303</v>
      </c>
      <c r="N1345" s="8" t="n">
        <v>-17905</v>
      </c>
      <c r="O1345" s="9" t="n">
        <v>480474</v>
      </c>
      <c r="P1345" s="10" t="n">
        <v>46540</v>
      </c>
      <c r="Q1345" s="10" t="n">
        <v>50575</v>
      </c>
      <c r="R1345" s="7" t="n">
        <v>450380</v>
      </c>
      <c r="S1345" s="8" t="n">
        <v>-40271</v>
      </c>
      <c r="T1345" s="8" t="n">
        <v>-58126</v>
      </c>
      <c r="U1345" s="9" t="n">
        <v>384684</v>
      </c>
      <c r="V1345" s="10" t="n">
        <v>-32570</v>
      </c>
      <c r="W1345" s="10" t="n">
        <v>-32740</v>
      </c>
      <c r="X1345" s="7" t="n">
        <v>332393</v>
      </c>
      <c r="Y1345" s="8" t="n">
        <v>-41874</v>
      </c>
      <c r="Z1345" s="8" t="n">
        <v>-9859</v>
      </c>
      <c r="AA1345" s="9" t="n">
        <v>388258</v>
      </c>
      <c r="AB1345" s="10" t="n">
        <v>-55027</v>
      </c>
      <c r="AC1345" s="10" t="n">
        <v>-60225</v>
      </c>
      <c r="AD1345" s="7" t="n">
        <v>474606</v>
      </c>
      <c r="AE1345" s="8" t="n">
        <v>17811</v>
      </c>
      <c r="AF1345" s="8" t="n">
        <v>-13577</v>
      </c>
      <c r="AG1345" s="9" t="n">
        <v>516162</v>
      </c>
      <c r="AH1345" s="10" t="n">
        <v>68996</v>
      </c>
      <c r="AI1345" s="10" t="n">
        <v>16684</v>
      </c>
      <c r="AJ1345" s="11" t="n">
        <v>461809</v>
      </c>
      <c r="AK1345" s="12" t="n">
        <v>-44963</v>
      </c>
      <c r="AL1345" s="12" t="n">
        <v>-43456</v>
      </c>
      <c r="AM1345" s="13" t="n">
        <v>-10.5</v>
      </c>
      <c r="AN1345" s="13" t="n">
        <v>38.9</v>
      </c>
      <c r="AO1345" s="13" t="n">
        <v>-165.2</v>
      </c>
      <c r="AP1345" s="13" t="n">
        <v>-7.4</v>
      </c>
    </row>
    <row r="1346">
      <c r="A1346" s="5" t="inlineStr">
        <is>
          <t>KT나스미디어</t>
        </is>
      </c>
      <c r="B1346" s="6" t="inlineStr">
        <is>
          <t>089600</t>
        </is>
      </c>
      <c r="C1346" s="6" t="inlineStr">
        <is>
          <t>별도</t>
        </is>
      </c>
      <c r="D1346" s="6" t="inlineStr">
        <is>
          <t>2026Q2</t>
        </is>
      </c>
      <c r="E1346" s="6" t="inlineStr">
        <is>
          <t>2023Q4</t>
        </is>
      </c>
      <c r="F1346" s="14" t="n">
        <v>39476</v>
      </c>
      <c r="G1346" s="15" t="n">
        <v>6152</v>
      </c>
      <c r="H1346" s="15" t="n">
        <v>3401</v>
      </c>
      <c r="I1346" s="9" t="n">
        <v>32075</v>
      </c>
      <c r="J1346" s="10" t="n">
        <v>2203</v>
      </c>
      <c r="K1346" s="10" t="n">
        <v>3279</v>
      </c>
      <c r="L1346" s="7" t="n">
        <v>35916</v>
      </c>
      <c r="M1346" s="8" t="n">
        <v>6615</v>
      </c>
      <c r="N1346" s="8" t="n">
        <v>6904</v>
      </c>
      <c r="O1346" s="9" t="n">
        <v>35460</v>
      </c>
      <c r="P1346" s="10" t="n">
        <v>6430</v>
      </c>
      <c r="Q1346" s="10" t="n">
        <v>6300</v>
      </c>
      <c r="R1346" s="7" t="n">
        <v>39101</v>
      </c>
      <c r="S1346" s="8" t="n">
        <v>4692</v>
      </c>
      <c r="T1346" s="8" t="n">
        <v>-21123</v>
      </c>
      <c r="U1346" s="9" t="n">
        <v>23511</v>
      </c>
      <c r="V1346" s="10" t="n">
        <v>2420</v>
      </c>
      <c r="W1346" s="10" t="n">
        <v>2966</v>
      </c>
      <c r="X1346" s="7" t="n">
        <v>26264</v>
      </c>
      <c r="Y1346" s="8" t="n">
        <v>2614</v>
      </c>
      <c r="Z1346" s="8" t="n">
        <v>-473</v>
      </c>
      <c r="AA1346" s="9" t="n">
        <v>31179</v>
      </c>
      <c r="AB1346" s="10" t="n">
        <v>3754</v>
      </c>
      <c r="AC1346" s="10" t="n">
        <v>4895</v>
      </c>
      <c r="AD1346" s="7" t="n">
        <v>36939</v>
      </c>
      <c r="AE1346" s="8" t="n">
        <v>3530</v>
      </c>
      <c r="AF1346" s="8" t="n">
        <v>-589</v>
      </c>
      <c r="AG1346" s="9" t="n">
        <v>26450</v>
      </c>
      <c r="AH1346" s="10" t="n">
        <v>3323</v>
      </c>
      <c r="AI1346" s="10" t="n">
        <v>3658</v>
      </c>
      <c r="AJ1346" s="11" t="n">
        <v>32264</v>
      </c>
      <c r="AK1346" s="12" t="n">
        <v>7820</v>
      </c>
      <c r="AL1346" s="12" t="n">
        <v>6818</v>
      </c>
      <c r="AM1346" s="13" t="n">
        <v>22</v>
      </c>
      <c r="AN1346" s="13" t="n">
        <v>22.8</v>
      </c>
      <c r="AO1346" s="13" t="n">
        <v>135.3</v>
      </c>
      <c r="AP1346" s="13" t="n">
        <v>199.2</v>
      </c>
    </row>
    <row r="1347">
      <c r="A1347" s="5" t="inlineStr">
        <is>
          <t>제이티</t>
        </is>
      </c>
      <c r="B1347" s="6" t="inlineStr">
        <is>
          <t>089790</t>
        </is>
      </c>
      <c r="C1347" s="6" t="inlineStr">
        <is>
          <t>연결</t>
        </is>
      </c>
      <c r="D1347" s="6" t="inlineStr">
        <is>
          <t>2026Q2</t>
        </is>
      </c>
      <c r="E1347" s="6" t="inlineStr"/>
      <c r="F1347" s="7" t="inlineStr"/>
      <c r="G1347" s="8" t="inlineStr"/>
      <c r="H1347" s="8" t="inlineStr"/>
      <c r="I1347" s="9" t="n">
        <v>8166</v>
      </c>
      <c r="J1347" s="10" t="n">
        <v>-596</v>
      </c>
      <c r="K1347" s="10" t="n">
        <v>228</v>
      </c>
      <c r="L1347" s="7" t="n">
        <v>15493</v>
      </c>
      <c r="M1347" s="8" t="n">
        <v>360</v>
      </c>
      <c r="N1347" s="8" t="n">
        <v>1911</v>
      </c>
      <c r="O1347" s="9" t="n">
        <v>5152</v>
      </c>
      <c r="P1347" s="10" t="n">
        <v>-1202</v>
      </c>
      <c r="Q1347" s="10" t="n">
        <v>-1786</v>
      </c>
      <c r="R1347" s="7" t="n">
        <v>20695</v>
      </c>
      <c r="S1347" s="8" t="n">
        <v>2076</v>
      </c>
      <c r="T1347" s="8" t="n">
        <v>3820</v>
      </c>
      <c r="U1347" s="9" t="n">
        <v>2867</v>
      </c>
      <c r="V1347" s="10" t="n">
        <v>-1823</v>
      </c>
      <c r="W1347" s="10" t="n">
        <v>-736</v>
      </c>
      <c r="X1347" s="7" t="n">
        <v>10442</v>
      </c>
      <c r="Y1347" s="8" t="n">
        <v>-450</v>
      </c>
      <c r="Z1347" s="8" t="n">
        <v>-2324</v>
      </c>
      <c r="AA1347" s="9" t="n">
        <v>12918</v>
      </c>
      <c r="AB1347" s="10" t="n">
        <v>44</v>
      </c>
      <c r="AC1347" s="10" t="n">
        <v>1575</v>
      </c>
      <c r="AD1347" s="7" t="n">
        <v>12152</v>
      </c>
      <c r="AE1347" s="8" t="n">
        <v>32</v>
      </c>
      <c r="AF1347" s="8" t="n">
        <v>1095</v>
      </c>
      <c r="AG1347" s="9" t="n">
        <v>23203</v>
      </c>
      <c r="AH1347" s="10" t="n">
        <v>1695</v>
      </c>
      <c r="AI1347" s="10" t="n">
        <v>3118</v>
      </c>
      <c r="AJ1347" s="11" t="n">
        <v>13868</v>
      </c>
      <c r="AK1347" s="12" t="n">
        <v>2338</v>
      </c>
      <c r="AL1347" s="12" t="n">
        <v>5686</v>
      </c>
      <c r="AM1347" s="13" t="n">
        <v>-40.2</v>
      </c>
      <c r="AN1347" s="13" t="n">
        <v>32.8</v>
      </c>
      <c r="AO1347" s="13" t="n">
        <v>37.9</v>
      </c>
      <c r="AP1347" s="13" t="n">
        <v>619.6</v>
      </c>
    </row>
    <row r="1348">
      <c r="A1348" s="5" t="inlineStr">
        <is>
          <t>유비벨록스</t>
        </is>
      </c>
      <c r="B1348" s="6" t="inlineStr">
        <is>
          <t>089850</t>
        </is>
      </c>
      <c r="C1348" s="6" t="inlineStr">
        <is>
          <t>연결</t>
        </is>
      </c>
      <c r="D1348" s="6" t="inlineStr">
        <is>
          <t>2026Q2</t>
        </is>
      </c>
      <c r="E1348" s="6" t="inlineStr"/>
      <c r="F1348" s="7" t="inlineStr"/>
      <c r="G1348" s="8" t="inlineStr"/>
      <c r="H1348" s="8" t="inlineStr"/>
      <c r="I1348" s="9" t="n">
        <v>123256</v>
      </c>
      <c r="J1348" s="10" t="n">
        <v>6589</v>
      </c>
      <c r="K1348" s="10" t="n">
        <v>4847</v>
      </c>
      <c r="L1348" s="7" t="n">
        <v>157681</v>
      </c>
      <c r="M1348" s="8" t="n">
        <v>11152</v>
      </c>
      <c r="N1348" s="8" t="n">
        <v>11812</v>
      </c>
      <c r="O1348" s="9" t="n">
        <v>161490</v>
      </c>
      <c r="P1348" s="10" t="n">
        <v>11491</v>
      </c>
      <c r="Q1348" s="10" t="n">
        <v>5340</v>
      </c>
      <c r="R1348" s="7" t="n">
        <v>164678</v>
      </c>
      <c r="S1348" s="8" t="n">
        <v>4865</v>
      </c>
      <c r="T1348" s="8" t="n">
        <v>3103</v>
      </c>
      <c r="U1348" s="9" t="n">
        <v>173965</v>
      </c>
      <c r="V1348" s="10" t="n">
        <v>314</v>
      </c>
      <c r="W1348" s="10" t="n">
        <v>-1880</v>
      </c>
      <c r="X1348" s="7" t="n">
        <v>173740</v>
      </c>
      <c r="Y1348" s="8" t="n">
        <v>11740</v>
      </c>
      <c r="Z1348" s="8" t="n">
        <v>3185</v>
      </c>
      <c r="AA1348" s="9" t="n">
        <v>163232</v>
      </c>
      <c r="AB1348" s="10" t="n">
        <v>5022</v>
      </c>
      <c r="AC1348" s="10" t="n">
        <v>3037</v>
      </c>
      <c r="AD1348" s="7" t="n">
        <v>156950</v>
      </c>
      <c r="AE1348" s="8" t="n">
        <v>4381</v>
      </c>
      <c r="AF1348" s="8" t="n">
        <v>-23759</v>
      </c>
      <c r="AG1348" s="9" t="n">
        <v>153406</v>
      </c>
      <c r="AH1348" s="10" t="n">
        <v>-2428</v>
      </c>
      <c r="AI1348" s="10" t="n">
        <v>-2024</v>
      </c>
      <c r="AJ1348" s="11" t="n">
        <v>172576</v>
      </c>
      <c r="AK1348" s="12" t="n">
        <v>-2020</v>
      </c>
      <c r="AL1348" s="12" t="n">
        <v>1114</v>
      </c>
      <c r="AM1348" s="13" t="n">
        <v>12.5</v>
      </c>
      <c r="AN1348" s="13" t="n">
        <v>-0.7</v>
      </c>
      <c r="AO1348" s="13" t="n">
        <v>16.8</v>
      </c>
      <c r="AP1348" s="13" t="n">
        <v>-117.2</v>
      </c>
    </row>
    <row r="1349">
      <c r="A1349" s="5" t="inlineStr">
        <is>
          <t>롯데렌탈</t>
        </is>
      </c>
      <c r="B1349" s="6" t="inlineStr">
        <is>
          <t>089860</t>
        </is>
      </c>
      <c r="C1349" s="6" t="inlineStr">
        <is>
          <t>연결</t>
        </is>
      </c>
      <c r="D1349" s="6" t="inlineStr">
        <is>
          <t>2026Q2</t>
        </is>
      </c>
      <c r="E1349" s="6" t="inlineStr">
        <is>
          <t>2023Q4</t>
        </is>
      </c>
      <c r="F1349" s="14" t="n">
        <v>654890</v>
      </c>
      <c r="G1349" s="15" t="n">
        <v>52534</v>
      </c>
      <c r="H1349" s="15" t="n">
        <v>5107</v>
      </c>
      <c r="I1349" s="9" t="n">
        <v>656867</v>
      </c>
      <c r="J1349" s="10" t="n">
        <v>56887</v>
      </c>
      <c r="K1349" s="10" t="n">
        <v>16235</v>
      </c>
      <c r="L1349" s="7" t="n">
        <v>696188</v>
      </c>
      <c r="M1349" s="8" t="n">
        <v>75785</v>
      </c>
      <c r="N1349" s="8" t="n">
        <v>32720</v>
      </c>
      <c r="O1349" s="9" t="n">
        <v>718491</v>
      </c>
      <c r="P1349" s="10" t="n">
        <v>80488</v>
      </c>
      <c r="Q1349" s="10" t="n">
        <v>30952</v>
      </c>
      <c r="R1349" s="7" t="n">
        <v>720849</v>
      </c>
      <c r="S1349" s="8" t="n">
        <v>71652</v>
      </c>
      <c r="T1349" s="8" t="n">
        <v>22804</v>
      </c>
      <c r="U1349" s="9" t="n">
        <v>685640</v>
      </c>
      <c r="V1349" s="10" t="n">
        <v>66991</v>
      </c>
      <c r="W1349" s="10" t="n">
        <v>29829</v>
      </c>
      <c r="X1349" s="7" t="n">
        <v>748755</v>
      </c>
      <c r="Y1349" s="8" t="n">
        <v>77212</v>
      </c>
      <c r="Z1349" s="8" t="n">
        <v>30065</v>
      </c>
      <c r="AA1349" s="9" t="n">
        <v>757969</v>
      </c>
      <c r="AB1349" s="10" t="n">
        <v>88996</v>
      </c>
      <c r="AC1349" s="10" t="n">
        <v>38735</v>
      </c>
      <c r="AD1349" s="7" t="n">
        <v>726388</v>
      </c>
      <c r="AE1349" s="8" t="n">
        <v>79304</v>
      </c>
      <c r="AF1349" s="8" t="n">
        <v>28086</v>
      </c>
      <c r="AG1349" s="9" t="n">
        <v>730925</v>
      </c>
      <c r="AH1349" s="10" t="n">
        <v>83626</v>
      </c>
      <c r="AI1349" s="10" t="n">
        <v>30312</v>
      </c>
      <c r="AJ1349" s="11" t="n">
        <v>765764</v>
      </c>
      <c r="AK1349" s="12" t="n">
        <v>84638</v>
      </c>
      <c r="AL1349" s="12" t="n">
        <v>18291</v>
      </c>
      <c r="AM1349" s="13" t="n">
        <v>4.8</v>
      </c>
      <c r="AN1349" s="13" t="n">
        <v>2.3</v>
      </c>
      <c r="AO1349" s="13" t="n">
        <v>1.2</v>
      </c>
      <c r="AP1349" s="13" t="n">
        <v>9.6</v>
      </c>
    </row>
    <row r="1350">
      <c r="A1350" s="5" t="inlineStr">
        <is>
          <t>코세스</t>
        </is>
      </c>
      <c r="B1350" s="6" t="inlineStr">
        <is>
          <t>089890</t>
        </is>
      </c>
      <c r="C1350" s="6" t="inlineStr">
        <is>
          <t>연결</t>
        </is>
      </c>
      <c r="D1350" s="6" t="inlineStr">
        <is>
          <t>2026Q2</t>
        </is>
      </c>
      <c r="E1350" s="6" t="inlineStr"/>
      <c r="F1350" s="7" t="inlineStr"/>
      <c r="G1350" s="8" t="inlineStr"/>
      <c r="H1350" s="8" t="inlineStr"/>
      <c r="I1350" s="9" t="n">
        <v>16952</v>
      </c>
      <c r="J1350" s="10" t="n">
        <v>-529</v>
      </c>
      <c r="K1350" s="10" t="n">
        <v>1825</v>
      </c>
      <c r="L1350" s="7" t="n">
        <v>19262</v>
      </c>
      <c r="M1350" s="8" t="n">
        <v>276</v>
      </c>
      <c r="N1350" s="8" t="n">
        <v>895</v>
      </c>
      <c r="O1350" s="9" t="n">
        <v>12713</v>
      </c>
      <c r="P1350" s="10" t="n">
        <v>-2634</v>
      </c>
      <c r="Q1350" s="10" t="n">
        <v>-4820</v>
      </c>
      <c r="R1350" s="7" t="n">
        <v>20257</v>
      </c>
      <c r="S1350" s="8" t="n">
        <v>-2722</v>
      </c>
      <c r="T1350" s="8" t="n">
        <v>1903</v>
      </c>
      <c r="U1350" s="9" t="n">
        <v>18820</v>
      </c>
      <c r="V1350" s="10" t="n">
        <v>3947</v>
      </c>
      <c r="W1350" s="10" t="n">
        <v>3261</v>
      </c>
      <c r="X1350" s="7" t="n">
        <v>17074</v>
      </c>
      <c r="Y1350" s="8" t="n">
        <v>6858</v>
      </c>
      <c r="Z1350" s="8" t="n">
        <v>3049</v>
      </c>
      <c r="AA1350" s="9" t="n">
        <v>22189</v>
      </c>
      <c r="AB1350" s="10" t="n">
        <v>3563</v>
      </c>
      <c r="AC1350" s="10" t="n">
        <v>4735</v>
      </c>
      <c r="AD1350" s="7" t="n">
        <v>24296</v>
      </c>
      <c r="AE1350" s="8" t="n">
        <v>3024</v>
      </c>
      <c r="AF1350" s="8" t="n">
        <v>2159</v>
      </c>
      <c r="AG1350" s="9" t="n">
        <v>12629</v>
      </c>
      <c r="AH1350" s="10" t="n">
        <v>1458</v>
      </c>
      <c r="AI1350" s="10" t="n">
        <v>2503</v>
      </c>
      <c r="AJ1350" s="11" t="n">
        <v>18555</v>
      </c>
      <c r="AK1350" s="12" t="n">
        <v>5730</v>
      </c>
      <c r="AL1350" s="12" t="n">
        <v>6214</v>
      </c>
      <c r="AM1350" s="13" t="n">
        <v>46.9</v>
      </c>
      <c r="AN1350" s="13" t="n">
        <v>8.699999999999999</v>
      </c>
      <c r="AO1350" s="13" t="n">
        <v>293</v>
      </c>
      <c r="AP1350" s="13" t="n">
        <v>-16.4</v>
      </c>
    </row>
    <row r="1351">
      <c r="A1351" s="5" t="inlineStr">
        <is>
          <t>브이엠</t>
        </is>
      </c>
      <c r="B1351" s="6" t="inlineStr">
        <is>
          <t>089970</t>
        </is>
      </c>
      <c r="C1351" s="6" t="inlineStr">
        <is>
          <t>연결</t>
        </is>
      </c>
      <c r="D1351" s="6" t="inlineStr">
        <is>
          <t>2026Q2</t>
        </is>
      </c>
      <c r="E1351" s="6" t="inlineStr"/>
      <c r="F1351" s="7" t="inlineStr"/>
      <c r="G1351" s="8" t="inlineStr"/>
      <c r="H1351" s="8" t="inlineStr"/>
      <c r="I1351" s="9" t="n">
        <v>8229</v>
      </c>
      <c r="J1351" s="10" t="n">
        <v>-5256</v>
      </c>
      <c r="K1351" s="10" t="n">
        <v>-2933</v>
      </c>
      <c r="L1351" s="7" t="n">
        <v>19728</v>
      </c>
      <c r="M1351" s="8" t="n">
        <v>276</v>
      </c>
      <c r="N1351" s="8" t="n">
        <v>706</v>
      </c>
      <c r="O1351" s="9" t="n">
        <v>9346</v>
      </c>
      <c r="P1351" s="10" t="n">
        <v>-2161</v>
      </c>
      <c r="Q1351" s="10" t="n">
        <v>-2859</v>
      </c>
      <c r="R1351" s="7" t="n">
        <v>32974</v>
      </c>
      <c r="S1351" s="8" t="n">
        <v>-1459</v>
      </c>
      <c r="T1351" s="8" t="n">
        <v>1635</v>
      </c>
      <c r="U1351" s="9" t="n">
        <v>17908</v>
      </c>
      <c r="V1351" s="10" t="n">
        <v>1880</v>
      </c>
      <c r="W1351" s="10" t="n">
        <v>1565</v>
      </c>
      <c r="X1351" s="7" t="n">
        <v>39209</v>
      </c>
      <c r="Y1351" s="8" t="n">
        <v>4424</v>
      </c>
      <c r="Z1351" s="8" t="n">
        <v>2101</v>
      </c>
      <c r="AA1351" s="9" t="n">
        <v>36450</v>
      </c>
      <c r="AB1351" s="10" t="n">
        <v>9042</v>
      </c>
      <c r="AC1351" s="10" t="n">
        <v>11305</v>
      </c>
      <c r="AD1351" s="7" t="n">
        <v>50845</v>
      </c>
      <c r="AE1351" s="8" t="n">
        <v>9327</v>
      </c>
      <c r="AF1351" s="8" t="n">
        <v>11161</v>
      </c>
      <c r="AG1351" s="9" t="n">
        <v>88893</v>
      </c>
      <c r="AH1351" s="10" t="n">
        <v>30143</v>
      </c>
      <c r="AI1351" s="10" t="n">
        <v>25582</v>
      </c>
      <c r="AJ1351" s="11" t="n">
        <v>72293</v>
      </c>
      <c r="AK1351" s="12" t="n">
        <v>20055</v>
      </c>
      <c r="AL1351" s="12" t="n">
        <v>17906</v>
      </c>
      <c r="AM1351" s="13" t="n">
        <v>-18.7</v>
      </c>
      <c r="AN1351" s="13" t="n">
        <v>84.40000000000001</v>
      </c>
      <c r="AO1351" s="13" t="n">
        <v>-33.5</v>
      </c>
      <c r="AP1351" s="13" t="n">
        <v>353.3</v>
      </c>
    </row>
    <row r="1352">
      <c r="A1352" s="5" t="inlineStr">
        <is>
          <t>상아프론테크</t>
        </is>
      </c>
      <c r="B1352" s="6" t="inlineStr">
        <is>
          <t>089980</t>
        </is>
      </c>
      <c r="C1352" s="6" t="inlineStr">
        <is>
          <t>연결</t>
        </is>
      </c>
      <c r="D1352" s="6" t="inlineStr">
        <is>
          <t>2026Q2</t>
        </is>
      </c>
      <c r="E1352" s="6" t="inlineStr"/>
      <c r="F1352" s="7" t="inlineStr"/>
      <c r="G1352" s="8" t="inlineStr"/>
      <c r="H1352" s="8" t="inlineStr"/>
      <c r="I1352" s="9" t="n">
        <v>43783</v>
      </c>
      <c r="J1352" s="10" t="n">
        <v>2024</v>
      </c>
      <c r="K1352" s="10" t="n">
        <v>1306</v>
      </c>
      <c r="L1352" s="7" t="n">
        <v>44952</v>
      </c>
      <c r="M1352" s="8" t="n">
        <v>2117</v>
      </c>
      <c r="N1352" s="8" t="n">
        <v>-2326</v>
      </c>
      <c r="O1352" s="9" t="n">
        <v>42447</v>
      </c>
      <c r="P1352" s="10" t="n">
        <v>1329</v>
      </c>
      <c r="Q1352" s="10" t="n">
        <v>-1436</v>
      </c>
      <c r="R1352" s="7" t="n">
        <v>40570</v>
      </c>
      <c r="S1352" s="8" t="n">
        <v>380</v>
      </c>
      <c r="T1352" s="8" t="n">
        <v>8619</v>
      </c>
      <c r="U1352" s="9" t="n">
        <v>40699</v>
      </c>
      <c r="V1352" s="10" t="n">
        <v>1082</v>
      </c>
      <c r="W1352" s="10" t="n">
        <v>278</v>
      </c>
      <c r="X1352" s="7" t="n">
        <v>44756</v>
      </c>
      <c r="Y1352" s="8" t="n">
        <v>1573</v>
      </c>
      <c r="Z1352" s="8" t="n">
        <v>2311</v>
      </c>
      <c r="AA1352" s="9" t="n">
        <v>49929</v>
      </c>
      <c r="AB1352" s="10" t="n">
        <v>2126</v>
      </c>
      <c r="AC1352" s="10" t="n">
        <v>1096</v>
      </c>
      <c r="AD1352" s="7" t="n">
        <v>60604</v>
      </c>
      <c r="AE1352" s="8" t="n">
        <v>1931</v>
      </c>
      <c r="AF1352" s="8" t="n">
        <v>3070</v>
      </c>
      <c r="AG1352" s="9" t="n">
        <v>48494</v>
      </c>
      <c r="AH1352" s="10" t="n">
        <v>1165</v>
      </c>
      <c r="AI1352" s="10" t="n">
        <v>718</v>
      </c>
      <c r="AJ1352" s="11" t="n">
        <v>55832</v>
      </c>
      <c r="AK1352" s="12" t="n">
        <v>3580</v>
      </c>
      <c r="AL1352" s="12" t="n">
        <v>4968</v>
      </c>
      <c r="AM1352" s="13" t="n">
        <v>15.1</v>
      </c>
      <c r="AN1352" s="13" t="n">
        <v>24.7</v>
      </c>
      <c r="AO1352" s="13" t="n">
        <v>207.3</v>
      </c>
      <c r="AP1352" s="13" t="n">
        <v>127.6</v>
      </c>
    </row>
    <row r="1353">
      <c r="A1353" s="5" t="inlineStr">
        <is>
          <t>평화산업</t>
        </is>
      </c>
      <c r="B1353" s="6" t="inlineStr">
        <is>
          <t>090080</t>
        </is>
      </c>
      <c r="C1353" s="6" t="inlineStr">
        <is>
          <t>연결</t>
        </is>
      </c>
      <c r="D1353" s="6" t="inlineStr">
        <is>
          <t>2026Q2</t>
        </is>
      </c>
      <c r="E1353" s="6" t="inlineStr"/>
      <c r="F1353" s="7" t="inlineStr"/>
      <c r="G1353" s="8" t="inlineStr"/>
      <c r="H1353" s="8" t="inlineStr"/>
      <c r="I1353" s="9" t="n">
        <v>142996</v>
      </c>
      <c r="J1353" s="10" t="n">
        <v>3220</v>
      </c>
      <c r="K1353" s="10" t="n">
        <v>1007</v>
      </c>
      <c r="L1353" s="7" t="n">
        <v>153090</v>
      </c>
      <c r="M1353" s="8" t="n">
        <v>5163</v>
      </c>
      <c r="N1353" s="8" t="n">
        <v>1564</v>
      </c>
      <c r="O1353" s="9" t="n">
        <v>140749</v>
      </c>
      <c r="P1353" s="10" t="n">
        <v>-309</v>
      </c>
      <c r="Q1353" s="10" t="n">
        <v>-632</v>
      </c>
      <c r="R1353" s="7" t="n">
        <v>151542</v>
      </c>
      <c r="S1353" s="8" t="n">
        <v>5987</v>
      </c>
      <c r="T1353" s="8" t="n">
        <v>1894</v>
      </c>
      <c r="U1353" s="9" t="n">
        <v>150297</v>
      </c>
      <c r="V1353" s="10" t="n">
        <v>2136</v>
      </c>
      <c r="W1353" s="10" t="n">
        <v>1444</v>
      </c>
      <c r="X1353" s="7" t="n">
        <v>165491</v>
      </c>
      <c r="Y1353" s="8" t="n">
        <v>2942</v>
      </c>
      <c r="Z1353" s="8" t="n">
        <v>2596</v>
      </c>
      <c r="AA1353" s="9" t="n">
        <v>159500</v>
      </c>
      <c r="AB1353" s="10" t="n">
        <v>1818</v>
      </c>
      <c r="AC1353" s="10" t="n">
        <v>2545</v>
      </c>
      <c r="AD1353" s="7" t="n">
        <v>150774</v>
      </c>
      <c r="AE1353" s="8" t="n">
        <v>6447</v>
      </c>
      <c r="AF1353" s="8" t="n">
        <v>9121</v>
      </c>
      <c r="AG1353" s="9" t="n">
        <v>162584</v>
      </c>
      <c r="AH1353" s="10" t="n">
        <v>5101</v>
      </c>
      <c r="AI1353" s="10" t="n">
        <v>8494</v>
      </c>
      <c r="AJ1353" s="11" t="n">
        <v>172187</v>
      </c>
      <c r="AK1353" s="12" t="n">
        <v>8257</v>
      </c>
      <c r="AL1353" s="12" t="n">
        <v>7376</v>
      </c>
      <c r="AM1353" s="13" t="n">
        <v>5.9</v>
      </c>
      <c r="AN1353" s="13" t="n">
        <v>4</v>
      </c>
      <c r="AO1353" s="13" t="n">
        <v>61.9</v>
      </c>
      <c r="AP1353" s="13" t="n">
        <v>180.7</v>
      </c>
    </row>
    <row r="1354">
      <c r="A1354" s="5" t="inlineStr">
        <is>
          <t>아이윈</t>
        </is>
      </c>
      <c r="B1354" s="6" t="inlineStr">
        <is>
          <t>090150</t>
        </is>
      </c>
      <c r="C1354" s="6" t="inlineStr">
        <is>
          <t>연결</t>
        </is>
      </c>
      <c r="D1354" s="6" t="inlineStr">
        <is>
          <t>2026Q2</t>
        </is>
      </c>
      <c r="E1354" s="6" t="inlineStr"/>
      <c r="F1354" s="7" t="inlineStr"/>
      <c r="G1354" s="8" t="inlineStr"/>
      <c r="H1354" s="8" t="inlineStr"/>
      <c r="I1354" s="9" t="n">
        <v>28081</v>
      </c>
      <c r="J1354" s="10" t="n">
        <v>2372</v>
      </c>
      <c r="K1354" s="10" t="n">
        <v>1340</v>
      </c>
      <c r="L1354" s="7" t="n">
        <v>30883</v>
      </c>
      <c r="M1354" s="8" t="n">
        <v>2984</v>
      </c>
      <c r="N1354" s="8" t="n">
        <v>744</v>
      </c>
      <c r="O1354" s="9" t="n">
        <v>30221</v>
      </c>
      <c r="P1354" s="10" t="n">
        <v>2234</v>
      </c>
      <c r="Q1354" s="10" t="n">
        <v>-355</v>
      </c>
      <c r="R1354" s="7" t="n">
        <v>30134</v>
      </c>
      <c r="S1354" s="8" t="n">
        <v>311</v>
      </c>
      <c r="T1354" s="8" t="n">
        <v>-5849</v>
      </c>
      <c r="U1354" s="9" t="n">
        <v>29752</v>
      </c>
      <c r="V1354" s="10" t="n">
        <v>1444</v>
      </c>
      <c r="W1354" s="10" t="n">
        <v>1493</v>
      </c>
      <c r="X1354" s="7" t="n">
        <v>30387</v>
      </c>
      <c r="Y1354" s="8" t="n">
        <v>2806</v>
      </c>
      <c r="Z1354" s="8" t="n">
        <v>-305</v>
      </c>
      <c r="AA1354" s="9" t="n">
        <v>28707</v>
      </c>
      <c r="AB1354" s="10" t="n">
        <v>2141</v>
      </c>
      <c r="AC1354" s="10" t="n">
        <v>2488</v>
      </c>
      <c r="AD1354" s="7" t="n">
        <v>27064</v>
      </c>
      <c r="AE1354" s="8" t="n">
        <v>484</v>
      </c>
      <c r="AF1354" s="8" t="n">
        <v>5279</v>
      </c>
      <c r="AG1354" s="9" t="n">
        <v>27464</v>
      </c>
      <c r="AH1354" s="10" t="n">
        <v>1579</v>
      </c>
      <c r="AI1354" s="10" t="n">
        <v>2522</v>
      </c>
      <c r="AJ1354" s="11" t="n">
        <v>29108</v>
      </c>
      <c r="AK1354" s="12" t="n">
        <v>3962</v>
      </c>
      <c r="AL1354" s="12" t="n">
        <v>14348</v>
      </c>
      <c r="AM1354" s="13" t="n">
        <v>6</v>
      </c>
      <c r="AN1354" s="13" t="n">
        <v>-4.2</v>
      </c>
      <c r="AO1354" s="13" t="n">
        <v>150.9</v>
      </c>
      <c r="AP1354" s="13" t="n">
        <v>41.2</v>
      </c>
    </row>
    <row r="1355">
      <c r="A1355" s="5" t="inlineStr">
        <is>
          <t>노루페인트</t>
        </is>
      </c>
      <c r="B1355" s="6" t="inlineStr">
        <is>
          <t>090350</t>
        </is>
      </c>
      <c r="C1355" s="6" t="inlineStr">
        <is>
          <t>연결</t>
        </is>
      </c>
      <c r="D1355" s="6" t="inlineStr">
        <is>
          <t>2026Q2</t>
        </is>
      </c>
      <c r="E1355" s="6" t="inlineStr"/>
      <c r="F1355" s="7" t="inlineStr"/>
      <c r="G1355" s="8" t="inlineStr"/>
      <c r="H1355" s="8" t="inlineStr"/>
      <c r="I1355" s="9" t="n">
        <v>172542</v>
      </c>
      <c r="J1355" s="10" t="n">
        <v>8838</v>
      </c>
      <c r="K1355" s="10" t="n">
        <v>7895</v>
      </c>
      <c r="L1355" s="7" t="n">
        <v>229904</v>
      </c>
      <c r="M1355" s="8" t="n">
        <v>18380</v>
      </c>
      <c r="N1355" s="8" t="n">
        <v>14854</v>
      </c>
      <c r="O1355" s="9" t="n">
        <v>193531</v>
      </c>
      <c r="P1355" s="10" t="n">
        <v>13763</v>
      </c>
      <c r="Q1355" s="10" t="n">
        <v>9757</v>
      </c>
      <c r="R1355" s="7" t="n">
        <v>197870</v>
      </c>
      <c r="S1355" s="8" t="n">
        <v>2684</v>
      </c>
      <c r="T1355" s="8" t="n">
        <v>2660</v>
      </c>
      <c r="U1355" s="9" t="n">
        <v>172118</v>
      </c>
      <c r="V1355" s="10" t="n">
        <v>4665</v>
      </c>
      <c r="W1355" s="10" t="n">
        <v>3391</v>
      </c>
      <c r="X1355" s="7" t="n">
        <v>224428</v>
      </c>
      <c r="Y1355" s="8" t="n">
        <v>14087</v>
      </c>
      <c r="Z1355" s="8" t="n">
        <v>5715</v>
      </c>
      <c r="AA1355" s="9" t="n">
        <v>195031</v>
      </c>
      <c r="AB1355" s="10" t="n">
        <v>8866</v>
      </c>
      <c r="AC1355" s="10" t="n">
        <v>7963</v>
      </c>
      <c r="AD1355" s="7" t="n">
        <v>179475</v>
      </c>
      <c r="AE1355" s="8" t="n">
        <v>2563</v>
      </c>
      <c r="AF1355" s="8" t="n">
        <v>-608</v>
      </c>
      <c r="AG1355" s="9" t="n">
        <v>176232</v>
      </c>
      <c r="AH1355" s="10" t="n">
        <v>7932</v>
      </c>
      <c r="AI1355" s="10" t="n">
        <v>6879</v>
      </c>
      <c r="AJ1355" s="11" t="n">
        <v>229928</v>
      </c>
      <c r="AK1355" s="12" t="n">
        <v>24348</v>
      </c>
      <c r="AL1355" s="12" t="n">
        <v>18556</v>
      </c>
      <c r="AM1355" s="13" t="n">
        <v>30.5</v>
      </c>
      <c r="AN1355" s="13" t="n">
        <v>2.5</v>
      </c>
      <c r="AO1355" s="13" t="n">
        <v>207</v>
      </c>
      <c r="AP1355" s="13" t="n">
        <v>72.8</v>
      </c>
    </row>
    <row r="1356">
      <c r="A1356" s="5" t="inlineStr">
        <is>
          <t>로보스타</t>
        </is>
      </c>
      <c r="B1356" s="6" t="inlineStr">
        <is>
          <t>090360</t>
        </is>
      </c>
      <c r="C1356" s="6" t="inlineStr">
        <is>
          <t>연결</t>
        </is>
      </c>
      <c r="D1356" s="6" t="inlineStr">
        <is>
          <t>2026Q2</t>
        </is>
      </c>
      <c r="E1356" s="6" t="inlineStr"/>
      <c r="F1356" s="7" t="inlineStr"/>
      <c r="G1356" s="8" t="inlineStr"/>
      <c r="H1356" s="8" t="inlineStr"/>
      <c r="I1356" s="9" t="n">
        <v>20899</v>
      </c>
      <c r="J1356" s="10" t="n">
        <v>-467</v>
      </c>
      <c r="K1356" s="10" t="n">
        <v>270</v>
      </c>
      <c r="L1356" s="7" t="n">
        <v>27622</v>
      </c>
      <c r="M1356" s="8" t="n">
        <v>1593</v>
      </c>
      <c r="N1356" s="8" t="n">
        <v>1788</v>
      </c>
      <c r="O1356" s="9" t="n">
        <v>17037</v>
      </c>
      <c r="P1356" s="10" t="n">
        <v>-2039</v>
      </c>
      <c r="Q1356" s="10" t="n">
        <v>-2267</v>
      </c>
      <c r="R1356" s="7" t="n">
        <v>23582</v>
      </c>
      <c r="S1356" s="8" t="n">
        <v>1062</v>
      </c>
      <c r="T1356" s="8" t="n">
        <v>2426</v>
      </c>
      <c r="U1356" s="9" t="n">
        <v>14150</v>
      </c>
      <c r="V1356" s="10" t="n">
        <v>-2381</v>
      </c>
      <c r="W1356" s="10" t="n">
        <v>-2208</v>
      </c>
      <c r="X1356" s="7" t="n">
        <v>19651</v>
      </c>
      <c r="Y1356" s="8" t="n">
        <v>-816</v>
      </c>
      <c r="Z1356" s="8" t="n">
        <v>-1351</v>
      </c>
      <c r="AA1356" s="9" t="n">
        <v>17345</v>
      </c>
      <c r="AB1356" s="10" t="n">
        <v>-1104</v>
      </c>
      <c r="AC1356" s="10" t="n">
        <v>-536</v>
      </c>
      <c r="AD1356" s="7" t="n">
        <v>24589</v>
      </c>
      <c r="AE1356" s="8" t="n">
        <v>-1360</v>
      </c>
      <c r="AF1356" s="8" t="n">
        <v>-1106</v>
      </c>
      <c r="AG1356" s="9" t="n">
        <v>25146</v>
      </c>
      <c r="AH1356" s="10" t="n">
        <v>74</v>
      </c>
      <c r="AI1356" s="10" t="n">
        <v>934</v>
      </c>
      <c r="AJ1356" s="11" t="n">
        <v>26369</v>
      </c>
      <c r="AK1356" s="12" t="n">
        <v>500</v>
      </c>
      <c r="AL1356" s="12" t="n">
        <v>1098</v>
      </c>
      <c r="AM1356" s="13" t="n">
        <v>4.9</v>
      </c>
      <c r="AN1356" s="13" t="n">
        <v>34.2</v>
      </c>
      <c r="AO1356" s="13" t="n">
        <v>575.7</v>
      </c>
      <c r="AP1356" s="13" t="n">
        <v>161.3</v>
      </c>
    </row>
    <row r="1357">
      <c r="A1357" s="5" t="inlineStr">
        <is>
          <t>메타랩스</t>
        </is>
      </c>
      <c r="B1357" s="6" t="inlineStr">
        <is>
          <t>090370</t>
        </is>
      </c>
      <c r="C1357" s="6" t="inlineStr">
        <is>
          <t>연결</t>
        </is>
      </c>
      <c r="D1357" s="6" t="inlineStr">
        <is>
          <t>2026Q2</t>
        </is>
      </c>
      <c r="E1357" s="6" t="inlineStr"/>
      <c r="F1357" s="7" t="inlineStr"/>
      <c r="G1357" s="8" t="inlineStr"/>
      <c r="H1357" s="8" t="inlineStr"/>
      <c r="I1357" s="9" t="n">
        <v>8548</v>
      </c>
      <c r="J1357" s="10" t="n">
        <v>-511</v>
      </c>
      <c r="K1357" s="10" t="n">
        <v>-1543</v>
      </c>
      <c r="L1357" s="7" t="n">
        <v>10798</v>
      </c>
      <c r="M1357" s="8" t="n">
        <v>-557</v>
      </c>
      <c r="N1357" s="8" t="n">
        <v>-751</v>
      </c>
      <c r="O1357" s="9" t="n">
        <v>8857</v>
      </c>
      <c r="P1357" s="10" t="n">
        <v>-1037</v>
      </c>
      <c r="Q1357" s="10" t="n">
        <v>7579</v>
      </c>
      <c r="R1357" s="7" t="n">
        <v>10156</v>
      </c>
      <c r="S1357" s="8" t="n">
        <v>-1097</v>
      </c>
      <c r="T1357" s="8" t="n">
        <v>-6034</v>
      </c>
      <c r="U1357" s="9" t="n">
        <v>8446</v>
      </c>
      <c r="V1357" s="10" t="n">
        <v>-798</v>
      </c>
      <c r="W1357" s="10" t="n">
        <v>-72</v>
      </c>
      <c r="X1357" s="7" t="n">
        <v>11787</v>
      </c>
      <c r="Y1357" s="8" t="n">
        <v>-5122</v>
      </c>
      <c r="Z1357" s="8" t="n">
        <v>-6833</v>
      </c>
      <c r="AA1357" s="9" t="n">
        <v>29961</v>
      </c>
      <c r="AB1357" s="10" t="n">
        <v>-248</v>
      </c>
      <c r="AC1357" s="10" t="n">
        <v>650</v>
      </c>
      <c r="AD1357" s="7" t="n">
        <v>31129</v>
      </c>
      <c r="AE1357" s="8" t="n">
        <v>-1075</v>
      </c>
      <c r="AF1357" s="8" t="n">
        <v>-6116</v>
      </c>
      <c r="AG1357" s="9" t="n">
        <v>30373</v>
      </c>
      <c r="AH1357" s="10" t="n">
        <v>502</v>
      </c>
      <c r="AI1357" s="10" t="n">
        <v>-286</v>
      </c>
      <c r="AJ1357" s="11" t="n">
        <v>27647</v>
      </c>
      <c r="AK1357" s="12" t="n">
        <v>279</v>
      </c>
      <c r="AL1357" s="12" t="n">
        <v>-1214</v>
      </c>
      <c r="AM1357" s="13" t="n">
        <v>-9</v>
      </c>
      <c r="AN1357" s="13" t="n">
        <v>134.6</v>
      </c>
      <c r="AO1357" s="13" t="n">
        <v>-44.4</v>
      </c>
      <c r="AP1357" s="13" t="n">
        <v>105.4</v>
      </c>
    </row>
    <row r="1358">
      <c r="A1358" s="5" t="inlineStr">
        <is>
          <t>덕신이피씨</t>
        </is>
      </c>
      <c r="B1358" s="6" t="inlineStr">
        <is>
          <t>090410</t>
        </is>
      </c>
      <c r="C1358" s="6" t="inlineStr">
        <is>
          <t>연결</t>
        </is>
      </c>
      <c r="D1358" s="6" t="inlineStr">
        <is>
          <t>2026Q2</t>
        </is>
      </c>
      <c r="E1358" s="6" t="inlineStr"/>
      <c r="F1358" s="7" t="inlineStr"/>
      <c r="G1358" s="8" t="inlineStr"/>
      <c r="H1358" s="8" t="inlineStr"/>
      <c r="I1358" s="9" t="n">
        <v>40803</v>
      </c>
      <c r="J1358" s="10" t="n">
        <v>4926</v>
      </c>
      <c r="K1358" s="10" t="n">
        <v>3964</v>
      </c>
      <c r="L1358" s="7" t="n">
        <v>43561</v>
      </c>
      <c r="M1358" s="8" t="n">
        <v>7311</v>
      </c>
      <c r="N1358" s="8" t="n">
        <v>7625</v>
      </c>
      <c r="O1358" s="9" t="n">
        <v>33426</v>
      </c>
      <c r="P1358" s="10" t="n">
        <v>2260</v>
      </c>
      <c r="Q1358" s="10" t="n">
        <v>1365</v>
      </c>
      <c r="R1358" s="7" t="n">
        <v>28774</v>
      </c>
      <c r="S1358" s="8" t="n">
        <v>-3770</v>
      </c>
      <c r="T1358" s="8" t="n">
        <v>-1742</v>
      </c>
      <c r="U1358" s="9" t="n">
        <v>25100</v>
      </c>
      <c r="V1358" s="10" t="n">
        <v>2108</v>
      </c>
      <c r="W1358" s="10" t="n">
        <v>2233</v>
      </c>
      <c r="X1358" s="7" t="n">
        <v>29131</v>
      </c>
      <c r="Y1358" s="8" t="n">
        <v>-69</v>
      </c>
      <c r="Z1358" s="8" t="n">
        <v>-284</v>
      </c>
      <c r="AA1358" s="9" t="n">
        <v>24853</v>
      </c>
      <c r="AB1358" s="10" t="n">
        <v>-1340</v>
      </c>
      <c r="AC1358" s="10" t="n">
        <v>-1796</v>
      </c>
      <c r="AD1358" s="7" t="n">
        <v>27375</v>
      </c>
      <c r="AE1358" s="8" t="n">
        <v>-803</v>
      </c>
      <c r="AF1358" s="8" t="n">
        <v>1250</v>
      </c>
      <c r="AG1358" s="9" t="n">
        <v>25666</v>
      </c>
      <c r="AH1358" s="10" t="n">
        <v>20</v>
      </c>
      <c r="AI1358" s="10" t="n">
        <v>64</v>
      </c>
      <c r="AJ1358" s="11" t="n">
        <v>32504</v>
      </c>
      <c r="AK1358" s="12" t="n">
        <v>-371</v>
      </c>
      <c r="AL1358" s="12" t="n">
        <v>-153</v>
      </c>
      <c r="AM1358" s="13" t="n">
        <v>26.6</v>
      </c>
      <c r="AN1358" s="13" t="n">
        <v>11.6</v>
      </c>
      <c r="AO1358" s="13" t="n">
        <v>-1955</v>
      </c>
      <c r="AP1358" s="13" t="n">
        <v>-437.7</v>
      </c>
    </row>
    <row r="1359">
      <c r="A1359" s="5" t="inlineStr">
        <is>
          <t>아모레퍼시픽</t>
        </is>
      </c>
      <c r="B1359" s="6" t="inlineStr">
        <is>
          <t>090430</t>
        </is>
      </c>
      <c r="C1359" s="6" t="inlineStr">
        <is>
          <t>연결</t>
        </is>
      </c>
      <c r="D1359" s="6" t="inlineStr">
        <is>
          <t>2026Q2</t>
        </is>
      </c>
      <c r="E1359" s="6" t="inlineStr">
        <is>
          <t>2023Q4</t>
        </is>
      </c>
      <c r="F1359" s="14" t="n">
        <v>926049</v>
      </c>
      <c r="G1359" s="15" t="n">
        <v>20676</v>
      </c>
      <c r="H1359" s="15" t="n">
        <v>38230</v>
      </c>
      <c r="I1359" s="9" t="n">
        <v>911453</v>
      </c>
      <c r="J1359" s="10" t="n">
        <v>72676</v>
      </c>
      <c r="K1359" s="10" t="n">
        <v>80114</v>
      </c>
      <c r="L1359" s="7" t="n">
        <v>904751</v>
      </c>
      <c r="M1359" s="8" t="n">
        <v>4154</v>
      </c>
      <c r="N1359" s="8" t="n">
        <v>530598</v>
      </c>
      <c r="O1359" s="9" t="n">
        <v>977208</v>
      </c>
      <c r="P1359" s="10" t="n">
        <v>65171</v>
      </c>
      <c r="Q1359" s="10" t="n">
        <v>37160</v>
      </c>
      <c r="R1359" s="7" t="n">
        <v>1091699</v>
      </c>
      <c r="S1359" s="8" t="n">
        <v>78480</v>
      </c>
      <c r="T1359" s="8" t="n">
        <v>-46231</v>
      </c>
      <c r="U1359" s="9" t="n">
        <v>1067512</v>
      </c>
      <c r="V1359" s="10" t="n">
        <v>117730</v>
      </c>
      <c r="W1359" s="10" t="n">
        <v>118953</v>
      </c>
      <c r="X1359" s="7" t="n">
        <v>1005024</v>
      </c>
      <c r="Y1359" s="8" t="n">
        <v>73662</v>
      </c>
      <c r="Z1359" s="8" t="n">
        <v>37631</v>
      </c>
      <c r="AA1359" s="9" t="n">
        <v>1016904</v>
      </c>
      <c r="AB1359" s="10" t="n">
        <v>91887</v>
      </c>
      <c r="AC1359" s="10" t="n">
        <v>68239</v>
      </c>
      <c r="AD1359" s="7" t="n">
        <v>1163380</v>
      </c>
      <c r="AE1359" s="8" t="n">
        <v>52548</v>
      </c>
      <c r="AF1359" s="8" t="n">
        <v>22493</v>
      </c>
      <c r="AG1359" s="9" t="n">
        <v>1135756</v>
      </c>
      <c r="AH1359" s="10" t="n">
        <v>126706</v>
      </c>
      <c r="AI1359" s="10" t="n">
        <v>112998</v>
      </c>
      <c r="AJ1359" s="11" t="n">
        <v>1175899</v>
      </c>
      <c r="AK1359" s="12" t="n">
        <v>117338</v>
      </c>
      <c r="AL1359" s="12" t="n">
        <v>93363</v>
      </c>
      <c r="AM1359" s="13" t="n">
        <v>3.5</v>
      </c>
      <c r="AN1359" s="13" t="n">
        <v>17</v>
      </c>
      <c r="AO1359" s="13" t="n">
        <v>-7.4</v>
      </c>
      <c r="AP1359" s="13" t="n">
        <v>59.3</v>
      </c>
    </row>
    <row r="1360">
      <c r="A1360" s="5" t="inlineStr">
        <is>
          <t>비에이치</t>
        </is>
      </c>
      <c r="B1360" s="6" t="inlineStr">
        <is>
          <t>090460</t>
        </is>
      </c>
      <c r="C1360" s="6" t="inlineStr">
        <is>
          <t>연결</t>
        </is>
      </c>
      <c r="D1360" s="6" t="inlineStr">
        <is>
          <t>2026Q2</t>
        </is>
      </c>
      <c r="E1360" s="6" t="inlineStr"/>
      <c r="F1360" s="7" t="inlineStr"/>
      <c r="G1360" s="8" t="inlineStr"/>
      <c r="H1360" s="8" t="inlineStr"/>
      <c r="I1360" s="9" t="n">
        <v>298853</v>
      </c>
      <c r="J1360" s="10" t="n">
        <v>8423</v>
      </c>
      <c r="K1360" s="10" t="n">
        <v>17011</v>
      </c>
      <c r="L1360" s="7" t="n">
        <v>468477</v>
      </c>
      <c r="M1360" s="8" t="n">
        <v>31339</v>
      </c>
      <c r="N1360" s="8" t="n">
        <v>27621</v>
      </c>
      <c r="O1360" s="9" t="n">
        <v>499232</v>
      </c>
      <c r="P1360" s="10" t="n">
        <v>52585</v>
      </c>
      <c r="Q1360" s="10" t="n">
        <v>35257</v>
      </c>
      <c r="R1360" s="7" t="n">
        <v>487880</v>
      </c>
      <c r="S1360" s="8" t="n">
        <v>-5294</v>
      </c>
      <c r="T1360" s="8" t="n">
        <v>-2299</v>
      </c>
      <c r="U1360" s="9" t="n">
        <v>332426</v>
      </c>
      <c r="V1360" s="10" t="n">
        <v>-25361</v>
      </c>
      <c r="W1360" s="10" t="n">
        <v>-25532</v>
      </c>
      <c r="X1360" s="7" t="n">
        <v>389731</v>
      </c>
      <c r="Y1360" s="8" t="n">
        <v>16035</v>
      </c>
      <c r="Z1360" s="8" t="n">
        <v>3802</v>
      </c>
      <c r="AA1360" s="9" t="n">
        <v>562466</v>
      </c>
      <c r="AB1360" s="10" t="n">
        <v>34483</v>
      </c>
      <c r="AC1360" s="10" t="n">
        <v>40005</v>
      </c>
      <c r="AD1360" s="7" t="n">
        <v>508037</v>
      </c>
      <c r="AE1360" s="8" t="n">
        <v>28821</v>
      </c>
      <c r="AF1360" s="8" t="n">
        <v>22373</v>
      </c>
      <c r="AG1360" s="9" t="n">
        <v>371555</v>
      </c>
      <c r="AH1360" s="10" t="n">
        <v>10656</v>
      </c>
      <c r="AI1360" s="10" t="n">
        <v>26078</v>
      </c>
      <c r="AJ1360" s="11" t="n">
        <v>414237</v>
      </c>
      <c r="AK1360" s="12" t="n">
        <v>7891</v>
      </c>
      <c r="AL1360" s="12" t="n">
        <v>7612</v>
      </c>
      <c r="AM1360" s="13" t="n">
        <v>11.5</v>
      </c>
      <c r="AN1360" s="13" t="n">
        <v>6.3</v>
      </c>
      <c r="AO1360" s="13" t="n">
        <v>-25.9</v>
      </c>
      <c r="AP1360" s="13" t="n">
        <v>-50.8</v>
      </c>
    </row>
    <row r="1361">
      <c r="A1361" s="5" t="inlineStr">
        <is>
          <t>제이스로보틱스</t>
        </is>
      </c>
      <c r="B1361" s="6" t="inlineStr">
        <is>
          <t>090470</t>
        </is>
      </c>
      <c r="C1361" s="6" t="inlineStr">
        <is>
          <t>연결</t>
        </is>
      </c>
      <c r="D1361" s="6" t="inlineStr">
        <is>
          <t>2026Q2</t>
        </is>
      </c>
      <c r="E1361" s="6" t="inlineStr"/>
      <c r="F1361" s="7" t="inlineStr"/>
      <c r="G1361" s="8" t="inlineStr"/>
      <c r="H1361" s="8" t="inlineStr"/>
      <c r="I1361" s="9" t="n">
        <v>17467</v>
      </c>
      <c r="J1361" s="10" t="n">
        <v>-386</v>
      </c>
      <c r="K1361" s="10" t="n">
        <v>574</v>
      </c>
      <c r="L1361" s="7" t="n">
        <v>8990</v>
      </c>
      <c r="M1361" s="8" t="n">
        <v>-3951</v>
      </c>
      <c r="N1361" s="8" t="n">
        <v>-4809</v>
      </c>
      <c r="O1361" s="9" t="n">
        <v>13389</v>
      </c>
      <c r="P1361" s="10" t="n">
        <v>-2580</v>
      </c>
      <c r="Q1361" s="10" t="n">
        <v>-2507</v>
      </c>
      <c r="R1361" s="7" t="n">
        <v>23787</v>
      </c>
      <c r="S1361" s="8" t="n">
        <v>1134</v>
      </c>
      <c r="T1361" s="8" t="n">
        <v>568</v>
      </c>
      <c r="U1361" s="9" t="n">
        <v>2657</v>
      </c>
      <c r="V1361" s="10" t="n">
        <v>-5620</v>
      </c>
      <c r="W1361" s="10" t="n">
        <v>-5064</v>
      </c>
      <c r="X1361" s="7" t="n">
        <v>4417</v>
      </c>
      <c r="Y1361" s="8" t="n">
        <v>-6173</v>
      </c>
      <c r="Z1361" s="8" t="n">
        <v>-9371</v>
      </c>
      <c r="AA1361" s="9" t="n">
        <v>3825</v>
      </c>
      <c r="AB1361" s="10" t="n">
        <v>-6254</v>
      </c>
      <c r="AC1361" s="10" t="n">
        <v>-5387</v>
      </c>
      <c r="AD1361" s="7" t="n">
        <v>19762</v>
      </c>
      <c r="AE1361" s="8" t="n">
        <v>-5619</v>
      </c>
      <c r="AF1361" s="8" t="n">
        <v>-5565</v>
      </c>
      <c r="AG1361" s="9" t="n">
        <v>6418</v>
      </c>
      <c r="AH1361" s="10" t="n">
        <v>-6928</v>
      </c>
      <c r="AI1361" s="10" t="n">
        <v>-6387</v>
      </c>
      <c r="AJ1361" s="11" t="n">
        <v>4041</v>
      </c>
      <c r="AK1361" s="12" t="n">
        <v>-4163</v>
      </c>
      <c r="AL1361" s="12" t="n">
        <v>-6862</v>
      </c>
      <c r="AM1361" s="13" t="n">
        <v>-37</v>
      </c>
      <c r="AN1361" s="13" t="n">
        <v>-8.5</v>
      </c>
      <c r="AO1361" s="13" t="n">
        <v>39.9</v>
      </c>
      <c r="AP1361" s="13" t="n">
        <v>32.6</v>
      </c>
    </row>
    <row r="1362">
      <c r="A1362" s="5" t="inlineStr">
        <is>
          <t>휴림로봇</t>
        </is>
      </c>
      <c r="B1362" s="6" t="inlineStr">
        <is>
          <t>090710</t>
        </is>
      </c>
      <c r="C1362" s="6" t="inlineStr">
        <is>
          <t>연결</t>
        </is>
      </c>
      <c r="D1362" s="6" t="inlineStr">
        <is>
          <t>2026Q2</t>
        </is>
      </c>
      <c r="E1362" s="6" t="inlineStr"/>
      <c r="F1362" s="7" t="inlineStr"/>
      <c r="G1362" s="8" t="inlineStr"/>
      <c r="H1362" s="8" t="inlineStr"/>
      <c r="I1362" s="9" t="n">
        <v>20692</v>
      </c>
      <c r="J1362" s="10" t="n">
        <v>-816</v>
      </c>
      <c r="K1362" s="10" t="n">
        <v>-4368</v>
      </c>
      <c r="L1362" s="7" t="n">
        <v>21907</v>
      </c>
      <c r="M1362" s="8" t="n">
        <v>-272</v>
      </c>
      <c r="N1362" s="8" t="n">
        <v>-2080</v>
      </c>
      <c r="O1362" s="9" t="n">
        <v>23247</v>
      </c>
      <c r="P1362" s="10" t="n">
        <v>-1962</v>
      </c>
      <c r="Q1362" s="10" t="n">
        <v>-9278</v>
      </c>
      <c r="R1362" s="7" t="n">
        <v>67252</v>
      </c>
      <c r="S1362" s="8" t="n">
        <v>-1888</v>
      </c>
      <c r="T1362" s="8" t="n">
        <v>6334</v>
      </c>
      <c r="U1362" s="9" t="n">
        <v>50628</v>
      </c>
      <c r="V1362" s="10" t="n">
        <v>775</v>
      </c>
      <c r="W1362" s="10" t="n">
        <v>-486</v>
      </c>
      <c r="X1362" s="7" t="n">
        <v>52622</v>
      </c>
      <c r="Y1362" s="8" t="n">
        <v>954</v>
      </c>
      <c r="Z1362" s="8" t="n">
        <v>353</v>
      </c>
      <c r="AA1362" s="9" t="n">
        <v>40467</v>
      </c>
      <c r="AB1362" s="10" t="n">
        <v>-3183</v>
      </c>
      <c r="AC1362" s="10" t="n">
        <v>-4792</v>
      </c>
      <c r="AD1362" s="7" t="n">
        <v>24588</v>
      </c>
      <c r="AE1362" s="8" t="n">
        <v>-15868</v>
      </c>
      <c r="AF1362" s="8" t="n">
        <v>-25154</v>
      </c>
      <c r="AG1362" s="9" t="n">
        <v>30016</v>
      </c>
      <c r="AH1362" s="10" t="n">
        <v>-4572</v>
      </c>
      <c r="AI1362" s="10" t="n">
        <v>-663</v>
      </c>
      <c r="AJ1362" s="11" t="n">
        <v>25444</v>
      </c>
      <c r="AK1362" s="12" t="n">
        <v>-5301</v>
      </c>
      <c r="AL1362" s="12" t="n">
        <v>-7591</v>
      </c>
      <c r="AM1362" s="13" t="n">
        <v>-15.2</v>
      </c>
      <c r="AN1362" s="13" t="n">
        <v>-51.6</v>
      </c>
      <c r="AO1362" s="13" t="n">
        <v>-15.9</v>
      </c>
      <c r="AP1362" s="13" t="n">
        <v>-655.7</v>
      </c>
    </row>
    <row r="1363">
      <c r="A1363" s="5" t="inlineStr">
        <is>
          <t>현대이지웰</t>
        </is>
      </c>
      <c r="B1363" s="6" t="inlineStr">
        <is>
          <t>090850</t>
        </is>
      </c>
      <c r="C1363" s="6" t="inlineStr">
        <is>
          <t>연결</t>
        </is>
      </c>
      <c r="D1363" s="6" t="inlineStr">
        <is>
          <t>2026Q2</t>
        </is>
      </c>
      <c r="E1363" s="6" t="inlineStr">
        <is>
          <t>2023Q4</t>
        </is>
      </c>
      <c r="F1363" s="14" t="n">
        <v>28909</v>
      </c>
      <c r="G1363" s="15" t="n">
        <v>1938</v>
      </c>
      <c r="H1363" s="15" t="n">
        <v>-14481</v>
      </c>
      <c r="I1363" s="9" t="n">
        <v>37472</v>
      </c>
      <c r="J1363" s="10" t="n">
        <v>7569</v>
      </c>
      <c r="K1363" s="10" t="n">
        <v>6678</v>
      </c>
      <c r="L1363" s="7" t="n">
        <v>28423</v>
      </c>
      <c r="M1363" s="8" t="n">
        <v>6576</v>
      </c>
      <c r="N1363" s="8" t="n">
        <v>5549</v>
      </c>
      <c r="O1363" s="9" t="n">
        <v>34251</v>
      </c>
      <c r="P1363" s="10" t="n">
        <v>3789</v>
      </c>
      <c r="Q1363" s="10" t="n">
        <v>3621</v>
      </c>
      <c r="R1363" s="7" t="n">
        <v>30910</v>
      </c>
      <c r="S1363" s="8" t="n">
        <v>2310</v>
      </c>
      <c r="T1363" s="8" t="n">
        <v>-3925</v>
      </c>
      <c r="U1363" s="9" t="n">
        <v>42943</v>
      </c>
      <c r="V1363" s="10" t="n">
        <v>8515</v>
      </c>
      <c r="W1363" s="10" t="n">
        <v>7439</v>
      </c>
      <c r="X1363" s="7" t="n">
        <v>29624</v>
      </c>
      <c r="Y1363" s="8" t="n">
        <v>6618</v>
      </c>
      <c r="Z1363" s="8" t="n">
        <v>8675</v>
      </c>
      <c r="AA1363" s="9" t="n">
        <v>33641</v>
      </c>
      <c r="AB1363" s="10" t="n">
        <v>4808</v>
      </c>
      <c r="AC1363" s="10" t="n">
        <v>3984</v>
      </c>
      <c r="AD1363" s="7" t="n">
        <v>36441</v>
      </c>
      <c r="AE1363" s="8" t="n">
        <v>4256</v>
      </c>
      <c r="AF1363" s="8" t="n">
        <v>3901</v>
      </c>
      <c r="AG1363" s="9" t="n">
        <v>46339</v>
      </c>
      <c r="AH1363" s="10" t="n">
        <v>7355</v>
      </c>
      <c r="AI1363" s="10" t="n">
        <v>5889</v>
      </c>
      <c r="AJ1363" s="11" t="n">
        <v>30068</v>
      </c>
      <c r="AK1363" s="12" t="n">
        <v>3483</v>
      </c>
      <c r="AL1363" s="12" t="n">
        <v>2847</v>
      </c>
      <c r="AM1363" s="13" t="n">
        <v>-35.1</v>
      </c>
      <c r="AN1363" s="13" t="n">
        <v>1.5</v>
      </c>
      <c r="AO1363" s="13" t="n">
        <v>-52.6</v>
      </c>
      <c r="AP1363" s="13" t="n">
        <v>-47.4</v>
      </c>
    </row>
    <row r="1364">
      <c r="A1364" s="5" t="inlineStr">
        <is>
          <t>이엠텍</t>
        </is>
      </c>
      <c r="B1364" s="6" t="inlineStr">
        <is>
          <t>091120</t>
        </is>
      </c>
      <c r="C1364" s="6" t="inlineStr">
        <is>
          <t>연결</t>
        </is>
      </c>
      <c r="D1364" s="6" t="inlineStr">
        <is>
          <t>2026Q2</t>
        </is>
      </c>
      <c r="E1364" s="6" t="inlineStr"/>
      <c r="F1364" s="7" t="inlineStr"/>
      <c r="G1364" s="8" t="inlineStr"/>
      <c r="H1364" s="8" t="inlineStr"/>
      <c r="I1364" s="9" t="n">
        <v>61967</v>
      </c>
      <c r="J1364" s="10" t="n">
        <v>347</v>
      </c>
      <c r="K1364" s="10" t="n">
        <v>601</v>
      </c>
      <c r="L1364" s="7" t="n">
        <v>35426</v>
      </c>
      <c r="M1364" s="8" t="n">
        <v>-8727</v>
      </c>
      <c r="N1364" s="8" t="n">
        <v>-7634</v>
      </c>
      <c r="O1364" s="9" t="n">
        <v>38187</v>
      </c>
      <c r="P1364" s="10" t="n">
        <v>-9559</v>
      </c>
      <c r="Q1364" s="10" t="n">
        <v>-8435</v>
      </c>
      <c r="R1364" s="7" t="n">
        <v>32008</v>
      </c>
      <c r="S1364" s="8" t="n">
        <v>-12574</v>
      </c>
      <c r="T1364" s="8" t="n">
        <v>-29266</v>
      </c>
      <c r="U1364" s="9" t="n">
        <v>53405</v>
      </c>
      <c r="V1364" s="10" t="n">
        <v>-3950</v>
      </c>
      <c r="W1364" s="10" t="n">
        <v>-2974</v>
      </c>
      <c r="X1364" s="7" t="n">
        <v>53179</v>
      </c>
      <c r="Y1364" s="8" t="n">
        <v>-1461</v>
      </c>
      <c r="Z1364" s="8" t="n">
        <v>-2043</v>
      </c>
      <c r="AA1364" s="9" t="n">
        <v>52122</v>
      </c>
      <c r="AB1364" s="10" t="n">
        <v>-4377</v>
      </c>
      <c r="AC1364" s="10" t="n">
        <v>-2877</v>
      </c>
      <c r="AD1364" s="7" t="n">
        <v>46384</v>
      </c>
      <c r="AE1364" s="8" t="n">
        <v>-10118</v>
      </c>
      <c r="AF1364" s="8" t="n">
        <v>-4032</v>
      </c>
      <c r="AG1364" s="9" t="n">
        <v>48564</v>
      </c>
      <c r="AH1364" s="10" t="n">
        <v>-4795</v>
      </c>
      <c r="AI1364" s="10" t="n">
        <v>-3230</v>
      </c>
      <c r="AJ1364" s="11" t="n">
        <v>40430</v>
      </c>
      <c r="AK1364" s="12" t="n">
        <v>-7318</v>
      </c>
      <c r="AL1364" s="12" t="n">
        <v>-5657</v>
      </c>
      <c r="AM1364" s="13" t="n">
        <v>-16.7</v>
      </c>
      <c r="AN1364" s="13" t="n">
        <v>-24</v>
      </c>
      <c r="AO1364" s="13" t="n">
        <v>-52.6</v>
      </c>
      <c r="AP1364" s="13" t="n">
        <v>-400.9</v>
      </c>
    </row>
    <row r="1365">
      <c r="A1365" s="5" t="inlineStr">
        <is>
          <t>S&amp;K폴리텍</t>
        </is>
      </c>
      <c r="B1365" s="6" t="inlineStr">
        <is>
          <t>091340</t>
        </is>
      </c>
      <c r="C1365" s="6" t="inlineStr">
        <is>
          <t>연결</t>
        </is>
      </c>
      <c r="D1365" s="6" t="inlineStr">
        <is>
          <t>2026Q2</t>
        </is>
      </c>
      <c r="E1365" s="6" t="inlineStr"/>
      <c r="F1365" s="7" t="inlineStr"/>
      <c r="G1365" s="8" t="inlineStr"/>
      <c r="H1365" s="8" t="inlineStr"/>
      <c r="I1365" s="9" t="n">
        <v>76220</v>
      </c>
      <c r="J1365" s="10" t="n">
        <v>3459</v>
      </c>
      <c r="K1365" s="10" t="n">
        <v>3428</v>
      </c>
      <c r="L1365" s="7" t="n">
        <v>76237</v>
      </c>
      <c r="M1365" s="8" t="n">
        <v>4231</v>
      </c>
      <c r="N1365" s="8" t="n">
        <v>7846</v>
      </c>
      <c r="O1365" s="9" t="n">
        <v>86800</v>
      </c>
      <c r="P1365" s="10" t="n">
        <v>5370</v>
      </c>
      <c r="Q1365" s="10" t="n">
        <v>2911</v>
      </c>
      <c r="R1365" s="7" t="n">
        <v>90813</v>
      </c>
      <c r="S1365" s="8" t="n">
        <v>2164</v>
      </c>
      <c r="T1365" s="8" t="n">
        <v>1536</v>
      </c>
      <c r="U1365" s="9" t="n">
        <v>76937</v>
      </c>
      <c r="V1365" s="10" t="n">
        <v>5196</v>
      </c>
      <c r="W1365" s="10" t="n">
        <v>3743</v>
      </c>
      <c r="X1365" s="7" t="n">
        <v>78298</v>
      </c>
      <c r="Y1365" s="8" t="n">
        <v>1892</v>
      </c>
      <c r="Z1365" s="8" t="n">
        <v>217</v>
      </c>
      <c r="AA1365" s="9" t="n">
        <v>69339</v>
      </c>
      <c r="AB1365" s="10" t="n">
        <v>2646</v>
      </c>
      <c r="AC1365" s="10" t="n">
        <v>3194</v>
      </c>
      <c r="AD1365" s="7" t="n">
        <v>85663</v>
      </c>
      <c r="AE1365" s="8" t="n">
        <v>5983</v>
      </c>
      <c r="AF1365" s="8" t="n">
        <v>4313</v>
      </c>
      <c r="AG1365" s="9" t="n">
        <v>70503</v>
      </c>
      <c r="AH1365" s="10" t="n">
        <v>6716</v>
      </c>
      <c r="AI1365" s="10" t="n">
        <v>6680</v>
      </c>
      <c r="AJ1365" s="11" t="n">
        <v>68360</v>
      </c>
      <c r="AK1365" s="12" t="n">
        <v>4947</v>
      </c>
      <c r="AL1365" s="12" t="n">
        <v>3623</v>
      </c>
      <c r="AM1365" s="13" t="n">
        <v>-3</v>
      </c>
      <c r="AN1365" s="13" t="n">
        <v>-12.7</v>
      </c>
      <c r="AO1365" s="13" t="n">
        <v>-26.3</v>
      </c>
      <c r="AP1365" s="13" t="n">
        <v>161.5</v>
      </c>
    </row>
    <row r="1366">
      <c r="A1366" s="5" t="inlineStr">
        <is>
          <t>한울소재과학</t>
        </is>
      </c>
      <c r="B1366" s="6" t="inlineStr">
        <is>
          <t>091440</t>
        </is>
      </c>
      <c r="C1366" s="6" t="inlineStr">
        <is>
          <t>연결</t>
        </is>
      </c>
      <c r="D1366" s="6" t="inlineStr">
        <is>
          <t>2026Q2</t>
        </is>
      </c>
      <c r="E1366" s="6" t="inlineStr"/>
      <c r="F1366" s="7" t="inlineStr"/>
      <c r="G1366" s="8" t="inlineStr"/>
      <c r="H1366" s="8" t="inlineStr"/>
      <c r="I1366" s="9" t="n">
        <v>2071</v>
      </c>
      <c r="J1366" s="10" t="n">
        <v>-3064</v>
      </c>
      <c r="K1366" s="10" t="n">
        <v>-3041</v>
      </c>
      <c r="L1366" s="7" t="n">
        <v>3667</v>
      </c>
      <c r="M1366" s="8" t="n">
        <v>-3850</v>
      </c>
      <c r="N1366" s="8" t="n">
        <v>-8821</v>
      </c>
      <c r="O1366" s="9" t="n">
        <v>3732</v>
      </c>
      <c r="P1366" s="10" t="n">
        <v>-2418</v>
      </c>
      <c r="Q1366" s="10" t="n">
        <v>-3992</v>
      </c>
      <c r="R1366" s="7" t="n">
        <v>7869</v>
      </c>
      <c r="S1366" s="8" t="n">
        <v>-3615</v>
      </c>
      <c r="T1366" s="8" t="n">
        <v>-4225</v>
      </c>
      <c r="U1366" s="9" t="n">
        <v>2977</v>
      </c>
      <c r="V1366" s="10" t="n">
        <v>-6738</v>
      </c>
      <c r="W1366" s="10" t="n">
        <v>-9255</v>
      </c>
      <c r="X1366" s="7" t="n">
        <v>1643</v>
      </c>
      <c r="Y1366" s="8" t="n">
        <v>-5411</v>
      </c>
      <c r="Z1366" s="8" t="n">
        <v>-7516</v>
      </c>
      <c r="AA1366" s="9" t="n">
        <v>2893</v>
      </c>
      <c r="AB1366" s="10" t="n">
        <v>-4492</v>
      </c>
      <c r="AC1366" s="10" t="n">
        <v>-5882</v>
      </c>
      <c r="AD1366" s="7" t="n">
        <v>5922</v>
      </c>
      <c r="AE1366" s="8" t="n">
        <v>-7958</v>
      </c>
      <c r="AF1366" s="8" t="n">
        <v>-13880</v>
      </c>
      <c r="AG1366" s="9" t="n">
        <v>1528</v>
      </c>
      <c r="AH1366" s="10" t="n">
        <v>-3649</v>
      </c>
      <c r="AI1366" s="10" t="n">
        <v>-4974</v>
      </c>
      <c r="AJ1366" s="11" t="n">
        <v>2736</v>
      </c>
      <c r="AK1366" s="12" t="n">
        <v>-3540</v>
      </c>
      <c r="AL1366" s="12" t="n">
        <v>-8204</v>
      </c>
      <c r="AM1366" s="13" t="n">
        <v>79.09999999999999</v>
      </c>
      <c r="AN1366" s="13" t="n">
        <v>66.5</v>
      </c>
      <c r="AO1366" s="13" t="n">
        <v>3</v>
      </c>
      <c r="AP1366" s="13" t="n">
        <v>34.6</v>
      </c>
    </row>
    <row r="1367">
      <c r="A1367" s="5" t="inlineStr">
        <is>
          <t>상신이디피</t>
        </is>
      </c>
      <c r="B1367" s="6" t="inlineStr">
        <is>
          <t>091580</t>
        </is>
      </c>
      <c r="C1367" s="6" t="inlineStr">
        <is>
          <t>연결</t>
        </is>
      </c>
      <c r="D1367" s="6" t="inlineStr">
        <is>
          <t>2026Q2</t>
        </is>
      </c>
      <c r="E1367" s="6" t="inlineStr"/>
      <c r="F1367" s="7" t="inlineStr"/>
      <c r="G1367" s="8" t="inlineStr"/>
      <c r="H1367" s="8" t="inlineStr"/>
      <c r="I1367" s="9" t="n">
        <v>74861</v>
      </c>
      <c r="J1367" s="10" t="n">
        <v>4531</v>
      </c>
      <c r="K1367" s="10" t="n">
        <v>5935</v>
      </c>
      <c r="L1367" s="7" t="n">
        <v>71636</v>
      </c>
      <c r="M1367" s="8" t="n">
        <v>1566</v>
      </c>
      <c r="N1367" s="8" t="n">
        <v>1479</v>
      </c>
      <c r="O1367" s="9" t="n">
        <v>55171</v>
      </c>
      <c r="P1367" s="10" t="n">
        <v>-5336</v>
      </c>
      <c r="Q1367" s="10" t="n">
        <v>-6308</v>
      </c>
      <c r="R1367" s="7" t="n">
        <v>50133</v>
      </c>
      <c r="S1367" s="8" t="n">
        <v>-8982</v>
      </c>
      <c r="T1367" s="8" t="n">
        <v>-467</v>
      </c>
      <c r="U1367" s="9" t="n">
        <v>58316</v>
      </c>
      <c r="V1367" s="10" t="n">
        <v>-3888</v>
      </c>
      <c r="W1367" s="10" t="n">
        <v>-2944</v>
      </c>
      <c r="X1367" s="7" t="n">
        <v>61276</v>
      </c>
      <c r="Y1367" s="8" t="n">
        <v>887</v>
      </c>
      <c r="Z1367" s="8" t="n">
        <v>-3509</v>
      </c>
      <c r="AA1367" s="9" t="n">
        <v>62752</v>
      </c>
      <c r="AB1367" s="10" t="n">
        <v>5167</v>
      </c>
      <c r="AC1367" s="10" t="n">
        <v>3710</v>
      </c>
      <c r="AD1367" s="7" t="n">
        <v>67740</v>
      </c>
      <c r="AE1367" s="8" t="n">
        <v>6489</v>
      </c>
      <c r="AF1367" s="8" t="n">
        <v>4755</v>
      </c>
      <c r="AG1367" s="9" t="n">
        <v>72211</v>
      </c>
      <c r="AH1367" s="10" t="n">
        <v>4884</v>
      </c>
      <c r="AI1367" s="10" t="n">
        <v>3451</v>
      </c>
      <c r="AJ1367" s="11" t="n">
        <v>86037</v>
      </c>
      <c r="AK1367" s="12" t="n">
        <v>6399</v>
      </c>
      <c r="AL1367" s="12" t="n">
        <v>5366</v>
      </c>
      <c r="AM1367" s="13" t="n">
        <v>19.1</v>
      </c>
      <c r="AN1367" s="13" t="n">
        <v>40.4</v>
      </c>
      <c r="AO1367" s="13" t="n">
        <v>31</v>
      </c>
      <c r="AP1367" s="13" t="n">
        <v>621.4</v>
      </c>
    </row>
    <row r="1368">
      <c r="A1368" s="5" t="inlineStr">
        <is>
          <t>남화토건</t>
        </is>
      </c>
      <c r="B1368" s="6" t="inlineStr">
        <is>
          <t>091590</t>
        </is>
      </c>
      <c r="C1368" s="6" t="inlineStr">
        <is>
          <t>연결</t>
        </is>
      </c>
      <c r="D1368" s="6" t="inlineStr">
        <is>
          <t>2026Q2</t>
        </is>
      </c>
      <c r="E1368" s="6" t="inlineStr"/>
      <c r="F1368" s="7" t="inlineStr"/>
      <c r="G1368" s="8" t="inlineStr"/>
      <c r="H1368" s="8" t="inlineStr"/>
      <c r="I1368" s="9" t="n">
        <v>16594</v>
      </c>
      <c r="J1368" s="10" t="n">
        <v>-1601</v>
      </c>
      <c r="K1368" s="10" t="n">
        <v>1096</v>
      </c>
      <c r="L1368" s="7" t="n">
        <v>13929</v>
      </c>
      <c r="M1368" s="8" t="n">
        <v>-458</v>
      </c>
      <c r="N1368" s="8" t="n">
        <v>5040</v>
      </c>
      <c r="O1368" s="9" t="n">
        <v>10677</v>
      </c>
      <c r="P1368" s="10" t="n">
        <v>201</v>
      </c>
      <c r="Q1368" s="10" t="n">
        <v>1014</v>
      </c>
      <c r="R1368" s="7" t="n">
        <v>15467</v>
      </c>
      <c r="S1368" s="8" t="n">
        <v>-143</v>
      </c>
      <c r="T1368" s="8" t="n">
        <v>431</v>
      </c>
      <c r="U1368" s="9" t="n">
        <v>13750</v>
      </c>
      <c r="V1368" s="10" t="n">
        <v>-120</v>
      </c>
      <c r="W1368" s="10" t="n">
        <v>47</v>
      </c>
      <c r="X1368" s="7" t="n">
        <v>15406</v>
      </c>
      <c r="Y1368" s="8" t="n">
        <v>319</v>
      </c>
      <c r="Z1368" s="8" t="n">
        <v>1377</v>
      </c>
      <c r="AA1368" s="9" t="n">
        <v>20263</v>
      </c>
      <c r="AB1368" s="10" t="n">
        <v>823</v>
      </c>
      <c r="AC1368" s="10" t="n">
        <v>940</v>
      </c>
      <c r="AD1368" s="7" t="n">
        <v>23273</v>
      </c>
      <c r="AE1368" s="8" t="n">
        <v>2728</v>
      </c>
      <c r="AF1368" s="8" t="n">
        <v>8668</v>
      </c>
      <c r="AG1368" s="9" t="n">
        <v>17559</v>
      </c>
      <c r="AH1368" s="10" t="n">
        <v>385</v>
      </c>
      <c r="AI1368" s="10" t="n">
        <v>800</v>
      </c>
      <c r="AJ1368" s="11" t="n">
        <v>18613</v>
      </c>
      <c r="AK1368" s="12" t="n">
        <v>50</v>
      </c>
      <c r="AL1368" s="12" t="n">
        <v>709</v>
      </c>
      <c r="AM1368" s="13" t="n">
        <v>6</v>
      </c>
      <c r="AN1368" s="13" t="n">
        <v>20.8</v>
      </c>
      <c r="AO1368" s="13" t="n">
        <v>-87</v>
      </c>
      <c r="AP1368" s="13" t="n">
        <v>-84.3</v>
      </c>
    </row>
    <row r="1369">
      <c r="A1369" s="5" t="inlineStr">
        <is>
          <t>파트론</t>
        </is>
      </c>
      <c r="B1369" s="6" t="inlineStr">
        <is>
          <t>091700</t>
        </is>
      </c>
      <c r="C1369" s="6" t="inlineStr">
        <is>
          <t>연결</t>
        </is>
      </c>
      <c r="D1369" s="6" t="inlineStr">
        <is>
          <t>2026Q2</t>
        </is>
      </c>
      <c r="E1369" s="6" t="inlineStr"/>
      <c r="F1369" s="7" t="inlineStr"/>
      <c r="G1369" s="8" t="inlineStr"/>
      <c r="H1369" s="8" t="inlineStr"/>
      <c r="I1369" s="9" t="n">
        <v>370777</v>
      </c>
      <c r="J1369" s="10" t="n">
        <v>16150</v>
      </c>
      <c r="K1369" s="10" t="n">
        <v>14458</v>
      </c>
      <c r="L1369" s="7" t="n">
        <v>369934</v>
      </c>
      <c r="M1369" s="8" t="n">
        <v>14299</v>
      </c>
      <c r="N1369" s="8" t="n">
        <v>16581</v>
      </c>
      <c r="O1369" s="9" t="n">
        <v>420168</v>
      </c>
      <c r="P1369" s="10" t="n">
        <v>19519</v>
      </c>
      <c r="Q1369" s="10" t="n">
        <v>11495</v>
      </c>
      <c r="R1369" s="7" t="n">
        <v>325543</v>
      </c>
      <c r="S1369" s="8" t="n">
        <v>11739</v>
      </c>
      <c r="T1369" s="8" t="n">
        <v>13367</v>
      </c>
      <c r="U1369" s="9" t="n">
        <v>328097</v>
      </c>
      <c r="V1369" s="10" t="n">
        <v>6315</v>
      </c>
      <c r="W1369" s="10" t="n">
        <v>6664</v>
      </c>
      <c r="X1369" s="7" t="n">
        <v>301465</v>
      </c>
      <c r="Y1369" s="8" t="n">
        <v>6403</v>
      </c>
      <c r="Z1369" s="8" t="n">
        <v>-2049</v>
      </c>
      <c r="AA1369" s="9" t="n">
        <v>381373</v>
      </c>
      <c r="AB1369" s="10" t="n">
        <v>16516</v>
      </c>
      <c r="AC1369" s="10" t="n">
        <v>15319</v>
      </c>
      <c r="AD1369" s="7" t="n">
        <v>338593</v>
      </c>
      <c r="AE1369" s="8" t="n">
        <v>15514</v>
      </c>
      <c r="AF1369" s="8" t="n">
        <v>13161</v>
      </c>
      <c r="AG1369" s="9" t="n">
        <v>451038</v>
      </c>
      <c r="AH1369" s="10" t="n">
        <v>12247</v>
      </c>
      <c r="AI1369" s="10" t="n">
        <v>10300</v>
      </c>
      <c r="AJ1369" s="11" t="n">
        <v>355039</v>
      </c>
      <c r="AK1369" s="12" t="n">
        <v>4477</v>
      </c>
      <c r="AL1369" s="12" t="n">
        <v>3936</v>
      </c>
      <c r="AM1369" s="13" t="n">
        <v>-21.3</v>
      </c>
      <c r="AN1369" s="13" t="n">
        <v>17.8</v>
      </c>
      <c r="AO1369" s="13" t="n">
        <v>-63.4</v>
      </c>
      <c r="AP1369" s="13" t="n">
        <v>-30.1</v>
      </c>
    </row>
    <row r="1370">
      <c r="A1370" s="5" t="inlineStr">
        <is>
          <t>트리니티항공</t>
        </is>
      </c>
      <c r="B1370" s="6" t="inlineStr">
        <is>
          <t>091810</t>
        </is>
      </c>
      <c r="C1370" s="6" t="inlineStr">
        <is>
          <t>연결</t>
        </is>
      </c>
      <c r="D1370" s="6" t="inlineStr">
        <is>
          <t>2026Q2</t>
        </is>
      </c>
      <c r="E1370" s="6" t="inlineStr"/>
      <c r="F1370" s="7" t="inlineStr"/>
      <c r="G1370" s="8" t="inlineStr"/>
      <c r="H1370" s="8" t="inlineStr"/>
      <c r="I1370" s="9" t="n">
        <v>422891</v>
      </c>
      <c r="J1370" s="10" t="n">
        <v>76124</v>
      </c>
      <c r="K1370" s="10" t="n">
        <v>47971</v>
      </c>
      <c r="L1370" s="7" t="n">
        <v>325860</v>
      </c>
      <c r="M1370" s="8" t="n">
        <v>-21525</v>
      </c>
      <c r="N1370" s="8" t="n">
        <v>-24761</v>
      </c>
      <c r="O1370" s="9" t="n">
        <v>394888</v>
      </c>
      <c r="P1370" s="10" t="n">
        <v>-5957</v>
      </c>
      <c r="Q1370" s="10" t="n">
        <v>-2180</v>
      </c>
      <c r="R1370" s="7" t="n">
        <v>393141</v>
      </c>
      <c r="S1370" s="8" t="n">
        <v>-60913</v>
      </c>
      <c r="T1370" s="8" t="n">
        <v>-86908</v>
      </c>
      <c r="U1370" s="9" t="n">
        <v>446607</v>
      </c>
      <c r="V1370" s="10" t="n">
        <v>-35467</v>
      </c>
      <c r="W1370" s="10" t="n">
        <v>-44776</v>
      </c>
      <c r="X1370" s="7" t="n">
        <v>377868</v>
      </c>
      <c r="Y1370" s="8" t="n">
        <v>-78328</v>
      </c>
      <c r="Z1370" s="8" t="n">
        <v>-78056</v>
      </c>
      <c r="AA1370" s="9" t="n">
        <v>449769</v>
      </c>
      <c r="AB1370" s="10" t="n">
        <v>-95504</v>
      </c>
      <c r="AC1370" s="10" t="n">
        <v>-124722</v>
      </c>
      <c r="AD1370" s="7" t="n">
        <v>523937</v>
      </c>
      <c r="AE1370" s="8" t="n">
        <v>-56169</v>
      </c>
      <c r="AF1370" s="8" t="n">
        <v>-90706</v>
      </c>
      <c r="AG1370" s="9" t="n">
        <v>612084</v>
      </c>
      <c r="AH1370" s="10" t="n">
        <v>19191</v>
      </c>
      <c r="AI1370" s="10" t="n">
        <v>-16678</v>
      </c>
      <c r="AJ1370" s="11" t="n">
        <v>469701</v>
      </c>
      <c r="AK1370" s="12" t="n">
        <v>-181983</v>
      </c>
      <c r="AL1370" s="12" t="n">
        <v>-211381</v>
      </c>
      <c r="AM1370" s="13" t="n">
        <v>-23.3</v>
      </c>
      <c r="AN1370" s="13" t="n">
        <v>24.3</v>
      </c>
      <c r="AO1370" s="13" t="n">
        <v>-1048.3</v>
      </c>
      <c r="AP1370" s="13" t="n">
        <v>-132.3</v>
      </c>
    </row>
    <row r="1371">
      <c r="A1371" s="5" t="inlineStr">
        <is>
          <t>LSK아이로봇</t>
        </is>
      </c>
      <c r="B1371" s="6" t="inlineStr">
        <is>
          <t>091970</t>
        </is>
      </c>
      <c r="C1371" s="6" t="inlineStr">
        <is>
          <t>연결</t>
        </is>
      </c>
      <c r="D1371" s="6" t="inlineStr">
        <is>
          <t>2026Q2</t>
        </is>
      </c>
      <c r="E1371" s="6" t="inlineStr"/>
      <c r="F1371" s="7" t="inlineStr"/>
      <c r="G1371" s="8" t="inlineStr"/>
      <c r="H1371" s="8" t="inlineStr"/>
      <c r="I1371" s="9" t="n">
        <v>11716</v>
      </c>
      <c r="J1371" s="10" t="n">
        <v>-980</v>
      </c>
      <c r="K1371" s="10" t="n">
        <v>-1089</v>
      </c>
      <c r="L1371" s="7" t="n">
        <v>11727</v>
      </c>
      <c r="M1371" s="8" t="n">
        <v>-1022</v>
      </c>
      <c r="N1371" s="8" t="n">
        <v>708</v>
      </c>
      <c r="O1371" s="9" t="n">
        <v>18348</v>
      </c>
      <c r="P1371" s="10" t="n">
        <v>1173</v>
      </c>
      <c r="Q1371" s="10" t="n">
        <v>1496</v>
      </c>
      <c r="R1371" s="7" t="n">
        <v>13719</v>
      </c>
      <c r="S1371" s="8" t="n">
        <v>1007</v>
      </c>
      <c r="T1371" s="8" t="n">
        <v>-4817</v>
      </c>
      <c r="U1371" s="9" t="n">
        <v>8504</v>
      </c>
      <c r="V1371" s="10" t="n">
        <v>-1106</v>
      </c>
      <c r="W1371" s="10" t="n">
        <v>-1683</v>
      </c>
      <c r="X1371" s="7" t="n">
        <v>7712</v>
      </c>
      <c r="Y1371" s="8" t="n">
        <v>-1023</v>
      </c>
      <c r="Z1371" s="8" t="n">
        <v>-1491</v>
      </c>
      <c r="AA1371" s="9" t="n">
        <v>13338</v>
      </c>
      <c r="AB1371" s="10" t="n">
        <v>856</v>
      </c>
      <c r="AC1371" s="10" t="n">
        <v>-102</v>
      </c>
      <c r="AD1371" s="7" t="n">
        <v>20557</v>
      </c>
      <c r="AE1371" s="8" t="n">
        <v>1011</v>
      </c>
      <c r="AF1371" s="8" t="n">
        <v>-6930</v>
      </c>
      <c r="AG1371" s="9" t="n">
        <v>8561</v>
      </c>
      <c r="AH1371" s="10" t="n">
        <v>-1386</v>
      </c>
      <c r="AI1371" s="10" t="n">
        <v>-1558</v>
      </c>
      <c r="AJ1371" s="11" t="n">
        <v>10208</v>
      </c>
      <c r="AK1371" s="12" t="n">
        <v>-1136</v>
      </c>
      <c r="AL1371" s="12" t="n">
        <v>3248</v>
      </c>
      <c r="AM1371" s="13" t="n">
        <v>19.2</v>
      </c>
      <c r="AN1371" s="13" t="n">
        <v>32.4</v>
      </c>
      <c r="AO1371" s="13" t="n">
        <v>18</v>
      </c>
      <c r="AP1371" s="13" t="n">
        <v>-11</v>
      </c>
    </row>
    <row r="1372">
      <c r="A1372" s="5" t="inlineStr">
        <is>
          <t>아미코젠</t>
        </is>
      </c>
      <c r="B1372" s="6" t="inlineStr">
        <is>
          <t>092040</t>
        </is>
      </c>
      <c r="C1372" s="6" t="inlineStr">
        <is>
          <t>연결</t>
        </is>
      </c>
      <c r="D1372" s="6" t="inlineStr">
        <is>
          <t>2026Q2</t>
        </is>
      </c>
      <c r="E1372" s="6" t="inlineStr"/>
      <c r="F1372" s="7" t="inlineStr"/>
      <c r="G1372" s="8" t="inlineStr"/>
      <c r="H1372" s="8" t="inlineStr"/>
      <c r="I1372" s="9" t="n">
        <v>34178</v>
      </c>
      <c r="J1372" s="10" t="n">
        <v>-2963</v>
      </c>
      <c r="K1372" s="10" t="n">
        <v>-5398</v>
      </c>
      <c r="L1372" s="7" t="n">
        <v>42674</v>
      </c>
      <c r="M1372" s="8" t="n">
        <v>-1916</v>
      </c>
      <c r="N1372" s="8" t="n">
        <v>-8848</v>
      </c>
      <c r="O1372" s="9" t="n">
        <v>39899</v>
      </c>
      <c r="P1372" s="10" t="n">
        <v>-1370</v>
      </c>
      <c r="Q1372" s="10" t="n">
        <v>2022</v>
      </c>
      <c r="R1372" s="7" t="n">
        <v>56854</v>
      </c>
      <c r="S1372" s="8" t="n">
        <v>-802</v>
      </c>
      <c r="T1372" s="8" t="n">
        <v>-38659</v>
      </c>
      <c r="U1372" s="9" t="n">
        <v>10821</v>
      </c>
      <c r="V1372" s="10" t="n">
        <v>-4330</v>
      </c>
      <c r="W1372" s="10" t="n">
        <v>-5798</v>
      </c>
      <c r="X1372" s="7" t="n">
        <v>10148</v>
      </c>
      <c r="Y1372" s="8" t="n">
        <v>-4242</v>
      </c>
      <c r="Z1372" s="8" t="n">
        <v>-6018</v>
      </c>
      <c r="AA1372" s="9" t="n">
        <v>10144</v>
      </c>
      <c r="AB1372" s="10" t="n">
        <v>-4678</v>
      </c>
      <c r="AC1372" s="10" t="n">
        <v>-13004</v>
      </c>
      <c r="AD1372" s="7" t="n">
        <v>10868</v>
      </c>
      <c r="AE1372" s="8" t="n">
        <v>-3889</v>
      </c>
      <c r="AF1372" s="8" t="n">
        <v>-5546</v>
      </c>
      <c r="AG1372" s="9" t="n">
        <v>12280</v>
      </c>
      <c r="AH1372" s="10" t="n">
        <v>-3171</v>
      </c>
      <c r="AI1372" s="10" t="n">
        <v>19368</v>
      </c>
      <c r="AJ1372" s="11" t="n">
        <v>13393</v>
      </c>
      <c r="AK1372" s="12" t="n">
        <v>-1301</v>
      </c>
      <c r="AL1372" s="12" t="n">
        <v>-20842</v>
      </c>
      <c r="AM1372" s="13" t="n">
        <v>9.1</v>
      </c>
      <c r="AN1372" s="13" t="n">
        <v>32</v>
      </c>
      <c r="AO1372" s="13" t="n">
        <v>59</v>
      </c>
      <c r="AP1372" s="13" t="n">
        <v>69.3</v>
      </c>
    </row>
    <row r="1373">
      <c r="A1373" s="5" t="inlineStr">
        <is>
          <t>디엔에프</t>
        </is>
      </c>
      <c r="B1373" s="6" t="inlineStr">
        <is>
          <t>092070</t>
        </is>
      </c>
      <c r="C1373" s="6" t="inlineStr">
        <is>
          <t>별도</t>
        </is>
      </c>
      <c r="D1373" s="6" t="inlineStr">
        <is>
          <t>2026Q2</t>
        </is>
      </c>
      <c r="E1373" s="6" t="inlineStr"/>
      <c r="F1373" s="7" t="inlineStr"/>
      <c r="G1373" s="8" t="inlineStr"/>
      <c r="H1373" s="8" t="inlineStr"/>
      <c r="I1373" s="9" t="n">
        <v>19465</v>
      </c>
      <c r="J1373" s="10" t="n">
        <v>1235</v>
      </c>
      <c r="K1373" s="10" t="n">
        <v>1911</v>
      </c>
      <c r="L1373" s="7" t="n">
        <v>20222</v>
      </c>
      <c r="M1373" s="8" t="n">
        <v>-329</v>
      </c>
      <c r="N1373" s="8" t="n">
        <v>-251</v>
      </c>
      <c r="O1373" s="9" t="n">
        <v>17680</v>
      </c>
      <c r="P1373" s="10" t="n">
        <v>-1333</v>
      </c>
      <c r="Q1373" s="10" t="n">
        <v>-1022</v>
      </c>
      <c r="R1373" s="7" t="n">
        <v>16582</v>
      </c>
      <c r="S1373" s="8" t="n">
        <v>-592</v>
      </c>
      <c r="T1373" s="8" t="n">
        <v>-7</v>
      </c>
      <c r="U1373" s="9" t="n">
        <v>17280</v>
      </c>
      <c r="V1373" s="10" t="n">
        <v>-534</v>
      </c>
      <c r="W1373" s="10" t="n">
        <v>-443</v>
      </c>
      <c r="X1373" s="7" t="n">
        <v>18384</v>
      </c>
      <c r="Y1373" s="8" t="n">
        <v>-1181</v>
      </c>
      <c r="Z1373" s="8" t="n">
        <v>-1092</v>
      </c>
      <c r="AA1373" s="9" t="n">
        <v>21109</v>
      </c>
      <c r="AB1373" s="10" t="n">
        <v>-1030</v>
      </c>
      <c r="AC1373" s="10" t="n">
        <v>-981</v>
      </c>
      <c r="AD1373" s="7" t="n">
        <v>22360</v>
      </c>
      <c r="AE1373" s="8" t="n">
        <v>2071</v>
      </c>
      <c r="AF1373" s="8" t="n">
        <v>3755</v>
      </c>
      <c r="AG1373" s="9" t="n">
        <v>20879</v>
      </c>
      <c r="AH1373" s="10" t="n">
        <v>710</v>
      </c>
      <c r="AI1373" s="10" t="n">
        <v>499</v>
      </c>
      <c r="AJ1373" s="11" t="n">
        <v>21695</v>
      </c>
      <c r="AK1373" s="12" t="n">
        <v>705</v>
      </c>
      <c r="AL1373" s="12" t="n">
        <v>657</v>
      </c>
      <c r="AM1373" s="13" t="n">
        <v>3.9</v>
      </c>
      <c r="AN1373" s="13" t="n">
        <v>18</v>
      </c>
      <c r="AO1373" s="13" t="n">
        <v>-0.7</v>
      </c>
      <c r="AP1373" s="13" t="n">
        <v>159.7</v>
      </c>
    </row>
    <row r="1374">
      <c r="A1374" s="5" t="inlineStr">
        <is>
          <t>이크레더블</t>
        </is>
      </c>
      <c r="B1374" s="6" t="inlineStr">
        <is>
          <t>092130</t>
        </is>
      </c>
      <c r="C1374" s="6" t="inlineStr">
        <is>
          <t>연결</t>
        </is>
      </c>
      <c r="D1374" s="6" t="inlineStr">
        <is>
          <t>2026Q2</t>
        </is>
      </c>
      <c r="E1374" s="6" t="inlineStr"/>
      <c r="F1374" s="7" t="inlineStr"/>
      <c r="G1374" s="8" t="inlineStr"/>
      <c r="H1374" s="8" t="inlineStr"/>
      <c r="I1374" s="9" t="n">
        <v>6720</v>
      </c>
      <c r="J1374" s="10" t="n">
        <v>247</v>
      </c>
      <c r="K1374" s="10" t="n">
        <v>440</v>
      </c>
      <c r="L1374" s="7" t="n">
        <v>20426</v>
      </c>
      <c r="M1374" s="8" t="n">
        <v>11608</v>
      </c>
      <c r="N1374" s="8" t="n">
        <v>9468</v>
      </c>
      <c r="O1374" s="9" t="n">
        <v>8993</v>
      </c>
      <c r="P1374" s="10" t="n">
        <v>1603</v>
      </c>
      <c r="Q1374" s="10" t="n">
        <v>1567</v>
      </c>
      <c r="R1374" s="7" t="n">
        <v>8947</v>
      </c>
      <c r="S1374" s="8" t="n">
        <v>1503</v>
      </c>
      <c r="T1374" s="8" t="n">
        <v>1439</v>
      </c>
      <c r="U1374" s="9" t="n">
        <v>7747</v>
      </c>
      <c r="V1374" s="10" t="n">
        <v>629</v>
      </c>
      <c r="W1374" s="10" t="n">
        <v>566</v>
      </c>
      <c r="X1374" s="7" t="n">
        <v>22006</v>
      </c>
      <c r="Y1374" s="8" t="n">
        <v>11986</v>
      </c>
      <c r="Z1374" s="8" t="n">
        <v>9636</v>
      </c>
      <c r="AA1374" s="9" t="n">
        <v>9719</v>
      </c>
      <c r="AB1374" s="10" t="n">
        <v>1509</v>
      </c>
      <c r="AC1374" s="10" t="n">
        <v>1366</v>
      </c>
      <c r="AD1374" s="7" t="n">
        <v>10547</v>
      </c>
      <c r="AE1374" s="8" t="n">
        <v>1457</v>
      </c>
      <c r="AF1374" s="8" t="n">
        <v>1310</v>
      </c>
      <c r="AG1374" s="9" t="n">
        <v>8785</v>
      </c>
      <c r="AH1374" s="10" t="n">
        <v>693</v>
      </c>
      <c r="AI1374" s="10" t="n">
        <v>711</v>
      </c>
      <c r="AJ1374" s="11" t="n">
        <v>23017</v>
      </c>
      <c r="AK1374" s="12" t="n">
        <v>12258</v>
      </c>
      <c r="AL1374" s="12" t="n">
        <v>9734</v>
      </c>
      <c r="AM1374" s="13" t="n">
        <v>162</v>
      </c>
      <c r="AN1374" s="13" t="n">
        <v>4.6</v>
      </c>
      <c r="AO1374" s="13" t="n">
        <v>1668.8</v>
      </c>
      <c r="AP1374" s="13" t="n">
        <v>2.3</v>
      </c>
    </row>
    <row r="1375">
      <c r="A1375" s="5" t="inlineStr">
        <is>
          <t>서울바이오시스</t>
        </is>
      </c>
      <c r="B1375" s="6" t="inlineStr">
        <is>
          <t>092190</t>
        </is>
      </c>
      <c r="C1375" s="6" t="inlineStr">
        <is>
          <t>연결</t>
        </is>
      </c>
      <c r="D1375" s="6" t="inlineStr">
        <is>
          <t>2026Q2</t>
        </is>
      </c>
      <c r="E1375" s="6" t="inlineStr">
        <is>
          <t>2023Q4</t>
        </is>
      </c>
      <c r="F1375" s="14" t="n">
        <v>146404</v>
      </c>
      <c r="G1375" s="15" t="n">
        <v>-19313</v>
      </c>
      <c r="H1375" s="15" t="n">
        <v>-20059</v>
      </c>
      <c r="I1375" s="9" t="n">
        <v>147735</v>
      </c>
      <c r="J1375" s="10" t="n">
        <v>-3981</v>
      </c>
      <c r="K1375" s="10" t="n">
        <v>-15973</v>
      </c>
      <c r="L1375" s="7" t="n">
        <v>188346</v>
      </c>
      <c r="M1375" s="8" t="n">
        <v>6284</v>
      </c>
      <c r="N1375" s="8" t="n">
        <v>42128</v>
      </c>
      <c r="O1375" s="9" t="n">
        <v>184311</v>
      </c>
      <c r="P1375" s="10" t="n">
        <v>5217</v>
      </c>
      <c r="Q1375" s="10" t="n">
        <v>9521</v>
      </c>
      <c r="R1375" s="7" t="n">
        <v>178841</v>
      </c>
      <c r="S1375" s="8" t="n">
        <v>-4032</v>
      </c>
      <c r="T1375" s="8" t="n">
        <v>-17585</v>
      </c>
      <c r="U1375" s="9" t="n">
        <v>167807</v>
      </c>
      <c r="V1375" s="10" t="n">
        <v>-13149</v>
      </c>
      <c r="W1375" s="10" t="n">
        <v>-17335</v>
      </c>
      <c r="X1375" s="7" t="n">
        <v>188143</v>
      </c>
      <c r="Y1375" s="8" t="n">
        <v>-917</v>
      </c>
      <c r="Z1375" s="8" t="n">
        <v>-3696</v>
      </c>
      <c r="AA1375" s="9" t="n">
        <v>187520</v>
      </c>
      <c r="AB1375" s="10" t="n">
        <v>-779</v>
      </c>
      <c r="AC1375" s="10" t="n">
        <v>-4052</v>
      </c>
      <c r="AD1375" s="7" t="n">
        <v>220339</v>
      </c>
      <c r="AE1375" s="8" t="n">
        <v>15071</v>
      </c>
      <c r="AF1375" s="8" t="n">
        <v>11461</v>
      </c>
      <c r="AG1375" s="9" t="n">
        <v>187796</v>
      </c>
      <c r="AH1375" s="10" t="n">
        <v>10371</v>
      </c>
      <c r="AI1375" s="10" t="n">
        <v>10325</v>
      </c>
      <c r="AJ1375" s="11" t="n">
        <v>214144</v>
      </c>
      <c r="AK1375" s="12" t="n">
        <v>10196</v>
      </c>
      <c r="AL1375" s="12" t="n">
        <v>8162</v>
      </c>
      <c r="AM1375" s="13" t="n">
        <v>14</v>
      </c>
      <c r="AN1375" s="13" t="n">
        <v>13.8</v>
      </c>
      <c r="AO1375" s="13" t="n">
        <v>-1.7</v>
      </c>
      <c r="AP1375" s="13" t="n">
        <v>1211.9</v>
      </c>
    </row>
    <row r="1376">
      <c r="A1376" s="5" t="inlineStr">
        <is>
          <t>디아이씨</t>
        </is>
      </c>
      <c r="B1376" s="6" t="inlineStr">
        <is>
          <t>092200</t>
        </is>
      </c>
      <c r="C1376" s="6" t="inlineStr">
        <is>
          <t>연결</t>
        </is>
      </c>
      <c r="D1376" s="6" t="inlineStr">
        <is>
          <t>2026Q2</t>
        </is>
      </c>
      <c r="E1376" s="6" t="inlineStr"/>
      <c r="F1376" s="7" t="inlineStr"/>
      <c r="G1376" s="8" t="inlineStr"/>
      <c r="H1376" s="8" t="inlineStr"/>
      <c r="I1376" s="9" t="n">
        <v>173827</v>
      </c>
      <c r="J1376" s="10" t="n">
        <v>4850</v>
      </c>
      <c r="K1376" s="10" t="n">
        <v>2481</v>
      </c>
      <c r="L1376" s="7" t="n">
        <v>193253</v>
      </c>
      <c r="M1376" s="8" t="n">
        <v>7747</v>
      </c>
      <c r="N1376" s="8" t="n">
        <v>3196</v>
      </c>
      <c r="O1376" s="9" t="n">
        <v>167248</v>
      </c>
      <c r="P1376" s="10" t="n">
        <v>3063</v>
      </c>
      <c r="Q1376" s="10" t="n">
        <v>7644</v>
      </c>
      <c r="R1376" s="7" t="n">
        <v>184800</v>
      </c>
      <c r="S1376" s="8" t="n">
        <v>6172</v>
      </c>
      <c r="T1376" s="8" t="n">
        <v>3233</v>
      </c>
      <c r="U1376" s="9" t="n">
        <v>193106</v>
      </c>
      <c r="V1376" s="10" t="n">
        <v>8311</v>
      </c>
      <c r="W1376" s="10" t="n">
        <v>2645</v>
      </c>
      <c r="X1376" s="7" t="n">
        <v>206591</v>
      </c>
      <c r="Y1376" s="8" t="n">
        <v>8266</v>
      </c>
      <c r="Z1376" s="8" t="n">
        <v>-494</v>
      </c>
      <c r="AA1376" s="9" t="n">
        <v>188837</v>
      </c>
      <c r="AB1376" s="10" t="n">
        <v>4706</v>
      </c>
      <c r="AC1376" s="10" t="n">
        <v>2465</v>
      </c>
      <c r="AD1376" s="7" t="n">
        <v>168776</v>
      </c>
      <c r="AE1376" s="8" t="n">
        <v>-2733</v>
      </c>
      <c r="AF1376" s="8" t="n">
        <v>-9387</v>
      </c>
      <c r="AG1376" s="9" t="n">
        <v>165174</v>
      </c>
      <c r="AH1376" s="10" t="n">
        <v>2821</v>
      </c>
      <c r="AI1376" s="10" t="n">
        <v>1058</v>
      </c>
      <c r="AJ1376" s="11" t="n">
        <v>196619</v>
      </c>
      <c r="AK1376" s="12" t="n">
        <v>8730</v>
      </c>
      <c r="AL1376" s="12" t="n">
        <v>5429</v>
      </c>
      <c r="AM1376" s="13" t="n">
        <v>19</v>
      </c>
      <c r="AN1376" s="13" t="n">
        <v>-4.8</v>
      </c>
      <c r="AO1376" s="13" t="n">
        <v>209.5</v>
      </c>
      <c r="AP1376" s="13" t="n">
        <v>5.6</v>
      </c>
    </row>
    <row r="1377">
      <c r="A1377" s="5" t="inlineStr">
        <is>
          <t>KEC</t>
        </is>
      </c>
      <c r="B1377" s="6" t="inlineStr">
        <is>
          <t>092220</t>
        </is>
      </c>
      <c r="C1377" s="6" t="inlineStr">
        <is>
          <t>연결</t>
        </is>
      </c>
      <c r="D1377" s="6" t="inlineStr">
        <is>
          <t>2026Q2</t>
        </is>
      </c>
      <c r="E1377" s="6" t="inlineStr"/>
      <c r="F1377" s="7" t="inlineStr"/>
      <c r="G1377" s="8" t="inlineStr"/>
      <c r="H1377" s="8" t="inlineStr"/>
      <c r="I1377" s="9" t="n">
        <v>60899</v>
      </c>
      <c r="J1377" s="10" t="n">
        <v>-1590</v>
      </c>
      <c r="K1377" s="10" t="n">
        <v>-752</v>
      </c>
      <c r="L1377" s="7" t="n">
        <v>67655</v>
      </c>
      <c r="M1377" s="8" t="n">
        <v>406</v>
      </c>
      <c r="N1377" s="8" t="n">
        <v>1284</v>
      </c>
      <c r="O1377" s="9" t="n">
        <v>60862</v>
      </c>
      <c r="P1377" s="10" t="n">
        <v>-5684</v>
      </c>
      <c r="Q1377" s="10" t="n">
        <v>-5394</v>
      </c>
      <c r="R1377" s="7" t="n">
        <v>53754</v>
      </c>
      <c r="S1377" s="8" t="n">
        <v>-6403</v>
      </c>
      <c r="T1377" s="8" t="n">
        <v>-6141</v>
      </c>
      <c r="U1377" s="9" t="n">
        <v>63626</v>
      </c>
      <c r="V1377" s="10" t="n">
        <v>-3080</v>
      </c>
      <c r="W1377" s="10" t="n">
        <v>-2280</v>
      </c>
      <c r="X1377" s="7" t="n">
        <v>59781</v>
      </c>
      <c r="Y1377" s="8" t="n">
        <v>-5128</v>
      </c>
      <c r="Z1377" s="8" t="n">
        <v>-3715</v>
      </c>
      <c r="AA1377" s="9" t="n">
        <v>52476</v>
      </c>
      <c r="AB1377" s="10" t="n">
        <v>-7407</v>
      </c>
      <c r="AC1377" s="10" t="n">
        <v>-7384</v>
      </c>
      <c r="AD1377" s="7" t="n">
        <v>53734</v>
      </c>
      <c r="AE1377" s="8" t="n">
        <v>-6147</v>
      </c>
      <c r="AF1377" s="8" t="n">
        <v>-13192</v>
      </c>
      <c r="AG1377" s="9" t="n">
        <v>64330</v>
      </c>
      <c r="AH1377" s="10" t="n">
        <v>-4839</v>
      </c>
      <c r="AI1377" s="10" t="n">
        <v>-5051</v>
      </c>
      <c r="AJ1377" s="11" t="n">
        <v>67824</v>
      </c>
      <c r="AK1377" s="12" t="n">
        <v>-3272</v>
      </c>
      <c r="AL1377" s="12" t="n">
        <v>-2786</v>
      </c>
      <c r="AM1377" s="13" t="n">
        <v>5.4</v>
      </c>
      <c r="AN1377" s="13" t="n">
        <v>13.5</v>
      </c>
      <c r="AO1377" s="13" t="n">
        <v>32.4</v>
      </c>
      <c r="AP1377" s="13" t="n">
        <v>36.2</v>
      </c>
    </row>
    <row r="1378">
      <c r="A1378" s="5" t="inlineStr">
        <is>
          <t>KPX홀딩스</t>
        </is>
      </c>
      <c r="B1378" s="6" t="inlineStr">
        <is>
          <t>092230</t>
        </is>
      </c>
      <c r="C1378" s="6" t="inlineStr">
        <is>
          <t>연결</t>
        </is>
      </c>
      <c r="D1378" s="6" t="inlineStr">
        <is>
          <t>2026Q2</t>
        </is>
      </c>
      <c r="E1378" s="6" t="inlineStr"/>
      <c r="F1378" s="7" t="inlineStr"/>
      <c r="G1378" s="8" t="inlineStr"/>
      <c r="H1378" s="8" t="inlineStr"/>
      <c r="I1378" s="9" t="n">
        <v>291023</v>
      </c>
      <c r="J1378" s="10" t="n">
        <v>18065</v>
      </c>
      <c r="K1378" s="10" t="n">
        <v>23431</v>
      </c>
      <c r="L1378" s="7" t="n">
        <v>316105</v>
      </c>
      <c r="M1378" s="8" t="n">
        <v>16290</v>
      </c>
      <c r="N1378" s="8" t="n">
        <v>45692</v>
      </c>
      <c r="O1378" s="9" t="n">
        <v>290281</v>
      </c>
      <c r="P1378" s="10" t="n">
        <v>11910</v>
      </c>
      <c r="Q1378" s="10" t="n">
        <v>1977</v>
      </c>
      <c r="R1378" s="7" t="n">
        <v>326533</v>
      </c>
      <c r="S1378" s="8" t="n">
        <v>4868</v>
      </c>
      <c r="T1378" s="8" t="n">
        <v>47679</v>
      </c>
      <c r="U1378" s="9" t="n">
        <v>295706</v>
      </c>
      <c r="V1378" s="10" t="n">
        <v>13254</v>
      </c>
      <c r="W1378" s="10" t="n">
        <v>-14325</v>
      </c>
      <c r="X1378" s="7" t="n">
        <v>293826</v>
      </c>
      <c r="Y1378" s="8" t="n">
        <v>12714</v>
      </c>
      <c r="Z1378" s="8" t="n">
        <v>41188</v>
      </c>
      <c r="AA1378" s="9" t="n">
        <v>288336</v>
      </c>
      <c r="AB1378" s="10" t="n">
        <v>14209</v>
      </c>
      <c r="AC1378" s="10" t="n">
        <v>60899</v>
      </c>
      <c r="AD1378" s="7" t="n">
        <v>285858</v>
      </c>
      <c r="AE1378" s="8" t="n">
        <v>2787</v>
      </c>
      <c r="AF1378" s="8" t="n">
        <v>28955</v>
      </c>
      <c r="AG1378" s="9" t="n">
        <v>311015</v>
      </c>
      <c r="AH1378" s="10" t="n">
        <v>13269</v>
      </c>
      <c r="AI1378" s="10" t="n">
        <v>32554</v>
      </c>
      <c r="AJ1378" s="11" t="n">
        <v>361514</v>
      </c>
      <c r="AK1378" s="12" t="n">
        <v>30995</v>
      </c>
      <c r="AL1378" s="12" t="n">
        <v>281841</v>
      </c>
      <c r="AM1378" s="13" t="n">
        <v>16.2</v>
      </c>
      <c r="AN1378" s="13" t="n">
        <v>23</v>
      </c>
      <c r="AO1378" s="13" t="n">
        <v>133.6</v>
      </c>
      <c r="AP1378" s="13" t="n">
        <v>143.8</v>
      </c>
    </row>
    <row r="1379">
      <c r="A1379" s="5" t="inlineStr">
        <is>
          <t>현우산업</t>
        </is>
      </c>
      <c r="B1379" s="6" t="inlineStr">
        <is>
          <t>092300</t>
        </is>
      </c>
      <c r="C1379" s="6" t="inlineStr">
        <is>
          <t>연결</t>
        </is>
      </c>
      <c r="D1379" s="6" t="inlineStr">
        <is>
          <t>2026Q2</t>
        </is>
      </c>
      <c r="E1379" s="6" t="inlineStr"/>
      <c r="F1379" s="7" t="inlineStr"/>
      <c r="G1379" s="8" t="inlineStr"/>
      <c r="H1379" s="8" t="inlineStr"/>
      <c r="I1379" s="9" t="n">
        <v>56413</v>
      </c>
      <c r="J1379" s="10" t="n">
        <v>3700</v>
      </c>
      <c r="K1379" s="10" t="n">
        <v>3526</v>
      </c>
      <c r="L1379" s="7" t="n">
        <v>54452</v>
      </c>
      <c r="M1379" s="8" t="n">
        <v>2643</v>
      </c>
      <c r="N1379" s="8" t="n">
        <v>2906</v>
      </c>
      <c r="O1379" s="9" t="n">
        <v>49923</v>
      </c>
      <c r="P1379" s="10" t="n">
        <v>1017</v>
      </c>
      <c r="Q1379" s="10" t="n">
        <v>253</v>
      </c>
      <c r="R1379" s="7" t="n">
        <v>45404</v>
      </c>
      <c r="S1379" s="8" t="n">
        <v>388</v>
      </c>
      <c r="T1379" s="8" t="n">
        <v>1659</v>
      </c>
      <c r="U1379" s="9" t="n">
        <v>50599</v>
      </c>
      <c r="V1379" s="10" t="n">
        <v>967</v>
      </c>
      <c r="W1379" s="10" t="n">
        <v>84</v>
      </c>
      <c r="X1379" s="7" t="n">
        <v>61652</v>
      </c>
      <c r="Y1379" s="8" t="n">
        <v>2757</v>
      </c>
      <c r="Z1379" s="8" t="n">
        <v>2064</v>
      </c>
      <c r="AA1379" s="9" t="n">
        <v>64266</v>
      </c>
      <c r="AB1379" s="10" t="n">
        <v>5149</v>
      </c>
      <c r="AC1379" s="10" t="n">
        <v>4472</v>
      </c>
      <c r="AD1379" s="7" t="n">
        <v>60838</v>
      </c>
      <c r="AE1379" s="8" t="n">
        <v>2166</v>
      </c>
      <c r="AF1379" s="8" t="n">
        <v>944</v>
      </c>
      <c r="AG1379" s="9" t="n">
        <v>60688</v>
      </c>
      <c r="AH1379" s="10" t="n">
        <v>3364</v>
      </c>
      <c r="AI1379" s="10" t="n">
        <v>3987</v>
      </c>
      <c r="AJ1379" s="11" t="n">
        <v>75402</v>
      </c>
      <c r="AK1379" s="12" t="n">
        <v>4312</v>
      </c>
      <c r="AL1379" s="12" t="n">
        <v>6018</v>
      </c>
      <c r="AM1379" s="13" t="n">
        <v>24.2</v>
      </c>
      <c r="AN1379" s="13" t="n">
        <v>22.3</v>
      </c>
      <c r="AO1379" s="13" t="n">
        <v>28.2</v>
      </c>
      <c r="AP1379" s="13" t="n">
        <v>56.4</v>
      </c>
    </row>
    <row r="1380">
      <c r="A1380" s="5" t="inlineStr">
        <is>
          <t>기신정기</t>
        </is>
      </c>
      <c r="B1380" s="6" t="inlineStr">
        <is>
          <t>092440</t>
        </is>
      </c>
      <c r="C1380" s="6" t="inlineStr">
        <is>
          <t>연결</t>
        </is>
      </c>
      <c r="D1380" s="6" t="inlineStr">
        <is>
          <t>2026Q1</t>
        </is>
      </c>
      <c r="E1380" s="6" t="inlineStr"/>
      <c r="F1380" s="7" t="inlineStr"/>
      <c r="G1380" s="8" t="inlineStr"/>
      <c r="H1380" s="8" t="inlineStr"/>
      <c r="I1380" s="9" t="n">
        <v>36616</v>
      </c>
      <c r="J1380" s="10" t="n">
        <v>1626</v>
      </c>
      <c r="K1380" s="10" t="n">
        <v>1651</v>
      </c>
      <c r="L1380" s="7" t="n">
        <v>31683</v>
      </c>
      <c r="M1380" s="8" t="n">
        <v>-532</v>
      </c>
      <c r="N1380" s="8" t="n">
        <v>552</v>
      </c>
      <c r="O1380" s="9" t="n">
        <v>32493</v>
      </c>
      <c r="P1380" s="10" t="n">
        <v>163</v>
      </c>
      <c r="Q1380" s="10" t="n">
        <v>613</v>
      </c>
      <c r="R1380" s="7" t="n">
        <v>37068</v>
      </c>
      <c r="S1380" s="8" t="n">
        <v>1241</v>
      </c>
      <c r="T1380" s="8" t="n">
        <v>-1101</v>
      </c>
      <c r="U1380" s="9" t="n">
        <v>29839</v>
      </c>
      <c r="V1380" s="10" t="n">
        <v>-1365</v>
      </c>
      <c r="W1380" s="10" t="n">
        <v>-657</v>
      </c>
      <c r="X1380" s="7" t="n">
        <v>29804</v>
      </c>
      <c r="Y1380" s="8" t="n">
        <v>-713</v>
      </c>
      <c r="Z1380" s="8" t="n">
        <v>-271</v>
      </c>
      <c r="AA1380" s="9" t="n">
        <v>31247</v>
      </c>
      <c r="AB1380" s="10" t="n">
        <v>-140</v>
      </c>
      <c r="AC1380" s="10" t="n">
        <v>165</v>
      </c>
      <c r="AD1380" s="7" t="n">
        <v>40426</v>
      </c>
      <c r="AE1380" s="8" t="n">
        <v>3236</v>
      </c>
      <c r="AF1380" s="8" t="n">
        <v>3876</v>
      </c>
      <c r="AG1380" s="9" t="n">
        <v>26719</v>
      </c>
      <c r="AH1380" s="10" t="n">
        <v>-869</v>
      </c>
      <c r="AI1380" s="10" t="n">
        <v>-307</v>
      </c>
      <c r="AJ1380" s="11" t="inlineStr"/>
      <c r="AK1380" s="12" t="inlineStr"/>
      <c r="AL1380" s="12" t="inlineStr"/>
      <c r="AM1380" s="13" t="inlineStr"/>
      <c r="AN1380" s="13" t="inlineStr"/>
      <c r="AO1380" s="13" t="inlineStr"/>
      <c r="AP1380" s="13" t="inlineStr"/>
    </row>
    <row r="1381">
      <c r="A1381" s="5" t="inlineStr">
        <is>
          <t>한라IMS</t>
        </is>
      </c>
      <c r="B1381" s="6" t="inlineStr">
        <is>
          <t>092460</t>
        </is>
      </c>
      <c r="C1381" s="6" t="inlineStr">
        <is>
          <t>연결</t>
        </is>
      </c>
      <c r="D1381" s="6" t="inlineStr">
        <is>
          <t>2026Q2</t>
        </is>
      </c>
      <c r="E1381" s="6" t="inlineStr"/>
      <c r="F1381" s="7" t="inlineStr"/>
      <c r="G1381" s="8" t="inlineStr"/>
      <c r="H1381" s="8" t="inlineStr"/>
      <c r="I1381" s="9" t="n">
        <v>23101</v>
      </c>
      <c r="J1381" s="10" t="n">
        <v>3913</v>
      </c>
      <c r="K1381" s="10" t="n">
        <v>4269</v>
      </c>
      <c r="L1381" s="7" t="n">
        <v>25585</v>
      </c>
      <c r="M1381" s="8" t="n">
        <v>3965</v>
      </c>
      <c r="N1381" s="8" t="n">
        <v>3597</v>
      </c>
      <c r="O1381" s="9" t="n">
        <v>23280</v>
      </c>
      <c r="P1381" s="10" t="n">
        <v>3190</v>
      </c>
      <c r="Q1381" s="10" t="n">
        <v>2582</v>
      </c>
      <c r="R1381" s="7" t="n">
        <v>32270</v>
      </c>
      <c r="S1381" s="8" t="n">
        <v>4895</v>
      </c>
      <c r="T1381" s="8" t="n">
        <v>3272</v>
      </c>
      <c r="U1381" s="9" t="n">
        <v>26556</v>
      </c>
      <c r="V1381" s="10" t="n">
        <v>5129</v>
      </c>
      <c r="W1381" s="10" t="n">
        <v>5677</v>
      </c>
      <c r="X1381" s="7" t="n">
        <v>35662</v>
      </c>
      <c r="Y1381" s="8" t="n">
        <v>6161</v>
      </c>
      <c r="Z1381" s="8" t="n">
        <v>6515</v>
      </c>
      <c r="AA1381" s="9" t="n">
        <v>31668</v>
      </c>
      <c r="AB1381" s="10" t="n">
        <v>5441</v>
      </c>
      <c r="AC1381" s="10" t="n">
        <v>7829</v>
      </c>
      <c r="AD1381" s="7" t="n">
        <v>39591</v>
      </c>
      <c r="AE1381" s="8" t="n">
        <v>5541</v>
      </c>
      <c r="AF1381" s="8" t="n">
        <v>5468</v>
      </c>
      <c r="AG1381" s="9" t="n">
        <v>39357</v>
      </c>
      <c r="AH1381" s="10" t="n">
        <v>5518</v>
      </c>
      <c r="AI1381" s="10" t="n">
        <v>6680</v>
      </c>
      <c r="AJ1381" s="11" t="n">
        <v>42836</v>
      </c>
      <c r="AK1381" s="12" t="n">
        <v>9194</v>
      </c>
      <c r="AL1381" s="12" t="n">
        <v>8364</v>
      </c>
      <c r="AM1381" s="13" t="n">
        <v>8.800000000000001</v>
      </c>
      <c r="AN1381" s="13" t="n">
        <v>20.1</v>
      </c>
      <c r="AO1381" s="13" t="n">
        <v>66.59999999999999</v>
      </c>
      <c r="AP1381" s="13" t="n">
        <v>49.2</v>
      </c>
    </row>
    <row r="1382">
      <c r="A1382" s="5" t="inlineStr">
        <is>
          <t>앤씨앤</t>
        </is>
      </c>
      <c r="B1382" s="6" t="inlineStr">
        <is>
          <t>092600</t>
        </is>
      </c>
      <c r="C1382" s="6" t="inlineStr">
        <is>
          <t>별도</t>
        </is>
      </c>
      <c r="D1382" s="6" t="inlineStr">
        <is>
          <t>2026Q2</t>
        </is>
      </c>
      <c r="E1382" s="6" t="inlineStr"/>
      <c r="F1382" s="7" t="inlineStr"/>
      <c r="G1382" s="8" t="inlineStr"/>
      <c r="H1382" s="8" t="inlineStr"/>
      <c r="I1382" s="9" t="n">
        <v>18222</v>
      </c>
      <c r="J1382" s="10" t="n">
        <v>-7637</v>
      </c>
      <c r="K1382" s="10" t="n">
        <v>-7665</v>
      </c>
      <c r="L1382" s="7" t="n">
        <v>23700</v>
      </c>
      <c r="M1382" s="8" t="n">
        <v>-5303</v>
      </c>
      <c r="N1382" s="8" t="n">
        <v>-9048</v>
      </c>
      <c r="O1382" s="9" t="n">
        <v>23843</v>
      </c>
      <c r="P1382" s="10" t="n">
        <v>-6030</v>
      </c>
      <c r="Q1382" s="10" t="n">
        <v>-6864</v>
      </c>
      <c r="R1382" s="7" t="n">
        <v>23936</v>
      </c>
      <c r="S1382" s="8" t="n">
        <v>-7721</v>
      </c>
      <c r="T1382" s="8" t="n">
        <v>-8418</v>
      </c>
      <c r="U1382" s="9" t="n">
        <v>26401</v>
      </c>
      <c r="V1382" s="10" t="n">
        <v>-5448</v>
      </c>
      <c r="W1382" s="10" t="n">
        <v>-6274</v>
      </c>
      <c r="X1382" s="7" t="n">
        <v>24508</v>
      </c>
      <c r="Y1382" s="8" t="n">
        <v>-4237</v>
      </c>
      <c r="Z1382" s="8" t="n">
        <v>-7313</v>
      </c>
      <c r="AA1382" s="9" t="n">
        <v>24506</v>
      </c>
      <c r="AB1382" s="10" t="n">
        <v>-6643</v>
      </c>
      <c r="AC1382" s="10" t="n">
        <v>-7992</v>
      </c>
      <c r="AD1382" s="7" t="n">
        <v>27144</v>
      </c>
      <c r="AE1382" s="8" t="n">
        <v>-1159</v>
      </c>
      <c r="AF1382" s="8" t="n">
        <v>24420</v>
      </c>
      <c r="AG1382" s="9" t="n">
        <v>16217</v>
      </c>
      <c r="AH1382" s="10" t="n">
        <v>-360</v>
      </c>
      <c r="AI1382" s="10" t="n">
        <v>-1377</v>
      </c>
      <c r="AJ1382" s="11" t="n">
        <v>17953</v>
      </c>
      <c r="AK1382" s="12" t="n">
        <v>672</v>
      </c>
      <c r="AL1382" s="12" t="n">
        <v>2442</v>
      </c>
      <c r="AM1382" s="13" t="n">
        <v>10.7</v>
      </c>
      <c r="AN1382" s="13" t="n">
        <v>-26.7</v>
      </c>
      <c r="AO1382" s="13" t="n">
        <v>286.7</v>
      </c>
      <c r="AP1382" s="13" t="n">
        <v>115.9</v>
      </c>
    </row>
    <row r="1383">
      <c r="A1383" s="5" t="inlineStr">
        <is>
          <t>네오팜</t>
        </is>
      </c>
      <c r="B1383" s="6" t="inlineStr">
        <is>
          <t>092730</t>
        </is>
      </c>
      <c r="C1383" s="6" t="inlineStr">
        <is>
          <t>별도</t>
        </is>
      </c>
      <c r="D1383" s="6" t="inlineStr">
        <is>
          <t>2026Q2</t>
        </is>
      </c>
      <c r="E1383" s="6" t="inlineStr">
        <is>
          <t>2023Q4</t>
        </is>
      </c>
      <c r="F1383" s="14" t="n">
        <v>27213</v>
      </c>
      <c r="G1383" s="15" t="n">
        <v>6933</v>
      </c>
      <c r="H1383" s="15" t="n">
        <v>5605</v>
      </c>
      <c r="I1383" s="9" t="n">
        <v>28215</v>
      </c>
      <c r="J1383" s="10" t="n">
        <v>6792</v>
      </c>
      <c r="K1383" s="10" t="n">
        <v>6112</v>
      </c>
      <c r="L1383" s="7" t="n">
        <v>30621</v>
      </c>
      <c r="M1383" s="8" t="n">
        <v>6107</v>
      </c>
      <c r="N1383" s="8" t="n">
        <v>5883</v>
      </c>
      <c r="O1383" s="9" t="n">
        <v>26151</v>
      </c>
      <c r="P1383" s="10" t="n">
        <v>5083</v>
      </c>
      <c r="Q1383" s="10" t="n">
        <v>4336</v>
      </c>
      <c r="R1383" s="7" t="n">
        <v>34027</v>
      </c>
      <c r="S1383" s="8" t="n">
        <v>6671</v>
      </c>
      <c r="T1383" s="8" t="n">
        <v>6734</v>
      </c>
      <c r="U1383" s="9" t="n">
        <v>31609</v>
      </c>
      <c r="V1383" s="10" t="n">
        <v>7780</v>
      </c>
      <c r="W1383" s="10" t="n">
        <v>7137</v>
      </c>
      <c r="X1383" s="7" t="n">
        <v>31982</v>
      </c>
      <c r="Y1383" s="8" t="n">
        <v>7011</v>
      </c>
      <c r="Z1383" s="8" t="n">
        <v>7067</v>
      </c>
      <c r="AA1383" s="9" t="n">
        <v>32196</v>
      </c>
      <c r="AB1383" s="10" t="n">
        <v>6768</v>
      </c>
      <c r="AC1383" s="10" t="n">
        <v>6859</v>
      </c>
      <c r="AD1383" s="7" t="n">
        <v>36397</v>
      </c>
      <c r="AE1383" s="8" t="n">
        <v>7216</v>
      </c>
      <c r="AF1383" s="8" t="n">
        <v>6760</v>
      </c>
      <c r="AG1383" s="9" t="n">
        <v>36224</v>
      </c>
      <c r="AH1383" s="10" t="n">
        <v>8704</v>
      </c>
      <c r="AI1383" s="10" t="n">
        <v>8624</v>
      </c>
      <c r="AJ1383" s="11" t="n">
        <v>43572</v>
      </c>
      <c r="AK1383" s="12" t="n">
        <v>9789</v>
      </c>
      <c r="AL1383" s="12" t="n">
        <v>8405</v>
      </c>
      <c r="AM1383" s="13" t="n">
        <v>20.3</v>
      </c>
      <c r="AN1383" s="13" t="n">
        <v>36.2</v>
      </c>
      <c r="AO1383" s="13" t="n">
        <v>12.5</v>
      </c>
      <c r="AP1383" s="13" t="n">
        <v>39.6</v>
      </c>
    </row>
    <row r="1384">
      <c r="A1384" s="5" t="inlineStr">
        <is>
          <t>DYP</t>
        </is>
      </c>
      <c r="B1384" s="6" t="inlineStr">
        <is>
          <t>092780</t>
        </is>
      </c>
      <c r="C1384" s="6" t="inlineStr">
        <is>
          <t>연결</t>
        </is>
      </c>
      <c r="D1384" s="6" t="inlineStr">
        <is>
          <t>2026Q2</t>
        </is>
      </c>
      <c r="E1384" s="6" t="inlineStr"/>
      <c r="F1384" s="7" t="inlineStr"/>
      <c r="G1384" s="8" t="inlineStr"/>
      <c r="H1384" s="8" t="inlineStr"/>
      <c r="I1384" s="9" t="n">
        <v>110771</v>
      </c>
      <c r="J1384" s="10" t="n">
        <v>4024</v>
      </c>
      <c r="K1384" s="10" t="n">
        <v>3838</v>
      </c>
      <c r="L1384" s="7" t="n">
        <v>116554</v>
      </c>
      <c r="M1384" s="8" t="n">
        <v>5308</v>
      </c>
      <c r="N1384" s="8" t="n">
        <v>3301</v>
      </c>
      <c r="O1384" s="9" t="n">
        <v>107062</v>
      </c>
      <c r="P1384" s="10" t="n">
        <v>142</v>
      </c>
      <c r="Q1384" s="10" t="n">
        <v>-2437</v>
      </c>
      <c r="R1384" s="7" t="n">
        <v>96638</v>
      </c>
      <c r="S1384" s="8" t="n">
        <v>223</v>
      </c>
      <c r="T1384" s="8" t="n">
        <v>3990</v>
      </c>
      <c r="U1384" s="9" t="n">
        <v>106441</v>
      </c>
      <c r="V1384" s="10" t="n">
        <v>1758</v>
      </c>
      <c r="W1384" s="10" t="n">
        <v>1073</v>
      </c>
      <c r="X1384" s="7" t="n">
        <v>110296</v>
      </c>
      <c r="Y1384" s="8" t="n">
        <v>1901</v>
      </c>
      <c r="Z1384" s="8" t="n">
        <v>-3403</v>
      </c>
      <c r="AA1384" s="9" t="n">
        <v>115900</v>
      </c>
      <c r="AB1384" s="10" t="n">
        <v>6739</v>
      </c>
      <c r="AC1384" s="10" t="n">
        <v>5905</v>
      </c>
      <c r="AD1384" s="7" t="n">
        <v>126696</v>
      </c>
      <c r="AE1384" s="8" t="n">
        <v>6261</v>
      </c>
      <c r="AF1384" s="8" t="n">
        <v>4494</v>
      </c>
      <c r="AG1384" s="9" t="n">
        <v>117121</v>
      </c>
      <c r="AH1384" s="10" t="n">
        <v>2952</v>
      </c>
      <c r="AI1384" s="10" t="n">
        <v>3169</v>
      </c>
      <c r="AJ1384" s="11" t="n">
        <v>130271</v>
      </c>
      <c r="AK1384" s="12" t="n">
        <v>453</v>
      </c>
      <c r="AL1384" s="12" t="n">
        <v>-812</v>
      </c>
      <c r="AM1384" s="13" t="n">
        <v>11.2</v>
      </c>
      <c r="AN1384" s="13" t="n">
        <v>18.1</v>
      </c>
      <c r="AO1384" s="13" t="n">
        <v>-84.7</v>
      </c>
      <c r="AP1384" s="13" t="n">
        <v>-76.2</v>
      </c>
    </row>
    <row r="1385">
      <c r="A1385" s="5" t="inlineStr">
        <is>
          <t>넥스틸</t>
        </is>
      </c>
      <c r="B1385" s="6" t="inlineStr">
        <is>
          <t>092790</t>
        </is>
      </c>
      <c r="C1385" s="6" t="inlineStr">
        <is>
          <t>연결</t>
        </is>
      </c>
      <c r="D1385" s="6" t="inlineStr">
        <is>
          <t>2026Q2</t>
        </is>
      </c>
      <c r="E1385" s="6" t="inlineStr">
        <is>
          <t>2023Q4</t>
        </is>
      </c>
      <c r="F1385" s="14" t="n">
        <v>619052</v>
      </c>
      <c r="G1385" s="15" t="n">
        <v>155957</v>
      </c>
      <c r="H1385" s="15" t="n">
        <v>129633</v>
      </c>
      <c r="I1385" s="9" t="n">
        <v>125885</v>
      </c>
      <c r="J1385" s="10" t="n">
        <v>954</v>
      </c>
      <c r="K1385" s="10" t="n">
        <v>180</v>
      </c>
      <c r="L1385" s="7" t="n">
        <v>143263</v>
      </c>
      <c r="M1385" s="8" t="n">
        <v>42923</v>
      </c>
      <c r="N1385" s="8" t="n">
        <v>26091</v>
      </c>
      <c r="O1385" s="9" t="n">
        <v>157002</v>
      </c>
      <c r="P1385" s="10" t="n">
        <v>13917</v>
      </c>
      <c r="Q1385" s="10" t="n">
        <v>6385</v>
      </c>
      <c r="R1385" s="7" t="n">
        <v>126215</v>
      </c>
      <c r="S1385" s="8" t="n">
        <v>5411</v>
      </c>
      <c r="T1385" s="8" t="n">
        <v>2029</v>
      </c>
      <c r="U1385" s="9" t="n">
        <v>156770</v>
      </c>
      <c r="V1385" s="10" t="n">
        <v>22952</v>
      </c>
      <c r="W1385" s="10" t="n">
        <v>20016</v>
      </c>
      <c r="X1385" s="7" t="n">
        <v>178033</v>
      </c>
      <c r="Y1385" s="8" t="n">
        <v>14592</v>
      </c>
      <c r="Z1385" s="8" t="n">
        <v>9753</v>
      </c>
      <c r="AA1385" s="9" t="n">
        <v>121920</v>
      </c>
      <c r="AB1385" s="10" t="n">
        <v>5440</v>
      </c>
      <c r="AC1385" s="10" t="n">
        <v>9514</v>
      </c>
      <c r="AD1385" s="7" t="n">
        <v>94269</v>
      </c>
      <c r="AE1385" s="8" t="n">
        <v>-3042</v>
      </c>
      <c r="AF1385" s="8" t="n">
        <v>-3245</v>
      </c>
      <c r="AG1385" s="9" t="n">
        <v>100643</v>
      </c>
      <c r="AH1385" s="10" t="n">
        <v>2673</v>
      </c>
      <c r="AI1385" s="10" t="n">
        <v>2760</v>
      </c>
      <c r="AJ1385" s="11" t="n">
        <v>167465</v>
      </c>
      <c r="AK1385" s="12" t="n">
        <v>5492</v>
      </c>
      <c r="AL1385" s="12" t="n">
        <v>449</v>
      </c>
      <c r="AM1385" s="13" t="n">
        <v>66.40000000000001</v>
      </c>
      <c r="AN1385" s="13" t="n">
        <v>-5.9</v>
      </c>
      <c r="AO1385" s="13" t="n">
        <v>105.5</v>
      </c>
      <c r="AP1385" s="13" t="n">
        <v>-62.4</v>
      </c>
    </row>
    <row r="1386">
      <c r="A1386" s="5" t="inlineStr">
        <is>
          <t>엑시콘</t>
        </is>
      </c>
      <c r="B1386" s="6" t="inlineStr">
        <is>
          <t>092870</t>
        </is>
      </c>
      <c r="C1386" s="6" t="inlineStr">
        <is>
          <t>연결</t>
        </is>
      </c>
      <c r="D1386" s="6" t="inlineStr">
        <is>
          <t>2026Q2</t>
        </is>
      </c>
      <c r="E1386" s="6" t="inlineStr"/>
      <c r="F1386" s="7" t="inlineStr"/>
      <c r="G1386" s="8" t="inlineStr"/>
      <c r="H1386" s="8" t="inlineStr"/>
      <c r="I1386" s="9" t="n">
        <v>7145</v>
      </c>
      <c r="J1386" s="10" t="n">
        <v>-4772</v>
      </c>
      <c r="K1386" s="10" t="n">
        <v>-4485</v>
      </c>
      <c r="L1386" s="7" t="n">
        <v>7729</v>
      </c>
      <c r="M1386" s="8" t="n">
        <v>-3091</v>
      </c>
      <c r="N1386" s="8" t="n">
        <v>7000</v>
      </c>
      <c r="O1386" s="9" t="n">
        <v>3889</v>
      </c>
      <c r="P1386" s="10" t="n">
        <v>-6782</v>
      </c>
      <c r="Q1386" s="10" t="n">
        <v>-5236</v>
      </c>
      <c r="R1386" s="7" t="n">
        <v>12848</v>
      </c>
      <c r="S1386" s="8" t="n">
        <v>-1252</v>
      </c>
      <c r="T1386" s="8" t="n">
        <v>1362</v>
      </c>
      <c r="U1386" s="9" t="n">
        <v>1916</v>
      </c>
      <c r="V1386" s="10" t="n">
        <v>-5707</v>
      </c>
      <c r="W1386" s="10" t="n">
        <v>-1561</v>
      </c>
      <c r="X1386" s="7" t="n">
        <v>7567</v>
      </c>
      <c r="Y1386" s="8" t="n">
        <v>-2880</v>
      </c>
      <c r="Z1386" s="8" t="n">
        <v>-1724</v>
      </c>
      <c r="AA1386" s="9" t="n">
        <v>11411</v>
      </c>
      <c r="AB1386" s="10" t="n">
        <v>-2033</v>
      </c>
      <c r="AC1386" s="10" t="n">
        <v>-760</v>
      </c>
      <c r="AD1386" s="7" t="n">
        <v>45133</v>
      </c>
      <c r="AE1386" s="8" t="n">
        <v>10700</v>
      </c>
      <c r="AF1386" s="8" t="n">
        <v>13009</v>
      </c>
      <c r="AG1386" s="9" t="n">
        <v>9806</v>
      </c>
      <c r="AH1386" s="10" t="n">
        <v>-1966</v>
      </c>
      <c r="AI1386" s="10" t="n">
        <v>935</v>
      </c>
      <c r="AJ1386" s="11" t="n">
        <v>31469</v>
      </c>
      <c r="AK1386" s="12" t="n">
        <v>4135</v>
      </c>
      <c r="AL1386" s="12" t="n">
        <v>7587</v>
      </c>
      <c r="AM1386" s="13" t="n">
        <v>220.9</v>
      </c>
      <c r="AN1386" s="13" t="n">
        <v>315.9</v>
      </c>
      <c r="AO1386" s="13" t="n">
        <v>310.3</v>
      </c>
      <c r="AP1386" s="13" t="n">
        <v>243.6</v>
      </c>
    </row>
    <row r="1387">
      <c r="A1387" s="5" t="inlineStr">
        <is>
          <t>LF</t>
        </is>
      </c>
      <c r="B1387" s="6" t="inlineStr">
        <is>
          <t>093050</t>
        </is>
      </c>
      <c r="C1387" s="6" t="inlineStr">
        <is>
          <t>연결</t>
        </is>
      </c>
      <c r="D1387" s="6" t="inlineStr">
        <is>
          <t>2026Q2</t>
        </is>
      </c>
      <c r="E1387" s="6" t="inlineStr"/>
      <c r="F1387" s="7" t="inlineStr"/>
      <c r="G1387" s="8" t="inlineStr"/>
      <c r="H1387" s="8" t="inlineStr"/>
      <c r="I1387" s="9" t="n">
        <v>446637</v>
      </c>
      <c r="J1387" s="10" t="n">
        <v>24620</v>
      </c>
      <c r="K1387" s="10" t="n">
        <v>21008</v>
      </c>
      <c r="L1387" s="7" t="n">
        <v>469151</v>
      </c>
      <c r="M1387" s="8" t="n">
        <v>21659</v>
      </c>
      <c r="N1387" s="8" t="n">
        <v>19027</v>
      </c>
      <c r="O1387" s="9" t="n">
        <v>481026</v>
      </c>
      <c r="P1387" s="10" t="n">
        <v>53812</v>
      </c>
      <c r="Q1387" s="10" t="n">
        <v>38896</v>
      </c>
      <c r="R1387" s="7" t="n">
        <v>559454</v>
      </c>
      <c r="S1387" s="8" t="n">
        <v>26049</v>
      </c>
      <c r="T1387" s="8" t="n">
        <v>11672</v>
      </c>
      <c r="U1387" s="9" t="n">
        <v>430250</v>
      </c>
      <c r="V1387" s="10" t="n">
        <v>30099</v>
      </c>
      <c r="W1387" s="10" t="n">
        <v>22869</v>
      </c>
      <c r="X1387" s="7" t="n">
        <v>455746</v>
      </c>
      <c r="Y1387" s="8" t="n">
        <v>44257</v>
      </c>
      <c r="Z1387" s="8" t="n">
        <v>31039</v>
      </c>
      <c r="AA1387" s="9" t="n">
        <v>398645</v>
      </c>
      <c r="AB1387" s="10" t="n">
        <v>16131</v>
      </c>
      <c r="AC1387" s="10" t="n">
        <v>26496</v>
      </c>
      <c r="AD1387" s="7" t="n">
        <v>597789</v>
      </c>
      <c r="AE1387" s="8" t="n">
        <v>77624</v>
      </c>
      <c r="AF1387" s="8" t="n">
        <v>37123</v>
      </c>
      <c r="AG1387" s="9" t="n">
        <v>461914</v>
      </c>
      <c r="AH1387" s="10" t="n">
        <v>44404</v>
      </c>
      <c r="AI1387" s="10" t="n">
        <v>31633</v>
      </c>
      <c r="AJ1387" s="11" t="n">
        <v>465389</v>
      </c>
      <c r="AK1387" s="12" t="n">
        <v>44078</v>
      </c>
      <c r="AL1387" s="12" t="n">
        <v>35247</v>
      </c>
      <c r="AM1387" s="13" t="n">
        <v>0.8</v>
      </c>
      <c r="AN1387" s="13" t="n">
        <v>2.1</v>
      </c>
      <c r="AO1387" s="13" t="n">
        <v>-0.7</v>
      </c>
      <c r="AP1387" s="13" t="n">
        <v>-0.4</v>
      </c>
    </row>
    <row r="1388">
      <c r="A1388" s="5" t="inlineStr">
        <is>
          <t>빅솔론</t>
        </is>
      </c>
      <c r="B1388" s="6" t="inlineStr">
        <is>
          <t>093190</t>
        </is>
      </c>
      <c r="C1388" s="6" t="inlineStr">
        <is>
          <t>연결</t>
        </is>
      </c>
      <c r="D1388" s="6" t="inlineStr">
        <is>
          <t>2026Q2</t>
        </is>
      </c>
      <c r="E1388" s="6" t="inlineStr"/>
      <c r="F1388" s="7" t="inlineStr"/>
      <c r="G1388" s="8" t="inlineStr"/>
      <c r="H1388" s="8" t="inlineStr"/>
      <c r="I1388" s="9" t="n">
        <v>25342</v>
      </c>
      <c r="J1388" s="10" t="n">
        <v>863</v>
      </c>
      <c r="K1388" s="10" t="n">
        <v>1422</v>
      </c>
      <c r="L1388" s="7" t="n">
        <v>30317</v>
      </c>
      <c r="M1388" s="8" t="n">
        <v>3695</v>
      </c>
      <c r="N1388" s="8" t="n">
        <v>2469</v>
      </c>
      <c r="O1388" s="9" t="n">
        <v>28584</v>
      </c>
      <c r="P1388" s="10" t="n">
        <v>2299</v>
      </c>
      <c r="Q1388" s="10" t="n">
        <v>1658</v>
      </c>
      <c r="R1388" s="7" t="n">
        <v>29249</v>
      </c>
      <c r="S1388" s="8" t="n">
        <v>2568</v>
      </c>
      <c r="T1388" s="8" t="n">
        <v>7735</v>
      </c>
      <c r="U1388" s="9" t="n">
        <v>27679</v>
      </c>
      <c r="V1388" s="10" t="n">
        <v>1137</v>
      </c>
      <c r="W1388" s="10" t="n">
        <v>1659</v>
      </c>
      <c r="X1388" s="7" t="n">
        <v>28801</v>
      </c>
      <c r="Y1388" s="8" t="n">
        <v>2342</v>
      </c>
      <c r="Z1388" s="8" t="n">
        <v>2707</v>
      </c>
      <c r="AA1388" s="9" t="n">
        <v>30668</v>
      </c>
      <c r="AB1388" s="10" t="n">
        <v>2424</v>
      </c>
      <c r="AC1388" s="10" t="n">
        <v>4281</v>
      </c>
      <c r="AD1388" s="7" t="n">
        <v>46320</v>
      </c>
      <c r="AE1388" s="8" t="n">
        <v>10010</v>
      </c>
      <c r="AF1388" s="8" t="n">
        <v>9673</v>
      </c>
      <c r="AG1388" s="9" t="n">
        <v>37452</v>
      </c>
      <c r="AH1388" s="10" t="n">
        <v>5576</v>
      </c>
      <c r="AI1388" s="10" t="n">
        <v>6627</v>
      </c>
      <c r="AJ1388" s="11" t="n">
        <v>42691</v>
      </c>
      <c r="AK1388" s="12" t="n">
        <v>10295</v>
      </c>
      <c r="AL1388" s="12" t="n">
        <v>7888</v>
      </c>
      <c r="AM1388" s="13" t="n">
        <v>14</v>
      </c>
      <c r="AN1388" s="13" t="n">
        <v>48.2</v>
      </c>
      <c r="AO1388" s="13" t="n">
        <v>84.59999999999999</v>
      </c>
      <c r="AP1388" s="13" t="n">
        <v>339.6</v>
      </c>
    </row>
    <row r="1389">
      <c r="A1389" s="5" t="inlineStr">
        <is>
          <t>형지엘리트</t>
        </is>
      </c>
      <c r="B1389" s="6" t="inlineStr">
        <is>
          <t>093240</t>
        </is>
      </c>
      <c r="C1389" s="6" t="inlineStr">
        <is>
          <t>연결</t>
        </is>
      </c>
      <c r="D1389" s="6" t="inlineStr">
        <is>
          <t>2025Q4</t>
        </is>
      </c>
      <c r="E1389" s="6" t="inlineStr"/>
      <c r="F1389" s="7" t="inlineStr"/>
      <c r="G1389" s="8" t="inlineStr"/>
      <c r="H1389" s="8" t="inlineStr"/>
      <c r="I1389" s="9" t="n">
        <v>33331</v>
      </c>
      <c r="J1389" s="10" t="n">
        <v>1486</v>
      </c>
      <c r="K1389" s="10" t="n">
        <v>1164</v>
      </c>
      <c r="L1389" s="7" t="n">
        <v>40557</v>
      </c>
      <c r="M1389" s="8" t="n">
        <v>148</v>
      </c>
      <c r="N1389" s="8" t="n">
        <v>-697</v>
      </c>
      <c r="O1389" s="9" t="n">
        <v>38127</v>
      </c>
      <c r="P1389" s="10" t="n">
        <v>1693</v>
      </c>
      <c r="Q1389" s="10" t="n">
        <v>799</v>
      </c>
      <c r="R1389" s="7" t="n">
        <v>20733</v>
      </c>
      <c r="S1389" s="8" t="n">
        <v>3682</v>
      </c>
      <c r="T1389" s="8" t="n">
        <v>5104</v>
      </c>
      <c r="U1389" s="9" t="n">
        <v>44588</v>
      </c>
      <c r="V1389" s="10" t="n">
        <v>7462</v>
      </c>
      <c r="W1389" s="10" t="n">
        <v>6205</v>
      </c>
      <c r="X1389" s="7" t="n">
        <v>43486</v>
      </c>
      <c r="Y1389" s="8" t="n">
        <v>-178</v>
      </c>
      <c r="Z1389" s="8" t="n">
        <v>98</v>
      </c>
      <c r="AA1389" s="9" t="n">
        <v>35274</v>
      </c>
      <c r="AB1389" s="10" t="n">
        <v>-1387</v>
      </c>
      <c r="AC1389" s="10" t="n">
        <v>-2295</v>
      </c>
      <c r="AD1389" s="7" t="n">
        <v>43302</v>
      </c>
      <c r="AE1389" s="8" t="n">
        <v>744</v>
      </c>
      <c r="AF1389" s="8" t="n">
        <v>-5303</v>
      </c>
      <c r="AG1389" s="9" t="inlineStr"/>
      <c r="AH1389" s="10" t="inlineStr"/>
      <c r="AI1389" s="10" t="inlineStr"/>
      <c r="AJ1389" s="11" t="inlineStr"/>
      <c r="AK1389" s="12" t="inlineStr"/>
      <c r="AL1389" s="12" t="inlineStr"/>
      <c r="AM1389" s="13" t="inlineStr"/>
      <c r="AN1389" s="13" t="inlineStr"/>
      <c r="AO1389" s="13" t="inlineStr"/>
      <c r="AP1389" s="13" t="inlineStr"/>
    </row>
    <row r="1390">
      <c r="A1390" s="5" t="inlineStr">
        <is>
          <t>케이아이엔엑스</t>
        </is>
      </c>
      <c r="B1390" s="6" t="inlineStr">
        <is>
          <t>093320</t>
        </is>
      </c>
      <c r="C1390" s="6" t="inlineStr">
        <is>
          <t>연결</t>
        </is>
      </c>
      <c r="D1390" s="6" t="inlineStr">
        <is>
          <t>2026Q2</t>
        </is>
      </c>
      <c r="E1390" s="6" t="inlineStr">
        <is>
          <t>2023Q4</t>
        </is>
      </c>
      <c r="F1390" s="14" t="n">
        <v>31313</v>
      </c>
      <c r="G1390" s="15" t="n">
        <v>5468</v>
      </c>
      <c r="H1390" s="15" t="n">
        <v>5918</v>
      </c>
      <c r="I1390" s="9" t="n">
        <v>30679</v>
      </c>
      <c r="J1390" s="10" t="n">
        <v>5894</v>
      </c>
      <c r="K1390" s="10" t="n">
        <v>2246</v>
      </c>
      <c r="L1390" s="7" t="n">
        <v>31502</v>
      </c>
      <c r="M1390" s="8" t="n">
        <v>6235</v>
      </c>
      <c r="N1390" s="8" t="n">
        <v>4762</v>
      </c>
      <c r="O1390" s="9" t="n">
        <v>34741</v>
      </c>
      <c r="P1390" s="10" t="n">
        <v>5705</v>
      </c>
      <c r="Q1390" s="10" t="n">
        <v>4260</v>
      </c>
      <c r="R1390" s="7" t="n">
        <v>41981</v>
      </c>
      <c r="S1390" s="8" t="n">
        <v>5898</v>
      </c>
      <c r="T1390" s="8" t="n">
        <v>7071</v>
      </c>
      <c r="U1390" s="9" t="n">
        <v>39404</v>
      </c>
      <c r="V1390" s="10" t="n">
        <v>4938</v>
      </c>
      <c r="W1390" s="10" t="n">
        <v>3326</v>
      </c>
      <c r="X1390" s="7" t="n">
        <v>39156</v>
      </c>
      <c r="Y1390" s="8" t="n">
        <v>5834</v>
      </c>
      <c r="Z1390" s="8" t="n">
        <v>4050</v>
      </c>
      <c r="AA1390" s="9" t="n">
        <v>39470</v>
      </c>
      <c r="AB1390" s="10" t="n">
        <v>6204</v>
      </c>
      <c r="AC1390" s="10" t="n">
        <v>4838</v>
      </c>
      <c r="AD1390" s="7" t="n">
        <v>41214</v>
      </c>
      <c r="AE1390" s="8" t="n">
        <v>6907</v>
      </c>
      <c r="AF1390" s="8" t="n">
        <v>7365</v>
      </c>
      <c r="AG1390" s="9" t="n">
        <v>42530</v>
      </c>
      <c r="AH1390" s="10" t="n">
        <v>8866</v>
      </c>
      <c r="AI1390" s="10" t="n">
        <v>7725</v>
      </c>
      <c r="AJ1390" s="11" t="n">
        <v>42506</v>
      </c>
      <c r="AK1390" s="12" t="n">
        <v>8818</v>
      </c>
      <c r="AL1390" s="12" t="n">
        <v>6772</v>
      </c>
      <c r="AM1390" s="13" t="n">
        <v>-0.1</v>
      </c>
      <c r="AN1390" s="13" t="n">
        <v>8.6</v>
      </c>
      <c r="AO1390" s="13" t="n">
        <v>-0.5</v>
      </c>
      <c r="AP1390" s="13" t="n">
        <v>51.1</v>
      </c>
    </row>
    <row r="1391">
      <c r="A1391" s="5" t="inlineStr">
        <is>
          <t>후성</t>
        </is>
      </c>
      <c r="B1391" s="6" t="inlineStr">
        <is>
          <t>093370</t>
        </is>
      </c>
      <c r="C1391" s="6" t="inlineStr">
        <is>
          <t>연결</t>
        </is>
      </c>
      <c r="D1391" s="6" t="inlineStr">
        <is>
          <t>2026Q2</t>
        </is>
      </c>
      <c r="E1391" s="6" t="inlineStr"/>
      <c r="F1391" s="7" t="inlineStr"/>
      <c r="G1391" s="8" t="inlineStr"/>
      <c r="H1391" s="8" t="inlineStr"/>
      <c r="I1391" s="9" t="n">
        <v>108571</v>
      </c>
      <c r="J1391" s="10" t="n">
        <v>-9423</v>
      </c>
      <c r="K1391" s="10" t="n">
        <v>-9126</v>
      </c>
      <c r="L1391" s="7" t="n">
        <v>111928</v>
      </c>
      <c r="M1391" s="8" t="n">
        <v>4243</v>
      </c>
      <c r="N1391" s="8" t="n">
        <v>11026</v>
      </c>
      <c r="O1391" s="9" t="n">
        <v>106874</v>
      </c>
      <c r="P1391" s="10" t="n">
        <v>-1797</v>
      </c>
      <c r="Q1391" s="10" t="n">
        <v>-3545</v>
      </c>
      <c r="R1391" s="7" t="n">
        <v>110422</v>
      </c>
      <c r="S1391" s="8" t="n">
        <v>-2599</v>
      </c>
      <c r="T1391" s="8" t="n">
        <v>-81714</v>
      </c>
      <c r="U1391" s="9" t="n">
        <v>107117</v>
      </c>
      <c r="V1391" s="10" t="n">
        <v>-105</v>
      </c>
      <c r="W1391" s="10" t="n">
        <v>-1939</v>
      </c>
      <c r="X1391" s="7" t="n">
        <v>124206</v>
      </c>
      <c r="Y1391" s="8" t="n">
        <v>14768</v>
      </c>
      <c r="Z1391" s="8" t="n">
        <v>-18059</v>
      </c>
      <c r="AA1391" s="9" t="n">
        <v>120987</v>
      </c>
      <c r="AB1391" s="10" t="n">
        <v>5837</v>
      </c>
      <c r="AC1391" s="10" t="n">
        <v>14407</v>
      </c>
      <c r="AD1391" s="7" t="n">
        <v>119254</v>
      </c>
      <c r="AE1391" s="8" t="n">
        <v>4850</v>
      </c>
      <c r="AF1391" s="8" t="n">
        <v>12619</v>
      </c>
      <c r="AG1391" s="9" t="n">
        <v>141446</v>
      </c>
      <c r="AH1391" s="10" t="n">
        <v>9262</v>
      </c>
      <c r="AI1391" s="10" t="n">
        <v>-7241</v>
      </c>
      <c r="AJ1391" s="11" t="n">
        <v>188222</v>
      </c>
      <c r="AK1391" s="12" t="n">
        <v>23399</v>
      </c>
      <c r="AL1391" s="12" t="n">
        <v>24959</v>
      </c>
      <c r="AM1391" s="13" t="n">
        <v>33.1</v>
      </c>
      <c r="AN1391" s="13" t="n">
        <v>51.5</v>
      </c>
      <c r="AO1391" s="13" t="n">
        <v>152.6</v>
      </c>
      <c r="AP1391" s="13" t="n">
        <v>58.4</v>
      </c>
    </row>
    <row r="1392">
      <c r="A1392" s="5" t="inlineStr">
        <is>
          <t>풍강</t>
        </is>
      </c>
      <c r="B1392" s="6" t="inlineStr">
        <is>
          <t>093380</t>
        </is>
      </c>
      <c r="C1392" s="6" t="inlineStr">
        <is>
          <t>연결</t>
        </is>
      </c>
      <c r="D1392" s="6" t="inlineStr">
        <is>
          <t>2026Q2</t>
        </is>
      </c>
      <c r="E1392" s="6" t="inlineStr"/>
      <c r="F1392" s="7" t="inlineStr"/>
      <c r="G1392" s="8" t="inlineStr"/>
      <c r="H1392" s="8" t="inlineStr"/>
      <c r="I1392" s="9" t="n">
        <v>22483</v>
      </c>
      <c r="J1392" s="10" t="n">
        <v>-350</v>
      </c>
      <c r="K1392" s="10" t="n">
        <v>-194</v>
      </c>
      <c r="L1392" s="7" t="n">
        <v>22976</v>
      </c>
      <c r="M1392" s="8" t="n">
        <v>-196</v>
      </c>
      <c r="N1392" s="8" t="n">
        <v>1</v>
      </c>
      <c r="O1392" s="9" t="n">
        <v>24574</v>
      </c>
      <c r="P1392" s="10" t="n">
        <v>1190</v>
      </c>
      <c r="Q1392" s="10" t="n">
        <v>1311</v>
      </c>
      <c r="R1392" s="7" t="n">
        <v>22995</v>
      </c>
      <c r="S1392" s="8" t="n">
        <v>505</v>
      </c>
      <c r="T1392" s="8" t="n">
        <v>-2026</v>
      </c>
      <c r="U1392" s="9" t="n">
        <v>21023</v>
      </c>
      <c r="V1392" s="10" t="n">
        <v>277</v>
      </c>
      <c r="W1392" s="10" t="n">
        <v>1169</v>
      </c>
      <c r="X1392" s="7" t="n">
        <v>21950</v>
      </c>
      <c r="Y1392" s="8" t="n">
        <v>-258</v>
      </c>
      <c r="Z1392" s="8" t="n">
        <v>83</v>
      </c>
      <c r="AA1392" s="9" t="n">
        <v>23422</v>
      </c>
      <c r="AB1392" s="10" t="n">
        <v>862</v>
      </c>
      <c r="AC1392" s="10" t="n">
        <v>1017</v>
      </c>
      <c r="AD1392" s="7" t="n">
        <v>23878</v>
      </c>
      <c r="AE1392" s="8" t="n">
        <v>-153</v>
      </c>
      <c r="AF1392" s="8" t="n">
        <v>-1494</v>
      </c>
      <c r="AG1392" s="9" t="inlineStr"/>
      <c r="AH1392" s="10" t="inlineStr"/>
      <c r="AI1392" s="10" t="inlineStr"/>
      <c r="AJ1392" s="11" t="n">
        <v>22135</v>
      </c>
      <c r="AK1392" s="12" t="n">
        <v>1828</v>
      </c>
      <c r="AL1392" s="12" t="n">
        <v>2256</v>
      </c>
      <c r="AM1392" s="13" t="inlineStr"/>
      <c r="AN1392" s="13" t="n">
        <v>0.8</v>
      </c>
      <c r="AO1392" s="13" t="inlineStr"/>
      <c r="AP1392" s="13" t="n">
        <v>808.5</v>
      </c>
    </row>
    <row r="1393">
      <c r="A1393" s="5" t="inlineStr">
        <is>
          <t>매커스</t>
        </is>
      </c>
      <c r="B1393" s="6" t="inlineStr">
        <is>
          <t>093520</t>
        </is>
      </c>
      <c r="C1393" s="6" t="inlineStr">
        <is>
          <t>연결</t>
        </is>
      </c>
      <c r="D1393" s="6" t="inlineStr">
        <is>
          <t>2026Q2</t>
        </is>
      </c>
      <c r="E1393" s="6" t="inlineStr"/>
      <c r="F1393" s="7" t="inlineStr"/>
      <c r="G1393" s="8" t="inlineStr"/>
      <c r="H1393" s="8" t="inlineStr"/>
      <c r="I1393" s="9" t="n">
        <v>39022</v>
      </c>
      <c r="J1393" s="10" t="n">
        <v>5639</v>
      </c>
      <c r="K1393" s="10" t="n">
        <v>4522</v>
      </c>
      <c r="L1393" s="7" t="n">
        <v>41666</v>
      </c>
      <c r="M1393" s="8" t="n">
        <v>5472</v>
      </c>
      <c r="N1393" s="8" t="n">
        <v>4172</v>
      </c>
      <c r="O1393" s="9" t="n">
        <v>41920</v>
      </c>
      <c r="P1393" s="10" t="n">
        <v>5585</v>
      </c>
      <c r="Q1393" s="10" t="n">
        <v>3615</v>
      </c>
      <c r="R1393" s="7" t="n">
        <v>76971</v>
      </c>
      <c r="S1393" s="8" t="n">
        <v>10192</v>
      </c>
      <c r="T1393" s="8" t="n">
        <v>7931</v>
      </c>
      <c r="U1393" s="9" t="n">
        <v>66235</v>
      </c>
      <c r="V1393" s="10" t="n">
        <v>9678</v>
      </c>
      <c r="W1393" s="10" t="n">
        <v>7635</v>
      </c>
      <c r="X1393" s="7" t="n">
        <v>65684</v>
      </c>
      <c r="Y1393" s="8" t="n">
        <v>9329</v>
      </c>
      <c r="Z1393" s="8" t="n">
        <v>7679</v>
      </c>
      <c r="AA1393" s="9" t="n">
        <v>49326</v>
      </c>
      <c r="AB1393" s="10" t="n">
        <v>3853</v>
      </c>
      <c r="AC1393" s="10" t="n">
        <v>2920</v>
      </c>
      <c r="AD1393" s="7" t="n">
        <v>45997</v>
      </c>
      <c r="AE1393" s="8" t="n">
        <v>6235</v>
      </c>
      <c r="AF1393" s="8" t="n">
        <v>4882</v>
      </c>
      <c r="AG1393" s="9" t="n">
        <v>55269</v>
      </c>
      <c r="AH1393" s="10" t="n">
        <v>9086</v>
      </c>
      <c r="AI1393" s="10" t="n">
        <v>7257</v>
      </c>
      <c r="AJ1393" s="11" t="n">
        <v>66836</v>
      </c>
      <c r="AK1393" s="12" t="n">
        <v>13035</v>
      </c>
      <c r="AL1393" s="12" t="n">
        <v>14186</v>
      </c>
      <c r="AM1393" s="13" t="n">
        <v>20.9</v>
      </c>
      <c r="AN1393" s="13" t="n">
        <v>1.8</v>
      </c>
      <c r="AO1393" s="13" t="n">
        <v>43.5</v>
      </c>
      <c r="AP1393" s="13" t="n">
        <v>39.7</v>
      </c>
    </row>
    <row r="1394">
      <c r="A1394" s="5" t="inlineStr">
        <is>
          <t>케이알엠</t>
        </is>
      </c>
      <c r="B1394" s="6" t="inlineStr">
        <is>
          <t>093640</t>
        </is>
      </c>
      <c r="C1394" s="6" t="inlineStr">
        <is>
          <t>연결</t>
        </is>
      </c>
      <c r="D1394" s="6" t="inlineStr">
        <is>
          <t>2026Q2</t>
        </is>
      </c>
      <c r="E1394" s="6" t="inlineStr"/>
      <c r="F1394" s="7" t="inlineStr"/>
      <c r="G1394" s="8" t="inlineStr"/>
      <c r="H1394" s="8" t="inlineStr"/>
      <c r="I1394" s="9" t="n">
        <v>3091</v>
      </c>
      <c r="J1394" s="10" t="n">
        <v>-3701</v>
      </c>
      <c r="K1394" s="10" t="n">
        <v>-5999</v>
      </c>
      <c r="L1394" s="7" t="n">
        <v>3152</v>
      </c>
      <c r="M1394" s="8" t="n">
        <v>-2272</v>
      </c>
      <c r="N1394" s="8" t="n">
        <v>-5443</v>
      </c>
      <c r="O1394" s="9" t="n">
        <v>2275</v>
      </c>
      <c r="P1394" s="10" t="n">
        <v>-2691</v>
      </c>
      <c r="Q1394" s="10" t="n">
        <v>-5232</v>
      </c>
      <c r="R1394" s="7" t="n">
        <v>2679</v>
      </c>
      <c r="S1394" s="8" t="n">
        <v>-1213</v>
      </c>
      <c r="T1394" s="8" t="n">
        <v>-9201</v>
      </c>
      <c r="U1394" s="9" t="n">
        <v>2207</v>
      </c>
      <c r="V1394" s="10" t="n">
        <v>-2560</v>
      </c>
      <c r="W1394" s="10" t="n">
        <v>-2351</v>
      </c>
      <c r="X1394" s="7" t="n">
        <v>2101</v>
      </c>
      <c r="Y1394" s="8" t="n">
        <v>-2928</v>
      </c>
      <c r="Z1394" s="8" t="n">
        <v>-2610</v>
      </c>
      <c r="AA1394" s="9" t="n">
        <v>2002</v>
      </c>
      <c r="AB1394" s="10" t="n">
        <v>-2766</v>
      </c>
      <c r="AC1394" s="10" t="n">
        <v>-2582</v>
      </c>
      <c r="AD1394" s="7" t="n">
        <v>2724</v>
      </c>
      <c r="AE1394" s="8" t="n">
        <v>-1959</v>
      </c>
      <c r="AF1394" s="8" t="n">
        <v>-6517</v>
      </c>
      <c r="AG1394" s="9" t="n">
        <v>1557</v>
      </c>
      <c r="AH1394" s="10" t="n">
        <v>-1781</v>
      </c>
      <c r="AI1394" s="10" t="n">
        <v>-1584</v>
      </c>
      <c r="AJ1394" s="11" t="n">
        <v>1593</v>
      </c>
      <c r="AK1394" s="12" t="n">
        <v>-2367</v>
      </c>
      <c r="AL1394" s="12" t="n">
        <v>-1752</v>
      </c>
      <c r="AM1394" s="13" t="n">
        <v>2.3</v>
      </c>
      <c r="AN1394" s="13" t="n">
        <v>-24.2</v>
      </c>
      <c r="AO1394" s="13" t="n">
        <v>-32.9</v>
      </c>
      <c r="AP1394" s="13" t="n">
        <v>19.2</v>
      </c>
    </row>
    <row r="1395">
      <c r="A1395" s="5" t="inlineStr">
        <is>
          <t>서원인텍</t>
        </is>
      </c>
      <c r="B1395" s="6" t="inlineStr">
        <is>
          <t>093920</t>
        </is>
      </c>
      <c r="C1395" s="6" t="inlineStr">
        <is>
          <t>연결</t>
        </is>
      </c>
      <c r="D1395" s="6" t="inlineStr">
        <is>
          <t>2026Q2</t>
        </is>
      </c>
      <c r="E1395" s="6" t="inlineStr"/>
      <c r="F1395" s="7" t="inlineStr"/>
      <c r="G1395" s="8" t="inlineStr"/>
      <c r="H1395" s="8" t="inlineStr"/>
      <c r="I1395" s="9" t="n">
        <v>60257</v>
      </c>
      <c r="J1395" s="10" t="n">
        <v>1870</v>
      </c>
      <c r="K1395" s="10" t="n">
        <v>3980</v>
      </c>
      <c r="L1395" s="7" t="n">
        <v>57743</v>
      </c>
      <c r="M1395" s="8" t="n">
        <v>3263</v>
      </c>
      <c r="N1395" s="8" t="n">
        <v>4777</v>
      </c>
      <c r="O1395" s="9" t="n">
        <v>63506</v>
      </c>
      <c r="P1395" s="10" t="n">
        <v>1379</v>
      </c>
      <c r="Q1395" s="10" t="n">
        <v>1205</v>
      </c>
      <c r="R1395" s="7" t="n">
        <v>47769</v>
      </c>
      <c r="S1395" s="8" t="n">
        <v>2344</v>
      </c>
      <c r="T1395" s="8" t="n">
        <v>7674</v>
      </c>
      <c r="U1395" s="9" t="n">
        <v>54789</v>
      </c>
      <c r="V1395" s="10" t="n">
        <v>1245</v>
      </c>
      <c r="W1395" s="10" t="n">
        <v>2182</v>
      </c>
      <c r="X1395" s="7" t="n">
        <v>51970</v>
      </c>
      <c r="Y1395" s="8" t="n">
        <v>3602</v>
      </c>
      <c r="Z1395" s="8" t="n">
        <v>379</v>
      </c>
      <c r="AA1395" s="9" t="n">
        <v>50739</v>
      </c>
      <c r="AB1395" s="10" t="n">
        <v>1363</v>
      </c>
      <c r="AC1395" s="10" t="n">
        <v>3578</v>
      </c>
      <c r="AD1395" s="7" t="n">
        <v>37406</v>
      </c>
      <c r="AE1395" s="8" t="n">
        <v>-2777</v>
      </c>
      <c r="AF1395" s="8" t="n">
        <v>-608</v>
      </c>
      <c r="AG1395" s="9" t="n">
        <v>36539</v>
      </c>
      <c r="AH1395" s="10" t="n">
        <v>1011</v>
      </c>
      <c r="AI1395" s="10" t="n">
        <v>3179</v>
      </c>
      <c r="AJ1395" s="11" t="n">
        <v>43656</v>
      </c>
      <c r="AK1395" s="12" t="n">
        <v>1246</v>
      </c>
      <c r="AL1395" s="12" t="n">
        <v>2533</v>
      </c>
      <c r="AM1395" s="13" t="n">
        <v>19.5</v>
      </c>
      <c r="AN1395" s="13" t="n">
        <v>-16</v>
      </c>
      <c r="AO1395" s="13" t="n">
        <v>23.2</v>
      </c>
      <c r="AP1395" s="13" t="n">
        <v>-65.40000000000001</v>
      </c>
    </row>
    <row r="1396">
      <c r="A1396" s="5" t="inlineStr">
        <is>
          <t>동운아나텍</t>
        </is>
      </c>
      <c r="B1396" s="6" t="inlineStr">
        <is>
          <t>094170</t>
        </is>
      </c>
      <c r="C1396" s="6" t="inlineStr">
        <is>
          <t>별도</t>
        </is>
      </c>
      <c r="D1396" s="6" t="inlineStr">
        <is>
          <t>2026Q2</t>
        </is>
      </c>
      <c r="E1396" s="6" t="inlineStr"/>
      <c r="F1396" s="7" t="inlineStr"/>
      <c r="G1396" s="8" t="inlineStr"/>
      <c r="H1396" s="8" t="inlineStr"/>
      <c r="I1396" s="9" t="n">
        <v>34070</v>
      </c>
      <c r="J1396" s="10" t="n">
        <v>5209</v>
      </c>
      <c r="K1396" s="10" t="n">
        <v>7567</v>
      </c>
      <c r="L1396" s="7" t="n">
        <v>36912</v>
      </c>
      <c r="M1396" s="8" t="n">
        <v>5139</v>
      </c>
      <c r="N1396" s="8" t="n">
        <v>4508</v>
      </c>
      <c r="O1396" s="9" t="n">
        <v>36366</v>
      </c>
      <c r="P1396" s="10" t="n">
        <v>6558</v>
      </c>
      <c r="Q1396" s="10" t="n">
        <v>4778</v>
      </c>
      <c r="R1396" s="7" t="n">
        <v>30913</v>
      </c>
      <c r="S1396" s="8" t="n">
        <v>562</v>
      </c>
      <c r="T1396" s="8" t="n">
        <v>7885</v>
      </c>
      <c r="U1396" s="9" t="n">
        <v>30097</v>
      </c>
      <c r="V1396" s="10" t="n">
        <v>-701</v>
      </c>
      <c r="W1396" s="10" t="n">
        <v>-3629</v>
      </c>
      <c r="X1396" s="7" t="n">
        <v>30122</v>
      </c>
      <c r="Y1396" s="8" t="n">
        <v>3108</v>
      </c>
      <c r="Z1396" s="8" t="n">
        <v>33</v>
      </c>
      <c r="AA1396" s="9" t="n">
        <v>30663</v>
      </c>
      <c r="AB1396" s="10" t="n">
        <v>71</v>
      </c>
      <c r="AC1396" s="10" t="n">
        <v>1468</v>
      </c>
      <c r="AD1396" s="7" t="n">
        <v>36749</v>
      </c>
      <c r="AE1396" s="8" t="n">
        <v>-59</v>
      </c>
      <c r="AF1396" s="8" t="n">
        <v>3149</v>
      </c>
      <c r="AG1396" s="9" t="n">
        <v>30821</v>
      </c>
      <c r="AH1396" s="10" t="n">
        <v>-1850</v>
      </c>
      <c r="AI1396" s="10" t="n">
        <v>1016</v>
      </c>
      <c r="AJ1396" s="11" t="n">
        <v>26114</v>
      </c>
      <c r="AK1396" s="12" t="n">
        <v>-5070</v>
      </c>
      <c r="AL1396" s="12" t="n">
        <v>19335</v>
      </c>
      <c r="AM1396" s="13" t="n">
        <v>-15.3</v>
      </c>
      <c r="AN1396" s="13" t="n">
        <v>-13.3</v>
      </c>
      <c r="AO1396" s="13" t="n">
        <v>-174.1</v>
      </c>
      <c r="AP1396" s="13" t="n">
        <v>-263.1</v>
      </c>
    </row>
    <row r="1397">
      <c r="A1397" s="5" t="inlineStr">
        <is>
          <t>효성 ITX</t>
        </is>
      </c>
      <c r="B1397" s="6" t="inlineStr">
        <is>
          <t>094280</t>
        </is>
      </c>
      <c r="C1397" s="6" t="inlineStr">
        <is>
          <t>연결</t>
        </is>
      </c>
      <c r="D1397" s="6" t="inlineStr">
        <is>
          <t>2026Q2</t>
        </is>
      </c>
      <c r="E1397" s="6" t="inlineStr">
        <is>
          <t>2023Q4</t>
        </is>
      </c>
      <c r="F1397" s="14" t="n">
        <v>134270</v>
      </c>
      <c r="G1397" s="15" t="n">
        <v>4901</v>
      </c>
      <c r="H1397" s="15" t="n">
        <v>3974</v>
      </c>
      <c r="I1397" s="9" t="n">
        <v>126703</v>
      </c>
      <c r="J1397" s="10" t="n">
        <v>4559</v>
      </c>
      <c r="K1397" s="10" t="n">
        <v>3419</v>
      </c>
      <c r="L1397" s="7" t="n">
        <v>120273</v>
      </c>
      <c r="M1397" s="8" t="n">
        <v>4429</v>
      </c>
      <c r="N1397" s="8" t="n">
        <v>3099</v>
      </c>
      <c r="O1397" s="9" t="n">
        <v>121706</v>
      </c>
      <c r="P1397" s="10" t="n">
        <v>3954</v>
      </c>
      <c r="Q1397" s="10" t="n">
        <v>2321</v>
      </c>
      <c r="R1397" s="7" t="n">
        <v>137672</v>
      </c>
      <c r="S1397" s="8" t="n">
        <v>5808</v>
      </c>
      <c r="T1397" s="8" t="n">
        <v>2929</v>
      </c>
      <c r="U1397" s="9" t="n">
        <v>122076</v>
      </c>
      <c r="V1397" s="10" t="n">
        <v>3710</v>
      </c>
      <c r="W1397" s="10" t="n">
        <v>3223</v>
      </c>
      <c r="X1397" s="7" t="n">
        <v>127065</v>
      </c>
      <c r="Y1397" s="8" t="n">
        <v>4397</v>
      </c>
      <c r="Z1397" s="8" t="n">
        <v>3539</v>
      </c>
      <c r="AA1397" s="9" t="n">
        <v>124189</v>
      </c>
      <c r="AB1397" s="10" t="n">
        <v>4296</v>
      </c>
      <c r="AC1397" s="10" t="n">
        <v>2900</v>
      </c>
      <c r="AD1397" s="7" t="n">
        <v>145684</v>
      </c>
      <c r="AE1397" s="8" t="n">
        <v>6556</v>
      </c>
      <c r="AF1397" s="8" t="n">
        <v>5791</v>
      </c>
      <c r="AG1397" s="9" t="n">
        <v>130289</v>
      </c>
      <c r="AH1397" s="10" t="n">
        <v>3366</v>
      </c>
      <c r="AI1397" s="10" t="n">
        <v>2528</v>
      </c>
      <c r="AJ1397" s="11" t="n">
        <v>133994</v>
      </c>
      <c r="AK1397" s="12" t="n">
        <v>3471</v>
      </c>
      <c r="AL1397" s="12" t="n">
        <v>3055</v>
      </c>
      <c r="AM1397" s="13" t="n">
        <v>2.8</v>
      </c>
      <c r="AN1397" s="13" t="n">
        <v>5.5</v>
      </c>
      <c r="AO1397" s="13" t="n">
        <v>3.1</v>
      </c>
      <c r="AP1397" s="13" t="n">
        <v>-21.1</v>
      </c>
    </row>
    <row r="1398">
      <c r="A1398" s="5" t="inlineStr">
        <is>
          <t>칩스앤미디어</t>
        </is>
      </c>
      <c r="B1398" s="6" t="inlineStr">
        <is>
          <t>094360</t>
        </is>
      </c>
      <c r="C1398" s="6" t="inlineStr">
        <is>
          <t>연결</t>
        </is>
      </c>
      <c r="D1398" s="6" t="inlineStr">
        <is>
          <t>2026Q2</t>
        </is>
      </c>
      <c r="E1398" s="6" t="inlineStr">
        <is>
          <t>2023Q4</t>
        </is>
      </c>
      <c r="F1398" s="14" t="n">
        <v>7395</v>
      </c>
      <c r="G1398" s="15" t="n">
        <v>2317</v>
      </c>
      <c r="H1398" s="15" t="n">
        <v>-21357</v>
      </c>
      <c r="I1398" s="9" t="n">
        <v>4909</v>
      </c>
      <c r="J1398" s="10" t="n">
        <v>9</v>
      </c>
      <c r="K1398" s="10" t="n">
        <v>793</v>
      </c>
      <c r="L1398" s="7" t="n">
        <v>6050</v>
      </c>
      <c r="M1398" s="8" t="n">
        <v>629</v>
      </c>
      <c r="N1398" s="8" t="n">
        <v>1246</v>
      </c>
      <c r="O1398" s="9" t="n">
        <v>7030</v>
      </c>
      <c r="P1398" s="10" t="n">
        <v>1725</v>
      </c>
      <c r="Q1398" s="10" t="n">
        <v>1682</v>
      </c>
      <c r="R1398" s="7" t="n">
        <v>9086</v>
      </c>
      <c r="S1398" s="8" t="n">
        <v>2918</v>
      </c>
      <c r="T1398" s="8" t="n">
        <v>6288</v>
      </c>
      <c r="U1398" s="9" t="n">
        <v>5370</v>
      </c>
      <c r="V1398" s="10" t="n">
        <v>203</v>
      </c>
      <c r="W1398" s="10" t="n">
        <v>-686</v>
      </c>
      <c r="X1398" s="7" t="n">
        <v>6613</v>
      </c>
      <c r="Y1398" s="8" t="n">
        <v>1376</v>
      </c>
      <c r="Z1398" s="8" t="n">
        <v>802</v>
      </c>
      <c r="AA1398" s="9" t="n">
        <v>6617</v>
      </c>
      <c r="AB1398" s="10" t="n">
        <v>1525</v>
      </c>
      <c r="AC1398" s="10" t="n">
        <v>2179</v>
      </c>
      <c r="AD1398" s="14" t="n">
        <v>9867</v>
      </c>
      <c r="AE1398" s="8" t="n">
        <v>3860</v>
      </c>
      <c r="AF1398" s="8" t="n">
        <v>3628</v>
      </c>
      <c r="AG1398" s="14" t="n">
        <v>5780</v>
      </c>
      <c r="AH1398" s="10" t="n">
        <v>181</v>
      </c>
      <c r="AI1398" s="10" t="n">
        <v>1294</v>
      </c>
      <c r="AJ1398" s="14" t="n">
        <v>7092</v>
      </c>
      <c r="AK1398" s="12" t="n">
        <v>1127</v>
      </c>
      <c r="AL1398" s="12" t="n">
        <v>2177</v>
      </c>
      <c r="AM1398" s="13" t="n">
        <v>22.7</v>
      </c>
      <c r="AN1398" s="13" t="n">
        <v>7.2</v>
      </c>
      <c r="AO1398" s="13" t="n">
        <v>522.7</v>
      </c>
      <c r="AP1398" s="13" t="n">
        <v>-18.1</v>
      </c>
    </row>
    <row r="1399">
      <c r="A1399" s="5" t="inlineStr">
        <is>
          <t>갤럭시아머니트리</t>
        </is>
      </c>
      <c r="B1399" s="6" t="inlineStr">
        <is>
          <t>094480</t>
        </is>
      </c>
      <c r="C1399" s="6" t="inlineStr">
        <is>
          <t>연결</t>
        </is>
      </c>
      <c r="D1399" s="6" t="inlineStr">
        <is>
          <t>2026Q2</t>
        </is>
      </c>
      <c r="E1399" s="6" t="inlineStr"/>
      <c r="F1399" s="7" t="inlineStr"/>
      <c r="G1399" s="8" t="inlineStr"/>
      <c r="H1399" s="8" t="inlineStr"/>
      <c r="I1399" s="9" t="n">
        <v>34296</v>
      </c>
      <c r="J1399" s="10" t="n">
        <v>2810</v>
      </c>
      <c r="K1399" s="10" t="n">
        <v>878</v>
      </c>
      <c r="L1399" s="7" t="n">
        <v>32634</v>
      </c>
      <c r="M1399" s="8" t="n">
        <v>3773</v>
      </c>
      <c r="N1399" s="8" t="n">
        <v>1526</v>
      </c>
      <c r="O1399" s="9" t="n">
        <v>31236</v>
      </c>
      <c r="P1399" s="10" t="n">
        <v>3173</v>
      </c>
      <c r="Q1399" s="10" t="n">
        <v>1953</v>
      </c>
      <c r="R1399" s="7" t="n">
        <v>30606</v>
      </c>
      <c r="S1399" s="8" t="n">
        <v>3465</v>
      </c>
      <c r="T1399" s="8" t="n">
        <v>-3800</v>
      </c>
      <c r="U1399" s="9" t="n">
        <v>31237</v>
      </c>
      <c r="V1399" s="10" t="n">
        <v>4570</v>
      </c>
      <c r="W1399" s="10" t="n">
        <v>2161</v>
      </c>
      <c r="X1399" s="7" t="n">
        <v>32348</v>
      </c>
      <c r="Y1399" s="8" t="n">
        <v>4967</v>
      </c>
      <c r="Z1399" s="8" t="n">
        <v>3364</v>
      </c>
      <c r="AA1399" s="9" t="n">
        <v>32864</v>
      </c>
      <c r="AB1399" s="10" t="n">
        <v>4806</v>
      </c>
      <c r="AC1399" s="10" t="n">
        <v>2561</v>
      </c>
      <c r="AD1399" s="7" t="n">
        <v>33251</v>
      </c>
      <c r="AE1399" s="8" t="n">
        <v>4051</v>
      </c>
      <c r="AF1399" s="8" t="n">
        <v>112</v>
      </c>
      <c r="AG1399" s="9" t="n">
        <v>35134</v>
      </c>
      <c r="AH1399" s="10" t="n">
        <v>4629</v>
      </c>
      <c r="AI1399" s="10" t="n">
        <v>2274</v>
      </c>
      <c r="AJ1399" s="11" t="n">
        <v>35926</v>
      </c>
      <c r="AK1399" s="12" t="n">
        <v>5601</v>
      </c>
      <c r="AL1399" s="12" t="n">
        <v>3612</v>
      </c>
      <c r="AM1399" s="13" t="n">
        <v>2.3</v>
      </c>
      <c r="AN1399" s="13" t="n">
        <v>11.1</v>
      </c>
      <c r="AO1399" s="13" t="n">
        <v>21</v>
      </c>
      <c r="AP1399" s="13" t="n">
        <v>12.8</v>
      </c>
    </row>
    <row r="1400">
      <c r="A1400" s="5" t="inlineStr">
        <is>
          <t>일진파워</t>
        </is>
      </c>
      <c r="B1400" s="6" t="inlineStr">
        <is>
          <t>094820</t>
        </is>
      </c>
      <c r="C1400" s="6" t="inlineStr">
        <is>
          <t>연결</t>
        </is>
      </c>
      <c r="D1400" s="6" t="inlineStr">
        <is>
          <t>2026Q2</t>
        </is>
      </c>
      <c r="E1400" s="6" t="inlineStr"/>
      <c r="F1400" s="7" t="inlineStr"/>
      <c r="G1400" s="8" t="inlineStr"/>
      <c r="H1400" s="8" t="inlineStr"/>
      <c r="I1400" s="9" t="n">
        <v>43152</v>
      </c>
      <c r="J1400" s="10" t="n">
        <v>2971</v>
      </c>
      <c r="K1400" s="10" t="n">
        <v>9590</v>
      </c>
      <c r="L1400" s="7" t="n">
        <v>67560</v>
      </c>
      <c r="M1400" s="8" t="n">
        <v>4926</v>
      </c>
      <c r="N1400" s="8" t="n">
        <v>1419</v>
      </c>
      <c r="O1400" s="9" t="n">
        <v>37174</v>
      </c>
      <c r="P1400" s="10" t="n">
        <v>615</v>
      </c>
      <c r="Q1400" s="10" t="n">
        <v>957</v>
      </c>
      <c r="R1400" s="7" t="n">
        <v>45202</v>
      </c>
      <c r="S1400" s="8" t="n">
        <v>1761</v>
      </c>
      <c r="T1400" s="8" t="n">
        <v>-2073</v>
      </c>
      <c r="U1400" s="9" t="n">
        <v>41053</v>
      </c>
      <c r="V1400" s="10" t="n">
        <v>2294</v>
      </c>
      <c r="W1400" s="10" t="n">
        <v>660</v>
      </c>
      <c r="X1400" s="7" t="n">
        <v>75796</v>
      </c>
      <c r="Y1400" s="8" t="n">
        <v>6291</v>
      </c>
      <c r="Z1400" s="8" t="n">
        <v>5596</v>
      </c>
      <c r="AA1400" s="9" t="n">
        <v>64729</v>
      </c>
      <c r="AB1400" s="10" t="n">
        <v>7428</v>
      </c>
      <c r="AC1400" s="10" t="n">
        <v>5757</v>
      </c>
      <c r="AD1400" s="7" t="n">
        <v>70407</v>
      </c>
      <c r="AE1400" s="8" t="n">
        <v>8108</v>
      </c>
      <c r="AF1400" s="8" t="n">
        <v>7541</v>
      </c>
      <c r="AG1400" s="9" t="n">
        <v>63778</v>
      </c>
      <c r="AH1400" s="10" t="n">
        <v>7000</v>
      </c>
      <c r="AI1400" s="10" t="n">
        <v>6601</v>
      </c>
      <c r="AJ1400" s="11" t="n">
        <v>86381</v>
      </c>
      <c r="AK1400" s="12" t="n">
        <v>5603</v>
      </c>
      <c r="AL1400" s="12" t="n">
        <v>3896</v>
      </c>
      <c r="AM1400" s="13" t="n">
        <v>35.4</v>
      </c>
      <c r="AN1400" s="13" t="n">
        <v>14</v>
      </c>
      <c r="AO1400" s="13" t="n">
        <v>-20</v>
      </c>
      <c r="AP1400" s="13" t="n">
        <v>-10.9</v>
      </c>
    </row>
    <row r="1401">
      <c r="A1401" s="5" t="inlineStr">
        <is>
          <t>슈프리마에이치큐</t>
        </is>
      </c>
      <c r="B1401" s="6" t="inlineStr">
        <is>
          <t>094840</t>
        </is>
      </c>
      <c r="C1401" s="6" t="inlineStr">
        <is>
          <t>연결</t>
        </is>
      </c>
      <c r="D1401" s="6" t="inlineStr">
        <is>
          <t>2026Q2</t>
        </is>
      </c>
      <c r="E1401" s="6" t="inlineStr"/>
      <c r="F1401" s="7" t="inlineStr"/>
      <c r="G1401" s="8" t="inlineStr"/>
      <c r="H1401" s="8" t="inlineStr"/>
      <c r="I1401" s="9" t="n">
        <v>4926</v>
      </c>
      <c r="J1401" s="10" t="n">
        <v>814</v>
      </c>
      <c r="K1401" s="10" t="n">
        <v>1614</v>
      </c>
      <c r="L1401" s="7" t="n">
        <v>4738</v>
      </c>
      <c r="M1401" s="8" t="n">
        <v>706</v>
      </c>
      <c r="N1401" s="8" t="n">
        <v>4001</v>
      </c>
      <c r="O1401" s="9" t="n">
        <v>5053</v>
      </c>
      <c r="P1401" s="10" t="n">
        <v>496</v>
      </c>
      <c r="Q1401" s="10" t="n">
        <v>2416</v>
      </c>
      <c r="R1401" s="7" t="n">
        <v>5385</v>
      </c>
      <c r="S1401" s="8" t="n">
        <v>448</v>
      </c>
      <c r="T1401" s="8" t="n">
        <v>7183</v>
      </c>
      <c r="U1401" s="9" t="n">
        <v>5869</v>
      </c>
      <c r="V1401" s="10" t="n">
        <v>1286</v>
      </c>
      <c r="W1401" s="10" t="n">
        <v>4838</v>
      </c>
      <c r="X1401" s="7" t="n">
        <v>5299</v>
      </c>
      <c r="Y1401" s="8" t="n">
        <v>831</v>
      </c>
      <c r="Z1401" s="8" t="n">
        <v>357</v>
      </c>
      <c r="AA1401" s="9" t="n">
        <v>4641</v>
      </c>
      <c r="AB1401" s="10" t="n">
        <v>692</v>
      </c>
      <c r="AC1401" s="10" t="n">
        <v>5290</v>
      </c>
      <c r="AD1401" s="7" t="n">
        <v>5414</v>
      </c>
      <c r="AE1401" s="8" t="n">
        <v>1050</v>
      </c>
      <c r="AF1401" s="8" t="n">
        <v>2902</v>
      </c>
      <c r="AG1401" s="9" t="n">
        <v>7331</v>
      </c>
      <c r="AH1401" s="10" t="n">
        <v>991</v>
      </c>
      <c r="AI1401" s="10" t="n">
        <v>2532</v>
      </c>
      <c r="AJ1401" s="11" t="n">
        <v>4241</v>
      </c>
      <c r="AK1401" s="12" t="n">
        <v>136</v>
      </c>
      <c r="AL1401" s="12" t="n">
        <v>4824</v>
      </c>
      <c r="AM1401" s="13" t="n">
        <v>-42.1</v>
      </c>
      <c r="AN1401" s="13" t="n">
        <v>-20</v>
      </c>
      <c r="AO1401" s="13" t="n">
        <v>-86.3</v>
      </c>
      <c r="AP1401" s="13" t="n">
        <v>-83.59999999999999</v>
      </c>
    </row>
    <row r="1402">
      <c r="A1402" s="5" t="inlineStr">
        <is>
          <t>참좋은여행</t>
        </is>
      </c>
      <c r="B1402" s="6" t="inlineStr">
        <is>
          <t>094850</t>
        </is>
      </c>
      <c r="C1402" s="6" t="inlineStr">
        <is>
          <t>별도</t>
        </is>
      </c>
      <c r="D1402" s="6" t="inlineStr">
        <is>
          <t>2026Q2</t>
        </is>
      </c>
      <c r="E1402" s="6" t="inlineStr"/>
      <c r="F1402" s="7" t="inlineStr"/>
      <c r="G1402" s="8" t="inlineStr"/>
      <c r="H1402" s="8" t="inlineStr"/>
      <c r="I1402" s="9" t="inlineStr"/>
      <c r="J1402" s="10" t="n">
        <v>1189</v>
      </c>
      <c r="K1402" s="10" t="n">
        <v>1754</v>
      </c>
      <c r="L1402" s="7" t="inlineStr"/>
      <c r="M1402" s="8" t="n">
        <v>314</v>
      </c>
      <c r="N1402" s="8" t="n">
        <v>88</v>
      </c>
      <c r="O1402" s="9" t="inlineStr"/>
      <c r="P1402" s="10" t="n">
        <v>449</v>
      </c>
      <c r="Q1402" s="10" t="n">
        <v>792</v>
      </c>
      <c r="R1402" s="7" t="inlineStr"/>
      <c r="S1402" s="8" t="n">
        <v>44</v>
      </c>
      <c r="T1402" s="8" t="n">
        <v>485</v>
      </c>
      <c r="U1402" s="9" t="inlineStr"/>
      <c r="V1402" s="10" t="n">
        <v>337</v>
      </c>
      <c r="W1402" s="10" t="n">
        <v>847</v>
      </c>
      <c r="X1402" s="7" t="inlineStr"/>
      <c r="Y1402" s="8" t="n">
        <v>2333</v>
      </c>
      <c r="Z1402" s="8" t="n">
        <v>2552</v>
      </c>
      <c r="AA1402" s="9" t="inlineStr"/>
      <c r="AB1402" s="10" t="n">
        <v>5708</v>
      </c>
      <c r="AC1402" s="10" t="n">
        <v>5643</v>
      </c>
      <c r="AD1402" s="7" t="inlineStr"/>
      <c r="AE1402" s="8" t="n">
        <v>1404</v>
      </c>
      <c r="AF1402" s="8" t="n">
        <v>1796</v>
      </c>
      <c r="AG1402" s="9" t="inlineStr"/>
      <c r="AH1402" s="10" t="n">
        <v>1129</v>
      </c>
      <c r="AI1402" s="10" t="n">
        <v>3060</v>
      </c>
      <c r="AJ1402" s="11" t="inlineStr"/>
      <c r="AK1402" s="12" t="n">
        <v>251</v>
      </c>
      <c r="AL1402" s="12" t="n">
        <v>1291</v>
      </c>
      <c r="AM1402" s="13" t="inlineStr"/>
      <c r="AN1402" s="13" t="inlineStr"/>
      <c r="AO1402" s="13" t="n">
        <v>-77.8</v>
      </c>
      <c r="AP1402" s="13" t="n">
        <v>-89.2</v>
      </c>
    </row>
    <row r="1403">
      <c r="A1403" s="5" t="inlineStr">
        <is>
          <t>네오리진</t>
        </is>
      </c>
      <c r="B1403" s="6" t="inlineStr">
        <is>
          <t>094860</t>
        </is>
      </c>
      <c r="C1403" s="6" t="inlineStr">
        <is>
          <t>연결</t>
        </is>
      </c>
      <c r="D1403" s="6" t="inlineStr">
        <is>
          <t>2026Q2</t>
        </is>
      </c>
      <c r="E1403" s="6" t="inlineStr"/>
      <c r="F1403" s="7" t="inlineStr"/>
      <c r="G1403" s="8" t="inlineStr"/>
      <c r="H1403" s="8" t="inlineStr"/>
      <c r="I1403" s="9" t="n">
        <v>7862</v>
      </c>
      <c r="J1403" s="10" t="n">
        <v>-617</v>
      </c>
      <c r="K1403" s="10" t="n">
        <v>-608</v>
      </c>
      <c r="L1403" s="7" t="n">
        <v>12089</v>
      </c>
      <c r="M1403" s="8" t="n">
        <v>-2470</v>
      </c>
      <c r="N1403" s="8" t="n">
        <v>-1767</v>
      </c>
      <c r="O1403" s="9" t="n">
        <v>8369</v>
      </c>
      <c r="P1403" s="10" t="n">
        <v>-607</v>
      </c>
      <c r="Q1403" s="10" t="n">
        <v>-1415</v>
      </c>
      <c r="R1403" s="7" t="n">
        <v>6796</v>
      </c>
      <c r="S1403" s="8" t="n">
        <v>-2149</v>
      </c>
      <c r="T1403" s="8" t="n">
        <v>-1488</v>
      </c>
      <c r="U1403" s="9" t="n">
        <v>9977</v>
      </c>
      <c r="V1403" s="10" t="n">
        <v>-456</v>
      </c>
      <c r="W1403" s="10" t="n">
        <v>-358</v>
      </c>
      <c r="X1403" s="7" t="n">
        <v>7009</v>
      </c>
      <c r="Y1403" s="8" t="n">
        <v>-2421</v>
      </c>
      <c r="Z1403" s="8" t="n">
        <v>-3092</v>
      </c>
      <c r="AA1403" s="9" t="n">
        <v>6172</v>
      </c>
      <c r="AB1403" s="10" t="n">
        <v>-1562</v>
      </c>
      <c r="AC1403" s="10" t="n">
        <v>-1788</v>
      </c>
      <c r="AD1403" s="7" t="n">
        <v>7889</v>
      </c>
      <c r="AE1403" s="8" t="n">
        <v>-176</v>
      </c>
      <c r="AF1403" s="8" t="n">
        <v>-5846</v>
      </c>
      <c r="AG1403" s="9" t="n">
        <v>6681</v>
      </c>
      <c r="AH1403" s="10" t="n">
        <v>-1065</v>
      </c>
      <c r="AI1403" s="10" t="n">
        <v>2953</v>
      </c>
      <c r="AJ1403" s="11" t="n">
        <v>4019</v>
      </c>
      <c r="AK1403" s="12" t="n">
        <v>-1915</v>
      </c>
      <c r="AL1403" s="12" t="n">
        <v>-3344</v>
      </c>
      <c r="AM1403" s="13" t="n">
        <v>-39.8</v>
      </c>
      <c r="AN1403" s="13" t="n">
        <v>-42.7</v>
      </c>
      <c r="AO1403" s="13" t="n">
        <v>-79.8</v>
      </c>
      <c r="AP1403" s="13" t="n">
        <v>20.9</v>
      </c>
    </row>
    <row r="1404">
      <c r="A1404" s="5" t="inlineStr">
        <is>
          <t>푸른로보틱스</t>
        </is>
      </c>
      <c r="B1404" s="6" t="inlineStr">
        <is>
          <t>094940</t>
        </is>
      </c>
      <c r="C1404" s="6" t="inlineStr">
        <is>
          <t>연결</t>
        </is>
      </c>
      <c r="D1404" s="6" t="inlineStr">
        <is>
          <t>2026Q2</t>
        </is>
      </c>
      <c r="E1404" s="6" t="inlineStr"/>
      <c r="F1404" s="7" t="inlineStr"/>
      <c r="G1404" s="8" t="inlineStr"/>
      <c r="H1404" s="8" t="inlineStr"/>
      <c r="I1404" s="9" t="n">
        <v>7614</v>
      </c>
      <c r="J1404" s="10" t="n">
        <v>162</v>
      </c>
      <c r="K1404" s="10" t="n">
        <v>311</v>
      </c>
      <c r="L1404" s="7" t="n">
        <v>8677</v>
      </c>
      <c r="M1404" s="8" t="n">
        <v>556</v>
      </c>
      <c r="N1404" s="8" t="n">
        <v>211</v>
      </c>
      <c r="O1404" s="9" t="n">
        <v>9907</v>
      </c>
      <c r="P1404" s="10" t="n">
        <v>988</v>
      </c>
      <c r="Q1404" s="10" t="n">
        <v>1157</v>
      </c>
      <c r="R1404" s="7" t="n">
        <v>8573</v>
      </c>
      <c r="S1404" s="8" t="n">
        <v>577</v>
      </c>
      <c r="T1404" s="8" t="n">
        <v>327</v>
      </c>
      <c r="U1404" s="9" t="n">
        <v>3312</v>
      </c>
      <c r="V1404" s="10" t="n">
        <v>-842</v>
      </c>
      <c r="W1404" s="10" t="n">
        <v>-374</v>
      </c>
      <c r="X1404" s="7" t="n">
        <v>6520</v>
      </c>
      <c r="Y1404" s="8" t="n">
        <v>-51</v>
      </c>
      <c r="Z1404" s="8" t="n">
        <v>653</v>
      </c>
      <c r="AA1404" s="9" t="n">
        <v>5133</v>
      </c>
      <c r="AB1404" s="10" t="n">
        <v>-511</v>
      </c>
      <c r="AC1404" s="10" t="n">
        <v>-854</v>
      </c>
      <c r="AD1404" s="7" t="n">
        <v>8511</v>
      </c>
      <c r="AE1404" s="8" t="n">
        <v>391</v>
      </c>
      <c r="AF1404" s="8" t="n">
        <v>-79</v>
      </c>
      <c r="AG1404" s="9" t="n">
        <v>4297</v>
      </c>
      <c r="AH1404" s="10" t="n">
        <v>-532</v>
      </c>
      <c r="AI1404" s="10" t="n">
        <v>-849</v>
      </c>
      <c r="AJ1404" s="11" t="n">
        <v>6013</v>
      </c>
      <c r="AK1404" s="12" t="n">
        <v>-60</v>
      </c>
      <c r="AL1404" s="12" t="n">
        <v>-153</v>
      </c>
      <c r="AM1404" s="13" t="n">
        <v>39.9</v>
      </c>
      <c r="AN1404" s="13" t="n">
        <v>-7.8</v>
      </c>
      <c r="AO1404" s="13" t="n">
        <v>88.7</v>
      </c>
      <c r="AP1404" s="13" t="n">
        <v>-17.6</v>
      </c>
    </row>
    <row r="1405">
      <c r="A1405" s="5" t="inlineStr">
        <is>
          <t>제이엠티</t>
        </is>
      </c>
      <c r="B1405" s="6" t="inlineStr">
        <is>
          <t>094970</t>
        </is>
      </c>
      <c r="C1405" s="6" t="inlineStr">
        <is>
          <t>연결</t>
        </is>
      </c>
      <c r="D1405" s="6" t="inlineStr">
        <is>
          <t>2026Q2</t>
        </is>
      </c>
      <c r="E1405" s="6" t="inlineStr"/>
      <c r="F1405" s="7" t="inlineStr"/>
      <c r="G1405" s="8" t="inlineStr"/>
      <c r="H1405" s="8" t="inlineStr"/>
      <c r="I1405" s="9" t="n">
        <v>30663</v>
      </c>
      <c r="J1405" s="10" t="n">
        <v>-786</v>
      </c>
      <c r="K1405" s="10" t="n">
        <v>818</v>
      </c>
      <c r="L1405" s="7" t="n">
        <v>58674</v>
      </c>
      <c r="M1405" s="8" t="n">
        <v>4791</v>
      </c>
      <c r="N1405" s="8" t="n">
        <v>6116</v>
      </c>
      <c r="O1405" s="9" t="n">
        <v>42179</v>
      </c>
      <c r="P1405" s="10" t="n">
        <v>3790</v>
      </c>
      <c r="Q1405" s="10" t="n">
        <v>4715</v>
      </c>
      <c r="R1405" s="7" t="n">
        <v>32504</v>
      </c>
      <c r="S1405" s="8" t="n">
        <v>-2511</v>
      </c>
      <c r="T1405" s="8" t="n">
        <v>-1059</v>
      </c>
      <c r="U1405" s="9" t="n">
        <v>38385</v>
      </c>
      <c r="V1405" s="10" t="n">
        <v>-1429</v>
      </c>
      <c r="W1405" s="10" t="n">
        <v>-652</v>
      </c>
      <c r="X1405" s="7" t="n">
        <v>46265</v>
      </c>
      <c r="Y1405" s="8" t="n">
        <v>2890</v>
      </c>
      <c r="Z1405" s="8" t="n">
        <v>2534</v>
      </c>
      <c r="AA1405" s="9" t="n">
        <v>53396</v>
      </c>
      <c r="AB1405" s="10" t="n">
        <v>5625</v>
      </c>
      <c r="AC1405" s="10" t="n">
        <v>7403</v>
      </c>
      <c r="AD1405" s="7" t="n">
        <v>62179</v>
      </c>
      <c r="AE1405" s="8" t="n">
        <v>6055</v>
      </c>
      <c r="AF1405" s="8" t="n">
        <v>6617</v>
      </c>
      <c r="AG1405" s="9" t="n">
        <v>67973</v>
      </c>
      <c r="AH1405" s="10" t="n">
        <v>3432</v>
      </c>
      <c r="AI1405" s="10" t="n">
        <v>5578</v>
      </c>
      <c r="AJ1405" s="11" t="n">
        <v>60655</v>
      </c>
      <c r="AK1405" s="12" t="n">
        <v>3293</v>
      </c>
      <c r="AL1405" s="12" t="n">
        <v>4460</v>
      </c>
      <c r="AM1405" s="13" t="n">
        <v>-10.8</v>
      </c>
      <c r="AN1405" s="13" t="n">
        <v>31.1</v>
      </c>
      <c r="AO1405" s="13" t="n">
        <v>-4.1</v>
      </c>
      <c r="AP1405" s="13" t="n">
        <v>13.9</v>
      </c>
    </row>
    <row r="1406">
      <c r="A1406" s="5" t="inlineStr">
        <is>
          <t>신화프리텍</t>
        </is>
      </c>
      <c r="B1406" s="6" t="inlineStr">
        <is>
          <t>095190</t>
        </is>
      </c>
      <c r="C1406" s="6" t="inlineStr">
        <is>
          <t>별도</t>
        </is>
      </c>
      <c r="D1406" s="6" t="inlineStr">
        <is>
          <t>2026Q2</t>
        </is>
      </c>
      <c r="E1406" s="6" t="inlineStr"/>
      <c r="F1406" s="7" t="inlineStr"/>
      <c r="G1406" s="8" t="inlineStr"/>
      <c r="H1406" s="8" t="inlineStr"/>
      <c r="I1406" s="9" t="n">
        <v>27852</v>
      </c>
      <c r="J1406" s="10" t="n">
        <v>312</v>
      </c>
      <c r="K1406" s="10" t="n">
        <v>-714</v>
      </c>
      <c r="L1406" s="7" t="n">
        <v>24573</v>
      </c>
      <c r="M1406" s="8" t="n">
        <v>728</v>
      </c>
      <c r="N1406" s="8" t="n">
        <v>-375</v>
      </c>
      <c r="O1406" s="9" t="n">
        <v>27577</v>
      </c>
      <c r="P1406" s="10" t="n">
        <v>-1112</v>
      </c>
      <c r="Q1406" s="10" t="n">
        <v>-1831</v>
      </c>
      <c r="R1406" s="7" t="n">
        <v>40752</v>
      </c>
      <c r="S1406" s="8" t="n">
        <v>2255</v>
      </c>
      <c r="T1406" s="8" t="n">
        <v>-1653</v>
      </c>
      <c r="U1406" s="9" t="n">
        <v>33164</v>
      </c>
      <c r="V1406" s="10" t="n">
        <v>177</v>
      </c>
      <c r="W1406" s="10" t="n">
        <v>-1960</v>
      </c>
      <c r="X1406" s="7" t="n">
        <v>36009</v>
      </c>
      <c r="Y1406" s="8" t="n">
        <v>-1180</v>
      </c>
      <c r="Z1406" s="8" t="n">
        <v>-1613</v>
      </c>
      <c r="AA1406" s="9" t="n">
        <v>22601</v>
      </c>
      <c r="AB1406" s="10" t="n">
        <v>323</v>
      </c>
      <c r="AC1406" s="10" t="n">
        <v>-2088</v>
      </c>
      <c r="AD1406" s="7" t="n">
        <v>732</v>
      </c>
      <c r="AE1406" s="8" t="n">
        <v>-4097</v>
      </c>
      <c r="AF1406" s="8" t="n">
        <v>-1281</v>
      </c>
      <c r="AG1406" s="9" t="n">
        <v>24405</v>
      </c>
      <c r="AH1406" s="10" t="n">
        <v>1742</v>
      </c>
      <c r="AI1406" s="10" t="n">
        <v>1124</v>
      </c>
      <c r="AJ1406" s="11" t="n">
        <v>25092</v>
      </c>
      <c r="AK1406" s="12" t="n">
        <v>1528</v>
      </c>
      <c r="AL1406" s="12" t="n">
        <v>213</v>
      </c>
      <c r="AM1406" s="13" t="n">
        <v>2.8</v>
      </c>
      <c r="AN1406" s="13" t="n">
        <v>-30.3</v>
      </c>
      <c r="AO1406" s="13" t="n">
        <v>-12.3</v>
      </c>
      <c r="AP1406" s="13" t="n">
        <v>229.5</v>
      </c>
    </row>
    <row r="1407">
      <c r="A1407" s="5" t="inlineStr">
        <is>
          <t>웨이브일렉트로</t>
        </is>
      </c>
      <c r="B1407" s="6" t="inlineStr">
        <is>
          <t>095270</t>
        </is>
      </c>
      <c r="C1407" s="6" t="inlineStr">
        <is>
          <t>연결</t>
        </is>
      </c>
      <c r="D1407" s="6" t="inlineStr">
        <is>
          <t>2026Q2</t>
        </is>
      </c>
      <c r="E1407" s="6" t="inlineStr"/>
      <c r="F1407" s="7" t="inlineStr"/>
      <c r="G1407" s="8" t="inlineStr"/>
      <c r="H1407" s="8" t="inlineStr"/>
      <c r="I1407" s="9" t="n">
        <v>19373</v>
      </c>
      <c r="J1407" s="10" t="n">
        <v>661</v>
      </c>
      <c r="K1407" s="10" t="n">
        <v>2025</v>
      </c>
      <c r="L1407" s="7" t="n">
        <v>16093</v>
      </c>
      <c r="M1407" s="8" t="n">
        <v>-999</v>
      </c>
      <c r="N1407" s="8" t="n">
        <v>-1099</v>
      </c>
      <c r="O1407" s="9" t="n">
        <v>18855</v>
      </c>
      <c r="P1407" s="10" t="n">
        <v>-505</v>
      </c>
      <c r="Q1407" s="10" t="n">
        <v>-781</v>
      </c>
      <c r="R1407" s="7" t="n">
        <v>23723</v>
      </c>
      <c r="S1407" s="8" t="n">
        <v>2696</v>
      </c>
      <c r="T1407" s="8" t="n">
        <v>-6578</v>
      </c>
      <c r="U1407" s="9" t="n">
        <v>17210</v>
      </c>
      <c r="V1407" s="10" t="n">
        <v>-1002</v>
      </c>
      <c r="W1407" s="10" t="n">
        <v>-849</v>
      </c>
      <c r="X1407" s="7" t="n">
        <v>16985</v>
      </c>
      <c r="Y1407" s="8" t="n">
        <v>-781</v>
      </c>
      <c r="Z1407" s="8" t="n">
        <v>-652</v>
      </c>
      <c r="AA1407" s="9" t="n">
        <v>21723</v>
      </c>
      <c r="AB1407" s="10" t="n">
        <v>-137</v>
      </c>
      <c r="AC1407" s="10" t="n">
        <v>366</v>
      </c>
      <c r="AD1407" s="7" t="n">
        <v>24615</v>
      </c>
      <c r="AE1407" s="8" t="n">
        <v>278</v>
      </c>
      <c r="AF1407" s="8" t="n">
        <v>2252</v>
      </c>
      <c r="AG1407" s="9" t="n">
        <v>15811</v>
      </c>
      <c r="AH1407" s="10" t="n">
        <v>-1135</v>
      </c>
      <c r="AI1407" s="10" t="n">
        <v>-1174</v>
      </c>
      <c r="AJ1407" s="11" t="n">
        <v>22024</v>
      </c>
      <c r="AK1407" s="12" t="n">
        <v>2031</v>
      </c>
      <c r="AL1407" s="12" t="n">
        <v>1889</v>
      </c>
      <c r="AM1407" s="13" t="n">
        <v>39.3</v>
      </c>
      <c r="AN1407" s="13" t="n">
        <v>29.7</v>
      </c>
      <c r="AO1407" s="13" t="n">
        <v>278.9</v>
      </c>
      <c r="AP1407" s="13" t="n">
        <v>360.1</v>
      </c>
    </row>
    <row r="1408">
      <c r="A1408" s="5" t="inlineStr">
        <is>
          <t>ISC</t>
        </is>
      </c>
      <c r="B1408" s="6" t="inlineStr">
        <is>
          <t>095340</t>
        </is>
      </c>
      <c r="C1408" s="6" t="inlineStr">
        <is>
          <t>연결</t>
        </is>
      </c>
      <c r="D1408" s="6" t="inlineStr">
        <is>
          <t>2026Q2</t>
        </is>
      </c>
      <c r="E1408" s="6" t="inlineStr"/>
      <c r="F1408" s="7" t="inlineStr"/>
      <c r="G1408" s="8" t="inlineStr"/>
      <c r="H1408" s="8" t="inlineStr"/>
      <c r="I1408" s="9" t="n">
        <v>35073</v>
      </c>
      <c r="J1408" s="10" t="n">
        <v>8558</v>
      </c>
      <c r="K1408" s="10" t="n">
        <v>15802</v>
      </c>
      <c r="L1408" s="7" t="n">
        <v>49758</v>
      </c>
      <c r="M1408" s="8" t="n">
        <v>14912</v>
      </c>
      <c r="N1408" s="8" t="n">
        <v>16056</v>
      </c>
      <c r="O1408" s="9" t="n">
        <v>50393</v>
      </c>
      <c r="P1408" s="10" t="n">
        <v>13814</v>
      </c>
      <c r="Q1408" s="10" t="n">
        <v>11180</v>
      </c>
      <c r="R1408" s="7" t="n">
        <v>39256</v>
      </c>
      <c r="S1408" s="8" t="n">
        <v>7500</v>
      </c>
      <c r="T1408" s="8" t="n">
        <v>11861</v>
      </c>
      <c r="U1408" s="9" t="n">
        <v>31683</v>
      </c>
      <c r="V1408" s="10" t="n">
        <v>6992</v>
      </c>
      <c r="W1408" s="10" t="n">
        <v>6834</v>
      </c>
      <c r="X1408" s="7" t="n">
        <v>51659</v>
      </c>
      <c r="Y1408" s="8" t="n">
        <v>13713</v>
      </c>
      <c r="Z1408" s="8" t="n">
        <v>11549</v>
      </c>
      <c r="AA1408" s="9" t="n">
        <v>64522</v>
      </c>
      <c r="AB1408" s="10" t="n">
        <v>17421</v>
      </c>
      <c r="AC1408" s="10" t="n">
        <v>16220</v>
      </c>
      <c r="AD1408" s="7" t="n">
        <v>72331</v>
      </c>
      <c r="AE1408" s="8" t="n">
        <v>21928</v>
      </c>
      <c r="AF1408" s="8" t="n">
        <v>21740</v>
      </c>
      <c r="AG1408" s="9" t="n">
        <v>68272</v>
      </c>
      <c r="AH1408" s="10" t="n">
        <v>23616</v>
      </c>
      <c r="AI1408" s="10" t="n">
        <v>20600</v>
      </c>
      <c r="AJ1408" s="11" t="n">
        <v>72929</v>
      </c>
      <c r="AK1408" s="12" t="n">
        <v>21320</v>
      </c>
      <c r="AL1408" s="12" t="n">
        <v>19393</v>
      </c>
      <c r="AM1408" s="13" t="n">
        <v>6.8</v>
      </c>
      <c r="AN1408" s="13" t="n">
        <v>41.2</v>
      </c>
      <c r="AO1408" s="13" t="n">
        <v>-9.699999999999999</v>
      </c>
      <c r="AP1408" s="13" t="n">
        <v>55.5</v>
      </c>
    </row>
    <row r="1409">
      <c r="A1409" s="5" t="inlineStr">
        <is>
          <t>미래나노텍</t>
        </is>
      </c>
      <c r="B1409" s="6" t="inlineStr">
        <is>
          <t>095500</t>
        </is>
      </c>
      <c r="C1409" s="6" t="inlineStr">
        <is>
          <t>연결</t>
        </is>
      </c>
      <c r="D1409" s="6" t="inlineStr">
        <is>
          <t>2026Q2</t>
        </is>
      </c>
      <c r="E1409" s="6" t="inlineStr"/>
      <c r="F1409" s="7" t="inlineStr"/>
      <c r="G1409" s="8" t="inlineStr"/>
      <c r="H1409" s="8" t="inlineStr"/>
      <c r="I1409" s="9" t="n">
        <v>152117</v>
      </c>
      <c r="J1409" s="10" t="n">
        <v>6363</v>
      </c>
      <c r="K1409" s="10" t="n">
        <v>1634</v>
      </c>
      <c r="L1409" s="7" t="n">
        <v>158584</v>
      </c>
      <c r="M1409" s="8" t="n">
        <v>11550</v>
      </c>
      <c r="N1409" s="8" t="n">
        <v>11222</v>
      </c>
      <c r="O1409" s="9" t="n">
        <v>167110</v>
      </c>
      <c r="P1409" s="10" t="n">
        <v>5324</v>
      </c>
      <c r="Q1409" s="10" t="n">
        <v>-134</v>
      </c>
      <c r="R1409" s="7" t="n">
        <v>144504</v>
      </c>
      <c r="S1409" s="8" t="n">
        <v>1623</v>
      </c>
      <c r="T1409" s="8" t="n">
        <v>13052</v>
      </c>
      <c r="U1409" s="9" t="n">
        <v>168431</v>
      </c>
      <c r="V1409" s="10" t="n">
        <v>11285</v>
      </c>
      <c r="W1409" s="10" t="n">
        <v>9489</v>
      </c>
      <c r="X1409" s="7" t="n">
        <v>122682</v>
      </c>
      <c r="Y1409" s="8" t="n">
        <v>6101</v>
      </c>
      <c r="Z1409" s="8" t="n">
        <v>-5705</v>
      </c>
      <c r="AA1409" s="9" t="n">
        <v>126724</v>
      </c>
      <c r="AB1409" s="10" t="n">
        <v>4404</v>
      </c>
      <c r="AC1409" s="10" t="n">
        <v>4997</v>
      </c>
      <c r="AD1409" s="7" t="n">
        <v>120696</v>
      </c>
      <c r="AE1409" s="8" t="n">
        <v>-861</v>
      </c>
      <c r="AF1409" s="8" t="n">
        <v>4818</v>
      </c>
      <c r="AG1409" s="9" t="n">
        <v>124268</v>
      </c>
      <c r="AH1409" s="10" t="n">
        <v>8465</v>
      </c>
      <c r="AI1409" s="10" t="n">
        <v>10319</v>
      </c>
      <c r="AJ1409" s="11" t="n">
        <v>106692</v>
      </c>
      <c r="AK1409" s="12" t="n">
        <v>2600</v>
      </c>
      <c r="AL1409" s="12" t="n">
        <v>-9835</v>
      </c>
      <c r="AM1409" s="13" t="n">
        <v>-14.1</v>
      </c>
      <c r="AN1409" s="13" t="n">
        <v>-13</v>
      </c>
      <c r="AO1409" s="13" t="n">
        <v>-69.3</v>
      </c>
      <c r="AP1409" s="13" t="n">
        <v>-57.4</v>
      </c>
    </row>
    <row r="1410">
      <c r="A1410" s="5" t="inlineStr">
        <is>
          <t>AJ네트웍스</t>
        </is>
      </c>
      <c r="B1410" s="6" t="inlineStr">
        <is>
          <t>095570</t>
        </is>
      </c>
      <c r="C1410" s="6" t="inlineStr">
        <is>
          <t>연결</t>
        </is>
      </c>
      <c r="D1410" s="6" t="inlineStr">
        <is>
          <t>2026Q2</t>
        </is>
      </c>
      <c r="E1410" s="6" t="inlineStr"/>
      <c r="F1410" s="7" t="inlineStr"/>
      <c r="G1410" s="8" t="inlineStr"/>
      <c r="H1410" s="8" t="inlineStr"/>
      <c r="I1410" s="9" t="n">
        <v>244783</v>
      </c>
      <c r="J1410" s="10" t="n">
        <v>19471</v>
      </c>
      <c r="K1410" s="10" t="n">
        <v>5283</v>
      </c>
      <c r="L1410" s="7" t="n">
        <v>279408</v>
      </c>
      <c r="M1410" s="8" t="n">
        <v>21005</v>
      </c>
      <c r="N1410" s="8" t="n">
        <v>3184</v>
      </c>
      <c r="O1410" s="9" t="n">
        <v>249793</v>
      </c>
      <c r="P1410" s="10" t="n">
        <v>19597</v>
      </c>
      <c r="Q1410" s="10" t="n">
        <v>10927</v>
      </c>
      <c r="R1410" s="7" t="n">
        <v>240172</v>
      </c>
      <c r="S1410" s="8" t="n">
        <v>12717</v>
      </c>
      <c r="T1410" s="8" t="n">
        <v>2207</v>
      </c>
      <c r="U1410" s="9" t="n">
        <v>261122</v>
      </c>
      <c r="V1410" s="10" t="n">
        <v>15948</v>
      </c>
      <c r="W1410" s="10" t="n">
        <v>5183</v>
      </c>
      <c r="X1410" s="7" t="n">
        <v>262300</v>
      </c>
      <c r="Y1410" s="8" t="n">
        <v>17275</v>
      </c>
      <c r="Z1410" s="8" t="n">
        <v>5061</v>
      </c>
      <c r="AA1410" s="9" t="n">
        <v>283521</v>
      </c>
      <c r="AB1410" s="10" t="n">
        <v>13158</v>
      </c>
      <c r="AC1410" s="10" t="n">
        <v>13266</v>
      </c>
      <c r="AD1410" s="7" t="n">
        <v>263171</v>
      </c>
      <c r="AE1410" s="8" t="n">
        <v>25167</v>
      </c>
      <c r="AF1410" s="8" t="n">
        <v>4817</v>
      </c>
      <c r="AG1410" s="9" t="n">
        <v>287156</v>
      </c>
      <c r="AH1410" s="10" t="n">
        <v>21871</v>
      </c>
      <c r="AI1410" s="10" t="n">
        <v>8534</v>
      </c>
      <c r="AJ1410" s="11" t="n">
        <v>327849</v>
      </c>
      <c r="AK1410" s="12" t="n">
        <v>21486</v>
      </c>
      <c r="AL1410" s="12" t="n">
        <v>28331</v>
      </c>
      <c r="AM1410" s="13" t="n">
        <v>14.2</v>
      </c>
      <c r="AN1410" s="13" t="n">
        <v>25</v>
      </c>
      <c r="AO1410" s="13" t="n">
        <v>-1.8</v>
      </c>
      <c r="AP1410" s="13" t="n">
        <v>24.4</v>
      </c>
    </row>
    <row r="1411">
      <c r="A1411" s="5" t="inlineStr">
        <is>
          <t>테스</t>
        </is>
      </c>
      <c r="B1411" s="6" t="inlineStr">
        <is>
          <t>095610</t>
        </is>
      </c>
      <c r="C1411" s="6" t="inlineStr">
        <is>
          <t>연결</t>
        </is>
      </c>
      <c r="D1411" s="6" t="inlineStr">
        <is>
          <t>2026Q2</t>
        </is>
      </c>
      <c r="E1411" s="6" t="inlineStr"/>
      <c r="F1411" s="7" t="inlineStr"/>
      <c r="G1411" s="8" t="inlineStr"/>
      <c r="H1411" s="8" t="inlineStr"/>
      <c r="I1411" s="9" t="n">
        <v>42169</v>
      </c>
      <c r="J1411" s="10" t="n">
        <v>2384</v>
      </c>
      <c r="K1411" s="10" t="n">
        <v>6900</v>
      </c>
      <c r="L1411" s="7" t="n">
        <v>60513</v>
      </c>
      <c r="M1411" s="8" t="n">
        <v>10010</v>
      </c>
      <c r="N1411" s="8" t="n">
        <v>12920</v>
      </c>
      <c r="O1411" s="9" t="n">
        <v>50793</v>
      </c>
      <c r="P1411" s="10" t="n">
        <v>4063</v>
      </c>
      <c r="Q1411" s="10" t="n">
        <v>2490</v>
      </c>
      <c r="R1411" s="7" t="n">
        <v>86603</v>
      </c>
      <c r="S1411" s="8" t="n">
        <v>22017</v>
      </c>
      <c r="T1411" s="8" t="n">
        <v>20344</v>
      </c>
      <c r="U1411" s="9" t="n">
        <v>84496</v>
      </c>
      <c r="V1411" s="10" t="n">
        <v>16270</v>
      </c>
      <c r="W1411" s="10" t="n">
        <v>15861</v>
      </c>
      <c r="X1411" s="7" t="n">
        <v>82064</v>
      </c>
      <c r="Y1411" s="8" t="n">
        <v>20368</v>
      </c>
      <c r="Z1411" s="8" t="n">
        <v>18897</v>
      </c>
      <c r="AA1411" s="9" t="n">
        <v>67568</v>
      </c>
      <c r="AB1411" s="10" t="n">
        <v>8416</v>
      </c>
      <c r="AC1411" s="10" t="n">
        <v>12101</v>
      </c>
      <c r="AD1411" s="7" t="n">
        <v>116988</v>
      </c>
      <c r="AE1411" s="8" t="n">
        <v>12784</v>
      </c>
      <c r="AF1411" s="8" t="n">
        <v>10059</v>
      </c>
      <c r="AG1411" s="9" t="n">
        <v>97243</v>
      </c>
      <c r="AH1411" s="10" t="n">
        <v>22201</v>
      </c>
      <c r="AI1411" s="10" t="n">
        <v>24576</v>
      </c>
      <c r="AJ1411" s="11" t="n">
        <v>123671</v>
      </c>
      <c r="AK1411" s="12" t="n">
        <v>26027</v>
      </c>
      <c r="AL1411" s="12" t="n">
        <v>34030</v>
      </c>
      <c r="AM1411" s="13" t="n">
        <v>27.2</v>
      </c>
      <c r="AN1411" s="13" t="n">
        <v>50.7</v>
      </c>
      <c r="AO1411" s="13" t="n">
        <v>17.2</v>
      </c>
      <c r="AP1411" s="13" t="n">
        <v>27.8</v>
      </c>
    </row>
    <row r="1412">
      <c r="A1412" s="5" t="inlineStr">
        <is>
          <t>네오위즈</t>
        </is>
      </c>
      <c r="B1412" s="6" t="inlineStr">
        <is>
          <t>095660</t>
        </is>
      </c>
      <c r="C1412" s="6" t="inlineStr">
        <is>
          <t>연결</t>
        </is>
      </c>
      <c r="D1412" s="6" t="inlineStr">
        <is>
          <t>2026Q2</t>
        </is>
      </c>
      <c r="E1412" s="6" t="inlineStr">
        <is>
          <t>2023Q4</t>
        </is>
      </c>
      <c r="F1412" s="14" t="n">
        <v>109490</v>
      </c>
      <c r="G1412" s="15" t="n">
        <v>15125</v>
      </c>
      <c r="H1412" s="15" t="n">
        <v>2804</v>
      </c>
      <c r="I1412" s="9" t="n">
        <v>97064</v>
      </c>
      <c r="J1412" s="10" t="n">
        <v>14844</v>
      </c>
      <c r="K1412" s="10" t="n">
        <v>14339</v>
      </c>
      <c r="L1412" s="7" t="n">
        <v>87012</v>
      </c>
      <c r="M1412" s="8" t="n">
        <v>4743</v>
      </c>
      <c r="N1412" s="8" t="n">
        <v>7673</v>
      </c>
      <c r="O1412" s="9" t="n">
        <v>93134</v>
      </c>
      <c r="P1412" s="10" t="n">
        <v>6464</v>
      </c>
      <c r="Q1412" s="10" t="n">
        <v>-1399</v>
      </c>
      <c r="R1412" s="7" t="n">
        <v>89603</v>
      </c>
      <c r="S1412" s="8" t="n">
        <v>6869</v>
      </c>
      <c r="T1412" s="8" t="n">
        <v>-27567</v>
      </c>
      <c r="U1412" s="9" t="n">
        <v>89030</v>
      </c>
      <c r="V1412" s="10" t="n">
        <v>10229</v>
      </c>
      <c r="W1412" s="10" t="n">
        <v>6109</v>
      </c>
      <c r="X1412" s="7" t="n">
        <v>110010</v>
      </c>
      <c r="Y1412" s="8" t="n">
        <v>18586</v>
      </c>
      <c r="Z1412" s="8" t="n">
        <v>12771</v>
      </c>
      <c r="AA1412" s="9" t="n">
        <v>127418</v>
      </c>
      <c r="AB1412" s="10" t="n">
        <v>26470</v>
      </c>
      <c r="AC1412" s="10" t="n">
        <v>25047</v>
      </c>
      <c r="AD1412" s="7" t="n">
        <v>106268</v>
      </c>
      <c r="AE1412" s="8" t="n">
        <v>4695</v>
      </c>
      <c r="AF1412" s="8" t="n">
        <v>1141</v>
      </c>
      <c r="AG1412" s="9" t="n">
        <v>101415</v>
      </c>
      <c r="AH1412" s="10" t="n">
        <v>6951</v>
      </c>
      <c r="AI1412" s="10" t="n">
        <v>15473</v>
      </c>
      <c r="AJ1412" s="11" t="n">
        <v>102073</v>
      </c>
      <c r="AK1412" s="12" t="n">
        <v>7942</v>
      </c>
      <c r="AL1412" s="12" t="n">
        <v>18406</v>
      </c>
      <c r="AM1412" s="13" t="n">
        <v>0.6</v>
      </c>
      <c r="AN1412" s="13" t="n">
        <v>-7.2</v>
      </c>
      <c r="AO1412" s="13" t="n">
        <v>14.3</v>
      </c>
      <c r="AP1412" s="13" t="n">
        <v>-57.3</v>
      </c>
    </row>
    <row r="1413">
      <c r="A1413" s="5" t="inlineStr">
        <is>
          <t>제넥신</t>
        </is>
      </c>
      <c r="B1413" s="6" t="inlineStr">
        <is>
          <t>095700</t>
        </is>
      </c>
      <c r="C1413" s="6" t="inlineStr">
        <is>
          <t>별도</t>
        </is>
      </c>
      <c r="D1413" s="6" t="inlineStr">
        <is>
          <t>2026Q2</t>
        </is>
      </c>
      <c r="E1413" s="6" t="inlineStr"/>
      <c r="F1413" s="7" t="inlineStr"/>
      <c r="G1413" s="8" t="inlineStr"/>
      <c r="H1413" s="8" t="inlineStr"/>
      <c r="I1413" s="9" t="n">
        <v>2073</v>
      </c>
      <c r="J1413" s="10" t="n">
        <v>-12644</v>
      </c>
      <c r="K1413" s="10" t="n">
        <v>-11566</v>
      </c>
      <c r="L1413" s="7" t="n">
        <v>344</v>
      </c>
      <c r="M1413" s="8" t="n">
        <v>-6699</v>
      </c>
      <c r="N1413" s="8" t="n">
        <v>-12090</v>
      </c>
      <c r="O1413" s="9" t="n">
        <v>209</v>
      </c>
      <c r="P1413" s="10" t="n">
        <v>-10258</v>
      </c>
      <c r="Q1413" s="10" t="n">
        <v>-14541</v>
      </c>
      <c r="R1413" s="7" t="n">
        <v>307</v>
      </c>
      <c r="S1413" s="8" t="n">
        <v>-7645</v>
      </c>
      <c r="T1413" s="8" t="n">
        <v>-25509</v>
      </c>
      <c r="U1413" s="9" t="n">
        <v>320</v>
      </c>
      <c r="V1413" s="10" t="n">
        <v>-8477</v>
      </c>
      <c r="W1413" s="10" t="n">
        <v>-18924</v>
      </c>
      <c r="X1413" s="7" t="n">
        <v>672</v>
      </c>
      <c r="Y1413" s="8" t="n">
        <v>-7499</v>
      </c>
      <c r="Z1413" s="8" t="n">
        <v>-14703</v>
      </c>
      <c r="AA1413" s="9" t="n">
        <v>3046</v>
      </c>
      <c r="AB1413" s="10" t="n">
        <v>-7419</v>
      </c>
      <c r="AC1413" s="10" t="n">
        <v>21052</v>
      </c>
      <c r="AD1413" s="7" t="n">
        <v>536</v>
      </c>
      <c r="AE1413" s="8" t="n">
        <v>-12777</v>
      </c>
      <c r="AF1413" s="8" t="n">
        <v>-14640</v>
      </c>
      <c r="AG1413" s="9" t="n">
        <v>415</v>
      </c>
      <c r="AH1413" s="10" t="n">
        <v>-9000</v>
      </c>
      <c r="AI1413" s="10" t="n">
        <v>-12444</v>
      </c>
      <c r="AJ1413" s="11" t="n">
        <v>972</v>
      </c>
      <c r="AK1413" s="12" t="n">
        <v>-10496</v>
      </c>
      <c r="AL1413" s="12" t="n">
        <v>-26268</v>
      </c>
      <c r="AM1413" s="13" t="n">
        <v>134.2</v>
      </c>
      <c r="AN1413" s="13" t="n">
        <v>44.6</v>
      </c>
      <c r="AO1413" s="13" t="n">
        <v>-16.6</v>
      </c>
      <c r="AP1413" s="13" t="n">
        <v>-40</v>
      </c>
    </row>
    <row r="1414">
      <c r="A1414" s="5" t="inlineStr">
        <is>
          <t>웅진씽크빅</t>
        </is>
      </c>
      <c r="B1414" s="6" t="inlineStr">
        <is>
          <t>095720</t>
        </is>
      </c>
      <c r="C1414" s="6" t="inlineStr">
        <is>
          <t>연결</t>
        </is>
      </c>
      <c r="D1414" s="6" t="inlineStr">
        <is>
          <t>2026Q2</t>
        </is>
      </c>
      <c r="E1414" s="6" t="inlineStr">
        <is>
          <t>2023Q4</t>
        </is>
      </c>
      <c r="F1414" s="14" t="n">
        <v>890055</v>
      </c>
      <c r="G1414" s="15" t="n">
        <v>5572</v>
      </c>
      <c r="H1414" s="15" t="n">
        <v>-32781</v>
      </c>
      <c r="I1414" s="9" t="n">
        <v>216198</v>
      </c>
      <c r="J1414" s="10" t="n">
        <v>-2927</v>
      </c>
      <c r="K1414" s="10" t="n">
        <v>-5819</v>
      </c>
      <c r="L1414" s="7" t="n">
        <v>220998</v>
      </c>
      <c r="M1414" s="8" t="n">
        <v>6594</v>
      </c>
      <c r="N1414" s="8" t="n">
        <v>1863</v>
      </c>
      <c r="O1414" s="9" t="n">
        <v>208943</v>
      </c>
      <c r="P1414" s="10" t="n">
        <v>2670</v>
      </c>
      <c r="Q1414" s="10" t="n">
        <v>1454</v>
      </c>
      <c r="R1414" s="7" t="n">
        <v>221041</v>
      </c>
      <c r="S1414" s="8" t="n">
        <v>2910</v>
      </c>
      <c r="T1414" s="8" t="n">
        <v>-17365</v>
      </c>
      <c r="U1414" s="9" t="n">
        <v>196960</v>
      </c>
      <c r="V1414" s="10" t="n">
        <v>-10703</v>
      </c>
      <c r="W1414" s="10" t="n">
        <v>-11165</v>
      </c>
      <c r="X1414" s="7" t="n">
        <v>205913</v>
      </c>
      <c r="Y1414" s="8" t="n">
        <v>3558</v>
      </c>
      <c r="Z1414" s="8" t="n">
        <v>-78</v>
      </c>
      <c r="AA1414" s="9" t="n">
        <v>199610</v>
      </c>
      <c r="AB1414" s="10" t="n">
        <v>-926</v>
      </c>
      <c r="AC1414" s="10" t="n">
        <v>-2575</v>
      </c>
      <c r="AD1414" s="7" t="n">
        <v>194874</v>
      </c>
      <c r="AE1414" s="8" t="n">
        <v>-2385</v>
      </c>
      <c r="AF1414" s="8" t="n">
        <v>-8863</v>
      </c>
      <c r="AG1414" s="9" t="n">
        <v>179575</v>
      </c>
      <c r="AH1414" s="10" t="n">
        <v>-3371</v>
      </c>
      <c r="AI1414" s="10" t="n">
        <v>-4234</v>
      </c>
      <c r="AJ1414" s="11" t="n">
        <v>190878</v>
      </c>
      <c r="AK1414" s="12" t="n">
        <v>3808</v>
      </c>
      <c r="AL1414" s="12" t="n">
        <v>1117</v>
      </c>
      <c r="AM1414" s="13" t="n">
        <v>6.3</v>
      </c>
      <c r="AN1414" s="13" t="n">
        <v>-7.3</v>
      </c>
      <c r="AO1414" s="13" t="n">
        <v>213</v>
      </c>
      <c r="AP1414" s="13" t="n">
        <v>7</v>
      </c>
    </row>
    <row r="1415">
      <c r="A1415" s="5" t="inlineStr">
        <is>
          <t>에스에너지</t>
        </is>
      </c>
      <c r="B1415" s="6" t="inlineStr">
        <is>
          <t>095910</t>
        </is>
      </c>
      <c r="C1415" s="6" t="inlineStr">
        <is>
          <t>연결</t>
        </is>
      </c>
      <c r="D1415" s="6" t="inlineStr">
        <is>
          <t>2026Q2</t>
        </is>
      </c>
      <c r="E1415" s="6" t="inlineStr"/>
      <c r="F1415" s="7" t="inlineStr"/>
      <c r="G1415" s="8" t="inlineStr"/>
      <c r="H1415" s="8" t="inlineStr"/>
      <c r="I1415" s="9" t="n">
        <v>31020</v>
      </c>
      <c r="J1415" s="10" t="n">
        <v>-908</v>
      </c>
      <c r="K1415" s="10" t="n">
        <v>-5664</v>
      </c>
      <c r="L1415" s="7" t="n">
        <v>35968</v>
      </c>
      <c r="M1415" s="8" t="n">
        <v>-405</v>
      </c>
      <c r="N1415" s="8" t="n">
        <v>-692</v>
      </c>
      <c r="O1415" s="9" t="n">
        <v>31977</v>
      </c>
      <c r="P1415" s="10" t="n">
        <v>-2025</v>
      </c>
      <c r="Q1415" s="10" t="n">
        <v>-455</v>
      </c>
      <c r="R1415" s="7" t="n">
        <v>48883</v>
      </c>
      <c r="S1415" s="8" t="n">
        <v>-11068</v>
      </c>
      <c r="T1415" s="8" t="n">
        <v>-18610</v>
      </c>
      <c r="U1415" s="9" t="n">
        <v>22621</v>
      </c>
      <c r="V1415" s="10" t="n">
        <v>-6874</v>
      </c>
      <c r="W1415" s="10" t="n">
        <v>-6917</v>
      </c>
      <c r="X1415" s="7" t="n">
        <v>29631</v>
      </c>
      <c r="Y1415" s="8" t="n">
        <v>1106</v>
      </c>
      <c r="Z1415" s="8" t="n">
        <v>1110</v>
      </c>
      <c r="AA1415" s="9" t="n">
        <v>22030</v>
      </c>
      <c r="AB1415" s="10" t="n">
        <v>-4534</v>
      </c>
      <c r="AC1415" s="10" t="n">
        <v>-7842</v>
      </c>
      <c r="AD1415" s="7" t="n">
        <v>28158</v>
      </c>
      <c r="AE1415" s="8" t="n">
        <v>-8366</v>
      </c>
      <c r="AF1415" s="8" t="n">
        <v>-15044</v>
      </c>
      <c r="AG1415" s="9" t="n">
        <v>26419</v>
      </c>
      <c r="AH1415" s="10" t="n">
        <v>-6004</v>
      </c>
      <c r="AI1415" s="10" t="n">
        <v>-7507</v>
      </c>
      <c r="AJ1415" s="11" t="n">
        <v>24225</v>
      </c>
      <c r="AK1415" s="12" t="n">
        <v>-4336</v>
      </c>
      <c r="AL1415" s="12" t="n">
        <v>-4040</v>
      </c>
      <c r="AM1415" s="13" t="n">
        <v>-8.300000000000001</v>
      </c>
      <c r="AN1415" s="13" t="n">
        <v>-18.2</v>
      </c>
      <c r="AO1415" s="13" t="n">
        <v>27.8</v>
      </c>
      <c r="AP1415" s="13" t="n">
        <v>-492</v>
      </c>
    </row>
    <row r="1416">
      <c r="A1416" s="5" t="inlineStr">
        <is>
          <t>크레버스</t>
        </is>
      </c>
      <c r="B1416" s="6" t="inlineStr">
        <is>
          <t>096240</t>
        </is>
      </c>
      <c r="C1416" s="6" t="inlineStr">
        <is>
          <t>연결</t>
        </is>
      </c>
      <c r="D1416" s="6" t="inlineStr">
        <is>
          <t>2026Q2</t>
        </is>
      </c>
      <c r="E1416" s="6" t="inlineStr"/>
      <c r="F1416" s="7" t="inlineStr"/>
      <c r="G1416" s="8" t="inlineStr"/>
      <c r="H1416" s="8" t="inlineStr"/>
      <c r="I1416" s="9" t="n">
        <v>61169</v>
      </c>
      <c r="J1416" s="10" t="n">
        <v>5040</v>
      </c>
      <c r="K1416" s="10" t="n">
        <v>2154</v>
      </c>
      <c r="L1416" s="7" t="n">
        <v>56918</v>
      </c>
      <c r="M1416" s="8" t="n">
        <v>4171</v>
      </c>
      <c r="N1416" s="8" t="n">
        <v>1087</v>
      </c>
      <c r="O1416" s="9" t="n">
        <v>54959</v>
      </c>
      <c r="P1416" s="10" t="n">
        <v>1433</v>
      </c>
      <c r="Q1416" s="10" t="n">
        <v>-162</v>
      </c>
      <c r="R1416" s="7" t="n">
        <v>55122</v>
      </c>
      <c r="S1416" s="8" t="n">
        <v>-327</v>
      </c>
      <c r="T1416" s="8" t="n">
        <v>3483</v>
      </c>
      <c r="U1416" s="9" t="n">
        <v>60209</v>
      </c>
      <c r="V1416" s="10" t="n">
        <v>2815</v>
      </c>
      <c r="W1416" s="10" t="n">
        <v>1186</v>
      </c>
      <c r="X1416" s="7" t="n">
        <v>54739</v>
      </c>
      <c r="Y1416" s="8" t="n">
        <v>1556</v>
      </c>
      <c r="Z1416" s="8" t="n">
        <v>222</v>
      </c>
      <c r="AA1416" s="9" t="n">
        <v>55944</v>
      </c>
      <c r="AB1416" s="10" t="n">
        <v>204</v>
      </c>
      <c r="AC1416" s="10" t="n">
        <v>8643</v>
      </c>
      <c r="AD1416" s="7" t="n">
        <v>50025</v>
      </c>
      <c r="AE1416" s="8" t="n">
        <v>-2331</v>
      </c>
      <c r="AF1416" s="8" t="n">
        <v>-5715</v>
      </c>
      <c r="AG1416" s="9" t="n">
        <v>58397</v>
      </c>
      <c r="AH1416" s="10" t="n">
        <v>2613</v>
      </c>
      <c r="AI1416" s="10" t="n">
        <v>1565</v>
      </c>
      <c r="AJ1416" s="11" t="n">
        <v>55501</v>
      </c>
      <c r="AK1416" s="12" t="n">
        <v>2394</v>
      </c>
      <c r="AL1416" s="12" t="n">
        <v>2919</v>
      </c>
      <c r="AM1416" s="13" t="n">
        <v>-5</v>
      </c>
      <c r="AN1416" s="13" t="n">
        <v>1.4</v>
      </c>
      <c r="AO1416" s="13" t="n">
        <v>-8.4</v>
      </c>
      <c r="AP1416" s="13" t="n">
        <v>53.9</v>
      </c>
    </row>
    <row r="1417">
      <c r="A1417" s="5" t="inlineStr">
        <is>
          <t>와이즈넛</t>
        </is>
      </c>
      <c r="B1417" s="6" t="inlineStr">
        <is>
          <t>096250</t>
        </is>
      </c>
      <c r="C1417" s="6" t="inlineStr">
        <is>
          <t>연결</t>
        </is>
      </c>
      <c r="D1417" s="6" t="inlineStr">
        <is>
          <t>2026Q2</t>
        </is>
      </c>
      <c r="E1417" s="6" t="inlineStr"/>
      <c r="F1417" s="7" t="inlineStr"/>
      <c r="G1417" s="8" t="inlineStr"/>
      <c r="H1417" s="8" t="inlineStr"/>
      <c r="I1417" s="9" t="n">
        <v>7270</v>
      </c>
      <c r="J1417" s="10" t="n">
        <v>-2226</v>
      </c>
      <c r="K1417" s="10" t="n">
        <v>-1758</v>
      </c>
      <c r="L1417" s="7" t="n">
        <v>6538</v>
      </c>
      <c r="M1417" s="8" t="n">
        <v>-777</v>
      </c>
      <c r="N1417" s="8" t="n">
        <v>-542</v>
      </c>
      <c r="O1417" s="9" t="n">
        <v>7720</v>
      </c>
      <c r="P1417" s="10" t="n">
        <v>79</v>
      </c>
      <c r="Q1417" s="10" t="n">
        <v>528</v>
      </c>
      <c r="R1417" s="7" t="n">
        <v>13393</v>
      </c>
      <c r="S1417" s="8" t="n">
        <v>4627</v>
      </c>
      <c r="T1417" s="8" t="n">
        <v>4823</v>
      </c>
      <c r="U1417" s="9" t="n">
        <v>5395</v>
      </c>
      <c r="V1417" s="10" t="n">
        <v>-4075</v>
      </c>
      <c r="W1417" s="10" t="n">
        <v>-3580</v>
      </c>
      <c r="X1417" s="7" t="n">
        <v>8144</v>
      </c>
      <c r="Y1417" s="8" t="n">
        <v>871</v>
      </c>
      <c r="Z1417" s="8" t="n">
        <v>1581</v>
      </c>
      <c r="AA1417" s="9" t="n">
        <v>8813</v>
      </c>
      <c r="AB1417" s="10" t="n">
        <v>1169</v>
      </c>
      <c r="AC1417" s="10" t="n">
        <v>1587</v>
      </c>
      <c r="AD1417" s="7" t="n">
        <v>12378</v>
      </c>
      <c r="AE1417" s="8" t="n">
        <v>2149</v>
      </c>
      <c r="AF1417" s="8" t="n">
        <v>2165</v>
      </c>
      <c r="AG1417" s="9" t="n">
        <v>7218</v>
      </c>
      <c r="AH1417" s="10" t="n">
        <v>-1426</v>
      </c>
      <c r="AI1417" s="10" t="n">
        <v>-1016</v>
      </c>
      <c r="AJ1417" s="11" t="n">
        <v>7433</v>
      </c>
      <c r="AK1417" s="12" t="n">
        <v>-165</v>
      </c>
      <c r="AL1417" s="12" t="n">
        <v>503</v>
      </c>
      <c r="AM1417" s="13" t="n">
        <v>3</v>
      </c>
      <c r="AN1417" s="13" t="n">
        <v>-8.699999999999999</v>
      </c>
      <c r="AO1417" s="13" t="n">
        <v>88.40000000000001</v>
      </c>
      <c r="AP1417" s="13" t="n">
        <v>-118.9</v>
      </c>
    </row>
    <row r="1418">
      <c r="A1418" s="5" t="inlineStr">
        <is>
          <t>대창솔루션</t>
        </is>
      </c>
      <c r="B1418" s="6" t="inlineStr">
        <is>
          <t>096350</t>
        </is>
      </c>
      <c r="C1418" s="6" t="inlineStr">
        <is>
          <t>연결</t>
        </is>
      </c>
      <c r="D1418" s="6" t="inlineStr">
        <is>
          <t>2026Q2</t>
        </is>
      </c>
      <c r="E1418" s="6" t="inlineStr"/>
      <c r="F1418" s="7" t="inlineStr"/>
      <c r="G1418" s="8" t="inlineStr"/>
      <c r="H1418" s="8" t="inlineStr"/>
      <c r="I1418" s="9" t="n">
        <v>16740</v>
      </c>
      <c r="J1418" s="10" t="n">
        <v>958</v>
      </c>
      <c r="K1418" s="10" t="n">
        <v>454</v>
      </c>
      <c r="L1418" s="7" t="n">
        <v>14064</v>
      </c>
      <c r="M1418" s="8" t="n">
        <v>-153</v>
      </c>
      <c r="N1418" s="8" t="n">
        <v>1387</v>
      </c>
      <c r="O1418" s="9" t="n">
        <v>12924</v>
      </c>
      <c r="P1418" s="10" t="n">
        <v>-583</v>
      </c>
      <c r="Q1418" s="10" t="n">
        <v>-1488</v>
      </c>
      <c r="R1418" s="7" t="n">
        <v>17671</v>
      </c>
      <c r="S1418" s="8" t="n">
        <v>215</v>
      </c>
      <c r="T1418" s="8" t="n">
        <v>-3063</v>
      </c>
      <c r="U1418" s="9" t="n">
        <v>10329</v>
      </c>
      <c r="V1418" s="10" t="n">
        <v>-1167</v>
      </c>
      <c r="W1418" s="10" t="n">
        <v>-1786</v>
      </c>
      <c r="X1418" s="7" t="n">
        <v>14620</v>
      </c>
      <c r="Y1418" s="8" t="n">
        <v>-320</v>
      </c>
      <c r="Z1418" s="8" t="n">
        <v>-5874</v>
      </c>
      <c r="AA1418" s="9" t="n">
        <v>17156</v>
      </c>
      <c r="AB1418" s="10" t="n">
        <v>1172</v>
      </c>
      <c r="AC1418" s="10" t="n">
        <v>641</v>
      </c>
      <c r="AD1418" s="7" t="n">
        <v>17772</v>
      </c>
      <c r="AE1418" s="8" t="n">
        <v>171</v>
      </c>
      <c r="AF1418" s="8" t="n">
        <v>-757</v>
      </c>
      <c r="AG1418" s="9" t="n">
        <v>21248</v>
      </c>
      <c r="AH1418" s="10" t="n">
        <v>1482</v>
      </c>
      <c r="AI1418" s="10" t="n">
        <v>1040</v>
      </c>
      <c r="AJ1418" s="11" t="n">
        <v>18886</v>
      </c>
      <c r="AK1418" s="12" t="n">
        <v>-136</v>
      </c>
      <c r="AL1418" s="12" t="n">
        <v>-1143</v>
      </c>
      <c r="AM1418" s="13" t="n">
        <v>-11.1</v>
      </c>
      <c r="AN1418" s="13" t="n">
        <v>29.2</v>
      </c>
      <c r="AO1418" s="13" t="n">
        <v>-109.2</v>
      </c>
      <c r="AP1418" s="13" t="n">
        <v>57.5</v>
      </c>
    </row>
    <row r="1419">
      <c r="A1419" s="5" t="inlineStr">
        <is>
          <t>씨젠</t>
        </is>
      </c>
      <c r="B1419" s="6" t="inlineStr">
        <is>
          <t>096530</t>
        </is>
      </c>
      <c r="C1419" s="6" t="inlineStr">
        <is>
          <t>연결</t>
        </is>
      </c>
      <c r="D1419" s="6" t="inlineStr">
        <is>
          <t>2026Q2</t>
        </is>
      </c>
      <c r="E1419" s="6" t="inlineStr">
        <is>
          <t>2023Q4</t>
        </is>
      </c>
      <c r="F1419" s="14" t="n">
        <v>100511</v>
      </c>
      <c r="G1419" s="15" t="n">
        <v>3477</v>
      </c>
      <c r="H1419" s="15" t="n">
        <v>5738</v>
      </c>
      <c r="I1419" s="9" t="n">
        <v>89946</v>
      </c>
      <c r="J1419" s="10" t="n">
        <v>-14371</v>
      </c>
      <c r="K1419" s="10" t="n">
        <v>-1983</v>
      </c>
      <c r="L1419" s="7" t="n">
        <v>100140</v>
      </c>
      <c r="M1419" s="8" t="n">
        <v>-1136</v>
      </c>
      <c r="N1419" s="8" t="n">
        <v>24061</v>
      </c>
      <c r="O1419" s="9" t="n">
        <v>108824</v>
      </c>
      <c r="P1419" s="10" t="n">
        <v>5257</v>
      </c>
      <c r="Q1419" s="10" t="n">
        <v>1744</v>
      </c>
      <c r="R1419" s="7" t="n">
        <v>115342</v>
      </c>
      <c r="S1419" s="8" t="n">
        <v>-6229</v>
      </c>
      <c r="T1419" s="8" t="n">
        <v>-44092</v>
      </c>
      <c r="U1419" s="9" t="n">
        <v>115997</v>
      </c>
      <c r="V1419" s="10" t="n">
        <v>14847</v>
      </c>
      <c r="W1419" s="10" t="n">
        <v>28928</v>
      </c>
      <c r="X1419" s="7" t="n">
        <v>114060</v>
      </c>
      <c r="Y1419" s="8" t="n">
        <v>3145</v>
      </c>
      <c r="Z1419" s="8" t="n">
        <v>-71</v>
      </c>
      <c r="AA1419" s="9" t="n">
        <v>113544</v>
      </c>
      <c r="AB1419" s="10" t="n">
        <v>9610</v>
      </c>
      <c r="AC1419" s="10" t="n">
        <v>14604</v>
      </c>
      <c r="AD1419" s="7" t="n">
        <v>130631</v>
      </c>
      <c r="AE1419" s="8" t="n">
        <v>6948</v>
      </c>
      <c r="AF1419" s="8" t="n">
        <v>4984</v>
      </c>
      <c r="AG1419" s="9" t="n">
        <v>129139</v>
      </c>
      <c r="AH1419" s="10" t="n">
        <v>23551</v>
      </c>
      <c r="AI1419" s="10" t="n">
        <v>34747</v>
      </c>
      <c r="AJ1419" s="11" t="n">
        <v>135959</v>
      </c>
      <c r="AK1419" s="12" t="n">
        <v>21585</v>
      </c>
      <c r="AL1419" s="12" t="n">
        <v>25955</v>
      </c>
      <c r="AM1419" s="13" t="n">
        <v>5.3</v>
      </c>
      <c r="AN1419" s="13" t="n">
        <v>19.2</v>
      </c>
      <c r="AO1419" s="13" t="n">
        <v>-8.300000000000001</v>
      </c>
      <c r="AP1419" s="13" t="n">
        <v>586.3</v>
      </c>
    </row>
    <row r="1420">
      <c r="A1420" s="5" t="inlineStr">
        <is>
          <t>알에프세미</t>
        </is>
      </c>
      <c r="B1420" s="6" t="inlineStr">
        <is>
          <t>096610</t>
        </is>
      </c>
      <c r="C1420" s="6" t="inlineStr">
        <is>
          <t>연결</t>
        </is>
      </c>
      <c r="D1420" s="6" t="inlineStr">
        <is>
          <t>2026Q2</t>
        </is>
      </c>
      <c r="E1420" s="6" t="inlineStr"/>
      <c r="F1420" s="7" t="inlineStr"/>
      <c r="G1420" s="8" t="inlineStr"/>
      <c r="H1420" s="8" t="inlineStr"/>
      <c r="I1420" s="9" t="n">
        <v>6473</v>
      </c>
      <c r="J1420" s="10" t="n">
        <v>-343</v>
      </c>
      <c r="K1420" s="10" t="n">
        <v>-303</v>
      </c>
      <c r="L1420" s="7" t="n">
        <v>5754</v>
      </c>
      <c r="M1420" s="8" t="n">
        <v>796</v>
      </c>
      <c r="N1420" s="8" t="n">
        <v>-5</v>
      </c>
      <c r="O1420" s="9" t="n">
        <v>5789</v>
      </c>
      <c r="P1420" s="10" t="n">
        <v>-1487</v>
      </c>
      <c r="Q1420" s="10" t="n">
        <v>-1803</v>
      </c>
      <c r="R1420" s="7" t="n">
        <v>6381</v>
      </c>
      <c r="S1420" s="8" t="n">
        <v>-1566</v>
      </c>
      <c r="T1420" s="8" t="n">
        <v>-722</v>
      </c>
      <c r="U1420" s="9" t="n">
        <v>6200</v>
      </c>
      <c r="V1420" s="10" t="n">
        <v>1505</v>
      </c>
      <c r="W1420" s="10" t="n">
        <v>1595</v>
      </c>
      <c r="X1420" s="7" t="n">
        <v>5984</v>
      </c>
      <c r="Y1420" s="8" t="n">
        <v>434</v>
      </c>
      <c r="Z1420" s="8" t="n">
        <v>396</v>
      </c>
      <c r="AA1420" s="9" t="n">
        <v>6085</v>
      </c>
      <c r="AB1420" s="10" t="n">
        <v>1332</v>
      </c>
      <c r="AC1420" s="10" t="n">
        <v>1379</v>
      </c>
      <c r="AD1420" s="7" t="n">
        <v>6199</v>
      </c>
      <c r="AE1420" s="8" t="n">
        <v>-1501</v>
      </c>
      <c r="AF1420" s="8" t="n">
        <v>-1664</v>
      </c>
      <c r="AG1420" s="9" t="n">
        <v>5390</v>
      </c>
      <c r="AH1420" s="10" t="n">
        <v>157</v>
      </c>
      <c r="AI1420" s="10" t="n">
        <v>1312</v>
      </c>
      <c r="AJ1420" s="11" t="n">
        <v>6994</v>
      </c>
      <c r="AK1420" s="12" t="n">
        <v>213</v>
      </c>
      <c r="AL1420" s="12" t="n">
        <v>157</v>
      </c>
      <c r="AM1420" s="13" t="n">
        <v>29.8</v>
      </c>
      <c r="AN1420" s="13" t="n">
        <v>16.9</v>
      </c>
      <c r="AO1420" s="13" t="n">
        <v>35.7</v>
      </c>
      <c r="AP1420" s="13" t="n">
        <v>-50.9</v>
      </c>
    </row>
    <row r="1421">
      <c r="A1421" s="5" t="inlineStr">
        <is>
          <t>에스코넥</t>
        </is>
      </c>
      <c r="B1421" s="6" t="inlineStr">
        <is>
          <t>096630</t>
        </is>
      </c>
      <c r="C1421" s="6" t="inlineStr">
        <is>
          <t>연결</t>
        </is>
      </c>
      <c r="D1421" s="6" t="inlineStr">
        <is>
          <t>2026Q2</t>
        </is>
      </c>
      <c r="E1421" s="6" t="inlineStr"/>
      <c r="F1421" s="7" t="inlineStr"/>
      <c r="G1421" s="8" t="inlineStr"/>
      <c r="H1421" s="8" t="inlineStr"/>
      <c r="I1421" s="9" t="n">
        <v>82728</v>
      </c>
      <c r="J1421" s="10" t="n">
        <v>4405</v>
      </c>
      <c r="K1421" s="10" t="n">
        <v>5448</v>
      </c>
      <c r="L1421" s="7" t="n">
        <v>63475</v>
      </c>
      <c r="M1421" s="8" t="n">
        <v>2610</v>
      </c>
      <c r="N1421" s="8" t="n">
        <v>-14096</v>
      </c>
      <c r="O1421" s="9" t="n">
        <v>72261</v>
      </c>
      <c r="P1421" s="10" t="n">
        <v>-4397</v>
      </c>
      <c r="Q1421" s="10" t="n">
        <v>-8818</v>
      </c>
      <c r="R1421" s="7" t="n">
        <v>73435</v>
      </c>
      <c r="S1421" s="8" t="n">
        <v>1471</v>
      </c>
      <c r="T1421" s="8" t="n">
        <v>-9678</v>
      </c>
      <c r="U1421" s="9" t="n">
        <v>83671</v>
      </c>
      <c r="V1421" s="10" t="n">
        <v>4579</v>
      </c>
      <c r="W1421" s="10" t="n">
        <v>14276</v>
      </c>
      <c r="X1421" s="7" t="n">
        <v>63276</v>
      </c>
      <c r="Y1421" s="8" t="n">
        <v>1248</v>
      </c>
      <c r="Z1421" s="8" t="n">
        <v>-4069</v>
      </c>
      <c r="AA1421" s="9" t="n">
        <v>66845</v>
      </c>
      <c r="AB1421" s="10" t="n">
        <v>3293</v>
      </c>
      <c r="AC1421" s="10" t="n">
        <v>3591</v>
      </c>
      <c r="AD1421" s="7" t="n">
        <v>64896</v>
      </c>
      <c r="AE1421" s="8" t="n">
        <v>4154</v>
      </c>
      <c r="AF1421" s="8" t="n">
        <v>21904</v>
      </c>
      <c r="AG1421" s="9" t="n">
        <v>58112</v>
      </c>
      <c r="AH1421" s="10" t="n">
        <v>339</v>
      </c>
      <c r="AI1421" s="10" t="n">
        <v>-2105</v>
      </c>
      <c r="AJ1421" s="11" t="n">
        <v>37542</v>
      </c>
      <c r="AK1421" s="12" t="n">
        <v>-2574</v>
      </c>
      <c r="AL1421" s="12" t="n">
        <v>-3931</v>
      </c>
      <c r="AM1421" s="13" t="n">
        <v>-35.4</v>
      </c>
      <c r="AN1421" s="13" t="n">
        <v>-40.7</v>
      </c>
      <c r="AO1421" s="13" t="n">
        <v>-859.3</v>
      </c>
      <c r="AP1421" s="13" t="n">
        <v>-306.2</v>
      </c>
    </row>
    <row r="1422">
      <c r="A1422" s="5" t="inlineStr">
        <is>
          <t>에이루트</t>
        </is>
      </c>
      <c r="B1422" s="6" t="inlineStr">
        <is>
          <t>096690</t>
        </is>
      </c>
      <c r="C1422" s="6" t="inlineStr">
        <is>
          <t>연결</t>
        </is>
      </c>
      <c r="D1422" s="6" t="inlineStr">
        <is>
          <t>2026Q2</t>
        </is>
      </c>
      <c r="E1422" s="6" t="inlineStr"/>
      <c r="F1422" s="7" t="inlineStr"/>
      <c r="G1422" s="8" t="inlineStr"/>
      <c r="H1422" s="8" t="inlineStr"/>
      <c r="I1422" s="9" t="n">
        <v>22383</v>
      </c>
      <c r="J1422" s="10" t="n">
        <v>-1793</v>
      </c>
      <c r="K1422" s="10" t="n">
        <v>-23804</v>
      </c>
      <c r="L1422" s="7" t="n">
        <v>17535</v>
      </c>
      <c r="M1422" s="8" t="n">
        <v>-3437</v>
      </c>
      <c r="N1422" s="8" t="n">
        <v>428</v>
      </c>
      <c r="O1422" s="9" t="n">
        <v>10449</v>
      </c>
      <c r="P1422" s="10" t="n">
        <v>-4847</v>
      </c>
      <c r="Q1422" s="10" t="n">
        <v>-5839</v>
      </c>
      <c r="R1422" s="7" t="n">
        <v>18224</v>
      </c>
      <c r="S1422" s="8" t="n">
        <v>-10733</v>
      </c>
      <c r="T1422" s="8" t="n">
        <v>-16085</v>
      </c>
      <c r="U1422" s="9" t="n">
        <v>11139</v>
      </c>
      <c r="V1422" s="10" t="n">
        <v>-3968</v>
      </c>
      <c r="W1422" s="10" t="n">
        <v>-3978</v>
      </c>
      <c r="X1422" s="7" t="n">
        <v>10702</v>
      </c>
      <c r="Y1422" s="8" t="n">
        <v>-1577</v>
      </c>
      <c r="Z1422" s="8" t="n">
        <v>-8637</v>
      </c>
      <c r="AA1422" s="9" t="n">
        <v>14403</v>
      </c>
      <c r="AB1422" s="10" t="n">
        <v>-691</v>
      </c>
      <c r="AC1422" s="10" t="n">
        <v>-801</v>
      </c>
      <c r="AD1422" s="7" t="n">
        <v>14360</v>
      </c>
      <c r="AE1422" s="8" t="n">
        <v>-4694</v>
      </c>
      <c r="AF1422" s="8" t="n">
        <v>-5130</v>
      </c>
      <c r="AG1422" s="9" t="n">
        <v>13510</v>
      </c>
      <c r="AH1422" s="10" t="n">
        <v>-3046</v>
      </c>
      <c r="AI1422" s="10" t="n">
        <v>-2942</v>
      </c>
      <c r="AJ1422" s="11" t="n">
        <v>16313</v>
      </c>
      <c r="AK1422" s="12" t="n">
        <v>-3357</v>
      </c>
      <c r="AL1422" s="12" t="n">
        <v>-4383</v>
      </c>
      <c r="AM1422" s="13" t="n">
        <v>20.7</v>
      </c>
      <c r="AN1422" s="13" t="n">
        <v>52.4</v>
      </c>
      <c r="AO1422" s="13" t="n">
        <v>-10.2</v>
      </c>
      <c r="AP1422" s="13" t="n">
        <v>-112.9</v>
      </c>
    </row>
    <row r="1423">
      <c r="A1423" s="5" t="inlineStr">
        <is>
          <t>JW홀딩스</t>
        </is>
      </c>
      <c r="B1423" s="6" t="inlineStr">
        <is>
          <t>096760</t>
        </is>
      </c>
      <c r="C1423" s="6" t="inlineStr">
        <is>
          <t>연결</t>
        </is>
      </c>
      <c r="D1423" s="6" t="inlineStr">
        <is>
          <t>2026Q2</t>
        </is>
      </c>
      <c r="E1423" s="6" t="inlineStr"/>
      <c r="F1423" s="7" t="inlineStr"/>
      <c r="G1423" s="8" t="inlineStr"/>
      <c r="H1423" s="8" t="inlineStr"/>
      <c r="I1423" s="9" t="n">
        <v>222982</v>
      </c>
      <c r="J1423" s="10" t="n">
        <v>40844</v>
      </c>
      <c r="K1423" s="10" t="n">
        <v>27290</v>
      </c>
      <c r="L1423" s="7" t="n">
        <v>214733</v>
      </c>
      <c r="M1423" s="8" t="n">
        <v>27884</v>
      </c>
      <c r="N1423" s="8" t="n">
        <v>38772</v>
      </c>
      <c r="O1423" s="9" t="n">
        <v>226489</v>
      </c>
      <c r="P1423" s="10" t="n">
        <v>47325</v>
      </c>
      <c r="Q1423" s="10" t="n">
        <v>30604</v>
      </c>
      <c r="R1423" s="7" t="n">
        <v>223506</v>
      </c>
      <c r="S1423" s="8" t="n">
        <v>30470</v>
      </c>
      <c r="T1423" s="8" t="n">
        <v>26122</v>
      </c>
      <c r="U1423" s="9" t="n">
        <v>239530</v>
      </c>
      <c r="V1423" s="10" t="n">
        <v>41760</v>
      </c>
      <c r="W1423" s="10" t="n">
        <v>29445</v>
      </c>
      <c r="X1423" s="7" t="n">
        <v>228383</v>
      </c>
      <c r="Y1423" s="8" t="n">
        <v>41027</v>
      </c>
      <c r="Z1423" s="8" t="n">
        <v>10127</v>
      </c>
      <c r="AA1423" s="9" t="n">
        <v>244088</v>
      </c>
      <c r="AB1423" s="10" t="n">
        <v>47156</v>
      </c>
      <c r="AC1423" s="10" t="n">
        <v>40470</v>
      </c>
      <c r="AD1423" s="7" t="n">
        <v>257564</v>
      </c>
      <c r="AE1423" s="8" t="n">
        <v>37956</v>
      </c>
      <c r="AF1423" s="8" t="n">
        <v>35446</v>
      </c>
      <c r="AG1423" s="9" t="n">
        <v>243221</v>
      </c>
      <c r="AH1423" s="10" t="n">
        <v>51484</v>
      </c>
      <c r="AI1423" s="10" t="n">
        <v>39802</v>
      </c>
      <c r="AJ1423" s="11" t="n">
        <v>266470</v>
      </c>
      <c r="AK1423" s="12" t="n">
        <v>53782</v>
      </c>
      <c r="AL1423" s="12" t="n">
        <v>40994</v>
      </c>
      <c r="AM1423" s="13" t="n">
        <v>9.6</v>
      </c>
      <c r="AN1423" s="13" t="n">
        <v>16.7</v>
      </c>
      <c r="AO1423" s="13" t="n">
        <v>4.5</v>
      </c>
      <c r="AP1423" s="13" t="n">
        <v>31.1</v>
      </c>
    </row>
    <row r="1424">
      <c r="A1424" s="5" t="inlineStr">
        <is>
          <t>SK이노베이션</t>
        </is>
      </c>
      <c r="B1424" s="6" t="inlineStr">
        <is>
          <t>096770</t>
        </is>
      </c>
      <c r="C1424" s="6" t="inlineStr">
        <is>
          <t>연결</t>
        </is>
      </c>
      <c r="D1424" s="6" t="inlineStr">
        <is>
          <t>2026Q2</t>
        </is>
      </c>
      <c r="E1424" s="6" t="inlineStr">
        <is>
          <t>2023Q4</t>
        </is>
      </c>
      <c r="F1424" s="14" t="n">
        <v>19529301</v>
      </c>
      <c r="G1424" s="15" t="n">
        <v>72619</v>
      </c>
      <c r="H1424" s="15" t="n">
        <v>-10890</v>
      </c>
      <c r="I1424" s="9" t="n">
        <v>18855139</v>
      </c>
      <c r="J1424" s="10" t="n">
        <v>624736</v>
      </c>
      <c r="K1424" s="10" t="n">
        <v>-97623</v>
      </c>
      <c r="L1424" s="7" t="n">
        <v>18799113</v>
      </c>
      <c r="M1424" s="8" t="n">
        <v>-45842</v>
      </c>
      <c r="N1424" s="8" t="n">
        <v>-639709</v>
      </c>
      <c r="O1424" s="9" t="n">
        <v>17657045</v>
      </c>
      <c r="P1424" s="10" t="n">
        <v>-423338</v>
      </c>
      <c r="Q1424" s="10" t="n">
        <v>-588117</v>
      </c>
      <c r="R1424" s="7" t="n">
        <v>19405673</v>
      </c>
      <c r="S1424" s="8" t="n">
        <v>159932</v>
      </c>
      <c r="T1424" s="8" t="n">
        <v>-1047034</v>
      </c>
      <c r="U1424" s="9" t="n">
        <v>21146552</v>
      </c>
      <c r="V1424" s="10" t="n">
        <v>-44639</v>
      </c>
      <c r="W1424" s="10" t="n">
        <v>-125617</v>
      </c>
      <c r="X1424" s="7" t="n">
        <v>19306626</v>
      </c>
      <c r="Y1424" s="8" t="n">
        <v>-417569</v>
      </c>
      <c r="Z1424" s="8" t="n">
        <v>-1032176</v>
      </c>
      <c r="AA1424" s="9" t="n">
        <v>20533220</v>
      </c>
      <c r="AB1424" s="10" t="n">
        <v>573475</v>
      </c>
      <c r="AC1424" s="10" t="n">
        <v>-94295</v>
      </c>
      <c r="AD1424" s="7" t="n">
        <v>19309656</v>
      </c>
      <c r="AE1424" s="8" t="n">
        <v>337417</v>
      </c>
      <c r="AF1424" s="8" t="n">
        <v>-4184353</v>
      </c>
      <c r="AG1424" s="9" t="n">
        <v>24212059</v>
      </c>
      <c r="AH1424" s="10" t="n">
        <v>2162165</v>
      </c>
      <c r="AI1424" s="10" t="n">
        <v>896090</v>
      </c>
      <c r="AJ1424" s="11" t="n">
        <v>29157205</v>
      </c>
      <c r="AK1424" s="12" t="n">
        <v>3487296</v>
      </c>
      <c r="AL1424" s="12" t="n">
        <v>73463</v>
      </c>
      <c r="AM1424" s="13" t="n">
        <v>20.4</v>
      </c>
      <c r="AN1424" s="13" t="n">
        <v>51</v>
      </c>
      <c r="AO1424" s="13" t="n">
        <v>61.3</v>
      </c>
      <c r="AP1424" s="13" t="n">
        <v>935.1</v>
      </c>
    </row>
    <row r="1425">
      <c r="A1425" s="5" t="inlineStr">
        <is>
          <t>엘디티</t>
        </is>
      </c>
      <c r="B1425" s="6" t="inlineStr">
        <is>
          <t>096870</t>
        </is>
      </c>
      <c r="C1425" s="6" t="inlineStr">
        <is>
          <t>별도</t>
        </is>
      </c>
      <c r="D1425" s="6" t="inlineStr">
        <is>
          <t>2026Q2</t>
        </is>
      </c>
      <c r="E1425" s="6" t="inlineStr"/>
      <c r="F1425" s="7" t="inlineStr"/>
      <c r="G1425" s="8" t="inlineStr"/>
      <c r="H1425" s="8" t="inlineStr"/>
      <c r="I1425" s="9" t="n">
        <v>2277</v>
      </c>
      <c r="J1425" s="10" t="n">
        <v>-252</v>
      </c>
      <c r="K1425" s="10" t="n">
        <v>-123</v>
      </c>
      <c r="L1425" s="7" t="n">
        <v>2012</v>
      </c>
      <c r="M1425" s="8" t="n">
        <v>-348</v>
      </c>
      <c r="N1425" s="8" t="n">
        <v>-229</v>
      </c>
      <c r="O1425" s="9" t="n">
        <v>3299</v>
      </c>
      <c r="P1425" s="10" t="n">
        <v>72</v>
      </c>
      <c r="Q1425" s="10" t="n">
        <v>-47</v>
      </c>
      <c r="R1425" s="7" t="n">
        <v>2441</v>
      </c>
      <c r="S1425" s="8" t="n">
        <v>-308</v>
      </c>
      <c r="T1425" s="8" t="n">
        <v>130</v>
      </c>
      <c r="U1425" s="9" t="n">
        <v>1900</v>
      </c>
      <c r="V1425" s="10" t="n">
        <v>-376</v>
      </c>
      <c r="W1425" s="10" t="n">
        <v>-356</v>
      </c>
      <c r="X1425" s="7" t="n">
        <v>3152</v>
      </c>
      <c r="Y1425" s="8" t="n">
        <v>360</v>
      </c>
      <c r="Z1425" s="8" t="n">
        <v>741</v>
      </c>
      <c r="AA1425" s="9" t="n">
        <v>2866</v>
      </c>
      <c r="AB1425" s="10" t="n">
        <v>130</v>
      </c>
      <c r="AC1425" s="10" t="n">
        <v>314</v>
      </c>
      <c r="AD1425" s="7" t="n">
        <v>3128</v>
      </c>
      <c r="AE1425" s="8" t="n">
        <v>192</v>
      </c>
      <c r="AF1425" s="8" t="n">
        <v>542</v>
      </c>
      <c r="AG1425" s="9" t="n">
        <v>1674</v>
      </c>
      <c r="AH1425" s="10" t="n">
        <v>-440</v>
      </c>
      <c r="AI1425" s="10" t="n">
        <v>-217</v>
      </c>
      <c r="AJ1425" s="11" t="n">
        <v>3854</v>
      </c>
      <c r="AK1425" s="12" t="n">
        <v>874</v>
      </c>
      <c r="AL1425" s="12" t="n">
        <v>949</v>
      </c>
      <c r="AM1425" s="13" t="n">
        <v>130.2</v>
      </c>
      <c r="AN1425" s="13" t="n">
        <v>22.3</v>
      </c>
      <c r="AO1425" s="13" t="n">
        <v>298.6</v>
      </c>
      <c r="AP1425" s="13" t="n">
        <v>142.8</v>
      </c>
    </row>
    <row r="1426">
      <c r="A1426" s="5" t="inlineStr">
        <is>
          <t>HJ중공업</t>
        </is>
      </c>
      <c r="B1426" s="6" t="inlineStr">
        <is>
          <t>097230</t>
        </is>
      </c>
      <c r="C1426" s="6" t="inlineStr">
        <is>
          <t>연결</t>
        </is>
      </c>
      <c r="D1426" s="6" t="inlineStr">
        <is>
          <t>2026Q2</t>
        </is>
      </c>
      <c r="E1426" s="6" t="inlineStr"/>
      <c r="F1426" s="7" t="inlineStr"/>
      <c r="G1426" s="8" t="inlineStr"/>
      <c r="H1426" s="8" t="inlineStr"/>
      <c r="I1426" s="9" t="n">
        <v>467581</v>
      </c>
      <c r="J1426" s="10" t="n">
        <v>11899</v>
      </c>
      <c r="K1426" s="10" t="n">
        <v>14135</v>
      </c>
      <c r="L1426" s="7" t="n">
        <v>484800</v>
      </c>
      <c r="M1426" s="8" t="n">
        <v>-39544</v>
      </c>
      <c r="N1426" s="8" t="n">
        <v>-41374</v>
      </c>
      <c r="O1426" s="9" t="n">
        <v>453768</v>
      </c>
      <c r="P1426" s="10" t="n">
        <v>32907</v>
      </c>
      <c r="Q1426" s="10" t="n">
        <v>51994</v>
      </c>
      <c r="R1426" s="7" t="n">
        <v>479813</v>
      </c>
      <c r="S1426" s="8" t="n">
        <v>1990</v>
      </c>
      <c r="T1426" s="8" t="n">
        <v>-19530</v>
      </c>
      <c r="U1426" s="9" t="n">
        <v>410066</v>
      </c>
      <c r="V1426" s="10" t="n">
        <v>5454</v>
      </c>
      <c r="W1426" s="10" t="n">
        <v>5556</v>
      </c>
      <c r="X1426" s="7" t="n">
        <v>507777</v>
      </c>
      <c r="Y1426" s="8" t="n">
        <v>5339</v>
      </c>
      <c r="Z1426" s="8" t="n">
        <v>-6615</v>
      </c>
      <c r="AA1426" s="9" t="n">
        <v>452208</v>
      </c>
      <c r="AB1426" s="10" t="n">
        <v>5794</v>
      </c>
      <c r="AC1426" s="10" t="n">
        <v>3941</v>
      </c>
      <c r="AD1426" s="7" t="n">
        <v>629654</v>
      </c>
      <c r="AE1426" s="8" t="n">
        <v>50487</v>
      </c>
      <c r="AF1426" s="8" t="n">
        <v>48562</v>
      </c>
      <c r="AG1426" s="9" t="n">
        <v>541400</v>
      </c>
      <c r="AH1426" s="10" t="n">
        <v>24581</v>
      </c>
      <c r="AI1426" s="10" t="n">
        <v>25513</v>
      </c>
      <c r="AJ1426" s="11" t="n">
        <v>729908</v>
      </c>
      <c r="AK1426" s="12" t="n">
        <v>64853</v>
      </c>
      <c r="AL1426" s="12" t="n">
        <v>62543</v>
      </c>
      <c r="AM1426" s="13" t="n">
        <v>34.8</v>
      </c>
      <c r="AN1426" s="13" t="n">
        <v>43.7</v>
      </c>
      <c r="AO1426" s="13" t="n">
        <v>163.8</v>
      </c>
      <c r="AP1426" s="13" t="n">
        <v>1114.7</v>
      </c>
    </row>
    <row r="1427">
      <c r="A1427" s="5" t="inlineStr">
        <is>
          <t>엠씨넥스</t>
        </is>
      </c>
      <c r="B1427" s="6" t="inlineStr">
        <is>
          <t>097520</t>
        </is>
      </c>
      <c r="C1427" s="6" t="inlineStr">
        <is>
          <t>연결</t>
        </is>
      </c>
      <c r="D1427" s="6" t="inlineStr">
        <is>
          <t>2026Q2</t>
        </is>
      </c>
      <c r="E1427" s="6" t="inlineStr"/>
      <c r="F1427" s="7" t="inlineStr"/>
      <c r="G1427" s="8" t="inlineStr"/>
      <c r="H1427" s="8" t="inlineStr"/>
      <c r="I1427" s="9" t="n">
        <v>287835</v>
      </c>
      <c r="J1427" s="10" t="n">
        <v>15205</v>
      </c>
      <c r="K1427" s="10" t="n">
        <v>15930</v>
      </c>
      <c r="L1427" s="7" t="n">
        <v>225759</v>
      </c>
      <c r="M1427" s="8" t="n">
        <v>7650</v>
      </c>
      <c r="N1427" s="8" t="n">
        <v>18423</v>
      </c>
      <c r="O1427" s="9" t="n">
        <v>245071</v>
      </c>
      <c r="P1427" s="10" t="n">
        <v>3077</v>
      </c>
      <c r="Q1427" s="10" t="n">
        <v>2505</v>
      </c>
      <c r="R1427" s="7" t="n">
        <v>298393</v>
      </c>
      <c r="S1427" s="8" t="n">
        <v>18453</v>
      </c>
      <c r="T1427" s="8" t="n">
        <v>26747</v>
      </c>
      <c r="U1427" s="9" t="n">
        <v>347917</v>
      </c>
      <c r="V1427" s="10" t="n">
        <v>20918</v>
      </c>
      <c r="W1427" s="10" t="n">
        <v>20068</v>
      </c>
      <c r="X1427" s="7" t="n">
        <v>326424</v>
      </c>
      <c r="Y1427" s="8" t="n">
        <v>16171</v>
      </c>
      <c r="Z1427" s="8" t="n">
        <v>13050</v>
      </c>
      <c r="AA1427" s="9" t="n">
        <v>303537</v>
      </c>
      <c r="AB1427" s="10" t="n">
        <v>6708</v>
      </c>
      <c r="AC1427" s="10" t="n">
        <v>9537</v>
      </c>
      <c r="AD1427" s="7" t="n">
        <v>301359</v>
      </c>
      <c r="AE1427" s="8" t="n">
        <v>8218</v>
      </c>
      <c r="AF1427" s="8" t="n">
        <v>8900</v>
      </c>
      <c r="AG1427" s="9" t="n">
        <v>303489</v>
      </c>
      <c r="AH1427" s="10" t="n">
        <v>11413</v>
      </c>
      <c r="AI1427" s="10" t="n">
        <v>14601</v>
      </c>
      <c r="AJ1427" s="11" t="n">
        <v>294668</v>
      </c>
      <c r="AK1427" s="12" t="n">
        <v>2188</v>
      </c>
      <c r="AL1427" s="12" t="n">
        <v>793</v>
      </c>
      <c r="AM1427" s="13" t="n">
        <v>-2.9</v>
      </c>
      <c r="AN1427" s="13" t="n">
        <v>-9.699999999999999</v>
      </c>
      <c r="AO1427" s="13" t="n">
        <v>-80.8</v>
      </c>
      <c r="AP1427" s="13" t="n">
        <v>-86.5</v>
      </c>
    </row>
    <row r="1428">
      <c r="A1428" s="5" t="inlineStr">
        <is>
          <t>에코볼트</t>
        </is>
      </c>
      <c r="B1428" s="6" t="inlineStr">
        <is>
          <t>097780</t>
        </is>
      </c>
      <c r="C1428" s="6" t="inlineStr">
        <is>
          <t>연결</t>
        </is>
      </c>
      <c r="D1428" s="6" t="inlineStr">
        <is>
          <t>2026Q2</t>
        </is>
      </c>
      <c r="E1428" s="6" t="inlineStr"/>
      <c r="F1428" s="7" t="inlineStr"/>
      <c r="G1428" s="8" t="inlineStr"/>
      <c r="H1428" s="8" t="inlineStr"/>
      <c r="I1428" s="9" t="n">
        <v>59721</v>
      </c>
      <c r="J1428" s="10" t="n">
        <v>-6664</v>
      </c>
      <c r="K1428" s="10" t="n">
        <v>-3321</v>
      </c>
      <c r="L1428" s="7" t="n">
        <v>61964</v>
      </c>
      <c r="M1428" s="8" t="n">
        <v>-3431</v>
      </c>
      <c r="N1428" s="8" t="n">
        <v>-5126</v>
      </c>
      <c r="O1428" s="9" t="n">
        <v>95387</v>
      </c>
      <c r="P1428" s="10" t="n">
        <v>-3164</v>
      </c>
      <c r="Q1428" s="10" t="n">
        <v>-4075</v>
      </c>
      <c r="R1428" s="7" t="n">
        <v>8038</v>
      </c>
      <c r="S1428" s="8" t="n">
        <v>-8461</v>
      </c>
      <c r="T1428" s="8" t="n">
        <v>-8087</v>
      </c>
      <c r="U1428" s="9" t="n">
        <v>56785</v>
      </c>
      <c r="V1428" s="10" t="n">
        <v>-3713</v>
      </c>
      <c r="W1428" s="10" t="n">
        <v>-433</v>
      </c>
      <c r="X1428" s="7" t="n">
        <v>58941</v>
      </c>
      <c r="Y1428" s="8" t="n">
        <v>-3617</v>
      </c>
      <c r="Z1428" s="8" t="n">
        <v>-16026</v>
      </c>
      <c r="AA1428" s="9" t="n">
        <v>54240</v>
      </c>
      <c r="AB1428" s="10" t="n">
        <v>1923</v>
      </c>
      <c r="AC1428" s="10" t="n">
        <v>2613</v>
      </c>
      <c r="AD1428" s="7" t="n">
        <v>47461</v>
      </c>
      <c r="AE1428" s="8" t="n">
        <v>6487</v>
      </c>
      <c r="AF1428" s="8" t="n">
        <v>-11063</v>
      </c>
      <c r="AG1428" s="9" t="n">
        <v>28019</v>
      </c>
      <c r="AH1428" s="10" t="n">
        <v>-748</v>
      </c>
      <c r="AI1428" s="10" t="n">
        <v>962</v>
      </c>
      <c r="AJ1428" s="11" t="n">
        <v>25184</v>
      </c>
      <c r="AK1428" s="12" t="n">
        <v>-2276</v>
      </c>
      <c r="AL1428" s="12" t="n">
        <v>2869</v>
      </c>
      <c r="AM1428" s="13" t="n">
        <v>-10.1</v>
      </c>
      <c r="AN1428" s="13" t="n">
        <v>-57.3</v>
      </c>
      <c r="AO1428" s="13" t="n">
        <v>-204.3</v>
      </c>
      <c r="AP1428" s="13" t="n">
        <v>37.1</v>
      </c>
    </row>
    <row r="1429">
      <c r="A1429" s="5" t="inlineStr">
        <is>
          <t>윈팩</t>
        </is>
      </c>
      <c r="B1429" s="6" t="inlineStr">
        <is>
          <t>097800</t>
        </is>
      </c>
      <c r="C1429" s="6" t="inlineStr">
        <is>
          <t>별도</t>
        </is>
      </c>
      <c r="D1429" s="6" t="inlineStr">
        <is>
          <t>2026Q2</t>
        </is>
      </c>
      <c r="E1429" s="6" t="inlineStr"/>
      <c r="F1429" s="7" t="inlineStr"/>
      <c r="G1429" s="8" t="inlineStr"/>
      <c r="H1429" s="8" t="inlineStr"/>
      <c r="I1429" s="9" t="n">
        <v>22640</v>
      </c>
      <c r="J1429" s="10" t="n">
        <v>-5341</v>
      </c>
      <c r="K1429" s="10" t="n">
        <v>-6307</v>
      </c>
      <c r="L1429" s="7" t="n">
        <v>20423</v>
      </c>
      <c r="M1429" s="8" t="n">
        <v>-4767</v>
      </c>
      <c r="N1429" s="8" t="n">
        <v>-8472</v>
      </c>
      <c r="O1429" s="9" t="n">
        <v>16330</v>
      </c>
      <c r="P1429" s="10" t="n">
        <v>-6830</v>
      </c>
      <c r="Q1429" s="10" t="n">
        <v>-7674</v>
      </c>
      <c r="R1429" s="7" t="n">
        <v>14748</v>
      </c>
      <c r="S1429" s="8" t="n">
        <v>-6334</v>
      </c>
      <c r="T1429" s="8" t="n">
        <v>-7542</v>
      </c>
      <c r="U1429" s="9" t="n">
        <v>14637</v>
      </c>
      <c r="V1429" s="10" t="n">
        <v>-4779</v>
      </c>
      <c r="W1429" s="10" t="n">
        <v>-2737</v>
      </c>
      <c r="X1429" s="7" t="n">
        <v>18296</v>
      </c>
      <c r="Y1429" s="8" t="n">
        <v>-3561</v>
      </c>
      <c r="Z1429" s="8" t="n">
        <v>-5511</v>
      </c>
      <c r="AA1429" s="9" t="n">
        <v>21439</v>
      </c>
      <c r="AB1429" s="10" t="n">
        <v>-2964</v>
      </c>
      <c r="AC1429" s="10" t="n">
        <v>-1891</v>
      </c>
      <c r="AD1429" s="7" t="n">
        <v>21176</v>
      </c>
      <c r="AE1429" s="8" t="n">
        <v>-2985</v>
      </c>
      <c r="AF1429" s="8" t="n">
        <v>-3552</v>
      </c>
      <c r="AG1429" s="9" t="inlineStr"/>
      <c r="AH1429" s="10" t="n">
        <v>-2055</v>
      </c>
      <c r="AI1429" s="10" t="n">
        <v>-2272</v>
      </c>
      <c r="AJ1429" s="14" t="n">
        <v>30185</v>
      </c>
      <c r="AK1429" s="12" t="n">
        <v>795</v>
      </c>
      <c r="AL1429" s="12" t="n">
        <v>127</v>
      </c>
      <c r="AM1429" s="13" t="inlineStr"/>
      <c r="AN1429" s="13" t="n">
        <v>65</v>
      </c>
      <c r="AO1429" s="13" t="n">
        <v>138.7</v>
      </c>
      <c r="AP1429" s="13" t="n">
        <v>122.3</v>
      </c>
    </row>
    <row r="1430">
      <c r="A1430" s="5" t="inlineStr">
        <is>
          <t>효성오앤비</t>
        </is>
      </c>
      <c r="B1430" s="6" t="inlineStr">
        <is>
          <t>097870</t>
        </is>
      </c>
      <c r="C1430" s="6" t="inlineStr">
        <is>
          <t>연결</t>
        </is>
      </c>
      <c r="D1430" s="6" t="inlineStr">
        <is>
          <t>2025Q4</t>
        </is>
      </c>
      <c r="E1430" s="6" t="inlineStr"/>
      <c r="F1430" s="7" t="inlineStr"/>
      <c r="G1430" s="8" t="inlineStr"/>
      <c r="H1430" s="8" t="inlineStr"/>
      <c r="I1430" s="9" t="n">
        <v>3965</v>
      </c>
      <c r="J1430" s="10" t="n">
        <v>-527</v>
      </c>
      <c r="K1430" s="10" t="n">
        <v>-1</v>
      </c>
      <c r="L1430" s="7" t="n">
        <v>6208</v>
      </c>
      <c r="M1430" s="8" t="n">
        <v>1144</v>
      </c>
      <c r="N1430" s="8" t="n">
        <v>803</v>
      </c>
      <c r="O1430" s="9" t="n">
        <v>12202</v>
      </c>
      <c r="P1430" s="10" t="n">
        <v>3112</v>
      </c>
      <c r="Q1430" s="10" t="n">
        <v>2779</v>
      </c>
      <c r="R1430" s="7" t="n">
        <v>5683</v>
      </c>
      <c r="S1430" s="8" t="n">
        <v>529</v>
      </c>
      <c r="T1430" s="8" t="n">
        <v>939</v>
      </c>
      <c r="U1430" s="9" t="n">
        <v>3046</v>
      </c>
      <c r="V1430" s="10" t="n">
        <v>-277</v>
      </c>
      <c r="W1430" s="10" t="n">
        <v>-7</v>
      </c>
      <c r="X1430" s="7" t="n">
        <v>4218</v>
      </c>
      <c r="Y1430" s="8" t="n">
        <v>197</v>
      </c>
      <c r="Z1430" s="8" t="n">
        <v>-503</v>
      </c>
      <c r="AA1430" s="9" t="n">
        <v>11227</v>
      </c>
      <c r="AB1430" s="10" t="n">
        <v>2602</v>
      </c>
      <c r="AC1430" s="10" t="n">
        <v>2630</v>
      </c>
      <c r="AD1430" s="7" t="n">
        <v>5896</v>
      </c>
      <c r="AE1430" s="8" t="n">
        <v>947</v>
      </c>
      <c r="AF1430" s="8" t="n">
        <v>774</v>
      </c>
      <c r="AG1430" s="9" t="inlineStr"/>
      <c r="AH1430" s="10" t="inlineStr"/>
      <c r="AI1430" s="10" t="inlineStr"/>
      <c r="AJ1430" s="11" t="inlineStr"/>
      <c r="AK1430" s="12" t="inlineStr"/>
      <c r="AL1430" s="12" t="inlineStr"/>
      <c r="AM1430" s="13" t="inlineStr"/>
      <c r="AN1430" s="13" t="inlineStr"/>
      <c r="AO1430" s="13" t="inlineStr"/>
      <c r="AP1430" s="13" t="inlineStr"/>
    </row>
    <row r="1431">
      <c r="A1431" s="5" t="inlineStr">
        <is>
          <t>CJ제일제당</t>
        </is>
      </c>
      <c r="B1431" s="6" t="inlineStr">
        <is>
          <t>097950</t>
        </is>
      </c>
      <c r="C1431" s="6" t="inlineStr">
        <is>
          <t>연결</t>
        </is>
      </c>
      <c r="D1431" s="6" t="inlineStr">
        <is>
          <t>2026Q2</t>
        </is>
      </c>
      <c r="E1431" s="6" t="inlineStr">
        <is>
          <t>2023Q4</t>
        </is>
      </c>
      <c r="F1431" s="14" t="n">
        <v>7289439</v>
      </c>
      <c r="G1431" s="15" t="n">
        <v>298268</v>
      </c>
      <c r="H1431" s="15" t="n">
        <v>151927</v>
      </c>
      <c r="I1431" s="9" t="n">
        <v>7215961</v>
      </c>
      <c r="J1431" s="10" t="n">
        <v>375944</v>
      </c>
      <c r="K1431" s="10" t="n">
        <v>154627</v>
      </c>
      <c r="L1431" s="7" t="n">
        <v>7238675</v>
      </c>
      <c r="M1431" s="8" t="n">
        <v>383560</v>
      </c>
      <c r="N1431" s="8" t="n">
        <v>147817</v>
      </c>
      <c r="O1431" s="9" t="n">
        <v>7414278</v>
      </c>
      <c r="P1431" s="10" t="n">
        <v>416194</v>
      </c>
      <c r="Q1431" s="10" t="n">
        <v>212228</v>
      </c>
      <c r="R1431" s="7" t="n">
        <v>7490168</v>
      </c>
      <c r="S1431" s="8" t="n">
        <v>377320</v>
      </c>
      <c r="T1431" s="8" t="n">
        <v>-152836</v>
      </c>
      <c r="U1431" s="9" t="n">
        <v>7208471</v>
      </c>
      <c r="V1431" s="10" t="n">
        <v>333168</v>
      </c>
      <c r="W1431" s="10" t="n">
        <v>57389</v>
      </c>
      <c r="X1431" s="7" t="n">
        <v>7237176</v>
      </c>
      <c r="Y1431" s="8" t="n">
        <v>353130</v>
      </c>
      <c r="Z1431" s="8" t="n">
        <v>209115</v>
      </c>
      <c r="AA1431" s="9" t="n">
        <v>7439500</v>
      </c>
      <c r="AB1431" s="10" t="n">
        <v>346503</v>
      </c>
      <c r="AC1431" s="10" t="n">
        <v>119193</v>
      </c>
      <c r="AD1431" s="7" t="n">
        <v>5457442</v>
      </c>
      <c r="AE1431" s="8" t="n">
        <v>200804</v>
      </c>
      <c r="AF1431" s="8" t="n">
        <v>-802652</v>
      </c>
      <c r="AG1431" s="9" t="n">
        <v>7111120</v>
      </c>
      <c r="AH1431" s="10" t="n">
        <v>238132</v>
      </c>
      <c r="AI1431" s="10" t="n">
        <v>119847</v>
      </c>
      <c r="AJ1431" s="11" t="n">
        <v>7362113</v>
      </c>
      <c r="AK1431" s="12" t="n">
        <v>257575</v>
      </c>
      <c r="AL1431" s="12" t="n">
        <v>-3877</v>
      </c>
      <c r="AM1431" s="13" t="n">
        <v>3.5</v>
      </c>
      <c r="AN1431" s="13" t="n">
        <v>1.7</v>
      </c>
      <c r="AO1431" s="13" t="n">
        <v>8.199999999999999</v>
      </c>
      <c r="AP1431" s="13" t="n">
        <v>-27.1</v>
      </c>
    </row>
    <row r="1432">
      <c r="A1432" s="5" t="inlineStr">
        <is>
          <t>한텍</t>
        </is>
      </c>
      <c r="B1432" s="6" t="inlineStr">
        <is>
          <t>098070</t>
        </is>
      </c>
      <c r="C1432" s="6" t="inlineStr">
        <is>
          <t>연결</t>
        </is>
      </c>
      <c r="D1432" s="6" t="inlineStr">
        <is>
          <t>2026Q2</t>
        </is>
      </c>
      <c r="E1432" s="6" t="inlineStr"/>
      <c r="F1432" s="7" t="inlineStr"/>
      <c r="G1432" s="8" t="inlineStr"/>
      <c r="H1432" s="8" t="inlineStr"/>
      <c r="I1432" s="9" t="inlineStr"/>
      <c r="J1432" s="10" t="inlineStr"/>
      <c r="K1432" s="10" t="inlineStr"/>
      <c r="L1432" s="7" t="inlineStr"/>
      <c r="M1432" s="8" t="inlineStr"/>
      <c r="N1432" s="8" t="inlineStr"/>
      <c r="O1432" s="9" t="inlineStr"/>
      <c r="P1432" s="10" t="inlineStr"/>
      <c r="Q1432" s="10" t="inlineStr"/>
      <c r="R1432" s="7" t="inlineStr"/>
      <c r="S1432" s="8" t="inlineStr"/>
      <c r="T1432" s="8" t="inlineStr"/>
      <c r="U1432" s="9" t="inlineStr"/>
      <c r="V1432" s="10" t="inlineStr"/>
      <c r="W1432" s="10" t="inlineStr"/>
      <c r="X1432" s="7" t="n">
        <v>49314</v>
      </c>
      <c r="Y1432" s="8" t="n">
        <v>18172</v>
      </c>
      <c r="Z1432" s="8" t="n">
        <v>13840</v>
      </c>
      <c r="AA1432" s="9" t="n">
        <v>41086</v>
      </c>
      <c r="AB1432" s="10" t="n">
        <v>8835</v>
      </c>
      <c r="AC1432" s="10" t="n">
        <v>10712</v>
      </c>
      <c r="AD1432" s="7" t="inlineStr"/>
      <c r="AE1432" s="8" t="inlineStr"/>
      <c r="AF1432" s="8" t="inlineStr"/>
      <c r="AG1432" s="9" t="n">
        <v>47025</v>
      </c>
      <c r="AH1432" s="10" t="n">
        <v>7635</v>
      </c>
      <c r="AI1432" s="10" t="n">
        <v>8037</v>
      </c>
      <c r="AJ1432" s="11" t="n">
        <v>46339</v>
      </c>
      <c r="AK1432" s="12" t="n">
        <v>10597</v>
      </c>
      <c r="AL1432" s="12" t="n">
        <v>8976</v>
      </c>
      <c r="AM1432" s="13" t="n">
        <v>-1.5</v>
      </c>
      <c r="AN1432" s="13" t="n">
        <v>-6</v>
      </c>
      <c r="AO1432" s="13" t="n">
        <v>38.8</v>
      </c>
      <c r="AP1432" s="13" t="n">
        <v>-41.7</v>
      </c>
    </row>
    <row r="1433">
      <c r="A1433" s="5" t="inlineStr">
        <is>
          <t>마이크로컨텍솔</t>
        </is>
      </c>
      <c r="B1433" s="6" t="inlineStr">
        <is>
          <t>098120</t>
        </is>
      </c>
      <c r="C1433" s="6" t="inlineStr">
        <is>
          <t>연결</t>
        </is>
      </c>
      <c r="D1433" s="6" t="inlineStr">
        <is>
          <t>2026Q2</t>
        </is>
      </c>
      <c r="E1433" s="6" t="inlineStr"/>
      <c r="F1433" s="7" t="inlineStr"/>
      <c r="G1433" s="8" t="inlineStr"/>
      <c r="H1433" s="8" t="inlineStr"/>
      <c r="I1433" s="9" t="n">
        <v>14308</v>
      </c>
      <c r="J1433" s="10" t="n">
        <v>1993</v>
      </c>
      <c r="K1433" s="10" t="n">
        <v>2140</v>
      </c>
      <c r="L1433" s="7" t="n">
        <v>15148</v>
      </c>
      <c r="M1433" s="8" t="n">
        <v>1518</v>
      </c>
      <c r="N1433" s="8" t="n">
        <v>1405</v>
      </c>
      <c r="O1433" s="9" t="n">
        <v>18456</v>
      </c>
      <c r="P1433" s="10" t="n">
        <v>2632</v>
      </c>
      <c r="Q1433" s="10" t="n">
        <v>1963</v>
      </c>
      <c r="R1433" s="7" t="n">
        <v>21752</v>
      </c>
      <c r="S1433" s="8" t="n">
        <v>4061</v>
      </c>
      <c r="T1433" s="8" t="n">
        <v>5173</v>
      </c>
      <c r="U1433" s="9" t="n">
        <v>25320</v>
      </c>
      <c r="V1433" s="10" t="n">
        <v>4983</v>
      </c>
      <c r="W1433" s="10" t="n">
        <v>4455</v>
      </c>
      <c r="X1433" s="7" t="n">
        <v>22367</v>
      </c>
      <c r="Y1433" s="8" t="n">
        <v>3693</v>
      </c>
      <c r="Z1433" s="8" t="n">
        <v>2163</v>
      </c>
      <c r="AA1433" s="9" t="n">
        <v>25392</v>
      </c>
      <c r="AB1433" s="10" t="n">
        <v>3902</v>
      </c>
      <c r="AC1433" s="10" t="n">
        <v>4002</v>
      </c>
      <c r="AD1433" s="7" t="n">
        <v>27235</v>
      </c>
      <c r="AE1433" s="8" t="n">
        <v>5167</v>
      </c>
      <c r="AF1433" s="8" t="n">
        <v>6349</v>
      </c>
      <c r="AG1433" s="9" t="n">
        <v>27573</v>
      </c>
      <c r="AH1433" s="10" t="n">
        <v>5381</v>
      </c>
      <c r="AI1433" s="10" t="n">
        <v>5445</v>
      </c>
      <c r="AJ1433" s="11" t="n">
        <v>41897</v>
      </c>
      <c r="AK1433" s="12" t="n">
        <v>13904</v>
      </c>
      <c r="AL1433" s="12" t="n">
        <v>11471</v>
      </c>
      <c r="AM1433" s="13" t="n">
        <v>51.9</v>
      </c>
      <c r="AN1433" s="13" t="n">
        <v>87.3</v>
      </c>
      <c r="AO1433" s="13" t="n">
        <v>158.4</v>
      </c>
      <c r="AP1433" s="13" t="n">
        <v>276.5</v>
      </c>
    </row>
    <row r="1434">
      <c r="A1434" s="5" t="inlineStr">
        <is>
          <t>고영</t>
        </is>
      </c>
      <c r="B1434" s="6" t="inlineStr">
        <is>
          <t>098460</t>
        </is>
      </c>
      <c r="C1434" s="6" t="inlineStr">
        <is>
          <t>연결</t>
        </is>
      </c>
      <c r="D1434" s="6" t="inlineStr">
        <is>
          <t>2026Q2</t>
        </is>
      </c>
      <c r="E1434" s="6" t="inlineStr">
        <is>
          <t>2023Q4</t>
        </is>
      </c>
      <c r="F1434" s="14" t="n">
        <v>58839</v>
      </c>
      <c r="G1434" s="15" t="n">
        <v>5801</v>
      </c>
      <c r="H1434" s="15" t="n">
        <v>1912</v>
      </c>
      <c r="I1434" s="9" t="n">
        <v>53026</v>
      </c>
      <c r="J1434" s="10" t="n">
        <v>2180</v>
      </c>
      <c r="K1434" s="10" t="n">
        <v>7283</v>
      </c>
      <c r="L1434" s="7" t="n">
        <v>52474</v>
      </c>
      <c r="M1434" s="8" t="n">
        <v>3161</v>
      </c>
      <c r="N1434" s="8" t="n">
        <v>7343</v>
      </c>
      <c r="O1434" s="9" t="n">
        <v>46298</v>
      </c>
      <c r="P1434" s="10" t="n">
        <v>695</v>
      </c>
      <c r="Q1434" s="10" t="n">
        <v>-4425</v>
      </c>
      <c r="R1434" s="7" t="n">
        <v>50740</v>
      </c>
      <c r="S1434" s="8" t="n">
        <v>-2714</v>
      </c>
      <c r="T1434" s="8" t="n">
        <v>10798</v>
      </c>
      <c r="U1434" s="9" t="n">
        <v>51125</v>
      </c>
      <c r="V1434" s="10" t="n">
        <v>3187</v>
      </c>
      <c r="W1434" s="10" t="n">
        <v>3209</v>
      </c>
      <c r="X1434" s="7" t="n">
        <v>52090</v>
      </c>
      <c r="Y1434" s="8" t="n">
        <v>2513</v>
      </c>
      <c r="Z1434" s="8" t="n">
        <v>-4704</v>
      </c>
      <c r="AA1434" s="9" t="n">
        <v>60286</v>
      </c>
      <c r="AB1434" s="10" t="n">
        <v>4696</v>
      </c>
      <c r="AC1434" s="10" t="n">
        <v>8454</v>
      </c>
      <c r="AD1434" s="7" t="n">
        <v>69146</v>
      </c>
      <c r="AE1434" s="8" t="n">
        <v>6946</v>
      </c>
      <c r="AF1434" s="8" t="n">
        <v>7797</v>
      </c>
      <c r="AG1434" s="9" t="n">
        <v>72734</v>
      </c>
      <c r="AH1434" s="10" t="n">
        <v>9852</v>
      </c>
      <c r="AI1434" s="10" t="n">
        <v>15678</v>
      </c>
      <c r="AJ1434" s="11" t="n">
        <v>88759</v>
      </c>
      <c r="AK1434" s="12" t="n">
        <v>14553</v>
      </c>
      <c r="AL1434" s="12" t="n">
        <v>15724</v>
      </c>
      <c r="AM1434" s="13" t="n">
        <v>22</v>
      </c>
      <c r="AN1434" s="13" t="n">
        <v>70.40000000000001</v>
      </c>
      <c r="AO1434" s="13" t="n">
        <v>47.7</v>
      </c>
      <c r="AP1434" s="13" t="n">
        <v>479.1</v>
      </c>
    </row>
    <row r="1435">
      <c r="A1435" s="5" t="inlineStr">
        <is>
          <t>에스티오</t>
        </is>
      </c>
      <c r="B1435" s="6" t="inlineStr">
        <is>
          <t>098660</t>
        </is>
      </c>
      <c r="C1435" s="6" t="inlineStr">
        <is>
          <t>연결</t>
        </is>
      </c>
      <c r="D1435" s="6" t="inlineStr">
        <is>
          <t>2026Q2</t>
        </is>
      </c>
      <c r="E1435" s="6" t="inlineStr"/>
      <c r="F1435" s="7" t="inlineStr"/>
      <c r="G1435" s="8" t="inlineStr"/>
      <c r="H1435" s="8" t="inlineStr"/>
      <c r="I1435" s="9" t="n">
        <v>15985</v>
      </c>
      <c r="J1435" s="10" t="n">
        <v>-622</v>
      </c>
      <c r="K1435" s="10" t="n">
        <v>-1035</v>
      </c>
      <c r="L1435" s="7" t="n">
        <v>19628</v>
      </c>
      <c r="M1435" s="8" t="n">
        <v>1400</v>
      </c>
      <c r="N1435" s="8" t="n">
        <v>1076</v>
      </c>
      <c r="O1435" s="9" t="n">
        <v>12747</v>
      </c>
      <c r="P1435" s="10" t="n">
        <v>-1570</v>
      </c>
      <c r="Q1435" s="10" t="n">
        <v>-1920</v>
      </c>
      <c r="R1435" s="7" t="n">
        <v>21858</v>
      </c>
      <c r="S1435" s="8" t="n">
        <v>1304</v>
      </c>
      <c r="T1435" s="8" t="n">
        <v>883</v>
      </c>
      <c r="U1435" s="9" t="n">
        <v>15989</v>
      </c>
      <c r="V1435" s="10" t="n">
        <v>-665</v>
      </c>
      <c r="W1435" s="10" t="n">
        <v>-1093</v>
      </c>
      <c r="X1435" s="7" t="n">
        <v>19876</v>
      </c>
      <c r="Y1435" s="8" t="n">
        <v>439</v>
      </c>
      <c r="Z1435" s="8" t="n">
        <v>168</v>
      </c>
      <c r="AA1435" s="9" t="n">
        <v>13323</v>
      </c>
      <c r="AB1435" s="10" t="n">
        <v>-2240</v>
      </c>
      <c r="AC1435" s="10" t="n">
        <v>-2687</v>
      </c>
      <c r="AD1435" s="7" t="n">
        <v>22303</v>
      </c>
      <c r="AE1435" s="8" t="n">
        <v>1060</v>
      </c>
      <c r="AF1435" s="8" t="n">
        <v>-1184</v>
      </c>
      <c r="AG1435" s="9" t="n">
        <v>15919</v>
      </c>
      <c r="AH1435" s="10" t="n">
        <v>-721</v>
      </c>
      <c r="AI1435" s="10" t="n">
        <v>-1231</v>
      </c>
      <c r="AJ1435" s="11" t="n">
        <v>19952</v>
      </c>
      <c r="AK1435" s="12" t="n">
        <v>310</v>
      </c>
      <c r="AL1435" s="12" t="n">
        <v>-231</v>
      </c>
      <c r="AM1435" s="13" t="n">
        <v>25.3</v>
      </c>
      <c r="AN1435" s="13" t="n">
        <v>0.4</v>
      </c>
      <c r="AO1435" s="13" t="n">
        <v>143</v>
      </c>
      <c r="AP1435" s="13" t="n">
        <v>-29.4</v>
      </c>
    </row>
    <row r="1436">
      <c r="A1436" s="5" t="inlineStr">
        <is>
          <t>아이센스</t>
        </is>
      </c>
      <c r="B1436" s="6" t="inlineStr">
        <is>
          <t>099190</t>
        </is>
      </c>
      <c r="C1436" s="6" t="inlineStr">
        <is>
          <t>연결</t>
        </is>
      </c>
      <c r="D1436" s="6" t="inlineStr">
        <is>
          <t>2026Q2</t>
        </is>
      </c>
      <c r="E1436" s="6" t="inlineStr"/>
      <c r="F1436" s="7" t="inlineStr"/>
      <c r="G1436" s="8" t="inlineStr"/>
      <c r="H1436" s="8" t="inlineStr"/>
      <c r="I1436" s="9" t="n">
        <v>68404</v>
      </c>
      <c r="J1436" s="10" t="n">
        <v>810</v>
      </c>
      <c r="K1436" s="10" t="n">
        <v>-361</v>
      </c>
      <c r="L1436" s="7" t="n">
        <v>69900</v>
      </c>
      <c r="M1436" s="8" t="n">
        <v>1970</v>
      </c>
      <c r="N1436" s="8" t="n">
        <v>29</v>
      </c>
      <c r="O1436" s="9" t="n">
        <v>71519</v>
      </c>
      <c r="P1436" s="10" t="n">
        <v>3823</v>
      </c>
      <c r="Q1436" s="10" t="n">
        <v>680</v>
      </c>
      <c r="R1436" s="7" t="n">
        <v>81315</v>
      </c>
      <c r="S1436" s="8" t="n">
        <v>-3945</v>
      </c>
      <c r="T1436" s="8" t="n">
        <v>-2301</v>
      </c>
      <c r="U1436" s="9" t="n">
        <v>76269</v>
      </c>
      <c r="V1436" s="10" t="n">
        <v>3235</v>
      </c>
      <c r="W1436" s="10" t="n">
        <v>2210</v>
      </c>
      <c r="X1436" s="7" t="n">
        <v>76789</v>
      </c>
      <c r="Y1436" s="8" t="n">
        <v>1681</v>
      </c>
      <c r="Z1436" s="8" t="n">
        <v>784</v>
      </c>
      <c r="AA1436" s="9" t="n">
        <v>78727</v>
      </c>
      <c r="AB1436" s="10" t="n">
        <v>916</v>
      </c>
      <c r="AC1436" s="10" t="n">
        <v>-817</v>
      </c>
      <c r="AD1436" s="7" t="n">
        <v>83660</v>
      </c>
      <c r="AE1436" s="8" t="n">
        <v>2055</v>
      </c>
      <c r="AF1436" s="8" t="n">
        <v>-8868</v>
      </c>
      <c r="AG1436" s="9" t="n">
        <v>75130</v>
      </c>
      <c r="AH1436" s="10" t="n">
        <v>937</v>
      </c>
      <c r="AI1436" s="10" t="n">
        <v>1601</v>
      </c>
      <c r="AJ1436" s="11" t="n">
        <v>88674</v>
      </c>
      <c r="AK1436" s="12" t="n">
        <v>6608</v>
      </c>
      <c r="AL1436" s="12" t="n">
        <v>3970</v>
      </c>
      <c r="AM1436" s="13" t="n">
        <v>18</v>
      </c>
      <c r="AN1436" s="13" t="n">
        <v>15.5</v>
      </c>
      <c r="AO1436" s="13" t="n">
        <v>605.2</v>
      </c>
      <c r="AP1436" s="13" t="n">
        <v>293.1</v>
      </c>
    </row>
    <row r="1437">
      <c r="A1437" s="5" t="inlineStr">
        <is>
          <t>SDN</t>
        </is>
      </c>
      <c r="B1437" s="6" t="inlineStr">
        <is>
          <t>099220</t>
        </is>
      </c>
      <c r="C1437" s="6" t="inlineStr">
        <is>
          <t>연결</t>
        </is>
      </c>
      <c r="D1437" s="6" t="inlineStr">
        <is>
          <t>2026Q2</t>
        </is>
      </c>
      <c r="E1437" s="6" t="inlineStr"/>
      <c r="F1437" s="7" t="inlineStr"/>
      <c r="G1437" s="8" t="inlineStr"/>
      <c r="H1437" s="8" t="inlineStr"/>
      <c r="I1437" s="9" t="n">
        <v>16082</v>
      </c>
      <c r="J1437" s="10" t="n">
        <v>-1703</v>
      </c>
      <c r="K1437" s="10" t="n">
        <v>-3955</v>
      </c>
      <c r="L1437" s="7" t="n">
        <v>20895</v>
      </c>
      <c r="M1437" s="8" t="n">
        <v>-3554</v>
      </c>
      <c r="N1437" s="8" t="n">
        <v>-6162</v>
      </c>
      <c r="O1437" s="9" t="n">
        <v>21094</v>
      </c>
      <c r="P1437" s="10" t="n">
        <v>-418</v>
      </c>
      <c r="Q1437" s="10" t="n">
        <v>-867</v>
      </c>
      <c r="R1437" s="7" t="n">
        <v>26290</v>
      </c>
      <c r="S1437" s="8" t="n">
        <v>-830</v>
      </c>
      <c r="T1437" s="8" t="n">
        <v>-17489</v>
      </c>
      <c r="U1437" s="9" t="n">
        <v>14859</v>
      </c>
      <c r="V1437" s="10" t="n">
        <v>-1212</v>
      </c>
      <c r="W1437" s="10" t="n">
        <v>-525</v>
      </c>
      <c r="X1437" s="7" t="n">
        <v>24450</v>
      </c>
      <c r="Y1437" s="8" t="n">
        <v>1450</v>
      </c>
      <c r="Z1437" s="8" t="n">
        <v>-713</v>
      </c>
      <c r="AA1437" s="9" t="n">
        <v>26124</v>
      </c>
      <c r="AB1437" s="10" t="n">
        <v>1758</v>
      </c>
      <c r="AC1437" s="10" t="n">
        <v>3573</v>
      </c>
      <c r="AD1437" s="7" t="n">
        <v>22021</v>
      </c>
      <c r="AE1437" s="8" t="n">
        <v>-1532</v>
      </c>
      <c r="AF1437" s="8" t="n">
        <v>-4337</v>
      </c>
      <c r="AG1437" s="9" t="n">
        <v>17217</v>
      </c>
      <c r="AH1437" s="10" t="n">
        <v>184</v>
      </c>
      <c r="AI1437" s="10" t="n">
        <v>-941</v>
      </c>
      <c r="AJ1437" s="11" t="n">
        <v>30027</v>
      </c>
      <c r="AK1437" s="12" t="n">
        <v>155</v>
      </c>
      <c r="AL1437" s="12" t="n">
        <v>757</v>
      </c>
      <c r="AM1437" s="13" t="n">
        <v>74.40000000000001</v>
      </c>
      <c r="AN1437" s="13" t="n">
        <v>22.8</v>
      </c>
      <c r="AO1437" s="13" t="n">
        <v>-15.8</v>
      </c>
      <c r="AP1437" s="13" t="n">
        <v>-89.3</v>
      </c>
    </row>
    <row r="1438">
      <c r="A1438" s="5" t="inlineStr">
        <is>
          <t>쎄트렉아이</t>
        </is>
      </c>
      <c r="B1438" s="6" t="inlineStr">
        <is>
          <t>099320</t>
        </is>
      </c>
      <c r="C1438" s="6" t="inlineStr">
        <is>
          <t>연결</t>
        </is>
      </c>
      <c r="D1438" s="6" t="inlineStr">
        <is>
          <t>2026Q2</t>
        </is>
      </c>
      <c r="E1438" s="6" t="inlineStr">
        <is>
          <t>2023Q4</t>
        </is>
      </c>
      <c r="F1438" s="14" t="n">
        <v>37692</v>
      </c>
      <c r="G1438" s="15" t="n">
        <v>-994</v>
      </c>
      <c r="H1438" s="15" t="n">
        <v>40019</v>
      </c>
      <c r="I1438" s="9" t="n">
        <v>31719</v>
      </c>
      <c r="J1438" s="10" t="n">
        <v>-3533</v>
      </c>
      <c r="K1438" s="10" t="n">
        <v>-2979</v>
      </c>
      <c r="L1438" s="7" t="n">
        <v>47463</v>
      </c>
      <c r="M1438" s="8" t="n">
        <v>-1528</v>
      </c>
      <c r="N1438" s="8" t="n">
        <v>3496</v>
      </c>
      <c r="O1438" s="9" t="n">
        <v>43684</v>
      </c>
      <c r="P1438" s="10" t="n">
        <v>784</v>
      </c>
      <c r="Q1438" s="10" t="n">
        <v>616</v>
      </c>
      <c r="R1438" s="7" t="n">
        <v>48413</v>
      </c>
      <c r="S1438" s="8" t="n">
        <v>1205</v>
      </c>
      <c r="T1438" s="8" t="n">
        <v>5116</v>
      </c>
      <c r="U1438" s="9" t="n">
        <v>40041</v>
      </c>
      <c r="V1438" s="10" t="n">
        <v>1742</v>
      </c>
      <c r="W1438" s="10" t="n">
        <v>1272</v>
      </c>
      <c r="X1438" s="7" t="n">
        <v>44484</v>
      </c>
      <c r="Y1438" s="8" t="n">
        <v>2026</v>
      </c>
      <c r="Z1438" s="8" t="n">
        <v>3340</v>
      </c>
      <c r="AA1438" s="9" t="n">
        <v>50438</v>
      </c>
      <c r="AB1438" s="10" t="n">
        <v>2455</v>
      </c>
      <c r="AC1438" s="10" t="n">
        <v>1898</v>
      </c>
      <c r="AD1438" s="7" t="n">
        <v>71954</v>
      </c>
      <c r="AE1438" s="8" t="n">
        <v>3957</v>
      </c>
      <c r="AF1438" s="8" t="n">
        <v>7576</v>
      </c>
      <c r="AG1438" s="9" t="n">
        <v>37185</v>
      </c>
      <c r="AH1438" s="10" t="n">
        <v>-2004</v>
      </c>
      <c r="AI1438" s="10" t="n">
        <v>-1996</v>
      </c>
      <c r="AJ1438" s="11" t="n">
        <v>51141</v>
      </c>
      <c r="AK1438" s="12" t="n">
        <v>1367</v>
      </c>
      <c r="AL1438" s="12" t="n">
        <v>-215</v>
      </c>
      <c r="AM1438" s="13" t="n">
        <v>37.5</v>
      </c>
      <c r="AN1438" s="13" t="n">
        <v>15</v>
      </c>
      <c r="AO1438" s="13" t="n">
        <v>168.2</v>
      </c>
      <c r="AP1438" s="13" t="n">
        <v>-32.5</v>
      </c>
    </row>
    <row r="1439">
      <c r="A1439" s="5" t="inlineStr">
        <is>
          <t>브레인즈컴퍼니</t>
        </is>
      </c>
      <c r="B1439" s="6" t="inlineStr">
        <is>
          <t>099390</t>
        </is>
      </c>
      <c r="C1439" s="6" t="inlineStr">
        <is>
          <t>연결</t>
        </is>
      </c>
      <c r="D1439" s="6" t="inlineStr">
        <is>
          <t>2026Q2</t>
        </is>
      </c>
      <c r="E1439" s="6" t="inlineStr"/>
      <c r="F1439" s="7" t="inlineStr"/>
      <c r="G1439" s="8" t="inlineStr"/>
      <c r="H1439" s="8" t="inlineStr"/>
      <c r="I1439" s="9" t="n">
        <v>4445</v>
      </c>
      <c r="J1439" s="10" t="n">
        <v>-1463</v>
      </c>
      <c r="K1439" s="10" t="n">
        <v>-789</v>
      </c>
      <c r="L1439" s="7" t="n">
        <v>5838</v>
      </c>
      <c r="M1439" s="8" t="n">
        <v>412</v>
      </c>
      <c r="N1439" s="8" t="n">
        <v>714</v>
      </c>
      <c r="O1439" s="9" t="n">
        <v>5263</v>
      </c>
      <c r="P1439" s="10" t="n">
        <v>-723</v>
      </c>
      <c r="Q1439" s="10" t="n">
        <v>-152</v>
      </c>
      <c r="R1439" s="7" t="n">
        <v>11040</v>
      </c>
      <c r="S1439" s="8" t="n">
        <v>5374</v>
      </c>
      <c r="T1439" s="8" t="n">
        <v>4779</v>
      </c>
      <c r="U1439" s="9" t="n">
        <v>3660</v>
      </c>
      <c r="V1439" s="10" t="n">
        <v>-1937</v>
      </c>
      <c r="W1439" s="10" t="n">
        <v>-1232</v>
      </c>
      <c r="X1439" s="7" t="n">
        <v>5369</v>
      </c>
      <c r="Y1439" s="8" t="n">
        <v>75</v>
      </c>
      <c r="Z1439" s="8" t="n">
        <v>927</v>
      </c>
      <c r="AA1439" s="9" t="n">
        <v>4234</v>
      </c>
      <c r="AB1439" s="10" t="n">
        <v>-761</v>
      </c>
      <c r="AC1439" s="10" t="n">
        <v>-150</v>
      </c>
      <c r="AD1439" s="7" t="n">
        <v>11823</v>
      </c>
      <c r="AE1439" s="8" t="n">
        <v>4733</v>
      </c>
      <c r="AF1439" s="8" t="n">
        <v>5013</v>
      </c>
      <c r="AG1439" s="9" t="n">
        <v>4061</v>
      </c>
      <c r="AH1439" s="10" t="n">
        <v>-1221</v>
      </c>
      <c r="AI1439" s="10" t="n">
        <v>295</v>
      </c>
      <c r="AJ1439" s="11" t="n">
        <v>5517</v>
      </c>
      <c r="AK1439" s="12" t="n">
        <v>403</v>
      </c>
      <c r="AL1439" s="12" t="n">
        <v>1350</v>
      </c>
      <c r="AM1439" s="13" t="n">
        <v>35.9</v>
      </c>
      <c r="AN1439" s="13" t="n">
        <v>2.8</v>
      </c>
      <c r="AO1439" s="13" t="n">
        <v>133</v>
      </c>
      <c r="AP1439" s="13" t="n">
        <v>437.3</v>
      </c>
    </row>
    <row r="1440">
      <c r="A1440" s="5" t="inlineStr">
        <is>
          <t>동방선기</t>
        </is>
      </c>
      <c r="B1440" s="6" t="inlineStr">
        <is>
          <t>099410</t>
        </is>
      </c>
      <c r="C1440" s="6" t="inlineStr">
        <is>
          <t>별도</t>
        </is>
      </c>
      <c r="D1440" s="6" t="inlineStr">
        <is>
          <t>2026Q2</t>
        </is>
      </c>
      <c r="E1440" s="6" t="inlineStr"/>
      <c r="F1440" s="7" t="inlineStr"/>
      <c r="G1440" s="8" t="inlineStr"/>
      <c r="H1440" s="8" t="inlineStr"/>
      <c r="I1440" s="9" t="n">
        <v>5657</v>
      </c>
      <c r="J1440" s="10" t="n">
        <v>-78</v>
      </c>
      <c r="K1440" s="10" t="n">
        <v>9</v>
      </c>
      <c r="L1440" s="7" t="n">
        <v>7734</v>
      </c>
      <c r="M1440" s="8" t="n">
        <v>729</v>
      </c>
      <c r="N1440" s="8" t="n">
        <v>915</v>
      </c>
      <c r="O1440" s="9" t="n">
        <v>9224</v>
      </c>
      <c r="P1440" s="10" t="n">
        <v>972</v>
      </c>
      <c r="Q1440" s="10" t="n">
        <v>848</v>
      </c>
      <c r="R1440" s="7" t="n">
        <v>13101</v>
      </c>
      <c r="S1440" s="8" t="n">
        <v>2459</v>
      </c>
      <c r="T1440" s="8" t="n">
        <v>4272</v>
      </c>
      <c r="U1440" s="9" t="n">
        <v>8469</v>
      </c>
      <c r="V1440" s="10" t="n">
        <v>422</v>
      </c>
      <c r="W1440" s="10" t="n">
        <v>309</v>
      </c>
      <c r="X1440" s="7" t="n">
        <v>8869</v>
      </c>
      <c r="Y1440" s="8" t="n">
        <v>693</v>
      </c>
      <c r="Z1440" s="8" t="n">
        <v>452</v>
      </c>
      <c r="AA1440" s="9" t="n">
        <v>11507</v>
      </c>
      <c r="AB1440" s="10" t="n">
        <v>3029</v>
      </c>
      <c r="AC1440" s="10" t="n">
        <v>2903</v>
      </c>
      <c r="AD1440" s="7" t="n">
        <v>13034</v>
      </c>
      <c r="AE1440" s="8" t="n">
        <v>5145</v>
      </c>
      <c r="AF1440" s="8" t="n">
        <v>4285</v>
      </c>
      <c r="AG1440" s="9" t="n">
        <v>9197</v>
      </c>
      <c r="AH1440" s="10" t="n">
        <v>1555</v>
      </c>
      <c r="AI1440" s="10" t="n">
        <v>1482</v>
      </c>
      <c r="AJ1440" s="11" t="n">
        <v>11660</v>
      </c>
      <c r="AK1440" s="12" t="n">
        <v>3905</v>
      </c>
      <c r="AL1440" s="12" t="n">
        <v>2782</v>
      </c>
      <c r="AM1440" s="13" t="n">
        <v>26.8</v>
      </c>
      <c r="AN1440" s="13" t="n">
        <v>31.5</v>
      </c>
      <c r="AO1440" s="13" t="n">
        <v>151.1</v>
      </c>
      <c r="AP1440" s="13" t="n">
        <v>463.5</v>
      </c>
    </row>
    <row r="1441">
      <c r="A1441" s="5" t="inlineStr">
        <is>
          <t>바이오플러스</t>
        </is>
      </c>
      <c r="B1441" s="6" t="inlineStr">
        <is>
          <t>099430</t>
        </is>
      </c>
      <c r="C1441" s="6" t="inlineStr">
        <is>
          <t>연결</t>
        </is>
      </c>
      <c r="D1441" s="6" t="inlineStr">
        <is>
          <t>2026Q2</t>
        </is>
      </c>
      <c r="E1441" s="6" t="inlineStr"/>
      <c r="F1441" s="7" t="inlineStr"/>
      <c r="G1441" s="8" t="inlineStr"/>
      <c r="H1441" s="8" t="inlineStr"/>
      <c r="I1441" s="9" t="n">
        <v>9613</v>
      </c>
      <c r="J1441" s="10" t="n">
        <v>2418</v>
      </c>
      <c r="K1441" s="10" t="n">
        <v>2650</v>
      </c>
      <c r="L1441" s="7" t="n">
        <v>11289</v>
      </c>
      <c r="M1441" s="8" t="n">
        <v>2712</v>
      </c>
      <c r="N1441" s="8" t="n">
        <v>6230</v>
      </c>
      <c r="O1441" s="9" t="n">
        <v>16417</v>
      </c>
      <c r="P1441" s="10" t="n">
        <v>4717</v>
      </c>
      <c r="Q1441" s="10" t="n">
        <v>4126</v>
      </c>
      <c r="R1441" s="7" t="n">
        <v>29091</v>
      </c>
      <c r="S1441" s="8" t="n">
        <v>13820</v>
      </c>
      <c r="T1441" s="8" t="n">
        <v>4504</v>
      </c>
      <c r="U1441" s="9" t="n">
        <v>22982</v>
      </c>
      <c r="V1441" s="10" t="n">
        <v>7101</v>
      </c>
      <c r="W1441" s="10" t="n">
        <v>8521</v>
      </c>
      <c r="X1441" s="7" t="n">
        <v>20674</v>
      </c>
      <c r="Y1441" s="8" t="n">
        <v>2072</v>
      </c>
      <c r="Z1441" s="8" t="n">
        <v>3428</v>
      </c>
      <c r="AA1441" s="9" t="n">
        <v>24056</v>
      </c>
      <c r="AB1441" s="10" t="n">
        <v>4875</v>
      </c>
      <c r="AC1441" s="10" t="n">
        <v>4408</v>
      </c>
      <c r="AD1441" s="7" t="n">
        <v>23184</v>
      </c>
      <c r="AE1441" s="8" t="n">
        <v>957</v>
      </c>
      <c r="AF1441" s="8" t="n">
        <v>3639</v>
      </c>
      <c r="AG1441" s="9" t="n">
        <v>26510</v>
      </c>
      <c r="AH1441" s="10" t="n">
        <v>5655</v>
      </c>
      <c r="AI1441" s="10" t="n">
        <v>7998</v>
      </c>
      <c r="AJ1441" s="11" t="n">
        <v>25402</v>
      </c>
      <c r="AK1441" s="12" t="n">
        <v>6247</v>
      </c>
      <c r="AL1441" s="12" t="n">
        <v>3744</v>
      </c>
      <c r="AM1441" s="13" t="n">
        <v>-4.2</v>
      </c>
      <c r="AN1441" s="13" t="n">
        <v>22.9</v>
      </c>
      <c r="AO1441" s="13" t="n">
        <v>10.5</v>
      </c>
      <c r="AP1441" s="13" t="n">
        <v>201.5</v>
      </c>
    </row>
    <row r="1442">
      <c r="A1442" s="5" t="inlineStr">
        <is>
          <t>스맥</t>
        </is>
      </c>
      <c r="B1442" s="6" t="inlineStr">
        <is>
          <t>099440</t>
        </is>
      </c>
      <c r="C1442" s="6" t="inlineStr">
        <is>
          <t>연결</t>
        </is>
      </c>
      <c r="D1442" s="6" t="inlineStr">
        <is>
          <t>2026Q2</t>
        </is>
      </c>
      <c r="E1442" s="6" t="inlineStr"/>
      <c r="F1442" s="7" t="inlineStr"/>
      <c r="G1442" s="8" t="inlineStr"/>
      <c r="H1442" s="8" t="inlineStr"/>
      <c r="I1442" s="9" t="n">
        <v>42665</v>
      </c>
      <c r="J1442" s="10" t="n">
        <v>5098</v>
      </c>
      <c r="K1442" s="10" t="n">
        <v>6561</v>
      </c>
      <c r="L1442" s="7" t="n">
        <v>54577</v>
      </c>
      <c r="M1442" s="8" t="n">
        <v>7350</v>
      </c>
      <c r="N1442" s="8" t="n">
        <v>7871</v>
      </c>
      <c r="O1442" s="9" t="n">
        <v>55486</v>
      </c>
      <c r="P1442" s="10" t="n">
        <v>8431</v>
      </c>
      <c r="Q1442" s="10" t="n">
        <v>4585</v>
      </c>
      <c r="R1442" s="7" t="n">
        <v>48571</v>
      </c>
      <c r="S1442" s="8" t="n">
        <v>3076</v>
      </c>
      <c r="T1442" s="8" t="n">
        <v>3117</v>
      </c>
      <c r="U1442" s="9" t="n">
        <v>42379</v>
      </c>
      <c r="V1442" s="10" t="n">
        <v>4288</v>
      </c>
      <c r="W1442" s="10" t="n">
        <v>3965</v>
      </c>
      <c r="X1442" s="7" t="n">
        <v>34759</v>
      </c>
      <c r="Y1442" s="8" t="n">
        <v>-1045</v>
      </c>
      <c r="Z1442" s="8" t="n">
        <v>-3768</v>
      </c>
      <c r="AA1442" s="9" t="n">
        <v>36239</v>
      </c>
      <c r="AB1442" s="10" t="n">
        <v>-351</v>
      </c>
      <c r="AC1442" s="10" t="n">
        <v>1017</v>
      </c>
      <c r="AD1442" s="7" t="n">
        <v>40213</v>
      </c>
      <c r="AE1442" s="8" t="n">
        <v>-19702</v>
      </c>
      <c r="AF1442" s="8" t="n">
        <v>-22708</v>
      </c>
      <c r="AG1442" s="9" t="n">
        <v>29210</v>
      </c>
      <c r="AH1442" s="10" t="n">
        <v>-4842</v>
      </c>
      <c r="AI1442" s="10" t="n">
        <v>-5065</v>
      </c>
      <c r="AJ1442" s="11" t="n">
        <v>47761</v>
      </c>
      <c r="AK1442" s="12" t="n">
        <v>1609</v>
      </c>
      <c r="AL1442" s="12" t="n">
        <v>2864</v>
      </c>
      <c r="AM1442" s="13" t="n">
        <v>63.5</v>
      </c>
      <c r="AN1442" s="13" t="n">
        <v>37.4</v>
      </c>
      <c r="AO1442" s="13" t="n">
        <v>133.2</v>
      </c>
      <c r="AP1442" s="13" t="n">
        <v>254</v>
      </c>
    </row>
    <row r="1443">
      <c r="A1443" s="5" t="inlineStr">
        <is>
          <t>DGI</t>
        </is>
      </c>
      <c r="B1443" s="6" t="inlineStr">
        <is>
          <t>099520</t>
        </is>
      </c>
      <c r="C1443" s="6" t="inlineStr">
        <is>
          <t>연결</t>
        </is>
      </c>
      <c r="D1443" s="6" t="inlineStr">
        <is>
          <t>2026Q2</t>
        </is>
      </c>
      <c r="E1443" s="6" t="inlineStr"/>
      <c r="F1443" s="7" t="inlineStr"/>
      <c r="G1443" s="8" t="inlineStr"/>
      <c r="H1443" s="8" t="inlineStr"/>
      <c r="I1443" s="9" t="n">
        <v>4351</v>
      </c>
      <c r="J1443" s="10" t="n">
        <v>-27</v>
      </c>
      <c r="K1443" s="10" t="n">
        <v>264</v>
      </c>
      <c r="L1443" s="7" t="n">
        <v>8513</v>
      </c>
      <c r="M1443" s="8" t="n">
        <v>848</v>
      </c>
      <c r="N1443" s="8" t="n">
        <v>1107</v>
      </c>
      <c r="O1443" s="9" t="n">
        <v>3615</v>
      </c>
      <c r="P1443" s="10" t="n">
        <v>-298</v>
      </c>
      <c r="Q1443" s="10" t="n">
        <v>-232</v>
      </c>
      <c r="R1443" s="7" t="n">
        <v>4882</v>
      </c>
      <c r="S1443" s="8" t="n">
        <v>-20</v>
      </c>
      <c r="T1443" s="8" t="n">
        <v>61</v>
      </c>
      <c r="U1443" s="9" t="n">
        <v>2762</v>
      </c>
      <c r="V1443" s="10" t="n">
        <v>-1760</v>
      </c>
      <c r="W1443" s="10" t="n">
        <v>-1245</v>
      </c>
      <c r="X1443" s="7" t="n">
        <v>4398</v>
      </c>
      <c r="Y1443" s="8" t="n">
        <v>-1040</v>
      </c>
      <c r="Z1443" s="8" t="n">
        <v>-1577</v>
      </c>
      <c r="AA1443" s="9" t="n">
        <v>7650</v>
      </c>
      <c r="AB1443" s="10" t="n">
        <v>-712</v>
      </c>
      <c r="AC1443" s="10" t="n">
        <v>-536</v>
      </c>
      <c r="AD1443" s="7" t="n">
        <v>10363</v>
      </c>
      <c r="AE1443" s="8" t="n">
        <v>212</v>
      </c>
      <c r="AF1443" s="8" t="n">
        <v>57</v>
      </c>
      <c r="AG1443" s="9" t="n">
        <v>7366</v>
      </c>
      <c r="AH1443" s="10" t="n">
        <v>-476</v>
      </c>
      <c r="AI1443" s="10" t="n">
        <v>-211</v>
      </c>
      <c r="AJ1443" s="11" t="n">
        <v>9041</v>
      </c>
      <c r="AK1443" s="12" t="n">
        <v>995</v>
      </c>
      <c r="AL1443" s="12" t="n">
        <v>1442</v>
      </c>
      <c r="AM1443" s="13" t="n">
        <v>22.7</v>
      </c>
      <c r="AN1443" s="13" t="n">
        <v>105.6</v>
      </c>
      <c r="AO1443" s="13" t="n">
        <v>309</v>
      </c>
      <c r="AP1443" s="13" t="n">
        <v>195.7</v>
      </c>
    </row>
    <row r="1444">
      <c r="A1444" s="5" t="inlineStr">
        <is>
          <t>이지케어텍</t>
        </is>
      </c>
      <c r="B1444" s="6" t="inlineStr">
        <is>
          <t>099750</t>
        </is>
      </c>
      <c r="C1444" s="6" t="inlineStr">
        <is>
          <t>연결</t>
        </is>
      </c>
      <c r="D1444" s="6" t="inlineStr">
        <is>
          <t>2026Q1</t>
        </is>
      </c>
      <c r="E1444" s="6" t="inlineStr"/>
      <c r="F1444" s="7" t="inlineStr"/>
      <c r="G1444" s="8" t="inlineStr"/>
      <c r="H1444" s="8" t="inlineStr"/>
      <c r="I1444" s="9" t="n">
        <v>19244</v>
      </c>
      <c r="J1444" s="10" t="n">
        <v>604</v>
      </c>
      <c r="K1444" s="10" t="n">
        <v>714</v>
      </c>
      <c r="L1444" s="7" t="n">
        <v>18700</v>
      </c>
      <c r="M1444" s="8" t="n">
        <v>1275</v>
      </c>
      <c r="N1444" s="8" t="n">
        <v>902</v>
      </c>
      <c r="O1444" s="9" t="n">
        <v>17745</v>
      </c>
      <c r="P1444" s="10" t="n">
        <v>1006</v>
      </c>
      <c r="Q1444" s="10" t="n">
        <v>1450</v>
      </c>
      <c r="R1444" s="7" t="n">
        <v>12254</v>
      </c>
      <c r="S1444" s="8" t="n">
        <v>-2649</v>
      </c>
      <c r="T1444" s="8" t="n">
        <v>-1858</v>
      </c>
      <c r="U1444" s="9" t="n">
        <v>15924</v>
      </c>
      <c r="V1444" s="10" t="n">
        <v>111</v>
      </c>
      <c r="W1444" s="10" t="n">
        <v>-89</v>
      </c>
      <c r="X1444" s="7" t="n">
        <v>17110</v>
      </c>
      <c r="Y1444" s="8" t="n">
        <v>2130</v>
      </c>
      <c r="Z1444" s="8" t="n">
        <v>2395</v>
      </c>
      <c r="AA1444" s="9" t="n">
        <v>19781</v>
      </c>
      <c r="AB1444" s="10" t="n">
        <v>1065</v>
      </c>
      <c r="AC1444" s="10" t="n">
        <v>1517</v>
      </c>
      <c r="AD1444" s="7" t="n">
        <v>19826</v>
      </c>
      <c r="AE1444" s="8" t="n">
        <v>-1095</v>
      </c>
      <c r="AF1444" s="8" t="n">
        <v>-1530</v>
      </c>
      <c r="AG1444" s="9" t="n">
        <v>20455</v>
      </c>
      <c r="AH1444" s="10" t="n">
        <v>276</v>
      </c>
      <c r="AI1444" s="10" t="n">
        <v>723</v>
      </c>
      <c r="AJ1444" s="11" t="inlineStr"/>
      <c r="AK1444" s="12" t="inlineStr"/>
      <c r="AL1444" s="12" t="inlineStr"/>
      <c r="AM1444" s="13" t="inlineStr"/>
      <c r="AN1444" s="13" t="inlineStr"/>
      <c r="AO1444" s="13" t="inlineStr"/>
      <c r="AP1444" s="13" t="inlineStr"/>
    </row>
    <row r="1445">
      <c r="A1445" s="5" t="inlineStr">
        <is>
          <t>인지소프트</t>
        </is>
      </c>
      <c r="B1445" s="6" t="inlineStr">
        <is>
          <t>100030</t>
        </is>
      </c>
      <c r="C1445" s="6" t="inlineStr">
        <is>
          <t>연결</t>
        </is>
      </c>
      <c r="D1445" s="6" t="inlineStr">
        <is>
          <t>2026Q2</t>
        </is>
      </c>
      <c r="E1445" s="6" t="inlineStr">
        <is>
          <t>2023Q4</t>
        </is>
      </c>
      <c r="F1445" s="14" t="n">
        <v>6621</v>
      </c>
      <c r="G1445" s="15" t="n">
        <v>1333</v>
      </c>
      <c r="H1445" s="15" t="n">
        <v>-1089</v>
      </c>
      <c r="I1445" s="9" t="n">
        <v>4744</v>
      </c>
      <c r="J1445" s="10" t="n">
        <v>-80</v>
      </c>
      <c r="K1445" s="10" t="n">
        <v>2214</v>
      </c>
      <c r="L1445" s="7" t="n">
        <v>4204</v>
      </c>
      <c r="M1445" s="8" t="n">
        <v>-242</v>
      </c>
      <c r="N1445" s="8" t="n">
        <v>1108</v>
      </c>
      <c r="O1445" s="9" t="n">
        <v>4717</v>
      </c>
      <c r="P1445" s="10" t="n">
        <v>950</v>
      </c>
      <c r="Q1445" s="10" t="n">
        <v>1041</v>
      </c>
      <c r="R1445" s="7" t="n">
        <v>5225</v>
      </c>
      <c r="S1445" s="8" t="n">
        <v>434</v>
      </c>
      <c r="T1445" s="8" t="n">
        <v>-1741</v>
      </c>
      <c r="U1445" s="9" t="n">
        <v>4263</v>
      </c>
      <c r="V1445" s="10" t="n">
        <v>340</v>
      </c>
      <c r="W1445" s="10" t="n">
        <v>1658</v>
      </c>
      <c r="X1445" s="7" t="n">
        <v>5220</v>
      </c>
      <c r="Y1445" s="8" t="n">
        <v>663</v>
      </c>
      <c r="Z1445" s="8" t="n">
        <v>6298</v>
      </c>
      <c r="AA1445" s="9" t="n">
        <v>3662</v>
      </c>
      <c r="AB1445" s="10" t="n">
        <v>188</v>
      </c>
      <c r="AC1445" s="10" t="n">
        <v>4854</v>
      </c>
      <c r="AD1445" s="7" t="n">
        <v>5777</v>
      </c>
      <c r="AE1445" s="8" t="n">
        <v>1149</v>
      </c>
      <c r="AF1445" s="8" t="n">
        <v>8578</v>
      </c>
      <c r="AG1445" s="9" t="n">
        <v>4608</v>
      </c>
      <c r="AH1445" s="10" t="n">
        <v>858</v>
      </c>
      <c r="AI1445" s="10" t="n">
        <v>10172</v>
      </c>
      <c r="AJ1445" s="11" t="n">
        <v>4524</v>
      </c>
      <c r="AK1445" s="12" t="n">
        <v>1216</v>
      </c>
      <c r="AL1445" s="12" t="n">
        <v>47466</v>
      </c>
      <c r="AM1445" s="13" t="n">
        <v>-1.8</v>
      </c>
      <c r="AN1445" s="13" t="n">
        <v>-13.3</v>
      </c>
      <c r="AO1445" s="13" t="n">
        <v>41.7</v>
      </c>
      <c r="AP1445" s="13" t="n">
        <v>83.40000000000001</v>
      </c>
    </row>
    <row r="1446">
      <c r="A1446" s="5" t="inlineStr">
        <is>
          <t>SK오션플랜트</t>
        </is>
      </c>
      <c r="B1446" s="6" t="inlineStr">
        <is>
          <t>100090</t>
        </is>
      </c>
      <c r="C1446" s="6" t="inlineStr">
        <is>
          <t>연결</t>
        </is>
      </c>
      <c r="D1446" s="6" t="inlineStr">
        <is>
          <t>2026Q2</t>
        </is>
      </c>
      <c r="E1446" s="6" t="inlineStr"/>
      <c r="F1446" s="7" t="inlineStr"/>
      <c r="G1446" s="8" t="inlineStr"/>
      <c r="H1446" s="8" t="inlineStr"/>
      <c r="I1446" s="9" t="n">
        <v>127082</v>
      </c>
      <c r="J1446" s="10" t="n">
        <v>8945</v>
      </c>
      <c r="K1446" s="10" t="n">
        <v>4333</v>
      </c>
      <c r="L1446" s="7" t="n">
        <v>173357</v>
      </c>
      <c r="M1446" s="8" t="n">
        <v>14981</v>
      </c>
      <c r="N1446" s="8" t="n">
        <v>3009</v>
      </c>
      <c r="O1446" s="9" t="n">
        <v>199183</v>
      </c>
      <c r="P1446" s="10" t="n">
        <v>15196</v>
      </c>
      <c r="Q1446" s="10" t="n">
        <v>9386</v>
      </c>
      <c r="R1446" s="7" t="n">
        <v>162994</v>
      </c>
      <c r="S1446" s="8" t="n">
        <v>2675</v>
      </c>
      <c r="T1446" s="8" t="n">
        <v>143</v>
      </c>
      <c r="U1446" s="9" t="n">
        <v>257136</v>
      </c>
      <c r="V1446" s="10" t="n">
        <v>11041</v>
      </c>
      <c r="W1446" s="10" t="n">
        <v>4287</v>
      </c>
      <c r="X1446" s="7" t="n">
        <v>240625</v>
      </c>
      <c r="Y1446" s="8" t="n">
        <v>15551</v>
      </c>
      <c r="Z1446" s="8" t="n">
        <v>8500</v>
      </c>
      <c r="AA1446" s="9" t="n">
        <v>293156</v>
      </c>
      <c r="AB1446" s="10" t="n">
        <v>19254</v>
      </c>
      <c r="AC1446" s="10" t="n">
        <v>11055</v>
      </c>
      <c r="AD1446" s="7" t="n">
        <v>174471</v>
      </c>
      <c r="AE1446" s="8" t="n">
        <v>13663</v>
      </c>
      <c r="AF1446" s="8" t="n">
        <v>13669</v>
      </c>
      <c r="AG1446" s="9" t="n">
        <v>174656</v>
      </c>
      <c r="AH1446" s="10" t="n">
        <v>16858</v>
      </c>
      <c r="AI1446" s="10" t="n">
        <v>9856</v>
      </c>
      <c r="AJ1446" s="11" t="n">
        <v>170484</v>
      </c>
      <c r="AK1446" s="12" t="n">
        <v>19344</v>
      </c>
      <c r="AL1446" s="12" t="n">
        <v>13789</v>
      </c>
      <c r="AM1446" s="13" t="n">
        <v>-2.4</v>
      </c>
      <c r="AN1446" s="13" t="n">
        <v>-29.1</v>
      </c>
      <c r="AO1446" s="13" t="n">
        <v>14.7</v>
      </c>
      <c r="AP1446" s="13" t="n">
        <v>24.4</v>
      </c>
    </row>
    <row r="1447">
      <c r="A1447" s="5" t="inlineStr">
        <is>
          <t>뷰웍스</t>
        </is>
      </c>
      <c r="B1447" s="6" t="inlineStr">
        <is>
          <t>100120</t>
        </is>
      </c>
      <c r="C1447" s="6" t="inlineStr">
        <is>
          <t>연결</t>
        </is>
      </c>
      <c r="D1447" s="6" t="inlineStr">
        <is>
          <t>2026Q2</t>
        </is>
      </c>
      <c r="E1447" s="6" t="inlineStr"/>
      <c r="F1447" s="7" t="inlineStr"/>
      <c r="G1447" s="8" t="inlineStr"/>
      <c r="H1447" s="8" t="inlineStr"/>
      <c r="I1447" s="9" t="n">
        <v>60549</v>
      </c>
      <c r="J1447" s="10" t="n">
        <v>7121</v>
      </c>
      <c r="K1447" s="10" t="n">
        <v>8065</v>
      </c>
      <c r="L1447" s="7" t="n">
        <v>54224</v>
      </c>
      <c r="M1447" s="8" t="n">
        <v>3757</v>
      </c>
      <c r="N1447" s="8" t="n">
        <v>2628</v>
      </c>
      <c r="O1447" s="9" t="n">
        <v>48378</v>
      </c>
      <c r="P1447" s="10" t="n">
        <v>4524</v>
      </c>
      <c r="Q1447" s="10" t="n">
        <v>1167</v>
      </c>
      <c r="R1447" s="7" t="n">
        <v>59747</v>
      </c>
      <c r="S1447" s="8" t="n">
        <v>6929</v>
      </c>
      <c r="T1447" s="8" t="n">
        <v>9234</v>
      </c>
      <c r="U1447" s="9" t="n">
        <v>54397</v>
      </c>
      <c r="V1447" s="10" t="n">
        <v>2059</v>
      </c>
      <c r="W1447" s="10" t="n">
        <v>2122</v>
      </c>
      <c r="X1447" s="7" t="n">
        <v>62704</v>
      </c>
      <c r="Y1447" s="8" t="n">
        <v>6532</v>
      </c>
      <c r="Z1447" s="8" t="n">
        <v>1958</v>
      </c>
      <c r="AA1447" s="9" t="n">
        <v>53673</v>
      </c>
      <c r="AB1447" s="10" t="n">
        <v>4303</v>
      </c>
      <c r="AC1447" s="10" t="n">
        <v>6359</v>
      </c>
      <c r="AD1447" s="7" t="n">
        <v>68561</v>
      </c>
      <c r="AE1447" s="8" t="n">
        <v>8526</v>
      </c>
      <c r="AF1447" s="8" t="n">
        <v>10472</v>
      </c>
      <c r="AG1447" s="9" t="n">
        <v>58169</v>
      </c>
      <c r="AH1447" s="10" t="n">
        <v>8843</v>
      </c>
      <c r="AI1447" s="10" t="n">
        <v>9316</v>
      </c>
      <c r="AJ1447" s="11" t="n">
        <v>63877</v>
      </c>
      <c r="AK1447" s="12" t="n">
        <v>10696</v>
      </c>
      <c r="AL1447" s="12" t="n">
        <v>16243</v>
      </c>
      <c r="AM1447" s="13" t="n">
        <v>9.800000000000001</v>
      </c>
      <c r="AN1447" s="13" t="n">
        <v>1.9</v>
      </c>
      <c r="AO1447" s="13" t="n">
        <v>21</v>
      </c>
      <c r="AP1447" s="13" t="n">
        <v>63.7</v>
      </c>
    </row>
    <row r="1448">
      <c r="A1448" s="5" t="inlineStr">
        <is>
          <t>동국S&amp;C</t>
        </is>
      </c>
      <c r="B1448" s="6" t="inlineStr">
        <is>
          <t>100130</t>
        </is>
      </c>
      <c r="C1448" s="6" t="inlineStr">
        <is>
          <t>연결</t>
        </is>
      </c>
      <c r="D1448" s="6" t="inlineStr">
        <is>
          <t>2026Q2</t>
        </is>
      </c>
      <c r="E1448" s="6" t="inlineStr"/>
      <c r="F1448" s="7" t="inlineStr"/>
      <c r="G1448" s="8" t="inlineStr"/>
      <c r="H1448" s="8" t="inlineStr"/>
      <c r="I1448" s="9" t="n">
        <v>84441</v>
      </c>
      <c r="J1448" s="10" t="n">
        <v>-939</v>
      </c>
      <c r="K1448" s="10" t="n">
        <v>-3731</v>
      </c>
      <c r="L1448" s="7" t="n">
        <v>134257</v>
      </c>
      <c r="M1448" s="8" t="n">
        <v>9772</v>
      </c>
      <c r="N1448" s="8" t="n">
        <v>3158</v>
      </c>
      <c r="O1448" s="9" t="n">
        <v>115555</v>
      </c>
      <c r="P1448" s="10" t="n">
        <v>5859</v>
      </c>
      <c r="Q1448" s="10" t="n">
        <v>3205</v>
      </c>
      <c r="R1448" s="7" t="n">
        <v>-168474</v>
      </c>
      <c r="S1448" s="8" t="n">
        <v>-20226</v>
      </c>
      <c r="T1448" s="8" t="n">
        <v>-42398</v>
      </c>
      <c r="U1448" s="9" t="n">
        <v>45088</v>
      </c>
      <c r="V1448" s="10" t="n">
        <v>6324</v>
      </c>
      <c r="W1448" s="10" t="n">
        <v>3988</v>
      </c>
      <c r="X1448" s="7" t="n">
        <v>32431</v>
      </c>
      <c r="Y1448" s="8" t="n">
        <v>4027</v>
      </c>
      <c r="Z1448" s="8" t="n">
        <v>-4798</v>
      </c>
      <c r="AA1448" s="9" t="n">
        <v>32649</v>
      </c>
      <c r="AB1448" s="10" t="n">
        <v>-188</v>
      </c>
      <c r="AC1448" s="10" t="n">
        <v>1037</v>
      </c>
      <c r="AD1448" s="7" t="n">
        <v>9517</v>
      </c>
      <c r="AE1448" s="8" t="n">
        <v>-3219</v>
      </c>
      <c r="AF1448" s="8" t="n">
        <v>-1898</v>
      </c>
      <c r="AG1448" s="9" t="n">
        <v>15801</v>
      </c>
      <c r="AH1448" s="10" t="n">
        <v>-995</v>
      </c>
      <c r="AI1448" s="10" t="n">
        <v>-4156</v>
      </c>
      <c r="AJ1448" s="11" t="n">
        <v>5034</v>
      </c>
      <c r="AK1448" s="12" t="n">
        <v>-3060</v>
      </c>
      <c r="AL1448" s="12" t="n">
        <v>-12811</v>
      </c>
      <c r="AM1448" s="13" t="n">
        <v>-68.09999999999999</v>
      </c>
      <c r="AN1448" s="13" t="n">
        <v>-84.5</v>
      </c>
      <c r="AO1448" s="13" t="n">
        <v>-207.5</v>
      </c>
      <c r="AP1448" s="13" t="n">
        <v>-176</v>
      </c>
    </row>
    <row r="1449">
      <c r="A1449" s="5" t="inlineStr">
        <is>
          <t>비상교육</t>
        </is>
      </c>
      <c r="B1449" s="6" t="inlineStr">
        <is>
          <t>100220</t>
        </is>
      </c>
      <c r="C1449" s="6" t="inlineStr">
        <is>
          <t>연결</t>
        </is>
      </c>
      <c r="D1449" s="6" t="inlineStr">
        <is>
          <t>2026Q2</t>
        </is>
      </c>
      <c r="E1449" s="6" t="inlineStr"/>
      <c r="F1449" s="7" t="inlineStr"/>
      <c r="G1449" s="8" t="inlineStr"/>
      <c r="H1449" s="8" t="inlineStr"/>
      <c r="I1449" s="9" t="n">
        <v>65551</v>
      </c>
      <c r="J1449" s="10" t="n">
        <v>5091</v>
      </c>
      <c r="K1449" s="10" t="n">
        <v>3845</v>
      </c>
      <c r="L1449" s="7" t="n">
        <v>46639</v>
      </c>
      <c r="M1449" s="8" t="n">
        <v>-5086</v>
      </c>
      <c r="N1449" s="8" t="n">
        <v>-6250</v>
      </c>
      <c r="O1449" s="9" t="n">
        <v>42980</v>
      </c>
      <c r="P1449" s="10" t="n">
        <v>-11466</v>
      </c>
      <c r="Q1449" s="10" t="n">
        <v>-6695</v>
      </c>
      <c r="R1449" s="7" t="n">
        <v>91290</v>
      </c>
      <c r="S1449" s="8" t="n">
        <v>21683</v>
      </c>
      <c r="T1449" s="8" t="n">
        <v>6203</v>
      </c>
      <c r="U1449" s="9" t="n">
        <v>87485</v>
      </c>
      <c r="V1449" s="10" t="n">
        <v>19108</v>
      </c>
      <c r="W1449" s="10" t="n">
        <v>22663</v>
      </c>
      <c r="X1449" s="7" t="n">
        <v>43959</v>
      </c>
      <c r="Y1449" s="8" t="n">
        <v>-9511</v>
      </c>
      <c r="Z1449" s="8" t="n">
        <v>-9152</v>
      </c>
      <c r="AA1449" s="9" t="n">
        <v>42943</v>
      </c>
      <c r="AB1449" s="10" t="n">
        <v>-14370</v>
      </c>
      <c r="AC1449" s="10" t="n">
        <v>-14083</v>
      </c>
      <c r="AD1449" s="7" t="n">
        <v>94389</v>
      </c>
      <c r="AE1449" s="8" t="n">
        <v>26391</v>
      </c>
      <c r="AF1449" s="8" t="n">
        <v>21862</v>
      </c>
      <c r="AG1449" s="9" t="n">
        <v>104237</v>
      </c>
      <c r="AH1449" s="10" t="n">
        <v>35042</v>
      </c>
      <c r="AI1449" s="10" t="n">
        <v>25758</v>
      </c>
      <c r="AJ1449" s="11" t="n">
        <v>52570</v>
      </c>
      <c r="AK1449" s="12" t="n">
        <v>-860</v>
      </c>
      <c r="AL1449" s="12" t="n">
        <v>880</v>
      </c>
      <c r="AM1449" s="13" t="n">
        <v>-49.6</v>
      </c>
      <c r="AN1449" s="13" t="n">
        <v>19.6</v>
      </c>
      <c r="AO1449" s="13" t="n">
        <v>-102.5</v>
      </c>
      <c r="AP1449" s="13" t="n">
        <v>91</v>
      </c>
    </row>
    <row r="1450">
      <c r="A1450" s="5" t="inlineStr">
        <is>
          <t>진양홀딩스</t>
        </is>
      </c>
      <c r="B1450" s="6" t="inlineStr">
        <is>
          <t>100250</t>
        </is>
      </c>
      <c r="C1450" s="6" t="inlineStr">
        <is>
          <t>연결</t>
        </is>
      </c>
      <c r="D1450" s="6" t="inlineStr">
        <is>
          <t>2026Q2</t>
        </is>
      </c>
      <c r="E1450" s="6" t="inlineStr"/>
      <c r="F1450" s="7" t="inlineStr"/>
      <c r="G1450" s="8" t="inlineStr"/>
      <c r="H1450" s="8" t="inlineStr"/>
      <c r="I1450" s="9" t="n">
        <v>65974</v>
      </c>
      <c r="J1450" s="10" t="n">
        <v>2105</v>
      </c>
      <c r="K1450" s="10" t="n">
        <v>-1633</v>
      </c>
      <c r="L1450" s="7" t="n">
        <v>71136</v>
      </c>
      <c r="M1450" s="8" t="n">
        <v>3339</v>
      </c>
      <c r="N1450" s="8" t="n">
        <v>10280</v>
      </c>
      <c r="O1450" s="9" t="n">
        <v>64267</v>
      </c>
      <c r="P1450" s="10" t="n">
        <v>8</v>
      </c>
      <c r="Q1450" s="10" t="n">
        <v>-794</v>
      </c>
      <c r="R1450" s="7" t="n">
        <v>85469</v>
      </c>
      <c r="S1450" s="8" t="n">
        <v>-538</v>
      </c>
      <c r="T1450" s="8" t="n">
        <v>13042</v>
      </c>
      <c r="U1450" s="9" t="n">
        <v>70621</v>
      </c>
      <c r="V1450" s="10" t="n">
        <v>2221</v>
      </c>
      <c r="W1450" s="10" t="n">
        <v>-9563</v>
      </c>
      <c r="X1450" s="7" t="n">
        <v>76411</v>
      </c>
      <c r="Y1450" s="8" t="n">
        <v>3085</v>
      </c>
      <c r="Z1450" s="8" t="n">
        <v>11135</v>
      </c>
      <c r="AA1450" s="9" t="n">
        <v>67727</v>
      </c>
      <c r="AB1450" s="10" t="n">
        <v>1202</v>
      </c>
      <c r="AC1450" s="10" t="n">
        <v>15295</v>
      </c>
      <c r="AD1450" s="7" t="n">
        <v>65057</v>
      </c>
      <c r="AE1450" s="8" t="n">
        <v>-724</v>
      </c>
      <c r="AF1450" s="8" t="n">
        <v>5192</v>
      </c>
      <c r="AG1450" s="9" t="n">
        <v>73744</v>
      </c>
      <c r="AH1450" s="10" t="n">
        <v>2269</v>
      </c>
      <c r="AI1450" s="10" t="n">
        <v>8770</v>
      </c>
      <c r="AJ1450" s="11" t="n">
        <v>77316</v>
      </c>
      <c r="AK1450" s="12" t="n">
        <v>2200</v>
      </c>
      <c r="AL1450" s="12" t="n">
        <v>91730</v>
      </c>
      <c r="AM1450" s="13" t="n">
        <v>4.8</v>
      </c>
      <c r="AN1450" s="13" t="n">
        <v>1.2</v>
      </c>
      <c r="AO1450" s="13" t="n">
        <v>-3</v>
      </c>
      <c r="AP1450" s="13" t="n">
        <v>-28.7</v>
      </c>
    </row>
    <row r="1451">
      <c r="A1451" s="5" t="inlineStr">
        <is>
          <t>머큐리</t>
        </is>
      </c>
      <c r="B1451" s="6" t="inlineStr">
        <is>
          <t>100590</t>
        </is>
      </c>
      <c r="C1451" s="6" t="inlineStr">
        <is>
          <t>연결</t>
        </is>
      </c>
      <c r="D1451" s="6" t="inlineStr">
        <is>
          <t>2026Q2</t>
        </is>
      </c>
      <c r="E1451" s="6" t="inlineStr"/>
      <c r="F1451" s="7" t="inlineStr"/>
      <c r="G1451" s="8" t="inlineStr"/>
      <c r="H1451" s="8" t="inlineStr"/>
      <c r="I1451" s="9" t="n">
        <v>35361</v>
      </c>
      <c r="J1451" s="10" t="n">
        <v>146</v>
      </c>
      <c r="K1451" s="10" t="n">
        <v>2234</v>
      </c>
      <c r="L1451" s="7" t="n">
        <v>36780</v>
      </c>
      <c r="M1451" s="8" t="n">
        <v>-32</v>
      </c>
      <c r="N1451" s="8" t="n">
        <v>1146</v>
      </c>
      <c r="O1451" s="9" t="n">
        <v>30161</v>
      </c>
      <c r="P1451" s="10" t="n">
        <v>-380</v>
      </c>
      <c r="Q1451" s="10" t="n">
        <v>-877</v>
      </c>
      <c r="R1451" s="7" t="n">
        <v>32006</v>
      </c>
      <c r="S1451" s="8" t="n">
        <v>-621</v>
      </c>
      <c r="T1451" s="8" t="n">
        <v>-4009</v>
      </c>
      <c r="U1451" s="9" t="n">
        <v>21518</v>
      </c>
      <c r="V1451" s="10" t="n">
        <v>-2290</v>
      </c>
      <c r="W1451" s="10" t="n">
        <v>-2175</v>
      </c>
      <c r="X1451" s="7" t="n">
        <v>32190</v>
      </c>
      <c r="Y1451" s="8" t="n">
        <v>-194</v>
      </c>
      <c r="Z1451" s="8" t="n">
        <v>742</v>
      </c>
      <c r="AA1451" s="9" t="n">
        <v>29613</v>
      </c>
      <c r="AB1451" s="10" t="n">
        <v>-303</v>
      </c>
      <c r="AC1451" s="10" t="n">
        <v>-686</v>
      </c>
      <c r="AD1451" s="7" t="n">
        <v>40545</v>
      </c>
      <c r="AE1451" s="8" t="n">
        <v>2053</v>
      </c>
      <c r="AF1451" s="8" t="n">
        <v>-231</v>
      </c>
      <c r="AG1451" s="9" t="n">
        <v>26016</v>
      </c>
      <c r="AH1451" s="10" t="n">
        <v>-1165</v>
      </c>
      <c r="AI1451" s="10" t="n">
        <v>1335</v>
      </c>
      <c r="AJ1451" s="11" t="n">
        <v>30144</v>
      </c>
      <c r="AK1451" s="12" t="n">
        <v>1327</v>
      </c>
      <c r="AL1451" s="12" t="n">
        <v>-5937</v>
      </c>
      <c r="AM1451" s="13" t="n">
        <v>15.9</v>
      </c>
      <c r="AN1451" s="13" t="n">
        <v>-6.4</v>
      </c>
      <c r="AO1451" s="13" t="n">
        <v>213.9</v>
      </c>
      <c r="AP1451" s="13" t="n">
        <v>784</v>
      </c>
    </row>
    <row r="1452">
      <c r="A1452" s="5" t="inlineStr">
        <is>
          <t>서암기계공업</t>
        </is>
      </c>
      <c r="B1452" s="6" t="inlineStr">
        <is>
          <t>100660</t>
        </is>
      </c>
      <c r="C1452" s="6" t="inlineStr">
        <is>
          <t>연결</t>
        </is>
      </c>
      <c r="D1452" s="6" t="inlineStr">
        <is>
          <t>2026Q2</t>
        </is>
      </c>
      <c r="E1452" s="6" t="inlineStr"/>
      <c r="F1452" s="7" t="inlineStr"/>
      <c r="G1452" s="8" t="inlineStr"/>
      <c r="H1452" s="8" t="inlineStr"/>
      <c r="I1452" s="9" t="n">
        <v>10455</v>
      </c>
      <c r="J1452" s="10" t="n">
        <v>-716</v>
      </c>
      <c r="K1452" s="10" t="n">
        <v>-333</v>
      </c>
      <c r="L1452" s="7" t="n">
        <v>11069</v>
      </c>
      <c r="M1452" s="8" t="n">
        <v>253</v>
      </c>
      <c r="N1452" s="8" t="n">
        <v>654</v>
      </c>
      <c r="O1452" s="9" t="n">
        <v>11050</v>
      </c>
      <c r="P1452" s="10" t="n">
        <v>-414</v>
      </c>
      <c r="Q1452" s="10" t="n">
        <v>-59</v>
      </c>
      <c r="R1452" s="7" t="n">
        <v>9797</v>
      </c>
      <c r="S1452" s="8" t="n">
        <v>-417</v>
      </c>
      <c r="T1452" s="8" t="n">
        <v>134</v>
      </c>
      <c r="U1452" s="9" t="n">
        <v>9777</v>
      </c>
      <c r="V1452" s="10" t="n">
        <v>-766</v>
      </c>
      <c r="W1452" s="10" t="n">
        <v>-420</v>
      </c>
      <c r="X1452" s="7" t="n">
        <v>11440</v>
      </c>
      <c r="Y1452" s="8" t="n">
        <v>368</v>
      </c>
      <c r="Z1452" s="8" t="n">
        <v>316</v>
      </c>
      <c r="AA1452" s="9" t="n">
        <v>12433</v>
      </c>
      <c r="AB1452" s="10" t="n">
        <v>153</v>
      </c>
      <c r="AC1452" s="10" t="n">
        <v>373</v>
      </c>
      <c r="AD1452" s="7" t="n">
        <v>12851</v>
      </c>
      <c r="AE1452" s="8" t="n">
        <v>289</v>
      </c>
      <c r="AF1452" s="8" t="n">
        <v>936</v>
      </c>
      <c r="AG1452" s="9" t="n">
        <v>11044</v>
      </c>
      <c r="AH1452" s="10" t="n">
        <v>-369</v>
      </c>
      <c r="AI1452" s="10" t="n">
        <v>20</v>
      </c>
      <c r="AJ1452" s="11" t="n">
        <v>13465</v>
      </c>
      <c r="AK1452" s="12" t="n">
        <v>963</v>
      </c>
      <c r="AL1452" s="12" t="n">
        <v>950</v>
      </c>
      <c r="AM1452" s="13" t="n">
        <v>21.9</v>
      </c>
      <c r="AN1452" s="13" t="n">
        <v>17.7</v>
      </c>
      <c r="AO1452" s="13" t="n">
        <v>361</v>
      </c>
      <c r="AP1452" s="13" t="n">
        <v>161.7</v>
      </c>
    </row>
    <row r="1453">
      <c r="A1453" s="5" t="inlineStr">
        <is>
          <t>세운메디칼</t>
        </is>
      </c>
      <c r="B1453" s="6" t="inlineStr">
        <is>
          <t>100700</t>
        </is>
      </c>
      <c r="C1453" s="6" t="inlineStr">
        <is>
          <t>연결</t>
        </is>
      </c>
      <c r="D1453" s="6" t="inlineStr">
        <is>
          <t>2026Q2</t>
        </is>
      </c>
      <c r="E1453" s="6" t="inlineStr"/>
      <c r="F1453" s="7" t="inlineStr"/>
      <c r="G1453" s="8" t="inlineStr"/>
      <c r="H1453" s="8" t="inlineStr"/>
      <c r="I1453" s="9" t="n">
        <v>14839</v>
      </c>
      <c r="J1453" s="10" t="n">
        <v>3643</v>
      </c>
      <c r="K1453" s="10" t="n">
        <v>3885</v>
      </c>
      <c r="L1453" s="7" t="n">
        <v>15282</v>
      </c>
      <c r="M1453" s="8" t="n">
        <v>2773</v>
      </c>
      <c r="N1453" s="8" t="n">
        <v>3043</v>
      </c>
      <c r="O1453" s="9" t="n">
        <v>14971</v>
      </c>
      <c r="P1453" s="10" t="n">
        <v>2624</v>
      </c>
      <c r="Q1453" s="10" t="n">
        <v>2281</v>
      </c>
      <c r="R1453" s="7" t="n">
        <v>15059</v>
      </c>
      <c r="S1453" s="8" t="n">
        <v>2337</v>
      </c>
      <c r="T1453" s="8" t="n">
        <v>3366</v>
      </c>
      <c r="U1453" s="9" t="n">
        <v>14562</v>
      </c>
      <c r="V1453" s="10" t="n">
        <v>2755</v>
      </c>
      <c r="W1453" s="10" t="n">
        <v>2798</v>
      </c>
      <c r="X1453" s="7" t="n">
        <v>15673</v>
      </c>
      <c r="Y1453" s="8" t="n">
        <v>2438</v>
      </c>
      <c r="Z1453" s="8" t="n">
        <v>1864</v>
      </c>
      <c r="AA1453" s="9" t="n">
        <v>16834</v>
      </c>
      <c r="AB1453" s="10" t="n">
        <v>3759</v>
      </c>
      <c r="AC1453" s="10" t="n">
        <v>3853</v>
      </c>
      <c r="AD1453" s="7" t="n">
        <v>16588</v>
      </c>
      <c r="AE1453" s="8" t="n">
        <v>3749</v>
      </c>
      <c r="AF1453" s="8" t="n">
        <v>3678</v>
      </c>
      <c r="AG1453" s="9" t="n">
        <v>15394</v>
      </c>
      <c r="AH1453" s="10" t="n">
        <v>3382</v>
      </c>
      <c r="AI1453" s="10" t="n">
        <v>3591</v>
      </c>
      <c r="AJ1453" s="11" t="n">
        <v>17713</v>
      </c>
      <c r="AK1453" s="12" t="n">
        <v>3443</v>
      </c>
      <c r="AL1453" s="12" t="n">
        <v>3381</v>
      </c>
      <c r="AM1453" s="13" t="n">
        <v>15.1</v>
      </c>
      <c r="AN1453" s="13" t="n">
        <v>13</v>
      </c>
      <c r="AO1453" s="13" t="n">
        <v>1.8</v>
      </c>
      <c r="AP1453" s="13" t="n">
        <v>41.2</v>
      </c>
    </row>
    <row r="1454">
      <c r="A1454" s="5" t="inlineStr">
        <is>
          <t>미래에셋벤처투자</t>
        </is>
      </c>
      <c r="B1454" s="6" t="inlineStr">
        <is>
          <t>100790</t>
        </is>
      </c>
      <c r="C1454" s="6" t="inlineStr">
        <is>
          <t>연결</t>
        </is>
      </c>
      <c r="D1454" s="6" t="inlineStr">
        <is>
          <t>2026Q2</t>
        </is>
      </c>
      <c r="E1454" s="6" t="inlineStr"/>
      <c r="F1454" s="7" t="inlineStr"/>
      <c r="G1454" s="8" t="inlineStr"/>
      <c r="H1454" s="8" t="inlineStr"/>
      <c r="I1454" s="9" t="n">
        <v>69554</v>
      </c>
      <c r="J1454" s="10" t="n">
        <v>15075</v>
      </c>
      <c r="K1454" s="10" t="n">
        <v>8341</v>
      </c>
      <c r="L1454" s="7" t="n">
        <v>63850</v>
      </c>
      <c r="M1454" s="8" t="n">
        <v>9452</v>
      </c>
      <c r="N1454" s="8" t="n">
        <v>6311</v>
      </c>
      <c r="O1454" s="9" t="n">
        <v>-2464</v>
      </c>
      <c r="P1454" s="10" t="n">
        <v>-3321</v>
      </c>
      <c r="Q1454" s="10" t="n">
        <v>2153</v>
      </c>
      <c r="R1454" s="7" t="n">
        <v>102932</v>
      </c>
      <c r="S1454" s="8" t="n">
        <v>-5502</v>
      </c>
      <c r="T1454" s="8" t="n">
        <v>-2143</v>
      </c>
      <c r="U1454" s="9" t="n">
        <v>18427</v>
      </c>
      <c r="V1454" s="10" t="n">
        <v>-1373</v>
      </c>
      <c r="W1454" s="10" t="n">
        <v>-1454</v>
      </c>
      <c r="X1454" s="7" t="n">
        <v>85875</v>
      </c>
      <c r="Y1454" s="8" t="n">
        <v>4446</v>
      </c>
      <c r="Z1454" s="8" t="n">
        <v>5939</v>
      </c>
      <c r="AA1454" s="9" t="n">
        <v>21773</v>
      </c>
      <c r="AB1454" s="10" t="n">
        <v>9807</v>
      </c>
      <c r="AC1454" s="10" t="n">
        <v>7239</v>
      </c>
      <c r="AD1454" s="7" t="n">
        <v>113773</v>
      </c>
      <c r="AE1454" s="8" t="n">
        <v>22236</v>
      </c>
      <c r="AF1454" s="8" t="n">
        <v>19206</v>
      </c>
      <c r="AG1454" s="9" t="n">
        <v>53689</v>
      </c>
      <c r="AH1454" s="10" t="n">
        <v>15090</v>
      </c>
      <c r="AI1454" s="10" t="n">
        <v>11232</v>
      </c>
      <c r="AJ1454" s="11" t="n">
        <v>86097</v>
      </c>
      <c r="AK1454" s="12" t="n">
        <v>22353</v>
      </c>
      <c r="AL1454" s="12" t="n">
        <v>16371</v>
      </c>
      <c r="AM1454" s="13" t="n">
        <v>60.4</v>
      </c>
      <c r="AN1454" s="13" t="n">
        <v>0.3</v>
      </c>
      <c r="AO1454" s="13" t="n">
        <v>48.1</v>
      </c>
      <c r="AP1454" s="13" t="n">
        <v>402.8</v>
      </c>
    </row>
    <row r="1455">
      <c r="A1455" s="5" t="inlineStr">
        <is>
          <t>SNT에너지</t>
        </is>
      </c>
      <c r="B1455" s="6" t="inlineStr">
        <is>
          <t>100840</t>
        </is>
      </c>
      <c r="C1455" s="6" t="inlineStr">
        <is>
          <t>연결</t>
        </is>
      </c>
      <c r="D1455" s="6" t="inlineStr">
        <is>
          <t>2026Q2</t>
        </is>
      </c>
      <c r="E1455" s="6" t="inlineStr"/>
      <c r="F1455" s="7" t="inlineStr"/>
      <c r="G1455" s="8" t="inlineStr"/>
      <c r="H1455" s="8" t="inlineStr"/>
      <c r="I1455" s="9" t="n">
        <v>61635</v>
      </c>
      <c r="J1455" s="10" t="n">
        <v>3010</v>
      </c>
      <c r="K1455" s="10" t="n">
        <v>8332</v>
      </c>
      <c r="L1455" s="7" t="n">
        <v>67258</v>
      </c>
      <c r="M1455" s="8" t="n">
        <v>5020</v>
      </c>
      <c r="N1455" s="8" t="n">
        <v>8327</v>
      </c>
      <c r="O1455" s="9" t="n">
        <v>69656</v>
      </c>
      <c r="P1455" s="10" t="n">
        <v>5172</v>
      </c>
      <c r="Q1455" s="10" t="n">
        <v>-2328</v>
      </c>
      <c r="R1455" s="7" t="n">
        <v>95715</v>
      </c>
      <c r="S1455" s="8" t="n">
        <v>9037</v>
      </c>
      <c r="T1455" s="8" t="n">
        <v>20306</v>
      </c>
      <c r="U1455" s="9" t="n">
        <v>115256</v>
      </c>
      <c r="V1455" s="10" t="n">
        <v>12880</v>
      </c>
      <c r="W1455" s="10" t="n">
        <v>8369</v>
      </c>
      <c r="X1455" s="7" t="n">
        <v>140681</v>
      </c>
      <c r="Y1455" s="8" t="n">
        <v>27364</v>
      </c>
      <c r="Z1455" s="8" t="n">
        <v>10969</v>
      </c>
      <c r="AA1455" s="9" t="n">
        <v>148299</v>
      </c>
      <c r="AB1455" s="10" t="n">
        <v>24317</v>
      </c>
      <c r="AC1455" s="10" t="n">
        <v>24864</v>
      </c>
      <c r="AD1455" s="7" t="n">
        <v>201884</v>
      </c>
      <c r="AE1455" s="8" t="n">
        <v>46753</v>
      </c>
      <c r="AF1455" s="8" t="n">
        <v>40171</v>
      </c>
      <c r="AG1455" s="9" t="n">
        <v>123567</v>
      </c>
      <c r="AH1455" s="10" t="n">
        <v>22804</v>
      </c>
      <c r="AI1455" s="10" t="n">
        <v>26584</v>
      </c>
      <c r="AJ1455" s="11" t="n">
        <v>108056</v>
      </c>
      <c r="AK1455" s="12" t="n">
        <v>21270</v>
      </c>
      <c r="AL1455" s="12" t="n">
        <v>18130</v>
      </c>
      <c r="AM1455" s="13" t="n">
        <v>-12.6</v>
      </c>
      <c r="AN1455" s="13" t="n">
        <v>-23.2</v>
      </c>
      <c r="AO1455" s="13" t="n">
        <v>-6.7</v>
      </c>
      <c r="AP1455" s="13" t="n">
        <v>-22.3</v>
      </c>
    </row>
    <row r="1456">
      <c r="A1456" s="5" t="inlineStr">
        <is>
          <t>KS인더스트리</t>
        </is>
      </c>
      <c r="B1456" s="6" t="inlineStr">
        <is>
          <t>101000</t>
        </is>
      </c>
      <c r="C1456" s="6" t="inlineStr">
        <is>
          <t>연결</t>
        </is>
      </c>
      <c r="D1456" s="6" t="inlineStr">
        <is>
          <t>2026Q2</t>
        </is>
      </c>
      <c r="E1456" s="6" t="inlineStr"/>
      <c r="F1456" s="7" t="inlineStr"/>
      <c r="G1456" s="8" t="inlineStr"/>
      <c r="H1456" s="8" t="inlineStr"/>
      <c r="I1456" s="9" t="n">
        <v>15368</v>
      </c>
      <c r="J1456" s="10" t="n">
        <v>2542</v>
      </c>
      <c r="K1456" s="10" t="n">
        <v>-2067</v>
      </c>
      <c r="L1456" s="7" t="n">
        <v>5504</v>
      </c>
      <c r="M1456" s="8" t="n">
        <v>648</v>
      </c>
      <c r="N1456" s="8" t="n">
        <v>-3670</v>
      </c>
      <c r="O1456" s="9" t="n">
        <v>6060</v>
      </c>
      <c r="P1456" s="10" t="n">
        <v>-1096</v>
      </c>
      <c r="Q1456" s="10" t="n">
        <v>1184</v>
      </c>
      <c r="R1456" s="7" t="n">
        <v>-2245</v>
      </c>
      <c r="S1456" s="8" t="n">
        <v>-2843</v>
      </c>
      <c r="T1456" s="8" t="n">
        <v>-580</v>
      </c>
      <c r="U1456" s="9" t="n">
        <v>9021</v>
      </c>
      <c r="V1456" s="10" t="n">
        <v>-1756</v>
      </c>
      <c r="W1456" s="10" t="n">
        <v>-1946</v>
      </c>
      <c r="X1456" s="7" t="n">
        <v>11209</v>
      </c>
      <c r="Y1456" s="8" t="n">
        <v>-1476</v>
      </c>
      <c r="Z1456" s="8" t="n">
        <v>-1838</v>
      </c>
      <c r="AA1456" s="9" t="n">
        <v>12040</v>
      </c>
      <c r="AB1456" s="10" t="n">
        <v>-1012</v>
      </c>
      <c r="AC1456" s="10" t="n">
        <v>-1212</v>
      </c>
      <c r="AD1456" s="7" t="n">
        <v>7177</v>
      </c>
      <c r="AE1456" s="8" t="n">
        <v>-377</v>
      </c>
      <c r="AF1456" s="8" t="n">
        <v>-2260</v>
      </c>
      <c r="AG1456" s="9" t="n">
        <v>10401</v>
      </c>
      <c r="AH1456" s="10" t="n">
        <v>-794</v>
      </c>
      <c r="AI1456" s="10" t="n">
        <v>-1026</v>
      </c>
      <c r="AJ1456" s="11" t="n">
        <v>9465</v>
      </c>
      <c r="AK1456" s="12" t="n">
        <v>-806</v>
      </c>
      <c r="AL1456" s="12" t="n">
        <v>2518</v>
      </c>
      <c r="AM1456" s="13" t="n">
        <v>-9</v>
      </c>
      <c r="AN1456" s="13" t="n">
        <v>-15.6</v>
      </c>
      <c r="AO1456" s="13" t="n">
        <v>-1.5</v>
      </c>
      <c r="AP1456" s="13" t="n">
        <v>45.4</v>
      </c>
    </row>
    <row r="1457">
      <c r="A1457" s="5" t="inlineStr">
        <is>
          <t>인바이오젠</t>
        </is>
      </c>
      <c r="B1457" s="6" t="inlineStr">
        <is>
          <t>101140</t>
        </is>
      </c>
      <c r="C1457" s="6" t="inlineStr">
        <is>
          <t>별도</t>
        </is>
      </c>
      <c r="D1457" s="6" t="inlineStr">
        <is>
          <t>2026Q2</t>
        </is>
      </c>
      <c r="E1457" s="6" t="inlineStr"/>
      <c r="F1457" s="7" t="inlineStr"/>
      <c r="G1457" s="8" t="inlineStr"/>
      <c r="H1457" s="8" t="inlineStr"/>
      <c r="I1457" s="9" t="n">
        <v>1369</v>
      </c>
      <c r="J1457" s="10" t="n">
        <v>-1223</v>
      </c>
      <c r="K1457" s="10" t="n">
        <v>8610</v>
      </c>
      <c r="L1457" s="7" t="n">
        <v>1424</v>
      </c>
      <c r="M1457" s="8" t="n">
        <v>-1470</v>
      </c>
      <c r="N1457" s="8" t="n">
        <v>-2929</v>
      </c>
      <c r="O1457" s="9" t="n">
        <v>2081</v>
      </c>
      <c r="P1457" s="10" t="n">
        <v>-1284</v>
      </c>
      <c r="Q1457" s="10" t="n">
        <v>-4359</v>
      </c>
      <c r="R1457" s="7" t="n">
        <v>2167</v>
      </c>
      <c r="S1457" s="8" t="n">
        <v>-2116</v>
      </c>
      <c r="T1457" s="8" t="n">
        <v>14800</v>
      </c>
      <c r="U1457" s="9" t="n">
        <v>1639</v>
      </c>
      <c r="V1457" s="10" t="n">
        <v>-1322</v>
      </c>
      <c r="W1457" s="10" t="n">
        <v>2032</v>
      </c>
      <c r="X1457" s="7" t="n">
        <v>1850</v>
      </c>
      <c r="Y1457" s="8" t="n">
        <v>-1004</v>
      </c>
      <c r="Z1457" s="8" t="n">
        <v>1124</v>
      </c>
      <c r="AA1457" s="9" t="n">
        <v>2147</v>
      </c>
      <c r="AB1457" s="10" t="n">
        <v>-1053</v>
      </c>
      <c r="AC1457" s="10" t="n">
        <v>8171</v>
      </c>
      <c r="AD1457" s="7" t="n">
        <v>661</v>
      </c>
      <c r="AE1457" s="8" t="n">
        <v>-954</v>
      </c>
      <c r="AF1457" s="8" t="n">
        <v>-12746</v>
      </c>
      <c r="AG1457" s="9" t="n">
        <v>786</v>
      </c>
      <c r="AH1457" s="10" t="n">
        <v>-980</v>
      </c>
      <c r="AI1457" s="10" t="n">
        <v>-14678</v>
      </c>
      <c r="AJ1457" s="11" t="n">
        <v>1510</v>
      </c>
      <c r="AK1457" s="12" t="n">
        <v>-924</v>
      </c>
      <c r="AL1457" s="12" t="n">
        <v>-1475</v>
      </c>
      <c r="AM1457" s="13" t="n">
        <v>92.09999999999999</v>
      </c>
      <c r="AN1457" s="13" t="n">
        <v>-18.4</v>
      </c>
      <c r="AO1457" s="13" t="n">
        <v>5.7</v>
      </c>
      <c r="AP1457" s="13" t="n">
        <v>8</v>
      </c>
    </row>
    <row r="1458">
      <c r="A1458" s="5" t="inlineStr">
        <is>
          <t>월덱스</t>
        </is>
      </c>
      <c r="B1458" s="6" t="inlineStr">
        <is>
          <t>101160</t>
        </is>
      </c>
      <c r="C1458" s="6" t="inlineStr">
        <is>
          <t>연결</t>
        </is>
      </c>
      <c r="D1458" s="6" t="inlineStr">
        <is>
          <t>2026Q2</t>
        </is>
      </c>
      <c r="E1458" s="6" t="inlineStr"/>
      <c r="F1458" s="7" t="inlineStr"/>
      <c r="G1458" s="8" t="inlineStr"/>
      <c r="H1458" s="8" t="inlineStr"/>
      <c r="I1458" s="9" t="n">
        <v>66423</v>
      </c>
      <c r="J1458" s="10" t="n">
        <v>14356</v>
      </c>
      <c r="K1458" s="10" t="n">
        <v>14989</v>
      </c>
      <c r="L1458" s="7" t="n">
        <v>81732</v>
      </c>
      <c r="M1458" s="8" t="n">
        <v>21837</v>
      </c>
      <c r="N1458" s="8" t="n">
        <v>20254</v>
      </c>
      <c r="O1458" s="9" t="n">
        <v>79498</v>
      </c>
      <c r="P1458" s="10" t="n">
        <v>18467</v>
      </c>
      <c r="Q1458" s="10" t="n">
        <v>10995</v>
      </c>
      <c r="R1458" s="7" t="n">
        <v>79138</v>
      </c>
      <c r="S1458" s="8" t="n">
        <v>15645</v>
      </c>
      <c r="T1458" s="8" t="n">
        <v>18799</v>
      </c>
      <c r="U1458" s="9" t="n">
        <v>74099</v>
      </c>
      <c r="V1458" s="10" t="n">
        <v>14767</v>
      </c>
      <c r="W1458" s="10" t="n">
        <v>12171</v>
      </c>
      <c r="X1458" s="7" t="n">
        <v>66658</v>
      </c>
      <c r="Y1458" s="8" t="n">
        <v>8393</v>
      </c>
      <c r="Z1458" s="8" t="n">
        <v>-14062</v>
      </c>
      <c r="AA1458" s="9" t="n">
        <v>66896</v>
      </c>
      <c r="AB1458" s="10" t="n">
        <v>13021</v>
      </c>
      <c r="AC1458" s="10" t="n">
        <v>13026</v>
      </c>
      <c r="AD1458" s="7" t="n">
        <v>84112</v>
      </c>
      <c r="AE1458" s="8" t="n">
        <v>22363</v>
      </c>
      <c r="AF1458" s="8" t="n">
        <v>29837</v>
      </c>
      <c r="AG1458" s="9" t="n">
        <v>69087</v>
      </c>
      <c r="AH1458" s="10" t="n">
        <v>14285</v>
      </c>
      <c r="AI1458" s="10" t="n">
        <v>17941</v>
      </c>
      <c r="AJ1458" s="11" t="n">
        <v>75413</v>
      </c>
      <c r="AK1458" s="12" t="n">
        <v>16531</v>
      </c>
      <c r="AL1458" s="12" t="n">
        <v>15050</v>
      </c>
      <c r="AM1458" s="13" t="n">
        <v>9.199999999999999</v>
      </c>
      <c r="AN1458" s="13" t="n">
        <v>13.1</v>
      </c>
      <c r="AO1458" s="13" t="n">
        <v>15.7</v>
      </c>
      <c r="AP1458" s="13" t="n">
        <v>97</v>
      </c>
    </row>
    <row r="1459">
      <c r="A1459" s="5" t="inlineStr">
        <is>
          <t>우림피티에스</t>
        </is>
      </c>
      <c r="B1459" s="6" t="inlineStr">
        <is>
          <t>101170</t>
        </is>
      </c>
      <c r="C1459" s="6" t="inlineStr">
        <is>
          <t>연결</t>
        </is>
      </c>
      <c r="D1459" s="6" t="inlineStr">
        <is>
          <t>2026Q2</t>
        </is>
      </c>
      <c r="E1459" s="6" t="inlineStr"/>
      <c r="F1459" s="7" t="inlineStr"/>
      <c r="G1459" s="8" t="inlineStr"/>
      <c r="H1459" s="8" t="inlineStr"/>
      <c r="I1459" s="9" t="n">
        <v>21100</v>
      </c>
      <c r="J1459" s="10" t="n">
        <v>1405</v>
      </c>
      <c r="K1459" s="10" t="n">
        <v>1653</v>
      </c>
      <c r="L1459" s="7" t="n">
        <v>23416</v>
      </c>
      <c r="M1459" s="8" t="n">
        <v>1090</v>
      </c>
      <c r="N1459" s="8" t="n">
        <v>1331</v>
      </c>
      <c r="O1459" s="9" t="n">
        <v>12163</v>
      </c>
      <c r="P1459" s="10" t="n">
        <v>-884</v>
      </c>
      <c r="Q1459" s="10" t="n">
        <v>-891</v>
      </c>
      <c r="R1459" s="7" t="n">
        <v>15088</v>
      </c>
      <c r="S1459" s="8" t="n">
        <v>-3211</v>
      </c>
      <c r="T1459" s="8" t="n">
        <v>-9861</v>
      </c>
      <c r="U1459" s="9" t="n">
        <v>13718</v>
      </c>
      <c r="V1459" s="10" t="n">
        <v>202</v>
      </c>
      <c r="W1459" s="10" t="n">
        <v>635</v>
      </c>
      <c r="X1459" s="7" t="n">
        <v>12001</v>
      </c>
      <c r="Y1459" s="8" t="n">
        <v>-1287</v>
      </c>
      <c r="Z1459" s="8" t="n">
        <v>-1633</v>
      </c>
      <c r="AA1459" s="9" t="n">
        <v>15804</v>
      </c>
      <c r="AB1459" s="10" t="n">
        <v>3539</v>
      </c>
      <c r="AC1459" s="10" t="n">
        <v>3416</v>
      </c>
      <c r="AD1459" s="7" t="n">
        <v>15590</v>
      </c>
      <c r="AE1459" s="8" t="n">
        <v>-1265</v>
      </c>
      <c r="AF1459" s="8" t="n">
        <v>-24</v>
      </c>
      <c r="AG1459" s="9" t="n">
        <v>10350</v>
      </c>
      <c r="AH1459" s="10" t="n">
        <v>-369</v>
      </c>
      <c r="AI1459" s="10" t="n">
        <v>395</v>
      </c>
      <c r="AJ1459" s="11" t="n">
        <v>14205</v>
      </c>
      <c r="AK1459" s="12" t="n">
        <v>960</v>
      </c>
      <c r="AL1459" s="12" t="n">
        <v>1839</v>
      </c>
      <c r="AM1459" s="13" t="n">
        <v>37.2</v>
      </c>
      <c r="AN1459" s="13" t="n">
        <v>18.4</v>
      </c>
      <c r="AO1459" s="13" t="n">
        <v>360.2</v>
      </c>
      <c r="AP1459" s="13" t="n">
        <v>174.6</v>
      </c>
    </row>
    <row r="1460">
      <c r="A1460" s="5" t="inlineStr">
        <is>
          <t>씨큐브</t>
        </is>
      </c>
      <c r="B1460" s="6" t="inlineStr">
        <is>
          <t>101240</t>
        </is>
      </c>
      <c r="C1460" s="6" t="inlineStr">
        <is>
          <t>별도</t>
        </is>
      </c>
      <c r="D1460" s="6" t="inlineStr">
        <is>
          <t>2026Q2</t>
        </is>
      </c>
      <c r="E1460" s="6" t="inlineStr"/>
      <c r="F1460" s="7" t="inlineStr"/>
      <c r="G1460" s="8" t="inlineStr"/>
      <c r="H1460" s="8" t="inlineStr"/>
      <c r="I1460" s="9" t="n">
        <v>14034</v>
      </c>
      <c r="J1460" s="10" t="n">
        <v>1814</v>
      </c>
      <c r="K1460" s="10" t="n">
        <v>1857</v>
      </c>
      <c r="L1460" s="7" t="n">
        <v>16650</v>
      </c>
      <c r="M1460" s="8" t="n">
        <v>3517</v>
      </c>
      <c r="N1460" s="8" t="n">
        <v>3243</v>
      </c>
      <c r="O1460" s="9" t="n">
        <v>14519</v>
      </c>
      <c r="P1460" s="10" t="n">
        <v>2621</v>
      </c>
      <c r="Q1460" s="10" t="n">
        <v>1333</v>
      </c>
      <c r="R1460" s="7" t="n">
        <v>14944</v>
      </c>
      <c r="S1460" s="8" t="n">
        <v>2263</v>
      </c>
      <c r="T1460" s="8" t="n">
        <v>2832</v>
      </c>
      <c r="U1460" s="9" t="n">
        <v>14700</v>
      </c>
      <c r="V1460" s="10" t="n">
        <v>2806</v>
      </c>
      <c r="W1460" s="10" t="n">
        <v>2033</v>
      </c>
      <c r="X1460" s="7" t="n">
        <v>15991</v>
      </c>
      <c r="Y1460" s="8" t="n">
        <v>3595</v>
      </c>
      <c r="Z1460" s="8" t="n">
        <v>3659</v>
      </c>
      <c r="AA1460" s="9" t="n">
        <v>14047</v>
      </c>
      <c r="AB1460" s="10" t="n">
        <v>2290</v>
      </c>
      <c r="AC1460" s="10" t="n">
        <v>1889</v>
      </c>
      <c r="AD1460" s="7" t="n">
        <v>11781</v>
      </c>
      <c r="AE1460" s="8" t="n">
        <v>1481</v>
      </c>
      <c r="AF1460" s="8" t="n">
        <v>1870</v>
      </c>
      <c r="AG1460" s="9" t="n">
        <v>15770</v>
      </c>
      <c r="AH1460" s="10" t="n">
        <v>3021</v>
      </c>
      <c r="AI1460" s="10" t="n">
        <v>2410</v>
      </c>
      <c r="AJ1460" s="11" t="n">
        <v>20212</v>
      </c>
      <c r="AK1460" s="12" t="n">
        <v>5539</v>
      </c>
      <c r="AL1460" s="12" t="n">
        <v>4807</v>
      </c>
      <c r="AM1460" s="13" t="n">
        <v>28.2</v>
      </c>
      <c r="AN1460" s="13" t="n">
        <v>26.4</v>
      </c>
      <c r="AO1460" s="13" t="n">
        <v>83.3</v>
      </c>
      <c r="AP1460" s="13" t="n">
        <v>54.1</v>
      </c>
    </row>
    <row r="1461">
      <c r="A1461" s="5" t="inlineStr">
        <is>
          <t>모베이스</t>
        </is>
      </c>
      <c r="B1461" s="6" t="inlineStr">
        <is>
          <t>101330</t>
        </is>
      </c>
      <c r="C1461" s="6" t="inlineStr">
        <is>
          <t>연결</t>
        </is>
      </c>
      <c r="D1461" s="6" t="inlineStr">
        <is>
          <t>2026Q2</t>
        </is>
      </c>
      <c r="E1461" s="6" t="inlineStr"/>
      <c r="F1461" s="7" t="inlineStr"/>
      <c r="G1461" s="8" t="inlineStr"/>
      <c r="H1461" s="8" t="inlineStr"/>
      <c r="I1461" s="9" t="n">
        <v>321490</v>
      </c>
      <c r="J1461" s="10" t="n">
        <v>16039</v>
      </c>
      <c r="K1461" s="10" t="n">
        <v>16816</v>
      </c>
      <c r="L1461" s="7" t="n">
        <v>329327</v>
      </c>
      <c r="M1461" s="8" t="n">
        <v>20350</v>
      </c>
      <c r="N1461" s="8" t="n">
        <v>12935</v>
      </c>
      <c r="O1461" s="9" t="n">
        <v>301821</v>
      </c>
      <c r="P1461" s="10" t="n">
        <v>7232</v>
      </c>
      <c r="Q1461" s="10" t="n">
        <v>-2151</v>
      </c>
      <c r="R1461" s="7" t="n">
        <v>349068</v>
      </c>
      <c r="S1461" s="8" t="n">
        <v>9709</v>
      </c>
      <c r="T1461" s="8" t="n">
        <v>9209</v>
      </c>
      <c r="U1461" s="9" t="n">
        <v>350246</v>
      </c>
      <c r="V1461" s="10" t="n">
        <v>8346</v>
      </c>
      <c r="W1461" s="10" t="n">
        <v>6388</v>
      </c>
      <c r="X1461" s="7" t="n">
        <v>339917</v>
      </c>
      <c r="Y1461" s="8" t="n">
        <v>8378</v>
      </c>
      <c r="Z1461" s="8" t="n">
        <v>-2628</v>
      </c>
      <c r="AA1461" s="9" t="n">
        <v>321625</v>
      </c>
      <c r="AB1461" s="10" t="n">
        <v>15920</v>
      </c>
      <c r="AC1461" s="10" t="n">
        <v>14188</v>
      </c>
      <c r="AD1461" s="7" t="n">
        <v>359539</v>
      </c>
      <c r="AE1461" s="8" t="n">
        <v>9154</v>
      </c>
      <c r="AF1461" s="8" t="n">
        <v>3293</v>
      </c>
      <c r="AG1461" s="9" t="n">
        <v>331105</v>
      </c>
      <c r="AH1461" s="10" t="n">
        <v>9950</v>
      </c>
      <c r="AI1461" s="10" t="n">
        <v>15853</v>
      </c>
      <c r="AJ1461" s="11" t="n">
        <v>332794</v>
      </c>
      <c r="AK1461" s="12" t="n">
        <v>8353</v>
      </c>
      <c r="AL1461" s="12" t="n">
        <v>6999</v>
      </c>
      <c r="AM1461" s="13" t="n">
        <v>0.5</v>
      </c>
      <c r="AN1461" s="13" t="n">
        <v>-2.1</v>
      </c>
      <c r="AO1461" s="13" t="n">
        <v>-16.1</v>
      </c>
      <c r="AP1461" s="13" t="n">
        <v>-0.3</v>
      </c>
    </row>
    <row r="1462">
      <c r="A1462" s="5" t="inlineStr">
        <is>
          <t>에코앤드림</t>
        </is>
      </c>
      <c r="B1462" s="6" t="inlineStr">
        <is>
          <t>101360</t>
        </is>
      </c>
      <c r="C1462" s="6" t="inlineStr">
        <is>
          <t>연결</t>
        </is>
      </c>
      <c r="D1462" s="6" t="inlineStr">
        <is>
          <t>2026Q2</t>
        </is>
      </c>
      <c r="E1462" s="6" t="inlineStr"/>
      <c r="F1462" s="7" t="inlineStr"/>
      <c r="G1462" s="8" t="inlineStr"/>
      <c r="H1462" s="8" t="inlineStr"/>
      <c r="I1462" s="9" t="n">
        <v>19096</v>
      </c>
      <c r="J1462" s="10" t="n">
        <v>-636</v>
      </c>
      <c r="K1462" s="10" t="n">
        <v>-655</v>
      </c>
      <c r="L1462" s="7" t="n">
        <v>28453</v>
      </c>
      <c r="M1462" s="8" t="n">
        <v>284</v>
      </c>
      <c r="N1462" s="8" t="n">
        <v>-836</v>
      </c>
      <c r="O1462" s="9" t="n">
        <v>20788</v>
      </c>
      <c r="P1462" s="10" t="n">
        <v>-347</v>
      </c>
      <c r="Q1462" s="10" t="n">
        <v>207</v>
      </c>
      <c r="R1462" s="7" t="n">
        <v>36564</v>
      </c>
      <c r="S1462" s="8" t="n">
        <v>1186</v>
      </c>
      <c r="T1462" s="8" t="n">
        <v>14799</v>
      </c>
      <c r="U1462" s="9" t="n">
        <v>30084</v>
      </c>
      <c r="V1462" s="10" t="n">
        <v>392</v>
      </c>
      <c r="W1462" s="10" t="n">
        <v>494</v>
      </c>
      <c r="X1462" s="7" t="n">
        <v>39602</v>
      </c>
      <c r="Y1462" s="8" t="n">
        <v>-281</v>
      </c>
      <c r="Z1462" s="8" t="n">
        <v>-482</v>
      </c>
      <c r="AA1462" s="9" t="n">
        <v>34978</v>
      </c>
      <c r="AB1462" s="10" t="n">
        <v>323</v>
      </c>
      <c r="AC1462" s="10" t="n">
        <v>323</v>
      </c>
      <c r="AD1462" s="7" t="n">
        <v>37294</v>
      </c>
      <c r="AE1462" s="8" t="n">
        <v>-1044</v>
      </c>
      <c r="AF1462" s="8" t="n">
        <v>-8932</v>
      </c>
      <c r="AG1462" s="9" t="n">
        <v>16203</v>
      </c>
      <c r="AH1462" s="10" t="n">
        <v>-764</v>
      </c>
      <c r="AI1462" s="10" t="n">
        <v>-143</v>
      </c>
      <c r="AJ1462" s="11" t="n">
        <v>20212</v>
      </c>
      <c r="AK1462" s="12" t="n">
        <v>-5280</v>
      </c>
      <c r="AL1462" s="12" t="n">
        <v>-5370</v>
      </c>
      <c r="AM1462" s="13" t="n">
        <v>24.7</v>
      </c>
      <c r="AN1462" s="13" t="n">
        <v>-49</v>
      </c>
      <c r="AO1462" s="13" t="n">
        <v>-591.1</v>
      </c>
      <c r="AP1462" s="13" t="n">
        <v>-1779</v>
      </c>
    </row>
    <row r="1463">
      <c r="A1463" s="5" t="inlineStr">
        <is>
          <t>아이엠</t>
        </is>
      </c>
      <c r="B1463" s="6" t="inlineStr">
        <is>
          <t>101390</t>
        </is>
      </c>
      <c r="C1463" s="6" t="inlineStr">
        <is>
          <t>연결</t>
        </is>
      </c>
      <c r="D1463" s="6" t="inlineStr">
        <is>
          <t>2026Q2</t>
        </is>
      </c>
      <c r="E1463" s="6" t="inlineStr"/>
      <c r="F1463" s="7" t="inlineStr"/>
      <c r="G1463" s="8" t="inlineStr"/>
      <c r="H1463" s="8" t="inlineStr"/>
      <c r="I1463" s="9" t="n">
        <v>32795</v>
      </c>
      <c r="J1463" s="10" t="n">
        <v>-1030</v>
      </c>
      <c r="K1463" s="10" t="n">
        <v>-4272</v>
      </c>
      <c r="L1463" s="7" t="n">
        <v>32924</v>
      </c>
      <c r="M1463" s="8" t="n">
        <v>-387</v>
      </c>
      <c r="N1463" s="8" t="n">
        <v>-3904</v>
      </c>
      <c r="O1463" s="9" t="n">
        <v>28680</v>
      </c>
      <c r="P1463" s="10" t="n">
        <v>-1642</v>
      </c>
      <c r="Q1463" s="10" t="n">
        <v>-3511</v>
      </c>
      <c r="R1463" s="7" t="n">
        <v>31675</v>
      </c>
      <c r="S1463" s="8" t="n">
        <v>166</v>
      </c>
      <c r="T1463" s="8" t="n">
        <v>-13263</v>
      </c>
      <c r="U1463" s="9" t="n">
        <v>21740</v>
      </c>
      <c r="V1463" s="10" t="n">
        <v>-4407</v>
      </c>
      <c r="W1463" s="10" t="n">
        <v>-5374</v>
      </c>
      <c r="X1463" s="7" t="n">
        <v>27034</v>
      </c>
      <c r="Y1463" s="8" t="n">
        <v>-2571</v>
      </c>
      <c r="Z1463" s="8" t="n">
        <v>-1381</v>
      </c>
      <c r="AA1463" s="9" t="n">
        <v>19883</v>
      </c>
      <c r="AB1463" s="10" t="n">
        <v>-2636</v>
      </c>
      <c r="AC1463" s="10" t="n">
        <v>-3880</v>
      </c>
      <c r="AD1463" s="7" t="n">
        <v>23108</v>
      </c>
      <c r="AE1463" s="8" t="n">
        <v>1055</v>
      </c>
      <c r="AF1463" s="8" t="n">
        <v>857</v>
      </c>
      <c r="AG1463" s="9" t="n">
        <v>21519</v>
      </c>
      <c r="AH1463" s="10" t="n">
        <v>-1626</v>
      </c>
      <c r="AI1463" s="10" t="n">
        <v>41</v>
      </c>
      <c r="AJ1463" s="11" t="n">
        <v>26515</v>
      </c>
      <c r="AK1463" s="12" t="n">
        <v>761</v>
      </c>
      <c r="AL1463" s="12" t="n">
        <v>-594</v>
      </c>
      <c r="AM1463" s="13" t="n">
        <v>23.2</v>
      </c>
      <c r="AN1463" s="13" t="n">
        <v>-1.9</v>
      </c>
      <c r="AO1463" s="13" t="n">
        <v>146.8</v>
      </c>
      <c r="AP1463" s="13" t="n">
        <v>129.6</v>
      </c>
    </row>
    <row r="1464">
      <c r="A1464" s="5" t="inlineStr">
        <is>
          <t>엔시트론</t>
        </is>
      </c>
      <c r="B1464" s="6" t="inlineStr">
        <is>
          <t>101400</t>
        </is>
      </c>
      <c r="C1464" s="6" t="inlineStr">
        <is>
          <t>연결</t>
        </is>
      </c>
      <c r="D1464" s="6" t="inlineStr">
        <is>
          <t>2026Q2</t>
        </is>
      </c>
      <c r="E1464" s="6" t="inlineStr"/>
      <c r="F1464" s="7" t="inlineStr"/>
      <c r="G1464" s="8" t="inlineStr"/>
      <c r="H1464" s="8" t="inlineStr"/>
      <c r="I1464" s="9" t="n">
        <v>8118</v>
      </c>
      <c r="J1464" s="10" t="n">
        <v>-302</v>
      </c>
      <c r="K1464" s="10" t="n">
        <v>265</v>
      </c>
      <c r="L1464" s="7" t="n">
        <v>9164</v>
      </c>
      <c r="M1464" s="8" t="n">
        <v>114</v>
      </c>
      <c r="N1464" s="8" t="n">
        <v>319</v>
      </c>
      <c r="O1464" s="9" t="n">
        <v>12079</v>
      </c>
      <c r="P1464" s="10" t="n">
        <v>-861</v>
      </c>
      <c r="Q1464" s="10" t="n">
        <v>-1265</v>
      </c>
      <c r="R1464" s="7" t="n">
        <v>6951</v>
      </c>
      <c r="S1464" s="8" t="n">
        <v>-1411</v>
      </c>
      <c r="T1464" s="8" t="n">
        <v>-1390</v>
      </c>
      <c r="U1464" s="9" t="n">
        <v>8989</v>
      </c>
      <c r="V1464" s="10" t="n">
        <v>-568</v>
      </c>
      <c r="W1464" s="10" t="n">
        <v>-636</v>
      </c>
      <c r="X1464" s="7" t="n">
        <v>6671</v>
      </c>
      <c r="Y1464" s="8" t="n">
        <v>-1384</v>
      </c>
      <c r="Z1464" s="8" t="n">
        <v>-1568</v>
      </c>
      <c r="AA1464" s="9" t="n">
        <v>11790</v>
      </c>
      <c r="AB1464" s="10" t="n">
        <v>-1348</v>
      </c>
      <c r="AC1464" s="10" t="n">
        <v>-1174</v>
      </c>
      <c r="AD1464" s="7" t="n">
        <v>6918</v>
      </c>
      <c r="AE1464" s="8" t="n">
        <v>-1755</v>
      </c>
      <c r="AF1464" s="8" t="n">
        <v>1380</v>
      </c>
      <c r="AG1464" s="9" t="n">
        <v>8470</v>
      </c>
      <c r="AH1464" s="10" t="n">
        <v>-1421</v>
      </c>
      <c r="AI1464" s="10" t="n">
        <v>-1234</v>
      </c>
      <c r="AJ1464" s="11" t="n">
        <v>9220</v>
      </c>
      <c r="AK1464" s="12" t="n">
        <v>-1229</v>
      </c>
      <c r="AL1464" s="12" t="n">
        <v>-1366</v>
      </c>
      <c r="AM1464" s="13" t="n">
        <v>8.9</v>
      </c>
      <c r="AN1464" s="13" t="n">
        <v>38.2</v>
      </c>
      <c r="AO1464" s="13" t="n">
        <v>13.5</v>
      </c>
      <c r="AP1464" s="13" t="n">
        <v>11.2</v>
      </c>
    </row>
    <row r="1465">
      <c r="A1465" s="5" t="inlineStr">
        <is>
          <t>에스앤에스텍</t>
        </is>
      </c>
      <c r="B1465" s="6" t="inlineStr">
        <is>
          <t>101490</t>
        </is>
      </c>
      <c r="C1465" s="6" t="inlineStr">
        <is>
          <t>연결</t>
        </is>
      </c>
      <c r="D1465" s="6" t="inlineStr">
        <is>
          <t>2026Q2</t>
        </is>
      </c>
      <c r="E1465" s="6" t="inlineStr"/>
      <c r="F1465" s="7" t="inlineStr"/>
      <c r="G1465" s="8" t="inlineStr"/>
      <c r="H1465" s="8" t="inlineStr"/>
      <c r="I1465" s="9" t="n">
        <v>41771</v>
      </c>
      <c r="J1465" s="10" t="n">
        <v>7369</v>
      </c>
      <c r="K1465" s="10" t="n">
        <v>7658</v>
      </c>
      <c r="L1465" s="7" t="n">
        <v>42442</v>
      </c>
      <c r="M1465" s="8" t="n">
        <v>8513</v>
      </c>
      <c r="N1465" s="8" t="n">
        <v>7844</v>
      </c>
      <c r="O1465" s="9" t="n">
        <v>46562</v>
      </c>
      <c r="P1465" s="10" t="n">
        <v>9596</v>
      </c>
      <c r="Q1465" s="10" t="n">
        <v>8183</v>
      </c>
      <c r="R1465" s="7" t="n">
        <v>45239</v>
      </c>
      <c r="S1465" s="8" t="n">
        <v>4001</v>
      </c>
      <c r="T1465" s="8" t="n">
        <v>6629</v>
      </c>
      <c r="U1465" s="9" t="n">
        <v>57862</v>
      </c>
      <c r="V1465" s="10" t="n">
        <v>11876</v>
      </c>
      <c r="W1465" s="10" t="n">
        <v>11908</v>
      </c>
      <c r="X1465" s="7" t="n">
        <v>60672</v>
      </c>
      <c r="Y1465" s="8" t="n">
        <v>13293</v>
      </c>
      <c r="Z1465" s="8" t="n">
        <v>10090</v>
      </c>
      <c r="AA1465" s="9" t="n">
        <v>61548</v>
      </c>
      <c r="AB1465" s="10" t="n">
        <v>11912</v>
      </c>
      <c r="AC1465" s="10" t="n">
        <v>12676</v>
      </c>
      <c r="AD1465" s="7" t="n">
        <v>63651</v>
      </c>
      <c r="AE1465" s="8" t="n">
        <v>13309</v>
      </c>
      <c r="AF1465" s="8" t="n">
        <v>23419</v>
      </c>
      <c r="AG1465" s="9" t="n">
        <v>61692</v>
      </c>
      <c r="AH1465" s="10" t="n">
        <v>11376</v>
      </c>
      <c r="AI1465" s="10" t="n">
        <v>13793</v>
      </c>
      <c r="AJ1465" s="11" t="n">
        <v>66415</v>
      </c>
      <c r="AK1465" s="12" t="n">
        <v>13595</v>
      </c>
      <c r="AL1465" s="12" t="n">
        <v>12743</v>
      </c>
      <c r="AM1465" s="13" t="n">
        <v>7.7</v>
      </c>
      <c r="AN1465" s="13" t="n">
        <v>9.5</v>
      </c>
      <c r="AO1465" s="13" t="n">
        <v>19.5</v>
      </c>
      <c r="AP1465" s="13" t="n">
        <v>2.3</v>
      </c>
    </row>
    <row r="1466">
      <c r="A1466" s="5" t="inlineStr">
        <is>
          <t>해태제과식품</t>
        </is>
      </c>
      <c r="B1466" s="6" t="inlineStr">
        <is>
          <t>101530</t>
        </is>
      </c>
      <c r="C1466" s="6" t="inlineStr">
        <is>
          <t>연결</t>
        </is>
      </c>
      <c r="D1466" s="6" t="inlineStr">
        <is>
          <t>2026Q2</t>
        </is>
      </c>
      <c r="E1466" s="6" t="inlineStr"/>
      <c r="F1466" s="7" t="inlineStr"/>
      <c r="G1466" s="8" t="inlineStr"/>
      <c r="H1466" s="8" t="inlineStr"/>
      <c r="I1466" s="9" t="n">
        <v>156575</v>
      </c>
      <c r="J1466" s="10" t="n">
        <v>14300</v>
      </c>
      <c r="K1466" s="10" t="n">
        <v>9236</v>
      </c>
      <c r="L1466" s="7" t="n">
        <v>158388</v>
      </c>
      <c r="M1466" s="8" t="n">
        <v>11964</v>
      </c>
      <c r="N1466" s="8" t="n">
        <v>8673</v>
      </c>
      <c r="O1466" s="9" t="n">
        <v>154857</v>
      </c>
      <c r="P1466" s="10" t="n">
        <v>11938</v>
      </c>
      <c r="Q1466" s="10" t="n">
        <v>6856</v>
      </c>
      <c r="R1466" s="7" t="n">
        <v>159376</v>
      </c>
      <c r="S1466" s="8" t="n">
        <v>10870</v>
      </c>
      <c r="T1466" s="8" t="n">
        <v>7075</v>
      </c>
      <c r="U1466" s="9" t="n">
        <v>158966</v>
      </c>
      <c r="V1466" s="10" t="n">
        <v>13466</v>
      </c>
      <c r="W1466" s="10" t="n">
        <v>7548</v>
      </c>
      <c r="X1466" s="7" t="n">
        <v>163725</v>
      </c>
      <c r="Y1466" s="8" t="n">
        <v>10298</v>
      </c>
      <c r="Z1466" s="8" t="n">
        <v>5189</v>
      </c>
      <c r="AA1466" s="9" t="n">
        <v>160396</v>
      </c>
      <c r="AB1466" s="10" t="n">
        <v>8300</v>
      </c>
      <c r="AC1466" s="10" t="n">
        <v>4360</v>
      </c>
      <c r="AD1466" s="7" t="n">
        <v>158300</v>
      </c>
      <c r="AE1466" s="8" t="n">
        <v>10264</v>
      </c>
      <c r="AF1466" s="8" t="n">
        <v>6299</v>
      </c>
      <c r="AG1466" s="9" t="n">
        <v>157727</v>
      </c>
      <c r="AH1466" s="10" t="n">
        <v>10683</v>
      </c>
      <c r="AI1466" s="10" t="n">
        <v>6733</v>
      </c>
      <c r="AJ1466" s="11" t="n">
        <v>160092</v>
      </c>
      <c r="AK1466" s="12" t="n">
        <v>9290</v>
      </c>
      <c r="AL1466" s="12" t="n">
        <v>4502</v>
      </c>
      <c r="AM1466" s="13" t="n">
        <v>1.5</v>
      </c>
      <c r="AN1466" s="13" t="n">
        <v>-2.2</v>
      </c>
      <c r="AO1466" s="13" t="n">
        <v>-13</v>
      </c>
      <c r="AP1466" s="13" t="n">
        <v>-9.800000000000001</v>
      </c>
    </row>
    <row r="1467">
      <c r="A1467" s="5" t="inlineStr">
        <is>
          <t>하이드로리튬</t>
        </is>
      </c>
      <c r="B1467" s="6" t="inlineStr">
        <is>
          <t>101670</t>
        </is>
      </c>
      <c r="C1467" s="6" t="inlineStr">
        <is>
          <t>연결</t>
        </is>
      </c>
      <c r="D1467" s="6" t="inlineStr">
        <is>
          <t>2026Q2</t>
        </is>
      </c>
      <c r="E1467" s="6" t="inlineStr"/>
      <c r="F1467" s="7" t="inlineStr"/>
      <c r="G1467" s="8" t="inlineStr"/>
      <c r="H1467" s="8" t="inlineStr"/>
      <c r="I1467" s="9" t="n">
        <v>2242</v>
      </c>
      <c r="J1467" s="10" t="n">
        <v>-1095</v>
      </c>
      <c r="K1467" s="10" t="n">
        <v>-2906</v>
      </c>
      <c r="L1467" s="7" t="n">
        <v>2610</v>
      </c>
      <c r="M1467" s="8" t="n">
        <v>-4012</v>
      </c>
      <c r="N1467" s="8" t="n">
        <v>-4209</v>
      </c>
      <c r="O1467" s="9" t="n">
        <v>467</v>
      </c>
      <c r="P1467" s="10" t="n">
        <v>19428</v>
      </c>
      <c r="Q1467" s="10" t="n">
        <v>21999</v>
      </c>
      <c r="R1467" s="7" t="n">
        <v>3147</v>
      </c>
      <c r="S1467" s="8" t="n">
        <v>-5175</v>
      </c>
      <c r="T1467" s="8" t="n">
        <v>-32534</v>
      </c>
      <c r="U1467" s="9" t="n">
        <v>1833</v>
      </c>
      <c r="V1467" s="10" t="n">
        <v>-4463</v>
      </c>
      <c r="W1467" s="10" t="n">
        <v>-4689</v>
      </c>
      <c r="X1467" s="7" t="n">
        <v>513</v>
      </c>
      <c r="Y1467" s="8" t="n">
        <v>-3088</v>
      </c>
      <c r="Z1467" s="8" t="n">
        <v>-28366</v>
      </c>
      <c r="AA1467" s="9" t="n">
        <v>661</v>
      </c>
      <c r="AB1467" s="10" t="n">
        <v>-3336</v>
      </c>
      <c r="AC1467" s="10" t="n">
        <v>-2607</v>
      </c>
      <c r="AD1467" s="7" t="n">
        <v>362</v>
      </c>
      <c r="AE1467" s="8" t="n">
        <v>-4175</v>
      </c>
      <c r="AF1467" s="8" t="n">
        <v>989</v>
      </c>
      <c r="AG1467" s="9" t="n">
        <v>952</v>
      </c>
      <c r="AH1467" s="10" t="n">
        <v>-3366</v>
      </c>
      <c r="AI1467" s="10" t="n">
        <v>-34197</v>
      </c>
      <c r="AJ1467" s="11" t="n">
        <v>1066</v>
      </c>
      <c r="AK1467" s="12" t="n">
        <v>-3446</v>
      </c>
      <c r="AL1467" s="12" t="n">
        <v>-4053</v>
      </c>
      <c r="AM1467" s="13" t="n">
        <v>12</v>
      </c>
      <c r="AN1467" s="13" t="n">
        <v>107.8</v>
      </c>
      <c r="AO1467" s="13" t="n">
        <v>-2.4</v>
      </c>
      <c r="AP1467" s="13" t="n">
        <v>-11.6</v>
      </c>
    </row>
    <row r="1468">
      <c r="A1468" s="5" t="inlineStr">
        <is>
          <t>한국정밀기계</t>
        </is>
      </c>
      <c r="B1468" s="6" t="inlineStr">
        <is>
          <t>101680</t>
        </is>
      </c>
      <c r="C1468" s="6" t="inlineStr">
        <is>
          <t>별도</t>
        </is>
      </c>
      <c r="D1468" s="6" t="inlineStr">
        <is>
          <t>2026Q2</t>
        </is>
      </c>
      <c r="E1468" s="6" t="inlineStr"/>
      <c r="F1468" s="7" t="inlineStr"/>
      <c r="G1468" s="8" t="inlineStr"/>
      <c r="H1468" s="8" t="inlineStr"/>
      <c r="I1468" s="9" t="n">
        <v>9386</v>
      </c>
      <c r="J1468" s="10" t="n">
        <v>-532</v>
      </c>
      <c r="K1468" s="10" t="n">
        <v>-775</v>
      </c>
      <c r="L1468" s="7" t="n">
        <v>18566</v>
      </c>
      <c r="M1468" s="8" t="n">
        <v>1119</v>
      </c>
      <c r="N1468" s="8" t="n">
        <v>1074</v>
      </c>
      <c r="O1468" s="9" t="n">
        <v>18794</v>
      </c>
      <c r="P1468" s="10" t="n">
        <v>-18</v>
      </c>
      <c r="Q1468" s="10" t="n">
        <v>-650</v>
      </c>
      <c r="R1468" s="7" t="n">
        <v>16955</v>
      </c>
      <c r="S1468" s="8" t="n">
        <v>1504</v>
      </c>
      <c r="T1468" s="8" t="n">
        <v>1854</v>
      </c>
      <c r="U1468" s="9" t="n">
        <v>6890</v>
      </c>
      <c r="V1468" s="10" t="n">
        <v>-2566</v>
      </c>
      <c r="W1468" s="10" t="n">
        <v>-2546</v>
      </c>
      <c r="X1468" s="7" t="n">
        <v>4927</v>
      </c>
      <c r="Y1468" s="8" t="n">
        <v>-2038</v>
      </c>
      <c r="Z1468" s="8" t="n">
        <v>-2338</v>
      </c>
      <c r="AA1468" s="9" t="n">
        <v>11443</v>
      </c>
      <c r="AB1468" s="10" t="n">
        <v>-1346</v>
      </c>
      <c r="AC1468" s="10" t="n">
        <v>-1679</v>
      </c>
      <c r="AD1468" s="7" t="n">
        <v>7312</v>
      </c>
      <c r="AE1468" s="8" t="n">
        <v>-1577</v>
      </c>
      <c r="AF1468" s="8" t="n">
        <v>-1524</v>
      </c>
      <c r="AG1468" s="9" t="n">
        <v>4492</v>
      </c>
      <c r="AH1468" s="10" t="n">
        <v>-1515</v>
      </c>
      <c r="AI1468" s="10" t="n">
        <v>-1473</v>
      </c>
      <c r="AJ1468" s="11" t="n">
        <v>8362</v>
      </c>
      <c r="AK1468" s="12" t="n">
        <v>-868</v>
      </c>
      <c r="AL1468" s="12" t="n">
        <v>-1384</v>
      </c>
      <c r="AM1468" s="13" t="n">
        <v>86.2</v>
      </c>
      <c r="AN1468" s="13" t="n">
        <v>69.7</v>
      </c>
      <c r="AO1468" s="13" t="n">
        <v>42.7</v>
      </c>
      <c r="AP1468" s="13" t="n">
        <v>57.4</v>
      </c>
    </row>
    <row r="1469">
      <c r="A1469" s="5" t="inlineStr">
        <is>
          <t>위메이드맥스</t>
        </is>
      </c>
      <c r="B1469" s="6" t="inlineStr">
        <is>
          <t>101730</t>
        </is>
      </c>
      <c r="C1469" s="6" t="inlineStr">
        <is>
          <t>연결</t>
        </is>
      </c>
      <c r="D1469" s="6" t="inlineStr">
        <is>
          <t>2026Q2</t>
        </is>
      </c>
      <c r="E1469" s="6" t="inlineStr">
        <is>
          <t>2023Q4</t>
        </is>
      </c>
      <c r="F1469" s="14" t="n">
        <v>17684</v>
      </c>
      <c r="G1469" s="15" t="n">
        <v>-1205</v>
      </c>
      <c r="H1469" s="15" t="n">
        <v>1423</v>
      </c>
      <c r="I1469" s="9" t="n">
        <v>17289</v>
      </c>
      <c r="J1469" s="10" t="n">
        <v>-1392</v>
      </c>
      <c r="K1469" s="10" t="n">
        <v>-106</v>
      </c>
      <c r="L1469" s="7" t="n">
        <v>18686</v>
      </c>
      <c r="M1469" s="8" t="n">
        <v>-1295</v>
      </c>
      <c r="N1469" s="8" t="n">
        <v>-1216</v>
      </c>
      <c r="O1469" s="9" t="n">
        <v>18986</v>
      </c>
      <c r="P1469" s="10" t="n">
        <v>-2130</v>
      </c>
      <c r="Q1469" s="10" t="n">
        <v>-4841</v>
      </c>
      <c r="R1469" s="7" t="n">
        <v>20030</v>
      </c>
      <c r="S1469" s="8" t="n">
        <v>-3277</v>
      </c>
      <c r="T1469" s="8" t="n">
        <v>-9502</v>
      </c>
      <c r="U1469" s="9" t="n">
        <v>47112</v>
      </c>
      <c r="V1469" s="10" t="n">
        <v>-2395</v>
      </c>
      <c r="W1469" s="10" t="n">
        <v>-686</v>
      </c>
      <c r="X1469" s="7" t="n">
        <v>33025</v>
      </c>
      <c r="Y1469" s="8" t="n">
        <v>-16690</v>
      </c>
      <c r="Z1469" s="8" t="n">
        <v>-15185</v>
      </c>
      <c r="AA1469" s="9" t="n">
        <v>38159</v>
      </c>
      <c r="AB1469" s="10" t="n">
        <v>-11748</v>
      </c>
      <c r="AC1469" s="10" t="n">
        <v>-8709</v>
      </c>
      <c r="AD1469" s="7" t="n">
        <v>30544</v>
      </c>
      <c r="AE1469" s="8" t="n">
        <v>-17912</v>
      </c>
      <c r="AF1469" s="8" t="n">
        <v>-11207</v>
      </c>
      <c r="AG1469" s="9" t="n">
        <v>32680</v>
      </c>
      <c r="AH1469" s="10" t="n">
        <v>-15348</v>
      </c>
      <c r="AI1469" s="10" t="n">
        <v>-11103</v>
      </c>
      <c r="AJ1469" s="11" t="n">
        <v>33703</v>
      </c>
      <c r="AK1469" s="12" t="n">
        <v>-15429</v>
      </c>
      <c r="AL1469" s="12" t="n">
        <v>-14377</v>
      </c>
      <c r="AM1469" s="13" t="n">
        <v>3.1</v>
      </c>
      <c r="AN1469" s="13" t="n">
        <v>2.1</v>
      </c>
      <c r="AO1469" s="13" t="n">
        <v>-0.5</v>
      </c>
      <c r="AP1469" s="13" t="n">
        <v>7.6</v>
      </c>
    </row>
    <row r="1470">
      <c r="A1470" s="5" t="inlineStr">
        <is>
          <t>인화정공</t>
        </is>
      </c>
      <c r="B1470" s="6" t="inlineStr">
        <is>
          <t>101930</t>
        </is>
      </c>
      <c r="C1470" s="6" t="inlineStr">
        <is>
          <t>연결</t>
        </is>
      </c>
      <c r="D1470" s="6" t="inlineStr">
        <is>
          <t>2026Q2</t>
        </is>
      </c>
      <c r="E1470" s="6" t="inlineStr"/>
      <c r="F1470" s="7" t="inlineStr"/>
      <c r="G1470" s="8" t="inlineStr"/>
      <c r="H1470" s="8" t="inlineStr"/>
      <c r="I1470" s="9" t="n">
        <v>21768</v>
      </c>
      <c r="J1470" s="10" t="n">
        <v>1151</v>
      </c>
      <c r="K1470" s="10" t="n">
        <v>53043</v>
      </c>
      <c r="L1470" s="7" t="n">
        <v>25499</v>
      </c>
      <c r="M1470" s="8" t="n">
        <v>4562</v>
      </c>
      <c r="N1470" s="8" t="n">
        <v>-12242</v>
      </c>
      <c r="O1470" s="9" t="n">
        <v>20568</v>
      </c>
      <c r="P1470" s="10" t="n">
        <v>1189</v>
      </c>
      <c r="Q1470" s="10" t="n">
        <v>3059</v>
      </c>
      <c r="R1470" s="7" t="n">
        <v>24949</v>
      </c>
      <c r="S1470" s="8" t="n">
        <v>3359</v>
      </c>
      <c r="T1470" s="8" t="n">
        <v>-3837</v>
      </c>
      <c r="U1470" s="9" t="n">
        <v>28521</v>
      </c>
      <c r="V1470" s="10" t="n">
        <v>2659</v>
      </c>
      <c r="W1470" s="10" t="n">
        <v>-2330</v>
      </c>
      <c r="X1470" s="7" t="n">
        <v>25162</v>
      </c>
      <c r="Y1470" s="8" t="n">
        <v>4409</v>
      </c>
      <c r="Z1470" s="8" t="n">
        <v>19229</v>
      </c>
      <c r="AA1470" s="9" t="n">
        <v>28795</v>
      </c>
      <c r="AB1470" s="10" t="n">
        <v>4865</v>
      </c>
      <c r="AC1470" s="10" t="n">
        <v>-3109</v>
      </c>
      <c r="AD1470" s="7" t="n">
        <v>25480</v>
      </c>
      <c r="AE1470" s="8" t="n">
        <v>3601</v>
      </c>
      <c r="AF1470" s="8" t="n">
        <v>11777</v>
      </c>
      <c r="AG1470" s="9" t="n">
        <v>25987</v>
      </c>
      <c r="AH1470" s="10" t="n">
        <v>4162</v>
      </c>
      <c r="AI1470" s="10" t="n">
        <v>4550</v>
      </c>
      <c r="AJ1470" s="11" t="n">
        <v>31830</v>
      </c>
      <c r="AK1470" s="12" t="n">
        <v>5134</v>
      </c>
      <c r="AL1470" s="12" t="n">
        <v>9386</v>
      </c>
      <c r="AM1470" s="13" t="n">
        <v>22.5</v>
      </c>
      <c r="AN1470" s="13" t="n">
        <v>26.5</v>
      </c>
      <c r="AO1470" s="13" t="n">
        <v>23.4</v>
      </c>
      <c r="AP1470" s="13" t="n">
        <v>16.4</v>
      </c>
    </row>
    <row r="1471">
      <c r="A1471" s="5" t="inlineStr">
        <is>
          <t>우양에이치씨</t>
        </is>
      </c>
      <c r="B1471" s="6" t="inlineStr">
        <is>
          <t>101970</t>
        </is>
      </c>
      <c r="C1471" s="6" t="inlineStr">
        <is>
          <t>연결</t>
        </is>
      </c>
      <c r="D1471" s="6" t="inlineStr">
        <is>
          <t>2026Q2</t>
        </is>
      </c>
      <c r="E1471" s="6" t="inlineStr"/>
      <c r="F1471" s="7" t="inlineStr"/>
      <c r="G1471" s="8" t="inlineStr"/>
      <c r="H1471" s="8" t="inlineStr"/>
      <c r="I1471" s="9" t="n">
        <v>51382</v>
      </c>
      <c r="J1471" s="10" t="n">
        <v>12359</v>
      </c>
      <c r="K1471" s="10" t="n">
        <v>11661</v>
      </c>
      <c r="L1471" s="7" t="n">
        <v>60790</v>
      </c>
      <c r="M1471" s="8" t="n">
        <v>14041</v>
      </c>
      <c r="N1471" s="8" t="n">
        <v>11988</v>
      </c>
      <c r="O1471" s="9" t="n">
        <v>34554</v>
      </c>
      <c r="P1471" s="10" t="n">
        <v>6059</v>
      </c>
      <c r="Q1471" s="10" t="n">
        <v>2418</v>
      </c>
      <c r="R1471" s="7" t="n">
        <v>36523</v>
      </c>
      <c r="S1471" s="8" t="n">
        <v>-1371</v>
      </c>
      <c r="T1471" s="8" t="n">
        <v>1365</v>
      </c>
      <c r="U1471" s="9" t="n">
        <v>30037</v>
      </c>
      <c r="V1471" s="10" t="n">
        <v>3359</v>
      </c>
      <c r="W1471" s="10" t="n">
        <v>-1973</v>
      </c>
      <c r="X1471" s="7" t="n">
        <v>27001</v>
      </c>
      <c r="Y1471" s="8" t="n">
        <v>2505</v>
      </c>
      <c r="Z1471" s="8" t="n">
        <v>-195</v>
      </c>
      <c r="AA1471" s="9" t="n">
        <v>20402</v>
      </c>
      <c r="AB1471" s="10" t="n">
        <v>-1252</v>
      </c>
      <c r="AC1471" s="10" t="n">
        <v>63</v>
      </c>
      <c r="AD1471" s="7" t="n">
        <v>23415</v>
      </c>
      <c r="AE1471" s="8" t="n">
        <v>-3906</v>
      </c>
      <c r="AF1471" s="8" t="n">
        <v>-2209</v>
      </c>
      <c r="AG1471" s="9" t="n">
        <v>31157</v>
      </c>
      <c r="AH1471" s="10" t="n">
        <v>3011</v>
      </c>
      <c r="AI1471" s="10" t="n">
        <v>4481</v>
      </c>
      <c r="AJ1471" s="11" t="n">
        <v>19837</v>
      </c>
      <c r="AK1471" s="12" t="n">
        <v>2015</v>
      </c>
      <c r="AL1471" s="12" t="n">
        <v>2620</v>
      </c>
      <c r="AM1471" s="13" t="n">
        <v>-36.3</v>
      </c>
      <c r="AN1471" s="13" t="n">
        <v>-26.5</v>
      </c>
      <c r="AO1471" s="13" t="n">
        <v>-33.1</v>
      </c>
      <c r="AP1471" s="13" t="n">
        <v>-19.6</v>
      </c>
    </row>
    <row r="1472">
      <c r="A1472" s="5" t="inlineStr">
        <is>
          <t>어보브반도체</t>
        </is>
      </c>
      <c r="B1472" s="6" t="inlineStr">
        <is>
          <t>102120</t>
        </is>
      </c>
      <c r="C1472" s="6" t="inlineStr">
        <is>
          <t>연결</t>
        </is>
      </c>
      <c r="D1472" s="6" t="inlineStr">
        <is>
          <t>2026Q2</t>
        </is>
      </c>
      <c r="E1472" s="6" t="inlineStr"/>
      <c r="F1472" s="7" t="inlineStr"/>
      <c r="G1472" s="8" t="inlineStr"/>
      <c r="H1472" s="8" t="inlineStr"/>
      <c r="I1472" s="9" t="n">
        <v>61399</v>
      </c>
      <c r="J1472" s="10" t="n">
        <v>-1193</v>
      </c>
      <c r="K1472" s="10" t="n">
        <v>-2733</v>
      </c>
      <c r="L1472" s="7" t="n">
        <v>64506</v>
      </c>
      <c r="M1472" s="8" t="n">
        <v>373</v>
      </c>
      <c r="N1472" s="8" t="n">
        <v>-2802</v>
      </c>
      <c r="O1472" s="9" t="n">
        <v>54512</v>
      </c>
      <c r="P1472" s="10" t="n">
        <v>-1922</v>
      </c>
      <c r="Q1472" s="10" t="n">
        <v>-5180</v>
      </c>
      <c r="R1472" s="7" t="n">
        <v>51700</v>
      </c>
      <c r="S1472" s="8" t="n">
        <v>-2358</v>
      </c>
      <c r="T1472" s="8" t="n">
        <v>-7380</v>
      </c>
      <c r="U1472" s="9" t="n">
        <v>61746</v>
      </c>
      <c r="V1472" s="10" t="n">
        <v>4169</v>
      </c>
      <c r="W1472" s="10" t="n">
        <v>4364</v>
      </c>
      <c r="X1472" s="7" t="n">
        <v>60888</v>
      </c>
      <c r="Y1472" s="8" t="n">
        <v>3102</v>
      </c>
      <c r="Z1472" s="8" t="n">
        <v>-644</v>
      </c>
      <c r="AA1472" s="9" t="n">
        <v>58315</v>
      </c>
      <c r="AB1472" s="10" t="n">
        <v>1489</v>
      </c>
      <c r="AC1472" s="10" t="n">
        <v>2234</v>
      </c>
      <c r="AD1472" s="7" t="n">
        <v>63175</v>
      </c>
      <c r="AE1472" s="8" t="n">
        <v>1388</v>
      </c>
      <c r="AF1472" s="8" t="n">
        <v>-3995</v>
      </c>
      <c r="AG1472" s="9" t="n">
        <v>62537</v>
      </c>
      <c r="AH1472" s="10" t="n">
        <v>3165</v>
      </c>
      <c r="AI1472" s="10" t="n">
        <v>3963</v>
      </c>
      <c r="AJ1472" s="11" t="n">
        <v>68857</v>
      </c>
      <c r="AK1472" s="12" t="n">
        <v>3522</v>
      </c>
      <c r="AL1472" s="12" t="n">
        <v>3223</v>
      </c>
      <c r="AM1472" s="13" t="n">
        <v>10.1</v>
      </c>
      <c r="AN1472" s="13" t="n">
        <v>13.1</v>
      </c>
      <c r="AO1472" s="13" t="n">
        <v>11.3</v>
      </c>
      <c r="AP1472" s="13" t="n">
        <v>13.5</v>
      </c>
    </row>
    <row r="1473">
      <c r="A1473" s="5" t="inlineStr">
        <is>
          <t>동성케미컬</t>
        </is>
      </c>
      <c r="B1473" s="6" t="inlineStr">
        <is>
          <t>102260</t>
        </is>
      </c>
      <c r="C1473" s="6" t="inlineStr">
        <is>
          <t>연결</t>
        </is>
      </c>
      <c r="D1473" s="6" t="inlineStr">
        <is>
          <t>2026Q2</t>
        </is>
      </c>
      <c r="E1473" s="6" t="inlineStr"/>
      <c r="F1473" s="7" t="inlineStr"/>
      <c r="G1473" s="8" t="inlineStr"/>
      <c r="H1473" s="8" t="inlineStr"/>
      <c r="I1473" s="9" t="n">
        <v>253291</v>
      </c>
      <c r="J1473" s="10" t="n">
        <v>20061</v>
      </c>
      <c r="K1473" s="10" t="n">
        <v>16403</v>
      </c>
      <c r="L1473" s="7" t="n">
        <v>252362</v>
      </c>
      <c r="M1473" s="8" t="n">
        <v>22607</v>
      </c>
      <c r="N1473" s="8" t="n">
        <v>21555</v>
      </c>
      <c r="O1473" s="9" t="n">
        <v>254518</v>
      </c>
      <c r="P1473" s="10" t="n">
        <v>20722</v>
      </c>
      <c r="Q1473" s="10" t="n">
        <v>13428</v>
      </c>
      <c r="R1473" s="7" t="n">
        <v>306147</v>
      </c>
      <c r="S1473" s="8" t="n">
        <v>27640</v>
      </c>
      <c r="T1473" s="8" t="n">
        <v>26595</v>
      </c>
      <c r="U1473" s="9" t="n">
        <v>285417</v>
      </c>
      <c r="V1473" s="10" t="n">
        <v>21154</v>
      </c>
      <c r="W1473" s="10" t="n">
        <v>13735</v>
      </c>
      <c r="X1473" s="7" t="n">
        <v>312988</v>
      </c>
      <c r="Y1473" s="8" t="n">
        <v>26578</v>
      </c>
      <c r="Z1473" s="8" t="n">
        <v>15708</v>
      </c>
      <c r="AA1473" s="9" t="n">
        <v>315317</v>
      </c>
      <c r="AB1473" s="10" t="n">
        <v>34259</v>
      </c>
      <c r="AC1473" s="10" t="n">
        <v>27546</v>
      </c>
      <c r="AD1473" s="7" t="n">
        <v>297878</v>
      </c>
      <c r="AE1473" s="8" t="n">
        <v>30052</v>
      </c>
      <c r="AF1473" s="8" t="n">
        <v>18568</v>
      </c>
      <c r="AG1473" s="9" t="n">
        <v>287047</v>
      </c>
      <c r="AH1473" s="10" t="n">
        <v>25362</v>
      </c>
      <c r="AI1473" s="10" t="n">
        <v>20421</v>
      </c>
      <c r="AJ1473" s="11" t="n">
        <v>352379</v>
      </c>
      <c r="AK1473" s="12" t="n">
        <v>46133</v>
      </c>
      <c r="AL1473" s="12" t="n">
        <v>31341</v>
      </c>
      <c r="AM1473" s="13" t="n">
        <v>22.8</v>
      </c>
      <c r="AN1473" s="13" t="n">
        <v>12.6</v>
      </c>
      <c r="AO1473" s="13" t="n">
        <v>81.90000000000001</v>
      </c>
      <c r="AP1473" s="13" t="n">
        <v>73.59999999999999</v>
      </c>
    </row>
    <row r="1474">
      <c r="A1474" s="5" t="inlineStr">
        <is>
          <t>케이옥션</t>
        </is>
      </c>
      <c r="B1474" s="6" t="inlineStr">
        <is>
          <t>102370</t>
        </is>
      </c>
      <c r="C1474" s="6" t="inlineStr">
        <is>
          <t>연결</t>
        </is>
      </c>
      <c r="D1474" s="6" t="inlineStr">
        <is>
          <t>2026Q2</t>
        </is>
      </c>
      <c r="E1474" s="6" t="inlineStr"/>
      <c r="F1474" s="7" t="inlineStr"/>
      <c r="G1474" s="8" t="inlineStr"/>
      <c r="H1474" s="8" t="inlineStr"/>
      <c r="I1474" s="9" t="n">
        <v>3898</v>
      </c>
      <c r="J1474" s="10" t="n">
        <v>-1283</v>
      </c>
      <c r="K1474" s="10" t="n">
        <v>-1804</v>
      </c>
      <c r="L1474" s="7" t="n">
        <v>4834</v>
      </c>
      <c r="M1474" s="8" t="n">
        <v>-829</v>
      </c>
      <c r="N1474" s="8" t="n">
        <v>-1480</v>
      </c>
      <c r="O1474" s="9" t="n">
        <v>5273</v>
      </c>
      <c r="P1474" s="10" t="n">
        <v>-1098</v>
      </c>
      <c r="Q1474" s="10" t="n">
        <v>-1682</v>
      </c>
      <c r="R1474" s="7" t="n">
        <v>5452</v>
      </c>
      <c r="S1474" s="8" t="n">
        <v>-1546</v>
      </c>
      <c r="T1474" s="8" t="n">
        <v>-2122</v>
      </c>
      <c r="U1474" s="9" t="n">
        <v>4299</v>
      </c>
      <c r="V1474" s="10" t="n">
        <v>-657</v>
      </c>
      <c r="W1474" s="10" t="n">
        <v>-1337</v>
      </c>
      <c r="X1474" s="7" t="n">
        <v>2222</v>
      </c>
      <c r="Y1474" s="8" t="n">
        <v>-1110</v>
      </c>
      <c r="Z1474" s="8" t="n">
        <v>-1585</v>
      </c>
      <c r="AA1474" s="9" t="n">
        <v>2442</v>
      </c>
      <c r="AB1474" s="10" t="n">
        <v>-1364</v>
      </c>
      <c r="AC1474" s="10" t="n">
        <v>-1282</v>
      </c>
      <c r="AD1474" s="7" t="n">
        <v>3324</v>
      </c>
      <c r="AE1474" s="8" t="n">
        <v>-934</v>
      </c>
      <c r="AF1474" s="8" t="n">
        <v>-2170</v>
      </c>
      <c r="AG1474" s="9" t="n">
        <v>2808</v>
      </c>
      <c r="AH1474" s="10" t="n">
        <v>-317</v>
      </c>
      <c r="AI1474" s="10" t="n">
        <v>-537</v>
      </c>
      <c r="AJ1474" s="11" t="n">
        <v>4026</v>
      </c>
      <c r="AK1474" s="12" t="n">
        <v>109</v>
      </c>
      <c r="AL1474" s="12" t="n">
        <v>18</v>
      </c>
      <c r="AM1474" s="13" t="n">
        <v>43.4</v>
      </c>
      <c r="AN1474" s="13" t="n">
        <v>81.2</v>
      </c>
      <c r="AO1474" s="13" t="n">
        <v>134.4</v>
      </c>
      <c r="AP1474" s="13" t="n">
        <v>109.8</v>
      </c>
    </row>
    <row r="1475">
      <c r="A1475" s="5" t="inlineStr">
        <is>
          <t>이연제약</t>
        </is>
      </c>
      <c r="B1475" s="6" t="inlineStr">
        <is>
          <t>102460</t>
        </is>
      </c>
      <c r="C1475" s="6" t="inlineStr">
        <is>
          <t>연결</t>
        </is>
      </c>
      <c r="D1475" s="6" t="inlineStr">
        <is>
          <t>2026Q2</t>
        </is>
      </c>
      <c r="E1475" s="6" t="inlineStr"/>
      <c r="F1475" s="7" t="inlineStr"/>
      <c r="G1475" s="8" t="inlineStr"/>
      <c r="H1475" s="8" t="inlineStr"/>
      <c r="I1475" s="9" t="n">
        <v>37015</v>
      </c>
      <c r="J1475" s="10" t="n">
        <v>1305</v>
      </c>
      <c r="K1475" s="10" t="n">
        <v>326</v>
      </c>
      <c r="L1475" s="7" t="n">
        <v>35681</v>
      </c>
      <c r="M1475" s="8" t="n">
        <v>143</v>
      </c>
      <c r="N1475" s="8" t="n">
        <v>660</v>
      </c>
      <c r="O1475" s="9" t="n">
        <v>38293</v>
      </c>
      <c r="P1475" s="10" t="n">
        <v>1654</v>
      </c>
      <c r="Q1475" s="10" t="n">
        <v>619</v>
      </c>
      <c r="R1475" s="7" t="n">
        <v>37311</v>
      </c>
      <c r="S1475" s="8" t="n">
        <v>-3023</v>
      </c>
      <c r="T1475" s="8" t="n">
        <v>2546</v>
      </c>
      <c r="U1475" s="9" t="n">
        <v>36758</v>
      </c>
      <c r="V1475" s="10" t="n">
        <v>-3807</v>
      </c>
      <c r="W1475" s="10" t="n">
        <v>216</v>
      </c>
      <c r="X1475" s="7" t="n">
        <v>37692</v>
      </c>
      <c r="Y1475" s="8" t="n">
        <v>-11090</v>
      </c>
      <c r="Z1475" s="8" t="n">
        <v>-13146</v>
      </c>
      <c r="AA1475" s="9" t="n">
        <v>37582</v>
      </c>
      <c r="AB1475" s="10" t="n">
        <v>-7203</v>
      </c>
      <c r="AC1475" s="10" t="n">
        <v>-3862</v>
      </c>
      <c r="AD1475" s="7" t="n">
        <v>33897</v>
      </c>
      <c r="AE1475" s="8" t="n">
        <v>-8169</v>
      </c>
      <c r="AF1475" s="8" t="n">
        <v>-12841</v>
      </c>
      <c r="AG1475" s="9" t="n">
        <v>36051</v>
      </c>
      <c r="AH1475" s="10" t="n">
        <v>-6658</v>
      </c>
      <c r="AI1475" s="10" t="n">
        <v>-10737</v>
      </c>
      <c r="AJ1475" s="11" t="n">
        <v>35845</v>
      </c>
      <c r="AK1475" s="12" t="n">
        <v>-6978</v>
      </c>
      <c r="AL1475" s="12" t="n">
        <v>-6804</v>
      </c>
      <c r="AM1475" s="13" t="n">
        <v>-0.6</v>
      </c>
      <c r="AN1475" s="13" t="n">
        <v>-4.9</v>
      </c>
      <c r="AO1475" s="13" t="n">
        <v>-4.8</v>
      </c>
      <c r="AP1475" s="13" t="n">
        <v>37.1</v>
      </c>
    </row>
    <row r="1476">
      <c r="A1476" s="5" t="inlineStr">
        <is>
          <t>이엔에프테크놀로지</t>
        </is>
      </c>
      <c r="B1476" s="6" t="inlineStr">
        <is>
          <t>102710</t>
        </is>
      </c>
      <c r="C1476" s="6" t="inlineStr">
        <is>
          <t>연결</t>
        </is>
      </c>
      <c r="D1476" s="6" t="inlineStr">
        <is>
          <t>2026Q2</t>
        </is>
      </c>
      <c r="E1476" s="6" t="inlineStr"/>
      <c r="F1476" s="7" t="inlineStr"/>
      <c r="G1476" s="8" t="inlineStr"/>
      <c r="H1476" s="8" t="inlineStr"/>
      <c r="I1476" s="9" t="n">
        <v>143195</v>
      </c>
      <c r="J1476" s="10" t="n">
        <v>7514</v>
      </c>
      <c r="K1476" s="10" t="n">
        <v>5132</v>
      </c>
      <c r="L1476" s="7" t="n">
        <v>150903</v>
      </c>
      <c r="M1476" s="8" t="n">
        <v>16593</v>
      </c>
      <c r="N1476" s="8" t="n">
        <v>9963</v>
      </c>
      <c r="O1476" s="9" t="n">
        <v>166370</v>
      </c>
      <c r="P1476" s="10" t="n">
        <v>19883</v>
      </c>
      <c r="Q1476" s="10" t="n">
        <v>11978</v>
      </c>
      <c r="R1476" s="7" t="n">
        <v>121966</v>
      </c>
      <c r="S1476" s="8" t="n">
        <v>15342</v>
      </c>
      <c r="T1476" s="8" t="n">
        <v>2656</v>
      </c>
      <c r="U1476" s="9" t="n">
        <v>157791</v>
      </c>
      <c r="V1476" s="10" t="n">
        <v>21460</v>
      </c>
      <c r="W1476" s="10" t="n">
        <v>14131</v>
      </c>
      <c r="X1476" s="7" t="n">
        <v>164227</v>
      </c>
      <c r="Y1476" s="8" t="n">
        <v>23502</v>
      </c>
      <c r="Z1476" s="8" t="n">
        <v>14719</v>
      </c>
      <c r="AA1476" s="9" t="n">
        <v>172097</v>
      </c>
      <c r="AB1476" s="10" t="n">
        <v>21996</v>
      </c>
      <c r="AC1476" s="10" t="n">
        <v>15613</v>
      </c>
      <c r="AD1476" s="7" t="n">
        <v>176781</v>
      </c>
      <c r="AE1476" s="8" t="n">
        <v>11119</v>
      </c>
      <c r="AF1476" s="8" t="n">
        <v>5843</v>
      </c>
      <c r="AG1476" s="9" t="n">
        <v>170869</v>
      </c>
      <c r="AH1476" s="10" t="n">
        <v>24918</v>
      </c>
      <c r="AI1476" s="10" t="n">
        <v>19740</v>
      </c>
      <c r="AJ1476" s="11" t="n">
        <v>179011</v>
      </c>
      <c r="AK1476" s="12" t="n">
        <v>27255</v>
      </c>
      <c r="AL1476" s="12" t="n">
        <v>15388</v>
      </c>
      <c r="AM1476" s="13" t="n">
        <v>4.8</v>
      </c>
      <c r="AN1476" s="13" t="n">
        <v>9</v>
      </c>
      <c r="AO1476" s="13" t="n">
        <v>9.4</v>
      </c>
      <c r="AP1476" s="13" t="n">
        <v>16</v>
      </c>
    </row>
    <row r="1477">
      <c r="A1477" s="5" t="inlineStr">
        <is>
          <t>코오롱생명과학</t>
        </is>
      </c>
      <c r="B1477" s="6" t="inlineStr">
        <is>
          <t>102940</t>
        </is>
      </c>
      <c r="C1477" s="6" t="inlineStr">
        <is>
          <t>연결</t>
        </is>
      </c>
      <c r="D1477" s="6" t="inlineStr">
        <is>
          <t>2026Q2</t>
        </is>
      </c>
      <c r="E1477" s="6" t="inlineStr"/>
      <c r="F1477" s="7" t="inlineStr"/>
      <c r="G1477" s="8" t="inlineStr"/>
      <c r="H1477" s="8" t="inlineStr"/>
      <c r="I1477" s="9" t="n">
        <v>38557</v>
      </c>
      <c r="J1477" s="10" t="n">
        <v>-3476</v>
      </c>
      <c r="K1477" s="10" t="n">
        <v>-4543</v>
      </c>
      <c r="L1477" s="7" t="n">
        <v>40045</v>
      </c>
      <c r="M1477" s="8" t="n">
        <v>-6417</v>
      </c>
      <c r="N1477" s="8" t="n">
        <v>-59312</v>
      </c>
      <c r="O1477" s="9" t="n">
        <v>35918</v>
      </c>
      <c r="P1477" s="10" t="n">
        <v>-8965</v>
      </c>
      <c r="Q1477" s="10" t="n">
        <v>-12495</v>
      </c>
      <c r="R1477" s="7" t="n">
        <v>46867</v>
      </c>
      <c r="S1477" s="8" t="n">
        <v>-3226</v>
      </c>
      <c r="T1477" s="8" t="n">
        <v>-16736</v>
      </c>
      <c r="U1477" s="9" t="n">
        <v>44831</v>
      </c>
      <c r="V1477" s="10" t="n">
        <v>74</v>
      </c>
      <c r="W1477" s="10" t="n">
        <v>10481</v>
      </c>
      <c r="X1477" s="7" t="n">
        <v>52959</v>
      </c>
      <c r="Y1477" s="8" t="n">
        <v>1258</v>
      </c>
      <c r="Z1477" s="8" t="n">
        <v>-1486</v>
      </c>
      <c r="AA1477" s="9" t="n">
        <v>66477</v>
      </c>
      <c r="AB1477" s="10" t="n">
        <v>18905</v>
      </c>
      <c r="AC1477" s="10" t="n">
        <v>25542</v>
      </c>
      <c r="AD1477" s="7" t="n">
        <v>44715</v>
      </c>
      <c r="AE1477" s="8" t="n">
        <v>-2665</v>
      </c>
      <c r="AF1477" s="8" t="n">
        <v>-9577</v>
      </c>
      <c r="AG1477" s="9" t="n">
        <v>49656</v>
      </c>
      <c r="AH1477" s="10" t="n">
        <v>2917</v>
      </c>
      <c r="AI1477" s="10" t="n">
        <v>20848</v>
      </c>
      <c r="AJ1477" s="11" t="n">
        <v>50591</v>
      </c>
      <c r="AK1477" s="12" t="n">
        <v>-785</v>
      </c>
      <c r="AL1477" s="12" t="n">
        <v>-2186</v>
      </c>
      <c r="AM1477" s="13" t="n">
        <v>1.9</v>
      </c>
      <c r="AN1477" s="13" t="n">
        <v>-4.5</v>
      </c>
      <c r="AO1477" s="13" t="n">
        <v>-126.9</v>
      </c>
      <c r="AP1477" s="13" t="n">
        <v>-162.4</v>
      </c>
    </row>
    <row r="1478">
      <c r="A1478" s="5" t="inlineStr">
        <is>
          <t>풍산</t>
        </is>
      </c>
      <c r="B1478" s="6" t="inlineStr">
        <is>
          <t>103140</t>
        </is>
      </c>
      <c r="C1478" s="6" t="inlineStr">
        <is>
          <t>연결</t>
        </is>
      </c>
      <c r="D1478" s="6" t="inlineStr">
        <is>
          <t>2026Q2</t>
        </is>
      </c>
      <c r="E1478" s="6" t="inlineStr">
        <is>
          <t>2023Q4</t>
        </is>
      </c>
      <c r="F1478" s="14" t="n">
        <v>1113676</v>
      </c>
      <c r="G1478" s="15" t="n">
        <v>59472</v>
      </c>
      <c r="H1478" s="15" t="n">
        <v>39224</v>
      </c>
      <c r="I1478" s="9" t="n">
        <v>963531</v>
      </c>
      <c r="J1478" s="10" t="n">
        <v>54231</v>
      </c>
      <c r="K1478" s="10" t="n">
        <v>36892</v>
      </c>
      <c r="L1478" s="7" t="n">
        <v>1233627</v>
      </c>
      <c r="M1478" s="8" t="n">
        <v>161314</v>
      </c>
      <c r="N1478" s="8" t="n">
        <v>111261</v>
      </c>
      <c r="O1478" s="9" t="n">
        <v>1129237</v>
      </c>
      <c r="P1478" s="10" t="n">
        <v>74355</v>
      </c>
      <c r="Q1478" s="10" t="n">
        <v>47599</v>
      </c>
      <c r="R1478" s="7" t="n">
        <v>1228016</v>
      </c>
      <c r="S1478" s="8" t="n">
        <v>33869</v>
      </c>
      <c r="T1478" s="8" t="n">
        <v>40294</v>
      </c>
      <c r="U1478" s="9" t="n">
        <v>1155945</v>
      </c>
      <c r="V1478" s="10" t="n">
        <v>69714</v>
      </c>
      <c r="W1478" s="10" t="n">
        <v>41559</v>
      </c>
      <c r="X1478" s="7" t="n">
        <v>1293963</v>
      </c>
      <c r="Y1478" s="8" t="n">
        <v>93593</v>
      </c>
      <c r="Z1478" s="8" t="n">
        <v>64200</v>
      </c>
      <c r="AA1478" s="9" t="n">
        <v>1174161</v>
      </c>
      <c r="AB1478" s="10" t="n">
        <v>42583</v>
      </c>
      <c r="AC1478" s="10" t="n">
        <v>32578</v>
      </c>
      <c r="AD1478" s="7" t="n">
        <v>1424511</v>
      </c>
      <c r="AE1478" s="8" t="n">
        <v>91537</v>
      </c>
      <c r="AF1478" s="8" t="n">
        <v>8827</v>
      </c>
      <c r="AG1478" s="9" t="n">
        <v>1270896</v>
      </c>
      <c r="AH1478" s="10" t="n">
        <v>90173</v>
      </c>
      <c r="AI1478" s="10" t="n">
        <v>78000</v>
      </c>
      <c r="AJ1478" s="11" t="n">
        <v>1470322</v>
      </c>
      <c r="AK1478" s="12" t="n">
        <v>125211</v>
      </c>
      <c r="AL1478" s="12" t="n">
        <v>82480</v>
      </c>
      <c r="AM1478" s="13" t="n">
        <v>15.7</v>
      </c>
      <c r="AN1478" s="13" t="n">
        <v>13.6</v>
      </c>
      <c r="AO1478" s="13" t="n">
        <v>38.9</v>
      </c>
      <c r="AP1478" s="13" t="n">
        <v>33.8</v>
      </c>
    </row>
    <row r="1479">
      <c r="A1479" s="5" t="inlineStr">
        <is>
          <t>에스앤더블류</t>
        </is>
      </c>
      <c r="B1479" s="6" t="inlineStr">
        <is>
          <t>103230</t>
        </is>
      </c>
      <c r="C1479" s="6" t="inlineStr">
        <is>
          <t>별도</t>
        </is>
      </c>
      <c r="D1479" s="6" t="inlineStr">
        <is>
          <t>2026Q2</t>
        </is>
      </c>
      <c r="E1479" s="6" t="inlineStr"/>
      <c r="F1479" s="7" t="inlineStr"/>
      <c r="G1479" s="8" t="inlineStr"/>
      <c r="H1479" s="8" t="inlineStr"/>
      <c r="I1479" s="9" t="n">
        <v>10689</v>
      </c>
      <c r="J1479" s="10" t="n">
        <v>1057</v>
      </c>
      <c r="K1479" s="10" t="n">
        <v>1153</v>
      </c>
      <c r="L1479" s="7" t="n">
        <v>11524</v>
      </c>
      <c r="M1479" s="8" t="n">
        <v>756</v>
      </c>
      <c r="N1479" s="8" t="n">
        <v>840</v>
      </c>
      <c r="O1479" s="9" t="n">
        <v>9710</v>
      </c>
      <c r="P1479" s="10" t="n">
        <v>-472</v>
      </c>
      <c r="Q1479" s="10" t="n">
        <v>-436</v>
      </c>
      <c r="R1479" s="7" t="n">
        <v>15207</v>
      </c>
      <c r="S1479" s="8" t="n">
        <v>2115</v>
      </c>
      <c r="T1479" s="8" t="n">
        <v>3206</v>
      </c>
      <c r="U1479" s="9" t="n">
        <v>12539</v>
      </c>
      <c r="V1479" s="10" t="n">
        <v>-76</v>
      </c>
      <c r="W1479" s="10" t="n">
        <v>1846</v>
      </c>
      <c r="X1479" s="7" t="n">
        <v>12034</v>
      </c>
      <c r="Y1479" s="8" t="n">
        <v>710</v>
      </c>
      <c r="Z1479" s="8" t="n">
        <v>1082</v>
      </c>
      <c r="AA1479" s="9" t="n">
        <v>11642</v>
      </c>
      <c r="AB1479" s="10" t="n">
        <v>370</v>
      </c>
      <c r="AC1479" s="10" t="n">
        <v>919</v>
      </c>
      <c r="AD1479" s="7" t="n">
        <v>12589</v>
      </c>
      <c r="AE1479" s="8" t="n">
        <v>-103</v>
      </c>
      <c r="AF1479" s="8" t="n">
        <v>-216</v>
      </c>
      <c r="AG1479" s="9" t="n">
        <v>11494</v>
      </c>
      <c r="AH1479" s="10" t="n">
        <v>309</v>
      </c>
      <c r="AI1479" s="10" t="n">
        <v>266</v>
      </c>
      <c r="AJ1479" s="11" t="n">
        <v>12796</v>
      </c>
      <c r="AK1479" s="12" t="n">
        <v>415</v>
      </c>
      <c r="AL1479" s="12" t="n">
        <v>635</v>
      </c>
      <c r="AM1479" s="13" t="n">
        <v>11.3</v>
      </c>
      <c r="AN1479" s="13" t="n">
        <v>6.3</v>
      </c>
      <c r="AO1479" s="13" t="n">
        <v>34.3</v>
      </c>
      <c r="AP1479" s="13" t="n">
        <v>-41.5</v>
      </c>
    </row>
    <row r="1480">
      <c r="A1480" s="5" t="inlineStr">
        <is>
          <t>일진전기</t>
        </is>
      </c>
      <c r="B1480" s="6" t="inlineStr">
        <is>
          <t>103590</t>
        </is>
      </c>
      <c r="C1480" s="6" t="inlineStr">
        <is>
          <t>연결</t>
        </is>
      </c>
      <c r="D1480" s="6" t="inlineStr">
        <is>
          <t>2026Q2</t>
        </is>
      </c>
      <c r="E1480" s="6" t="inlineStr"/>
      <c r="F1480" s="7" t="inlineStr"/>
      <c r="G1480" s="8" t="inlineStr"/>
      <c r="H1480" s="8" t="inlineStr"/>
      <c r="I1480" s="9" t="n">
        <v>341274</v>
      </c>
      <c r="J1480" s="10" t="n">
        <v>18261</v>
      </c>
      <c r="K1480" s="10" t="n">
        <v>18481</v>
      </c>
      <c r="L1480" s="7" t="n">
        <v>433761</v>
      </c>
      <c r="M1480" s="8" t="n">
        <v>24523</v>
      </c>
      <c r="N1480" s="8" t="n">
        <v>10879</v>
      </c>
      <c r="O1480" s="9" t="n">
        <v>331368</v>
      </c>
      <c r="P1480" s="10" t="n">
        <v>14676</v>
      </c>
      <c r="Q1480" s="10" t="n">
        <v>7452</v>
      </c>
      <c r="R1480" s="7" t="n">
        <v>470844</v>
      </c>
      <c r="S1480" s="8" t="n">
        <v>22282</v>
      </c>
      <c r="T1480" s="8" t="n">
        <v>5980</v>
      </c>
      <c r="U1480" s="9" t="n">
        <v>457428</v>
      </c>
      <c r="V1480" s="10" t="n">
        <v>34043</v>
      </c>
      <c r="W1480" s="10" t="n">
        <v>37637</v>
      </c>
      <c r="X1480" s="7" t="n">
        <v>522820</v>
      </c>
      <c r="Y1480" s="8" t="n">
        <v>37606</v>
      </c>
      <c r="Z1480" s="8" t="n">
        <v>23235</v>
      </c>
      <c r="AA1480" s="9" t="n">
        <v>450154</v>
      </c>
      <c r="AB1480" s="10" t="n">
        <v>35336</v>
      </c>
      <c r="AC1480" s="10" t="n">
        <v>27586</v>
      </c>
      <c r="AD1480" s="7" t="n">
        <v>614150</v>
      </c>
      <c r="AE1480" s="8" t="n">
        <v>44242</v>
      </c>
      <c r="AF1480" s="8" t="n">
        <v>15431</v>
      </c>
      <c r="AG1480" s="9" t="n">
        <v>506130</v>
      </c>
      <c r="AH1480" s="10" t="n">
        <v>50763</v>
      </c>
      <c r="AI1480" s="10" t="n">
        <v>35906</v>
      </c>
      <c r="AJ1480" s="11" t="n">
        <v>637385</v>
      </c>
      <c r="AK1480" s="12" t="n">
        <v>71962</v>
      </c>
      <c r="AL1480" s="12" t="n">
        <v>49942</v>
      </c>
      <c r="AM1480" s="13" t="n">
        <v>25.9</v>
      </c>
      <c r="AN1480" s="13" t="n">
        <v>21.9</v>
      </c>
      <c r="AO1480" s="13" t="n">
        <v>41.8</v>
      </c>
      <c r="AP1480" s="13" t="n">
        <v>91.40000000000001</v>
      </c>
    </row>
    <row r="1481">
      <c r="A1481" s="5" t="inlineStr">
        <is>
          <t>우양</t>
        </is>
      </c>
      <c r="B1481" s="6" t="inlineStr">
        <is>
          <t>103840</t>
        </is>
      </c>
      <c r="C1481" s="6" t="inlineStr">
        <is>
          <t>별도</t>
        </is>
      </c>
      <c r="D1481" s="6" t="inlineStr">
        <is>
          <t>2026Q2</t>
        </is>
      </c>
      <c r="E1481" s="6" t="inlineStr"/>
      <c r="F1481" s="7" t="inlineStr"/>
      <c r="G1481" s="8" t="inlineStr"/>
      <c r="H1481" s="8" t="inlineStr"/>
      <c r="I1481" s="9" t="n">
        <v>43013</v>
      </c>
      <c r="J1481" s="10" t="n">
        <v>361</v>
      </c>
      <c r="K1481" s="10" t="n">
        <v>-706</v>
      </c>
      <c r="L1481" s="7" t="n">
        <v>43637</v>
      </c>
      <c r="M1481" s="8" t="n">
        <v>380</v>
      </c>
      <c r="N1481" s="8" t="n">
        <v>249</v>
      </c>
      <c r="O1481" s="9" t="n">
        <v>45578</v>
      </c>
      <c r="P1481" s="10" t="n">
        <v>-618</v>
      </c>
      <c r="Q1481" s="10" t="n">
        <v>-2497</v>
      </c>
      <c r="R1481" s="7" t="n">
        <v>44032</v>
      </c>
      <c r="S1481" s="8" t="n">
        <v>331</v>
      </c>
      <c r="T1481" s="8" t="n">
        <v>1639</v>
      </c>
      <c r="U1481" s="9" t="n">
        <v>39996</v>
      </c>
      <c r="V1481" s="10" t="n">
        <v>1032</v>
      </c>
      <c r="W1481" s="10" t="n">
        <v>69</v>
      </c>
      <c r="X1481" s="7" t="n">
        <v>45342</v>
      </c>
      <c r="Y1481" s="8" t="n">
        <v>955</v>
      </c>
      <c r="Z1481" s="8" t="n">
        <v>451</v>
      </c>
      <c r="AA1481" s="9" t="n">
        <v>48016</v>
      </c>
      <c r="AB1481" s="10" t="n">
        <v>982</v>
      </c>
      <c r="AC1481" s="10" t="n">
        <v>295</v>
      </c>
      <c r="AD1481" s="7" t="n">
        <v>50422</v>
      </c>
      <c r="AE1481" s="8" t="n">
        <v>1697</v>
      </c>
      <c r="AF1481" s="8" t="n">
        <v>1431</v>
      </c>
      <c r="AG1481" s="9" t="n">
        <v>46144</v>
      </c>
      <c r="AH1481" s="10" t="n">
        <v>978</v>
      </c>
      <c r="AI1481" s="10" t="n">
        <v>-161</v>
      </c>
      <c r="AJ1481" s="11" t="n">
        <v>49251</v>
      </c>
      <c r="AK1481" s="12" t="n">
        <v>102</v>
      </c>
      <c r="AL1481" s="12" t="n">
        <v>-654</v>
      </c>
      <c r="AM1481" s="13" t="n">
        <v>6.7</v>
      </c>
      <c r="AN1481" s="13" t="n">
        <v>8.6</v>
      </c>
      <c r="AO1481" s="13" t="n">
        <v>-89.59999999999999</v>
      </c>
      <c r="AP1481" s="13" t="n">
        <v>-89.3</v>
      </c>
    </row>
    <row r="1482">
      <c r="A1482" s="5" t="inlineStr">
        <is>
          <t>디에스엠</t>
        </is>
      </c>
      <c r="B1482" s="6" t="inlineStr">
        <is>
          <t>104040</t>
        </is>
      </c>
      <c r="C1482" s="6" t="inlineStr">
        <is>
          <t>연결</t>
        </is>
      </c>
      <c r="D1482" s="6" t="inlineStr">
        <is>
          <t>2026Q2</t>
        </is>
      </c>
      <c r="E1482" s="6" t="inlineStr"/>
      <c r="F1482" s="7" t="inlineStr"/>
      <c r="G1482" s="8" t="inlineStr"/>
      <c r="H1482" s="8" t="inlineStr"/>
      <c r="I1482" s="9" t="n">
        <v>8086</v>
      </c>
      <c r="J1482" s="10" t="n">
        <v>60</v>
      </c>
      <c r="K1482" s="10" t="n">
        <v>16</v>
      </c>
      <c r="L1482" s="7" t="n">
        <v>9477</v>
      </c>
      <c r="M1482" s="8" t="n">
        <v>94</v>
      </c>
      <c r="N1482" s="8" t="n">
        <v>108</v>
      </c>
      <c r="O1482" s="9" t="n">
        <v>9015</v>
      </c>
      <c r="P1482" s="10" t="n">
        <v>-59</v>
      </c>
      <c r="Q1482" s="10" t="n">
        <v>-102</v>
      </c>
      <c r="R1482" s="7" t="n">
        <v>10097</v>
      </c>
      <c r="S1482" s="8" t="n">
        <v>654</v>
      </c>
      <c r="T1482" s="8" t="n">
        <v>742</v>
      </c>
      <c r="U1482" s="9" t="n">
        <v>8040</v>
      </c>
      <c r="V1482" s="10" t="n">
        <v>-433</v>
      </c>
      <c r="W1482" s="10" t="n">
        <v>-483</v>
      </c>
      <c r="X1482" s="7" t="n">
        <v>7922</v>
      </c>
      <c r="Y1482" s="8" t="n">
        <v>-300</v>
      </c>
      <c r="Z1482" s="8" t="n">
        <v>-4000</v>
      </c>
      <c r="AA1482" s="9" t="n">
        <v>8515</v>
      </c>
      <c r="AB1482" s="10" t="n">
        <v>-1282</v>
      </c>
      <c r="AC1482" s="10" t="n">
        <v>7239</v>
      </c>
      <c r="AD1482" s="7" t="n">
        <v>4001</v>
      </c>
      <c r="AE1482" s="8" t="n">
        <v>-5910</v>
      </c>
      <c r="AF1482" s="8" t="n">
        <v>-740</v>
      </c>
      <c r="AG1482" s="9" t="n">
        <v>12512</v>
      </c>
      <c r="AH1482" s="10" t="n">
        <v>-3326</v>
      </c>
      <c r="AI1482" s="10" t="n">
        <v>-3907</v>
      </c>
      <c r="AJ1482" s="11" t="n">
        <v>16444</v>
      </c>
      <c r="AK1482" s="12" t="n">
        <v>-154</v>
      </c>
      <c r="AL1482" s="12" t="n">
        <v>-716</v>
      </c>
      <c r="AM1482" s="13" t="n">
        <v>31.4</v>
      </c>
      <c r="AN1482" s="13" t="n">
        <v>107.6</v>
      </c>
      <c r="AO1482" s="13" t="n">
        <v>95.40000000000001</v>
      </c>
      <c r="AP1482" s="13" t="n">
        <v>48.7</v>
      </c>
    </row>
    <row r="1483">
      <c r="A1483" s="5" t="inlineStr">
        <is>
          <t>NHN벅스</t>
        </is>
      </c>
      <c r="B1483" s="6" t="inlineStr">
        <is>
          <t>104200</t>
        </is>
      </c>
      <c r="C1483" s="6" t="inlineStr">
        <is>
          <t>별도</t>
        </is>
      </c>
      <c r="D1483" s="6" t="inlineStr">
        <is>
          <t>2026Q2</t>
        </is>
      </c>
      <c r="E1483" s="6" t="inlineStr">
        <is>
          <t>2023Q4</t>
        </is>
      </c>
      <c r="F1483" s="14" t="n">
        <v>12890</v>
      </c>
      <c r="G1483" s="15" t="n">
        <v>-293</v>
      </c>
      <c r="H1483" s="15" t="n">
        <v>-4161</v>
      </c>
      <c r="I1483" s="9" t="n">
        <v>12895</v>
      </c>
      <c r="J1483" s="10" t="n">
        <v>-600</v>
      </c>
      <c r="K1483" s="10" t="n">
        <v>-767</v>
      </c>
      <c r="L1483" s="7" t="n">
        <v>14008</v>
      </c>
      <c r="M1483" s="8" t="n">
        <v>300</v>
      </c>
      <c r="N1483" s="8" t="n">
        <v>-770</v>
      </c>
      <c r="O1483" s="9" t="n">
        <v>12651</v>
      </c>
      <c r="P1483" s="10" t="n">
        <v>-148</v>
      </c>
      <c r="Q1483" s="10" t="n">
        <v>-316</v>
      </c>
      <c r="R1483" s="7" t="n">
        <v>12517</v>
      </c>
      <c r="S1483" s="8" t="n">
        <v>805</v>
      </c>
      <c r="T1483" s="8" t="n">
        <v>-10821</v>
      </c>
      <c r="U1483" s="9" t="n">
        <v>11073</v>
      </c>
      <c r="V1483" s="10" t="n">
        <v>-626</v>
      </c>
      <c r="W1483" s="10" t="n">
        <v>-524</v>
      </c>
      <c r="X1483" s="7" t="n">
        <v>11586</v>
      </c>
      <c r="Y1483" s="8" t="n">
        <v>220</v>
      </c>
      <c r="Z1483" s="8" t="n">
        <v>-665</v>
      </c>
      <c r="AA1483" s="9" t="n">
        <v>10905</v>
      </c>
      <c r="AB1483" s="10" t="n">
        <v>-412</v>
      </c>
      <c r="AC1483" s="10" t="n">
        <v>-226</v>
      </c>
      <c r="AD1483" s="7" t="n">
        <v>11335</v>
      </c>
      <c r="AE1483" s="8" t="n">
        <v>83</v>
      </c>
      <c r="AF1483" s="8" t="n">
        <v>-4806</v>
      </c>
      <c r="AG1483" s="9" t="n">
        <v>10722</v>
      </c>
      <c r="AH1483" s="10" t="n">
        <v>175</v>
      </c>
      <c r="AI1483" s="10" t="n">
        <v>478</v>
      </c>
      <c r="AJ1483" s="11" t="n">
        <v>10597</v>
      </c>
      <c r="AK1483" s="12" t="n">
        <v>496</v>
      </c>
      <c r="AL1483" s="12" t="n">
        <v>240</v>
      </c>
      <c r="AM1483" s="13" t="n">
        <v>-1.2</v>
      </c>
      <c r="AN1483" s="13" t="n">
        <v>-8.5</v>
      </c>
      <c r="AO1483" s="13" t="n">
        <v>183.4</v>
      </c>
      <c r="AP1483" s="13" t="n">
        <v>125.5</v>
      </c>
    </row>
    <row r="1484">
      <c r="A1484" s="5" t="inlineStr">
        <is>
          <t>디와이피엔에프</t>
        </is>
      </c>
      <c r="B1484" s="6" t="inlineStr">
        <is>
          <t>104460</t>
        </is>
      </c>
      <c r="C1484" s="6" t="inlineStr">
        <is>
          <t>연결</t>
        </is>
      </c>
      <c r="D1484" s="6" t="inlineStr">
        <is>
          <t>2026Q2</t>
        </is>
      </c>
      <c r="E1484" s="6" t="inlineStr"/>
      <c r="F1484" s="7" t="inlineStr"/>
      <c r="G1484" s="8" t="inlineStr"/>
      <c r="H1484" s="8" t="inlineStr"/>
      <c r="I1484" s="9" t="n">
        <v>41956</v>
      </c>
      <c r="J1484" s="10" t="n">
        <v>4763</v>
      </c>
      <c r="K1484" s="10" t="n">
        <v>3355</v>
      </c>
      <c r="L1484" s="7" t="n">
        <v>55128</v>
      </c>
      <c r="M1484" s="8" t="n">
        <v>3047</v>
      </c>
      <c r="N1484" s="8" t="n">
        <v>2517</v>
      </c>
      <c r="O1484" s="9" t="n">
        <v>62801</v>
      </c>
      <c r="P1484" s="10" t="n">
        <v>5959</v>
      </c>
      <c r="Q1484" s="10" t="n">
        <v>4158</v>
      </c>
      <c r="R1484" s="7" t="n">
        <v>121134</v>
      </c>
      <c r="S1484" s="8" t="n">
        <v>10826</v>
      </c>
      <c r="T1484" s="8" t="n">
        <v>8147</v>
      </c>
      <c r="U1484" s="9" t="n">
        <v>93818</v>
      </c>
      <c r="V1484" s="10" t="n">
        <v>12227</v>
      </c>
      <c r="W1484" s="10" t="n">
        <v>10235</v>
      </c>
      <c r="X1484" s="7" t="n">
        <v>107621</v>
      </c>
      <c r="Y1484" s="8" t="n">
        <v>14967</v>
      </c>
      <c r="Z1484" s="8" t="n">
        <v>11864</v>
      </c>
      <c r="AA1484" s="9" t="n">
        <v>108548</v>
      </c>
      <c r="AB1484" s="10" t="n">
        <v>11093</v>
      </c>
      <c r="AC1484" s="10" t="n">
        <v>9328</v>
      </c>
      <c r="AD1484" s="7" t="n">
        <v>86269</v>
      </c>
      <c r="AE1484" s="8" t="n">
        <v>-9718</v>
      </c>
      <c r="AF1484" s="8" t="n">
        <v>-6045</v>
      </c>
      <c r="AG1484" s="9" t="n">
        <v>60735</v>
      </c>
      <c r="AH1484" s="10" t="n">
        <v>3566</v>
      </c>
      <c r="AI1484" s="10" t="n">
        <v>3910</v>
      </c>
      <c r="AJ1484" s="11" t="n">
        <v>36762</v>
      </c>
      <c r="AK1484" s="12" t="n">
        <v>1076</v>
      </c>
      <c r="AL1484" s="12" t="n">
        <v>1523</v>
      </c>
      <c r="AM1484" s="13" t="n">
        <v>-39.5</v>
      </c>
      <c r="AN1484" s="13" t="n">
        <v>-65.8</v>
      </c>
      <c r="AO1484" s="13" t="n">
        <v>-69.8</v>
      </c>
      <c r="AP1484" s="13" t="n">
        <v>-92.8</v>
      </c>
    </row>
    <row r="1485">
      <c r="A1485" s="5" t="inlineStr">
        <is>
          <t>티케이케미칼</t>
        </is>
      </c>
      <c r="B1485" s="6" t="inlineStr">
        <is>
          <t>104480</t>
        </is>
      </c>
      <c r="C1485" s="6" t="inlineStr">
        <is>
          <t>별도</t>
        </is>
      </c>
      <c r="D1485" s="6" t="inlineStr">
        <is>
          <t>2026Q2</t>
        </is>
      </c>
      <c r="E1485" s="6" t="inlineStr"/>
      <c r="F1485" s="7" t="inlineStr"/>
      <c r="G1485" s="8" t="inlineStr"/>
      <c r="H1485" s="8" t="inlineStr"/>
      <c r="I1485" s="9" t="n">
        <v>92429</v>
      </c>
      <c r="J1485" s="10" t="n">
        <v>-2615</v>
      </c>
      <c r="K1485" s="10" t="n">
        <v>9266</v>
      </c>
      <c r="L1485" s="7" t="n">
        <v>90031</v>
      </c>
      <c r="M1485" s="8" t="n">
        <v>2820</v>
      </c>
      <c r="N1485" s="8" t="n">
        <v>25433</v>
      </c>
      <c r="O1485" s="9" t="n">
        <v>84043</v>
      </c>
      <c r="P1485" s="10" t="n">
        <v>-1416</v>
      </c>
      <c r="Q1485" s="10" t="n">
        <v>81777</v>
      </c>
      <c r="R1485" s="7" t="n">
        <v>73072</v>
      </c>
      <c r="S1485" s="8" t="n">
        <v>-374</v>
      </c>
      <c r="T1485" s="8" t="n">
        <v>-228552</v>
      </c>
      <c r="U1485" s="9" t="n">
        <v>87025</v>
      </c>
      <c r="V1485" s="10" t="n">
        <v>-1576</v>
      </c>
      <c r="W1485" s="10" t="n">
        <v>61467</v>
      </c>
      <c r="X1485" s="7" t="n">
        <v>92095</v>
      </c>
      <c r="Y1485" s="8" t="n">
        <v>447</v>
      </c>
      <c r="Z1485" s="8" t="n">
        <v>48058</v>
      </c>
      <c r="AA1485" s="9" t="n">
        <v>91999</v>
      </c>
      <c r="AB1485" s="10" t="n">
        <v>2334</v>
      </c>
      <c r="AC1485" s="10" t="n">
        <v>17664</v>
      </c>
      <c r="AD1485" s="7" t="n">
        <v>74637</v>
      </c>
      <c r="AE1485" s="8" t="n">
        <v>1198</v>
      </c>
      <c r="AF1485" s="8" t="n">
        <v>-10679</v>
      </c>
      <c r="AG1485" s="9" t="n">
        <v>104820</v>
      </c>
      <c r="AH1485" s="10" t="n">
        <v>5620</v>
      </c>
      <c r="AI1485" s="10" t="n">
        <v>7313</v>
      </c>
      <c r="AJ1485" s="11" t="n">
        <v>129538</v>
      </c>
      <c r="AK1485" s="12" t="n">
        <v>21469</v>
      </c>
      <c r="AL1485" s="12" t="n">
        <v>41079</v>
      </c>
      <c r="AM1485" s="13" t="n">
        <v>23.6</v>
      </c>
      <c r="AN1485" s="13" t="n">
        <v>40.7</v>
      </c>
      <c r="AO1485" s="13" t="n">
        <v>282</v>
      </c>
      <c r="AP1485" s="13" t="n">
        <v>4702.9</v>
      </c>
    </row>
    <row r="1486">
      <c r="A1486" s="5" t="inlineStr">
        <is>
          <t>코렌텍</t>
        </is>
      </c>
      <c r="B1486" s="6" t="inlineStr">
        <is>
          <t>104540</t>
        </is>
      </c>
      <c r="C1486" s="6" t="inlineStr">
        <is>
          <t>연결</t>
        </is>
      </c>
      <c r="D1486" s="6" t="inlineStr">
        <is>
          <t>2026Q2</t>
        </is>
      </c>
      <c r="E1486" s="6" t="inlineStr"/>
      <c r="F1486" s="7" t="inlineStr"/>
      <c r="G1486" s="8" t="inlineStr"/>
      <c r="H1486" s="8" t="inlineStr"/>
      <c r="I1486" s="9" t="n">
        <v>21416</v>
      </c>
      <c r="J1486" s="10" t="n">
        <v>49</v>
      </c>
      <c r="K1486" s="10" t="n">
        <v>-343</v>
      </c>
      <c r="L1486" s="7" t="n">
        <v>22148</v>
      </c>
      <c r="M1486" s="8" t="n">
        <v>132</v>
      </c>
      <c r="N1486" s="8" t="n">
        <v>-1731</v>
      </c>
      <c r="O1486" s="9" t="n">
        <v>21998</v>
      </c>
      <c r="P1486" s="10" t="n">
        <v>1324</v>
      </c>
      <c r="Q1486" s="10" t="n">
        <v>-667</v>
      </c>
      <c r="R1486" s="7" t="n">
        <v>28105</v>
      </c>
      <c r="S1486" s="8" t="n">
        <v>2386</v>
      </c>
      <c r="T1486" s="8" t="n">
        <v>1417</v>
      </c>
      <c r="U1486" s="9" t="n">
        <v>22627</v>
      </c>
      <c r="V1486" s="10" t="n">
        <v>1043</v>
      </c>
      <c r="W1486" s="10" t="n">
        <v>2704</v>
      </c>
      <c r="X1486" s="7" t="n">
        <v>23419</v>
      </c>
      <c r="Y1486" s="8" t="n">
        <v>1369</v>
      </c>
      <c r="Z1486" s="8" t="n">
        <v>-1043</v>
      </c>
      <c r="AA1486" s="9" t="n">
        <v>25772</v>
      </c>
      <c r="AB1486" s="10" t="n">
        <v>3617</v>
      </c>
      <c r="AC1486" s="10" t="n">
        <v>1437</v>
      </c>
      <c r="AD1486" s="7" t="n">
        <v>28611</v>
      </c>
      <c r="AE1486" s="8" t="n">
        <v>3087</v>
      </c>
      <c r="AF1486" s="8" t="n">
        <v>3871</v>
      </c>
      <c r="AG1486" s="9" t="n">
        <v>24576</v>
      </c>
      <c r="AH1486" s="10" t="n">
        <v>886</v>
      </c>
      <c r="AI1486" s="10" t="n">
        <v>1151</v>
      </c>
      <c r="AJ1486" s="11" t="n">
        <v>25795</v>
      </c>
      <c r="AK1486" s="12" t="n">
        <v>1455</v>
      </c>
      <c r="AL1486" s="12" t="n">
        <v>1136</v>
      </c>
      <c r="AM1486" s="13" t="n">
        <v>5</v>
      </c>
      <c r="AN1486" s="13" t="n">
        <v>10.1</v>
      </c>
      <c r="AO1486" s="13" t="n">
        <v>64.2</v>
      </c>
      <c r="AP1486" s="13" t="n">
        <v>6.3</v>
      </c>
    </row>
    <row r="1487">
      <c r="A1487" s="5" t="inlineStr">
        <is>
          <t>노랑풍선</t>
        </is>
      </c>
      <c r="B1487" s="6" t="inlineStr">
        <is>
          <t>104620</t>
        </is>
      </c>
      <c r="C1487" s="6" t="inlineStr">
        <is>
          <t>연결</t>
        </is>
      </c>
      <c r="D1487" s="6" t="inlineStr">
        <is>
          <t>2026Q2</t>
        </is>
      </c>
      <c r="E1487" s="6" t="inlineStr"/>
      <c r="F1487" s="7" t="inlineStr"/>
      <c r="G1487" s="8" t="inlineStr"/>
      <c r="H1487" s="8" t="inlineStr"/>
      <c r="I1487" s="9" t="n">
        <v>38349</v>
      </c>
      <c r="J1487" s="10" t="n">
        <v>4005</v>
      </c>
      <c r="K1487" s="10" t="n">
        <v>3115</v>
      </c>
      <c r="L1487" s="7" t="n">
        <v>30608</v>
      </c>
      <c r="M1487" s="8" t="n">
        <v>-6455</v>
      </c>
      <c r="N1487" s="8" t="n">
        <v>-5040</v>
      </c>
      <c r="O1487" s="9" t="n">
        <v>36191</v>
      </c>
      <c r="P1487" s="10" t="n">
        <v>-2373</v>
      </c>
      <c r="Q1487" s="10" t="n">
        <v>-2555</v>
      </c>
      <c r="R1487" s="7" t="n">
        <v>26766</v>
      </c>
      <c r="S1487" s="8" t="n">
        <v>-1723</v>
      </c>
      <c r="T1487" s="8" t="n">
        <v>-524</v>
      </c>
      <c r="U1487" s="9" t="n">
        <v>31417</v>
      </c>
      <c r="V1487" s="10" t="n">
        <v>355</v>
      </c>
      <c r="W1487" s="10" t="n">
        <v>133</v>
      </c>
      <c r="X1487" s="7" t="n">
        <v>24383</v>
      </c>
      <c r="Y1487" s="8" t="n">
        <v>-38</v>
      </c>
      <c r="Z1487" s="8" t="n">
        <v>-1599</v>
      </c>
      <c r="AA1487" s="9" t="n">
        <v>25015</v>
      </c>
      <c r="AB1487" s="10" t="n">
        <v>-2179</v>
      </c>
      <c r="AC1487" s="10" t="n">
        <v>-2775</v>
      </c>
      <c r="AD1487" s="7" t="n">
        <v>38889</v>
      </c>
      <c r="AE1487" s="8" t="n">
        <v>4101</v>
      </c>
      <c r="AF1487" s="8" t="n">
        <v>1231</v>
      </c>
      <c r="AG1487" s="9" t="n">
        <v>29615</v>
      </c>
      <c r="AH1487" s="10" t="n">
        <v>2381</v>
      </c>
      <c r="AI1487" s="10" t="n">
        <v>1870</v>
      </c>
      <c r="AJ1487" s="11" t="n">
        <v>19299</v>
      </c>
      <c r="AK1487" s="12" t="n">
        <v>773</v>
      </c>
      <c r="AL1487" s="12" t="n">
        <v>230</v>
      </c>
      <c r="AM1487" s="13" t="n">
        <v>-34.8</v>
      </c>
      <c r="AN1487" s="13" t="n">
        <v>-20.9</v>
      </c>
      <c r="AO1487" s="13" t="n">
        <v>-67.5</v>
      </c>
      <c r="AP1487" s="13" t="n">
        <v>2134.2</v>
      </c>
    </row>
    <row r="1488">
      <c r="A1488" s="5" t="inlineStr">
        <is>
          <t>한국철강</t>
        </is>
      </c>
      <c r="B1488" s="6" t="inlineStr">
        <is>
          <t>104700</t>
        </is>
      </c>
      <c r="C1488" s="6" t="inlineStr">
        <is>
          <t>별도</t>
        </is>
      </c>
      <c r="D1488" s="6" t="inlineStr">
        <is>
          <t>2026Q2</t>
        </is>
      </c>
      <c r="E1488" s="6" t="inlineStr"/>
      <c r="F1488" s="7" t="inlineStr"/>
      <c r="G1488" s="8" t="inlineStr"/>
      <c r="H1488" s="8" t="inlineStr"/>
      <c r="I1488" s="9" t="n">
        <v>148001</v>
      </c>
      <c r="J1488" s="10" t="n">
        <v>1055</v>
      </c>
      <c r="K1488" s="10" t="n">
        <v>6019</v>
      </c>
      <c r="L1488" s="7" t="n">
        <v>165389</v>
      </c>
      <c r="M1488" s="8" t="n">
        <v>608</v>
      </c>
      <c r="N1488" s="8" t="n">
        <v>4249</v>
      </c>
      <c r="O1488" s="9" t="n">
        <v>142435</v>
      </c>
      <c r="P1488" s="10" t="n">
        <v>2345</v>
      </c>
      <c r="Q1488" s="10" t="n">
        <v>5246</v>
      </c>
      <c r="R1488" s="7" t="n">
        <v>144179</v>
      </c>
      <c r="S1488" s="8" t="n">
        <v>-2194</v>
      </c>
      <c r="T1488" s="8" t="n">
        <v>7937</v>
      </c>
      <c r="U1488" s="9" t="n">
        <v>116187</v>
      </c>
      <c r="V1488" s="10" t="n">
        <v>-10603</v>
      </c>
      <c r="W1488" s="10" t="n">
        <v>-3760</v>
      </c>
      <c r="X1488" s="7" t="n">
        <v>122301</v>
      </c>
      <c r="Y1488" s="8" t="n">
        <v>-2551</v>
      </c>
      <c r="Z1488" s="8" t="n">
        <v>-2673</v>
      </c>
      <c r="AA1488" s="9" t="n">
        <v>121722</v>
      </c>
      <c r="AB1488" s="10" t="n">
        <v>-9772</v>
      </c>
      <c r="AC1488" s="10" t="n">
        <v>-4611</v>
      </c>
      <c r="AD1488" s="7" t="n">
        <v>126395</v>
      </c>
      <c r="AE1488" s="8" t="n">
        <v>-15773</v>
      </c>
      <c r="AF1488" s="8" t="n">
        <v>2121</v>
      </c>
      <c r="AG1488" s="9" t="n">
        <v>111695</v>
      </c>
      <c r="AH1488" s="10" t="n">
        <v>-14281</v>
      </c>
      <c r="AI1488" s="10" t="n">
        <v>-11224</v>
      </c>
      <c r="AJ1488" s="11" t="n">
        <v>173810</v>
      </c>
      <c r="AK1488" s="12" t="n">
        <v>-6284</v>
      </c>
      <c r="AL1488" s="12" t="n">
        <v>-1795</v>
      </c>
      <c r="AM1488" s="13" t="n">
        <v>55.6</v>
      </c>
      <c r="AN1488" s="13" t="n">
        <v>42.1</v>
      </c>
      <c r="AO1488" s="13" t="n">
        <v>56</v>
      </c>
      <c r="AP1488" s="13" t="n">
        <v>-146.3</v>
      </c>
    </row>
    <row r="1489">
      <c r="A1489" s="5" t="inlineStr">
        <is>
          <t>원익머트리얼즈</t>
        </is>
      </c>
      <c r="B1489" s="6" t="inlineStr">
        <is>
          <t>104830</t>
        </is>
      </c>
      <c r="C1489" s="6" t="inlineStr">
        <is>
          <t>연결</t>
        </is>
      </c>
      <c r="D1489" s="6" t="inlineStr">
        <is>
          <t>2026Q2</t>
        </is>
      </c>
      <c r="E1489" s="6" t="inlineStr">
        <is>
          <t>2023Q4</t>
        </is>
      </c>
      <c r="F1489" s="14" t="n">
        <v>92143</v>
      </c>
      <c r="G1489" s="15" t="n">
        <v>6941</v>
      </c>
      <c r="H1489" s="15" t="n">
        <v>-3700</v>
      </c>
      <c r="I1489" s="9" t="n">
        <v>75299</v>
      </c>
      <c r="J1489" s="10" t="n">
        <v>11354</v>
      </c>
      <c r="K1489" s="10" t="n">
        <v>9214</v>
      </c>
      <c r="L1489" s="7" t="n">
        <v>76483</v>
      </c>
      <c r="M1489" s="8" t="n">
        <v>15945</v>
      </c>
      <c r="N1489" s="8" t="n">
        <v>13902</v>
      </c>
      <c r="O1489" s="9" t="n">
        <v>79337</v>
      </c>
      <c r="P1489" s="10" t="n">
        <v>12025</v>
      </c>
      <c r="Q1489" s="10" t="n">
        <v>9131</v>
      </c>
      <c r="R1489" s="7" t="n">
        <v>79596</v>
      </c>
      <c r="S1489" s="8" t="n">
        <v>12595</v>
      </c>
      <c r="T1489" s="8" t="n">
        <v>-440</v>
      </c>
      <c r="U1489" s="9" t="n">
        <v>77996</v>
      </c>
      <c r="V1489" s="10" t="n">
        <v>14763</v>
      </c>
      <c r="W1489" s="10" t="n">
        <v>12140</v>
      </c>
      <c r="X1489" s="7" t="n">
        <v>74996</v>
      </c>
      <c r="Y1489" s="8" t="n">
        <v>11310</v>
      </c>
      <c r="Z1489" s="8" t="n">
        <v>9943</v>
      </c>
      <c r="AA1489" s="9" t="n">
        <v>82833</v>
      </c>
      <c r="AB1489" s="10" t="n">
        <v>14154</v>
      </c>
      <c r="AC1489" s="10" t="n">
        <v>12534</v>
      </c>
      <c r="AD1489" s="7" t="n">
        <v>86642</v>
      </c>
      <c r="AE1489" s="8" t="n">
        <v>16271</v>
      </c>
      <c r="AF1489" s="8" t="n">
        <v>14084</v>
      </c>
      <c r="AG1489" s="9" t="n">
        <v>88180</v>
      </c>
      <c r="AH1489" s="10" t="n">
        <v>15701</v>
      </c>
      <c r="AI1489" s="10" t="n">
        <v>14443</v>
      </c>
      <c r="AJ1489" s="11" t="n">
        <v>92297</v>
      </c>
      <c r="AK1489" s="12" t="n">
        <v>14583</v>
      </c>
      <c r="AL1489" s="12" t="n">
        <v>13190</v>
      </c>
      <c r="AM1489" s="13" t="n">
        <v>4.7</v>
      </c>
      <c r="AN1489" s="13" t="n">
        <v>23.1</v>
      </c>
      <c r="AO1489" s="13" t="n">
        <v>-7.1</v>
      </c>
      <c r="AP1489" s="13" t="n">
        <v>28.9</v>
      </c>
    </row>
    <row r="1490">
      <c r="A1490" s="5" t="inlineStr">
        <is>
          <t>케이엔더블유</t>
        </is>
      </c>
      <c r="B1490" s="6" t="inlineStr">
        <is>
          <t>105330</t>
        </is>
      </c>
      <c r="C1490" s="6" t="inlineStr">
        <is>
          <t>연결</t>
        </is>
      </c>
      <c r="D1490" s="6" t="inlineStr">
        <is>
          <t>2026Q2</t>
        </is>
      </c>
      <c r="E1490" s="6" t="inlineStr">
        <is>
          <t>2023Q4</t>
        </is>
      </c>
      <c r="F1490" s="14" t="n">
        <v>25303</v>
      </c>
      <c r="G1490" s="15" t="n">
        <v>4295</v>
      </c>
      <c r="H1490" s="15" t="n">
        <v>3613</v>
      </c>
      <c r="I1490" s="9" t="n">
        <v>17863</v>
      </c>
      <c r="J1490" s="10" t="n">
        <v>810</v>
      </c>
      <c r="K1490" s="10" t="n">
        <v>1243</v>
      </c>
      <c r="L1490" s="7" t="n">
        <v>20282</v>
      </c>
      <c r="M1490" s="8" t="n">
        <v>-1062</v>
      </c>
      <c r="N1490" s="8" t="n">
        <v>-555</v>
      </c>
      <c r="O1490" s="9" t="n">
        <v>20190</v>
      </c>
      <c r="P1490" s="10" t="n">
        <v>367</v>
      </c>
      <c r="Q1490" s="10" t="n">
        <v>-383</v>
      </c>
      <c r="R1490" s="7" t="n">
        <v>20129</v>
      </c>
      <c r="S1490" s="8" t="n">
        <v>-2400</v>
      </c>
      <c r="T1490" s="8" t="n">
        <v>3137</v>
      </c>
      <c r="U1490" s="9" t="n">
        <v>19596</v>
      </c>
      <c r="V1490" s="10" t="n">
        <v>-1069</v>
      </c>
      <c r="W1490" s="10" t="n">
        <v>-1404</v>
      </c>
      <c r="X1490" s="7" t="n">
        <v>20178</v>
      </c>
      <c r="Y1490" s="8" t="n">
        <v>-534</v>
      </c>
      <c r="Z1490" s="8" t="n">
        <v>-2025</v>
      </c>
      <c r="AA1490" s="9" t="n">
        <v>19897</v>
      </c>
      <c r="AB1490" s="10" t="n">
        <v>-464</v>
      </c>
      <c r="AC1490" s="10" t="n">
        <v>-882</v>
      </c>
      <c r="AD1490" s="7" t="n">
        <v>21388</v>
      </c>
      <c r="AE1490" s="8" t="n">
        <v>-889</v>
      </c>
      <c r="AF1490" s="8" t="n">
        <v>-1456</v>
      </c>
      <c r="AG1490" s="9" t="n">
        <v>16628</v>
      </c>
      <c r="AH1490" s="10" t="n">
        <v>-1122</v>
      </c>
      <c r="AI1490" s="10" t="n">
        <v>-1513</v>
      </c>
      <c r="AJ1490" s="11" t="n">
        <v>18413</v>
      </c>
      <c r="AK1490" s="12" t="n">
        <v>-1837</v>
      </c>
      <c r="AL1490" s="12" t="n">
        <v>-7587</v>
      </c>
      <c r="AM1490" s="13" t="n">
        <v>10.7</v>
      </c>
      <c r="AN1490" s="13" t="n">
        <v>-8.699999999999999</v>
      </c>
      <c r="AO1490" s="13" t="n">
        <v>-63.7</v>
      </c>
      <c r="AP1490" s="13" t="n">
        <v>-244</v>
      </c>
    </row>
    <row r="1491">
      <c r="A1491" s="5" t="inlineStr">
        <is>
          <t>엣지파운드리</t>
        </is>
      </c>
      <c r="B1491" s="6" t="inlineStr">
        <is>
          <t>105550</t>
        </is>
      </c>
      <c r="C1491" s="6" t="inlineStr">
        <is>
          <t>연결</t>
        </is>
      </c>
      <c r="D1491" s="6" t="inlineStr">
        <is>
          <t>2026Q2</t>
        </is>
      </c>
      <c r="E1491" s="6" t="inlineStr"/>
      <c r="F1491" s="7" t="inlineStr"/>
      <c r="G1491" s="8" t="inlineStr"/>
      <c r="H1491" s="8" t="inlineStr"/>
      <c r="I1491" s="9" t="n">
        <v>9472</v>
      </c>
      <c r="J1491" s="10" t="n">
        <v>-1138</v>
      </c>
      <c r="K1491" s="10" t="n">
        <v>-2568</v>
      </c>
      <c r="L1491" s="7" t="n">
        <v>9453</v>
      </c>
      <c r="M1491" s="8" t="n">
        <v>-889</v>
      </c>
      <c r="N1491" s="8" t="n">
        <v>-1351</v>
      </c>
      <c r="O1491" s="9" t="n">
        <v>8637</v>
      </c>
      <c r="P1491" s="10" t="n">
        <v>-1561</v>
      </c>
      <c r="Q1491" s="10" t="n">
        <v>-5492</v>
      </c>
      <c r="R1491" s="7" t="n">
        <v>9736</v>
      </c>
      <c r="S1491" s="8" t="n">
        <v>-1484</v>
      </c>
      <c r="T1491" s="8" t="n">
        <v>-8600</v>
      </c>
      <c r="U1491" s="9" t="n">
        <v>9582</v>
      </c>
      <c r="V1491" s="10" t="n">
        <v>-2188</v>
      </c>
      <c r="W1491" s="10" t="n">
        <v>14160</v>
      </c>
      <c r="X1491" s="7" t="n">
        <v>9253</v>
      </c>
      <c r="Y1491" s="8" t="n">
        <v>-4588</v>
      </c>
      <c r="Z1491" s="8" t="n">
        <v>5577</v>
      </c>
      <c r="AA1491" s="9" t="n">
        <v>8951</v>
      </c>
      <c r="AB1491" s="10" t="n">
        <v>-4561</v>
      </c>
      <c r="AC1491" s="10" t="n">
        <v>-6733</v>
      </c>
      <c r="AD1491" s="7" t="n">
        <v>8605</v>
      </c>
      <c r="AE1491" s="8" t="n">
        <v>-4203</v>
      </c>
      <c r="AF1491" s="8" t="n">
        <v>2693</v>
      </c>
      <c r="AG1491" s="9" t="n">
        <v>8875</v>
      </c>
      <c r="AH1491" s="10" t="n">
        <v>-4855</v>
      </c>
      <c r="AI1491" s="10" t="n">
        <v>918</v>
      </c>
      <c r="AJ1491" s="11" t="n">
        <v>8827</v>
      </c>
      <c r="AK1491" s="12" t="n">
        <v>-6063</v>
      </c>
      <c r="AL1491" s="12" t="n">
        <v>-17235</v>
      </c>
      <c r="AM1491" s="13" t="n">
        <v>-0.5</v>
      </c>
      <c r="AN1491" s="13" t="n">
        <v>-4.6</v>
      </c>
      <c r="AO1491" s="13" t="n">
        <v>-24.9</v>
      </c>
      <c r="AP1491" s="13" t="n">
        <v>-32.1</v>
      </c>
    </row>
    <row r="1492">
      <c r="A1492" s="5" t="inlineStr">
        <is>
          <t>KB금융</t>
        </is>
      </c>
      <c r="B1492" s="6" t="inlineStr">
        <is>
          <t>105560</t>
        </is>
      </c>
      <c r="C1492" s="6" t="inlineStr">
        <is>
          <t>연결</t>
        </is>
      </c>
      <c r="D1492" s="6" t="inlineStr">
        <is>
          <t>2026Q2</t>
        </is>
      </c>
      <c r="E1492" s="6" t="inlineStr">
        <is>
          <t>2023Q4</t>
        </is>
      </c>
      <c r="F1492" s="14" t="n">
        <v>19918040</v>
      </c>
      <c r="G1492" s="15" t="n">
        <v>2302268</v>
      </c>
      <c r="H1492" s="15" t="n">
        <v>1710680</v>
      </c>
      <c r="I1492" s="14" t="n">
        <v>23352449</v>
      </c>
      <c r="J1492" s="10" t="n">
        <v>2355448</v>
      </c>
      <c r="K1492" s="10" t="n">
        <v>1063214</v>
      </c>
      <c r="L1492" s="14" t="n">
        <v>11822663</v>
      </c>
      <c r="M1492" s="8" t="n">
        <v>2302249</v>
      </c>
      <c r="N1492" s="8" t="n">
        <v>1710665</v>
      </c>
      <c r="O1492" s="14" t="n">
        <v>15491590</v>
      </c>
      <c r="P1492" s="10" t="n">
        <v>2357551</v>
      </c>
      <c r="Q1492" s="10" t="n">
        <v>1596039</v>
      </c>
      <c r="R1492" s="14" t="n">
        <v>26451994</v>
      </c>
      <c r="S1492" s="8" t="n">
        <v>1030013</v>
      </c>
      <c r="T1492" s="8" t="n">
        <v>658688</v>
      </c>
      <c r="U1492" s="14" t="n">
        <v>19743963</v>
      </c>
      <c r="V1492" s="10" t="n">
        <v>2293028</v>
      </c>
      <c r="W1492" s="10" t="n">
        <v>1699122</v>
      </c>
      <c r="X1492" s="14" t="n">
        <v>3216537</v>
      </c>
      <c r="Y1492" s="8" t="n">
        <v>2132971</v>
      </c>
      <c r="Z1492" s="8" t="n">
        <v>1747580</v>
      </c>
      <c r="AA1492" s="14" t="n">
        <v>14972327</v>
      </c>
      <c r="AB1492" s="10" t="n">
        <v>2334990</v>
      </c>
      <c r="AC1492" s="10" t="n">
        <v>1655228</v>
      </c>
      <c r="AD1492" s="14" t="n">
        <v>22461380</v>
      </c>
      <c r="AE1492" s="8" t="n">
        <v>1756722</v>
      </c>
      <c r="AF1492" s="8" t="n">
        <v>738785</v>
      </c>
      <c r="AG1492" s="14" t="n">
        <v>12277934</v>
      </c>
      <c r="AH1492" s="10" t="n">
        <v>2727566</v>
      </c>
      <c r="AI1492" s="10" t="n">
        <v>1916469</v>
      </c>
      <c r="AJ1492" s="14" t="n">
        <v>11750941</v>
      </c>
      <c r="AK1492" s="12" t="n">
        <v>2712548</v>
      </c>
      <c r="AL1492" s="12" t="n">
        <v>2010508</v>
      </c>
      <c r="AM1492" s="13" t="n">
        <v>-4.3</v>
      </c>
      <c r="AN1492" s="13" t="n">
        <v>265.3</v>
      </c>
      <c r="AO1492" s="13" t="n">
        <v>-0.6</v>
      </c>
      <c r="AP1492" s="13" t="n">
        <v>27.2</v>
      </c>
    </row>
    <row r="1493">
      <c r="A1493" s="5" t="inlineStr">
        <is>
          <t>한세실업</t>
        </is>
      </c>
      <c r="B1493" s="6" t="inlineStr">
        <is>
          <t>105630</t>
        </is>
      </c>
      <c r="C1493" s="6" t="inlineStr">
        <is>
          <t>연결</t>
        </is>
      </c>
      <c r="D1493" s="6" t="inlineStr">
        <is>
          <t>2026Q2</t>
        </is>
      </c>
      <c r="E1493" s="6" t="inlineStr"/>
      <c r="F1493" s="7" t="inlineStr"/>
      <c r="G1493" s="8" t="inlineStr"/>
      <c r="H1493" s="8" t="inlineStr"/>
      <c r="I1493" s="9" t="n">
        <v>411754</v>
      </c>
      <c r="J1493" s="10" t="n">
        <v>38092</v>
      </c>
      <c r="K1493" s="10" t="n">
        <v>18095</v>
      </c>
      <c r="L1493" s="7" t="n">
        <v>447979</v>
      </c>
      <c r="M1493" s="8" t="n">
        <v>42547</v>
      </c>
      <c r="N1493" s="8" t="n">
        <v>22309</v>
      </c>
      <c r="O1493" s="9" t="n">
        <v>533950</v>
      </c>
      <c r="P1493" s="10" t="n">
        <v>45226</v>
      </c>
      <c r="Q1493" s="10" t="n">
        <v>35780</v>
      </c>
      <c r="R1493" s="7" t="n">
        <v>404113</v>
      </c>
      <c r="S1493" s="8" t="n">
        <v>16333</v>
      </c>
      <c r="T1493" s="8" t="n">
        <v>-17802</v>
      </c>
      <c r="U1493" s="9" t="n">
        <v>467269</v>
      </c>
      <c r="V1493" s="10" t="n">
        <v>20281</v>
      </c>
      <c r="W1493" s="10" t="n">
        <v>9440</v>
      </c>
      <c r="X1493" s="7" t="n">
        <v>475032</v>
      </c>
      <c r="Y1493" s="8" t="n">
        <v>12328</v>
      </c>
      <c r="Z1493" s="8" t="n">
        <v>21923</v>
      </c>
      <c r="AA1493" s="9" t="n">
        <v>543398</v>
      </c>
      <c r="AB1493" s="10" t="n">
        <v>36982</v>
      </c>
      <c r="AC1493" s="10" t="n">
        <v>19573</v>
      </c>
      <c r="AD1493" s="7" t="n">
        <v>456078</v>
      </c>
      <c r="AE1493" s="8" t="n">
        <v>13825</v>
      </c>
      <c r="AF1493" s="8" t="n">
        <v>6319</v>
      </c>
      <c r="AG1493" s="9" t="n">
        <v>467216</v>
      </c>
      <c r="AH1493" s="10" t="n">
        <v>10450</v>
      </c>
      <c r="AI1493" s="10" t="n">
        <v>-3745</v>
      </c>
      <c r="AJ1493" s="11" t="n">
        <v>561596</v>
      </c>
      <c r="AK1493" s="12" t="n">
        <v>36094</v>
      </c>
      <c r="AL1493" s="12" t="n">
        <v>13141</v>
      </c>
      <c r="AM1493" s="13" t="n">
        <v>20.2</v>
      </c>
      <c r="AN1493" s="13" t="n">
        <v>18.2</v>
      </c>
      <c r="AO1493" s="13" t="n">
        <v>245.4</v>
      </c>
      <c r="AP1493" s="13" t="n">
        <v>192.8</v>
      </c>
    </row>
    <row r="1494">
      <c r="A1494" s="5" t="inlineStr">
        <is>
          <t>디케이락</t>
        </is>
      </c>
      <c r="B1494" s="6" t="inlineStr">
        <is>
          <t>105740</t>
        </is>
      </c>
      <c r="C1494" s="6" t="inlineStr">
        <is>
          <t>연결</t>
        </is>
      </c>
      <c r="D1494" s="6" t="inlineStr">
        <is>
          <t>2026Q2</t>
        </is>
      </c>
      <c r="E1494" s="6" t="inlineStr"/>
      <c r="F1494" s="7" t="inlineStr"/>
      <c r="G1494" s="8" t="inlineStr"/>
      <c r="H1494" s="8" t="inlineStr"/>
      <c r="I1494" s="9" t="n">
        <v>23854</v>
      </c>
      <c r="J1494" s="10" t="n">
        <v>202</v>
      </c>
      <c r="K1494" s="10" t="n">
        <v>854</v>
      </c>
      <c r="L1494" s="7" t="n">
        <v>24409</v>
      </c>
      <c r="M1494" s="8" t="n">
        <v>387</v>
      </c>
      <c r="N1494" s="8" t="n">
        <v>572</v>
      </c>
      <c r="O1494" s="9" t="n">
        <v>24741</v>
      </c>
      <c r="P1494" s="10" t="n">
        <v>-426</v>
      </c>
      <c r="Q1494" s="10" t="n">
        <v>-2377</v>
      </c>
      <c r="R1494" s="7" t="n">
        <v>25418</v>
      </c>
      <c r="S1494" s="8" t="n">
        <v>-351</v>
      </c>
      <c r="T1494" s="8" t="n">
        <v>3071</v>
      </c>
      <c r="U1494" s="9" t="n">
        <v>21084</v>
      </c>
      <c r="V1494" s="10" t="n">
        <v>1412</v>
      </c>
      <c r="W1494" s="10" t="n">
        <v>1316</v>
      </c>
      <c r="X1494" s="7" t="n">
        <v>30637</v>
      </c>
      <c r="Y1494" s="8" t="n">
        <v>314</v>
      </c>
      <c r="Z1494" s="8" t="n">
        <v>-4260</v>
      </c>
      <c r="AA1494" s="9" t="n">
        <v>37642</v>
      </c>
      <c r="AB1494" s="10" t="n">
        <v>6734</v>
      </c>
      <c r="AC1494" s="10" t="n">
        <v>7762</v>
      </c>
      <c r="AD1494" s="7" t="n">
        <v>39388</v>
      </c>
      <c r="AE1494" s="8" t="n">
        <v>2610</v>
      </c>
      <c r="AF1494" s="8" t="n">
        <v>1918</v>
      </c>
      <c r="AG1494" s="9" t="n">
        <v>32829</v>
      </c>
      <c r="AH1494" s="10" t="n">
        <v>238</v>
      </c>
      <c r="AI1494" s="10" t="n">
        <v>1926</v>
      </c>
      <c r="AJ1494" s="11" t="n">
        <v>39520</v>
      </c>
      <c r="AK1494" s="12" t="n">
        <v>3807</v>
      </c>
      <c r="AL1494" s="12" t="n">
        <v>3488</v>
      </c>
      <c r="AM1494" s="13" t="n">
        <v>20.4</v>
      </c>
      <c r="AN1494" s="13" t="n">
        <v>29</v>
      </c>
      <c r="AO1494" s="13" t="n">
        <v>1499.6</v>
      </c>
      <c r="AP1494" s="13" t="n">
        <v>1112.4</v>
      </c>
    </row>
    <row r="1495">
      <c r="A1495" s="5" t="inlineStr">
        <is>
          <t>포스뱅크</t>
        </is>
      </c>
      <c r="B1495" s="6" t="inlineStr">
        <is>
          <t>105760</t>
        </is>
      </c>
      <c r="C1495" s="6" t="inlineStr">
        <is>
          <t>연결</t>
        </is>
      </c>
      <c r="D1495" s="6" t="inlineStr">
        <is>
          <t>2026Q2</t>
        </is>
      </c>
      <c r="E1495" s="6" t="inlineStr"/>
      <c r="F1495" s="7" t="inlineStr"/>
      <c r="G1495" s="8" t="inlineStr"/>
      <c r="H1495" s="8" t="inlineStr"/>
      <c r="I1495" s="9" t="n">
        <v>14361</v>
      </c>
      <c r="J1495" s="10" t="n">
        <v>-1178</v>
      </c>
      <c r="K1495" s="10" t="n">
        <v>-126</v>
      </c>
      <c r="L1495" s="7" t="n">
        <v>22731</v>
      </c>
      <c r="M1495" s="8" t="n">
        <v>2253</v>
      </c>
      <c r="N1495" s="8" t="n">
        <v>2576</v>
      </c>
      <c r="O1495" s="9" t="n">
        <v>13914</v>
      </c>
      <c r="P1495" s="10" t="n">
        <v>-1275</v>
      </c>
      <c r="Q1495" s="10" t="n">
        <v>-1225</v>
      </c>
      <c r="R1495" s="7" t="n">
        <v>26076</v>
      </c>
      <c r="S1495" s="8" t="n">
        <v>3183</v>
      </c>
      <c r="T1495" s="8" t="n">
        <v>4178</v>
      </c>
      <c r="U1495" s="9" t="n">
        <v>21158</v>
      </c>
      <c r="V1495" s="10" t="n">
        <v>531</v>
      </c>
      <c r="W1495" s="10" t="n">
        <v>931</v>
      </c>
      <c r="X1495" s="7" t="n">
        <v>25967</v>
      </c>
      <c r="Y1495" s="8" t="n">
        <v>1638</v>
      </c>
      <c r="Z1495" s="8" t="n">
        <v>486</v>
      </c>
      <c r="AA1495" s="9" t="n">
        <v>18264</v>
      </c>
      <c r="AB1495" s="10" t="n">
        <v>-392</v>
      </c>
      <c r="AC1495" s="10" t="n">
        <v>170</v>
      </c>
      <c r="AD1495" s="7" t="n">
        <v>26037</v>
      </c>
      <c r="AE1495" s="8" t="n">
        <v>1607</v>
      </c>
      <c r="AF1495" s="8" t="n">
        <v>2192</v>
      </c>
      <c r="AG1495" s="9" t="n">
        <v>26518</v>
      </c>
      <c r="AH1495" s="10" t="n">
        <v>2000</v>
      </c>
      <c r="AI1495" s="10" t="n">
        <v>2481</v>
      </c>
      <c r="AJ1495" s="11" t="n">
        <v>36611</v>
      </c>
      <c r="AK1495" s="12" t="n">
        <v>6320</v>
      </c>
      <c r="AL1495" s="12" t="n">
        <v>6660</v>
      </c>
      <c r="AM1495" s="13" t="n">
        <v>38.1</v>
      </c>
      <c r="AN1495" s="13" t="n">
        <v>41</v>
      </c>
      <c r="AO1495" s="13" t="n">
        <v>216</v>
      </c>
      <c r="AP1495" s="13" t="n">
        <v>285.8</v>
      </c>
    </row>
    <row r="1496">
      <c r="A1496" s="5" t="inlineStr">
        <is>
          <t>우진</t>
        </is>
      </c>
      <c r="B1496" s="6" t="inlineStr">
        <is>
          <t>105840</t>
        </is>
      </c>
      <c r="C1496" s="6" t="inlineStr">
        <is>
          <t>연결</t>
        </is>
      </c>
      <c r="D1496" s="6" t="inlineStr">
        <is>
          <t>2026Q2</t>
        </is>
      </c>
      <c r="E1496" s="6" t="inlineStr"/>
      <c r="F1496" s="7" t="inlineStr"/>
      <c r="G1496" s="8" t="inlineStr"/>
      <c r="H1496" s="8" t="inlineStr"/>
      <c r="I1496" s="9" t="n">
        <v>35767</v>
      </c>
      <c r="J1496" s="10" t="n">
        <v>5487</v>
      </c>
      <c r="K1496" s="10" t="n">
        <v>5668</v>
      </c>
      <c r="L1496" s="7" t="n">
        <v>39453</v>
      </c>
      <c r="M1496" s="8" t="n">
        <v>8279</v>
      </c>
      <c r="N1496" s="8" t="n">
        <v>6549</v>
      </c>
      <c r="O1496" s="9" t="n">
        <v>24793</v>
      </c>
      <c r="P1496" s="10" t="n">
        <v>-285</v>
      </c>
      <c r="Q1496" s="10" t="n">
        <v>851</v>
      </c>
      <c r="R1496" s="7" t="n">
        <v>40714</v>
      </c>
      <c r="S1496" s="8" t="n">
        <v>2624</v>
      </c>
      <c r="T1496" s="8" t="n">
        <v>3695</v>
      </c>
      <c r="U1496" s="9" t="n">
        <v>27179</v>
      </c>
      <c r="V1496" s="10" t="n">
        <v>-690</v>
      </c>
      <c r="W1496" s="10" t="n">
        <v>-1052</v>
      </c>
      <c r="X1496" s="7" t="n">
        <v>34904</v>
      </c>
      <c r="Y1496" s="8" t="n">
        <v>3840</v>
      </c>
      <c r="Z1496" s="8" t="n">
        <v>2006</v>
      </c>
      <c r="AA1496" s="9" t="n">
        <v>47554</v>
      </c>
      <c r="AB1496" s="10" t="n">
        <v>9829</v>
      </c>
      <c r="AC1496" s="10" t="n">
        <v>10244</v>
      </c>
      <c r="AD1496" s="7" t="n">
        <v>40742</v>
      </c>
      <c r="AE1496" s="8" t="n">
        <v>1199</v>
      </c>
      <c r="AF1496" s="8" t="n">
        <v>-148</v>
      </c>
      <c r="AG1496" s="9" t="n">
        <v>37219</v>
      </c>
      <c r="AH1496" s="10" t="n">
        <v>4998</v>
      </c>
      <c r="AI1496" s="10" t="n">
        <v>4877</v>
      </c>
      <c r="AJ1496" s="11" t="n">
        <v>30893</v>
      </c>
      <c r="AK1496" s="12" t="n">
        <v>814</v>
      </c>
      <c r="AL1496" s="12" t="n">
        <v>328</v>
      </c>
      <c r="AM1496" s="13" t="n">
        <v>-17</v>
      </c>
      <c r="AN1496" s="13" t="n">
        <v>-11.5</v>
      </c>
      <c r="AO1496" s="13" t="n">
        <v>-83.7</v>
      </c>
      <c r="AP1496" s="13" t="n">
        <v>-78.8</v>
      </c>
    </row>
    <row r="1497">
      <c r="A1497" s="5" t="inlineStr">
        <is>
          <t>케이이엠텍</t>
        </is>
      </c>
      <c r="B1497" s="6" t="inlineStr">
        <is>
          <t>106080</t>
        </is>
      </c>
      <c r="C1497" s="6" t="inlineStr">
        <is>
          <t>연결</t>
        </is>
      </c>
      <c r="D1497" s="6" t="inlineStr">
        <is>
          <t>2026Q2</t>
        </is>
      </c>
      <c r="E1497" s="6" t="inlineStr"/>
      <c r="F1497" s="7" t="inlineStr"/>
      <c r="G1497" s="8" t="inlineStr"/>
      <c r="H1497" s="8" t="inlineStr"/>
      <c r="I1497" s="9" t="n">
        <v>4264</v>
      </c>
      <c r="J1497" s="10" t="n">
        <v>-1133</v>
      </c>
      <c r="K1497" s="10" t="n">
        <v>-1513</v>
      </c>
      <c r="L1497" s="7" t="n">
        <v>4497</v>
      </c>
      <c r="M1497" s="8" t="n">
        <v>-1102</v>
      </c>
      <c r="N1497" s="8" t="n">
        <v>513</v>
      </c>
      <c r="O1497" s="9" t="n">
        <v>4463</v>
      </c>
      <c r="P1497" s="10" t="n">
        <v>-1502</v>
      </c>
      <c r="Q1497" s="10" t="n">
        <v>-3558</v>
      </c>
      <c r="R1497" s="7" t="n">
        <v>4393</v>
      </c>
      <c r="S1497" s="8" t="n">
        <v>-611</v>
      </c>
      <c r="T1497" s="8" t="n">
        <v>166</v>
      </c>
      <c r="U1497" s="9" t="n">
        <v>3238</v>
      </c>
      <c r="V1497" s="10" t="n">
        <v>-1312</v>
      </c>
      <c r="W1497" s="10" t="n">
        <v>-3036</v>
      </c>
      <c r="X1497" s="7" t="n">
        <v>1897</v>
      </c>
      <c r="Y1497" s="8" t="n">
        <v>-1971</v>
      </c>
      <c r="Z1497" s="8" t="n">
        <v>-3503</v>
      </c>
      <c r="AA1497" s="9" t="n">
        <v>1498</v>
      </c>
      <c r="AB1497" s="10" t="n">
        <v>-2123</v>
      </c>
      <c r="AC1497" s="10" t="n">
        <v>-596</v>
      </c>
      <c r="AD1497" s="7" t="n">
        <v>941</v>
      </c>
      <c r="AE1497" s="8" t="n">
        <v>-3819</v>
      </c>
      <c r="AF1497" s="8" t="n">
        <v>-5426</v>
      </c>
      <c r="AG1497" s="9" t="n">
        <v>794</v>
      </c>
      <c r="AH1497" s="10" t="n">
        <v>-3156</v>
      </c>
      <c r="AI1497" s="10" t="n">
        <v>-4060</v>
      </c>
      <c r="AJ1497" s="11" t="n">
        <v>306</v>
      </c>
      <c r="AK1497" s="12" t="n">
        <v>-2620</v>
      </c>
      <c r="AL1497" s="12" t="n">
        <v>-2417</v>
      </c>
      <c r="AM1497" s="13" t="n">
        <v>-61.5</v>
      </c>
      <c r="AN1497" s="13" t="n">
        <v>-83.90000000000001</v>
      </c>
      <c r="AO1497" s="13" t="n">
        <v>17</v>
      </c>
      <c r="AP1497" s="13" t="n">
        <v>-32.9</v>
      </c>
    </row>
    <row r="1498">
      <c r="A1498" s="5" t="inlineStr">
        <is>
          <t>하이텍팜</t>
        </is>
      </c>
      <c r="B1498" s="6" t="inlineStr">
        <is>
          <t>106190</t>
        </is>
      </c>
      <c r="C1498" s="6" t="inlineStr">
        <is>
          <t>별도</t>
        </is>
      </c>
      <c r="D1498" s="6" t="inlineStr">
        <is>
          <t>2026Q2</t>
        </is>
      </c>
      <c r="E1498" s="6" t="inlineStr"/>
      <c r="F1498" s="7" t="inlineStr"/>
      <c r="G1498" s="8" t="inlineStr"/>
      <c r="H1498" s="8" t="inlineStr"/>
      <c r="I1498" s="9" t="n">
        <v>19194</v>
      </c>
      <c r="J1498" s="10" t="n">
        <v>3778</v>
      </c>
      <c r="K1498" s="10" t="n">
        <v>3268</v>
      </c>
      <c r="L1498" s="7" t="n">
        <v>21945</v>
      </c>
      <c r="M1498" s="8" t="n">
        <v>5269</v>
      </c>
      <c r="N1498" s="8" t="n">
        <v>4405</v>
      </c>
      <c r="O1498" s="9" t="n">
        <v>16918</v>
      </c>
      <c r="P1498" s="10" t="n">
        <v>3714</v>
      </c>
      <c r="Q1498" s="10" t="n">
        <v>2375</v>
      </c>
      <c r="R1498" s="7" t="n">
        <v>19456</v>
      </c>
      <c r="S1498" s="8" t="n">
        <v>2797</v>
      </c>
      <c r="T1498" s="8" t="n">
        <v>3662</v>
      </c>
      <c r="U1498" s="9" t="n">
        <v>15259</v>
      </c>
      <c r="V1498" s="10" t="n">
        <v>2561</v>
      </c>
      <c r="W1498" s="10" t="n">
        <v>2184</v>
      </c>
      <c r="X1498" s="7" t="n">
        <v>23021</v>
      </c>
      <c r="Y1498" s="8" t="n">
        <v>3218</v>
      </c>
      <c r="Z1498" s="8" t="n">
        <v>2342</v>
      </c>
      <c r="AA1498" s="9" t="n">
        <v>17865</v>
      </c>
      <c r="AB1498" s="10" t="n">
        <v>3907</v>
      </c>
      <c r="AC1498" s="10" t="n">
        <v>3791</v>
      </c>
      <c r="AD1498" s="7" t="n">
        <v>14038</v>
      </c>
      <c r="AE1498" s="8" t="n">
        <v>3170</v>
      </c>
      <c r="AF1498" s="8" t="n">
        <v>3158</v>
      </c>
      <c r="AG1498" s="9" t="n">
        <v>14126</v>
      </c>
      <c r="AH1498" s="10" t="n">
        <v>-1096</v>
      </c>
      <c r="AI1498" s="10" t="n">
        <v>-267</v>
      </c>
      <c r="AJ1498" s="11" t="n">
        <v>23379</v>
      </c>
      <c r="AK1498" s="12" t="n">
        <v>6293</v>
      </c>
      <c r="AL1498" s="12" t="n">
        <v>5245</v>
      </c>
      <c r="AM1498" s="13" t="n">
        <v>65.5</v>
      </c>
      <c r="AN1498" s="13" t="n">
        <v>1.6</v>
      </c>
      <c r="AO1498" s="13" t="n">
        <v>674.2</v>
      </c>
      <c r="AP1498" s="13" t="n">
        <v>95.59999999999999</v>
      </c>
    </row>
    <row r="1499">
      <c r="A1499" s="5" t="inlineStr">
        <is>
          <t>파인테크닉스</t>
        </is>
      </c>
      <c r="B1499" s="6" t="inlineStr">
        <is>
          <t>106240</t>
        </is>
      </c>
      <c r="C1499" s="6" t="inlineStr">
        <is>
          <t>연결</t>
        </is>
      </c>
      <c r="D1499" s="6" t="inlineStr">
        <is>
          <t>2026Q2</t>
        </is>
      </c>
      <c r="E1499" s="6" t="inlineStr"/>
      <c r="F1499" s="7" t="inlineStr"/>
      <c r="G1499" s="8" t="inlineStr"/>
      <c r="H1499" s="8" t="inlineStr"/>
      <c r="I1499" s="9" t="n">
        <v>15397</v>
      </c>
      <c r="J1499" s="10" t="n">
        <v>219</v>
      </c>
      <c r="K1499" s="10" t="n">
        <v>557</v>
      </c>
      <c r="L1499" s="7" t="n">
        <v>14898</v>
      </c>
      <c r="M1499" s="8" t="n">
        <v>228</v>
      </c>
      <c r="N1499" s="8" t="n">
        <v>-282</v>
      </c>
      <c r="O1499" s="9" t="n">
        <v>12868</v>
      </c>
      <c r="P1499" s="10" t="n">
        <v>-970</v>
      </c>
      <c r="Q1499" s="10" t="n">
        <v>-1927</v>
      </c>
      <c r="R1499" s="7" t="n">
        <v>14605</v>
      </c>
      <c r="S1499" s="8" t="n">
        <v>-1213</v>
      </c>
      <c r="T1499" s="8" t="n">
        <v>-5704</v>
      </c>
      <c r="U1499" s="9" t="n">
        <v>11390</v>
      </c>
      <c r="V1499" s="10" t="n">
        <v>-805</v>
      </c>
      <c r="W1499" s="10" t="n">
        <v>-2046</v>
      </c>
      <c r="X1499" s="7" t="n">
        <v>10736</v>
      </c>
      <c r="Y1499" s="8" t="n">
        <v>-1657</v>
      </c>
      <c r="Z1499" s="8" t="n">
        <v>-4541</v>
      </c>
      <c r="AA1499" s="9" t="n">
        <v>10904</v>
      </c>
      <c r="AB1499" s="10" t="n">
        <v>-2376</v>
      </c>
      <c r="AC1499" s="10" t="n">
        <v>-6132</v>
      </c>
      <c r="AD1499" s="7" t="n">
        <v>9846</v>
      </c>
      <c r="AE1499" s="8" t="n">
        <v>-1575</v>
      </c>
      <c r="AF1499" s="8" t="n">
        <v>-9503</v>
      </c>
      <c r="AG1499" s="9" t="n">
        <v>8980</v>
      </c>
      <c r="AH1499" s="10" t="n">
        <v>-1152</v>
      </c>
      <c r="AI1499" s="10" t="n">
        <v>-2017</v>
      </c>
      <c r="AJ1499" s="11" t="n">
        <v>12126</v>
      </c>
      <c r="AK1499" s="12" t="n">
        <v>-2341</v>
      </c>
      <c r="AL1499" s="12" t="n">
        <v>-3414</v>
      </c>
      <c r="AM1499" s="13" t="n">
        <v>35</v>
      </c>
      <c r="AN1499" s="13" t="n">
        <v>12.9</v>
      </c>
      <c r="AO1499" s="13" t="n">
        <v>-103.2</v>
      </c>
      <c r="AP1499" s="13" t="n">
        <v>-41.3</v>
      </c>
    </row>
    <row r="1500">
      <c r="A1500" s="5" t="inlineStr">
        <is>
          <t>노블엠앤비</t>
        </is>
      </c>
      <c r="B1500" s="6" t="inlineStr">
        <is>
          <t>106520</t>
        </is>
      </c>
      <c r="C1500" s="6" t="inlineStr">
        <is>
          <t>연결</t>
        </is>
      </c>
      <c r="D1500" s="6" t="inlineStr">
        <is>
          <t>2026Q1</t>
        </is>
      </c>
      <c r="E1500" s="6" t="inlineStr"/>
      <c r="F1500" s="7" t="inlineStr"/>
      <c r="G1500" s="8" t="inlineStr"/>
      <c r="H1500" s="8" t="inlineStr"/>
      <c r="I1500" s="9" t="n">
        <v>662</v>
      </c>
      <c r="J1500" s="10" t="n">
        <v>-2336</v>
      </c>
      <c r="K1500" s="10" t="n">
        <v>-2296</v>
      </c>
      <c r="L1500" s="7" t="n">
        <v>996</v>
      </c>
      <c r="M1500" s="8" t="n">
        <v>-2429</v>
      </c>
      <c r="N1500" s="8" t="n">
        <v>-2249</v>
      </c>
      <c r="O1500" s="9" t="n">
        <v>793</v>
      </c>
      <c r="P1500" s="10" t="n">
        <v>-1140</v>
      </c>
      <c r="Q1500" s="10" t="n">
        <v>-1082</v>
      </c>
      <c r="R1500" s="7" t="n">
        <v>1478</v>
      </c>
      <c r="S1500" s="8" t="n">
        <v>-928</v>
      </c>
      <c r="T1500" s="8" t="n">
        <v>-1094</v>
      </c>
      <c r="U1500" s="9" t="n">
        <v>946</v>
      </c>
      <c r="V1500" s="10" t="n">
        <v>-880</v>
      </c>
      <c r="W1500" s="10" t="n">
        <v>827</v>
      </c>
      <c r="X1500" s="7" t="n">
        <v>1050</v>
      </c>
      <c r="Y1500" s="8" t="n">
        <v>-573</v>
      </c>
      <c r="Z1500" s="8" t="n">
        <v>-494</v>
      </c>
      <c r="AA1500" s="9" t="n">
        <v>1030</v>
      </c>
      <c r="AB1500" s="10" t="n">
        <v>-763</v>
      </c>
      <c r="AC1500" s="10" t="n">
        <v>-809</v>
      </c>
      <c r="AD1500" s="7" t="n">
        <v>791</v>
      </c>
      <c r="AE1500" s="8" t="n">
        <v>-458</v>
      </c>
      <c r="AF1500" s="8" t="n">
        <v>-906</v>
      </c>
      <c r="AG1500" s="9" t="n">
        <v>727</v>
      </c>
      <c r="AH1500" s="10" t="n">
        <v>-567</v>
      </c>
      <c r="AI1500" s="10" t="n">
        <v>502</v>
      </c>
      <c r="AJ1500" s="11" t="inlineStr"/>
      <c r="AK1500" s="12" t="inlineStr"/>
      <c r="AL1500" s="12" t="inlineStr"/>
      <c r="AM1500" s="13" t="inlineStr"/>
      <c r="AN1500" s="13" t="inlineStr"/>
      <c r="AO1500" s="13" t="inlineStr"/>
      <c r="AP1500" s="13" t="inlineStr"/>
    </row>
    <row r="1501">
      <c r="A1501" s="5" t="inlineStr">
        <is>
          <t>미원홀딩스</t>
        </is>
      </c>
      <c r="B1501" s="6" t="inlineStr">
        <is>
          <t>107590</t>
        </is>
      </c>
      <c r="C1501" s="6" t="inlineStr">
        <is>
          <t>연결</t>
        </is>
      </c>
      <c r="D1501" s="6" t="inlineStr">
        <is>
          <t>2026Q2</t>
        </is>
      </c>
      <c r="E1501" s="6" t="inlineStr"/>
      <c r="F1501" s="7" t="inlineStr"/>
      <c r="G1501" s="8" t="inlineStr"/>
      <c r="H1501" s="8" t="inlineStr"/>
      <c r="I1501" s="9" t="n">
        <v>122250</v>
      </c>
      <c r="J1501" s="10" t="n">
        <v>8451</v>
      </c>
      <c r="K1501" s="10" t="n">
        <v>11541</v>
      </c>
      <c r="L1501" s="7" t="n">
        <v>120871</v>
      </c>
      <c r="M1501" s="8" t="n">
        <v>7433</v>
      </c>
      <c r="N1501" s="8" t="n">
        <v>10411</v>
      </c>
      <c r="O1501" s="9" t="n">
        <v>117421</v>
      </c>
      <c r="P1501" s="10" t="n">
        <v>4724</v>
      </c>
      <c r="Q1501" s="10" t="n">
        <v>3259</v>
      </c>
      <c r="R1501" s="7" t="n">
        <v>116034</v>
      </c>
      <c r="S1501" s="8" t="n">
        <v>2425</v>
      </c>
      <c r="T1501" s="8" t="n">
        <v>-9132</v>
      </c>
      <c r="U1501" s="9" t="n">
        <v>128402</v>
      </c>
      <c r="V1501" s="10" t="n">
        <v>6789</v>
      </c>
      <c r="W1501" s="10" t="n">
        <v>5765</v>
      </c>
      <c r="X1501" s="7" t="n">
        <v>118085</v>
      </c>
      <c r="Y1501" s="8" t="n">
        <v>4410</v>
      </c>
      <c r="Z1501" s="8" t="n">
        <v>3084</v>
      </c>
      <c r="AA1501" s="9" t="n">
        <v>128202</v>
      </c>
      <c r="AB1501" s="10" t="n">
        <v>6915</v>
      </c>
      <c r="AC1501" s="10" t="n">
        <v>5000</v>
      </c>
      <c r="AD1501" s="7" t="n">
        <v>118029</v>
      </c>
      <c r="AE1501" s="8" t="n">
        <v>2232</v>
      </c>
      <c r="AF1501" s="8" t="n">
        <v>3678</v>
      </c>
      <c r="AG1501" s="9" t="n">
        <v>147711</v>
      </c>
      <c r="AH1501" s="10" t="n">
        <v>9281</v>
      </c>
      <c r="AI1501" s="10" t="n">
        <v>15423</v>
      </c>
      <c r="AJ1501" s="11" t="n">
        <v>160480</v>
      </c>
      <c r="AK1501" s="12" t="n">
        <v>17487</v>
      </c>
      <c r="AL1501" s="12" t="n">
        <v>10867</v>
      </c>
      <c r="AM1501" s="13" t="n">
        <v>8.6</v>
      </c>
      <c r="AN1501" s="13" t="n">
        <v>35.9</v>
      </c>
      <c r="AO1501" s="13" t="n">
        <v>88.40000000000001</v>
      </c>
      <c r="AP1501" s="13" t="n">
        <v>296.5</v>
      </c>
    </row>
    <row r="1502">
      <c r="A1502" s="5" t="inlineStr">
        <is>
          <t>새빗켐</t>
        </is>
      </c>
      <c r="B1502" s="6" t="inlineStr">
        <is>
          <t>107600</t>
        </is>
      </c>
      <c r="C1502" s="6" t="inlineStr">
        <is>
          <t>별도</t>
        </is>
      </c>
      <c r="D1502" s="6" t="inlineStr">
        <is>
          <t>2026Q2</t>
        </is>
      </c>
      <c r="E1502" s="6" t="inlineStr"/>
      <c r="F1502" s="7" t="inlineStr"/>
      <c r="G1502" s="8" t="inlineStr"/>
      <c r="H1502" s="8" t="inlineStr"/>
      <c r="I1502" s="9" t="n">
        <v>6213</v>
      </c>
      <c r="J1502" s="10" t="n">
        <v>-2126</v>
      </c>
      <c r="K1502" s="10" t="n">
        <v>-2211</v>
      </c>
      <c r="L1502" s="7" t="n">
        <v>9261</v>
      </c>
      <c r="M1502" s="8" t="n">
        <v>-189</v>
      </c>
      <c r="N1502" s="8" t="n">
        <v>-3946</v>
      </c>
      <c r="O1502" s="9" t="n">
        <v>7217</v>
      </c>
      <c r="P1502" s="10" t="n">
        <v>-2597</v>
      </c>
      <c r="Q1502" s="10" t="n">
        <v>-2836</v>
      </c>
      <c r="R1502" s="7" t="n">
        <v>7646</v>
      </c>
      <c r="S1502" s="8" t="n">
        <v>-1245</v>
      </c>
      <c r="T1502" s="8" t="n">
        <v>-1713</v>
      </c>
      <c r="U1502" s="9" t="n">
        <v>9894</v>
      </c>
      <c r="V1502" s="10" t="n">
        <v>-2058</v>
      </c>
      <c r="W1502" s="10" t="n">
        <v>-2279</v>
      </c>
      <c r="X1502" s="7" t="n">
        <v>10820</v>
      </c>
      <c r="Y1502" s="8" t="n">
        <v>-1707</v>
      </c>
      <c r="Z1502" s="8" t="n">
        <v>-2313</v>
      </c>
      <c r="AA1502" s="9" t="n">
        <v>7157</v>
      </c>
      <c r="AB1502" s="10" t="n">
        <v>-3136</v>
      </c>
      <c r="AC1502" s="10" t="n">
        <v>-3067</v>
      </c>
      <c r="AD1502" s="7" t="n">
        <v>10520</v>
      </c>
      <c r="AE1502" s="8" t="n">
        <v>-2518</v>
      </c>
      <c r="AF1502" s="8" t="n">
        <v>-10388</v>
      </c>
      <c r="AG1502" s="9" t="n">
        <v>13488</v>
      </c>
      <c r="AH1502" s="10" t="n">
        <v>-472</v>
      </c>
      <c r="AI1502" s="10" t="n">
        <v>-276</v>
      </c>
      <c r="AJ1502" s="11" t="n">
        <v>17379</v>
      </c>
      <c r="AK1502" s="12" t="n">
        <v>867</v>
      </c>
      <c r="AL1502" s="12" t="n">
        <v>828</v>
      </c>
      <c r="AM1502" s="13" t="n">
        <v>28.8</v>
      </c>
      <c r="AN1502" s="13" t="n">
        <v>60.6</v>
      </c>
      <c r="AO1502" s="13" t="n">
        <v>283.7</v>
      </c>
      <c r="AP1502" s="13" t="n">
        <v>150.8</v>
      </c>
    </row>
    <row r="1503">
      <c r="A1503" s="5" t="inlineStr">
        <is>
          <t>한중엔시에스</t>
        </is>
      </c>
      <c r="B1503" s="6" t="inlineStr">
        <is>
          <t>107640</t>
        </is>
      </c>
      <c r="C1503" s="6" t="inlineStr">
        <is>
          <t>연결</t>
        </is>
      </c>
      <c r="D1503" s="6" t="inlineStr">
        <is>
          <t>2026Q2</t>
        </is>
      </c>
      <c r="E1503" s="6" t="inlineStr"/>
      <c r="F1503" s="7" t="inlineStr"/>
      <c r="G1503" s="8" t="inlineStr"/>
      <c r="H1503" s="8" t="inlineStr"/>
      <c r="I1503" s="9" t="inlineStr"/>
      <c r="J1503" s="10" t="inlineStr"/>
      <c r="K1503" s="10" t="inlineStr"/>
      <c r="L1503" s="7" t="n">
        <v>43646</v>
      </c>
      <c r="M1503" s="8" t="n">
        <v>2379</v>
      </c>
      <c r="N1503" s="8" t="n">
        <v>1067</v>
      </c>
      <c r="O1503" s="9" t="n">
        <v>47596</v>
      </c>
      <c r="P1503" s="10" t="n">
        <v>1588</v>
      </c>
      <c r="Q1503" s="10" t="n">
        <v>943</v>
      </c>
      <c r="R1503" s="7" t="inlineStr"/>
      <c r="S1503" s="8" t="inlineStr"/>
      <c r="T1503" s="8" t="inlineStr"/>
      <c r="U1503" s="9" t="n">
        <v>33104</v>
      </c>
      <c r="V1503" s="10" t="n">
        <v>-627</v>
      </c>
      <c r="W1503" s="10" t="n">
        <v>-956</v>
      </c>
      <c r="X1503" s="7" t="n">
        <v>36429</v>
      </c>
      <c r="Y1503" s="8" t="n">
        <v>398</v>
      </c>
      <c r="Z1503" s="8" t="n">
        <v>203</v>
      </c>
      <c r="AA1503" s="9" t="n">
        <v>45865</v>
      </c>
      <c r="AB1503" s="10" t="n">
        <v>1529</v>
      </c>
      <c r="AC1503" s="10" t="n">
        <v>1407</v>
      </c>
      <c r="AD1503" s="7" t="n">
        <v>59867</v>
      </c>
      <c r="AE1503" s="8" t="n">
        <v>2726</v>
      </c>
      <c r="AF1503" s="8" t="n">
        <v>4231</v>
      </c>
      <c r="AG1503" s="9" t="n">
        <v>54732</v>
      </c>
      <c r="AH1503" s="10" t="n">
        <v>1443</v>
      </c>
      <c r="AI1503" s="10" t="n">
        <v>1441</v>
      </c>
      <c r="AJ1503" s="11" t="n">
        <v>42578</v>
      </c>
      <c r="AK1503" s="12" t="n">
        <v>-6946</v>
      </c>
      <c r="AL1503" s="12" t="n">
        <v>-2200</v>
      </c>
      <c r="AM1503" s="13" t="n">
        <v>-22.2</v>
      </c>
      <c r="AN1503" s="13" t="n">
        <v>16.9</v>
      </c>
      <c r="AO1503" s="13" t="n">
        <v>-581.4</v>
      </c>
      <c r="AP1503" s="13" t="n">
        <v>-1845.2</v>
      </c>
    </row>
    <row r="1504">
      <c r="A1504" s="5" t="inlineStr">
        <is>
          <t>톱텍</t>
        </is>
      </c>
      <c r="B1504" s="6" t="inlineStr">
        <is>
          <t>108230</t>
        </is>
      </c>
      <c r="C1504" s="6" t="inlineStr">
        <is>
          <t>연결</t>
        </is>
      </c>
      <c r="D1504" s="6" t="inlineStr">
        <is>
          <t>2026Q2</t>
        </is>
      </c>
      <c r="E1504" s="6" t="inlineStr"/>
      <c r="F1504" s="7" t="inlineStr"/>
      <c r="G1504" s="8" t="inlineStr"/>
      <c r="H1504" s="8" t="inlineStr"/>
      <c r="I1504" s="9" t="n">
        <v>234446</v>
      </c>
      <c r="J1504" s="10" t="n">
        <v>28883</v>
      </c>
      <c r="K1504" s="10" t="n">
        <v>30195</v>
      </c>
      <c r="L1504" s="7" t="n">
        <v>97743</v>
      </c>
      <c r="M1504" s="8" t="n">
        <v>-810</v>
      </c>
      <c r="N1504" s="8" t="n">
        <v>5215</v>
      </c>
      <c r="O1504" s="9" t="n">
        <v>53954</v>
      </c>
      <c r="P1504" s="10" t="n">
        <v>-9971</v>
      </c>
      <c r="Q1504" s="10" t="n">
        <v>-12985</v>
      </c>
      <c r="R1504" s="7" t="n">
        <v>87486</v>
      </c>
      <c r="S1504" s="8" t="n">
        <v>-5613</v>
      </c>
      <c r="T1504" s="8" t="n">
        <v>10133</v>
      </c>
      <c r="U1504" s="9" t="n">
        <v>45324</v>
      </c>
      <c r="V1504" s="10" t="n">
        <v>-483</v>
      </c>
      <c r="W1504" s="10" t="n">
        <v>-339</v>
      </c>
      <c r="X1504" s="7" t="n">
        <v>25846</v>
      </c>
      <c r="Y1504" s="8" t="n">
        <v>-6353</v>
      </c>
      <c r="Z1504" s="8" t="n">
        <v>-15026</v>
      </c>
      <c r="AA1504" s="9" t="n">
        <v>56166</v>
      </c>
      <c r="AB1504" s="10" t="n">
        <v>7414</v>
      </c>
      <c r="AC1504" s="10" t="n">
        <v>-2727</v>
      </c>
      <c r="AD1504" s="7" t="n">
        <v>43666</v>
      </c>
      <c r="AE1504" s="8" t="n">
        <v>-3723</v>
      </c>
      <c r="AF1504" s="8" t="n">
        <v>-2505</v>
      </c>
      <c r="AG1504" s="9" t="n">
        <v>32619</v>
      </c>
      <c r="AH1504" s="10" t="n">
        <v>6049</v>
      </c>
      <c r="AI1504" s="10" t="n">
        <v>11305</v>
      </c>
      <c r="AJ1504" s="11" t="n">
        <v>40843</v>
      </c>
      <c r="AK1504" s="12" t="n">
        <v>-6507</v>
      </c>
      <c r="AL1504" s="12" t="n">
        <v>-2880</v>
      </c>
      <c r="AM1504" s="13" t="n">
        <v>25.2</v>
      </c>
      <c r="AN1504" s="13" t="n">
        <v>58</v>
      </c>
      <c r="AO1504" s="13" t="n">
        <v>-207.6</v>
      </c>
      <c r="AP1504" s="13" t="n">
        <v>-2.4</v>
      </c>
    </row>
    <row r="1505">
      <c r="A1505" s="5" t="inlineStr">
        <is>
          <t>LX세미콘</t>
        </is>
      </c>
      <c r="B1505" s="6" t="inlineStr">
        <is>
          <t>108320</t>
        </is>
      </c>
      <c r="C1505" s="6" t="inlineStr">
        <is>
          <t>연결</t>
        </is>
      </c>
      <c r="D1505" s="6" t="inlineStr">
        <is>
          <t>2026Q2</t>
        </is>
      </c>
      <c r="E1505" s="6" t="inlineStr">
        <is>
          <t>2023Q4</t>
        </is>
      </c>
      <c r="F1505" s="14" t="n">
        <v>512747</v>
      </c>
      <c r="G1505" s="15" t="n">
        <v>67150</v>
      </c>
      <c r="H1505" s="15" t="n">
        <v>46906</v>
      </c>
      <c r="I1505" s="9" t="n">
        <v>458322</v>
      </c>
      <c r="J1505" s="10" t="n">
        <v>46236</v>
      </c>
      <c r="K1505" s="10" t="n">
        <v>40074</v>
      </c>
      <c r="L1505" s="7" t="n">
        <v>484883</v>
      </c>
      <c r="M1505" s="8" t="n">
        <v>56058</v>
      </c>
      <c r="N1505" s="8" t="n">
        <v>44304</v>
      </c>
      <c r="O1505" s="9" t="n">
        <v>419850</v>
      </c>
      <c r="P1505" s="10" t="n">
        <v>34278</v>
      </c>
      <c r="Q1505" s="10" t="n">
        <v>25359</v>
      </c>
      <c r="R1505" s="7" t="n">
        <v>502567</v>
      </c>
      <c r="S1505" s="8" t="n">
        <v>30505</v>
      </c>
      <c r="T1505" s="8" t="n">
        <v>20772</v>
      </c>
      <c r="U1505" s="9" t="n">
        <v>476233</v>
      </c>
      <c r="V1505" s="10" t="n">
        <v>59691</v>
      </c>
      <c r="W1505" s="10" t="n">
        <v>45357</v>
      </c>
      <c r="X1505" s="7" t="n">
        <v>378615</v>
      </c>
      <c r="Y1505" s="8" t="n">
        <v>10229</v>
      </c>
      <c r="Z1505" s="8" t="n">
        <v>8319</v>
      </c>
      <c r="AA1505" s="9" t="n">
        <v>394391</v>
      </c>
      <c r="AB1505" s="10" t="n">
        <v>14031</v>
      </c>
      <c r="AC1505" s="10" t="n">
        <v>10090</v>
      </c>
      <c r="AD1505" s="7" t="n">
        <v>389832</v>
      </c>
      <c r="AE1505" s="8" t="n">
        <v>24905</v>
      </c>
      <c r="AF1505" s="8" t="n">
        <v>18867</v>
      </c>
      <c r="AG1505" s="9" t="n">
        <v>388770</v>
      </c>
      <c r="AH1505" s="10" t="n">
        <v>20594</v>
      </c>
      <c r="AI1505" s="10" t="n">
        <v>11218</v>
      </c>
      <c r="AJ1505" s="11" t="n">
        <v>401153</v>
      </c>
      <c r="AK1505" s="12" t="n">
        <v>22006</v>
      </c>
      <c r="AL1505" s="12" t="n">
        <v>17887</v>
      </c>
      <c r="AM1505" s="13" t="n">
        <v>3.2</v>
      </c>
      <c r="AN1505" s="13" t="n">
        <v>6</v>
      </c>
      <c r="AO1505" s="13" t="n">
        <v>6.9</v>
      </c>
      <c r="AP1505" s="13" t="n">
        <v>115.1</v>
      </c>
    </row>
    <row r="1506">
      <c r="A1506" s="5" t="inlineStr">
        <is>
          <t>대양전기공업</t>
        </is>
      </c>
      <c r="B1506" s="6" t="inlineStr">
        <is>
          <t>108380</t>
        </is>
      </c>
      <c r="C1506" s="6" t="inlineStr">
        <is>
          <t>연결</t>
        </is>
      </c>
      <c r="D1506" s="6" t="inlineStr">
        <is>
          <t>2026Q2</t>
        </is>
      </c>
      <c r="E1506" s="6" t="inlineStr"/>
      <c r="F1506" s="7" t="inlineStr"/>
      <c r="G1506" s="8" t="inlineStr"/>
      <c r="H1506" s="8" t="inlineStr"/>
      <c r="I1506" s="9" t="n">
        <v>41355</v>
      </c>
      <c r="J1506" s="10" t="n">
        <v>2378</v>
      </c>
      <c r="K1506" s="10" t="n">
        <v>3693</v>
      </c>
      <c r="L1506" s="7" t="n">
        <v>49900</v>
      </c>
      <c r="M1506" s="8" t="n">
        <v>3062</v>
      </c>
      <c r="N1506" s="8" t="n">
        <v>4198</v>
      </c>
      <c r="O1506" s="9" t="n">
        <v>44737</v>
      </c>
      <c r="P1506" s="10" t="n">
        <v>2915</v>
      </c>
      <c r="Q1506" s="10" t="n">
        <v>2528</v>
      </c>
      <c r="R1506" s="7" t="n">
        <v>60287</v>
      </c>
      <c r="S1506" s="8" t="n">
        <v>7331</v>
      </c>
      <c r="T1506" s="8" t="n">
        <v>9180</v>
      </c>
      <c r="U1506" s="9" t="n">
        <v>55640</v>
      </c>
      <c r="V1506" s="10" t="n">
        <v>5711</v>
      </c>
      <c r="W1506" s="10" t="n">
        <v>5742</v>
      </c>
      <c r="X1506" s="7" t="n">
        <v>56326</v>
      </c>
      <c r="Y1506" s="8" t="n">
        <v>5782</v>
      </c>
      <c r="Z1506" s="8" t="n">
        <v>4434</v>
      </c>
      <c r="AA1506" s="9" t="n">
        <v>61533</v>
      </c>
      <c r="AB1506" s="10" t="n">
        <v>7743</v>
      </c>
      <c r="AC1506" s="10" t="n">
        <v>8070</v>
      </c>
      <c r="AD1506" s="7" t="n">
        <v>56596</v>
      </c>
      <c r="AE1506" s="8" t="n">
        <v>7824</v>
      </c>
      <c r="AF1506" s="8" t="n">
        <v>6543</v>
      </c>
      <c r="AG1506" s="9" t="n">
        <v>50896</v>
      </c>
      <c r="AH1506" s="10" t="n">
        <v>6274</v>
      </c>
      <c r="AI1506" s="10" t="n">
        <v>7268</v>
      </c>
      <c r="AJ1506" s="11" t="n">
        <v>70834</v>
      </c>
      <c r="AK1506" s="12" t="n">
        <v>7559</v>
      </c>
      <c r="AL1506" s="12" t="n">
        <v>7664</v>
      </c>
      <c r="AM1506" s="13" t="n">
        <v>39.2</v>
      </c>
      <c r="AN1506" s="13" t="n">
        <v>25.8</v>
      </c>
      <c r="AO1506" s="13" t="n">
        <v>20.5</v>
      </c>
      <c r="AP1506" s="13" t="n">
        <v>30.7</v>
      </c>
    </row>
    <row r="1507">
      <c r="A1507" s="5" t="inlineStr">
        <is>
          <t>로보티즈</t>
        </is>
      </c>
      <c r="B1507" s="6" t="inlineStr">
        <is>
          <t>108490</t>
        </is>
      </c>
      <c r="C1507" s="6" t="inlineStr">
        <is>
          <t>연결</t>
        </is>
      </c>
      <c r="D1507" s="6" t="inlineStr">
        <is>
          <t>2026Q2</t>
        </is>
      </c>
      <c r="E1507" s="6" t="inlineStr"/>
      <c r="F1507" s="7" t="inlineStr"/>
      <c r="G1507" s="8" t="inlineStr"/>
      <c r="H1507" s="8" t="inlineStr"/>
      <c r="I1507" s="9" t="n">
        <v>8338</v>
      </c>
      <c r="J1507" s="10" t="n">
        <v>-924</v>
      </c>
      <c r="K1507" s="10" t="n">
        <v>-2639</v>
      </c>
      <c r="L1507" s="7" t="n">
        <v>8092</v>
      </c>
      <c r="M1507" s="8" t="n">
        <v>87</v>
      </c>
      <c r="N1507" s="8" t="n">
        <v>-405</v>
      </c>
      <c r="O1507" s="9" t="n">
        <v>6836</v>
      </c>
      <c r="P1507" s="10" t="n">
        <v>-1403</v>
      </c>
      <c r="Q1507" s="10" t="n">
        <v>-1503</v>
      </c>
      <c r="R1507" s="7" t="n">
        <v>6772</v>
      </c>
      <c r="S1507" s="8" t="n">
        <v>-734</v>
      </c>
      <c r="T1507" s="8" t="n">
        <v>1508</v>
      </c>
      <c r="U1507" s="9" t="n">
        <v>10223</v>
      </c>
      <c r="V1507" s="10" t="n">
        <v>826</v>
      </c>
      <c r="W1507" s="10" t="n">
        <v>1203</v>
      </c>
      <c r="X1507" s="7" t="n">
        <v>7877</v>
      </c>
      <c r="Y1507" s="8" t="n">
        <v>241</v>
      </c>
      <c r="Z1507" s="8" t="n">
        <v>174</v>
      </c>
      <c r="AA1507" s="9" t="n">
        <v>9240</v>
      </c>
      <c r="AB1507" s="10" t="n">
        <v>224</v>
      </c>
      <c r="AC1507" s="10" t="n">
        <v>915</v>
      </c>
      <c r="AD1507" s="7" t="n">
        <v>11603</v>
      </c>
      <c r="AE1507" s="8" t="n">
        <v>2055</v>
      </c>
      <c r="AF1507" s="8" t="n">
        <v>3011</v>
      </c>
      <c r="AG1507" s="9" t="n">
        <v>11841</v>
      </c>
      <c r="AH1507" s="10" t="n">
        <v>-11843</v>
      </c>
      <c r="AI1507" s="10" t="n">
        <v>-9947</v>
      </c>
      <c r="AJ1507" s="11" t="n">
        <v>15372</v>
      </c>
      <c r="AK1507" s="12" t="n">
        <v>1981</v>
      </c>
      <c r="AL1507" s="12" t="n">
        <v>2626</v>
      </c>
      <c r="AM1507" s="13" t="n">
        <v>29.8</v>
      </c>
      <c r="AN1507" s="13" t="n">
        <v>95.2</v>
      </c>
      <c r="AO1507" s="13" t="n">
        <v>116.7</v>
      </c>
      <c r="AP1507" s="13" t="n">
        <v>722</v>
      </c>
    </row>
    <row r="1508">
      <c r="A1508" s="5" t="inlineStr">
        <is>
          <t>LX하우시스</t>
        </is>
      </c>
      <c r="B1508" s="6" t="inlineStr">
        <is>
          <t>108670</t>
        </is>
      </c>
      <c r="C1508" s="6" t="inlineStr">
        <is>
          <t>연결</t>
        </is>
      </c>
      <c r="D1508" s="6" t="inlineStr">
        <is>
          <t>2026Q2</t>
        </is>
      </c>
      <c r="E1508" s="6" t="inlineStr">
        <is>
          <t>2023Q4</t>
        </is>
      </c>
      <c r="F1508" s="14" t="n">
        <v>882713</v>
      </c>
      <c r="G1508" s="15" t="n">
        <v>8867</v>
      </c>
      <c r="H1508" s="15" t="n">
        <v>-4430</v>
      </c>
      <c r="I1508" s="9" t="n">
        <v>849458</v>
      </c>
      <c r="J1508" s="10" t="n">
        <v>32385</v>
      </c>
      <c r="K1508" s="10" t="n">
        <v>18247</v>
      </c>
      <c r="L1508" s="7" t="n">
        <v>941911</v>
      </c>
      <c r="M1508" s="8" t="n">
        <v>37815</v>
      </c>
      <c r="N1508" s="8" t="n">
        <v>31433</v>
      </c>
      <c r="O1508" s="9" t="n">
        <v>890090</v>
      </c>
      <c r="P1508" s="10" t="n">
        <v>22355</v>
      </c>
      <c r="Q1508" s="10" t="n">
        <v>9763</v>
      </c>
      <c r="R1508" s="7" t="n">
        <v>890577</v>
      </c>
      <c r="S1508" s="8" t="n">
        <v>4910</v>
      </c>
      <c r="T1508" s="8" t="n">
        <v>-15131</v>
      </c>
      <c r="U1508" s="9" t="n">
        <v>781390</v>
      </c>
      <c r="V1508" s="10" t="n">
        <v>7062</v>
      </c>
      <c r="W1508" s="10" t="n">
        <v>-2442</v>
      </c>
      <c r="X1508" s="7" t="n">
        <v>819479</v>
      </c>
      <c r="Y1508" s="8" t="n">
        <v>12798</v>
      </c>
      <c r="Z1508" s="8" t="n">
        <v>-81</v>
      </c>
      <c r="AA1508" s="9" t="n">
        <v>812664</v>
      </c>
      <c r="AB1508" s="10" t="n">
        <v>22108</v>
      </c>
      <c r="AC1508" s="10" t="n">
        <v>13308</v>
      </c>
      <c r="AD1508" s="7" t="n">
        <v>765156</v>
      </c>
      <c r="AE1508" s="8" t="n">
        <v>-28908</v>
      </c>
      <c r="AF1508" s="8" t="n">
        <v>-54652</v>
      </c>
      <c r="AG1508" s="9" t="n">
        <v>814714</v>
      </c>
      <c r="AH1508" s="10" t="n">
        <v>45884</v>
      </c>
      <c r="AI1508" s="10" t="n">
        <v>30442</v>
      </c>
      <c r="AJ1508" s="11" t="n">
        <v>939692</v>
      </c>
      <c r="AK1508" s="12" t="n">
        <v>54903</v>
      </c>
      <c r="AL1508" s="12" t="n">
        <v>47092</v>
      </c>
      <c r="AM1508" s="13" t="n">
        <v>15.3</v>
      </c>
      <c r="AN1508" s="13" t="n">
        <v>14.7</v>
      </c>
      <c r="AO1508" s="13" t="n">
        <v>19.7</v>
      </c>
      <c r="AP1508" s="13" t="n">
        <v>329</v>
      </c>
    </row>
    <row r="1509">
      <c r="A1509" s="5" t="inlineStr">
        <is>
          <t>셀바스AI</t>
        </is>
      </c>
      <c r="B1509" s="6" t="inlineStr">
        <is>
          <t>108860</t>
        </is>
      </c>
      <c r="C1509" s="6" t="inlineStr">
        <is>
          <t>연결</t>
        </is>
      </c>
      <c r="D1509" s="6" t="inlineStr">
        <is>
          <t>2026Q2</t>
        </is>
      </c>
      <c r="E1509" s="6" t="inlineStr"/>
      <c r="F1509" s="7" t="inlineStr"/>
      <c r="G1509" s="8" t="inlineStr"/>
      <c r="H1509" s="8" t="inlineStr"/>
      <c r="I1509" s="9" t="n">
        <v>27239</v>
      </c>
      <c r="J1509" s="10" t="n">
        <v>-491</v>
      </c>
      <c r="K1509" s="10" t="n">
        <v>1522</v>
      </c>
      <c r="L1509" s="7" t="n">
        <v>27505</v>
      </c>
      <c r="M1509" s="8" t="n">
        <v>238</v>
      </c>
      <c r="N1509" s="8" t="n">
        <v>1286</v>
      </c>
      <c r="O1509" s="9" t="n">
        <v>27699</v>
      </c>
      <c r="P1509" s="10" t="n">
        <v>-654</v>
      </c>
      <c r="Q1509" s="10" t="n">
        <v>-1182</v>
      </c>
      <c r="R1509" s="7" t="n">
        <v>30011</v>
      </c>
      <c r="S1509" s="8" t="n">
        <v>1707</v>
      </c>
      <c r="T1509" s="8" t="n">
        <v>-2647</v>
      </c>
      <c r="U1509" s="9" t="n">
        <v>26431</v>
      </c>
      <c r="V1509" s="10" t="n">
        <v>-409</v>
      </c>
      <c r="W1509" s="10" t="n">
        <v>22</v>
      </c>
      <c r="X1509" s="7" t="n">
        <v>28001</v>
      </c>
      <c r="Y1509" s="8" t="n">
        <v>72</v>
      </c>
      <c r="Z1509" s="8" t="n">
        <v>-4352</v>
      </c>
      <c r="AA1509" s="9" t="n">
        <v>25830</v>
      </c>
      <c r="AB1509" s="10" t="n">
        <v>1035</v>
      </c>
      <c r="AC1509" s="10" t="n">
        <v>2481</v>
      </c>
      <c r="AD1509" s="7" t="n">
        <v>34519</v>
      </c>
      <c r="AE1509" s="8" t="n">
        <v>784</v>
      </c>
      <c r="AF1509" s="8" t="n">
        <v>-2494</v>
      </c>
      <c r="AG1509" s="9" t="n">
        <v>26632</v>
      </c>
      <c r="AH1509" s="10" t="n">
        <v>-370</v>
      </c>
      <c r="AI1509" s="10" t="n">
        <v>3735</v>
      </c>
      <c r="AJ1509" s="11" t="n">
        <v>33344</v>
      </c>
      <c r="AK1509" s="12" t="n">
        <v>1780</v>
      </c>
      <c r="AL1509" s="12" t="n">
        <v>-298</v>
      </c>
      <c r="AM1509" s="13" t="n">
        <v>25.2</v>
      </c>
      <c r="AN1509" s="13" t="n">
        <v>19.1</v>
      </c>
      <c r="AO1509" s="13" t="n">
        <v>581.1</v>
      </c>
      <c r="AP1509" s="13" t="n">
        <v>2372.2</v>
      </c>
    </row>
    <row r="1510">
      <c r="A1510" s="5" t="inlineStr">
        <is>
          <t>주성코퍼레이션</t>
        </is>
      </c>
      <c r="B1510" s="6" t="inlineStr">
        <is>
          <t>109070</t>
        </is>
      </c>
      <c r="C1510" s="6" t="inlineStr">
        <is>
          <t>연결</t>
        </is>
      </c>
      <c r="D1510" s="6" t="inlineStr">
        <is>
          <t>2026Q2</t>
        </is>
      </c>
      <c r="E1510" s="6" t="inlineStr"/>
      <c r="F1510" s="7" t="inlineStr"/>
      <c r="G1510" s="8" t="inlineStr"/>
      <c r="H1510" s="8" t="inlineStr"/>
      <c r="I1510" s="9" t="n">
        <v>10554</v>
      </c>
      <c r="J1510" s="10" t="n">
        <v>554</v>
      </c>
      <c r="K1510" s="10" t="n">
        <v>1086</v>
      </c>
      <c r="L1510" s="7" t="n">
        <v>19114</v>
      </c>
      <c r="M1510" s="8" t="n">
        <v>1147</v>
      </c>
      <c r="N1510" s="8" t="n">
        <v>875</v>
      </c>
      <c r="O1510" s="9" t="n">
        <v>23255</v>
      </c>
      <c r="P1510" s="10" t="n">
        <v>1429</v>
      </c>
      <c r="Q1510" s="10" t="n">
        <v>1600</v>
      </c>
      <c r="R1510" s="7" t="n">
        <v>15923</v>
      </c>
      <c r="S1510" s="8" t="n">
        <v>634</v>
      </c>
      <c r="T1510" s="8" t="n">
        <v>1042</v>
      </c>
      <c r="U1510" s="9" t="n">
        <v>19799</v>
      </c>
      <c r="V1510" s="10" t="n">
        <v>978</v>
      </c>
      <c r="W1510" s="10" t="n">
        <v>1266</v>
      </c>
      <c r="X1510" s="7" t="n">
        <v>20884</v>
      </c>
      <c r="Y1510" s="8" t="n">
        <v>770</v>
      </c>
      <c r="Z1510" s="8" t="n">
        <v>126</v>
      </c>
      <c r="AA1510" s="9" t="n">
        <v>18316</v>
      </c>
      <c r="AB1510" s="10" t="n">
        <v>130</v>
      </c>
      <c r="AC1510" s="10" t="n">
        <v>388</v>
      </c>
      <c r="AD1510" s="7" t="n">
        <v>26404</v>
      </c>
      <c r="AE1510" s="8" t="n">
        <v>1288</v>
      </c>
      <c r="AF1510" s="8" t="n">
        <v>260</v>
      </c>
      <c r="AG1510" s="9" t="n">
        <v>17564</v>
      </c>
      <c r="AH1510" s="10" t="n">
        <v>-265</v>
      </c>
      <c r="AI1510" s="10" t="n">
        <v>1252</v>
      </c>
      <c r="AJ1510" s="11" t="n">
        <v>24251</v>
      </c>
      <c r="AK1510" s="12" t="n">
        <v>-267</v>
      </c>
      <c r="AL1510" s="12" t="n">
        <v>524</v>
      </c>
      <c r="AM1510" s="13" t="n">
        <v>38.1</v>
      </c>
      <c r="AN1510" s="13" t="n">
        <v>16.1</v>
      </c>
      <c r="AO1510" s="13" t="n">
        <v>-0.8</v>
      </c>
      <c r="AP1510" s="13" t="n">
        <v>-134.7</v>
      </c>
    </row>
    <row r="1511">
      <c r="A1511" s="5" t="inlineStr">
        <is>
          <t>옵티시스</t>
        </is>
      </c>
      <c r="B1511" s="6" t="inlineStr">
        <is>
          <t>109080</t>
        </is>
      </c>
      <c r="C1511" s="6" t="inlineStr">
        <is>
          <t>별도</t>
        </is>
      </c>
      <c r="D1511" s="6" t="inlineStr">
        <is>
          <t>2026Q2</t>
        </is>
      </c>
      <c r="E1511" s="6" t="inlineStr">
        <is>
          <t>2023Q4</t>
        </is>
      </c>
      <c r="F1511" s="14" t="n">
        <v>6699</v>
      </c>
      <c r="G1511" s="15" t="n">
        <v>498</v>
      </c>
      <c r="H1511" s="15" t="n">
        <v>1102</v>
      </c>
      <c r="I1511" s="9" t="n">
        <v>4700</v>
      </c>
      <c r="J1511" s="10" t="n">
        <v>-343</v>
      </c>
      <c r="K1511" s="10" t="n">
        <v>366</v>
      </c>
      <c r="L1511" s="7" t="n">
        <v>5644</v>
      </c>
      <c r="M1511" s="8" t="n">
        <v>745</v>
      </c>
      <c r="N1511" s="8" t="n">
        <v>1173</v>
      </c>
      <c r="O1511" s="9" t="n">
        <v>5677</v>
      </c>
      <c r="P1511" s="10" t="n">
        <v>997</v>
      </c>
      <c r="Q1511" s="10" t="n">
        <v>826</v>
      </c>
      <c r="R1511" s="7" t="n">
        <v>7737</v>
      </c>
      <c r="S1511" s="8" t="n">
        <v>1306</v>
      </c>
      <c r="T1511" s="8" t="n">
        <v>2374</v>
      </c>
      <c r="U1511" s="9" t="n">
        <v>6737</v>
      </c>
      <c r="V1511" s="10" t="n">
        <v>1583</v>
      </c>
      <c r="W1511" s="10" t="n">
        <v>1995</v>
      </c>
      <c r="X1511" s="7" t="n">
        <v>7543</v>
      </c>
      <c r="Y1511" s="8" t="n">
        <v>1643</v>
      </c>
      <c r="Z1511" s="8" t="n">
        <v>783</v>
      </c>
      <c r="AA1511" s="9" t="n">
        <v>5130</v>
      </c>
      <c r="AB1511" s="10" t="n">
        <v>745</v>
      </c>
      <c r="AC1511" s="10" t="n">
        <v>1274</v>
      </c>
      <c r="AD1511" s="7" t="n">
        <v>6317</v>
      </c>
      <c r="AE1511" s="8" t="n">
        <v>543</v>
      </c>
      <c r="AF1511" s="8" t="n">
        <v>371</v>
      </c>
      <c r="AG1511" s="9" t="n">
        <v>6622</v>
      </c>
      <c r="AH1511" s="10" t="n">
        <v>1253</v>
      </c>
      <c r="AI1511" s="10" t="n">
        <v>1591</v>
      </c>
      <c r="AJ1511" s="11" t="n">
        <v>6579</v>
      </c>
      <c r="AK1511" s="12" t="n">
        <v>1259</v>
      </c>
      <c r="AL1511" s="12" t="n">
        <v>1883</v>
      </c>
      <c r="AM1511" s="13" t="n">
        <v>-0.6</v>
      </c>
      <c r="AN1511" s="13" t="n">
        <v>-12.8</v>
      </c>
      <c r="AO1511" s="13" t="n">
        <v>0.5</v>
      </c>
      <c r="AP1511" s="13" t="n">
        <v>-23.4</v>
      </c>
    </row>
    <row r="1512">
      <c r="A1512" s="5" t="inlineStr">
        <is>
          <t>에스와이</t>
        </is>
      </c>
      <c r="B1512" s="6" t="inlineStr">
        <is>
          <t>109610</t>
        </is>
      </c>
      <c r="C1512" s="6" t="inlineStr">
        <is>
          <t>연결</t>
        </is>
      </c>
      <c r="D1512" s="6" t="inlineStr">
        <is>
          <t>2026Q2</t>
        </is>
      </c>
      <c r="E1512" s="6" t="inlineStr"/>
      <c r="F1512" s="7" t="inlineStr"/>
      <c r="G1512" s="8" t="inlineStr"/>
      <c r="H1512" s="8" t="inlineStr"/>
      <c r="I1512" s="9" t="n">
        <v>137981</v>
      </c>
      <c r="J1512" s="10" t="n">
        <v>6167</v>
      </c>
      <c r="K1512" s="10" t="n">
        <v>2166</v>
      </c>
      <c r="L1512" s="7" t="n">
        <v>151659</v>
      </c>
      <c r="M1512" s="8" t="n">
        <v>5946</v>
      </c>
      <c r="N1512" s="8" t="n">
        <v>1407</v>
      </c>
      <c r="O1512" s="9" t="n">
        <v>126022</v>
      </c>
      <c r="P1512" s="10" t="n">
        <v>4365</v>
      </c>
      <c r="Q1512" s="10" t="n">
        <v>2953</v>
      </c>
      <c r="R1512" s="7" t="n">
        <v>145347</v>
      </c>
      <c r="S1512" s="8" t="n">
        <v>5457</v>
      </c>
      <c r="T1512" s="8" t="n">
        <v>-205</v>
      </c>
      <c r="U1512" s="9" t="n">
        <v>116302</v>
      </c>
      <c r="V1512" s="10" t="n">
        <v>-2009</v>
      </c>
      <c r="W1512" s="10" t="n">
        <v>-3703</v>
      </c>
      <c r="X1512" s="7" t="n">
        <v>135936</v>
      </c>
      <c r="Y1512" s="8" t="n">
        <v>-88</v>
      </c>
      <c r="Z1512" s="8" t="n">
        <v>-3220</v>
      </c>
      <c r="AA1512" s="9" t="n">
        <v>116579</v>
      </c>
      <c r="AB1512" s="10" t="n">
        <v>-954</v>
      </c>
      <c r="AC1512" s="10" t="n">
        <v>-2376</v>
      </c>
      <c r="AD1512" s="7" t="n">
        <v>132736</v>
      </c>
      <c r="AE1512" s="8" t="n">
        <v>-3576</v>
      </c>
      <c r="AF1512" s="8" t="n">
        <v>-6567</v>
      </c>
      <c r="AG1512" s="9" t="n">
        <v>126301</v>
      </c>
      <c r="AH1512" s="10" t="n">
        <v>-1207</v>
      </c>
      <c r="AI1512" s="10" t="n">
        <v>-3915</v>
      </c>
      <c r="AJ1512" s="11" t="n">
        <v>152404</v>
      </c>
      <c r="AK1512" s="12" t="n">
        <v>-1013</v>
      </c>
      <c r="AL1512" s="12" t="n">
        <v>-5365</v>
      </c>
      <c r="AM1512" s="13" t="n">
        <v>20.7</v>
      </c>
      <c r="AN1512" s="13" t="n">
        <v>12.1</v>
      </c>
      <c r="AO1512" s="13" t="n">
        <v>16.1</v>
      </c>
      <c r="AP1512" s="13" t="n">
        <v>-1051.1</v>
      </c>
    </row>
    <row r="1513">
      <c r="A1513" s="5" t="inlineStr">
        <is>
          <t>씨싸이트</t>
        </is>
      </c>
      <c r="B1513" s="6" t="inlineStr">
        <is>
          <t>109670</t>
        </is>
      </c>
      <c r="C1513" s="6" t="inlineStr">
        <is>
          <t>연결</t>
        </is>
      </c>
      <c r="D1513" s="6" t="inlineStr">
        <is>
          <t>2026Q2</t>
        </is>
      </c>
      <c r="E1513" s="6" t="inlineStr"/>
      <c r="F1513" s="7" t="inlineStr"/>
      <c r="G1513" s="8" t="inlineStr"/>
      <c r="H1513" s="8" t="inlineStr"/>
      <c r="I1513" s="9" t="n">
        <v>44393</v>
      </c>
      <c r="J1513" s="10" t="n">
        <v>747</v>
      </c>
      <c r="K1513" s="10" t="n">
        <v>702</v>
      </c>
      <c r="L1513" s="7" t="n">
        <v>42252</v>
      </c>
      <c r="M1513" s="8" t="n">
        <v>303</v>
      </c>
      <c r="N1513" s="8" t="n">
        <v>75</v>
      </c>
      <c r="O1513" s="9" t="n">
        <v>50563</v>
      </c>
      <c r="P1513" s="10" t="n">
        <v>2092</v>
      </c>
      <c r="Q1513" s="10" t="n">
        <v>389</v>
      </c>
      <c r="R1513" s="7" t="n">
        <v>36649</v>
      </c>
      <c r="S1513" s="8" t="n">
        <v>-1888</v>
      </c>
      <c r="T1513" s="8" t="n">
        <v>-971</v>
      </c>
      <c r="U1513" s="9" t="n">
        <v>42405</v>
      </c>
      <c r="V1513" s="10" t="n">
        <v>-15</v>
      </c>
      <c r="W1513" s="10" t="n">
        <v>-128</v>
      </c>
      <c r="X1513" s="7" t="n">
        <v>41782</v>
      </c>
      <c r="Y1513" s="8" t="n">
        <v>285</v>
      </c>
      <c r="Z1513" s="8" t="n">
        <v>-871</v>
      </c>
      <c r="AA1513" s="9" t="n">
        <v>51474</v>
      </c>
      <c r="AB1513" s="10" t="n">
        <v>661</v>
      </c>
      <c r="AC1513" s="10" t="n">
        <v>878</v>
      </c>
      <c r="AD1513" s="7" t="n">
        <v>34061</v>
      </c>
      <c r="AE1513" s="8" t="n">
        <v>-780</v>
      </c>
      <c r="AF1513" s="8" t="n">
        <v>-1192</v>
      </c>
      <c r="AG1513" s="9" t="n">
        <v>38742</v>
      </c>
      <c r="AH1513" s="10" t="n">
        <v>-1481</v>
      </c>
      <c r="AI1513" s="10" t="n">
        <v>-597</v>
      </c>
      <c r="AJ1513" s="11" t="n">
        <v>40407</v>
      </c>
      <c r="AK1513" s="12" t="n">
        <v>1613</v>
      </c>
      <c r="AL1513" s="12" t="n">
        <v>1754</v>
      </c>
      <c r="AM1513" s="13" t="n">
        <v>4.3</v>
      </c>
      <c r="AN1513" s="13" t="n">
        <v>-3.3</v>
      </c>
      <c r="AO1513" s="13" t="n">
        <v>208.9</v>
      </c>
      <c r="AP1513" s="13" t="n">
        <v>466</v>
      </c>
    </row>
    <row r="1514">
      <c r="A1514" s="5" t="inlineStr">
        <is>
          <t>디에스케이</t>
        </is>
      </c>
      <c r="B1514" s="6" t="inlineStr">
        <is>
          <t>109740</t>
        </is>
      </c>
      <c r="C1514" s="6" t="inlineStr">
        <is>
          <t>연결</t>
        </is>
      </c>
      <c r="D1514" s="6" t="inlineStr">
        <is>
          <t>2026Q2</t>
        </is>
      </c>
      <c r="E1514" s="6" t="inlineStr"/>
      <c r="F1514" s="7" t="inlineStr"/>
      <c r="G1514" s="8" t="inlineStr"/>
      <c r="H1514" s="8" t="inlineStr"/>
      <c r="I1514" s="9" t="n">
        <v>4659</v>
      </c>
      <c r="J1514" s="10" t="n">
        <v>-4955</v>
      </c>
      <c r="K1514" s="10" t="n">
        <v>-2267</v>
      </c>
      <c r="L1514" s="7" t="n">
        <v>9251</v>
      </c>
      <c r="M1514" s="8" t="n">
        <v>-3415</v>
      </c>
      <c r="N1514" s="8" t="n">
        <v>-2151</v>
      </c>
      <c r="O1514" s="9" t="n">
        <v>4601</v>
      </c>
      <c r="P1514" s="10" t="n">
        <v>-5013</v>
      </c>
      <c r="Q1514" s="10" t="n">
        <v>-4477</v>
      </c>
      <c r="R1514" s="7" t="n">
        <v>4129</v>
      </c>
      <c r="S1514" s="8" t="n">
        <v>-6317</v>
      </c>
      <c r="T1514" s="8" t="n">
        <v>-2527</v>
      </c>
      <c r="U1514" s="9" t="n">
        <v>3097</v>
      </c>
      <c r="V1514" s="10" t="n">
        <v>-5648</v>
      </c>
      <c r="W1514" s="10" t="n">
        <v>-4688</v>
      </c>
      <c r="X1514" s="7" t="n">
        <v>30859</v>
      </c>
      <c r="Y1514" s="8" t="n">
        <v>-3229</v>
      </c>
      <c r="Z1514" s="8" t="n">
        <v>-3149</v>
      </c>
      <c r="AA1514" s="9" t="n">
        <v>4813</v>
      </c>
      <c r="AB1514" s="10" t="n">
        <v>-8446</v>
      </c>
      <c r="AC1514" s="10" t="n">
        <v>-5949</v>
      </c>
      <c r="AD1514" s="7" t="n">
        <v>4410</v>
      </c>
      <c r="AE1514" s="8" t="n">
        <v>-5399</v>
      </c>
      <c r="AF1514" s="8" t="n">
        <v>-6014</v>
      </c>
      <c r="AG1514" s="9" t="n">
        <v>4904</v>
      </c>
      <c r="AH1514" s="10" t="n">
        <v>-5725</v>
      </c>
      <c r="AI1514" s="10" t="n">
        <v>-3526</v>
      </c>
      <c r="AJ1514" s="11" t="n">
        <v>6431</v>
      </c>
      <c r="AK1514" s="12" t="n">
        <v>-3064</v>
      </c>
      <c r="AL1514" s="12" t="n">
        <v>-2089</v>
      </c>
      <c r="AM1514" s="13" t="n">
        <v>31.1</v>
      </c>
      <c r="AN1514" s="13" t="n">
        <v>-79.2</v>
      </c>
      <c r="AO1514" s="13" t="n">
        <v>46.5</v>
      </c>
      <c r="AP1514" s="13" t="n">
        <v>5.1</v>
      </c>
    </row>
    <row r="1515">
      <c r="A1515" s="5" t="inlineStr">
        <is>
          <t>진매트릭스</t>
        </is>
      </c>
      <c r="B1515" s="6" t="inlineStr">
        <is>
          <t>109820</t>
        </is>
      </c>
      <c r="C1515" s="6" t="inlineStr">
        <is>
          <t>별도</t>
        </is>
      </c>
      <c r="D1515" s="6" t="inlineStr">
        <is>
          <t>2026Q2</t>
        </is>
      </c>
      <c r="E1515" s="6" t="inlineStr"/>
      <c r="F1515" s="7" t="inlineStr"/>
      <c r="G1515" s="8" t="inlineStr"/>
      <c r="H1515" s="8" t="inlineStr"/>
      <c r="I1515" s="9" t="n">
        <v>1806</v>
      </c>
      <c r="J1515" s="10" t="n">
        <v>-914</v>
      </c>
      <c r="K1515" s="10" t="n">
        <v>-1849</v>
      </c>
      <c r="L1515" s="7" t="n">
        <v>2956</v>
      </c>
      <c r="M1515" s="8" t="n">
        <v>-145</v>
      </c>
      <c r="N1515" s="8" t="n">
        <v>-1265</v>
      </c>
      <c r="O1515" s="9" t="n">
        <v>2632</v>
      </c>
      <c r="P1515" s="10" t="n">
        <v>-148</v>
      </c>
      <c r="Q1515" s="10" t="n">
        <v>-193</v>
      </c>
      <c r="R1515" s="7" t="n">
        <v>2625</v>
      </c>
      <c r="S1515" s="8" t="n">
        <v>-435</v>
      </c>
      <c r="T1515" s="8" t="n">
        <v>-441</v>
      </c>
      <c r="U1515" s="9" t="n">
        <v>2496</v>
      </c>
      <c r="V1515" s="10" t="n">
        <v>-288</v>
      </c>
      <c r="W1515" s="10" t="n">
        <v>-786</v>
      </c>
      <c r="X1515" s="7" t="n">
        <v>2694</v>
      </c>
      <c r="Y1515" s="8" t="n">
        <v>-91</v>
      </c>
      <c r="Z1515" s="8" t="n">
        <v>-391</v>
      </c>
      <c r="AA1515" s="9" t="n">
        <v>2588</v>
      </c>
      <c r="AB1515" s="10" t="n">
        <v>-109</v>
      </c>
      <c r="AC1515" s="10" t="n">
        <v>266</v>
      </c>
      <c r="AD1515" s="7" t="n">
        <v>2865</v>
      </c>
      <c r="AE1515" s="8" t="n">
        <v>-191</v>
      </c>
      <c r="AF1515" s="8" t="n">
        <v>-923</v>
      </c>
      <c r="AG1515" s="9" t="n">
        <v>2519</v>
      </c>
      <c r="AH1515" s="10" t="n">
        <v>-327</v>
      </c>
      <c r="AI1515" s="10" t="n">
        <v>-221</v>
      </c>
      <c r="AJ1515" s="11" t="n">
        <v>2911</v>
      </c>
      <c r="AK1515" s="12" t="n">
        <v>393</v>
      </c>
      <c r="AL1515" s="12" t="n">
        <v>689</v>
      </c>
      <c r="AM1515" s="13" t="n">
        <v>15.6</v>
      </c>
      <c r="AN1515" s="13" t="n">
        <v>8.1</v>
      </c>
      <c r="AO1515" s="13" t="n">
        <v>220.2</v>
      </c>
      <c r="AP1515" s="13" t="n">
        <v>531.9</v>
      </c>
    </row>
    <row r="1516">
      <c r="A1516" s="5" t="inlineStr">
        <is>
          <t>동일금속</t>
        </is>
      </c>
      <c r="B1516" s="6" t="inlineStr">
        <is>
          <t>109860</t>
        </is>
      </c>
      <c r="C1516" s="6" t="inlineStr">
        <is>
          <t>연결</t>
        </is>
      </c>
      <c r="D1516" s="6" t="inlineStr">
        <is>
          <t>2026Q2</t>
        </is>
      </c>
      <c r="E1516" s="6" t="inlineStr"/>
      <c r="F1516" s="7" t="inlineStr"/>
      <c r="G1516" s="8" t="inlineStr"/>
      <c r="H1516" s="8" t="inlineStr"/>
      <c r="I1516" s="9" t="n">
        <v>26755</v>
      </c>
      <c r="J1516" s="10" t="n">
        <v>1210</v>
      </c>
      <c r="K1516" s="10" t="n">
        <v>2564</v>
      </c>
      <c r="L1516" s="7" t="n">
        <v>24963</v>
      </c>
      <c r="M1516" s="8" t="n">
        <v>-351</v>
      </c>
      <c r="N1516" s="8" t="n">
        <v>2890</v>
      </c>
      <c r="O1516" s="9" t="n">
        <v>20579</v>
      </c>
      <c r="P1516" s="10" t="n">
        <v>101</v>
      </c>
      <c r="Q1516" s="10" t="n">
        <v>1571</v>
      </c>
      <c r="R1516" s="7" t="n">
        <v>13688</v>
      </c>
      <c r="S1516" s="8" t="n">
        <v>-342</v>
      </c>
      <c r="T1516" s="8" t="n">
        <v>222</v>
      </c>
      <c r="U1516" s="9" t="n">
        <v>21822</v>
      </c>
      <c r="V1516" s="10" t="n">
        <v>181</v>
      </c>
      <c r="W1516" s="10" t="n">
        <v>1800</v>
      </c>
      <c r="X1516" s="7" t="n">
        <v>24141</v>
      </c>
      <c r="Y1516" s="8" t="n">
        <v>1205</v>
      </c>
      <c r="Z1516" s="8" t="n">
        <v>2713</v>
      </c>
      <c r="AA1516" s="9" t="n">
        <v>22586</v>
      </c>
      <c r="AB1516" s="10" t="n">
        <v>-225</v>
      </c>
      <c r="AC1516" s="10" t="n">
        <v>441</v>
      </c>
      <c r="AD1516" s="7" t="n">
        <v>23158</v>
      </c>
      <c r="AE1516" s="8" t="n">
        <v>271</v>
      </c>
      <c r="AF1516" s="8" t="n">
        <v>94</v>
      </c>
      <c r="AG1516" s="9" t="n">
        <v>28574</v>
      </c>
      <c r="AH1516" s="10" t="n">
        <v>1546</v>
      </c>
      <c r="AI1516" s="10" t="n">
        <v>1382</v>
      </c>
      <c r="AJ1516" s="11" t="n">
        <v>30302</v>
      </c>
      <c r="AK1516" s="12" t="n">
        <v>2362</v>
      </c>
      <c r="AL1516" s="12" t="n">
        <v>2404</v>
      </c>
      <c r="AM1516" s="13" t="n">
        <v>6</v>
      </c>
      <c r="AN1516" s="13" t="n">
        <v>25.5</v>
      </c>
      <c r="AO1516" s="13" t="n">
        <v>52.8</v>
      </c>
      <c r="AP1516" s="13" t="n">
        <v>96</v>
      </c>
    </row>
    <row r="1517">
      <c r="A1517" s="5" t="inlineStr">
        <is>
          <t>앱토크롬</t>
        </is>
      </c>
      <c r="B1517" s="6" t="inlineStr">
        <is>
          <t>109960</t>
        </is>
      </c>
      <c r="C1517" s="6" t="inlineStr">
        <is>
          <t>연결</t>
        </is>
      </c>
      <c r="D1517" s="6" t="inlineStr">
        <is>
          <t>2026Q2</t>
        </is>
      </c>
      <c r="E1517" s="6" t="inlineStr"/>
      <c r="F1517" s="7" t="inlineStr"/>
      <c r="G1517" s="8" t="inlineStr"/>
      <c r="H1517" s="8" t="inlineStr"/>
      <c r="I1517" s="9" t="n">
        <v>3401</v>
      </c>
      <c r="J1517" s="10" t="n">
        <v>2</v>
      </c>
      <c r="K1517" s="10" t="n">
        <v>47398</v>
      </c>
      <c r="L1517" s="7" t="n">
        <v>4924</v>
      </c>
      <c r="M1517" s="8" t="n">
        <v>786</v>
      </c>
      <c r="N1517" s="8" t="n">
        <v>-27390</v>
      </c>
      <c r="O1517" s="9" t="n">
        <v>3300</v>
      </c>
      <c r="P1517" s="10" t="n">
        <v>73</v>
      </c>
      <c r="Q1517" s="10" t="n">
        <v>16603</v>
      </c>
      <c r="R1517" s="7" t="n">
        <v>4775</v>
      </c>
      <c r="S1517" s="8" t="n">
        <v>106</v>
      </c>
      <c r="T1517" s="8" t="n">
        <v>-64631</v>
      </c>
      <c r="U1517" s="9" t="n">
        <v>3342</v>
      </c>
      <c r="V1517" s="10" t="n">
        <v>194</v>
      </c>
      <c r="W1517" s="10" t="n">
        <v>-1203</v>
      </c>
      <c r="X1517" s="7" t="n">
        <v>1508</v>
      </c>
      <c r="Y1517" s="8" t="n">
        <v>-1565</v>
      </c>
      <c r="Z1517" s="8" t="n">
        <v>170</v>
      </c>
      <c r="AA1517" s="9" t="n">
        <v>2529</v>
      </c>
      <c r="AB1517" s="10" t="n">
        <v>-409</v>
      </c>
      <c r="AC1517" s="10" t="n">
        <v>-1231</v>
      </c>
      <c r="AD1517" s="7" t="n">
        <v>2428</v>
      </c>
      <c r="AE1517" s="8" t="n">
        <v>-506</v>
      </c>
      <c r="AF1517" s="8" t="n">
        <v>-3370</v>
      </c>
      <c r="AG1517" s="9" t="n">
        <v>2423</v>
      </c>
      <c r="AH1517" s="10" t="n">
        <v>-542</v>
      </c>
      <c r="AI1517" s="10" t="n">
        <v>-3222</v>
      </c>
      <c r="AJ1517" s="11" t="n">
        <v>3403</v>
      </c>
      <c r="AK1517" s="12" t="n">
        <v>81</v>
      </c>
      <c r="AL1517" s="12" t="n">
        <v>46086</v>
      </c>
      <c r="AM1517" s="13" t="n">
        <v>40.4</v>
      </c>
      <c r="AN1517" s="13" t="n">
        <v>125.7</v>
      </c>
      <c r="AO1517" s="13" t="n">
        <v>114.9</v>
      </c>
      <c r="AP1517" s="13" t="n">
        <v>105.2</v>
      </c>
    </row>
    <row r="1518">
      <c r="A1518" s="5" t="inlineStr">
        <is>
          <t>전진바이오팜</t>
        </is>
      </c>
      <c r="B1518" s="6" t="inlineStr">
        <is>
          <t>110020</t>
        </is>
      </c>
      <c r="C1518" s="6" t="inlineStr">
        <is>
          <t>별도</t>
        </is>
      </c>
      <c r="D1518" s="6" t="inlineStr">
        <is>
          <t>2026Q2</t>
        </is>
      </c>
      <c r="E1518" s="6" t="inlineStr"/>
      <c r="F1518" s="7" t="inlineStr"/>
      <c r="G1518" s="8" t="inlineStr"/>
      <c r="H1518" s="8" t="inlineStr"/>
      <c r="I1518" s="9" t="n">
        <v>4409</v>
      </c>
      <c r="J1518" s="10" t="n">
        <v>120</v>
      </c>
      <c r="K1518" s="10" t="n">
        <v>-282</v>
      </c>
      <c r="L1518" s="7" t="n">
        <v>5214</v>
      </c>
      <c r="M1518" s="8" t="n">
        <v>176</v>
      </c>
      <c r="N1518" s="8" t="n">
        <v>3394</v>
      </c>
      <c r="O1518" s="9" t="n">
        <v>5252</v>
      </c>
      <c r="P1518" s="10" t="n">
        <v>502</v>
      </c>
      <c r="Q1518" s="10" t="n">
        <v>569</v>
      </c>
      <c r="R1518" s="7" t="n">
        <v>4398</v>
      </c>
      <c r="S1518" s="8" t="n">
        <v>360</v>
      </c>
      <c r="T1518" s="8" t="n">
        <v>665</v>
      </c>
      <c r="U1518" s="9" t="n">
        <v>2158</v>
      </c>
      <c r="V1518" s="10" t="n">
        <v>-476</v>
      </c>
      <c r="W1518" s="10" t="n">
        <v>-383</v>
      </c>
      <c r="X1518" s="7" t="n">
        <v>3644</v>
      </c>
      <c r="Y1518" s="8" t="n">
        <v>86</v>
      </c>
      <c r="Z1518" s="8" t="n">
        <v>105</v>
      </c>
      <c r="AA1518" s="9" t="n">
        <v>4455</v>
      </c>
      <c r="AB1518" s="10" t="n">
        <v>326</v>
      </c>
      <c r="AC1518" s="10" t="n">
        <v>341</v>
      </c>
      <c r="AD1518" s="7" t="n">
        <v>3437</v>
      </c>
      <c r="AE1518" s="8" t="n">
        <v>-279</v>
      </c>
      <c r="AF1518" s="8" t="n">
        <v>-259</v>
      </c>
      <c r="AG1518" s="9" t="n">
        <v>2885</v>
      </c>
      <c r="AH1518" s="10" t="n">
        <v>-199</v>
      </c>
      <c r="AI1518" s="10" t="n">
        <v>-171</v>
      </c>
      <c r="AJ1518" s="11" t="n">
        <v>2937</v>
      </c>
      <c r="AK1518" s="12" t="n">
        <v>-261</v>
      </c>
      <c r="AL1518" s="12" t="n">
        <v>-219</v>
      </c>
      <c r="AM1518" s="13" t="n">
        <v>1.8</v>
      </c>
      <c r="AN1518" s="13" t="n">
        <v>-19.4</v>
      </c>
      <c r="AO1518" s="13" t="n">
        <v>-31.2</v>
      </c>
      <c r="AP1518" s="13" t="n">
        <v>-403.5</v>
      </c>
    </row>
    <row r="1519">
      <c r="A1519" s="5" t="inlineStr">
        <is>
          <t>크리스에프앤씨</t>
        </is>
      </c>
      <c r="B1519" s="6" t="inlineStr">
        <is>
          <t>110790</t>
        </is>
      </c>
      <c r="C1519" s="6" t="inlineStr">
        <is>
          <t>연결</t>
        </is>
      </c>
      <c r="D1519" s="6" t="inlineStr">
        <is>
          <t>2026Q2</t>
        </is>
      </c>
      <c r="E1519" s="6" t="inlineStr"/>
      <c r="F1519" s="7" t="inlineStr"/>
      <c r="G1519" s="8" t="inlineStr"/>
      <c r="H1519" s="8" t="inlineStr"/>
      <c r="I1519" s="9" t="n">
        <v>70055</v>
      </c>
      <c r="J1519" s="10" t="n">
        <v>616</v>
      </c>
      <c r="K1519" s="10" t="n">
        <v>-326</v>
      </c>
      <c r="L1519" s="7" t="n">
        <v>95372</v>
      </c>
      <c r="M1519" s="8" t="n">
        <v>7906</v>
      </c>
      <c r="N1519" s="8" t="n">
        <v>1488</v>
      </c>
      <c r="O1519" s="9" t="n">
        <v>67829</v>
      </c>
      <c r="P1519" s="10" t="n">
        <v>-44</v>
      </c>
      <c r="Q1519" s="10" t="n">
        <v>84</v>
      </c>
      <c r="R1519" s="7" t="n">
        <v>98024</v>
      </c>
      <c r="S1519" s="8" t="n">
        <v>3661</v>
      </c>
      <c r="T1519" s="8" t="n">
        <v>-26386</v>
      </c>
      <c r="U1519" s="9" t="n">
        <v>122209</v>
      </c>
      <c r="V1519" s="10" t="n">
        <v>-1376</v>
      </c>
      <c r="W1519" s="10" t="n">
        <v>15141</v>
      </c>
      <c r="X1519" s="7" t="n">
        <v>146860</v>
      </c>
      <c r="Y1519" s="8" t="n">
        <v>1604</v>
      </c>
      <c r="Z1519" s="8" t="n">
        <v>-1985</v>
      </c>
      <c r="AA1519" s="9" t="n">
        <v>117239</v>
      </c>
      <c r="AB1519" s="10" t="n">
        <v>-3658</v>
      </c>
      <c r="AC1519" s="10" t="n">
        <v>-653</v>
      </c>
      <c r="AD1519" s="7" t="n">
        <v>-74363</v>
      </c>
      <c r="AE1519" s="8" t="n">
        <v>-1297</v>
      </c>
      <c r="AF1519" s="8" t="n">
        <v>-17130</v>
      </c>
      <c r="AG1519" s="9" t="n">
        <v>63151</v>
      </c>
      <c r="AH1519" s="10" t="n">
        <v>-6721</v>
      </c>
      <c r="AI1519" s="10" t="n">
        <v>-11466</v>
      </c>
      <c r="AJ1519" s="11" t="n">
        <v>89809</v>
      </c>
      <c r="AK1519" s="12" t="n">
        <v>10880</v>
      </c>
      <c r="AL1519" s="12" t="n">
        <v>7041</v>
      </c>
      <c r="AM1519" s="13" t="n">
        <v>42.2</v>
      </c>
      <c r="AN1519" s="13" t="n">
        <v>-38.8</v>
      </c>
      <c r="AO1519" s="13" t="n">
        <v>261.9</v>
      </c>
      <c r="AP1519" s="13" t="n">
        <v>578.3</v>
      </c>
    </row>
    <row r="1520">
      <c r="A1520" s="5" t="inlineStr">
        <is>
          <t>디아이티</t>
        </is>
      </c>
      <c r="B1520" s="6" t="inlineStr">
        <is>
          <t>110990</t>
        </is>
      </c>
      <c r="C1520" s="6" t="inlineStr">
        <is>
          <t>연결</t>
        </is>
      </c>
      <c r="D1520" s="6" t="inlineStr">
        <is>
          <t>2026Q2</t>
        </is>
      </c>
      <c r="E1520" s="6" t="inlineStr"/>
      <c r="F1520" s="7" t="inlineStr"/>
      <c r="G1520" s="8" t="inlineStr"/>
      <c r="H1520" s="8" t="inlineStr"/>
      <c r="I1520" s="9" t="n">
        <v>20190</v>
      </c>
      <c r="J1520" s="10" t="n">
        <v>3347</v>
      </c>
      <c r="K1520" s="10" t="n">
        <v>4724</v>
      </c>
      <c r="L1520" s="7" t="n">
        <v>30739</v>
      </c>
      <c r="M1520" s="8" t="n">
        <v>6855</v>
      </c>
      <c r="N1520" s="8" t="n">
        <v>7715</v>
      </c>
      <c r="O1520" s="9" t="n">
        <v>16488</v>
      </c>
      <c r="P1520" s="10" t="n">
        <v>3188</v>
      </c>
      <c r="Q1520" s="10" t="n">
        <v>4009</v>
      </c>
      <c r="R1520" s="7" t="n">
        <v>49238</v>
      </c>
      <c r="S1520" s="8" t="n">
        <v>10699</v>
      </c>
      <c r="T1520" s="8" t="n">
        <v>12482</v>
      </c>
      <c r="U1520" s="9" t="n">
        <v>21644</v>
      </c>
      <c r="V1520" s="10" t="n">
        <v>5276</v>
      </c>
      <c r="W1520" s="10" t="n">
        <v>6046</v>
      </c>
      <c r="X1520" s="7" t="n">
        <v>29073</v>
      </c>
      <c r="Y1520" s="8" t="n">
        <v>8496</v>
      </c>
      <c r="Z1520" s="8" t="n">
        <v>8562</v>
      </c>
      <c r="AA1520" s="9" t="n">
        <v>30409</v>
      </c>
      <c r="AB1520" s="10" t="n">
        <v>8576</v>
      </c>
      <c r="AC1520" s="10" t="n">
        <v>8969</v>
      </c>
      <c r="AD1520" s="7" t="n">
        <v>26784</v>
      </c>
      <c r="AE1520" s="8" t="n">
        <v>714</v>
      </c>
      <c r="AF1520" s="8" t="n">
        <v>6799</v>
      </c>
      <c r="AG1520" s="9" t="n">
        <v>48460</v>
      </c>
      <c r="AH1520" s="10" t="n">
        <v>16438</v>
      </c>
      <c r="AI1520" s="10" t="n">
        <v>14726</v>
      </c>
      <c r="AJ1520" s="11" t="n">
        <v>41601</v>
      </c>
      <c r="AK1520" s="12" t="n">
        <v>14097</v>
      </c>
      <c r="AL1520" s="12" t="n">
        <v>13678</v>
      </c>
      <c r="AM1520" s="13" t="n">
        <v>-14.2</v>
      </c>
      <c r="AN1520" s="13" t="n">
        <v>43.1</v>
      </c>
      <c r="AO1520" s="13" t="n">
        <v>-14.2</v>
      </c>
      <c r="AP1520" s="13" t="n">
        <v>65.90000000000001</v>
      </c>
    </row>
    <row r="1521">
      <c r="A1521" s="5" t="inlineStr">
        <is>
          <t>호전실업</t>
        </is>
      </c>
      <c r="B1521" s="6" t="inlineStr">
        <is>
          <t>111110</t>
        </is>
      </c>
      <c r="C1521" s="6" t="inlineStr">
        <is>
          <t>연결</t>
        </is>
      </c>
      <c r="D1521" s="6" t="inlineStr">
        <is>
          <t>2026Q2</t>
        </is>
      </c>
      <c r="E1521" s="6" t="inlineStr"/>
      <c r="F1521" s="7" t="inlineStr"/>
      <c r="G1521" s="8" t="inlineStr"/>
      <c r="H1521" s="8" t="inlineStr"/>
      <c r="I1521" s="9" t="n">
        <v>80450</v>
      </c>
      <c r="J1521" s="10" t="n">
        <v>-1886</v>
      </c>
      <c r="K1521" s="10" t="n">
        <v>-1220</v>
      </c>
      <c r="L1521" s="7" t="n">
        <v>99230</v>
      </c>
      <c r="M1521" s="8" t="n">
        <v>4458</v>
      </c>
      <c r="N1521" s="8" t="n">
        <v>2807</v>
      </c>
      <c r="O1521" s="9" t="n">
        <v>173581</v>
      </c>
      <c r="P1521" s="10" t="n">
        <v>19388</v>
      </c>
      <c r="Q1521" s="10" t="n">
        <v>10049</v>
      </c>
      <c r="R1521" s="7" t="n">
        <v>110712</v>
      </c>
      <c r="S1521" s="8" t="n">
        <v>7560</v>
      </c>
      <c r="T1521" s="8" t="n">
        <v>11532</v>
      </c>
      <c r="U1521" s="9" t="n">
        <v>104759</v>
      </c>
      <c r="V1521" s="10" t="n">
        <v>4400</v>
      </c>
      <c r="W1521" s="10" t="n">
        <v>968</v>
      </c>
      <c r="X1521" s="7" t="n">
        <v>114839</v>
      </c>
      <c r="Y1521" s="8" t="n">
        <v>241</v>
      </c>
      <c r="Z1521" s="8" t="n">
        <v>-7542</v>
      </c>
      <c r="AA1521" s="9" t="n">
        <v>163499</v>
      </c>
      <c r="AB1521" s="10" t="n">
        <v>14369</v>
      </c>
      <c r="AC1521" s="10" t="n">
        <v>11517</v>
      </c>
      <c r="AD1521" s="7" t="n">
        <v>137781</v>
      </c>
      <c r="AE1521" s="8" t="n">
        <v>6012</v>
      </c>
      <c r="AF1521" s="8" t="n">
        <v>6353</v>
      </c>
      <c r="AG1521" s="9" t="n">
        <v>89201</v>
      </c>
      <c r="AH1521" s="10" t="n">
        <v>-1434</v>
      </c>
      <c r="AI1521" s="10" t="n">
        <v>585</v>
      </c>
      <c r="AJ1521" s="11" t="n">
        <v>110982</v>
      </c>
      <c r="AK1521" s="12" t="n">
        <v>4354</v>
      </c>
      <c r="AL1521" s="12" t="n">
        <v>303</v>
      </c>
      <c r="AM1521" s="13" t="n">
        <v>24.4</v>
      </c>
      <c r="AN1521" s="13" t="n">
        <v>-3.4</v>
      </c>
      <c r="AO1521" s="13" t="n">
        <v>403.6</v>
      </c>
      <c r="AP1521" s="13" t="n">
        <v>1706.6</v>
      </c>
    </row>
    <row r="1522">
      <c r="A1522" s="5" t="inlineStr">
        <is>
          <t>동인기연</t>
        </is>
      </c>
      <c r="B1522" s="6" t="inlineStr">
        <is>
          <t>111380</t>
        </is>
      </c>
      <c r="C1522" s="6" t="inlineStr">
        <is>
          <t>연결</t>
        </is>
      </c>
      <c r="D1522" s="6" t="inlineStr">
        <is>
          <t>2026Q2</t>
        </is>
      </c>
      <c r="E1522" s="6" t="inlineStr"/>
      <c r="F1522" s="7" t="inlineStr"/>
      <c r="G1522" s="8" t="inlineStr"/>
      <c r="H1522" s="8" t="inlineStr"/>
      <c r="I1522" s="9" t="n">
        <v>47310</v>
      </c>
      <c r="J1522" s="10" t="n">
        <v>5226</v>
      </c>
      <c r="K1522" s="10" t="n">
        <v>4384</v>
      </c>
      <c r="L1522" s="7" t="n">
        <v>56158</v>
      </c>
      <c r="M1522" s="8" t="n">
        <v>6156</v>
      </c>
      <c r="N1522" s="8" t="n">
        <v>5507</v>
      </c>
      <c r="O1522" s="9" t="n">
        <v>53995</v>
      </c>
      <c r="P1522" s="10" t="n">
        <v>3317</v>
      </c>
      <c r="Q1522" s="10" t="n">
        <v>-1902</v>
      </c>
      <c r="R1522" s="7" t="n">
        <v>69228</v>
      </c>
      <c r="S1522" s="8" t="n">
        <v>6420</v>
      </c>
      <c r="T1522" s="8" t="n">
        <v>8990</v>
      </c>
      <c r="U1522" s="9" t="n">
        <v>57622</v>
      </c>
      <c r="V1522" s="10" t="n">
        <v>4197</v>
      </c>
      <c r="W1522" s="10" t="n">
        <v>1236</v>
      </c>
      <c r="X1522" s="7" t="n">
        <v>62110</v>
      </c>
      <c r="Y1522" s="8" t="n">
        <v>4842</v>
      </c>
      <c r="Z1522" s="8" t="n">
        <v>-906</v>
      </c>
      <c r="AA1522" s="9" t="n">
        <v>54677</v>
      </c>
      <c r="AB1522" s="10" t="n">
        <v>5042</v>
      </c>
      <c r="AC1522" s="10" t="n">
        <v>4023</v>
      </c>
      <c r="AD1522" s="7" t="n">
        <v>69736</v>
      </c>
      <c r="AE1522" s="8" t="n">
        <v>8510</v>
      </c>
      <c r="AF1522" s="8" t="n">
        <v>6661</v>
      </c>
      <c r="AG1522" s="9" t="n">
        <v>61998</v>
      </c>
      <c r="AH1522" s="10" t="n">
        <v>6469</v>
      </c>
      <c r="AI1522" s="10" t="n">
        <v>6067</v>
      </c>
      <c r="AJ1522" s="11" t="n">
        <v>71295</v>
      </c>
      <c r="AK1522" s="12" t="n">
        <v>9028</v>
      </c>
      <c r="AL1522" s="12" t="n">
        <v>8447</v>
      </c>
      <c r="AM1522" s="13" t="n">
        <v>15</v>
      </c>
      <c r="AN1522" s="13" t="n">
        <v>14.8</v>
      </c>
      <c r="AO1522" s="13" t="n">
        <v>39.6</v>
      </c>
      <c r="AP1522" s="13" t="n">
        <v>86.5</v>
      </c>
    </row>
    <row r="1523">
      <c r="A1523" s="5" t="inlineStr">
        <is>
          <t>남화산업</t>
        </is>
      </c>
      <c r="B1523" s="6" t="inlineStr">
        <is>
          <t>111710</t>
        </is>
      </c>
      <c r="C1523" s="6" t="inlineStr">
        <is>
          <t>별도</t>
        </is>
      </c>
      <c r="D1523" s="6" t="inlineStr">
        <is>
          <t>2026Q2</t>
        </is>
      </c>
      <c r="E1523" s="6" t="inlineStr"/>
      <c r="F1523" s="7" t="inlineStr"/>
      <c r="G1523" s="8" t="inlineStr"/>
      <c r="H1523" s="8" t="inlineStr"/>
      <c r="I1523" s="9" t="n">
        <v>3057</v>
      </c>
      <c r="J1523" s="10" t="n">
        <v>430</v>
      </c>
      <c r="K1523" s="10" t="n">
        <v>1076</v>
      </c>
      <c r="L1523" s="7" t="n">
        <v>7468</v>
      </c>
      <c r="M1523" s="8" t="n">
        <v>3203</v>
      </c>
      <c r="N1523" s="8" t="n">
        <v>4336</v>
      </c>
      <c r="O1523" s="9" t="n">
        <v>4138</v>
      </c>
      <c r="P1523" s="10" t="n">
        <v>1328</v>
      </c>
      <c r="Q1523" s="10" t="n">
        <v>2015</v>
      </c>
      <c r="R1523" s="7" t="n">
        <v>6040</v>
      </c>
      <c r="S1523" s="8" t="n">
        <v>3050</v>
      </c>
      <c r="T1523" s="8" t="n">
        <v>3506</v>
      </c>
      <c r="U1523" s="9" t="n">
        <v>2176</v>
      </c>
      <c r="V1523" s="10" t="n">
        <v>-315</v>
      </c>
      <c r="W1523" s="10" t="n">
        <v>-254</v>
      </c>
      <c r="X1523" s="7" t="n">
        <v>6257</v>
      </c>
      <c r="Y1523" s="8" t="n">
        <v>2101</v>
      </c>
      <c r="Z1523" s="8" t="n">
        <v>3058</v>
      </c>
      <c r="AA1523" s="9" t="n">
        <v>2786</v>
      </c>
      <c r="AB1523" s="10" t="n">
        <v>26</v>
      </c>
      <c r="AC1523" s="10" t="n">
        <v>975</v>
      </c>
      <c r="AD1523" s="7" t="n">
        <v>5552</v>
      </c>
      <c r="AE1523" s="8" t="n">
        <v>2282</v>
      </c>
      <c r="AF1523" s="8" t="n">
        <v>2893</v>
      </c>
      <c r="AG1523" s="9" t="n">
        <v>1988</v>
      </c>
      <c r="AH1523" s="10" t="n">
        <v>-459</v>
      </c>
      <c r="AI1523" s="10" t="n">
        <v>-178</v>
      </c>
      <c r="AJ1523" s="11" t="n">
        <v>5493</v>
      </c>
      <c r="AK1523" s="12" t="n">
        <v>1093</v>
      </c>
      <c r="AL1523" s="12" t="n">
        <v>2938</v>
      </c>
      <c r="AM1523" s="13" t="n">
        <v>176.3</v>
      </c>
      <c r="AN1523" s="13" t="n">
        <v>-12.2</v>
      </c>
      <c r="AO1523" s="13" t="n">
        <v>338.1</v>
      </c>
      <c r="AP1523" s="13" t="n">
        <v>-48</v>
      </c>
    </row>
    <row r="1524">
      <c r="A1524" s="5" t="inlineStr">
        <is>
          <t>영원무역</t>
        </is>
      </c>
      <c r="B1524" s="6" t="inlineStr">
        <is>
          <t>111770</t>
        </is>
      </c>
      <c r="C1524" s="6" t="inlineStr">
        <is>
          <t>연결</t>
        </is>
      </c>
      <c r="D1524" s="6" t="inlineStr">
        <is>
          <t>2026Q2</t>
        </is>
      </c>
      <c r="E1524" s="6" t="inlineStr"/>
      <c r="F1524" s="7" t="inlineStr"/>
      <c r="G1524" s="8" t="inlineStr"/>
      <c r="H1524" s="8" t="inlineStr"/>
      <c r="I1524" s="9" t="n">
        <v>709724</v>
      </c>
      <c r="J1524" s="10" t="n">
        <v>71043</v>
      </c>
      <c r="K1524" s="10" t="n">
        <v>79243</v>
      </c>
      <c r="L1524" s="7" t="n">
        <v>892687</v>
      </c>
      <c r="M1524" s="8" t="n">
        <v>166452</v>
      </c>
      <c r="N1524" s="8" t="n">
        <v>164292</v>
      </c>
      <c r="O1524" s="9" t="n">
        <v>1068494</v>
      </c>
      <c r="P1524" s="10" t="n">
        <v>104513</v>
      </c>
      <c r="Q1524" s="10" t="n">
        <v>48867</v>
      </c>
      <c r="R1524" s="7" t="n">
        <v>846932</v>
      </c>
      <c r="S1524" s="8" t="n">
        <v>-26427</v>
      </c>
      <c r="T1524" s="8" t="n">
        <v>2134</v>
      </c>
      <c r="U1524" s="9" t="n">
        <v>811348</v>
      </c>
      <c r="V1524" s="10" t="n">
        <v>82322</v>
      </c>
      <c r="W1524" s="10" t="n">
        <v>70226</v>
      </c>
      <c r="X1524" s="7" t="n">
        <v>1038209</v>
      </c>
      <c r="Y1524" s="8" t="n">
        <v>145720</v>
      </c>
      <c r="Z1524" s="8" t="n">
        <v>100118</v>
      </c>
      <c r="AA1524" s="9" t="n">
        <v>1204735</v>
      </c>
      <c r="AB1524" s="10" t="n">
        <v>181185</v>
      </c>
      <c r="AC1524" s="10" t="n">
        <v>153048</v>
      </c>
      <c r="AD1524" s="7" t="n">
        <v>1009292</v>
      </c>
      <c r="AE1524" s="8" t="n">
        <v>105212</v>
      </c>
      <c r="AF1524" s="8" t="n">
        <v>102859</v>
      </c>
      <c r="AG1524" s="9" t="n">
        <v>895795</v>
      </c>
      <c r="AH1524" s="10" t="n">
        <v>120403</v>
      </c>
      <c r="AI1524" s="10" t="n">
        <v>149716</v>
      </c>
      <c r="AJ1524" s="11" t="n">
        <v>1231732</v>
      </c>
      <c r="AK1524" s="12" t="n">
        <v>175571</v>
      </c>
      <c r="AL1524" s="12" t="n">
        <v>155284</v>
      </c>
      <c r="AM1524" s="13" t="n">
        <v>37.5</v>
      </c>
      <c r="AN1524" s="13" t="n">
        <v>18.6</v>
      </c>
      <c r="AO1524" s="13" t="n">
        <v>45.8</v>
      </c>
      <c r="AP1524" s="13" t="n">
        <v>20.5</v>
      </c>
    </row>
    <row r="1525">
      <c r="A1525" s="5" t="inlineStr">
        <is>
          <t>위메이드</t>
        </is>
      </c>
      <c r="B1525" s="6" t="inlineStr">
        <is>
          <t>112040</t>
        </is>
      </c>
      <c r="C1525" s="6" t="inlineStr">
        <is>
          <t>연결</t>
        </is>
      </c>
      <c r="D1525" s="6" t="inlineStr">
        <is>
          <t>2026Q2</t>
        </is>
      </c>
      <c r="E1525" s="6" t="inlineStr">
        <is>
          <t>2023Q4</t>
        </is>
      </c>
      <c r="F1525" s="14" t="n">
        <v>118445</v>
      </c>
      <c r="G1525" s="15" t="n">
        <v>-70808</v>
      </c>
      <c r="H1525" s="15" t="n">
        <v>-189555</v>
      </c>
      <c r="I1525" s="9" t="n">
        <v>161299</v>
      </c>
      <c r="J1525" s="10" t="n">
        <v>-37625</v>
      </c>
      <c r="K1525" s="10" t="n">
        <v>-58977</v>
      </c>
      <c r="L1525" s="7" t="n">
        <v>171390</v>
      </c>
      <c r="M1525" s="8" t="n">
        <v>-24140</v>
      </c>
      <c r="N1525" s="8" t="n">
        <v>443</v>
      </c>
      <c r="O1525" s="9" t="n">
        <v>214361</v>
      </c>
      <c r="P1525" s="10" t="n">
        <v>51788</v>
      </c>
      <c r="Q1525" s="10" t="n">
        <v>35886</v>
      </c>
      <c r="R1525" s="7" t="n">
        <v>164821</v>
      </c>
      <c r="S1525" s="8" t="n">
        <v>17039</v>
      </c>
      <c r="T1525" s="8" t="n">
        <v>204273</v>
      </c>
      <c r="U1525" s="9" t="n">
        <v>141833</v>
      </c>
      <c r="V1525" s="10" t="n">
        <v>-11337</v>
      </c>
      <c r="W1525" s="10" t="n">
        <v>-20621</v>
      </c>
      <c r="X1525" s="7" t="n">
        <v>116820</v>
      </c>
      <c r="Y1525" s="8" t="n">
        <v>-28548</v>
      </c>
      <c r="Z1525" s="8" t="n">
        <v>-28314</v>
      </c>
      <c r="AA1525" s="9" t="n">
        <v>163648</v>
      </c>
      <c r="AB1525" s="10" t="n">
        <v>26308</v>
      </c>
      <c r="AC1525" s="10" t="n">
        <v>57360</v>
      </c>
      <c r="AD1525" s="7" t="n">
        <v>191739</v>
      </c>
      <c r="AE1525" s="8" t="n">
        <v>24255</v>
      </c>
      <c r="AF1525" s="8" t="n">
        <v>-35465</v>
      </c>
      <c r="AG1525" s="9" t="n">
        <v>153324</v>
      </c>
      <c r="AH1525" s="10" t="n">
        <v>8488</v>
      </c>
      <c r="AI1525" s="10" t="n">
        <v>19928</v>
      </c>
      <c r="AJ1525" s="11" t="n">
        <v>108274</v>
      </c>
      <c r="AK1525" s="12" t="n">
        <v>-20962</v>
      </c>
      <c r="AL1525" s="12" t="n">
        <v>3457</v>
      </c>
      <c r="AM1525" s="13" t="n">
        <v>-29.4</v>
      </c>
      <c r="AN1525" s="13" t="n">
        <v>-7.3</v>
      </c>
      <c r="AO1525" s="13" t="n">
        <v>-347</v>
      </c>
      <c r="AP1525" s="13" t="n">
        <v>26.6</v>
      </c>
    </row>
    <row r="1526">
      <c r="A1526" s="5" t="inlineStr">
        <is>
          <t>와이씨켐</t>
        </is>
      </c>
      <c r="B1526" s="6" t="inlineStr">
        <is>
          <t>112290</t>
        </is>
      </c>
      <c r="C1526" s="6" t="inlineStr">
        <is>
          <t>별도</t>
        </is>
      </c>
      <c r="D1526" s="6" t="inlineStr">
        <is>
          <t>2026Q2</t>
        </is>
      </c>
      <c r="E1526" s="6" t="inlineStr"/>
      <c r="F1526" s="7" t="inlineStr"/>
      <c r="G1526" s="8" t="inlineStr"/>
      <c r="H1526" s="8" t="inlineStr"/>
      <c r="I1526" s="9" t="n">
        <v>15896</v>
      </c>
      <c r="J1526" s="10" t="n">
        <v>-2609</v>
      </c>
      <c r="K1526" s="10" t="n">
        <v>-2861</v>
      </c>
      <c r="L1526" s="7" t="n">
        <v>17604</v>
      </c>
      <c r="M1526" s="8" t="n">
        <v>-2094</v>
      </c>
      <c r="N1526" s="8" t="n">
        <v>-1812</v>
      </c>
      <c r="O1526" s="9" t="n">
        <v>18507</v>
      </c>
      <c r="P1526" s="10" t="n">
        <v>-1983</v>
      </c>
      <c r="Q1526" s="10" t="n">
        <v>-5691</v>
      </c>
      <c r="R1526" s="7" t="n">
        <v>18296</v>
      </c>
      <c r="S1526" s="8" t="n">
        <v>-1476</v>
      </c>
      <c r="T1526" s="8" t="n">
        <v>-5625</v>
      </c>
      <c r="U1526" s="9" t="n">
        <v>18937</v>
      </c>
      <c r="V1526" s="10" t="n">
        <v>-1283</v>
      </c>
      <c r="W1526" s="10" t="n">
        <v>-1806</v>
      </c>
      <c r="X1526" s="7" t="n">
        <v>18927</v>
      </c>
      <c r="Y1526" s="8" t="n">
        <v>-1075</v>
      </c>
      <c r="Z1526" s="8" t="n">
        <v>3302</v>
      </c>
      <c r="AA1526" s="9" t="n">
        <v>20978</v>
      </c>
      <c r="AB1526" s="10" t="n">
        <v>-569</v>
      </c>
      <c r="AC1526" s="10" t="n">
        <v>-1029</v>
      </c>
      <c r="AD1526" s="7" t="n">
        <v>24247</v>
      </c>
      <c r="AE1526" s="8" t="n">
        <v>1161</v>
      </c>
      <c r="AF1526" s="8" t="n">
        <v>4161</v>
      </c>
      <c r="AG1526" s="9" t="n">
        <v>26029</v>
      </c>
      <c r="AH1526" s="10" t="n">
        <v>1597</v>
      </c>
      <c r="AI1526" s="10" t="n">
        <v>542</v>
      </c>
      <c r="AJ1526" s="11" t="n">
        <v>27065</v>
      </c>
      <c r="AK1526" s="12" t="n">
        <v>2121</v>
      </c>
      <c r="AL1526" s="12" t="n">
        <v>-466</v>
      </c>
      <c r="AM1526" s="13" t="n">
        <v>4</v>
      </c>
      <c r="AN1526" s="13" t="n">
        <v>43</v>
      </c>
      <c r="AO1526" s="13" t="n">
        <v>32.8</v>
      </c>
      <c r="AP1526" s="13" t="n">
        <v>297.3</v>
      </c>
    </row>
    <row r="1527">
      <c r="A1527" s="5" t="inlineStr">
        <is>
          <t>씨에스윈드</t>
        </is>
      </c>
      <c r="B1527" s="6" t="inlineStr">
        <is>
          <t>112610</t>
        </is>
      </c>
      <c r="C1527" s="6" t="inlineStr">
        <is>
          <t>연결</t>
        </is>
      </c>
      <c r="D1527" s="6" t="inlineStr">
        <is>
          <t>2026Q2</t>
        </is>
      </c>
      <c r="E1527" s="6" t="inlineStr"/>
      <c r="F1527" s="7" t="inlineStr"/>
      <c r="G1527" s="8" t="inlineStr"/>
      <c r="H1527" s="8" t="inlineStr"/>
      <c r="I1527" s="9" t="n">
        <v>736699</v>
      </c>
      <c r="J1527" s="10" t="n">
        <v>-9451</v>
      </c>
      <c r="K1527" s="10" t="n">
        <v>-40028</v>
      </c>
      <c r="L1527" s="7" t="n">
        <v>857831</v>
      </c>
      <c r="M1527" s="8" t="n">
        <v>128971</v>
      </c>
      <c r="N1527" s="8" t="n">
        <v>108214</v>
      </c>
      <c r="O1527" s="9" t="n">
        <v>805473</v>
      </c>
      <c r="P1527" s="10" t="n">
        <v>109646</v>
      </c>
      <c r="Q1527" s="10" t="n">
        <v>73463</v>
      </c>
      <c r="R1527" s="7" t="n">
        <v>672526</v>
      </c>
      <c r="S1527" s="8" t="n">
        <v>26316</v>
      </c>
      <c r="T1527" s="8" t="n">
        <v>2019</v>
      </c>
      <c r="U1527" s="9" t="n">
        <v>901887</v>
      </c>
      <c r="V1527" s="10" t="n">
        <v>125208</v>
      </c>
      <c r="W1527" s="10" t="n">
        <v>95446</v>
      </c>
      <c r="X1527" s="7" t="n">
        <v>650003</v>
      </c>
      <c r="Y1527" s="8" t="n">
        <v>59265</v>
      </c>
      <c r="Z1527" s="8" t="n">
        <v>38919</v>
      </c>
      <c r="AA1527" s="9" t="n">
        <v>597021</v>
      </c>
      <c r="AB1527" s="10" t="n">
        <v>65690</v>
      </c>
      <c r="AC1527" s="10" t="n">
        <v>57934</v>
      </c>
      <c r="AD1527" s="7" t="n">
        <v>782738</v>
      </c>
      <c r="AE1527" s="8" t="n">
        <v>70160</v>
      </c>
      <c r="AF1527" s="8" t="n">
        <v>-152166</v>
      </c>
      <c r="AG1527" s="9" t="n">
        <v>711127</v>
      </c>
      <c r="AH1527" s="10" t="n">
        <v>74289</v>
      </c>
      <c r="AI1527" s="10" t="n">
        <v>43857</v>
      </c>
      <c r="AJ1527" s="11" t="n">
        <v>686396</v>
      </c>
      <c r="AK1527" s="12" t="n">
        <v>86031</v>
      </c>
      <c r="AL1527" s="12" t="n">
        <v>61062</v>
      </c>
      <c r="AM1527" s="13" t="n">
        <v>-3.5</v>
      </c>
      <c r="AN1527" s="13" t="n">
        <v>5.6</v>
      </c>
      <c r="AO1527" s="13" t="n">
        <v>15.8</v>
      </c>
      <c r="AP1527" s="13" t="n">
        <v>45.2</v>
      </c>
    </row>
    <row r="1528">
      <c r="A1528" s="5" t="inlineStr">
        <is>
          <t>디젠스</t>
        </is>
      </c>
      <c r="B1528" s="6" t="inlineStr">
        <is>
          <t>113810</t>
        </is>
      </c>
      <c r="C1528" s="6" t="inlineStr">
        <is>
          <t>연결</t>
        </is>
      </c>
      <c r="D1528" s="6" t="inlineStr">
        <is>
          <t>2026Q2</t>
        </is>
      </c>
      <c r="E1528" s="6" t="inlineStr"/>
      <c r="F1528" s="7" t="inlineStr"/>
      <c r="G1528" s="8" t="inlineStr"/>
      <c r="H1528" s="8" t="inlineStr"/>
      <c r="I1528" s="9" t="n">
        <v>20440</v>
      </c>
      <c r="J1528" s="10" t="n">
        <v>1665</v>
      </c>
      <c r="K1528" s="10" t="n">
        <v>1673</v>
      </c>
      <c r="L1528" s="7" t="n">
        <v>22740</v>
      </c>
      <c r="M1528" s="8" t="n">
        <v>1621</v>
      </c>
      <c r="N1528" s="8" t="n">
        <v>1788</v>
      </c>
      <c r="O1528" s="9" t="n">
        <v>17614</v>
      </c>
      <c r="P1528" s="10" t="n">
        <v>257</v>
      </c>
      <c r="Q1528" s="10" t="n">
        <v>-575</v>
      </c>
      <c r="R1528" s="7" t="n">
        <v>28745</v>
      </c>
      <c r="S1528" s="8" t="n">
        <v>1978</v>
      </c>
      <c r="T1528" s="8" t="n">
        <v>1601</v>
      </c>
      <c r="U1528" s="9" t="n">
        <v>20576</v>
      </c>
      <c r="V1528" s="10" t="n">
        <v>1487</v>
      </c>
      <c r="W1528" s="10" t="n">
        <v>1493</v>
      </c>
      <c r="X1528" s="7" t="n">
        <v>22816</v>
      </c>
      <c r="Y1528" s="8" t="n">
        <v>774</v>
      </c>
      <c r="Z1528" s="8" t="n">
        <v>572</v>
      </c>
      <c r="AA1528" s="9" t="n">
        <v>15386</v>
      </c>
      <c r="AB1528" s="10" t="n">
        <v>-285</v>
      </c>
      <c r="AC1528" s="10" t="n">
        <v>-127</v>
      </c>
      <c r="AD1528" s="7" t="n">
        <v>21579</v>
      </c>
      <c r="AE1528" s="8" t="n">
        <v>-1013</v>
      </c>
      <c r="AF1528" s="8" t="n">
        <v>-1193</v>
      </c>
      <c r="AG1528" s="9" t="n">
        <v>22376</v>
      </c>
      <c r="AH1528" s="10" t="n">
        <v>1201</v>
      </c>
      <c r="AI1528" s="10" t="n">
        <v>1448</v>
      </c>
      <c r="AJ1528" s="11" t="n">
        <v>23499</v>
      </c>
      <c r="AK1528" s="12" t="n">
        <v>2220</v>
      </c>
      <c r="AL1528" s="12" t="n">
        <v>2122</v>
      </c>
      <c r="AM1528" s="13" t="n">
        <v>5</v>
      </c>
      <c r="AN1528" s="13" t="n">
        <v>3</v>
      </c>
      <c r="AO1528" s="13" t="n">
        <v>84.8</v>
      </c>
      <c r="AP1528" s="13" t="n">
        <v>186.8</v>
      </c>
    </row>
    <row r="1529">
      <c r="A1529" s="5" t="inlineStr">
        <is>
          <t>GKL</t>
        </is>
      </c>
      <c r="B1529" s="6" t="inlineStr">
        <is>
          <t>114090</t>
        </is>
      </c>
      <c r="C1529" s="6" t="inlineStr">
        <is>
          <t>연결</t>
        </is>
      </c>
      <c r="D1529" s="6" t="inlineStr">
        <is>
          <t>2026Q2</t>
        </is>
      </c>
      <c r="E1529" s="6" t="inlineStr">
        <is>
          <t>2023Q4</t>
        </is>
      </c>
      <c r="F1529" s="14" t="n">
        <v>90704</v>
      </c>
      <c r="G1529" s="15" t="n">
        <v>-943</v>
      </c>
      <c r="H1529" s="15" t="n">
        <v>1707</v>
      </c>
      <c r="I1529" s="9" t="n">
        <v>97942</v>
      </c>
      <c r="J1529" s="10" t="n">
        <v>13850</v>
      </c>
      <c r="K1529" s="10" t="n">
        <v>10201</v>
      </c>
      <c r="L1529" s="7" t="n">
        <v>98829</v>
      </c>
      <c r="M1529" s="8" t="n">
        <v>13209</v>
      </c>
      <c r="N1529" s="8" t="n">
        <v>11326</v>
      </c>
      <c r="O1529" s="9" t="n">
        <v>93768</v>
      </c>
      <c r="P1529" s="10" t="n">
        <v>5795</v>
      </c>
      <c r="Q1529" s="10" t="n">
        <v>6044</v>
      </c>
      <c r="R1529" s="7" t="n">
        <v>105851</v>
      </c>
      <c r="S1529" s="8" t="n">
        <v>5471</v>
      </c>
      <c r="T1529" s="8" t="n">
        <v>5489</v>
      </c>
      <c r="U1529" s="9" t="n">
        <v>109863</v>
      </c>
      <c r="V1529" s="10" t="n">
        <v>20170</v>
      </c>
      <c r="W1529" s="10" t="n">
        <v>16105</v>
      </c>
      <c r="X1529" s="7" t="n">
        <v>100942</v>
      </c>
      <c r="Y1529" s="8" t="n">
        <v>15961</v>
      </c>
      <c r="Z1529" s="8" t="n">
        <v>16958</v>
      </c>
      <c r="AA1529" s="9" t="n">
        <v>109383</v>
      </c>
      <c r="AB1529" s="10" t="n">
        <v>17315</v>
      </c>
      <c r="AC1529" s="10" t="n">
        <v>14669</v>
      </c>
      <c r="AD1529" s="7" t="n">
        <v>102759</v>
      </c>
      <c r="AE1529" s="8" t="n">
        <v>-802</v>
      </c>
      <c r="AF1529" s="8" t="n">
        <v>-660</v>
      </c>
      <c r="AG1529" s="9" t="n">
        <v>110651</v>
      </c>
      <c r="AH1529" s="10" t="n">
        <v>18148</v>
      </c>
      <c r="AI1529" s="10" t="n">
        <v>15092</v>
      </c>
      <c r="AJ1529" s="11" t="n">
        <v>120451</v>
      </c>
      <c r="AK1529" s="12" t="n">
        <v>20835</v>
      </c>
      <c r="AL1529" s="12" t="n">
        <v>18015</v>
      </c>
      <c r="AM1529" s="13" t="n">
        <v>8.9</v>
      </c>
      <c r="AN1529" s="13" t="n">
        <v>19.3</v>
      </c>
      <c r="AO1529" s="13" t="n">
        <v>14.8</v>
      </c>
      <c r="AP1529" s="13" t="n">
        <v>30.5</v>
      </c>
    </row>
    <row r="1530">
      <c r="A1530" s="5" t="inlineStr">
        <is>
          <t>강원에너지</t>
        </is>
      </c>
      <c r="B1530" s="6" t="inlineStr">
        <is>
          <t>114190</t>
        </is>
      </c>
      <c r="C1530" s="6" t="inlineStr">
        <is>
          <t>연결</t>
        </is>
      </c>
      <c r="D1530" s="6" t="inlineStr">
        <is>
          <t>2026Q2</t>
        </is>
      </c>
      <c r="E1530" s="6" t="inlineStr"/>
      <c r="F1530" s="7" t="inlineStr"/>
      <c r="G1530" s="8" t="inlineStr"/>
      <c r="H1530" s="8" t="inlineStr"/>
      <c r="I1530" s="9" t="n">
        <v>82180</v>
      </c>
      <c r="J1530" s="10" t="n">
        <v>2006</v>
      </c>
      <c r="K1530" s="10" t="n">
        <v>-1412</v>
      </c>
      <c r="L1530" s="7" t="n">
        <v>54515</v>
      </c>
      <c r="M1530" s="8" t="n">
        <v>2307</v>
      </c>
      <c r="N1530" s="8" t="n">
        <v>-388</v>
      </c>
      <c r="O1530" s="9" t="n">
        <v>41937</v>
      </c>
      <c r="P1530" s="10" t="n">
        <v>824</v>
      </c>
      <c r="Q1530" s="10" t="n">
        <v>1030</v>
      </c>
      <c r="R1530" s="7" t="n">
        <v>45790</v>
      </c>
      <c r="S1530" s="8" t="n">
        <v>1635</v>
      </c>
      <c r="T1530" s="8" t="n">
        <v>188</v>
      </c>
      <c r="U1530" s="9" t="n">
        <v>53558</v>
      </c>
      <c r="V1530" s="10" t="n">
        <v>1296</v>
      </c>
      <c r="W1530" s="10" t="n">
        <v>-670</v>
      </c>
      <c r="X1530" s="7" t="n">
        <v>70744</v>
      </c>
      <c r="Y1530" s="8" t="n">
        <v>-1697</v>
      </c>
      <c r="Z1530" s="8" t="n">
        <v>211</v>
      </c>
      <c r="AA1530" s="9" t="n">
        <v>37254</v>
      </c>
      <c r="AB1530" s="10" t="n">
        <v>-5806</v>
      </c>
      <c r="AC1530" s="10" t="n">
        <v>-8246</v>
      </c>
      <c r="AD1530" s="7" t="n">
        <v>50696</v>
      </c>
      <c r="AE1530" s="8" t="n">
        <v>111</v>
      </c>
      <c r="AF1530" s="8" t="n">
        <v>238</v>
      </c>
      <c r="AG1530" s="9" t="n">
        <v>52183</v>
      </c>
      <c r="AH1530" s="10" t="n">
        <v>-866</v>
      </c>
      <c r="AI1530" s="10" t="n">
        <v>-1104</v>
      </c>
      <c r="AJ1530" s="11" t="n">
        <v>47481</v>
      </c>
      <c r="AK1530" s="12" t="n">
        <v>-95</v>
      </c>
      <c r="AL1530" s="12" t="n">
        <v>-762</v>
      </c>
      <c r="AM1530" s="13" t="n">
        <v>-9</v>
      </c>
      <c r="AN1530" s="13" t="n">
        <v>-32.9</v>
      </c>
      <c r="AO1530" s="13" t="n">
        <v>89</v>
      </c>
      <c r="AP1530" s="13" t="n">
        <v>94.40000000000001</v>
      </c>
    </row>
    <row r="1531">
      <c r="A1531" s="5" t="inlineStr">
        <is>
          <t>그린생명과학</t>
        </is>
      </c>
      <c r="B1531" s="6" t="inlineStr">
        <is>
          <t>114450</t>
        </is>
      </c>
      <c r="C1531" s="6" t="inlineStr">
        <is>
          <t>별도</t>
        </is>
      </c>
      <c r="D1531" s="6" t="inlineStr">
        <is>
          <t>2026Q2</t>
        </is>
      </c>
      <c r="E1531" s="6" t="inlineStr"/>
      <c r="F1531" s="7" t="inlineStr"/>
      <c r="G1531" s="8" t="inlineStr"/>
      <c r="H1531" s="8" t="inlineStr"/>
      <c r="I1531" s="9" t="n">
        <v>6541</v>
      </c>
      <c r="J1531" s="10" t="n">
        <v>722</v>
      </c>
      <c r="K1531" s="10" t="n">
        <v>1058</v>
      </c>
      <c r="L1531" s="7" t="n">
        <v>6914</v>
      </c>
      <c r="M1531" s="8" t="n">
        <v>714</v>
      </c>
      <c r="N1531" s="8" t="n">
        <v>1347</v>
      </c>
      <c r="O1531" s="9" t="n">
        <v>4450</v>
      </c>
      <c r="P1531" s="10" t="n">
        <v>-627</v>
      </c>
      <c r="Q1531" s="10" t="n">
        <v>-1097</v>
      </c>
      <c r="R1531" s="7" t="n">
        <v>6956</v>
      </c>
      <c r="S1531" s="8" t="n">
        <v>-432</v>
      </c>
      <c r="T1531" s="8" t="n">
        <v>254</v>
      </c>
      <c r="U1531" s="9" t="n">
        <v>4872</v>
      </c>
      <c r="V1531" s="10" t="n">
        <v>-1135</v>
      </c>
      <c r="W1531" s="10" t="n">
        <v>-1146</v>
      </c>
      <c r="X1531" s="7" t="n">
        <v>11479</v>
      </c>
      <c r="Y1531" s="8" t="n">
        <v>58</v>
      </c>
      <c r="Z1531" s="8" t="n">
        <v>36</v>
      </c>
      <c r="AA1531" s="9" t="n">
        <v>11350</v>
      </c>
      <c r="AB1531" s="10" t="n">
        <v>105</v>
      </c>
      <c r="AC1531" s="10" t="n">
        <v>490</v>
      </c>
      <c r="AD1531" s="7" t="n">
        <v>12639</v>
      </c>
      <c r="AE1531" s="8" t="n">
        <v>1176</v>
      </c>
      <c r="AF1531" s="8" t="n">
        <v>730</v>
      </c>
      <c r="AG1531" s="9" t="n">
        <v>15549</v>
      </c>
      <c r="AH1531" s="10" t="n">
        <v>585</v>
      </c>
      <c r="AI1531" s="10" t="n">
        <v>1755</v>
      </c>
      <c r="AJ1531" s="11" t="n">
        <v>19037</v>
      </c>
      <c r="AK1531" s="12" t="n">
        <v>1804</v>
      </c>
      <c r="AL1531" s="12" t="n">
        <v>4381</v>
      </c>
      <c r="AM1531" s="13" t="n">
        <v>22.4</v>
      </c>
      <c r="AN1531" s="13" t="n">
        <v>65.8</v>
      </c>
      <c r="AO1531" s="13" t="n">
        <v>208.4</v>
      </c>
      <c r="AP1531" s="13" t="n">
        <v>3010.3</v>
      </c>
    </row>
    <row r="1532">
      <c r="A1532" s="5" t="inlineStr">
        <is>
          <t>폴라리스우노</t>
        </is>
      </c>
      <c r="B1532" s="6" t="inlineStr">
        <is>
          <t>114630</t>
        </is>
      </c>
      <c r="C1532" s="6" t="inlineStr">
        <is>
          <t>연결</t>
        </is>
      </c>
      <c r="D1532" s="6" t="inlineStr">
        <is>
          <t>2026Q2</t>
        </is>
      </c>
      <c r="E1532" s="6" t="inlineStr"/>
      <c r="F1532" s="7" t="inlineStr"/>
      <c r="G1532" s="8" t="inlineStr"/>
      <c r="H1532" s="8" t="inlineStr"/>
      <c r="I1532" s="9" t="n">
        <v>20426</v>
      </c>
      <c r="J1532" s="10" t="n">
        <v>567</v>
      </c>
      <c r="K1532" s="10" t="n">
        <v>1597</v>
      </c>
      <c r="L1532" s="7" t="n">
        <v>19416</v>
      </c>
      <c r="M1532" s="8" t="n">
        <v>1212</v>
      </c>
      <c r="N1532" s="8" t="n">
        <v>2234</v>
      </c>
      <c r="O1532" s="9" t="n">
        <v>18349</v>
      </c>
      <c r="P1532" s="10" t="n">
        <v>455</v>
      </c>
      <c r="Q1532" s="10" t="n">
        <v>-25</v>
      </c>
      <c r="R1532" s="7" t="n">
        <v>21939</v>
      </c>
      <c r="S1532" s="8" t="n">
        <v>86</v>
      </c>
      <c r="T1532" s="8" t="n">
        <v>2341</v>
      </c>
      <c r="U1532" s="9" t="n">
        <v>22565</v>
      </c>
      <c r="V1532" s="10" t="n">
        <v>1010</v>
      </c>
      <c r="W1532" s="10" t="n">
        <v>557</v>
      </c>
      <c r="X1532" s="7" t="n">
        <v>25656</v>
      </c>
      <c r="Y1532" s="8" t="n">
        <v>1724</v>
      </c>
      <c r="Z1532" s="8" t="n">
        <v>192</v>
      </c>
      <c r="AA1532" s="9" t="n">
        <v>28182</v>
      </c>
      <c r="AB1532" s="10" t="n">
        <v>2762</v>
      </c>
      <c r="AC1532" s="10" t="n">
        <v>2830</v>
      </c>
      <c r="AD1532" s="7" t="n">
        <v>25423</v>
      </c>
      <c r="AE1532" s="8" t="n">
        <v>2295</v>
      </c>
      <c r="AF1532" s="8" t="n">
        <v>-1174</v>
      </c>
      <c r="AG1532" s="9" t="n">
        <v>18783</v>
      </c>
      <c r="AH1532" s="10" t="n">
        <v>1562</v>
      </c>
      <c r="AI1532" s="10" t="n">
        <v>2423</v>
      </c>
      <c r="AJ1532" s="11" t="n">
        <v>22508</v>
      </c>
      <c r="AK1532" s="12" t="n">
        <v>1464</v>
      </c>
      <c r="AL1532" s="12" t="n">
        <v>1387</v>
      </c>
      <c r="AM1532" s="13" t="n">
        <v>19.8</v>
      </c>
      <c r="AN1532" s="13" t="n">
        <v>-12.3</v>
      </c>
      <c r="AO1532" s="13" t="n">
        <v>-6.3</v>
      </c>
      <c r="AP1532" s="13" t="n">
        <v>-15.1</v>
      </c>
    </row>
    <row r="1533">
      <c r="A1533" s="5" t="inlineStr">
        <is>
          <t>한솔아이원스</t>
        </is>
      </c>
      <c r="B1533" s="6" t="inlineStr">
        <is>
          <t>114810</t>
        </is>
      </c>
      <c r="C1533" s="6" t="inlineStr">
        <is>
          <t>연결</t>
        </is>
      </c>
      <c r="D1533" s="6" t="inlineStr">
        <is>
          <t>2026Q2</t>
        </is>
      </c>
      <c r="E1533" s="6" t="inlineStr"/>
      <c r="F1533" s="7" t="inlineStr"/>
      <c r="G1533" s="8" t="inlineStr"/>
      <c r="H1533" s="8" t="inlineStr"/>
      <c r="I1533" s="9" t="n">
        <v>37337</v>
      </c>
      <c r="J1533" s="10" t="n">
        <v>4894</v>
      </c>
      <c r="K1533" s="10" t="n">
        <v>8333</v>
      </c>
      <c r="L1533" s="7" t="n">
        <v>39538</v>
      </c>
      <c r="M1533" s="8" t="n">
        <v>7264</v>
      </c>
      <c r="N1533" s="8" t="n">
        <v>13513</v>
      </c>
      <c r="O1533" s="9" t="n">
        <v>36546</v>
      </c>
      <c r="P1533" s="10" t="n">
        <v>4692</v>
      </c>
      <c r="Q1533" s="10" t="n">
        <v>4211</v>
      </c>
      <c r="R1533" s="7" t="n">
        <v>43717</v>
      </c>
      <c r="S1533" s="8" t="n">
        <v>6216</v>
      </c>
      <c r="T1533" s="8" t="n">
        <v>5016</v>
      </c>
      <c r="U1533" s="9" t="n">
        <v>48851</v>
      </c>
      <c r="V1533" s="10" t="n">
        <v>11906</v>
      </c>
      <c r="W1533" s="10" t="n">
        <v>10635</v>
      </c>
      <c r="X1533" s="7" t="n">
        <v>47021</v>
      </c>
      <c r="Y1533" s="8" t="n">
        <v>9086</v>
      </c>
      <c r="Z1533" s="8" t="n">
        <v>7464</v>
      </c>
      <c r="AA1533" s="9" t="n">
        <v>51224</v>
      </c>
      <c r="AB1533" s="10" t="n">
        <v>9380</v>
      </c>
      <c r="AC1533" s="10" t="n">
        <v>6441</v>
      </c>
      <c r="AD1533" s="7" t="n">
        <v>51734</v>
      </c>
      <c r="AE1533" s="8" t="n">
        <v>2945</v>
      </c>
      <c r="AF1533" s="8" t="n">
        <v>3895</v>
      </c>
      <c r="AG1533" s="9" t="n">
        <v>49162</v>
      </c>
      <c r="AH1533" s="10" t="n">
        <v>7118</v>
      </c>
      <c r="AI1533" s="10" t="n">
        <v>5415</v>
      </c>
      <c r="AJ1533" s="11" t="n">
        <v>53738</v>
      </c>
      <c r="AK1533" s="12" t="n">
        <v>6561</v>
      </c>
      <c r="AL1533" s="12" t="n">
        <v>5165</v>
      </c>
      <c r="AM1533" s="13" t="n">
        <v>9.300000000000001</v>
      </c>
      <c r="AN1533" s="13" t="n">
        <v>14.3</v>
      </c>
      <c r="AO1533" s="13" t="n">
        <v>-7.8</v>
      </c>
      <c r="AP1533" s="13" t="n">
        <v>-27.8</v>
      </c>
    </row>
    <row r="1534">
      <c r="A1534" s="5" t="inlineStr">
        <is>
          <t>아이패밀리에스씨</t>
        </is>
      </c>
      <c r="B1534" s="6" t="inlineStr">
        <is>
          <t>114840</t>
        </is>
      </c>
      <c r="C1534" s="6" t="inlineStr">
        <is>
          <t>연결</t>
        </is>
      </c>
      <c r="D1534" s="6" t="inlineStr">
        <is>
          <t>2026Q2</t>
        </is>
      </c>
      <c r="E1534" s="6" t="inlineStr"/>
      <c r="F1534" s="7" t="inlineStr"/>
      <c r="G1534" s="8" t="inlineStr"/>
      <c r="H1534" s="8" t="inlineStr"/>
      <c r="I1534" s="9" t="n">
        <v>57411</v>
      </c>
      <c r="J1534" s="10" t="n">
        <v>11761</v>
      </c>
      <c r="K1534" s="10" t="n">
        <v>9713</v>
      </c>
      <c r="L1534" s="7" t="n">
        <v>49009</v>
      </c>
      <c r="M1534" s="8" t="n">
        <v>6956</v>
      </c>
      <c r="N1534" s="8" t="n">
        <v>6618</v>
      </c>
      <c r="O1534" s="9" t="n">
        <v>50105</v>
      </c>
      <c r="P1534" s="10" t="n">
        <v>9088</v>
      </c>
      <c r="Q1534" s="10" t="n">
        <v>7617</v>
      </c>
      <c r="R1534" s="7" t="n">
        <v>48356</v>
      </c>
      <c r="S1534" s="8" t="n">
        <v>5827</v>
      </c>
      <c r="T1534" s="8" t="n">
        <v>4358</v>
      </c>
      <c r="U1534" s="9" t="n">
        <v>54394</v>
      </c>
      <c r="V1534" s="10" t="n">
        <v>7145</v>
      </c>
      <c r="W1534" s="10" t="n">
        <v>6014</v>
      </c>
      <c r="X1534" s="7" t="n">
        <v>57660</v>
      </c>
      <c r="Y1534" s="8" t="n">
        <v>7179</v>
      </c>
      <c r="Z1534" s="8" t="n">
        <v>5766</v>
      </c>
      <c r="AA1534" s="9" t="n">
        <v>53467</v>
      </c>
      <c r="AB1534" s="10" t="n">
        <v>6185</v>
      </c>
      <c r="AC1534" s="10" t="n">
        <v>5250</v>
      </c>
      <c r="AD1534" s="7" t="n">
        <v>58575</v>
      </c>
      <c r="AE1534" s="8" t="n">
        <v>6619</v>
      </c>
      <c r="AF1534" s="8" t="n">
        <v>4807</v>
      </c>
      <c r="AG1534" s="9" t="n">
        <v>54847</v>
      </c>
      <c r="AH1534" s="10" t="n">
        <v>3692</v>
      </c>
      <c r="AI1534" s="10" t="n">
        <v>2842</v>
      </c>
      <c r="AJ1534" s="11" t="n">
        <v>58660</v>
      </c>
      <c r="AK1534" s="12" t="n">
        <v>6815</v>
      </c>
      <c r="AL1534" s="12" t="n">
        <v>6181</v>
      </c>
      <c r="AM1534" s="13" t="n">
        <v>7</v>
      </c>
      <c r="AN1534" s="13" t="n">
        <v>1.7</v>
      </c>
      <c r="AO1534" s="13" t="n">
        <v>84.59999999999999</v>
      </c>
      <c r="AP1534" s="13" t="n">
        <v>-5.1</v>
      </c>
    </row>
    <row r="1535">
      <c r="A1535" s="5" t="inlineStr">
        <is>
          <t>휴맥스</t>
        </is>
      </c>
      <c r="B1535" s="6" t="inlineStr">
        <is>
          <t>115160</t>
        </is>
      </c>
      <c r="C1535" s="6" t="inlineStr">
        <is>
          <t>연결</t>
        </is>
      </c>
      <c r="D1535" s="6" t="inlineStr">
        <is>
          <t>2026Q2</t>
        </is>
      </c>
      <c r="E1535" s="6" t="inlineStr">
        <is>
          <t>2023Q4</t>
        </is>
      </c>
      <c r="F1535" s="14" t="n">
        <v>652634</v>
      </c>
      <c r="G1535" s="15" t="n">
        <v>11145</v>
      </c>
      <c r="H1535" s="15" t="n">
        <v>-67488</v>
      </c>
      <c r="I1535" s="9" t="n">
        <v>183310</v>
      </c>
      <c r="J1535" s="10" t="n">
        <v>6899</v>
      </c>
      <c r="K1535" s="10" t="n">
        <v>-10110</v>
      </c>
      <c r="L1535" s="7" t="n">
        <v>118593</v>
      </c>
      <c r="M1535" s="8" t="n">
        <v>2873</v>
      </c>
      <c r="N1535" s="8" t="n">
        <v>-28736</v>
      </c>
      <c r="O1535" s="9" t="n">
        <v>110687</v>
      </c>
      <c r="P1535" s="10" t="n">
        <v>1554</v>
      </c>
      <c r="Q1535" s="10" t="n">
        <v>-8517</v>
      </c>
      <c r="R1535" s="7" t="n">
        <v>122969</v>
      </c>
      <c r="S1535" s="8" t="n">
        <v>-5126</v>
      </c>
      <c r="T1535" s="8" t="n">
        <v>-13554</v>
      </c>
      <c r="U1535" s="9" t="n">
        <v>97945</v>
      </c>
      <c r="V1535" s="10" t="n">
        <v>-6803</v>
      </c>
      <c r="W1535" s="10" t="n">
        <v>-18625</v>
      </c>
      <c r="X1535" s="7" t="n">
        <v>111935</v>
      </c>
      <c r="Y1535" s="8" t="n">
        <v>-5471</v>
      </c>
      <c r="Z1535" s="8" t="n">
        <v>-37175</v>
      </c>
      <c r="AA1535" s="9" t="n">
        <v>97560</v>
      </c>
      <c r="AB1535" s="10" t="n">
        <v>-1962</v>
      </c>
      <c r="AC1535" s="10" t="n">
        <v>2811</v>
      </c>
      <c r="AD1535" s="7" t="n">
        <v>86726</v>
      </c>
      <c r="AE1535" s="8" t="n">
        <v>-14981</v>
      </c>
      <c r="AF1535" s="8" t="n">
        <v>-28420</v>
      </c>
      <c r="AG1535" s="9" t="n">
        <v>92091</v>
      </c>
      <c r="AH1535" s="10" t="n">
        <v>2823</v>
      </c>
      <c r="AI1535" s="10" t="n">
        <v>35394</v>
      </c>
      <c r="AJ1535" s="11" t="n">
        <v>109593</v>
      </c>
      <c r="AK1535" s="12" t="n">
        <v>-1498</v>
      </c>
      <c r="AL1535" s="12" t="n">
        <v>1089</v>
      </c>
      <c r="AM1535" s="13" t="n">
        <v>19</v>
      </c>
      <c r="AN1535" s="13" t="n">
        <v>-2.1</v>
      </c>
      <c r="AO1535" s="13" t="n">
        <v>-153.1</v>
      </c>
      <c r="AP1535" s="13" t="n">
        <v>72.59999999999999</v>
      </c>
    </row>
    <row r="1536">
      <c r="A1536" s="5" t="inlineStr">
        <is>
          <t>큐리언트</t>
        </is>
      </c>
      <c r="B1536" s="6" t="inlineStr">
        <is>
          <t>115180</t>
        </is>
      </c>
      <c r="C1536" s="6" t="inlineStr">
        <is>
          <t>연결</t>
        </is>
      </c>
      <c r="D1536" s="6" t="inlineStr">
        <is>
          <t>2026Q2</t>
        </is>
      </c>
      <c r="E1536" s="6" t="inlineStr">
        <is>
          <t>2023Q4</t>
        </is>
      </c>
      <c r="F1536" s="14" t="n">
        <v>2394</v>
      </c>
      <c r="G1536" s="15" t="n">
        <v>-4444</v>
      </c>
      <c r="H1536" s="15" t="n">
        <v>-4302</v>
      </c>
      <c r="I1536" s="9" t="n">
        <v>2113</v>
      </c>
      <c r="J1536" s="10" t="n">
        <v>-5727</v>
      </c>
      <c r="K1536" s="10" t="n">
        <v>-5397</v>
      </c>
      <c r="L1536" s="7" t="n">
        <v>1986</v>
      </c>
      <c r="M1536" s="8" t="n">
        <v>-7948</v>
      </c>
      <c r="N1536" s="8" t="n">
        <v>-7569</v>
      </c>
      <c r="O1536" s="9" t="n">
        <v>2260</v>
      </c>
      <c r="P1536" s="10" t="n">
        <v>-6013</v>
      </c>
      <c r="Q1536" s="10" t="n">
        <v>-5627</v>
      </c>
      <c r="R1536" s="7" t="n">
        <v>2821</v>
      </c>
      <c r="S1536" s="8" t="n">
        <v>-7790</v>
      </c>
      <c r="T1536" s="8" t="n">
        <v>-6404</v>
      </c>
      <c r="U1536" s="9" t="n">
        <v>1920</v>
      </c>
      <c r="V1536" s="10" t="n">
        <v>-6723</v>
      </c>
      <c r="W1536" s="10" t="n">
        <v>-6229</v>
      </c>
      <c r="X1536" s="7" t="n">
        <v>1846</v>
      </c>
      <c r="Y1536" s="8" t="n">
        <v>-6764</v>
      </c>
      <c r="Z1536" s="8" t="n">
        <v>-6358</v>
      </c>
      <c r="AA1536" s="9" t="n">
        <v>1688</v>
      </c>
      <c r="AB1536" s="10" t="n">
        <v>-7012</v>
      </c>
      <c r="AC1536" s="10" t="n">
        <v>-6616</v>
      </c>
      <c r="AD1536" s="7" t="n">
        <v>1529</v>
      </c>
      <c r="AE1536" s="8" t="n">
        <v>-9265</v>
      </c>
      <c r="AF1536" s="8" t="n">
        <v>-12059</v>
      </c>
      <c r="AG1536" s="9" t="n">
        <v>1942</v>
      </c>
      <c r="AH1536" s="10" t="n">
        <v>-7666</v>
      </c>
      <c r="AI1536" s="10" t="n">
        <v>-7862</v>
      </c>
      <c r="AJ1536" s="11" t="n">
        <v>1909</v>
      </c>
      <c r="AK1536" s="12" t="n">
        <v>-12845</v>
      </c>
      <c r="AL1536" s="12" t="n">
        <v>-13237</v>
      </c>
      <c r="AM1536" s="13" t="n">
        <v>-1.7</v>
      </c>
      <c r="AN1536" s="13" t="n">
        <v>3.4</v>
      </c>
      <c r="AO1536" s="13" t="n">
        <v>-67.59999999999999</v>
      </c>
      <c r="AP1536" s="13" t="n">
        <v>-89.90000000000001</v>
      </c>
    </row>
    <row r="1537">
      <c r="A1537" s="5" t="inlineStr">
        <is>
          <t>인포바인</t>
        </is>
      </c>
      <c r="B1537" s="6" t="inlineStr">
        <is>
          <t>115310</t>
        </is>
      </c>
      <c r="C1537" s="6" t="inlineStr">
        <is>
          <t>연결</t>
        </is>
      </c>
      <c r="D1537" s="6" t="inlineStr">
        <is>
          <t>2026Q2</t>
        </is>
      </c>
      <c r="E1537" s="6" t="inlineStr"/>
      <c r="F1537" s="7" t="inlineStr"/>
      <c r="G1537" s="8" t="inlineStr"/>
      <c r="H1537" s="8" t="inlineStr"/>
      <c r="I1537" s="9" t="n">
        <v>6262</v>
      </c>
      <c r="J1537" s="10" t="n">
        <v>2289</v>
      </c>
      <c r="K1537" s="10" t="n">
        <v>2601</v>
      </c>
      <c r="L1537" s="7" t="n">
        <v>6038</v>
      </c>
      <c r="M1537" s="8" t="n">
        <v>2171</v>
      </c>
      <c r="N1537" s="8" t="n">
        <v>2485</v>
      </c>
      <c r="O1537" s="9" t="n">
        <v>6212</v>
      </c>
      <c r="P1537" s="10" t="n">
        <v>1903</v>
      </c>
      <c r="Q1537" s="10" t="n">
        <v>2150</v>
      </c>
      <c r="R1537" s="7" t="n">
        <v>6669</v>
      </c>
      <c r="S1537" s="8" t="n">
        <v>1507</v>
      </c>
      <c r="T1537" s="8" t="n">
        <v>1734</v>
      </c>
      <c r="U1537" s="9" t="n">
        <v>7121</v>
      </c>
      <c r="V1537" s="10" t="n">
        <v>2289</v>
      </c>
      <c r="W1537" s="10" t="n">
        <v>2504</v>
      </c>
      <c r="X1537" s="7" t="n">
        <v>7336</v>
      </c>
      <c r="Y1537" s="8" t="n">
        <v>-322</v>
      </c>
      <c r="Z1537" s="8" t="n">
        <v>31</v>
      </c>
      <c r="AA1537" s="9" t="n">
        <v>7200</v>
      </c>
      <c r="AB1537" s="10" t="n">
        <v>2387</v>
      </c>
      <c r="AC1537" s="10" t="n">
        <v>2364</v>
      </c>
      <c r="AD1537" s="7" t="n">
        <v>7060</v>
      </c>
      <c r="AE1537" s="8" t="n">
        <v>2103</v>
      </c>
      <c r="AF1537" s="8" t="n">
        <v>2140</v>
      </c>
      <c r="AG1537" s="9" t="n">
        <v>6875</v>
      </c>
      <c r="AH1537" s="10" t="n">
        <v>1918</v>
      </c>
      <c r="AI1537" s="10" t="n">
        <v>2051</v>
      </c>
      <c r="AJ1537" s="11" t="n">
        <v>6660</v>
      </c>
      <c r="AK1537" s="12" t="n">
        <v>2161</v>
      </c>
      <c r="AL1537" s="12" t="n">
        <v>2020</v>
      </c>
      <c r="AM1537" s="13" t="n">
        <v>-3.1</v>
      </c>
      <c r="AN1537" s="13" t="n">
        <v>-9.199999999999999</v>
      </c>
      <c r="AO1537" s="13" t="n">
        <v>12.7</v>
      </c>
      <c r="AP1537" s="13" t="n">
        <v>771.1</v>
      </c>
    </row>
    <row r="1538">
      <c r="A1538" s="5" t="inlineStr">
        <is>
          <t>우리넷</t>
        </is>
      </c>
      <c r="B1538" s="6" t="inlineStr">
        <is>
          <t>115440</t>
        </is>
      </c>
      <c r="C1538" s="6" t="inlineStr">
        <is>
          <t>연결</t>
        </is>
      </c>
      <c r="D1538" s="6" t="inlineStr">
        <is>
          <t>2026Q2</t>
        </is>
      </c>
      <c r="E1538" s="6" t="inlineStr"/>
      <c r="F1538" s="7" t="inlineStr"/>
      <c r="G1538" s="8" t="inlineStr"/>
      <c r="H1538" s="8" t="inlineStr"/>
      <c r="I1538" s="9" t="n">
        <v>41769</v>
      </c>
      <c r="J1538" s="10" t="n">
        <v>10029</v>
      </c>
      <c r="K1538" s="10" t="n">
        <v>10034</v>
      </c>
      <c r="L1538" s="7" t="n">
        <v>40891</v>
      </c>
      <c r="M1538" s="8" t="n">
        <v>12360</v>
      </c>
      <c r="N1538" s="8" t="n">
        <v>10090</v>
      </c>
      <c r="O1538" s="9" t="n">
        <v>21033</v>
      </c>
      <c r="P1538" s="10" t="n">
        <v>-2514</v>
      </c>
      <c r="Q1538" s="10" t="n">
        <v>-2517</v>
      </c>
      <c r="R1538" s="7" t="n">
        <v>27902</v>
      </c>
      <c r="S1538" s="8" t="n">
        <v>192</v>
      </c>
      <c r="T1538" s="8" t="n">
        <v>2559</v>
      </c>
      <c r="U1538" s="9" t="n">
        <v>15184</v>
      </c>
      <c r="V1538" s="10" t="n">
        <v>-929</v>
      </c>
      <c r="W1538" s="10" t="n">
        <v>-652</v>
      </c>
      <c r="X1538" s="7" t="n">
        <v>25071</v>
      </c>
      <c r="Y1538" s="8" t="n">
        <v>2720</v>
      </c>
      <c r="Z1538" s="8" t="n">
        <v>3153</v>
      </c>
      <c r="AA1538" s="9" t="n">
        <v>17519</v>
      </c>
      <c r="AB1538" s="10" t="n">
        <v>473</v>
      </c>
      <c r="AC1538" s="10" t="n">
        <v>723</v>
      </c>
      <c r="AD1538" s="7" t="n">
        <v>17731</v>
      </c>
      <c r="AE1538" s="8" t="n">
        <v>-315</v>
      </c>
      <c r="AF1538" s="8" t="n">
        <v>442</v>
      </c>
      <c r="AG1538" s="9" t="n">
        <v>11762</v>
      </c>
      <c r="AH1538" s="10" t="n">
        <v>-3985</v>
      </c>
      <c r="AI1538" s="10" t="n">
        <v>-3829</v>
      </c>
      <c r="AJ1538" s="11" t="n">
        <v>22420</v>
      </c>
      <c r="AK1538" s="12" t="n">
        <v>505</v>
      </c>
      <c r="AL1538" s="12" t="n">
        <v>712</v>
      </c>
      <c r="AM1538" s="13" t="n">
        <v>90.59999999999999</v>
      </c>
      <c r="AN1538" s="13" t="n">
        <v>-10.6</v>
      </c>
      <c r="AO1538" s="13" t="n">
        <v>112.7</v>
      </c>
      <c r="AP1538" s="13" t="n">
        <v>-81.40000000000001</v>
      </c>
    </row>
    <row r="1539">
      <c r="A1539" s="5" t="inlineStr">
        <is>
          <t>HLB테라퓨틱스</t>
        </is>
      </c>
      <c r="B1539" s="6" t="inlineStr">
        <is>
          <t>115450</t>
        </is>
      </c>
      <c r="C1539" s="6" t="inlineStr">
        <is>
          <t>연결</t>
        </is>
      </c>
      <c r="D1539" s="6" t="inlineStr">
        <is>
          <t>2026Q2</t>
        </is>
      </c>
      <c r="E1539" s="6" t="inlineStr"/>
      <c r="F1539" s="7" t="inlineStr"/>
      <c r="G1539" s="8" t="inlineStr"/>
      <c r="H1539" s="8" t="inlineStr"/>
      <c r="I1539" s="9" t="n">
        <v>12755</v>
      </c>
      <c r="J1539" s="10" t="n">
        <v>-2631</v>
      </c>
      <c r="K1539" s="10" t="n">
        <v>-84</v>
      </c>
      <c r="L1539" s="7" t="n">
        <v>11662</v>
      </c>
      <c r="M1539" s="8" t="n">
        <v>-3207</v>
      </c>
      <c r="N1539" s="8" t="n">
        <v>-22508</v>
      </c>
      <c r="O1539" s="9" t="n">
        <v>14052</v>
      </c>
      <c r="P1539" s="10" t="n">
        <v>-1823</v>
      </c>
      <c r="Q1539" s="10" t="n">
        <v>-2636</v>
      </c>
      <c r="R1539" s="7" t="n">
        <v>16463</v>
      </c>
      <c r="S1539" s="8" t="n">
        <v>37</v>
      </c>
      <c r="T1539" s="8" t="n">
        <v>1768</v>
      </c>
      <c r="U1539" s="9" t="n">
        <v>15047</v>
      </c>
      <c r="V1539" s="10" t="n">
        <v>-1581</v>
      </c>
      <c r="W1539" s="10" t="n">
        <v>-4549</v>
      </c>
      <c r="X1539" s="7" t="n">
        <v>15672</v>
      </c>
      <c r="Y1539" s="8" t="n">
        <v>-666</v>
      </c>
      <c r="Z1539" s="8" t="n">
        <v>-39</v>
      </c>
      <c r="AA1539" s="9" t="n">
        <v>16064</v>
      </c>
      <c r="AB1539" s="10" t="n">
        <v>-5381</v>
      </c>
      <c r="AC1539" s="10" t="n">
        <v>-5585</v>
      </c>
      <c r="AD1539" s="7" t="n">
        <v>22778</v>
      </c>
      <c r="AE1539" s="8" t="n">
        <v>4094</v>
      </c>
      <c r="AF1539" s="8" t="n">
        <v>505</v>
      </c>
      <c r="AG1539" s="9" t="n">
        <v>13046</v>
      </c>
      <c r="AH1539" s="10" t="n">
        <v>-3235</v>
      </c>
      <c r="AI1539" s="10" t="n">
        <v>-4450</v>
      </c>
      <c r="AJ1539" s="11" t="n">
        <v>12558</v>
      </c>
      <c r="AK1539" s="12" t="n">
        <v>-4732</v>
      </c>
      <c r="AL1539" s="12" t="n">
        <v>-9042</v>
      </c>
      <c r="AM1539" s="13" t="n">
        <v>-3.7</v>
      </c>
      <c r="AN1539" s="13" t="n">
        <v>-19.9</v>
      </c>
      <c r="AO1539" s="13" t="n">
        <v>-46.3</v>
      </c>
      <c r="AP1539" s="13" t="n">
        <v>-610.5</v>
      </c>
    </row>
    <row r="1540">
      <c r="A1540" s="5" t="inlineStr">
        <is>
          <t>씨유메디칼</t>
        </is>
      </c>
      <c r="B1540" s="6" t="inlineStr">
        <is>
          <t>115480</t>
        </is>
      </c>
      <c r="C1540" s="6" t="inlineStr">
        <is>
          <t>연결</t>
        </is>
      </c>
      <c r="D1540" s="6" t="inlineStr">
        <is>
          <t>2026Q2</t>
        </is>
      </c>
      <c r="E1540" s="6" t="inlineStr"/>
      <c r="F1540" s="7" t="inlineStr"/>
      <c r="G1540" s="8" t="inlineStr"/>
      <c r="H1540" s="8" t="inlineStr"/>
      <c r="I1540" s="9" t="n">
        <v>11005</v>
      </c>
      <c r="J1540" s="10" t="n">
        <v>1942</v>
      </c>
      <c r="K1540" s="10" t="n">
        <v>1420</v>
      </c>
      <c r="L1540" s="7" t="n">
        <v>10061</v>
      </c>
      <c r="M1540" s="8" t="n">
        <v>2332</v>
      </c>
      <c r="N1540" s="8" t="n">
        <v>654</v>
      </c>
      <c r="O1540" s="9" t="n">
        <v>7277</v>
      </c>
      <c r="P1540" s="10" t="n">
        <v>550</v>
      </c>
      <c r="Q1540" s="10" t="n">
        <v>-404</v>
      </c>
      <c r="R1540" s="7" t="n">
        <v>12286</v>
      </c>
      <c r="S1540" s="8" t="n">
        <v>2977</v>
      </c>
      <c r="T1540" s="8" t="n">
        <v>-4811</v>
      </c>
      <c r="U1540" s="9" t="n">
        <v>8810</v>
      </c>
      <c r="V1540" s="10" t="n">
        <v>1145</v>
      </c>
      <c r="W1540" s="10" t="n">
        <v>628</v>
      </c>
      <c r="X1540" s="7" t="n">
        <v>12418</v>
      </c>
      <c r="Y1540" s="8" t="n">
        <v>3214</v>
      </c>
      <c r="Z1540" s="8" t="n">
        <v>599</v>
      </c>
      <c r="AA1540" s="9" t="n">
        <v>11272</v>
      </c>
      <c r="AB1540" s="10" t="n">
        <v>2398</v>
      </c>
      <c r="AC1540" s="10" t="n">
        <v>1946</v>
      </c>
      <c r="AD1540" s="7" t="n">
        <v>15723</v>
      </c>
      <c r="AE1540" s="8" t="n">
        <v>4056</v>
      </c>
      <c r="AF1540" s="8" t="n">
        <v>-2354</v>
      </c>
      <c r="AG1540" s="9" t="n">
        <v>15251</v>
      </c>
      <c r="AH1540" s="10" t="n">
        <v>2526</v>
      </c>
      <c r="AI1540" s="10" t="n">
        <v>2792</v>
      </c>
      <c r="AJ1540" s="11" t="n">
        <v>21181</v>
      </c>
      <c r="AK1540" s="12" t="n">
        <v>5875</v>
      </c>
      <c r="AL1540" s="12" t="n">
        <v>6747</v>
      </c>
      <c r="AM1540" s="13" t="n">
        <v>38.9</v>
      </c>
      <c r="AN1540" s="13" t="n">
        <v>70.59999999999999</v>
      </c>
      <c r="AO1540" s="13" t="n">
        <v>132.6</v>
      </c>
      <c r="AP1540" s="13" t="n">
        <v>82.8</v>
      </c>
    </row>
    <row r="1541">
      <c r="A1541" s="5" t="inlineStr">
        <is>
          <t>케이씨에스</t>
        </is>
      </c>
      <c r="B1541" s="6" t="inlineStr">
        <is>
          <t>115500</t>
        </is>
      </c>
      <c r="C1541" s="6" t="inlineStr">
        <is>
          <t>별도</t>
        </is>
      </c>
      <c r="D1541" s="6" t="inlineStr">
        <is>
          <t>2026Q2</t>
        </is>
      </c>
      <c r="E1541" s="6" t="inlineStr"/>
      <c r="F1541" s="7" t="inlineStr"/>
      <c r="G1541" s="8" t="inlineStr"/>
      <c r="H1541" s="8" t="inlineStr"/>
      <c r="I1541" s="9" t="n">
        <v>4244</v>
      </c>
      <c r="J1541" s="10" t="n">
        <v>169</v>
      </c>
      <c r="K1541" s="10" t="n">
        <v>136</v>
      </c>
      <c r="L1541" s="7" t="n">
        <v>5797</v>
      </c>
      <c r="M1541" s="8" t="n">
        <v>314</v>
      </c>
      <c r="N1541" s="8" t="n">
        <v>323</v>
      </c>
      <c r="O1541" s="9" t="n">
        <v>8130</v>
      </c>
      <c r="P1541" s="10" t="n">
        <v>764</v>
      </c>
      <c r="Q1541" s="10" t="n">
        <v>640</v>
      </c>
      <c r="R1541" s="7" t="n">
        <v>11368</v>
      </c>
      <c r="S1541" s="8" t="n">
        <v>736</v>
      </c>
      <c r="T1541" s="8" t="n">
        <v>900</v>
      </c>
      <c r="U1541" s="9" t="n">
        <v>4005</v>
      </c>
      <c r="V1541" s="10" t="n">
        <v>229</v>
      </c>
      <c r="W1541" s="10" t="n">
        <v>199</v>
      </c>
      <c r="X1541" s="7" t="n">
        <v>4699</v>
      </c>
      <c r="Y1541" s="8" t="n">
        <v>681</v>
      </c>
      <c r="Z1541" s="8" t="n">
        <v>854</v>
      </c>
      <c r="AA1541" s="9" t="n">
        <v>4297</v>
      </c>
      <c r="AB1541" s="10" t="n">
        <v>287</v>
      </c>
      <c r="AC1541" s="10" t="n">
        <v>354</v>
      </c>
      <c r="AD1541" s="7" t="n">
        <v>11862</v>
      </c>
      <c r="AE1541" s="8" t="n">
        <v>866</v>
      </c>
      <c r="AF1541" s="8" t="n">
        <v>1120</v>
      </c>
      <c r="AG1541" s="9" t="n">
        <v>5102</v>
      </c>
      <c r="AH1541" s="10" t="n">
        <v>239</v>
      </c>
      <c r="AI1541" s="10" t="n">
        <v>314</v>
      </c>
      <c r="AJ1541" s="11" t="n">
        <v>5984</v>
      </c>
      <c r="AK1541" s="12" t="n">
        <v>263</v>
      </c>
      <c r="AL1541" s="12" t="n">
        <v>441</v>
      </c>
      <c r="AM1541" s="13" t="n">
        <v>17.3</v>
      </c>
      <c r="AN1541" s="13" t="n">
        <v>27.3</v>
      </c>
      <c r="AO1541" s="13" t="n">
        <v>10</v>
      </c>
      <c r="AP1541" s="13" t="n">
        <v>-61.4</v>
      </c>
    </row>
    <row r="1542">
      <c r="A1542" s="5" t="inlineStr">
        <is>
          <t>씨엔플러스</t>
        </is>
      </c>
      <c r="B1542" s="6" t="inlineStr">
        <is>
          <t>115530</t>
        </is>
      </c>
      <c r="C1542" s="6" t="inlineStr">
        <is>
          <t>연결</t>
        </is>
      </c>
      <c r="D1542" s="6" t="inlineStr">
        <is>
          <t>2026Q2</t>
        </is>
      </c>
      <c r="E1542" s="6" t="inlineStr"/>
      <c r="F1542" s="7" t="inlineStr"/>
      <c r="G1542" s="8" t="inlineStr"/>
      <c r="H1542" s="8" t="inlineStr"/>
      <c r="I1542" s="9" t="n">
        <v>9003</v>
      </c>
      <c r="J1542" s="10" t="n">
        <v>-663</v>
      </c>
      <c r="K1542" s="10" t="n">
        <v>-875</v>
      </c>
      <c r="L1542" s="7" t="n">
        <v>8629</v>
      </c>
      <c r="M1542" s="8" t="n">
        <v>1389</v>
      </c>
      <c r="N1542" s="8" t="n">
        <v>1057</v>
      </c>
      <c r="O1542" s="9" t="n">
        <v>6997</v>
      </c>
      <c r="P1542" s="10" t="n">
        <v>-627</v>
      </c>
      <c r="Q1542" s="10" t="n">
        <v>-1478</v>
      </c>
      <c r="R1542" s="7" t="n">
        <v>22864</v>
      </c>
      <c r="S1542" s="8" t="n">
        <v>-136</v>
      </c>
      <c r="T1542" s="8" t="n">
        <v>-924</v>
      </c>
      <c r="U1542" s="9" t="n">
        <v>10998</v>
      </c>
      <c r="V1542" s="10" t="n">
        <v>-374</v>
      </c>
      <c r="W1542" s="10" t="n">
        <v>-703</v>
      </c>
      <c r="X1542" s="7" t="n">
        <v>18301</v>
      </c>
      <c r="Y1542" s="8" t="n">
        <v>-463</v>
      </c>
      <c r="Z1542" s="8" t="n">
        <v>-3463</v>
      </c>
      <c r="AA1542" s="9" t="n">
        <v>15656</v>
      </c>
      <c r="AB1542" s="10" t="n">
        <v>199</v>
      </c>
      <c r="AC1542" s="10" t="n">
        <v>-264</v>
      </c>
      <c r="AD1542" s="7" t="n">
        <v>8662</v>
      </c>
      <c r="AE1542" s="8" t="n">
        <v>1006</v>
      </c>
      <c r="AF1542" s="8" t="n">
        <v>1972</v>
      </c>
      <c r="AG1542" s="9" t="n">
        <v>17509</v>
      </c>
      <c r="AH1542" s="10" t="n">
        <v>-796</v>
      </c>
      <c r="AI1542" s="10" t="n">
        <v>-897</v>
      </c>
      <c r="AJ1542" s="11" t="n">
        <v>21479</v>
      </c>
      <c r="AK1542" s="12" t="n">
        <v>866</v>
      </c>
      <c r="AL1542" s="12" t="n">
        <v>360</v>
      </c>
      <c r="AM1542" s="13" t="n">
        <v>22.7</v>
      </c>
      <c r="AN1542" s="13" t="n">
        <v>17.4</v>
      </c>
      <c r="AO1542" s="13" t="n">
        <v>208.8</v>
      </c>
      <c r="AP1542" s="13" t="n">
        <v>287</v>
      </c>
    </row>
    <row r="1543">
      <c r="A1543" s="5" t="inlineStr">
        <is>
          <t>스타플렉스</t>
        </is>
      </c>
      <c r="B1543" s="6" t="inlineStr">
        <is>
          <t>115570</t>
        </is>
      </c>
      <c r="C1543" s="6" t="inlineStr">
        <is>
          <t>연결</t>
        </is>
      </c>
      <c r="D1543" s="6" t="inlineStr">
        <is>
          <t>2026Q2</t>
        </is>
      </c>
      <c r="E1543" s="6" t="inlineStr"/>
      <c r="F1543" s="7" t="inlineStr"/>
      <c r="G1543" s="8" t="inlineStr"/>
      <c r="H1543" s="8" t="inlineStr"/>
      <c r="I1543" s="9" t="n">
        <v>18261</v>
      </c>
      <c r="J1543" s="10" t="n">
        <v>-1036</v>
      </c>
      <c r="K1543" s="10" t="n">
        <v>32</v>
      </c>
      <c r="L1543" s="7" t="n">
        <v>22510</v>
      </c>
      <c r="M1543" s="8" t="n">
        <v>1645</v>
      </c>
      <c r="N1543" s="8" t="n">
        <v>1851</v>
      </c>
      <c r="O1543" s="9" t="n">
        <v>20219</v>
      </c>
      <c r="P1543" s="10" t="n">
        <v>535</v>
      </c>
      <c r="Q1543" s="10" t="n">
        <v>-599</v>
      </c>
      <c r="R1543" s="7" t="n">
        <v>19161</v>
      </c>
      <c r="S1543" s="8" t="n">
        <v>-1302</v>
      </c>
      <c r="T1543" s="8" t="n">
        <v>3371</v>
      </c>
      <c r="U1543" s="9" t="n">
        <v>22986</v>
      </c>
      <c r="V1543" s="10" t="n">
        <v>1146</v>
      </c>
      <c r="W1543" s="10" t="n">
        <v>793</v>
      </c>
      <c r="X1543" s="7" t="n">
        <v>25857</v>
      </c>
      <c r="Y1543" s="8" t="n">
        <v>605</v>
      </c>
      <c r="Z1543" s="8" t="n">
        <v>-4971</v>
      </c>
      <c r="AA1543" s="9" t="n">
        <v>24108</v>
      </c>
      <c r="AB1543" s="10" t="n">
        <v>3140</v>
      </c>
      <c r="AC1543" s="10" t="n">
        <v>4243</v>
      </c>
      <c r="AD1543" s="7" t="n">
        <v>25704</v>
      </c>
      <c r="AE1543" s="8" t="n">
        <v>1676</v>
      </c>
      <c r="AF1543" s="8" t="n">
        <v>3403</v>
      </c>
      <c r="AG1543" s="9" t="n">
        <v>24559</v>
      </c>
      <c r="AH1543" s="10" t="n">
        <v>1400</v>
      </c>
      <c r="AI1543" s="10" t="n">
        <v>4505</v>
      </c>
      <c r="AJ1543" s="11" t="n">
        <v>25039</v>
      </c>
      <c r="AK1543" s="12" t="n">
        <v>2955</v>
      </c>
      <c r="AL1543" s="12" t="n">
        <v>3453</v>
      </c>
      <c r="AM1543" s="13" t="n">
        <v>2</v>
      </c>
      <c r="AN1543" s="13" t="n">
        <v>-3.2</v>
      </c>
      <c r="AO1543" s="13" t="n">
        <v>111.1</v>
      </c>
      <c r="AP1543" s="13" t="n">
        <v>388.4</v>
      </c>
    </row>
    <row r="1544">
      <c r="A1544" s="5" t="inlineStr">
        <is>
          <t>이미지스</t>
        </is>
      </c>
      <c r="B1544" s="6" t="inlineStr">
        <is>
          <t>115610</t>
        </is>
      </c>
      <c r="C1544" s="6" t="inlineStr">
        <is>
          <t>별도</t>
        </is>
      </c>
      <c r="D1544" s="6" t="inlineStr">
        <is>
          <t>2026Q2</t>
        </is>
      </c>
      <c r="E1544" s="6" t="inlineStr"/>
      <c r="F1544" s="7" t="inlineStr"/>
      <c r="G1544" s="8" t="inlineStr"/>
      <c r="H1544" s="8" t="inlineStr"/>
      <c r="I1544" s="9" t="n">
        <v>4414</v>
      </c>
      <c r="J1544" s="10" t="n">
        <v>-170</v>
      </c>
      <c r="K1544" s="10" t="inlineStr"/>
      <c r="L1544" s="7" t="n">
        <v>4448</v>
      </c>
      <c r="M1544" s="8" t="n">
        <v>-219</v>
      </c>
      <c r="N1544" s="8" t="n">
        <v>2043</v>
      </c>
      <c r="O1544" s="9" t="n">
        <v>2935</v>
      </c>
      <c r="P1544" s="10" t="n">
        <v>-1475</v>
      </c>
      <c r="Q1544" s="10" t="n">
        <v>-1666</v>
      </c>
      <c r="R1544" s="7" t="n">
        <v>1188</v>
      </c>
      <c r="S1544" s="8" t="n">
        <v>-3350</v>
      </c>
      <c r="T1544" s="8" t="inlineStr"/>
      <c r="U1544" s="9" t="n">
        <v>3276</v>
      </c>
      <c r="V1544" s="10" t="n">
        <v>-630</v>
      </c>
      <c r="W1544" s="10" t="n">
        <v>-93</v>
      </c>
      <c r="X1544" s="7" t="n">
        <v>3332</v>
      </c>
      <c r="Y1544" s="8" t="n">
        <v>-597</v>
      </c>
      <c r="Z1544" s="8" t="n">
        <v>-929</v>
      </c>
      <c r="AA1544" s="9" t="n">
        <v>3157</v>
      </c>
      <c r="AB1544" s="10" t="n">
        <v>-597</v>
      </c>
      <c r="AC1544" s="10" t="n">
        <v>-568</v>
      </c>
      <c r="AD1544" s="7" t="n">
        <v>3457</v>
      </c>
      <c r="AE1544" s="8" t="n">
        <v>-163</v>
      </c>
      <c r="AF1544" s="8" t="n">
        <v>-247</v>
      </c>
      <c r="AG1544" s="9" t="n">
        <v>3614</v>
      </c>
      <c r="AH1544" s="10" t="n">
        <v>-489</v>
      </c>
      <c r="AI1544" s="10" t="n">
        <v>-280</v>
      </c>
      <c r="AJ1544" s="11" t="n">
        <v>5071</v>
      </c>
      <c r="AK1544" s="12" t="n">
        <v>-464</v>
      </c>
      <c r="AL1544" s="12" t="n">
        <v>-344</v>
      </c>
      <c r="AM1544" s="13" t="n">
        <v>40.3</v>
      </c>
      <c r="AN1544" s="13" t="n">
        <v>52.2</v>
      </c>
      <c r="AO1544" s="13" t="n">
        <v>5.1</v>
      </c>
      <c r="AP1544" s="13" t="n">
        <v>22.3</v>
      </c>
    </row>
    <row r="1545">
      <c r="A1545" s="5" t="inlineStr">
        <is>
          <t>대성에너지</t>
        </is>
      </c>
      <c r="B1545" s="6" t="inlineStr">
        <is>
          <t>117580</t>
        </is>
      </c>
      <c r="C1545" s="6" t="inlineStr">
        <is>
          <t>별도</t>
        </is>
      </c>
      <c r="D1545" s="6" t="inlineStr">
        <is>
          <t>2026Q2</t>
        </is>
      </c>
      <c r="E1545" s="6" t="inlineStr"/>
      <c r="F1545" s="7" t="inlineStr"/>
      <c r="G1545" s="8" t="inlineStr"/>
      <c r="H1545" s="8" t="inlineStr"/>
      <c r="I1545" s="9" t="n">
        <v>393583</v>
      </c>
      <c r="J1545" s="10" t="n">
        <v>23185</v>
      </c>
      <c r="K1545" s="10" t="n">
        <v>18295</v>
      </c>
      <c r="L1545" s="7" t="n">
        <v>156640</v>
      </c>
      <c r="M1545" s="8" t="n">
        <v>-6676</v>
      </c>
      <c r="N1545" s="8" t="n">
        <v>-4454</v>
      </c>
      <c r="O1545" s="9" t="n">
        <v>137276</v>
      </c>
      <c r="P1545" s="10" t="n">
        <v>-6628</v>
      </c>
      <c r="Q1545" s="10" t="n">
        <v>-4152</v>
      </c>
      <c r="R1545" s="7" t="n">
        <v>307631</v>
      </c>
      <c r="S1545" s="8" t="n">
        <v>10595</v>
      </c>
      <c r="T1545" s="8" t="n">
        <v>7572</v>
      </c>
      <c r="U1545" s="9" t="n">
        <v>424172</v>
      </c>
      <c r="V1545" s="10" t="n">
        <v>26529</v>
      </c>
      <c r="W1545" s="10" t="n">
        <v>20906</v>
      </c>
      <c r="X1545" s="7" t="n">
        <v>170995</v>
      </c>
      <c r="Y1545" s="8" t="n">
        <v>1252</v>
      </c>
      <c r="Z1545" s="8" t="n">
        <v>1860</v>
      </c>
      <c r="AA1545" s="9" t="n">
        <v>128332</v>
      </c>
      <c r="AB1545" s="10" t="n">
        <v>-4658</v>
      </c>
      <c r="AC1545" s="10" t="n">
        <v>-3161</v>
      </c>
      <c r="AD1545" s="7" t="n">
        <v>294440</v>
      </c>
      <c r="AE1545" s="8" t="n">
        <v>7226</v>
      </c>
      <c r="AF1545" s="8" t="n">
        <v>5015</v>
      </c>
      <c r="AG1545" s="9" t="n">
        <v>392407</v>
      </c>
      <c r="AH1545" s="10" t="n">
        <v>25731</v>
      </c>
      <c r="AI1545" s="10" t="n">
        <v>19302</v>
      </c>
      <c r="AJ1545" s="11" t="n">
        <v>161047</v>
      </c>
      <c r="AK1545" s="12" t="n">
        <v>2734</v>
      </c>
      <c r="AL1545" s="12" t="n">
        <v>3076</v>
      </c>
      <c r="AM1545" s="13" t="n">
        <v>-59</v>
      </c>
      <c r="AN1545" s="13" t="n">
        <v>-5.8</v>
      </c>
      <c r="AO1545" s="13" t="n">
        <v>-89.40000000000001</v>
      </c>
      <c r="AP1545" s="13" t="n">
        <v>118.4</v>
      </c>
    </row>
    <row r="1546">
      <c r="A1546" s="5" t="inlineStr">
        <is>
          <t>알파칩스</t>
        </is>
      </c>
      <c r="B1546" s="6" t="inlineStr">
        <is>
          <t>117670</t>
        </is>
      </c>
      <c r="C1546" s="6" t="inlineStr">
        <is>
          <t>별도</t>
        </is>
      </c>
      <c r="D1546" s="6" t="inlineStr">
        <is>
          <t>2026Q2</t>
        </is>
      </c>
      <c r="E1546" s="6" t="inlineStr"/>
      <c r="F1546" s="7" t="inlineStr"/>
      <c r="G1546" s="8" t="inlineStr"/>
      <c r="H1546" s="8" t="inlineStr"/>
      <c r="I1546" s="9" t="n">
        <v>22266</v>
      </c>
      <c r="J1546" s="10" t="n">
        <v>-125</v>
      </c>
      <c r="K1546" s="10" t="n">
        <v>-1425</v>
      </c>
      <c r="L1546" s="7" t="n">
        <v>21437</v>
      </c>
      <c r="M1546" s="8" t="n">
        <v>-29</v>
      </c>
      <c r="N1546" s="8" t="n">
        <v>-1735</v>
      </c>
      <c r="O1546" s="9" t="n">
        <v>24046</v>
      </c>
      <c r="P1546" s="10" t="n">
        <v>157</v>
      </c>
      <c r="Q1546" s="10" t="n">
        <v>1237</v>
      </c>
      <c r="R1546" s="7" t="n">
        <v>17523</v>
      </c>
      <c r="S1546" s="8" t="n">
        <v>-1418</v>
      </c>
      <c r="T1546" s="8" t="n">
        <v>-6515</v>
      </c>
      <c r="U1546" s="9" t="n">
        <v>20100</v>
      </c>
      <c r="V1546" s="10" t="n">
        <v>-1375</v>
      </c>
      <c r="W1546" s="10" t="n">
        <v>-448</v>
      </c>
      <c r="X1546" s="7" t="n">
        <v>15941</v>
      </c>
      <c r="Y1546" s="8" t="n">
        <v>-1915</v>
      </c>
      <c r="Z1546" s="8" t="n">
        <v>-2438</v>
      </c>
      <c r="AA1546" s="9" t="n">
        <v>25250</v>
      </c>
      <c r="AB1546" s="10" t="n">
        <v>1472</v>
      </c>
      <c r="AC1546" s="10" t="n">
        <v>1648</v>
      </c>
      <c r="AD1546" s="7" t="n">
        <v>20989</v>
      </c>
      <c r="AE1546" s="8" t="n">
        <v>-226</v>
      </c>
      <c r="AF1546" s="8" t="n">
        <v>-238</v>
      </c>
      <c r="AG1546" s="9" t="n">
        <v>19678</v>
      </c>
      <c r="AH1546" s="10" t="n">
        <v>-472</v>
      </c>
      <c r="AI1546" s="10" t="n">
        <v>-94</v>
      </c>
      <c r="AJ1546" s="11" t="n">
        <v>20999</v>
      </c>
      <c r="AK1546" s="12" t="n">
        <v>-1158</v>
      </c>
      <c r="AL1546" s="12" t="n">
        <v>-860</v>
      </c>
      <c r="AM1546" s="13" t="n">
        <v>6.7</v>
      </c>
      <c r="AN1546" s="13" t="n">
        <v>31.7</v>
      </c>
      <c r="AO1546" s="13" t="n">
        <v>-145.3</v>
      </c>
      <c r="AP1546" s="13" t="n">
        <v>39.5</v>
      </c>
    </row>
    <row r="1547">
      <c r="A1547" s="5" t="inlineStr">
        <is>
          <t>티로보틱스</t>
        </is>
      </c>
      <c r="B1547" s="6" t="inlineStr">
        <is>
          <t>117730</t>
        </is>
      </c>
      <c r="C1547" s="6" t="inlineStr">
        <is>
          <t>연결</t>
        </is>
      </c>
      <c r="D1547" s="6" t="inlineStr">
        <is>
          <t>2026Q2</t>
        </is>
      </c>
      <c r="E1547" s="6" t="inlineStr"/>
      <c r="F1547" s="7" t="inlineStr"/>
      <c r="G1547" s="8" t="inlineStr"/>
      <c r="H1547" s="8" t="inlineStr"/>
      <c r="I1547" s="9" t="n">
        <v>15411</v>
      </c>
      <c r="J1547" s="10" t="n">
        <v>-2373</v>
      </c>
      <c r="K1547" s="10" t="n">
        <v>-2104</v>
      </c>
      <c r="L1547" s="7" t="n">
        <v>12118</v>
      </c>
      <c r="M1547" s="8" t="n">
        <v>-3566</v>
      </c>
      <c r="N1547" s="8" t="n">
        <v>-729</v>
      </c>
      <c r="O1547" s="9" t="n">
        <v>23416</v>
      </c>
      <c r="P1547" s="10" t="n">
        <v>1539</v>
      </c>
      <c r="Q1547" s="10" t="n">
        <v>-588</v>
      </c>
      <c r="R1547" s="7" t="n">
        <v>9760</v>
      </c>
      <c r="S1547" s="8" t="n">
        <v>-2602</v>
      </c>
      <c r="T1547" s="8" t="n">
        <v>2631</v>
      </c>
      <c r="U1547" s="9" t="n">
        <v>12692</v>
      </c>
      <c r="V1547" s="10" t="n">
        <v>293</v>
      </c>
      <c r="W1547" s="10" t="n">
        <v>-4727</v>
      </c>
      <c r="X1547" s="7" t="n">
        <v>10951</v>
      </c>
      <c r="Y1547" s="8" t="n">
        <v>-1026</v>
      </c>
      <c r="Z1547" s="8" t="n">
        <v>-12510</v>
      </c>
      <c r="AA1547" s="9" t="n">
        <v>13119</v>
      </c>
      <c r="AB1547" s="10" t="n">
        <v>-128</v>
      </c>
      <c r="AC1547" s="10" t="n">
        <v>2288</v>
      </c>
      <c r="AD1547" s="7" t="n">
        <v>7051</v>
      </c>
      <c r="AE1547" s="8" t="n">
        <v>-11047</v>
      </c>
      <c r="AF1547" s="8" t="n">
        <v>-28136</v>
      </c>
      <c r="AG1547" s="9" t="n">
        <v>8163</v>
      </c>
      <c r="AH1547" s="10" t="n">
        <v>-2952</v>
      </c>
      <c r="AI1547" s="10" t="n">
        <v>-616</v>
      </c>
      <c r="AJ1547" s="11" t="n">
        <v>10838</v>
      </c>
      <c r="AK1547" s="12" t="n">
        <v>-1412</v>
      </c>
      <c r="AL1547" s="12" t="n">
        <v>-966</v>
      </c>
      <c r="AM1547" s="13" t="n">
        <v>32.8</v>
      </c>
      <c r="AN1547" s="13" t="n">
        <v>-1</v>
      </c>
      <c r="AO1547" s="13" t="n">
        <v>52.2</v>
      </c>
      <c r="AP1547" s="13" t="n">
        <v>-37.6</v>
      </c>
    </row>
    <row r="1548">
      <c r="A1548" s="5" t="inlineStr">
        <is>
          <t>메타케어</t>
        </is>
      </c>
      <c r="B1548" s="6" t="inlineStr">
        <is>
          <t>118000</t>
        </is>
      </c>
      <c r="C1548" s="6" t="inlineStr">
        <is>
          <t>연결</t>
        </is>
      </c>
      <c r="D1548" s="6" t="inlineStr">
        <is>
          <t>2026Q2</t>
        </is>
      </c>
      <c r="E1548" s="6" t="inlineStr"/>
      <c r="F1548" s="7" t="inlineStr"/>
      <c r="G1548" s="8" t="inlineStr"/>
      <c r="H1548" s="8" t="inlineStr"/>
      <c r="I1548" s="9" t="n">
        <v>4886</v>
      </c>
      <c r="J1548" s="10" t="n">
        <v>358</v>
      </c>
      <c r="K1548" s="10" t="n">
        <v>12597</v>
      </c>
      <c r="L1548" s="7" t="n">
        <v>4867</v>
      </c>
      <c r="M1548" s="8" t="n">
        <v>166</v>
      </c>
      <c r="N1548" s="8" t="n">
        <v>-1641</v>
      </c>
      <c r="O1548" s="9" t="n">
        <v>4858</v>
      </c>
      <c r="P1548" s="10" t="n">
        <v>205</v>
      </c>
      <c r="Q1548" s="10" t="n">
        <v>479</v>
      </c>
      <c r="R1548" s="7" t="n">
        <v>5597</v>
      </c>
      <c r="S1548" s="8" t="n">
        <v>776</v>
      </c>
      <c r="T1548" s="8" t="n">
        <v>-3062</v>
      </c>
      <c r="U1548" s="9" t="n">
        <v>5994</v>
      </c>
      <c r="V1548" s="10" t="n">
        <v>533</v>
      </c>
      <c r="W1548" s="10" t="n">
        <v>-8</v>
      </c>
      <c r="X1548" s="7" t="n">
        <v>5762</v>
      </c>
      <c r="Y1548" s="8" t="n">
        <v>816</v>
      </c>
      <c r="Z1548" s="8" t="n">
        <v>2930</v>
      </c>
      <c r="AA1548" s="9" t="n">
        <v>10752</v>
      </c>
      <c r="AB1548" s="10" t="n">
        <v>119</v>
      </c>
      <c r="AC1548" s="10" t="n">
        <v>1047</v>
      </c>
      <c r="AD1548" s="7" t="n">
        <v>10314</v>
      </c>
      <c r="AE1548" s="8" t="n">
        <v>-143</v>
      </c>
      <c r="AF1548" s="8" t="n">
        <v>-4181</v>
      </c>
      <c r="AG1548" s="9" t="n">
        <v>10120</v>
      </c>
      <c r="AH1548" s="10" t="n">
        <v>577</v>
      </c>
      <c r="AI1548" s="10" t="n">
        <v>659</v>
      </c>
      <c r="AJ1548" s="11" t="n">
        <v>8761</v>
      </c>
      <c r="AK1548" s="12" t="n">
        <v>796</v>
      </c>
      <c r="AL1548" s="12" t="n">
        <v>635</v>
      </c>
      <c r="AM1548" s="13" t="n">
        <v>-13.4</v>
      </c>
      <c r="AN1548" s="13" t="n">
        <v>52</v>
      </c>
      <c r="AO1548" s="13" t="n">
        <v>38</v>
      </c>
      <c r="AP1548" s="13" t="n">
        <v>-2.5</v>
      </c>
    </row>
    <row r="1549">
      <c r="A1549" s="5" t="inlineStr">
        <is>
          <t>모트렉스</t>
        </is>
      </c>
      <c r="B1549" s="6" t="inlineStr">
        <is>
          <t>118990</t>
        </is>
      </c>
      <c r="C1549" s="6" t="inlineStr">
        <is>
          <t>연결</t>
        </is>
      </c>
      <c r="D1549" s="6" t="inlineStr">
        <is>
          <t>2026Q2</t>
        </is>
      </c>
      <c r="E1549" s="6" t="inlineStr"/>
      <c r="F1549" s="7" t="inlineStr"/>
      <c r="G1549" s="8" t="inlineStr"/>
      <c r="H1549" s="8" t="inlineStr"/>
      <c r="I1549" s="9" t="n">
        <v>110290</v>
      </c>
      <c r="J1549" s="10" t="n">
        <v>10928</v>
      </c>
      <c r="K1549" s="10" t="n">
        <v>10766</v>
      </c>
      <c r="L1549" s="7" t="n">
        <v>128946</v>
      </c>
      <c r="M1549" s="8" t="n">
        <v>14202</v>
      </c>
      <c r="N1549" s="8" t="n">
        <v>8383</v>
      </c>
      <c r="O1549" s="9" t="n">
        <v>161767</v>
      </c>
      <c r="P1549" s="10" t="n">
        <v>15874</v>
      </c>
      <c r="Q1549" s="10" t="n">
        <v>-3556</v>
      </c>
      <c r="R1549" s="7" t="n">
        <v>185883</v>
      </c>
      <c r="S1549" s="8" t="n">
        <v>2607</v>
      </c>
      <c r="T1549" s="8" t="n">
        <v>3740</v>
      </c>
      <c r="U1549" s="9" t="n">
        <v>190093</v>
      </c>
      <c r="V1549" s="10" t="n">
        <v>19685</v>
      </c>
      <c r="W1549" s="10" t="n">
        <v>11085</v>
      </c>
      <c r="X1549" s="7" t="n">
        <v>176661</v>
      </c>
      <c r="Y1549" s="8" t="n">
        <v>12865</v>
      </c>
      <c r="Z1549" s="8" t="n">
        <v>3386</v>
      </c>
      <c r="AA1549" s="9" t="n">
        <v>167521</v>
      </c>
      <c r="AB1549" s="10" t="n">
        <v>8066</v>
      </c>
      <c r="AC1549" s="10" t="n">
        <v>4611</v>
      </c>
      <c r="AD1549" s="7" t="n">
        <v>167999</v>
      </c>
      <c r="AE1549" s="8" t="n">
        <v>1173</v>
      </c>
      <c r="AF1549" s="8" t="n">
        <v>-6546</v>
      </c>
      <c r="AG1549" s="9" t="n">
        <v>179832</v>
      </c>
      <c r="AH1549" s="10" t="n">
        <v>11714</v>
      </c>
      <c r="AI1549" s="10" t="n">
        <v>7661</v>
      </c>
      <c r="AJ1549" s="11" t="n">
        <v>186411</v>
      </c>
      <c r="AK1549" s="12" t="n">
        <v>18313</v>
      </c>
      <c r="AL1549" s="12" t="n">
        <v>18662</v>
      </c>
      <c r="AM1549" s="13" t="n">
        <v>3.7</v>
      </c>
      <c r="AN1549" s="13" t="n">
        <v>5.5</v>
      </c>
      <c r="AO1549" s="13" t="n">
        <v>56.3</v>
      </c>
      <c r="AP1549" s="13" t="n">
        <v>42.3</v>
      </c>
    </row>
    <row r="1550">
      <c r="A1550" s="5" t="inlineStr">
        <is>
          <t>포메탈</t>
        </is>
      </c>
      <c r="B1550" s="6" t="inlineStr">
        <is>
          <t>119500</t>
        </is>
      </c>
      <c r="C1550" s="6" t="inlineStr">
        <is>
          <t>별도</t>
        </is>
      </c>
      <c r="D1550" s="6" t="inlineStr">
        <is>
          <t>2026Q2</t>
        </is>
      </c>
      <c r="E1550" s="6" t="inlineStr"/>
      <c r="F1550" s="7" t="inlineStr"/>
      <c r="G1550" s="8" t="inlineStr"/>
      <c r="H1550" s="8" t="inlineStr"/>
      <c r="I1550" s="9" t="n">
        <v>16450</v>
      </c>
      <c r="J1550" s="10" t="n">
        <v>383</v>
      </c>
      <c r="K1550" s="10" t="n">
        <v>371</v>
      </c>
      <c r="L1550" s="7" t="n">
        <v>17356</v>
      </c>
      <c r="M1550" s="8" t="n">
        <v>821</v>
      </c>
      <c r="N1550" s="8" t="n">
        <v>658</v>
      </c>
      <c r="O1550" s="9" t="n">
        <v>15916</v>
      </c>
      <c r="P1550" s="10" t="n">
        <v>392</v>
      </c>
      <c r="Q1550" s="10" t="n">
        <v>482</v>
      </c>
      <c r="R1550" s="7" t="n">
        <v>15427</v>
      </c>
      <c r="S1550" s="8" t="n">
        <v>-101</v>
      </c>
      <c r="T1550" s="8" t="n">
        <v>56</v>
      </c>
      <c r="U1550" s="9" t="n">
        <v>16075</v>
      </c>
      <c r="V1550" s="10" t="n">
        <v>482</v>
      </c>
      <c r="W1550" s="10" t="n">
        <v>584</v>
      </c>
      <c r="X1550" s="7" t="n">
        <v>18136</v>
      </c>
      <c r="Y1550" s="8" t="n">
        <v>1022</v>
      </c>
      <c r="Z1550" s="8" t="n">
        <v>827</v>
      </c>
      <c r="AA1550" s="9" t="n">
        <v>16904</v>
      </c>
      <c r="AB1550" s="10" t="n">
        <v>436</v>
      </c>
      <c r="AC1550" s="10" t="n">
        <v>449</v>
      </c>
      <c r="AD1550" s="7" t="n">
        <v>0</v>
      </c>
      <c r="AE1550" s="8" t="n">
        <v>0</v>
      </c>
      <c r="AF1550" s="8" t="n">
        <v>298</v>
      </c>
      <c r="AG1550" s="9" t="n">
        <v>15142</v>
      </c>
      <c r="AH1550" s="10" t="n">
        <v>368</v>
      </c>
      <c r="AI1550" s="10" t="n">
        <v>469</v>
      </c>
      <c r="AJ1550" s="11" t="n">
        <v>17522</v>
      </c>
      <c r="AK1550" s="12" t="n">
        <v>698</v>
      </c>
      <c r="AL1550" s="12" t="n">
        <v>596</v>
      </c>
      <c r="AM1550" s="13" t="n">
        <v>15.7</v>
      </c>
      <c r="AN1550" s="13" t="n">
        <v>-3.4</v>
      </c>
      <c r="AO1550" s="13" t="n">
        <v>89.7</v>
      </c>
      <c r="AP1550" s="13" t="n">
        <v>-31.7</v>
      </c>
    </row>
    <row r="1551">
      <c r="A1551" s="5" t="inlineStr">
        <is>
          <t>인터로조</t>
        </is>
      </c>
      <c r="B1551" s="6" t="inlineStr">
        <is>
          <t>119610</t>
        </is>
      </c>
      <c r="C1551" s="6" t="inlineStr">
        <is>
          <t>연결</t>
        </is>
      </c>
      <c r="D1551" s="6" t="inlineStr">
        <is>
          <t>2026Q2</t>
        </is>
      </c>
      <c r="E1551" s="6" t="inlineStr"/>
      <c r="F1551" s="7" t="inlineStr"/>
      <c r="G1551" s="8" t="inlineStr"/>
      <c r="H1551" s="8" t="inlineStr"/>
      <c r="I1551" s="9" t="n">
        <v>33635</v>
      </c>
      <c r="J1551" s="10" t="n">
        <v>5530</v>
      </c>
      <c r="K1551" s="10" t="n">
        <v>3750</v>
      </c>
      <c r="L1551" s="7" t="n">
        <v>25319</v>
      </c>
      <c r="M1551" s="8" t="n">
        <v>1342</v>
      </c>
      <c r="N1551" s="8" t="n">
        <v>-2073</v>
      </c>
      <c r="O1551" s="9" t="n">
        <v>33097</v>
      </c>
      <c r="P1551" s="10" t="n">
        <v>3965</v>
      </c>
      <c r="Q1551" s="10" t="n">
        <v>3541</v>
      </c>
      <c r="R1551" s="7" t="n">
        <v>23789</v>
      </c>
      <c r="S1551" s="8" t="n">
        <v>-5021</v>
      </c>
      <c r="T1551" s="8" t="n">
        <v>-5038</v>
      </c>
      <c r="U1551" s="9" t="n">
        <v>23126</v>
      </c>
      <c r="V1551" s="10" t="n">
        <v>2178</v>
      </c>
      <c r="W1551" s="10" t="n">
        <v>1410</v>
      </c>
      <c r="X1551" s="7" t="n">
        <v>31336</v>
      </c>
      <c r="Y1551" s="8" t="n">
        <v>6343</v>
      </c>
      <c r="Z1551" s="8" t="n">
        <v>3473</v>
      </c>
      <c r="AA1551" s="9" t="n">
        <v>32354</v>
      </c>
      <c r="AB1551" s="10" t="n">
        <v>4719</v>
      </c>
      <c r="AC1551" s="10" t="n">
        <v>3848</v>
      </c>
      <c r="AD1551" s="7" t="n">
        <v>31624</v>
      </c>
      <c r="AE1551" s="8" t="n">
        <v>6243</v>
      </c>
      <c r="AF1551" s="8" t="n">
        <v>4203</v>
      </c>
      <c r="AG1551" s="9" t="n">
        <v>30716</v>
      </c>
      <c r="AH1551" s="10" t="n">
        <v>6226</v>
      </c>
      <c r="AI1551" s="10" t="n">
        <v>4968</v>
      </c>
      <c r="AJ1551" s="11" t="n">
        <v>29448</v>
      </c>
      <c r="AK1551" s="12" t="n">
        <v>5984</v>
      </c>
      <c r="AL1551" s="12" t="n">
        <v>4777</v>
      </c>
      <c r="AM1551" s="13" t="n">
        <v>-4.1</v>
      </c>
      <c r="AN1551" s="13" t="n">
        <v>-6</v>
      </c>
      <c r="AO1551" s="13" t="n">
        <v>-3.9</v>
      </c>
      <c r="AP1551" s="13" t="n">
        <v>-5.7</v>
      </c>
    </row>
    <row r="1552">
      <c r="A1552" s="5" t="inlineStr">
        <is>
          <t>KC코트렐</t>
        </is>
      </c>
      <c r="B1552" s="6" t="inlineStr">
        <is>
          <t>119650</t>
        </is>
      </c>
      <c r="C1552" s="6" t="inlineStr">
        <is>
          <t>연결</t>
        </is>
      </c>
      <c r="D1552" s="6" t="inlineStr">
        <is>
          <t>2026Q2</t>
        </is>
      </c>
      <c r="E1552" s="6" t="inlineStr"/>
      <c r="F1552" s="7" t="inlineStr"/>
      <c r="G1552" s="8" t="inlineStr"/>
      <c r="H1552" s="8" t="inlineStr"/>
      <c r="I1552" s="9" t="n">
        <v>100322</v>
      </c>
      <c r="J1552" s="10" t="n">
        <v>3247</v>
      </c>
      <c r="K1552" s="10" t="n">
        <v>3007</v>
      </c>
      <c r="L1552" s="7" t="n">
        <v>69329</v>
      </c>
      <c r="M1552" s="8" t="n">
        <v>-66448</v>
      </c>
      <c r="N1552" s="8" t="n">
        <v>-67610</v>
      </c>
      <c r="O1552" s="9" t="n">
        <v>82380</v>
      </c>
      <c r="P1552" s="10" t="n">
        <v>28</v>
      </c>
      <c r="Q1552" s="10" t="n">
        <v>-10139</v>
      </c>
      <c r="R1552" s="7" t="n">
        <v>88909</v>
      </c>
      <c r="S1552" s="8" t="n">
        <v>-4647</v>
      </c>
      <c r="T1552" s="8" t="n">
        <v>43754</v>
      </c>
      <c r="U1552" s="9" t="n">
        <v>52215</v>
      </c>
      <c r="V1552" s="10" t="n">
        <v>-249</v>
      </c>
      <c r="W1552" s="10" t="n">
        <v>-3907</v>
      </c>
      <c r="X1552" s="7" t="n">
        <v>53042</v>
      </c>
      <c r="Y1552" s="8" t="n">
        <v>-449</v>
      </c>
      <c r="Z1552" s="8" t="n">
        <v>-8696</v>
      </c>
      <c r="AA1552" s="9" t="n">
        <v>47895</v>
      </c>
      <c r="AB1552" s="10" t="n">
        <v>-1576</v>
      </c>
      <c r="AC1552" s="10" t="n">
        <v>-185</v>
      </c>
      <c r="AD1552" s="7" t="n">
        <v>39721</v>
      </c>
      <c r="AE1552" s="8" t="n">
        <v>-6591</v>
      </c>
      <c r="AF1552" s="8" t="n">
        <v>2398</v>
      </c>
      <c r="AG1552" s="9" t="n">
        <v>24825</v>
      </c>
      <c r="AH1552" s="10" t="n">
        <v>1590</v>
      </c>
      <c r="AI1552" s="10" t="n">
        <v>8513</v>
      </c>
      <c r="AJ1552" s="11" t="n">
        <v>15547</v>
      </c>
      <c r="AK1552" s="12" t="n">
        <v>-3009</v>
      </c>
      <c r="AL1552" s="12" t="n">
        <v>-103</v>
      </c>
      <c r="AM1552" s="13" t="n">
        <v>-37.4</v>
      </c>
      <c r="AN1552" s="13" t="n">
        <v>-70.7</v>
      </c>
      <c r="AO1552" s="13" t="n">
        <v>-289.2</v>
      </c>
      <c r="AP1552" s="13" t="n">
        <v>-570.2</v>
      </c>
    </row>
    <row r="1553">
      <c r="A1553" s="5" t="inlineStr">
        <is>
          <t>아이텍</t>
        </is>
      </c>
      <c r="B1553" s="6" t="inlineStr">
        <is>
          <t>119830</t>
        </is>
      </c>
      <c r="C1553" s="6" t="inlineStr">
        <is>
          <t>연결</t>
        </is>
      </c>
      <c r="D1553" s="6" t="inlineStr">
        <is>
          <t>2026Q2</t>
        </is>
      </c>
      <c r="E1553" s="6" t="inlineStr"/>
      <c r="F1553" s="7" t="inlineStr"/>
      <c r="G1553" s="8" t="inlineStr"/>
      <c r="H1553" s="8" t="inlineStr"/>
      <c r="I1553" s="9" t="n">
        <v>22944</v>
      </c>
      <c r="J1553" s="10" t="n">
        <v>1592</v>
      </c>
      <c r="K1553" s="10" t="n">
        <v>5873</v>
      </c>
      <c r="L1553" s="7" t="n">
        <v>22722</v>
      </c>
      <c r="M1553" s="8" t="n">
        <v>-776</v>
      </c>
      <c r="N1553" s="8" t="n">
        <v>-39</v>
      </c>
      <c r="O1553" s="9" t="n">
        <v>24353</v>
      </c>
      <c r="P1553" s="10" t="n">
        <v>475</v>
      </c>
      <c r="Q1553" s="10" t="n">
        <v>3563</v>
      </c>
      <c r="R1553" s="7" t="n">
        <v>-8062</v>
      </c>
      <c r="S1553" s="8" t="n">
        <v>-6158</v>
      </c>
      <c r="T1553" s="8" t="n">
        <v>10611</v>
      </c>
      <c r="U1553" s="9" t="n">
        <v>13888</v>
      </c>
      <c r="V1553" s="10" t="n">
        <v>-1597</v>
      </c>
      <c r="W1553" s="10" t="n">
        <v>-1777</v>
      </c>
      <c r="X1553" s="7" t="n">
        <v>15465</v>
      </c>
      <c r="Y1553" s="8" t="n">
        <v>-1553</v>
      </c>
      <c r="Z1553" s="8" t="n">
        <v>1401</v>
      </c>
      <c r="AA1553" s="9" t="n">
        <v>14334</v>
      </c>
      <c r="AB1553" s="10" t="n">
        <v>-379</v>
      </c>
      <c r="AC1553" s="10" t="n">
        <v>661</v>
      </c>
      <c r="AD1553" s="7" t="n">
        <v>4831</v>
      </c>
      <c r="AE1553" s="8" t="n">
        <v>3272</v>
      </c>
      <c r="AF1553" s="8" t="n">
        <v>-7287</v>
      </c>
      <c r="AG1553" s="9" t="n">
        <v>12127</v>
      </c>
      <c r="AH1553" s="10" t="n">
        <v>-297</v>
      </c>
      <c r="AI1553" s="10" t="n">
        <v>-8500</v>
      </c>
      <c r="AJ1553" s="11" t="n">
        <v>14245</v>
      </c>
      <c r="AK1553" s="12" t="n">
        <v>1083</v>
      </c>
      <c r="AL1553" s="12" t="n">
        <v>2768</v>
      </c>
      <c r="AM1553" s="13" t="n">
        <v>17.5</v>
      </c>
      <c r="AN1553" s="13" t="n">
        <v>-7.9</v>
      </c>
      <c r="AO1553" s="13" t="n">
        <v>464.6</v>
      </c>
      <c r="AP1553" s="13" t="n">
        <v>169.7</v>
      </c>
    </row>
    <row r="1554">
      <c r="A1554" s="5" t="inlineStr">
        <is>
          <t>지엔씨에너지</t>
        </is>
      </c>
      <c r="B1554" s="6" t="inlineStr">
        <is>
          <t>119850</t>
        </is>
      </c>
      <c r="C1554" s="6" t="inlineStr">
        <is>
          <t>연결</t>
        </is>
      </c>
      <c r="D1554" s="6" t="inlineStr">
        <is>
          <t>2026Q2</t>
        </is>
      </c>
      <c r="E1554" s="6" t="inlineStr"/>
      <c r="F1554" s="7" t="inlineStr"/>
      <c r="G1554" s="8" t="inlineStr"/>
      <c r="H1554" s="8" t="inlineStr"/>
      <c r="I1554" s="9" t="n">
        <v>40262</v>
      </c>
      <c r="J1554" s="10" t="n">
        <v>2379</v>
      </c>
      <c r="K1554" s="10" t="n">
        <v>3371</v>
      </c>
      <c r="L1554" s="7" t="n">
        <v>36979</v>
      </c>
      <c r="M1554" s="8" t="n">
        <v>2970</v>
      </c>
      <c r="N1554" s="8" t="n">
        <v>16896</v>
      </c>
      <c r="O1554" s="9" t="n">
        <v>73974</v>
      </c>
      <c r="P1554" s="10" t="n">
        <v>13227</v>
      </c>
      <c r="Q1554" s="10" t="n">
        <v>12724</v>
      </c>
      <c r="R1554" s="7" t="n">
        <v>75101</v>
      </c>
      <c r="S1554" s="8" t="n">
        <v>13128</v>
      </c>
      <c r="T1554" s="8" t="n">
        <v>5874</v>
      </c>
      <c r="U1554" s="9" t="n">
        <v>66275</v>
      </c>
      <c r="V1554" s="10" t="n">
        <v>14987</v>
      </c>
      <c r="W1554" s="10" t="n">
        <v>13088</v>
      </c>
      <c r="X1554" s="7" t="n">
        <v>60825</v>
      </c>
      <c r="Y1554" s="8" t="n">
        <v>12206</v>
      </c>
      <c r="Z1554" s="8" t="n">
        <v>9730</v>
      </c>
      <c r="AA1554" s="9" t="n">
        <v>69497</v>
      </c>
      <c r="AB1554" s="10" t="n">
        <v>12765</v>
      </c>
      <c r="AC1554" s="10" t="n">
        <v>11780</v>
      </c>
      <c r="AD1554" s="7" t="n">
        <v>66037</v>
      </c>
      <c r="AE1554" s="8" t="n">
        <v>9414</v>
      </c>
      <c r="AF1554" s="8" t="n">
        <v>5419</v>
      </c>
      <c r="AG1554" s="9" t="n">
        <v>55427</v>
      </c>
      <c r="AH1554" s="10" t="n">
        <v>4404</v>
      </c>
      <c r="AI1554" s="10" t="n">
        <v>12331</v>
      </c>
      <c r="AJ1554" s="11" t="n">
        <v>66496</v>
      </c>
      <c r="AK1554" s="12" t="n">
        <v>10160</v>
      </c>
      <c r="AL1554" s="12" t="n">
        <v>14090</v>
      </c>
      <c r="AM1554" s="13" t="n">
        <v>20</v>
      </c>
      <c r="AN1554" s="13" t="n">
        <v>9.300000000000001</v>
      </c>
      <c r="AO1554" s="13" t="n">
        <v>130.7</v>
      </c>
      <c r="AP1554" s="13" t="n">
        <v>-16.8</v>
      </c>
    </row>
    <row r="1555">
      <c r="A1555" s="5" t="inlineStr">
        <is>
          <t>조선선재</t>
        </is>
      </c>
      <c r="B1555" s="6" t="inlineStr">
        <is>
          <t>120030</t>
        </is>
      </c>
      <c r="C1555" s="6" t="inlineStr">
        <is>
          <t>별도</t>
        </is>
      </c>
      <c r="D1555" s="6" t="inlineStr">
        <is>
          <t>2026Q2</t>
        </is>
      </c>
      <c r="E1555" s="6" t="inlineStr"/>
      <c r="F1555" s="7" t="inlineStr"/>
      <c r="G1555" s="8" t="inlineStr"/>
      <c r="H1555" s="8" t="inlineStr"/>
      <c r="I1555" s="9" t="n">
        <v>10654</v>
      </c>
      <c r="J1555" s="10" t="n">
        <v>1107</v>
      </c>
      <c r="K1555" s="10" t="n">
        <v>3183</v>
      </c>
      <c r="L1555" s="7" t="n">
        <v>12533</v>
      </c>
      <c r="M1555" s="8" t="n">
        <v>2359</v>
      </c>
      <c r="N1555" s="8" t="n">
        <v>2866</v>
      </c>
      <c r="O1555" s="9" t="n">
        <v>13699</v>
      </c>
      <c r="P1555" s="10" t="n">
        <v>2637</v>
      </c>
      <c r="Q1555" s="10" t="n">
        <v>3284</v>
      </c>
      <c r="R1555" s="7" t="n">
        <v>14022</v>
      </c>
      <c r="S1555" s="8" t="n">
        <v>2580</v>
      </c>
      <c r="T1555" s="8" t="n">
        <v>6942</v>
      </c>
      <c r="U1555" s="9" t="n">
        <v>11761</v>
      </c>
      <c r="V1555" s="10" t="n">
        <v>1563</v>
      </c>
      <c r="W1555" s="10" t="n">
        <v>2753</v>
      </c>
      <c r="X1555" s="7" t="n">
        <v>14548</v>
      </c>
      <c r="Y1555" s="8" t="n">
        <v>2313</v>
      </c>
      <c r="Z1555" s="8" t="n">
        <v>-143</v>
      </c>
      <c r="AA1555" s="9" t="n">
        <v>12595</v>
      </c>
      <c r="AB1555" s="10" t="n">
        <v>1878</v>
      </c>
      <c r="AC1555" s="10" t="n">
        <v>3309</v>
      </c>
      <c r="AD1555" s="7" t="n">
        <v>12858</v>
      </c>
      <c r="AE1555" s="8" t="n">
        <v>2032</v>
      </c>
      <c r="AF1555" s="8" t="n">
        <v>3457</v>
      </c>
      <c r="AG1555" s="9" t="n">
        <v>12343</v>
      </c>
      <c r="AH1555" s="10" t="n">
        <v>1489</v>
      </c>
      <c r="AI1555" s="10" t="n">
        <v>3936</v>
      </c>
      <c r="AJ1555" s="11" t="n">
        <v>16445</v>
      </c>
      <c r="AK1555" s="12" t="n">
        <v>3955</v>
      </c>
      <c r="AL1555" s="12" t="n">
        <v>2852</v>
      </c>
      <c r="AM1555" s="13" t="n">
        <v>33.2</v>
      </c>
      <c r="AN1555" s="13" t="n">
        <v>13</v>
      </c>
      <c r="AO1555" s="13" t="n">
        <v>165.6</v>
      </c>
      <c r="AP1555" s="13" t="n">
        <v>71</v>
      </c>
    </row>
    <row r="1556">
      <c r="A1556" s="5" t="inlineStr">
        <is>
          <t>코오롱인더</t>
        </is>
      </c>
      <c r="B1556" s="6" t="inlineStr">
        <is>
          <t>120110</t>
        </is>
      </c>
      <c r="C1556" s="6" t="inlineStr">
        <is>
          <t>연결</t>
        </is>
      </c>
      <c r="D1556" s="6" t="inlineStr">
        <is>
          <t>2026Q2</t>
        </is>
      </c>
      <c r="E1556" s="6" t="inlineStr">
        <is>
          <t>2023Q4</t>
        </is>
      </c>
      <c r="F1556" s="14" t="n">
        <v>1301402</v>
      </c>
      <c r="G1556" s="15" t="n">
        <v>40894</v>
      </c>
      <c r="H1556" s="15" t="n">
        <v>-7976</v>
      </c>
      <c r="I1556" s="9" t="n">
        <v>1161196</v>
      </c>
      <c r="J1556" s="10" t="n">
        <v>30647</v>
      </c>
      <c r="K1556" s="10" t="n">
        <v>20314</v>
      </c>
      <c r="L1556" s="7" t="n">
        <v>1283978</v>
      </c>
      <c r="M1556" s="8" t="n">
        <v>59430</v>
      </c>
      <c r="N1556" s="8" t="n">
        <v>43919</v>
      </c>
      <c r="O1556" s="9" t="n">
        <v>1099510</v>
      </c>
      <c r="P1556" s="10" t="n">
        <v>32869</v>
      </c>
      <c r="Q1556" s="10" t="n">
        <v>-4264</v>
      </c>
      <c r="R1556" s="7" t="n">
        <v>1298319</v>
      </c>
      <c r="S1556" s="8" t="n">
        <v>35777</v>
      </c>
      <c r="T1556" s="8" t="n">
        <v>50660</v>
      </c>
      <c r="U1556" s="9" t="n">
        <v>1231583</v>
      </c>
      <c r="V1556" s="10" t="n">
        <v>26932</v>
      </c>
      <c r="W1556" s="10" t="n">
        <v>19774</v>
      </c>
      <c r="X1556" s="7" t="n">
        <v>1258513</v>
      </c>
      <c r="Y1556" s="8" t="n">
        <v>45305</v>
      </c>
      <c r="Z1556" s="8" t="n">
        <v>29093</v>
      </c>
      <c r="AA1556" s="9" t="n">
        <v>1180607</v>
      </c>
      <c r="AB1556" s="10" t="n">
        <v>26899</v>
      </c>
      <c r="AC1556" s="10" t="n">
        <v>10218</v>
      </c>
      <c r="AD1556" s="7" t="n">
        <v>1202696</v>
      </c>
      <c r="AE1556" s="8" t="n">
        <v>9760</v>
      </c>
      <c r="AF1556" s="8" t="n">
        <v>-7511</v>
      </c>
      <c r="AG1556" s="9" t="n">
        <v>1237421</v>
      </c>
      <c r="AH1556" s="10" t="n">
        <v>61916</v>
      </c>
      <c r="AI1556" s="10" t="n">
        <v>79707</v>
      </c>
      <c r="AJ1556" s="11" t="n">
        <v>1356513</v>
      </c>
      <c r="AK1556" s="12" t="n">
        <v>98748</v>
      </c>
      <c r="AL1556" s="12" t="n">
        <v>65998</v>
      </c>
      <c r="AM1556" s="13" t="n">
        <v>9.6</v>
      </c>
      <c r="AN1556" s="13" t="n">
        <v>7.8</v>
      </c>
      <c r="AO1556" s="13" t="n">
        <v>59.5</v>
      </c>
      <c r="AP1556" s="13" t="n">
        <v>118</v>
      </c>
    </row>
    <row r="1557">
      <c r="A1557" s="5" t="inlineStr">
        <is>
          <t>대정화금</t>
        </is>
      </c>
      <c r="B1557" s="6" t="inlineStr">
        <is>
          <t>120240</t>
        </is>
      </c>
      <c r="C1557" s="6" t="inlineStr">
        <is>
          <t>별도</t>
        </is>
      </c>
      <c r="D1557" s="6" t="inlineStr">
        <is>
          <t>2026Q2</t>
        </is>
      </c>
      <c r="E1557" s="6" t="inlineStr"/>
      <c r="F1557" s="7" t="inlineStr"/>
      <c r="G1557" s="8" t="inlineStr"/>
      <c r="H1557" s="8" t="inlineStr"/>
      <c r="I1557" s="9" t="n">
        <v>22580</v>
      </c>
      <c r="J1557" s="10" t="n">
        <v>2174</v>
      </c>
      <c r="K1557" s="10" t="n">
        <v>3051</v>
      </c>
      <c r="L1557" s="7" t="n">
        <v>23343</v>
      </c>
      <c r="M1557" s="8" t="n">
        <v>1888</v>
      </c>
      <c r="N1557" s="8" t="n">
        <v>2566</v>
      </c>
      <c r="O1557" s="9" t="n">
        <v>22028</v>
      </c>
      <c r="P1557" s="10" t="n">
        <v>2324</v>
      </c>
      <c r="Q1557" s="10" t="n">
        <v>2802</v>
      </c>
      <c r="R1557" s="7" t="n">
        <v>24353</v>
      </c>
      <c r="S1557" s="8" t="n">
        <v>2094</v>
      </c>
      <c r="T1557" s="8" t="n">
        <v>1262</v>
      </c>
      <c r="U1557" s="9" t="n">
        <v>23643</v>
      </c>
      <c r="V1557" s="10" t="n">
        <v>1937</v>
      </c>
      <c r="W1557" s="10" t="n">
        <v>2662</v>
      </c>
      <c r="X1557" s="7" t="n">
        <v>26968</v>
      </c>
      <c r="Y1557" s="8" t="n">
        <v>2567</v>
      </c>
      <c r="Z1557" s="8" t="n">
        <v>2293</v>
      </c>
      <c r="AA1557" s="9" t="n">
        <v>29087</v>
      </c>
      <c r="AB1557" s="10" t="n">
        <v>3650</v>
      </c>
      <c r="AC1557" s="10" t="n">
        <v>3239</v>
      </c>
      <c r="AD1557" s="7" t="n">
        <v>28383</v>
      </c>
      <c r="AE1557" s="8" t="n">
        <v>3028</v>
      </c>
      <c r="AF1557" s="8" t="n">
        <v>5355</v>
      </c>
      <c r="AG1557" s="9" t="n">
        <v>29487</v>
      </c>
      <c r="AH1557" s="10" t="n">
        <v>3979</v>
      </c>
      <c r="AI1557" s="10" t="n">
        <v>3627</v>
      </c>
      <c r="AJ1557" s="11" t="n">
        <v>32309</v>
      </c>
      <c r="AK1557" s="12" t="n">
        <v>5262</v>
      </c>
      <c r="AL1557" s="12" t="n">
        <v>4820</v>
      </c>
      <c r="AM1557" s="13" t="n">
        <v>9.6</v>
      </c>
      <c r="AN1557" s="13" t="n">
        <v>19.8</v>
      </c>
      <c r="AO1557" s="13" t="n">
        <v>32.2</v>
      </c>
      <c r="AP1557" s="13" t="n">
        <v>105</v>
      </c>
    </row>
    <row r="1558">
      <c r="A1558" s="5" t="inlineStr">
        <is>
          <t>골프존홀딩스</t>
        </is>
      </c>
      <c r="B1558" s="6" t="inlineStr">
        <is>
          <t>121440</t>
        </is>
      </c>
      <c r="C1558" s="6" t="inlineStr">
        <is>
          <t>연결</t>
        </is>
      </c>
      <c r="D1558" s="6" t="inlineStr">
        <is>
          <t>2026Q2</t>
        </is>
      </c>
      <c r="E1558" s="6" t="inlineStr"/>
      <c r="F1558" s="7" t="inlineStr"/>
      <c r="G1558" s="8" t="inlineStr"/>
      <c r="H1558" s="8" t="inlineStr"/>
      <c r="I1558" s="9" t="n">
        <v>83984</v>
      </c>
      <c r="J1558" s="10" t="n">
        <v>5837</v>
      </c>
      <c r="K1558" s="10" t="n">
        <v>3249</v>
      </c>
      <c r="L1558" s="7" t="n">
        <v>117368</v>
      </c>
      <c r="M1558" s="8" t="n">
        <v>19363</v>
      </c>
      <c r="N1558" s="8" t="n">
        <v>14202</v>
      </c>
      <c r="O1558" s="9" t="n">
        <v>106794</v>
      </c>
      <c r="P1558" s="10" t="n">
        <v>12876</v>
      </c>
      <c r="Q1558" s="10" t="n">
        <v>25443</v>
      </c>
      <c r="R1558" s="7" t="n">
        <v>78044</v>
      </c>
      <c r="S1558" s="8" t="n">
        <v>1371</v>
      </c>
      <c r="T1558" s="8" t="n">
        <v>746</v>
      </c>
      <c r="U1558" s="9" t="n">
        <v>70086</v>
      </c>
      <c r="V1558" s="10" t="n">
        <v>2545</v>
      </c>
      <c r="W1558" s="10" t="n">
        <v>8453</v>
      </c>
      <c r="X1558" s="7" t="n">
        <v>104929</v>
      </c>
      <c r="Y1558" s="8" t="n">
        <v>15139</v>
      </c>
      <c r="Z1558" s="8" t="n">
        <v>10762</v>
      </c>
      <c r="AA1558" s="9" t="n">
        <v>100643</v>
      </c>
      <c r="AB1558" s="10" t="n">
        <v>9726</v>
      </c>
      <c r="AC1558" s="10" t="n">
        <v>8054</v>
      </c>
      <c r="AD1558" s="7" t="n">
        <v>78661</v>
      </c>
      <c r="AE1558" s="8" t="n">
        <v>616</v>
      </c>
      <c r="AF1558" s="8" t="n">
        <v>-3203</v>
      </c>
      <c r="AG1558" s="9" t="n">
        <v>69523</v>
      </c>
      <c r="AH1558" s="10" t="n">
        <v>2610</v>
      </c>
      <c r="AI1558" s="10" t="n">
        <v>1626</v>
      </c>
      <c r="AJ1558" s="11" t="n">
        <v>105794</v>
      </c>
      <c r="AK1558" s="12" t="n">
        <v>14375</v>
      </c>
      <c r="AL1558" s="12" t="n">
        <v>9214</v>
      </c>
      <c r="AM1558" s="13" t="n">
        <v>52.2</v>
      </c>
      <c r="AN1558" s="13" t="n">
        <v>0.8</v>
      </c>
      <c r="AO1558" s="13" t="n">
        <v>450.8</v>
      </c>
      <c r="AP1558" s="13" t="n">
        <v>-5</v>
      </c>
    </row>
    <row r="1559">
      <c r="A1559" s="5" t="inlineStr">
        <is>
          <t>나노신소재</t>
        </is>
      </c>
      <c r="B1559" s="6" t="inlineStr">
        <is>
          <t>121600</t>
        </is>
      </c>
      <c r="C1559" s="6" t="inlineStr">
        <is>
          <t>연결</t>
        </is>
      </c>
      <c r="D1559" s="6" t="inlineStr">
        <is>
          <t>2026Q2</t>
        </is>
      </c>
      <c r="E1559" s="6" t="inlineStr"/>
      <c r="F1559" s="7" t="inlineStr"/>
      <c r="G1559" s="8" t="inlineStr"/>
      <c r="H1559" s="8" t="inlineStr"/>
      <c r="I1559" s="9" t="n">
        <v>22367</v>
      </c>
      <c r="J1559" s="10" t="n">
        <v>1754</v>
      </c>
      <c r="K1559" s="10" t="n">
        <v>1147</v>
      </c>
      <c r="L1559" s="7" t="n">
        <v>21143</v>
      </c>
      <c r="M1559" s="8" t="n">
        <v>2367</v>
      </c>
      <c r="N1559" s="8" t="n">
        <v>2198</v>
      </c>
      <c r="O1559" s="9" t="n">
        <v>21616</v>
      </c>
      <c r="P1559" s="10" t="n">
        <v>174</v>
      </c>
      <c r="Q1559" s="10" t="n">
        <v>488</v>
      </c>
      <c r="R1559" s="7" t="n">
        <v>22641</v>
      </c>
      <c r="S1559" s="8" t="n">
        <v>-1307</v>
      </c>
      <c r="T1559" s="8" t="n">
        <v>-5686</v>
      </c>
      <c r="U1559" s="9" t="n">
        <v>22345</v>
      </c>
      <c r="V1559" s="10" t="n">
        <v>294</v>
      </c>
      <c r="W1559" s="10" t="n">
        <v>760</v>
      </c>
      <c r="X1559" s="7" t="n">
        <v>29360</v>
      </c>
      <c r="Y1559" s="8" t="n">
        <v>1846</v>
      </c>
      <c r="Z1559" s="8" t="n">
        <v>-1953</v>
      </c>
      <c r="AA1559" s="9" t="n">
        <v>31249</v>
      </c>
      <c r="AB1559" s="10" t="n">
        <v>903</v>
      </c>
      <c r="AC1559" s="10" t="n">
        <v>1615</v>
      </c>
      <c r="AD1559" s="7" t="n">
        <v>28791</v>
      </c>
      <c r="AE1559" s="8" t="n">
        <v>1638</v>
      </c>
      <c r="AF1559" s="8" t="n">
        <v>1213</v>
      </c>
      <c r="AG1559" s="9" t="n">
        <v>32727</v>
      </c>
      <c r="AH1559" s="10" t="n">
        <v>2755</v>
      </c>
      <c r="AI1559" s="10" t="n">
        <v>6501</v>
      </c>
      <c r="AJ1559" s="11" t="n">
        <v>36548</v>
      </c>
      <c r="AK1559" s="12" t="n">
        <v>5340</v>
      </c>
      <c r="AL1559" s="12" t="n">
        <v>6049</v>
      </c>
      <c r="AM1559" s="13" t="n">
        <v>11.7</v>
      </c>
      <c r="AN1559" s="13" t="n">
        <v>24.5</v>
      </c>
      <c r="AO1559" s="13" t="n">
        <v>93.8</v>
      </c>
      <c r="AP1559" s="13" t="n">
        <v>189.3</v>
      </c>
    </row>
    <row r="1560">
      <c r="A1560" s="5" t="inlineStr">
        <is>
          <t>비덴트</t>
        </is>
      </c>
      <c r="B1560" s="6" t="inlineStr">
        <is>
          <t>121800</t>
        </is>
      </c>
      <c r="C1560" s="6" t="inlineStr">
        <is>
          <t>연결</t>
        </is>
      </c>
      <c r="D1560" s="6" t="inlineStr">
        <is>
          <t>2026Q2</t>
        </is>
      </c>
      <c r="E1560" s="6" t="inlineStr"/>
      <c r="F1560" s="7" t="inlineStr"/>
      <c r="G1560" s="8" t="inlineStr"/>
      <c r="H1560" s="8" t="inlineStr"/>
      <c r="I1560" s="9" t="n">
        <v>2410</v>
      </c>
      <c r="J1560" s="10" t="n">
        <v>-636</v>
      </c>
      <c r="K1560" s="10" t="n">
        <v>27911</v>
      </c>
      <c r="L1560" s="7" t="n">
        <v>2424</v>
      </c>
      <c r="M1560" s="8" t="n">
        <v>-1382</v>
      </c>
      <c r="N1560" s="8" t="n">
        <v>-4778</v>
      </c>
      <c r="O1560" s="9" t="n">
        <v>2349</v>
      </c>
      <c r="P1560" s="10" t="n">
        <v>-2283</v>
      </c>
      <c r="Q1560" s="10" t="n">
        <v>-5426</v>
      </c>
      <c r="R1560" s="7" t="n">
        <v>2452</v>
      </c>
      <c r="S1560" s="8" t="n">
        <v>-6749</v>
      </c>
      <c r="T1560" s="8" t="n">
        <v>49448</v>
      </c>
      <c r="U1560" s="9" t="n">
        <v>2067</v>
      </c>
      <c r="V1560" s="10" t="n">
        <v>-1391</v>
      </c>
      <c r="W1560" s="10" t="n">
        <v>9347</v>
      </c>
      <c r="X1560" s="7" t="n">
        <v>2643</v>
      </c>
      <c r="Y1560" s="8" t="n">
        <v>-2887</v>
      </c>
      <c r="Z1560" s="8" t="n">
        <v>5097</v>
      </c>
      <c r="AA1560" s="9" t="n">
        <v>2480</v>
      </c>
      <c r="AB1560" s="10" t="n">
        <v>-2366</v>
      </c>
      <c r="AC1560" s="10" t="n">
        <v>26195</v>
      </c>
      <c r="AD1560" s="7" t="n">
        <v>2960</v>
      </c>
      <c r="AE1560" s="8" t="n">
        <v>-573</v>
      </c>
      <c r="AF1560" s="8" t="n">
        <v>-31990</v>
      </c>
      <c r="AG1560" s="9" t="n">
        <v>2841</v>
      </c>
      <c r="AH1560" s="10" t="n">
        <v>-303</v>
      </c>
      <c r="AI1560" s="10" t="n">
        <v>-40616</v>
      </c>
      <c r="AJ1560" s="11" t="n">
        <v>3113</v>
      </c>
      <c r="AK1560" s="12" t="n">
        <v>-2121</v>
      </c>
      <c r="AL1560" s="12" t="n">
        <v>-2222</v>
      </c>
      <c r="AM1560" s="13" t="n">
        <v>9.6</v>
      </c>
      <c r="AN1560" s="13" t="n">
        <v>17.8</v>
      </c>
      <c r="AO1560" s="13" t="n">
        <v>-600</v>
      </c>
      <c r="AP1560" s="13" t="n">
        <v>26.5</v>
      </c>
    </row>
    <row r="1561">
      <c r="A1561" s="5" t="inlineStr">
        <is>
          <t>코이즈</t>
        </is>
      </c>
      <c r="B1561" s="6" t="inlineStr">
        <is>
          <t>121850</t>
        </is>
      </c>
      <c r="C1561" s="6" t="inlineStr">
        <is>
          <t>연결</t>
        </is>
      </c>
      <c r="D1561" s="6" t="inlineStr">
        <is>
          <t>2026Q2</t>
        </is>
      </c>
      <c r="E1561" s="6" t="inlineStr"/>
      <c r="F1561" s="7" t="inlineStr"/>
      <c r="G1561" s="8" t="inlineStr"/>
      <c r="H1561" s="8" t="inlineStr"/>
      <c r="I1561" s="9" t="n">
        <v>5149</v>
      </c>
      <c r="J1561" s="10" t="n">
        <v>-379</v>
      </c>
      <c r="K1561" s="10" t="n">
        <v>-344</v>
      </c>
      <c r="L1561" s="7" t="n">
        <v>5720</v>
      </c>
      <c r="M1561" s="8" t="n">
        <v>-297</v>
      </c>
      <c r="N1561" s="8" t="n">
        <v>-218</v>
      </c>
      <c r="O1561" s="9" t="n">
        <v>4050</v>
      </c>
      <c r="P1561" s="10" t="n">
        <v>-1441</v>
      </c>
      <c r="Q1561" s="10" t="n">
        <v>-1044</v>
      </c>
      <c r="R1561" s="7" t="n">
        <v>5815</v>
      </c>
      <c r="S1561" s="8" t="n">
        <v>-1057</v>
      </c>
      <c r="T1561" s="8" t="n">
        <v>-1047</v>
      </c>
      <c r="U1561" s="9" t="n">
        <v>4129</v>
      </c>
      <c r="V1561" s="10" t="n">
        <v>-1512</v>
      </c>
      <c r="W1561" s="10" t="n">
        <v>-1560</v>
      </c>
      <c r="X1561" s="7" t="n">
        <v>4808</v>
      </c>
      <c r="Y1561" s="8" t="n">
        <v>-498</v>
      </c>
      <c r="Z1561" s="8" t="n">
        <v>-827</v>
      </c>
      <c r="AA1561" s="9" t="n">
        <v>1656</v>
      </c>
      <c r="AB1561" s="10" t="n">
        <v>-2118</v>
      </c>
      <c r="AC1561" s="10" t="n">
        <v>-1970</v>
      </c>
      <c r="AD1561" s="7" t="n">
        <v>2058</v>
      </c>
      <c r="AE1561" s="8" t="n">
        <v>-3946</v>
      </c>
      <c r="AF1561" s="8" t="n">
        <v>-6687</v>
      </c>
      <c r="AG1561" s="9" t="n">
        <v>5046</v>
      </c>
      <c r="AH1561" s="10" t="n">
        <v>1</v>
      </c>
      <c r="AI1561" s="10" t="n">
        <v>838</v>
      </c>
      <c r="AJ1561" s="11" t="n">
        <v>2661</v>
      </c>
      <c r="AK1561" s="12" t="n">
        <v>-1096</v>
      </c>
      <c r="AL1561" s="12" t="n">
        <v>-852</v>
      </c>
      <c r="AM1561" s="13" t="n">
        <v>-47.3</v>
      </c>
      <c r="AN1561" s="13" t="n">
        <v>-44.7</v>
      </c>
      <c r="AO1561" s="13" t="n">
        <v>-109700</v>
      </c>
      <c r="AP1561" s="13" t="n">
        <v>-120.1</v>
      </c>
    </row>
    <row r="1562">
      <c r="A1562" s="5" t="inlineStr">
        <is>
          <t>에스디시스템</t>
        </is>
      </c>
      <c r="B1562" s="6" t="inlineStr">
        <is>
          <t>121890</t>
        </is>
      </c>
      <c r="C1562" s="6" t="inlineStr">
        <is>
          <t>별도</t>
        </is>
      </c>
      <c r="D1562" s="6" t="inlineStr">
        <is>
          <t>2026Q2</t>
        </is>
      </c>
      <c r="E1562" s="6" t="inlineStr"/>
      <c r="F1562" s="7" t="inlineStr"/>
      <c r="G1562" s="8" t="inlineStr"/>
      <c r="H1562" s="8" t="inlineStr"/>
      <c r="I1562" s="9" t="n">
        <v>5049</v>
      </c>
      <c r="J1562" s="10" t="n">
        <v>-125</v>
      </c>
      <c r="K1562" s="10" t="n">
        <v>-58</v>
      </c>
      <c r="L1562" s="7" t="n">
        <v>4959</v>
      </c>
      <c r="M1562" s="8" t="n">
        <v>-278</v>
      </c>
      <c r="N1562" s="8" t="n">
        <v>-104</v>
      </c>
      <c r="O1562" s="9" t="n">
        <v>3387</v>
      </c>
      <c r="P1562" s="10" t="n">
        <v>-379</v>
      </c>
      <c r="Q1562" s="10" t="n">
        <v>-345</v>
      </c>
      <c r="R1562" s="7" t="n">
        <v>4669</v>
      </c>
      <c r="S1562" s="8" t="n">
        <v>-1383</v>
      </c>
      <c r="T1562" s="8" t="n">
        <v>-1320</v>
      </c>
      <c r="U1562" s="9" t="inlineStr"/>
      <c r="V1562" s="10" t="inlineStr"/>
      <c r="W1562" s="10" t="inlineStr"/>
      <c r="X1562" s="7" t="n">
        <v>6497</v>
      </c>
      <c r="Y1562" s="8" t="n">
        <v>24</v>
      </c>
      <c r="Z1562" s="8" t="n">
        <v>47</v>
      </c>
      <c r="AA1562" s="9" t="n">
        <v>5046</v>
      </c>
      <c r="AB1562" s="10" t="n">
        <v>25</v>
      </c>
      <c r="AC1562" s="10" t="n">
        <v>73</v>
      </c>
      <c r="AD1562" s="7" t="inlineStr"/>
      <c r="AE1562" s="8" t="inlineStr"/>
      <c r="AF1562" s="8" t="inlineStr"/>
      <c r="AG1562" s="9" t="n">
        <v>2794</v>
      </c>
      <c r="AH1562" s="10" t="n">
        <v>-864</v>
      </c>
      <c r="AI1562" s="10" t="n">
        <v>-736</v>
      </c>
      <c r="AJ1562" s="11" t="n">
        <v>2223</v>
      </c>
      <c r="AK1562" s="12" t="n">
        <v>-879</v>
      </c>
      <c r="AL1562" s="12" t="n">
        <v>-821</v>
      </c>
      <c r="AM1562" s="13" t="n">
        <v>-20.4</v>
      </c>
      <c r="AN1562" s="13" t="n">
        <v>-65.8</v>
      </c>
      <c r="AO1562" s="13" t="n">
        <v>-1.7</v>
      </c>
      <c r="AP1562" s="13" t="n">
        <v>-3762.5</v>
      </c>
    </row>
    <row r="1563">
      <c r="A1563" s="5" t="inlineStr">
        <is>
          <t>제노레이</t>
        </is>
      </c>
      <c r="B1563" s="6" t="inlineStr">
        <is>
          <t>122310</t>
        </is>
      </c>
      <c r="C1563" s="6" t="inlineStr">
        <is>
          <t>연결</t>
        </is>
      </c>
      <c r="D1563" s="6" t="inlineStr">
        <is>
          <t>2026Q2</t>
        </is>
      </c>
      <c r="E1563" s="6" t="inlineStr"/>
      <c r="F1563" s="7" t="inlineStr"/>
      <c r="G1563" s="8" t="inlineStr"/>
      <c r="H1563" s="8" t="inlineStr"/>
      <c r="I1563" s="9" t="n">
        <v>25045</v>
      </c>
      <c r="J1563" s="10" t="n">
        <v>2384</v>
      </c>
      <c r="K1563" s="10" t="n">
        <v>2110</v>
      </c>
      <c r="L1563" s="7" t="n">
        <v>29219</v>
      </c>
      <c r="M1563" s="8" t="n">
        <v>3196</v>
      </c>
      <c r="N1563" s="8" t="n">
        <v>1104</v>
      </c>
      <c r="O1563" s="9" t="n">
        <v>23960</v>
      </c>
      <c r="P1563" s="10" t="n">
        <v>1028</v>
      </c>
      <c r="Q1563" s="10" t="n">
        <v>424</v>
      </c>
      <c r="R1563" s="7" t="n">
        <v>28758</v>
      </c>
      <c r="S1563" s="8" t="n">
        <v>-99</v>
      </c>
      <c r="T1563" s="8" t="n">
        <v>-6175</v>
      </c>
      <c r="U1563" s="9" t="n">
        <v>25158</v>
      </c>
      <c r="V1563" s="10" t="n">
        <v>78</v>
      </c>
      <c r="W1563" s="10" t="n">
        <v>93</v>
      </c>
      <c r="X1563" s="7" t="n">
        <v>27004</v>
      </c>
      <c r="Y1563" s="8" t="n">
        <v>-36</v>
      </c>
      <c r="Z1563" s="8" t="n">
        <v>-1829</v>
      </c>
      <c r="AA1563" s="9" t="n">
        <v>21831</v>
      </c>
      <c r="AB1563" s="10" t="n">
        <v>-1664</v>
      </c>
      <c r="AC1563" s="10" t="n">
        <v>-1021</v>
      </c>
      <c r="AD1563" s="7" t="n">
        <v>34049</v>
      </c>
      <c r="AE1563" s="8" t="n">
        <v>1379</v>
      </c>
      <c r="AF1563" s="8" t="n">
        <v>3385</v>
      </c>
      <c r="AG1563" s="9" t="n">
        <v>25385</v>
      </c>
      <c r="AH1563" s="10" t="n">
        <v>-1577</v>
      </c>
      <c r="AI1563" s="10" t="n">
        <v>-429</v>
      </c>
      <c r="AJ1563" s="11" t="n">
        <v>26616</v>
      </c>
      <c r="AK1563" s="12" t="n">
        <v>249</v>
      </c>
      <c r="AL1563" s="12" t="n">
        <v>608</v>
      </c>
      <c r="AM1563" s="13" t="n">
        <v>4.8</v>
      </c>
      <c r="AN1563" s="13" t="n">
        <v>-1.4</v>
      </c>
      <c r="AO1563" s="13" t="n">
        <v>115.8</v>
      </c>
      <c r="AP1563" s="13" t="n">
        <v>791.7</v>
      </c>
    </row>
    <row r="1564">
      <c r="A1564" s="5" t="inlineStr">
        <is>
          <t>삼기</t>
        </is>
      </c>
      <c r="B1564" s="6" t="inlineStr">
        <is>
          <t>122350</t>
        </is>
      </c>
      <c r="C1564" s="6" t="inlineStr">
        <is>
          <t>연결</t>
        </is>
      </c>
      <c r="D1564" s="6" t="inlineStr">
        <is>
          <t>2026Q2</t>
        </is>
      </c>
      <c r="E1564" s="6" t="inlineStr"/>
      <c r="F1564" s="7" t="inlineStr"/>
      <c r="G1564" s="8" t="inlineStr"/>
      <c r="H1564" s="8" t="inlineStr"/>
      <c r="I1564" s="9" t="n">
        <v>132783</v>
      </c>
      <c r="J1564" s="10" t="n">
        <v>1519</v>
      </c>
      <c r="K1564" s="10" t="n">
        <v>248</v>
      </c>
      <c r="L1564" s="7" t="n">
        <v>136369</v>
      </c>
      <c r="M1564" s="8" t="n">
        <v>226</v>
      </c>
      <c r="N1564" s="8" t="n">
        <v>1439</v>
      </c>
      <c r="O1564" s="9" t="n">
        <v>136630</v>
      </c>
      <c r="P1564" s="10" t="n">
        <v>460</v>
      </c>
      <c r="Q1564" s="10" t="n">
        <v>-6581</v>
      </c>
      <c r="R1564" s="7" t="n">
        <v>136328</v>
      </c>
      <c r="S1564" s="8" t="n">
        <v>2938</v>
      </c>
      <c r="T1564" s="8" t="n">
        <v>1698</v>
      </c>
      <c r="U1564" s="9" t="n">
        <v>134742</v>
      </c>
      <c r="V1564" s="10" t="n">
        <v>3712</v>
      </c>
      <c r="W1564" s="10" t="n">
        <v>-1475</v>
      </c>
      <c r="X1564" s="7" t="n">
        <v>143468</v>
      </c>
      <c r="Y1564" s="8" t="n">
        <v>5714</v>
      </c>
      <c r="Z1564" s="8" t="n">
        <v>1018</v>
      </c>
      <c r="AA1564" s="9" t="n">
        <v>147971</v>
      </c>
      <c r="AB1564" s="10" t="n">
        <v>4043</v>
      </c>
      <c r="AC1564" s="10" t="n">
        <v>1444</v>
      </c>
      <c r="AD1564" s="7" t="n">
        <v>144358</v>
      </c>
      <c r="AE1564" s="8" t="n">
        <v>-5192</v>
      </c>
      <c r="AF1564" s="8" t="n">
        <v>-11329</v>
      </c>
      <c r="AG1564" s="9" t="n">
        <v>148579</v>
      </c>
      <c r="AH1564" s="10" t="n">
        <v>-3735</v>
      </c>
      <c r="AI1564" s="10" t="n">
        <v>-5854</v>
      </c>
      <c r="AJ1564" s="11" t="n">
        <v>175954</v>
      </c>
      <c r="AK1564" s="12" t="n">
        <v>1157</v>
      </c>
      <c r="AL1564" s="12" t="n">
        <v>1720</v>
      </c>
      <c r="AM1564" s="13" t="n">
        <v>18.4</v>
      </c>
      <c r="AN1564" s="13" t="n">
        <v>22.6</v>
      </c>
      <c r="AO1564" s="13" t="n">
        <v>131</v>
      </c>
      <c r="AP1564" s="13" t="n">
        <v>-79.8</v>
      </c>
    </row>
    <row r="1565">
      <c r="A1565" s="5" t="inlineStr">
        <is>
          <t>KX</t>
        </is>
      </c>
      <c r="B1565" s="6" t="inlineStr">
        <is>
          <t>122450</t>
        </is>
      </c>
      <c r="C1565" s="6" t="inlineStr">
        <is>
          <t>연결</t>
        </is>
      </c>
      <c r="D1565" s="6" t="inlineStr">
        <is>
          <t>2026Q2</t>
        </is>
      </c>
      <c r="E1565" s="6" t="inlineStr"/>
      <c r="F1565" s="7" t="inlineStr"/>
      <c r="G1565" s="8" t="inlineStr"/>
      <c r="H1565" s="8" t="inlineStr"/>
      <c r="I1565" s="9" t="n">
        <v>76694</v>
      </c>
      <c r="J1565" s="10" t="n">
        <v>2576</v>
      </c>
      <c r="K1565" s="10" t="n">
        <v>-2936</v>
      </c>
      <c r="L1565" s="7" t="n">
        <v>118862</v>
      </c>
      <c r="M1565" s="8" t="n">
        <v>30389</v>
      </c>
      <c r="N1565" s="8" t="n">
        <v>21940</v>
      </c>
      <c r="O1565" s="9" t="n">
        <v>112640</v>
      </c>
      <c r="P1565" s="10" t="n">
        <v>23788</v>
      </c>
      <c r="Q1565" s="10" t="n">
        <v>98544</v>
      </c>
      <c r="R1565" s="7" t="n">
        <v>95585</v>
      </c>
      <c r="S1565" s="8" t="n">
        <v>2953</v>
      </c>
      <c r="T1565" s="8" t="n">
        <v>-20031</v>
      </c>
      <c r="U1565" s="9" t="n">
        <v>63107</v>
      </c>
      <c r="V1565" s="10" t="n">
        <v>-805</v>
      </c>
      <c r="W1565" s="10" t="n">
        <v>-4220</v>
      </c>
      <c r="X1565" s="7" t="n">
        <v>100215</v>
      </c>
      <c r="Y1565" s="8" t="n">
        <v>18228</v>
      </c>
      <c r="Z1565" s="8" t="n">
        <v>16445</v>
      </c>
      <c r="AA1565" s="9" t="n">
        <v>90339</v>
      </c>
      <c r="AB1565" s="10" t="n">
        <v>20116</v>
      </c>
      <c r="AC1565" s="10" t="n">
        <v>18272</v>
      </c>
      <c r="AD1565" s="7" t="n">
        <v>92461</v>
      </c>
      <c r="AE1565" s="8" t="n">
        <v>853</v>
      </c>
      <c r="AF1565" s="8" t="n">
        <v>-4941</v>
      </c>
      <c r="AG1565" s="9" t="n">
        <v>71858</v>
      </c>
      <c r="AH1565" s="10" t="n">
        <v>3806</v>
      </c>
      <c r="AI1565" s="10" t="n">
        <v>-1089</v>
      </c>
      <c r="AJ1565" s="11" t="n">
        <v>112037</v>
      </c>
      <c r="AK1565" s="12" t="n">
        <v>25156</v>
      </c>
      <c r="AL1565" s="12" t="n">
        <v>17400</v>
      </c>
      <c r="AM1565" s="13" t="n">
        <v>55.9</v>
      </c>
      <c r="AN1565" s="13" t="n">
        <v>11.8</v>
      </c>
      <c r="AO1565" s="13" t="n">
        <v>561</v>
      </c>
      <c r="AP1565" s="13" t="n">
        <v>38</v>
      </c>
    </row>
    <row r="1566">
      <c r="A1566" s="5" t="inlineStr">
        <is>
          <t>예스티</t>
        </is>
      </c>
      <c r="B1566" s="6" t="inlineStr">
        <is>
          <t>122640</t>
        </is>
      </c>
      <c r="C1566" s="6" t="inlineStr">
        <is>
          <t>연결</t>
        </is>
      </c>
      <c r="D1566" s="6" t="inlineStr">
        <is>
          <t>2026Q2</t>
        </is>
      </c>
      <c r="E1566" s="6" t="inlineStr"/>
      <c r="F1566" s="7" t="inlineStr"/>
      <c r="G1566" s="8" t="inlineStr"/>
      <c r="H1566" s="8" t="inlineStr"/>
      <c r="I1566" s="9" t="n">
        <v>23168</v>
      </c>
      <c r="J1566" s="10" t="n">
        <v>2491</v>
      </c>
      <c r="K1566" s="10" t="n">
        <v>1280</v>
      </c>
      <c r="L1566" s="7" t="n">
        <v>27755</v>
      </c>
      <c r="M1566" s="8" t="n">
        <v>2822</v>
      </c>
      <c r="N1566" s="8" t="n">
        <v>-4989</v>
      </c>
      <c r="O1566" s="9" t="n">
        <v>23325</v>
      </c>
      <c r="P1566" s="10" t="n">
        <v>4342</v>
      </c>
      <c r="Q1566" s="10" t="n">
        <v>6360</v>
      </c>
      <c r="R1566" s="7" t="n">
        <v>25847</v>
      </c>
      <c r="S1566" s="8" t="n">
        <v>1607</v>
      </c>
      <c r="T1566" s="8" t="n">
        <v>8563</v>
      </c>
      <c r="U1566" s="9" t="n">
        <v>25085</v>
      </c>
      <c r="V1566" s="10" t="n">
        <v>2218</v>
      </c>
      <c r="W1566" s="10" t="n">
        <v>1312</v>
      </c>
      <c r="X1566" s="7" t="n">
        <v>23767</v>
      </c>
      <c r="Y1566" s="8" t="n">
        <v>2848</v>
      </c>
      <c r="Z1566" s="8" t="n">
        <v>-4158</v>
      </c>
      <c r="AA1566" s="9" t="n">
        <v>18707</v>
      </c>
      <c r="AB1566" s="10" t="n">
        <v>1114</v>
      </c>
      <c r="AC1566" s="10" t="n">
        <v>182</v>
      </c>
      <c r="AD1566" s="7" t="n">
        <v>19497</v>
      </c>
      <c r="AE1566" s="8" t="n">
        <v>-2387</v>
      </c>
      <c r="AF1566" s="8" t="n">
        <v>3330</v>
      </c>
      <c r="AG1566" s="9" t="n">
        <v>27502</v>
      </c>
      <c r="AH1566" s="10" t="n">
        <v>3063</v>
      </c>
      <c r="AI1566" s="10" t="n">
        <v>3169</v>
      </c>
      <c r="AJ1566" s="11" t="n">
        <v>41946</v>
      </c>
      <c r="AK1566" s="12" t="n">
        <v>4566</v>
      </c>
      <c r="AL1566" s="12" t="n">
        <v>1932</v>
      </c>
      <c r="AM1566" s="13" t="n">
        <v>52.5</v>
      </c>
      <c r="AN1566" s="13" t="n">
        <v>76.5</v>
      </c>
      <c r="AO1566" s="13" t="n">
        <v>49.1</v>
      </c>
      <c r="AP1566" s="13" t="n">
        <v>60.3</v>
      </c>
    </row>
    <row r="1567">
      <c r="A1567" s="5" t="inlineStr">
        <is>
          <t>서진오토모티브</t>
        </is>
      </c>
      <c r="B1567" s="6" t="inlineStr">
        <is>
          <t>122690</t>
        </is>
      </c>
      <c r="C1567" s="6" t="inlineStr">
        <is>
          <t>연결</t>
        </is>
      </c>
      <c r="D1567" s="6" t="inlineStr">
        <is>
          <t>2026Q2</t>
        </is>
      </c>
      <c r="E1567" s="6" t="inlineStr"/>
      <c r="F1567" s="7" t="inlineStr"/>
      <c r="G1567" s="8" t="inlineStr"/>
      <c r="H1567" s="8" t="inlineStr"/>
      <c r="I1567" s="9" t="n">
        <v>645824</v>
      </c>
      <c r="J1567" s="10" t="n">
        <v>21170</v>
      </c>
      <c r="K1567" s="10" t="n">
        <v>9744</v>
      </c>
      <c r="L1567" s="7" t="n">
        <v>645696</v>
      </c>
      <c r="M1567" s="8" t="n">
        <v>20923</v>
      </c>
      <c r="N1567" s="8" t="n">
        <v>8951</v>
      </c>
      <c r="O1567" s="9" t="n">
        <v>637147</v>
      </c>
      <c r="P1567" s="10" t="n">
        <v>6322</v>
      </c>
      <c r="Q1567" s="10" t="n">
        <v>-9707</v>
      </c>
      <c r="R1567" s="7" t="n">
        <v>660470</v>
      </c>
      <c r="S1567" s="8" t="n">
        <v>-11894</v>
      </c>
      <c r="T1567" s="8" t="n">
        <v>2057</v>
      </c>
      <c r="U1567" s="9" t="n">
        <v>691090</v>
      </c>
      <c r="V1567" s="10" t="n">
        <v>22251</v>
      </c>
      <c r="W1567" s="10" t="n">
        <v>22000</v>
      </c>
      <c r="X1567" s="7" t="n">
        <v>810071</v>
      </c>
      <c r="Y1567" s="8" t="n">
        <v>17475</v>
      </c>
      <c r="Z1567" s="8" t="n">
        <v>-22451</v>
      </c>
      <c r="AA1567" s="9" t="n">
        <v>707564</v>
      </c>
      <c r="AB1567" s="10" t="n">
        <v>4266</v>
      </c>
      <c r="AC1567" s="10" t="n">
        <v>2631</v>
      </c>
      <c r="AD1567" s="7" t="n">
        <v>733127</v>
      </c>
      <c r="AE1567" s="8" t="n">
        <v>-17183</v>
      </c>
      <c r="AF1567" s="8" t="n">
        <v>-25220</v>
      </c>
      <c r="AG1567" s="9" t="n">
        <v>704272</v>
      </c>
      <c r="AH1567" s="10" t="n">
        <v>14343</v>
      </c>
      <c r="AI1567" s="10" t="n">
        <v>9768</v>
      </c>
      <c r="AJ1567" s="11" t="n">
        <v>746127</v>
      </c>
      <c r="AK1567" s="12" t="n">
        <v>22995</v>
      </c>
      <c r="AL1567" s="12" t="n">
        <v>11226</v>
      </c>
      <c r="AM1567" s="13" t="n">
        <v>5.9</v>
      </c>
      <c r="AN1567" s="13" t="n">
        <v>-7.9</v>
      </c>
      <c r="AO1567" s="13" t="n">
        <v>60.3</v>
      </c>
      <c r="AP1567" s="13" t="n">
        <v>31.6</v>
      </c>
    </row>
    <row r="1568">
      <c r="A1568" s="5" t="inlineStr">
        <is>
          <t>와이지엔터테인먼트</t>
        </is>
      </c>
      <c r="B1568" s="6" t="inlineStr">
        <is>
          <t>122870</t>
        </is>
      </c>
      <c r="C1568" s="6" t="inlineStr">
        <is>
          <t>연결</t>
        </is>
      </c>
      <c r="D1568" s="6" t="inlineStr">
        <is>
          <t>2026Q2</t>
        </is>
      </c>
      <c r="E1568" s="6" t="inlineStr"/>
      <c r="F1568" s="7" t="inlineStr"/>
      <c r="G1568" s="8" t="inlineStr"/>
      <c r="H1568" s="8" t="inlineStr"/>
      <c r="I1568" s="9" t="n">
        <v>87344</v>
      </c>
      <c r="J1568" s="10" t="n">
        <v>-7015</v>
      </c>
      <c r="K1568" s="10" t="n">
        <v>422</v>
      </c>
      <c r="L1568" s="7" t="n">
        <v>90011</v>
      </c>
      <c r="M1568" s="8" t="n">
        <v>-10976</v>
      </c>
      <c r="N1568" s="8" t="n">
        <v>-338</v>
      </c>
      <c r="O1568" s="9" t="n">
        <v>83528</v>
      </c>
      <c r="P1568" s="10" t="n">
        <v>-3562</v>
      </c>
      <c r="Q1568" s="10" t="n">
        <v>-937</v>
      </c>
      <c r="R1568" s="7" t="n">
        <v>104066</v>
      </c>
      <c r="S1568" s="8" t="n">
        <v>995</v>
      </c>
      <c r="T1568" s="8" t="n">
        <v>20883</v>
      </c>
      <c r="U1568" s="9" t="n">
        <v>100156</v>
      </c>
      <c r="V1568" s="10" t="n">
        <v>9525</v>
      </c>
      <c r="W1568" s="10" t="n">
        <v>10228</v>
      </c>
      <c r="X1568" s="7" t="n">
        <v>100411</v>
      </c>
      <c r="Y1568" s="8" t="n">
        <v>8360</v>
      </c>
      <c r="Z1568" s="8" t="n">
        <v>11220</v>
      </c>
      <c r="AA1568" s="9" t="n">
        <v>173071</v>
      </c>
      <c r="AB1568" s="10" t="n">
        <v>31121</v>
      </c>
      <c r="AC1568" s="10" t="n">
        <v>24418</v>
      </c>
      <c r="AD1568" s="7" t="n">
        <v>171766</v>
      </c>
      <c r="AE1568" s="8" t="n">
        <v>22336</v>
      </c>
      <c r="AF1568" s="8" t="n">
        <v>7879</v>
      </c>
      <c r="AG1568" s="9" t="n">
        <v>147119</v>
      </c>
      <c r="AH1568" s="10" t="n">
        <v>19418</v>
      </c>
      <c r="AI1568" s="10" t="n">
        <v>9763</v>
      </c>
      <c r="AJ1568" s="11" t="n">
        <v>127760</v>
      </c>
      <c r="AK1568" s="12" t="n">
        <v>10968</v>
      </c>
      <c r="AL1568" s="12" t="n">
        <v>7545</v>
      </c>
      <c r="AM1568" s="13" t="n">
        <v>-13.2</v>
      </c>
      <c r="AN1568" s="13" t="n">
        <v>27.2</v>
      </c>
      <c r="AO1568" s="13" t="n">
        <v>-43.5</v>
      </c>
      <c r="AP1568" s="13" t="n">
        <v>31.2</v>
      </c>
    </row>
    <row r="1569">
      <c r="A1569" s="5" t="inlineStr">
        <is>
          <t>아이마켓코리아</t>
        </is>
      </c>
      <c r="B1569" s="6" t="inlineStr">
        <is>
          <t>122900</t>
        </is>
      </c>
      <c r="C1569" s="6" t="inlineStr">
        <is>
          <t>연결</t>
        </is>
      </c>
      <c r="D1569" s="6" t="inlineStr">
        <is>
          <t>2026Q2</t>
        </is>
      </c>
      <c r="E1569" s="6" t="inlineStr">
        <is>
          <t>2023Q4</t>
        </is>
      </c>
      <c r="F1569" s="14" t="n">
        <v>925139</v>
      </c>
      <c r="G1569" s="15" t="n">
        <v>11692</v>
      </c>
      <c r="H1569" s="15" t="n">
        <v>10595</v>
      </c>
      <c r="I1569" s="9" t="n">
        <v>902096</v>
      </c>
      <c r="J1569" s="10" t="n">
        <v>12272</v>
      </c>
      <c r="K1569" s="10" t="n">
        <v>7582</v>
      </c>
      <c r="L1569" s="7" t="n">
        <v>816334</v>
      </c>
      <c r="M1569" s="8" t="n">
        <v>10243</v>
      </c>
      <c r="N1569" s="8" t="n">
        <v>8668</v>
      </c>
      <c r="O1569" s="9" t="n">
        <v>784157</v>
      </c>
      <c r="P1569" s="10" t="n">
        <v>9856</v>
      </c>
      <c r="Q1569" s="10" t="n">
        <v>7376</v>
      </c>
      <c r="R1569" s="7" t="n">
        <v>815748</v>
      </c>
      <c r="S1569" s="8" t="n">
        <v>12414</v>
      </c>
      <c r="T1569" s="8" t="n">
        <v>10688</v>
      </c>
      <c r="U1569" s="9" t="n">
        <v>747505</v>
      </c>
      <c r="V1569" s="10" t="n">
        <v>9727</v>
      </c>
      <c r="W1569" s="10" t="n">
        <v>3761</v>
      </c>
      <c r="X1569" s="7" t="n">
        <v>735474</v>
      </c>
      <c r="Y1569" s="8" t="n">
        <v>6540</v>
      </c>
      <c r="Z1569" s="8" t="n">
        <v>16480</v>
      </c>
      <c r="AA1569" s="9" t="n">
        <v>764030</v>
      </c>
      <c r="AB1569" s="10" t="n">
        <v>8180</v>
      </c>
      <c r="AC1569" s="10" t="n">
        <v>2604</v>
      </c>
      <c r="AD1569" s="7" t="n">
        <v>807414</v>
      </c>
      <c r="AE1569" s="8" t="n">
        <v>-4127</v>
      </c>
      <c r="AF1569" s="8" t="n">
        <v>6796</v>
      </c>
      <c r="AG1569" s="9" t="n">
        <v>842455</v>
      </c>
      <c r="AH1569" s="10" t="n">
        <v>16570</v>
      </c>
      <c r="AI1569" s="10" t="n">
        <v>12716</v>
      </c>
      <c r="AJ1569" s="11" t="n">
        <v>1007698</v>
      </c>
      <c r="AK1569" s="12" t="n">
        <v>17725</v>
      </c>
      <c r="AL1569" s="12" t="n">
        <v>19078</v>
      </c>
      <c r="AM1569" s="13" t="n">
        <v>19.6</v>
      </c>
      <c r="AN1569" s="13" t="n">
        <v>37</v>
      </c>
      <c r="AO1569" s="13" t="n">
        <v>7</v>
      </c>
      <c r="AP1569" s="13" t="n">
        <v>171</v>
      </c>
    </row>
    <row r="1570">
      <c r="A1570" s="5" t="inlineStr">
        <is>
          <t>와이솔</t>
        </is>
      </c>
      <c r="B1570" s="6" t="inlineStr">
        <is>
          <t>122990</t>
        </is>
      </c>
      <c r="C1570" s="6" t="inlineStr">
        <is>
          <t>연결</t>
        </is>
      </c>
      <c r="D1570" s="6" t="inlineStr">
        <is>
          <t>2026Q2</t>
        </is>
      </c>
      <c r="E1570" s="6" t="inlineStr"/>
      <c r="F1570" s="7" t="inlineStr"/>
      <c r="G1570" s="8" t="inlineStr"/>
      <c r="H1570" s="8" t="inlineStr"/>
      <c r="I1570" s="9" t="n">
        <v>110846</v>
      </c>
      <c r="J1570" s="10" t="n">
        <v>6210</v>
      </c>
      <c r="K1570" s="10" t="n">
        <v>7091</v>
      </c>
      <c r="L1570" s="7" t="n">
        <v>92946</v>
      </c>
      <c r="M1570" s="8" t="n">
        <v>2762</v>
      </c>
      <c r="N1570" s="8" t="n">
        <v>6621</v>
      </c>
      <c r="O1570" s="9" t="n">
        <v>86026</v>
      </c>
      <c r="P1570" s="10" t="n">
        <v>-4523</v>
      </c>
      <c r="Q1570" s="10" t="n">
        <v>-4967</v>
      </c>
      <c r="R1570" s="7" t="n">
        <v>85174</v>
      </c>
      <c r="S1570" s="8" t="n">
        <v>-3988</v>
      </c>
      <c r="T1570" s="8" t="n">
        <v>2254</v>
      </c>
      <c r="U1570" s="9" t="n">
        <v>85393</v>
      </c>
      <c r="V1570" s="10" t="n">
        <v>-11509</v>
      </c>
      <c r="W1570" s="10" t="n">
        <v>-7235</v>
      </c>
      <c r="X1570" s="7" t="n">
        <v>77987</v>
      </c>
      <c r="Y1570" s="8" t="n">
        <v>-21049</v>
      </c>
      <c r="Z1570" s="8" t="n">
        <v>-14050</v>
      </c>
      <c r="AA1570" s="9" t="n">
        <v>81829</v>
      </c>
      <c r="AB1570" s="10" t="n">
        <v>-3777</v>
      </c>
      <c r="AC1570" s="10" t="n">
        <v>-1545</v>
      </c>
      <c r="AD1570" s="7" t="n">
        <v>76030</v>
      </c>
      <c r="AE1570" s="8" t="n">
        <v>56</v>
      </c>
      <c r="AF1570" s="8" t="n">
        <v>-19302</v>
      </c>
      <c r="AG1570" s="9" t="n">
        <v>97188</v>
      </c>
      <c r="AH1570" s="10" t="n">
        <v>2132</v>
      </c>
      <c r="AI1570" s="10" t="n">
        <v>6102</v>
      </c>
      <c r="AJ1570" s="11" t="n">
        <v>81310</v>
      </c>
      <c r="AK1570" s="12" t="n">
        <v>-1844</v>
      </c>
      <c r="AL1570" s="12" t="n">
        <v>1574</v>
      </c>
      <c r="AM1570" s="13" t="n">
        <v>-16.3</v>
      </c>
      <c r="AN1570" s="13" t="n">
        <v>4.3</v>
      </c>
      <c r="AO1570" s="13" t="n">
        <v>-186.5</v>
      </c>
      <c r="AP1570" s="13" t="n">
        <v>91.2</v>
      </c>
    </row>
    <row r="1571">
      <c r="A1571" s="5" t="inlineStr">
        <is>
          <t>알엔티엑스</t>
        </is>
      </c>
      <c r="B1571" s="6" t="inlineStr">
        <is>
          <t>123010</t>
        </is>
      </c>
      <c r="C1571" s="6" t="inlineStr">
        <is>
          <t>연결</t>
        </is>
      </c>
      <c r="D1571" s="6" t="inlineStr">
        <is>
          <t>2026Q2</t>
        </is>
      </c>
      <c r="E1571" s="6" t="inlineStr"/>
      <c r="F1571" s="7" t="inlineStr"/>
      <c r="G1571" s="8" t="inlineStr"/>
      <c r="H1571" s="8" t="inlineStr"/>
      <c r="I1571" s="9" t="n">
        <v>9985</v>
      </c>
      <c r="J1571" s="10" t="n">
        <v>-2359</v>
      </c>
      <c r="K1571" s="10" t="n">
        <v>-2575</v>
      </c>
      <c r="L1571" s="7" t="n">
        <v>6729</v>
      </c>
      <c r="M1571" s="8" t="n">
        <v>-79</v>
      </c>
      <c r="N1571" s="8" t="n">
        <v>881</v>
      </c>
      <c r="O1571" s="9" t="n">
        <v>13158</v>
      </c>
      <c r="P1571" s="10" t="n">
        <v>-1054</v>
      </c>
      <c r="Q1571" s="10" t="n">
        <v>-1319</v>
      </c>
      <c r="R1571" s="7" t="n">
        <v>9479</v>
      </c>
      <c r="S1571" s="8" t="n">
        <v>-3387</v>
      </c>
      <c r="T1571" s="8" t="n">
        <v>-11585</v>
      </c>
      <c r="U1571" s="9" t="n">
        <v>10783</v>
      </c>
      <c r="V1571" s="10" t="n">
        <v>116</v>
      </c>
      <c r="W1571" s="10" t="n">
        <v>19</v>
      </c>
      <c r="X1571" s="7" t="n">
        <v>7768</v>
      </c>
      <c r="Y1571" s="8" t="n">
        <v>-1783</v>
      </c>
      <c r="Z1571" s="8" t="n">
        <v>-1913</v>
      </c>
      <c r="AA1571" s="9" t="n">
        <v>11926</v>
      </c>
      <c r="AB1571" s="10" t="n">
        <v>2636</v>
      </c>
      <c r="AC1571" s="10" t="n">
        <v>2403</v>
      </c>
      <c r="AD1571" s="7" t="n">
        <v>7899</v>
      </c>
      <c r="AE1571" s="8" t="n">
        <v>-761</v>
      </c>
      <c r="AF1571" s="8" t="n">
        <v>-3797</v>
      </c>
      <c r="AG1571" s="9" t="n">
        <v>9680</v>
      </c>
      <c r="AH1571" s="10" t="n">
        <v>1351</v>
      </c>
      <c r="AI1571" s="10" t="n">
        <v>1361</v>
      </c>
      <c r="AJ1571" s="11" t="n">
        <v>8494</v>
      </c>
      <c r="AK1571" s="12" t="n">
        <v>512</v>
      </c>
      <c r="AL1571" s="12" t="n">
        <v>-204</v>
      </c>
      <c r="AM1571" s="13" t="n">
        <v>-12.3</v>
      </c>
      <c r="AN1571" s="13" t="n">
        <v>9.300000000000001</v>
      </c>
      <c r="AO1571" s="13" t="n">
        <v>-62.1</v>
      </c>
      <c r="AP1571" s="13" t="n">
        <v>128.7</v>
      </c>
    </row>
    <row r="1572">
      <c r="A1572" s="5" t="inlineStr">
        <is>
          <t>엠에스오토텍</t>
        </is>
      </c>
      <c r="B1572" s="6" t="inlineStr">
        <is>
          <t>123040</t>
        </is>
      </c>
      <c r="C1572" s="6" t="inlineStr">
        <is>
          <t>연결</t>
        </is>
      </c>
      <c r="D1572" s="6" t="inlineStr">
        <is>
          <t>2026Q2</t>
        </is>
      </c>
      <c r="E1572" s="6" t="inlineStr"/>
      <c r="F1572" s="7" t="inlineStr"/>
      <c r="G1572" s="8" t="inlineStr"/>
      <c r="H1572" s="8" t="inlineStr"/>
      <c r="I1572" s="9" t="n">
        <v>462711</v>
      </c>
      <c r="J1572" s="10" t="n">
        <v>36641</v>
      </c>
      <c r="K1572" s="10" t="n">
        <v>48066</v>
      </c>
      <c r="L1572" s="7" t="n">
        <v>447908</v>
      </c>
      <c r="M1572" s="8" t="n">
        <v>34351</v>
      </c>
      <c r="N1572" s="8" t="n">
        <v>-16550</v>
      </c>
      <c r="O1572" s="9" t="n">
        <v>433023</v>
      </c>
      <c r="P1572" s="10" t="n">
        <v>29541</v>
      </c>
      <c r="Q1572" s="10" t="n">
        <v>1507</v>
      </c>
      <c r="R1572" s="7" t="n">
        <v>433877</v>
      </c>
      <c r="S1572" s="8" t="n">
        <v>-4232</v>
      </c>
      <c r="T1572" s="8" t="n">
        <v>44327</v>
      </c>
      <c r="U1572" s="9" t="n">
        <v>402332</v>
      </c>
      <c r="V1572" s="10" t="n">
        <v>22705</v>
      </c>
      <c r="W1572" s="10" t="n">
        <v>-2679</v>
      </c>
      <c r="X1572" s="7" t="n">
        <v>441803</v>
      </c>
      <c r="Y1572" s="8" t="n">
        <v>6989</v>
      </c>
      <c r="Z1572" s="8" t="n">
        <v>-45169</v>
      </c>
      <c r="AA1572" s="9" t="n">
        <v>467535</v>
      </c>
      <c r="AB1572" s="10" t="n">
        <v>13881</v>
      </c>
      <c r="AC1572" s="10" t="n">
        <v>-3567</v>
      </c>
      <c r="AD1572" s="7" t="n">
        <v>428882</v>
      </c>
      <c r="AE1572" s="8" t="n">
        <v>-12292</v>
      </c>
      <c r="AF1572" s="8" t="n">
        <v>-23517</v>
      </c>
      <c r="AG1572" s="9" t="n">
        <v>420126</v>
      </c>
      <c r="AH1572" s="10" t="n">
        <v>11928</v>
      </c>
      <c r="AI1572" s="10" t="n">
        <v>8590</v>
      </c>
      <c r="AJ1572" s="11" t="n">
        <v>504850</v>
      </c>
      <c r="AK1572" s="12" t="n">
        <v>35479</v>
      </c>
      <c r="AL1572" s="12" t="n">
        <v>5060</v>
      </c>
      <c r="AM1572" s="13" t="n">
        <v>20.2</v>
      </c>
      <c r="AN1572" s="13" t="n">
        <v>14.3</v>
      </c>
      <c r="AO1572" s="13" t="n">
        <v>197.4</v>
      </c>
      <c r="AP1572" s="13" t="n">
        <v>407.6</v>
      </c>
    </row>
    <row r="1573">
      <c r="A1573" s="5" t="inlineStr">
        <is>
          <t>제닉</t>
        </is>
      </c>
      <c r="B1573" s="6" t="inlineStr">
        <is>
          <t>123330</t>
        </is>
      </c>
      <c r="C1573" s="6" t="inlineStr">
        <is>
          <t>연결</t>
        </is>
      </c>
      <c r="D1573" s="6" t="inlineStr">
        <is>
          <t>2026Q2</t>
        </is>
      </c>
      <c r="E1573" s="6" t="inlineStr"/>
      <c r="F1573" s="7" t="inlineStr"/>
      <c r="G1573" s="8" t="inlineStr"/>
      <c r="H1573" s="8" t="inlineStr"/>
      <c r="I1573" s="9" t="n">
        <v>6364</v>
      </c>
      <c r="J1573" s="10" t="n">
        <v>-579</v>
      </c>
      <c r="K1573" s="10" t="n">
        <v>-628</v>
      </c>
      <c r="L1573" s="7" t="n">
        <v>8974</v>
      </c>
      <c r="M1573" s="8" t="n">
        <v>889</v>
      </c>
      <c r="N1573" s="8" t="n">
        <v>788</v>
      </c>
      <c r="O1573" s="9" t="n">
        <v>15131</v>
      </c>
      <c r="P1573" s="10" t="n">
        <v>2077</v>
      </c>
      <c r="Q1573" s="10" t="n">
        <v>1892</v>
      </c>
      <c r="R1573" s="7" t="n">
        <v>19439</v>
      </c>
      <c r="S1573" s="8" t="n">
        <v>3637</v>
      </c>
      <c r="T1573" s="8" t="n">
        <v>5511</v>
      </c>
      <c r="U1573" s="9" t="n">
        <v>17828</v>
      </c>
      <c r="V1573" s="10" t="n">
        <v>3761</v>
      </c>
      <c r="W1573" s="10" t="n">
        <v>3516</v>
      </c>
      <c r="X1573" s="7" t="n">
        <v>24649</v>
      </c>
      <c r="Y1573" s="8" t="n">
        <v>5461</v>
      </c>
      <c r="Z1573" s="8" t="n">
        <v>4000</v>
      </c>
      <c r="AA1573" s="9" t="n">
        <v>23555</v>
      </c>
      <c r="AB1573" s="10" t="n">
        <v>5648</v>
      </c>
      <c r="AC1573" s="10" t="n">
        <v>5278</v>
      </c>
      <c r="AD1573" s="7" t="n">
        <v>12166</v>
      </c>
      <c r="AE1573" s="8" t="n">
        <v>104</v>
      </c>
      <c r="AF1573" s="8" t="n">
        <v>6093</v>
      </c>
      <c r="AG1573" s="9" t="n">
        <v>29356</v>
      </c>
      <c r="AH1573" s="10" t="n">
        <v>3411</v>
      </c>
      <c r="AI1573" s="10" t="n">
        <v>3476</v>
      </c>
      <c r="AJ1573" s="11" t="n">
        <v>49210</v>
      </c>
      <c r="AK1573" s="12" t="n">
        <v>9987</v>
      </c>
      <c r="AL1573" s="12" t="n">
        <v>11214</v>
      </c>
      <c r="AM1573" s="13" t="n">
        <v>67.59999999999999</v>
      </c>
      <c r="AN1573" s="13" t="n">
        <v>99.59999999999999</v>
      </c>
      <c r="AO1573" s="13" t="n">
        <v>192.8</v>
      </c>
      <c r="AP1573" s="13" t="n">
        <v>82.90000000000001</v>
      </c>
    </row>
    <row r="1574">
      <c r="A1574" s="5" t="inlineStr">
        <is>
          <t>코리아에프티</t>
        </is>
      </c>
      <c r="B1574" s="6" t="inlineStr">
        <is>
          <t>123410</t>
        </is>
      </c>
      <c r="C1574" s="6" t="inlineStr">
        <is>
          <t>연결</t>
        </is>
      </c>
      <c r="D1574" s="6" t="inlineStr">
        <is>
          <t>2026Q2</t>
        </is>
      </c>
      <c r="E1574" s="6" t="inlineStr"/>
      <c r="F1574" s="7" t="inlineStr"/>
      <c r="G1574" s="8" t="inlineStr"/>
      <c r="H1574" s="8" t="inlineStr"/>
      <c r="I1574" s="9" t="n">
        <v>177262</v>
      </c>
      <c r="J1574" s="10" t="n">
        <v>7932</v>
      </c>
      <c r="K1574" s="10" t="n">
        <v>9385</v>
      </c>
      <c r="L1574" s="7" t="n">
        <v>190576</v>
      </c>
      <c r="M1574" s="8" t="n">
        <v>12757</v>
      </c>
      <c r="N1574" s="8" t="n">
        <v>11188</v>
      </c>
      <c r="O1574" s="9" t="n">
        <v>174900</v>
      </c>
      <c r="P1574" s="10" t="n">
        <v>6679</v>
      </c>
      <c r="Q1574" s="10" t="n">
        <v>5474</v>
      </c>
      <c r="R1574" s="7" t="n">
        <v>193170</v>
      </c>
      <c r="S1574" s="8" t="n">
        <v>10168</v>
      </c>
      <c r="T1574" s="8" t="n">
        <v>9337</v>
      </c>
      <c r="U1574" s="9" t="n">
        <v>195652</v>
      </c>
      <c r="V1574" s="10" t="n">
        <v>11539</v>
      </c>
      <c r="W1574" s="10" t="n">
        <v>12813</v>
      </c>
      <c r="X1574" s="7" t="n">
        <v>202609</v>
      </c>
      <c r="Y1574" s="8" t="n">
        <v>15756</v>
      </c>
      <c r="Z1574" s="8" t="n">
        <v>12427</v>
      </c>
      <c r="AA1574" s="9" t="n">
        <v>189267</v>
      </c>
      <c r="AB1574" s="10" t="n">
        <v>12720</v>
      </c>
      <c r="AC1574" s="10" t="n">
        <v>12446</v>
      </c>
      <c r="AD1574" s="7" t="n">
        <v>198341</v>
      </c>
      <c r="AE1574" s="8" t="n">
        <v>5399</v>
      </c>
      <c r="AF1574" s="8" t="n">
        <v>6643</v>
      </c>
      <c r="AG1574" s="9" t="n">
        <v>210562</v>
      </c>
      <c r="AH1574" s="10" t="n">
        <v>11762</v>
      </c>
      <c r="AI1574" s="10" t="n">
        <v>10576</v>
      </c>
      <c r="AJ1574" s="11" t="n">
        <v>216993</v>
      </c>
      <c r="AK1574" s="12" t="n">
        <v>14405</v>
      </c>
      <c r="AL1574" s="12" t="n">
        <v>11423</v>
      </c>
      <c r="AM1574" s="13" t="n">
        <v>3.1</v>
      </c>
      <c r="AN1574" s="13" t="n">
        <v>7.1</v>
      </c>
      <c r="AO1574" s="13" t="n">
        <v>22.5</v>
      </c>
      <c r="AP1574" s="13" t="n">
        <v>-8.6</v>
      </c>
    </row>
    <row r="1575">
      <c r="A1575" s="5" t="inlineStr">
        <is>
          <t>위메이드플레이</t>
        </is>
      </c>
      <c r="B1575" s="6" t="inlineStr">
        <is>
          <t>123420</t>
        </is>
      </c>
      <c r="C1575" s="6" t="inlineStr">
        <is>
          <t>연결</t>
        </is>
      </c>
      <c r="D1575" s="6" t="inlineStr">
        <is>
          <t>2026Q2</t>
        </is>
      </c>
      <c r="E1575" s="6" t="inlineStr">
        <is>
          <t>2023Q4</t>
        </is>
      </c>
      <c r="F1575" s="14" t="n">
        <v>31259</v>
      </c>
      <c r="G1575" s="15" t="n">
        <v>59</v>
      </c>
      <c r="H1575" s="15" t="n">
        <v>2208</v>
      </c>
      <c r="I1575" s="9" t="n">
        <v>30356</v>
      </c>
      <c r="J1575" s="10" t="n">
        <v>-303</v>
      </c>
      <c r="K1575" s="10" t="n">
        <v>-111</v>
      </c>
      <c r="L1575" s="7" t="n">
        <v>29220</v>
      </c>
      <c r="M1575" s="8" t="n">
        <v>413</v>
      </c>
      <c r="N1575" s="8" t="n">
        <v>168</v>
      </c>
      <c r="O1575" s="9" t="n">
        <v>29026</v>
      </c>
      <c r="P1575" s="10" t="n">
        <v>-959</v>
      </c>
      <c r="Q1575" s="10" t="n">
        <v>-721</v>
      </c>
      <c r="R1575" s="7" t="n">
        <v>31810</v>
      </c>
      <c r="S1575" s="8" t="n">
        <v>1903</v>
      </c>
      <c r="T1575" s="8" t="n">
        <v>25158</v>
      </c>
      <c r="U1575" s="9" t="n">
        <v>32397</v>
      </c>
      <c r="V1575" s="10" t="n">
        <v>1758</v>
      </c>
      <c r="W1575" s="10" t="n">
        <v>4090</v>
      </c>
      <c r="X1575" s="7" t="n">
        <v>29625</v>
      </c>
      <c r="Y1575" s="8" t="n">
        <v>2455</v>
      </c>
      <c r="Z1575" s="8" t="n">
        <v>13568</v>
      </c>
      <c r="AA1575" s="9" t="n">
        <v>31083</v>
      </c>
      <c r="AB1575" s="10" t="n">
        <v>3384</v>
      </c>
      <c r="AC1575" s="10" t="n">
        <v>4203</v>
      </c>
      <c r="AD1575" s="7" t="n">
        <v>32160</v>
      </c>
      <c r="AE1575" s="8" t="n">
        <v>3147</v>
      </c>
      <c r="AF1575" s="8" t="n">
        <v>-889</v>
      </c>
      <c r="AG1575" s="9" t="n">
        <v>32380</v>
      </c>
      <c r="AH1575" s="10" t="n">
        <v>3389</v>
      </c>
      <c r="AI1575" s="10" t="n">
        <v>6149</v>
      </c>
      <c r="AJ1575" s="11" t="n">
        <v>32192</v>
      </c>
      <c r="AK1575" s="12" t="n">
        <v>2595</v>
      </c>
      <c r="AL1575" s="12" t="n">
        <v>3628</v>
      </c>
      <c r="AM1575" s="13" t="n">
        <v>-0.6</v>
      </c>
      <c r="AN1575" s="13" t="n">
        <v>8.699999999999999</v>
      </c>
      <c r="AO1575" s="13" t="n">
        <v>-23.4</v>
      </c>
      <c r="AP1575" s="13" t="n">
        <v>5.7</v>
      </c>
    </row>
    <row r="1576">
      <c r="A1576" s="5" t="inlineStr">
        <is>
          <t>이엠넷</t>
        </is>
      </c>
      <c r="B1576" s="6" t="inlineStr">
        <is>
          <t>123570</t>
        </is>
      </c>
      <c r="C1576" s="6" t="inlineStr">
        <is>
          <t>연결</t>
        </is>
      </c>
      <c r="D1576" s="6" t="inlineStr">
        <is>
          <t>2026Q2</t>
        </is>
      </c>
      <c r="E1576" s="6" t="inlineStr"/>
      <c r="F1576" s="7" t="inlineStr"/>
      <c r="G1576" s="8" t="inlineStr"/>
      <c r="H1576" s="8" t="inlineStr"/>
      <c r="I1576" s="9" t="n">
        <v>8618</v>
      </c>
      <c r="J1576" s="10" t="n">
        <v>707</v>
      </c>
      <c r="K1576" s="10" t="n">
        <v>1134</v>
      </c>
      <c r="L1576" s="7" t="n">
        <v>9058</v>
      </c>
      <c r="M1576" s="8" t="n">
        <v>1181</v>
      </c>
      <c r="N1576" s="8" t="n">
        <v>1494</v>
      </c>
      <c r="O1576" s="9" t="n">
        <v>8572</v>
      </c>
      <c r="P1576" s="10" t="n">
        <v>883</v>
      </c>
      <c r="Q1576" s="10" t="n">
        <v>1393</v>
      </c>
      <c r="R1576" s="7" t="n">
        <v>10063</v>
      </c>
      <c r="S1576" s="8" t="n">
        <v>1987</v>
      </c>
      <c r="T1576" s="8" t="n">
        <v>1891</v>
      </c>
      <c r="U1576" s="9" t="n">
        <v>7748</v>
      </c>
      <c r="V1576" s="10" t="n">
        <v>-322</v>
      </c>
      <c r="W1576" s="10" t="n">
        <v>670</v>
      </c>
      <c r="X1576" s="7" t="n">
        <v>8119</v>
      </c>
      <c r="Y1576" s="8" t="n">
        <v>2</v>
      </c>
      <c r="Z1576" s="8" t="n">
        <v>681</v>
      </c>
      <c r="AA1576" s="9" t="n">
        <v>7927</v>
      </c>
      <c r="AB1576" s="10" t="n">
        <v>-12</v>
      </c>
      <c r="AC1576" s="10" t="n">
        <v>497</v>
      </c>
      <c r="AD1576" s="7" t="n">
        <v>8466</v>
      </c>
      <c r="AE1576" s="8" t="n">
        <v>606</v>
      </c>
      <c r="AF1576" s="8" t="n">
        <v>2</v>
      </c>
      <c r="AG1576" s="9" t="n">
        <v>8469</v>
      </c>
      <c r="AH1576" s="10" t="n">
        <v>237</v>
      </c>
      <c r="AI1576" s="10" t="n">
        <v>797</v>
      </c>
      <c r="AJ1576" s="11" t="n">
        <v>8185</v>
      </c>
      <c r="AK1576" s="12" t="n">
        <v>197</v>
      </c>
      <c r="AL1576" s="12" t="n">
        <v>760</v>
      </c>
      <c r="AM1576" s="13" t="n">
        <v>-3.4</v>
      </c>
      <c r="AN1576" s="13" t="n">
        <v>0.8</v>
      </c>
      <c r="AO1576" s="13" t="n">
        <v>-16.9</v>
      </c>
      <c r="AP1576" s="13" t="n">
        <v>9750</v>
      </c>
    </row>
    <row r="1577">
      <c r="A1577" s="5" t="inlineStr">
        <is>
          <t>한국화장품</t>
        </is>
      </c>
      <c r="B1577" s="6" t="inlineStr">
        <is>
          <t>123690</t>
        </is>
      </c>
      <c r="C1577" s="6" t="inlineStr">
        <is>
          <t>연결</t>
        </is>
      </c>
      <c r="D1577" s="6" t="inlineStr">
        <is>
          <t>2026Q2</t>
        </is>
      </c>
      <c r="E1577" s="6" t="inlineStr"/>
      <c r="F1577" s="7" t="inlineStr"/>
      <c r="G1577" s="8" t="inlineStr"/>
      <c r="H1577" s="8" t="inlineStr"/>
      <c r="I1577" s="9" t="n">
        <v>23773</v>
      </c>
      <c r="J1577" s="10" t="n">
        <v>2420</v>
      </c>
      <c r="K1577" s="10" t="n">
        <v>2614</v>
      </c>
      <c r="L1577" s="7" t="n">
        <v>23498</v>
      </c>
      <c r="M1577" s="8" t="n">
        <v>-37</v>
      </c>
      <c r="N1577" s="8" t="n">
        <v>47</v>
      </c>
      <c r="O1577" s="9" t="n">
        <v>21851</v>
      </c>
      <c r="P1577" s="10" t="n">
        <v>467</v>
      </c>
      <c r="Q1577" s="10" t="n">
        <v>358</v>
      </c>
      <c r="R1577" s="7" t="n">
        <v>23666</v>
      </c>
      <c r="S1577" s="8" t="n">
        <v>863</v>
      </c>
      <c r="T1577" s="8" t="n">
        <v>1820</v>
      </c>
      <c r="U1577" s="9" t="n">
        <v>24610</v>
      </c>
      <c r="V1577" s="10" t="n">
        <v>1717</v>
      </c>
      <c r="W1577" s="10" t="n">
        <v>2014</v>
      </c>
      <c r="X1577" s="7" t="n">
        <v>20544</v>
      </c>
      <c r="Y1577" s="8" t="n">
        <v>-176</v>
      </c>
      <c r="Z1577" s="8" t="n">
        <v>-124</v>
      </c>
      <c r="AA1577" s="9" t="n">
        <v>21289</v>
      </c>
      <c r="AB1577" s="10" t="n">
        <v>623</v>
      </c>
      <c r="AC1577" s="10" t="n">
        <v>885</v>
      </c>
      <c r="AD1577" s="7" t="n">
        <v>18589</v>
      </c>
      <c r="AE1577" s="8" t="n">
        <v>-1636</v>
      </c>
      <c r="AF1577" s="8" t="n">
        <v>-1629</v>
      </c>
      <c r="AG1577" s="9" t="n">
        <v>20944</v>
      </c>
      <c r="AH1577" s="10" t="n">
        <v>1919</v>
      </c>
      <c r="AI1577" s="10" t="n">
        <v>2144</v>
      </c>
      <c r="AJ1577" s="11" t="n">
        <v>21048</v>
      </c>
      <c r="AK1577" s="12" t="n">
        <v>-316</v>
      </c>
      <c r="AL1577" s="12" t="n">
        <v>-542</v>
      </c>
      <c r="AM1577" s="13" t="n">
        <v>0.5</v>
      </c>
      <c r="AN1577" s="13" t="n">
        <v>2.5</v>
      </c>
      <c r="AO1577" s="13" t="n">
        <v>-116.5</v>
      </c>
      <c r="AP1577" s="13" t="n">
        <v>-79.5</v>
      </c>
    </row>
    <row r="1578">
      <c r="A1578" s="5" t="inlineStr">
        <is>
          <t>에스제이엠</t>
        </is>
      </c>
      <c r="B1578" s="6" t="inlineStr">
        <is>
          <t>123700</t>
        </is>
      </c>
      <c r="C1578" s="6" t="inlineStr">
        <is>
          <t>연결</t>
        </is>
      </c>
      <c r="D1578" s="6" t="inlineStr">
        <is>
          <t>2026Q2</t>
        </is>
      </c>
      <c r="E1578" s="6" t="inlineStr"/>
      <c r="F1578" s="7" t="inlineStr"/>
      <c r="G1578" s="8" t="inlineStr"/>
      <c r="H1578" s="8" t="inlineStr"/>
      <c r="I1578" s="9" t="n">
        <v>51028</v>
      </c>
      <c r="J1578" s="10" t="n">
        <v>4145</v>
      </c>
      <c r="K1578" s="10" t="n">
        <v>5044</v>
      </c>
      <c r="L1578" s="7" t="n">
        <v>52481</v>
      </c>
      <c r="M1578" s="8" t="n">
        <v>4308</v>
      </c>
      <c r="N1578" s="8" t="n">
        <v>6029</v>
      </c>
      <c r="O1578" s="9" t="n">
        <v>50340</v>
      </c>
      <c r="P1578" s="10" t="n">
        <v>3416</v>
      </c>
      <c r="Q1578" s="10" t="n">
        <v>-914</v>
      </c>
      <c r="R1578" s="7" t="n">
        <v>48063</v>
      </c>
      <c r="S1578" s="8" t="n">
        <v>2369</v>
      </c>
      <c r="T1578" s="8" t="n">
        <v>10398</v>
      </c>
      <c r="U1578" s="9" t="n">
        <v>53233</v>
      </c>
      <c r="V1578" s="10" t="n">
        <v>3613</v>
      </c>
      <c r="W1578" s="10" t="n">
        <v>4728</v>
      </c>
      <c r="X1578" s="7" t="n">
        <v>48685</v>
      </c>
      <c r="Y1578" s="8" t="n">
        <v>4772</v>
      </c>
      <c r="Z1578" s="8" t="n">
        <v>2238</v>
      </c>
      <c r="AA1578" s="9" t="n">
        <v>49972</v>
      </c>
      <c r="AB1578" s="10" t="n">
        <v>3095</v>
      </c>
      <c r="AC1578" s="10" t="n">
        <v>5043</v>
      </c>
      <c r="AD1578" s="7" t="n">
        <v>49525</v>
      </c>
      <c r="AE1578" s="8" t="n">
        <v>-165</v>
      </c>
      <c r="AF1578" s="8" t="n">
        <v>-1299</v>
      </c>
      <c r="AG1578" s="9" t="n">
        <v>53106</v>
      </c>
      <c r="AH1578" s="10" t="n">
        <v>3143</v>
      </c>
      <c r="AI1578" s="10" t="n">
        <v>6203</v>
      </c>
      <c r="AJ1578" s="11" t="n">
        <v>52531</v>
      </c>
      <c r="AK1578" s="12" t="n">
        <v>4690</v>
      </c>
      <c r="AL1578" s="12" t="n">
        <v>6468</v>
      </c>
      <c r="AM1578" s="13" t="n">
        <v>-1.1</v>
      </c>
      <c r="AN1578" s="13" t="n">
        <v>7.9</v>
      </c>
      <c r="AO1578" s="13" t="n">
        <v>49.2</v>
      </c>
      <c r="AP1578" s="13" t="n">
        <v>-1.7</v>
      </c>
    </row>
    <row r="1579">
      <c r="A1579" s="5" t="inlineStr">
        <is>
          <t>알톤</t>
        </is>
      </c>
      <c r="B1579" s="6" t="inlineStr">
        <is>
          <t>123750</t>
        </is>
      </c>
      <c r="C1579" s="6" t="inlineStr">
        <is>
          <t>연결</t>
        </is>
      </c>
      <c r="D1579" s="6" t="inlineStr">
        <is>
          <t>2026Q2</t>
        </is>
      </c>
      <c r="E1579" s="6" t="inlineStr"/>
      <c r="F1579" s="7" t="inlineStr"/>
      <c r="G1579" s="8" t="inlineStr"/>
      <c r="H1579" s="8" t="inlineStr"/>
      <c r="I1579" s="9" t="n">
        <v>8206</v>
      </c>
      <c r="J1579" s="10" t="n">
        <v>-1172</v>
      </c>
      <c r="K1579" s="10" t="n">
        <v>-1131</v>
      </c>
      <c r="L1579" s="7" t="n">
        <v>7203</v>
      </c>
      <c r="M1579" s="8" t="n">
        <v>-238</v>
      </c>
      <c r="N1579" s="8" t="n">
        <v>469</v>
      </c>
      <c r="O1579" s="9" t="n">
        <v>5990</v>
      </c>
      <c r="P1579" s="10" t="n">
        <v>-2026</v>
      </c>
      <c r="Q1579" s="10" t="n">
        <v>-2102</v>
      </c>
      <c r="R1579" s="7" t="n">
        <v>6786</v>
      </c>
      <c r="S1579" s="8" t="n">
        <v>-2053</v>
      </c>
      <c r="T1579" s="8" t="n">
        <v>-3584</v>
      </c>
      <c r="U1579" s="9" t="n">
        <v>7905</v>
      </c>
      <c r="V1579" s="10" t="n">
        <v>-386</v>
      </c>
      <c r="W1579" s="10" t="n">
        <v>-368</v>
      </c>
      <c r="X1579" s="7" t="n">
        <v>13922</v>
      </c>
      <c r="Y1579" s="8" t="n">
        <v>1606</v>
      </c>
      <c r="Z1579" s="8" t="n">
        <v>1481</v>
      </c>
      <c r="AA1579" s="9" t="n">
        <v>4751</v>
      </c>
      <c r="AB1579" s="10" t="n">
        <v>-632</v>
      </c>
      <c r="AC1579" s="10" t="n">
        <v>-1623</v>
      </c>
      <c r="AD1579" s="7" t="n">
        <v>5581</v>
      </c>
      <c r="AE1579" s="8" t="n">
        <v>-361</v>
      </c>
      <c r="AF1579" s="8" t="n">
        <v>722</v>
      </c>
      <c r="AG1579" s="9" t="n">
        <v>7077</v>
      </c>
      <c r="AH1579" s="10" t="n">
        <v>-427</v>
      </c>
      <c r="AI1579" s="10" t="n">
        <v>-267</v>
      </c>
      <c r="AJ1579" s="11" t="n">
        <v>17968</v>
      </c>
      <c r="AK1579" s="12" t="n">
        <v>1664</v>
      </c>
      <c r="AL1579" s="12" t="n">
        <v>1244</v>
      </c>
      <c r="AM1579" s="13" t="n">
        <v>153.9</v>
      </c>
      <c r="AN1579" s="13" t="n">
        <v>29.1</v>
      </c>
      <c r="AO1579" s="13" t="n">
        <v>489.7</v>
      </c>
      <c r="AP1579" s="13" t="n">
        <v>3.6</v>
      </c>
    </row>
    <row r="1580">
      <c r="A1580" s="5" t="inlineStr">
        <is>
          <t>뉴온</t>
        </is>
      </c>
      <c r="B1580" s="6" t="inlineStr">
        <is>
          <t>123840</t>
        </is>
      </c>
      <c r="C1580" s="6" t="inlineStr">
        <is>
          <t>연결</t>
        </is>
      </c>
      <c r="D1580" s="6" t="inlineStr">
        <is>
          <t>2026Q2</t>
        </is>
      </c>
      <c r="E1580" s="6" t="inlineStr"/>
      <c r="F1580" s="7" t="inlineStr"/>
      <c r="G1580" s="8" t="inlineStr"/>
      <c r="H1580" s="8" t="inlineStr"/>
      <c r="I1580" s="9" t="n">
        <v>4308</v>
      </c>
      <c r="J1580" s="10" t="n">
        <v>-1966</v>
      </c>
      <c r="K1580" s="10" t="n">
        <v>-3959</v>
      </c>
      <c r="L1580" s="7" t="n">
        <v>5841</v>
      </c>
      <c r="M1580" s="8" t="n">
        <v>-3194</v>
      </c>
      <c r="N1580" s="8" t="n">
        <v>-7076</v>
      </c>
      <c r="O1580" s="9" t="n">
        <v>6258</v>
      </c>
      <c r="P1580" s="10" t="n">
        <v>-1559</v>
      </c>
      <c r="Q1580" s="10" t="n">
        <v>-955</v>
      </c>
      <c r="R1580" s="7" t="n">
        <v>540</v>
      </c>
      <c r="S1580" s="8" t="n">
        <v>-4965</v>
      </c>
      <c r="T1580" s="8" t="n">
        <v>-24748</v>
      </c>
      <c r="U1580" s="9" t="n">
        <v>8909</v>
      </c>
      <c r="V1580" s="10" t="n">
        <v>-5760</v>
      </c>
      <c r="W1580" s="10" t="n">
        <v>-10574</v>
      </c>
      <c r="X1580" s="7" t="n">
        <v>14359</v>
      </c>
      <c r="Y1580" s="8" t="n">
        <v>-3460</v>
      </c>
      <c r="Z1580" s="8" t="n">
        <v>416</v>
      </c>
      <c r="AA1580" s="9" t="n">
        <v>16923</v>
      </c>
      <c r="AB1580" s="10" t="n">
        <v>-3839</v>
      </c>
      <c r="AC1580" s="10" t="n">
        <v>-13736</v>
      </c>
      <c r="AD1580" s="7" t="n">
        <v>7973</v>
      </c>
      <c r="AE1580" s="8" t="n">
        <v>-319</v>
      </c>
      <c r="AF1580" s="8" t="n">
        <v>-14914</v>
      </c>
      <c r="AG1580" s="9" t="n">
        <v>13642</v>
      </c>
      <c r="AH1580" s="10" t="n">
        <v>-2074</v>
      </c>
      <c r="AI1580" s="10" t="n">
        <v>-7218</v>
      </c>
      <c r="AJ1580" s="11" t="n">
        <v>13831</v>
      </c>
      <c r="AK1580" s="12" t="n">
        <v>182</v>
      </c>
      <c r="AL1580" s="12" t="n">
        <v>-13117</v>
      </c>
      <c r="AM1580" s="13" t="n">
        <v>1.4</v>
      </c>
      <c r="AN1580" s="13" t="n">
        <v>-3.7</v>
      </c>
      <c r="AO1580" s="13" t="n">
        <v>108.8</v>
      </c>
      <c r="AP1580" s="13" t="n">
        <v>105.3</v>
      </c>
    </row>
    <row r="1581">
      <c r="A1581" s="5" t="inlineStr">
        <is>
          <t>아나패스</t>
        </is>
      </c>
      <c r="B1581" s="6" t="inlineStr">
        <is>
          <t>123860</t>
        </is>
      </c>
      <c r="C1581" s="6" t="inlineStr">
        <is>
          <t>별도</t>
        </is>
      </c>
      <c r="D1581" s="6" t="inlineStr">
        <is>
          <t>2026Q2</t>
        </is>
      </c>
      <c r="E1581" s="6" t="inlineStr"/>
      <c r="F1581" s="7" t="inlineStr"/>
      <c r="G1581" s="8" t="inlineStr"/>
      <c r="H1581" s="8" t="inlineStr"/>
      <c r="I1581" s="9" t="n">
        <v>36920</v>
      </c>
      <c r="J1581" s="10" t="n">
        <v>1721</v>
      </c>
      <c r="K1581" s="10" t="n">
        <v>3321</v>
      </c>
      <c r="L1581" s="7" t="n">
        <v>40693</v>
      </c>
      <c r="M1581" s="8" t="n">
        <v>3282</v>
      </c>
      <c r="N1581" s="8" t="n">
        <v>3761</v>
      </c>
      <c r="O1581" s="9" t="n">
        <v>56078</v>
      </c>
      <c r="P1581" s="10" t="n">
        <v>7659</v>
      </c>
      <c r="Q1581" s="10" t="n">
        <v>3838</v>
      </c>
      <c r="R1581" s="7" t="n">
        <v>48519</v>
      </c>
      <c r="S1581" s="8" t="n">
        <v>7381</v>
      </c>
      <c r="T1581" s="8" t="n">
        <v>7979</v>
      </c>
      <c r="U1581" s="9" t="n">
        <v>22229</v>
      </c>
      <c r="V1581" s="10" t="n">
        <v>3570</v>
      </c>
      <c r="W1581" s="10" t="n">
        <v>3694</v>
      </c>
      <c r="X1581" s="7" t="n">
        <v>25762</v>
      </c>
      <c r="Y1581" s="8" t="n">
        <v>4000</v>
      </c>
      <c r="Z1581" s="8" t="n">
        <v>-509</v>
      </c>
      <c r="AA1581" s="9" t="n">
        <v>32464</v>
      </c>
      <c r="AB1581" s="10" t="n">
        <v>9525</v>
      </c>
      <c r="AC1581" s="10" t="n">
        <v>7572</v>
      </c>
      <c r="AD1581" s="7" t="n">
        <v>27710</v>
      </c>
      <c r="AE1581" s="8" t="n">
        <v>3057</v>
      </c>
      <c r="AF1581" s="8" t="n">
        <v>-8042</v>
      </c>
      <c r="AG1581" s="9" t="n">
        <v>15200</v>
      </c>
      <c r="AH1581" s="10" t="n">
        <v>480</v>
      </c>
      <c r="AI1581" s="10" t="n">
        <v>3900</v>
      </c>
      <c r="AJ1581" s="11" t="n">
        <v>18149</v>
      </c>
      <c r="AK1581" s="12" t="n">
        <v>-4190</v>
      </c>
      <c r="AL1581" s="12" t="n">
        <v>-2869</v>
      </c>
      <c r="AM1581" s="13" t="n">
        <v>19.4</v>
      </c>
      <c r="AN1581" s="13" t="n">
        <v>-29.6</v>
      </c>
      <c r="AO1581" s="13" t="n">
        <v>-972.9</v>
      </c>
      <c r="AP1581" s="13" t="n">
        <v>-204.8</v>
      </c>
    </row>
    <row r="1582">
      <c r="A1582" s="5" t="inlineStr">
        <is>
          <t>한국자산신탁</t>
        </is>
      </c>
      <c r="B1582" s="6" t="inlineStr">
        <is>
          <t>123890</t>
        </is>
      </c>
      <c r="C1582" s="6" t="inlineStr">
        <is>
          <t>연결</t>
        </is>
      </c>
      <c r="D1582" s="6" t="inlineStr">
        <is>
          <t>2026Q2</t>
        </is>
      </c>
      <c r="E1582" s="6" t="inlineStr">
        <is>
          <t>2023Q4</t>
        </is>
      </c>
      <c r="F1582" s="14" t="n">
        <v>71827</v>
      </c>
      <c r="G1582" s="15" t="n">
        <v>28868</v>
      </c>
      <c r="H1582" s="15" t="n">
        <v>21782</v>
      </c>
      <c r="I1582" s="9" t="n">
        <v>63313</v>
      </c>
      <c r="J1582" s="10" t="n">
        <v>29480</v>
      </c>
      <c r="K1582" s="10" t="n">
        <v>22293</v>
      </c>
      <c r="L1582" s="7" t="n">
        <v>54070</v>
      </c>
      <c r="M1582" s="8" t="n">
        <v>11319</v>
      </c>
      <c r="N1582" s="8" t="n">
        <v>9198</v>
      </c>
      <c r="O1582" s="9" t="n">
        <v>52568</v>
      </c>
      <c r="P1582" s="10" t="n">
        <v>2725</v>
      </c>
      <c r="Q1582" s="10" t="n">
        <v>1399</v>
      </c>
      <c r="R1582" s="7" t="n">
        <v>56497</v>
      </c>
      <c r="S1582" s="8" t="n">
        <v>8241</v>
      </c>
      <c r="T1582" s="8" t="n">
        <v>4534</v>
      </c>
      <c r="U1582" s="9" t="n">
        <v>51874</v>
      </c>
      <c r="V1582" s="10" t="n">
        <v>17700</v>
      </c>
      <c r="W1582" s="10" t="n">
        <v>14172</v>
      </c>
      <c r="X1582" s="7" t="n">
        <v>52251</v>
      </c>
      <c r="Y1582" s="8" t="n">
        <v>8309</v>
      </c>
      <c r="Z1582" s="8" t="n">
        <v>9616</v>
      </c>
      <c r="AA1582" s="9" t="n">
        <v>46809</v>
      </c>
      <c r="AB1582" s="10" t="n">
        <v>13789</v>
      </c>
      <c r="AC1582" s="10" t="n">
        <v>30813</v>
      </c>
      <c r="AD1582" s="7" t="n">
        <v>53354</v>
      </c>
      <c r="AE1582" s="8" t="n">
        <v>-5571</v>
      </c>
      <c r="AF1582" s="8" t="n">
        <v>-5219</v>
      </c>
      <c r="AG1582" s="9" t="n">
        <v>68799</v>
      </c>
      <c r="AH1582" s="10" t="n">
        <v>10767</v>
      </c>
      <c r="AI1582" s="10" t="n">
        <v>12183</v>
      </c>
      <c r="AJ1582" s="11" t="n">
        <v>78794</v>
      </c>
      <c r="AK1582" s="12" t="n">
        <v>31034</v>
      </c>
      <c r="AL1582" s="12" t="n">
        <v>23353</v>
      </c>
      <c r="AM1582" s="13" t="n">
        <v>14.5</v>
      </c>
      <c r="AN1582" s="13" t="n">
        <v>50.8</v>
      </c>
      <c r="AO1582" s="13" t="n">
        <v>188.2</v>
      </c>
      <c r="AP1582" s="13" t="n">
        <v>273.5</v>
      </c>
    </row>
    <row r="1583">
      <c r="A1583" s="5" t="inlineStr">
        <is>
          <t>아이티센글로벌</t>
        </is>
      </c>
      <c r="B1583" s="6" t="inlineStr">
        <is>
          <t>124500</t>
        </is>
      </c>
      <c r="C1583" s="6" t="inlineStr">
        <is>
          <t>연결</t>
        </is>
      </c>
      <c r="D1583" s="6" t="inlineStr">
        <is>
          <t>2026Q2</t>
        </is>
      </c>
      <c r="E1583" s="6" t="inlineStr"/>
      <c r="F1583" s="7" t="inlineStr"/>
      <c r="G1583" s="8" t="inlineStr"/>
      <c r="H1583" s="8" t="inlineStr"/>
      <c r="I1583" s="9" t="n">
        <v>910712</v>
      </c>
      <c r="J1583" s="10" t="n">
        <v>3880</v>
      </c>
      <c r="K1583" s="10" t="n">
        <v>1746</v>
      </c>
      <c r="L1583" s="7" t="n">
        <v>1259804</v>
      </c>
      <c r="M1583" s="8" t="n">
        <v>16064</v>
      </c>
      <c r="N1583" s="8" t="n">
        <v>12355</v>
      </c>
      <c r="O1583" s="9" t="n">
        <v>1284887</v>
      </c>
      <c r="P1583" s="10" t="n">
        <v>10561</v>
      </c>
      <c r="Q1583" s="10" t="n">
        <v>8404</v>
      </c>
      <c r="R1583" s="7" t="n">
        <v>1506444</v>
      </c>
      <c r="S1583" s="8" t="n">
        <v>28060</v>
      </c>
      <c r="T1583" s="8" t="n">
        <v>13558</v>
      </c>
      <c r="U1583" s="9" t="n">
        <v>1636570</v>
      </c>
      <c r="V1583" s="10" t="n">
        <v>33837</v>
      </c>
      <c r="W1583" s="10" t="n">
        <v>26195</v>
      </c>
      <c r="X1583" s="7" t="n">
        <v>1266742</v>
      </c>
      <c r="Y1583" s="8" t="n">
        <v>21567</v>
      </c>
      <c r="Z1583" s="8" t="n">
        <v>17163</v>
      </c>
      <c r="AA1583" s="9" t="n">
        <v>1727252</v>
      </c>
      <c r="AB1583" s="10" t="n">
        <v>64467</v>
      </c>
      <c r="AC1583" s="10" t="n">
        <v>46524</v>
      </c>
      <c r="AD1583" s="7" t="n">
        <v>4240281</v>
      </c>
      <c r="AE1583" s="8" t="n">
        <v>160055</v>
      </c>
      <c r="AF1583" s="8" t="n">
        <v>108402</v>
      </c>
      <c r="AG1583" s="9" t="n">
        <v>3288222</v>
      </c>
      <c r="AH1583" s="10" t="n">
        <v>99167</v>
      </c>
      <c r="AI1583" s="10" t="n">
        <v>72739</v>
      </c>
      <c r="AJ1583" s="11" t="n">
        <v>2292427</v>
      </c>
      <c r="AK1583" s="12" t="n">
        <v>8294</v>
      </c>
      <c r="AL1583" s="12" t="n">
        <v>37059</v>
      </c>
      <c r="AM1583" s="13" t="n">
        <v>-30.3</v>
      </c>
      <c r="AN1583" s="13" t="n">
        <v>81</v>
      </c>
      <c r="AO1583" s="13" t="n">
        <v>-91.59999999999999</v>
      </c>
      <c r="AP1583" s="13" t="n">
        <v>-61.5</v>
      </c>
    </row>
    <row r="1584">
      <c r="A1584" s="5" t="inlineStr">
        <is>
          <t>태웅로직스</t>
        </is>
      </c>
      <c r="B1584" s="6" t="inlineStr">
        <is>
          <t>124560</t>
        </is>
      </c>
      <c r="C1584" s="6" t="inlineStr">
        <is>
          <t>연결</t>
        </is>
      </c>
      <c r="D1584" s="6" t="inlineStr">
        <is>
          <t>2026Q2</t>
        </is>
      </c>
      <c r="E1584" s="6" t="inlineStr"/>
      <c r="F1584" s="7" t="inlineStr"/>
      <c r="G1584" s="8" t="inlineStr"/>
      <c r="H1584" s="8" t="inlineStr"/>
      <c r="I1584" s="9" t="n">
        <v>202318</v>
      </c>
      <c r="J1584" s="10" t="n">
        <v>4400</v>
      </c>
      <c r="K1584" s="10" t="n">
        <v>3526</v>
      </c>
      <c r="L1584" s="7" t="n">
        <v>233884</v>
      </c>
      <c r="M1584" s="8" t="n">
        <v>7168</v>
      </c>
      <c r="N1584" s="8" t="n">
        <v>4220</v>
      </c>
      <c r="O1584" s="9" t="n">
        <v>310084</v>
      </c>
      <c r="P1584" s="10" t="n">
        <v>19952</v>
      </c>
      <c r="Q1584" s="10" t="n">
        <v>11633</v>
      </c>
      <c r="R1584" s="7" t="n">
        <v>297558</v>
      </c>
      <c r="S1584" s="8" t="n">
        <v>9303</v>
      </c>
      <c r="T1584" s="8" t="n">
        <v>12001</v>
      </c>
      <c r="U1584" s="9" t="n">
        <v>272658</v>
      </c>
      <c r="V1584" s="10" t="n">
        <v>8132</v>
      </c>
      <c r="W1584" s="10" t="n">
        <v>2775</v>
      </c>
      <c r="X1584" s="7" t="n">
        <v>285873</v>
      </c>
      <c r="Y1584" s="8" t="n">
        <v>6297</v>
      </c>
      <c r="Z1584" s="8" t="n">
        <v>-1375</v>
      </c>
      <c r="AA1584" s="9" t="n">
        <v>268876</v>
      </c>
      <c r="AB1584" s="10" t="n">
        <v>-8913</v>
      </c>
      <c r="AC1584" s="10" t="n">
        <v>-6366</v>
      </c>
      <c r="AD1584" s="7" t="n">
        <v>289874</v>
      </c>
      <c r="AE1584" s="8" t="n">
        <v>-3266</v>
      </c>
      <c r="AF1584" s="8" t="n">
        <v>-73</v>
      </c>
      <c r="AG1584" s="9" t="n">
        <v>276635</v>
      </c>
      <c r="AH1584" s="10" t="n">
        <v>546</v>
      </c>
      <c r="AI1584" s="10" t="n">
        <v>1221</v>
      </c>
      <c r="AJ1584" s="11" t="n">
        <v>355644</v>
      </c>
      <c r="AK1584" s="12" t="n">
        <v>5903</v>
      </c>
      <c r="AL1584" s="12" t="n">
        <v>2300</v>
      </c>
      <c r="AM1584" s="13" t="n">
        <v>28.6</v>
      </c>
      <c r="AN1584" s="13" t="n">
        <v>24.4</v>
      </c>
      <c r="AO1584" s="13" t="n">
        <v>981.1</v>
      </c>
      <c r="AP1584" s="13" t="n">
        <v>-6.3</v>
      </c>
    </row>
    <row r="1585">
      <c r="A1585" s="5" t="inlineStr">
        <is>
          <t>티씨머티리얼즈</t>
        </is>
      </c>
      <c r="B1585" s="6" t="inlineStr">
        <is>
          <t>125020</t>
        </is>
      </c>
      <c r="C1585" s="6" t="inlineStr">
        <is>
          <t>별도</t>
        </is>
      </c>
      <c r="D1585" s="6" t="inlineStr">
        <is>
          <t>2026Q2</t>
        </is>
      </c>
      <c r="E1585" s="6" t="inlineStr"/>
      <c r="F1585" s="7" t="inlineStr"/>
      <c r="G1585" s="8" t="inlineStr"/>
      <c r="H1585" s="8" t="inlineStr"/>
      <c r="I1585" s="9" t="inlineStr"/>
      <c r="J1585" s="10" t="inlineStr"/>
      <c r="K1585" s="10" t="inlineStr"/>
      <c r="L1585" s="7" t="inlineStr"/>
      <c r="M1585" s="8" t="inlineStr"/>
      <c r="N1585" s="8" t="inlineStr"/>
      <c r="O1585" s="9" t="inlineStr"/>
      <c r="P1585" s="10" t="inlineStr"/>
      <c r="Q1585" s="10" t="inlineStr"/>
      <c r="R1585" s="7" t="inlineStr"/>
      <c r="S1585" s="8" t="inlineStr"/>
      <c r="T1585" s="8" t="inlineStr"/>
      <c r="U1585" s="9" t="n">
        <v>67942</v>
      </c>
      <c r="V1585" s="10" t="n">
        <v>2366</v>
      </c>
      <c r="W1585" s="10" t="n">
        <v>1853</v>
      </c>
      <c r="X1585" s="7" t="n">
        <v>76922</v>
      </c>
      <c r="Y1585" s="8" t="n">
        <v>1441</v>
      </c>
      <c r="Z1585" s="8" t="n">
        <v>-3243</v>
      </c>
      <c r="AA1585" s="9" t="n">
        <v>78072</v>
      </c>
      <c r="AB1585" s="10" t="n">
        <v>1916</v>
      </c>
      <c r="AC1585" s="10" t="n">
        <v>1649</v>
      </c>
      <c r="AD1585" s="7" t="n">
        <v>76183</v>
      </c>
      <c r="AE1585" s="8" t="n">
        <v>1076</v>
      </c>
      <c r="AF1585" s="8" t="n">
        <v>1416</v>
      </c>
      <c r="AG1585" s="9" t="n">
        <v>101438</v>
      </c>
      <c r="AH1585" s="10" t="n">
        <v>6374</v>
      </c>
      <c r="AI1585" s="10" t="n">
        <v>4862</v>
      </c>
      <c r="AJ1585" s="11" t="n">
        <v>123831</v>
      </c>
      <c r="AK1585" s="12" t="n">
        <v>3811</v>
      </c>
      <c r="AL1585" s="12" t="n">
        <v>2641</v>
      </c>
      <c r="AM1585" s="13" t="n">
        <v>22.1</v>
      </c>
      <c r="AN1585" s="13" t="n">
        <v>61</v>
      </c>
      <c r="AO1585" s="13" t="n">
        <v>-40.2</v>
      </c>
      <c r="AP1585" s="13" t="n">
        <v>164.5</v>
      </c>
    </row>
    <row r="1586">
      <c r="A1586" s="5" t="inlineStr">
        <is>
          <t>아모그린텍</t>
        </is>
      </c>
      <c r="B1586" s="6" t="inlineStr">
        <is>
          <t>125210</t>
        </is>
      </c>
      <c r="C1586" s="6" t="inlineStr">
        <is>
          <t>연결</t>
        </is>
      </c>
      <c r="D1586" s="6" t="inlineStr">
        <is>
          <t>2026Q2</t>
        </is>
      </c>
      <c r="E1586" s="6" t="inlineStr"/>
      <c r="F1586" s="7" t="inlineStr"/>
      <c r="G1586" s="8" t="inlineStr"/>
      <c r="H1586" s="8" t="inlineStr"/>
      <c r="I1586" s="9" t="n">
        <v>30486</v>
      </c>
      <c r="J1586" s="10" t="n">
        <v>863</v>
      </c>
      <c r="K1586" s="10" t="n">
        <v>239</v>
      </c>
      <c r="L1586" s="7" t="n">
        <v>33058</v>
      </c>
      <c r="M1586" s="8" t="n">
        <v>1053</v>
      </c>
      <c r="N1586" s="8" t="n">
        <v>199</v>
      </c>
      <c r="O1586" s="9" t="n">
        <v>30129</v>
      </c>
      <c r="P1586" s="10" t="n">
        <v>672</v>
      </c>
      <c r="Q1586" s="10" t="n">
        <v>-1232</v>
      </c>
      <c r="R1586" s="7" t="n">
        <v>34893</v>
      </c>
      <c r="S1586" s="8" t="n">
        <v>1883</v>
      </c>
      <c r="T1586" s="8" t="n">
        <v>2914</v>
      </c>
      <c r="U1586" s="9" t="n">
        <v>34529</v>
      </c>
      <c r="V1586" s="10" t="n">
        <v>1854</v>
      </c>
      <c r="W1586" s="10" t="n">
        <v>1561</v>
      </c>
      <c r="X1586" s="7" t="n">
        <v>35644</v>
      </c>
      <c r="Y1586" s="8" t="n">
        <v>3844</v>
      </c>
      <c r="Z1586" s="8" t="n">
        <v>1318</v>
      </c>
      <c r="AA1586" s="9" t="n">
        <v>30846</v>
      </c>
      <c r="AB1586" s="10" t="n">
        <v>2171</v>
      </c>
      <c r="AC1586" s="10" t="n">
        <v>2085</v>
      </c>
      <c r="AD1586" s="7" t="n">
        <v>29582</v>
      </c>
      <c r="AE1586" s="8" t="n">
        <v>1514</v>
      </c>
      <c r="AF1586" s="8" t="n">
        <v>932</v>
      </c>
      <c r="AG1586" s="9" t="n">
        <v>30748</v>
      </c>
      <c r="AH1586" s="10" t="n">
        <v>1644</v>
      </c>
      <c r="AI1586" s="10" t="n">
        <v>1781</v>
      </c>
      <c r="AJ1586" s="11" t="n">
        <v>35784</v>
      </c>
      <c r="AK1586" s="12" t="n">
        <v>1814</v>
      </c>
      <c r="AL1586" s="12" t="n">
        <v>526</v>
      </c>
      <c r="AM1586" s="13" t="n">
        <v>16.4</v>
      </c>
      <c r="AN1586" s="13" t="n">
        <v>0.4</v>
      </c>
      <c r="AO1586" s="13" t="n">
        <v>10.3</v>
      </c>
      <c r="AP1586" s="13" t="n">
        <v>-52.8</v>
      </c>
    </row>
    <row r="1587">
      <c r="A1587" s="5" t="inlineStr">
        <is>
          <t>한라캐스트</t>
        </is>
      </c>
      <c r="B1587" s="6" t="inlineStr">
        <is>
          <t>125490</t>
        </is>
      </c>
      <c r="C1587" s="6" t="inlineStr">
        <is>
          <t>연결</t>
        </is>
      </c>
      <c r="D1587" s="6" t="inlineStr">
        <is>
          <t>2026Q2</t>
        </is>
      </c>
      <c r="E1587" s="6" t="inlineStr"/>
      <c r="F1587" s="7" t="inlineStr"/>
      <c r="G1587" s="8" t="inlineStr"/>
      <c r="H1587" s="8" t="inlineStr"/>
      <c r="I1587" s="9" t="inlineStr"/>
      <c r="J1587" s="10" t="inlineStr"/>
      <c r="K1587" s="10" t="inlineStr"/>
      <c r="L1587" s="7" t="inlineStr"/>
      <c r="M1587" s="8" t="inlineStr"/>
      <c r="N1587" s="8" t="inlineStr"/>
      <c r="O1587" s="9" t="inlineStr"/>
      <c r="P1587" s="10" t="inlineStr"/>
      <c r="Q1587" s="10" t="inlineStr"/>
      <c r="R1587" s="7" t="inlineStr"/>
      <c r="S1587" s="8" t="inlineStr"/>
      <c r="T1587" s="8" t="inlineStr"/>
      <c r="U1587" s="9" t="inlineStr"/>
      <c r="V1587" s="10" t="inlineStr"/>
      <c r="W1587" s="10" t="inlineStr"/>
      <c r="X1587" s="7" t="inlineStr"/>
      <c r="Y1587" s="8" t="inlineStr"/>
      <c r="Z1587" s="8" t="inlineStr"/>
      <c r="AA1587" s="9" t="n">
        <v>38035</v>
      </c>
      <c r="AB1587" s="10" t="n">
        <v>2080</v>
      </c>
      <c r="AC1587" s="10" t="n">
        <v>1884</v>
      </c>
      <c r="AD1587" s="7" t="inlineStr"/>
      <c r="AE1587" s="8" t="inlineStr"/>
      <c r="AF1587" s="8" t="inlineStr"/>
      <c r="AG1587" s="9" t="n">
        <v>40546</v>
      </c>
      <c r="AH1587" s="10" t="n">
        <v>1497</v>
      </c>
      <c r="AI1587" s="10" t="n">
        <v>1556</v>
      </c>
      <c r="AJ1587" s="11" t="n">
        <v>49037</v>
      </c>
      <c r="AK1587" s="12" t="n">
        <v>3256</v>
      </c>
      <c r="AL1587" s="12" t="n">
        <v>1972</v>
      </c>
      <c r="AM1587" s="13" t="n">
        <v>20.9</v>
      </c>
      <c r="AN1587" s="13" t="inlineStr"/>
      <c r="AO1587" s="13" t="n">
        <v>117.5</v>
      </c>
      <c r="AP1587" s="13" t="inlineStr"/>
    </row>
    <row r="1588">
      <c r="A1588" s="5" t="inlineStr">
        <is>
          <t>비나텍</t>
        </is>
      </c>
      <c r="B1588" s="6" t="inlineStr">
        <is>
          <t>126340</t>
        </is>
      </c>
      <c r="C1588" s="6" t="inlineStr">
        <is>
          <t>연결</t>
        </is>
      </c>
      <c r="D1588" s="6" t="inlineStr">
        <is>
          <t>2026Q2</t>
        </is>
      </c>
      <c r="E1588" s="6" t="inlineStr"/>
      <c r="F1588" s="7" t="inlineStr"/>
      <c r="G1588" s="8" t="inlineStr"/>
      <c r="H1588" s="8" t="inlineStr"/>
      <c r="I1588" s="9" t="n">
        <v>13477</v>
      </c>
      <c r="J1588" s="10" t="n">
        <v>429</v>
      </c>
      <c r="K1588" s="10" t="n">
        <v>1306</v>
      </c>
      <c r="L1588" s="7" t="n">
        <v>18345</v>
      </c>
      <c r="M1588" s="8" t="n">
        <v>695</v>
      </c>
      <c r="N1588" s="8" t="n">
        <v>1301</v>
      </c>
      <c r="O1588" s="9" t="n">
        <v>14048</v>
      </c>
      <c r="P1588" s="10" t="n">
        <v>-2514</v>
      </c>
      <c r="Q1588" s="10" t="n">
        <v>-6732</v>
      </c>
      <c r="R1588" s="7" t="n">
        <v>13722</v>
      </c>
      <c r="S1588" s="8" t="n">
        <v>-6678</v>
      </c>
      <c r="T1588" s="8" t="n">
        <v>-5543</v>
      </c>
      <c r="U1588" s="9" t="n">
        <v>15739</v>
      </c>
      <c r="V1588" s="10" t="n">
        <v>-2409</v>
      </c>
      <c r="W1588" s="10" t="n">
        <v>-2579</v>
      </c>
      <c r="X1588" s="7" t="n">
        <v>20690</v>
      </c>
      <c r="Y1588" s="8" t="n">
        <v>957</v>
      </c>
      <c r="Z1588" s="8" t="n">
        <v>-2903</v>
      </c>
      <c r="AA1588" s="9" t="n">
        <v>23011</v>
      </c>
      <c r="AB1588" s="10" t="n">
        <v>2566</v>
      </c>
      <c r="AC1588" s="10" t="n">
        <v>2206</v>
      </c>
      <c r="AD1588" s="7" t="n">
        <v>22789</v>
      </c>
      <c r="AE1588" s="8" t="n">
        <v>660</v>
      </c>
      <c r="AF1588" s="8" t="n">
        <v>-3721</v>
      </c>
      <c r="AG1588" s="9" t="n">
        <v>25366</v>
      </c>
      <c r="AH1588" s="10" t="n">
        <v>-1536</v>
      </c>
      <c r="AI1588" s="10" t="n">
        <v>-1848</v>
      </c>
      <c r="AJ1588" s="11" t="n">
        <v>35384</v>
      </c>
      <c r="AK1588" s="12" t="n">
        <v>498</v>
      </c>
      <c r="AL1588" s="12" t="n">
        <v>-38637</v>
      </c>
      <c r="AM1588" s="13" t="n">
        <v>39.5</v>
      </c>
      <c r="AN1588" s="13" t="n">
        <v>71</v>
      </c>
      <c r="AO1588" s="13" t="n">
        <v>132.4</v>
      </c>
      <c r="AP1588" s="13" t="n">
        <v>-48</v>
      </c>
    </row>
    <row r="1589">
      <c r="A1589" s="5" t="inlineStr">
        <is>
          <t>현대퓨처넷</t>
        </is>
      </c>
      <c r="B1589" s="6" t="inlineStr">
        <is>
          <t>126560</t>
        </is>
      </c>
      <c r="C1589" s="6" t="inlineStr">
        <is>
          <t>연결</t>
        </is>
      </c>
      <c r="D1589" s="6" t="inlineStr">
        <is>
          <t>2026Q2</t>
        </is>
      </c>
      <c r="E1589" s="6" t="inlineStr">
        <is>
          <t>2023Q4</t>
        </is>
      </c>
      <c r="F1589" s="14" t="n">
        <v>39198</v>
      </c>
      <c r="G1589" s="15" t="n">
        <v>-3909</v>
      </c>
      <c r="H1589" s="15" t="n">
        <v>-16712</v>
      </c>
      <c r="I1589" s="9" t="n">
        <v>43402</v>
      </c>
      <c r="J1589" s="10" t="n">
        <v>2212</v>
      </c>
      <c r="K1589" s="10" t="n">
        <v>5839</v>
      </c>
      <c r="L1589" s="7" t="n">
        <v>47397</v>
      </c>
      <c r="M1589" s="8" t="n">
        <v>3765</v>
      </c>
      <c r="N1589" s="8" t="n">
        <v>4525</v>
      </c>
      <c r="O1589" s="9" t="n">
        <v>68365</v>
      </c>
      <c r="P1589" s="10" t="n">
        <v>3022</v>
      </c>
      <c r="Q1589" s="10" t="n">
        <v>5071</v>
      </c>
      <c r="R1589" s="7" t="n">
        <v>56652</v>
      </c>
      <c r="S1589" s="8" t="n">
        <v>-2054</v>
      </c>
      <c r="T1589" s="8" t="n">
        <v>-3821</v>
      </c>
      <c r="U1589" s="9" t="n">
        <v>66661</v>
      </c>
      <c r="V1589" s="10" t="n">
        <v>3767</v>
      </c>
      <c r="W1589" s="10" t="n">
        <v>-3983</v>
      </c>
      <c r="X1589" s="7" t="n">
        <v>63027</v>
      </c>
      <c r="Y1589" s="8" t="n">
        <v>4371</v>
      </c>
      <c r="Z1589" s="8" t="n">
        <v>8920</v>
      </c>
      <c r="AA1589" s="9" t="n">
        <v>69303</v>
      </c>
      <c r="AB1589" s="10" t="n">
        <v>3733</v>
      </c>
      <c r="AC1589" s="10" t="n">
        <v>6046</v>
      </c>
      <c r="AD1589" s="7" t="n">
        <v>65524</v>
      </c>
      <c r="AE1589" s="8" t="n">
        <v>-5562</v>
      </c>
      <c r="AF1589" s="8" t="n">
        <v>-3828</v>
      </c>
      <c r="AG1589" s="9" t="n">
        <v>70855</v>
      </c>
      <c r="AH1589" s="10" t="n">
        <v>4307</v>
      </c>
      <c r="AI1589" s="10" t="n">
        <v>6186</v>
      </c>
      <c r="AJ1589" s="11" t="n">
        <v>71567</v>
      </c>
      <c r="AK1589" s="12" t="n">
        <v>6601</v>
      </c>
      <c r="AL1589" s="12" t="n">
        <v>8919</v>
      </c>
      <c r="AM1589" s="13" t="n">
        <v>1</v>
      </c>
      <c r="AN1589" s="13" t="n">
        <v>13.5</v>
      </c>
      <c r="AO1589" s="13" t="n">
        <v>53.3</v>
      </c>
      <c r="AP1589" s="13" t="n">
        <v>51</v>
      </c>
    </row>
    <row r="1590">
      <c r="A1590" s="5" t="inlineStr">
        <is>
          <t>BGF에코머티리얼즈</t>
        </is>
      </c>
      <c r="B1590" s="6" t="inlineStr">
        <is>
          <t>126600</t>
        </is>
      </c>
      <c r="C1590" s="6" t="inlineStr">
        <is>
          <t>연결</t>
        </is>
      </c>
      <c r="D1590" s="6" t="inlineStr">
        <is>
          <t>2026Q2</t>
        </is>
      </c>
      <c r="E1590" s="6" t="inlineStr">
        <is>
          <t>2023Q4</t>
        </is>
      </c>
      <c r="F1590" s="14" t="n">
        <v>86175</v>
      </c>
      <c r="G1590" s="15" t="n">
        <v>5105</v>
      </c>
      <c r="H1590" s="15" t="n">
        <v>3468</v>
      </c>
      <c r="I1590" s="9" t="n">
        <v>87230</v>
      </c>
      <c r="J1590" s="10" t="n">
        <v>5638</v>
      </c>
      <c r="K1590" s="10" t="n">
        <v>5462</v>
      </c>
      <c r="L1590" s="7" t="n">
        <v>92517</v>
      </c>
      <c r="M1590" s="8" t="n">
        <v>3634</v>
      </c>
      <c r="N1590" s="8" t="n">
        <v>2773</v>
      </c>
      <c r="O1590" s="9" t="n">
        <v>86533</v>
      </c>
      <c r="P1590" s="10" t="n">
        <v>3263</v>
      </c>
      <c r="Q1590" s="10" t="n">
        <v>1876</v>
      </c>
      <c r="R1590" s="7" t="n">
        <v>98034</v>
      </c>
      <c r="S1590" s="8" t="n">
        <v>1476</v>
      </c>
      <c r="T1590" s="8" t="n">
        <v>5378</v>
      </c>
      <c r="U1590" s="9" t="n">
        <v>99032</v>
      </c>
      <c r="V1590" s="10" t="n">
        <v>4815</v>
      </c>
      <c r="W1590" s="10" t="n">
        <v>2789</v>
      </c>
      <c r="X1590" s="7" t="n">
        <v>103746</v>
      </c>
      <c r="Y1590" s="8" t="n">
        <v>6130</v>
      </c>
      <c r="Z1590" s="8" t="n">
        <v>1863</v>
      </c>
      <c r="AA1590" s="9" t="n">
        <v>100842</v>
      </c>
      <c r="AB1590" s="10" t="n">
        <v>5787</v>
      </c>
      <c r="AC1590" s="10" t="n">
        <v>4352</v>
      </c>
      <c r="AD1590" s="7" t="n">
        <v>94266</v>
      </c>
      <c r="AE1590" s="8" t="n">
        <v>614</v>
      </c>
      <c r="AF1590" s="8" t="n">
        <v>1026</v>
      </c>
      <c r="AG1590" s="9" t="n">
        <v>92840</v>
      </c>
      <c r="AH1590" s="10" t="n">
        <v>3228</v>
      </c>
      <c r="AI1590" s="10" t="n">
        <v>2651</v>
      </c>
      <c r="AJ1590" s="11" t="n">
        <v>102653</v>
      </c>
      <c r="AK1590" s="12" t="n">
        <v>1202</v>
      </c>
      <c r="AL1590" s="12" t="n">
        <v>928</v>
      </c>
      <c r="AM1590" s="13" t="n">
        <v>10.6</v>
      </c>
      <c r="AN1590" s="13" t="n">
        <v>-1.1</v>
      </c>
      <c r="AO1590" s="13" t="n">
        <v>-62.8</v>
      </c>
      <c r="AP1590" s="13" t="n">
        <v>-80.40000000000001</v>
      </c>
    </row>
    <row r="1591">
      <c r="A1591" s="5" t="inlineStr">
        <is>
          <t>화신정공</t>
        </is>
      </c>
      <c r="B1591" s="6" t="inlineStr">
        <is>
          <t>126640</t>
        </is>
      </c>
      <c r="C1591" s="6" t="inlineStr">
        <is>
          <t>별도</t>
        </is>
      </c>
      <c r="D1591" s="6" t="inlineStr">
        <is>
          <t>2026Q2</t>
        </is>
      </c>
      <c r="E1591" s="6" t="inlineStr"/>
      <c r="F1591" s="7" t="inlineStr"/>
      <c r="G1591" s="8" t="inlineStr"/>
      <c r="H1591" s="8" t="inlineStr"/>
      <c r="I1591" s="9" t="n">
        <v>79367</v>
      </c>
      <c r="J1591" s="10" t="n">
        <v>1074</v>
      </c>
      <c r="K1591" s="10" t="n">
        <v>1276</v>
      </c>
      <c r="L1591" s="7" t="n">
        <v>83620</v>
      </c>
      <c r="M1591" s="8" t="n">
        <v>2062</v>
      </c>
      <c r="N1591" s="8" t="n">
        <v>1997</v>
      </c>
      <c r="O1591" s="9" t="n">
        <v>68395</v>
      </c>
      <c r="P1591" s="10" t="n">
        <v>-2830</v>
      </c>
      <c r="Q1591" s="10" t="n">
        <v>-2244</v>
      </c>
      <c r="R1591" s="7" t="n">
        <v>90575</v>
      </c>
      <c r="S1591" s="8" t="n">
        <v>1035</v>
      </c>
      <c r="T1591" s="8" t="n">
        <v>1607</v>
      </c>
      <c r="U1591" s="9" t="n">
        <v>88329</v>
      </c>
      <c r="V1591" s="10" t="n">
        <v>1849</v>
      </c>
      <c r="W1591" s="10" t="n">
        <v>2071</v>
      </c>
      <c r="X1591" s="7" t="n">
        <v>98460</v>
      </c>
      <c r="Y1591" s="8" t="n">
        <v>5426</v>
      </c>
      <c r="Z1591" s="8" t="n">
        <v>4275</v>
      </c>
      <c r="AA1591" s="9" t="n">
        <v>87608</v>
      </c>
      <c r="AB1591" s="10" t="n">
        <v>327</v>
      </c>
      <c r="AC1591" s="10" t="n">
        <v>453</v>
      </c>
      <c r="AD1591" s="7" t="n">
        <v>104540</v>
      </c>
      <c r="AE1591" s="8" t="n">
        <v>4180</v>
      </c>
      <c r="AF1591" s="8" t="n">
        <v>3514</v>
      </c>
      <c r="AG1591" s="9" t="n">
        <v>121320</v>
      </c>
      <c r="AH1591" s="10" t="n">
        <v>12162</v>
      </c>
      <c r="AI1591" s="10" t="n">
        <v>10145</v>
      </c>
      <c r="AJ1591" s="11" t="n">
        <v>101535</v>
      </c>
      <c r="AK1591" s="12" t="n">
        <v>10273</v>
      </c>
      <c r="AL1591" s="12" t="n">
        <v>8106</v>
      </c>
      <c r="AM1591" s="13" t="n">
        <v>-16.3</v>
      </c>
      <c r="AN1591" s="13" t="n">
        <v>3.1</v>
      </c>
      <c r="AO1591" s="13" t="n">
        <v>-15.5</v>
      </c>
      <c r="AP1591" s="13" t="n">
        <v>89.3</v>
      </c>
    </row>
    <row r="1592">
      <c r="A1592" s="5" t="inlineStr">
        <is>
          <t>하이비젼시스템</t>
        </is>
      </c>
      <c r="B1592" s="6" t="inlineStr">
        <is>
          <t>126700</t>
        </is>
      </c>
      <c r="C1592" s="6" t="inlineStr">
        <is>
          <t>연결</t>
        </is>
      </c>
      <c r="D1592" s="6" t="inlineStr">
        <is>
          <t>2026Q2</t>
        </is>
      </c>
      <c r="E1592" s="6" t="inlineStr"/>
      <c r="F1592" s="7" t="inlineStr"/>
      <c r="G1592" s="8" t="inlineStr"/>
      <c r="H1592" s="8" t="inlineStr"/>
      <c r="I1592" s="9" t="n">
        <v>48226</v>
      </c>
      <c r="J1592" s="10" t="n">
        <v>5568</v>
      </c>
      <c r="K1592" s="10" t="n">
        <v>12208</v>
      </c>
      <c r="L1592" s="7" t="n">
        <v>90722</v>
      </c>
      <c r="M1592" s="8" t="n">
        <v>14738</v>
      </c>
      <c r="N1592" s="8" t="n">
        <v>13792</v>
      </c>
      <c r="O1592" s="9" t="n">
        <v>102572</v>
      </c>
      <c r="P1592" s="10" t="n">
        <v>12977</v>
      </c>
      <c r="Q1592" s="10" t="n">
        <v>7220</v>
      </c>
      <c r="R1592" s="7" t="n">
        <v>70492</v>
      </c>
      <c r="S1592" s="8" t="n">
        <v>-2296</v>
      </c>
      <c r="T1592" s="8" t="n">
        <v>7202</v>
      </c>
      <c r="U1592" s="9" t="n">
        <v>22823</v>
      </c>
      <c r="V1592" s="10" t="n">
        <v>-2348</v>
      </c>
      <c r="W1592" s="10" t="n">
        <v>3271</v>
      </c>
      <c r="X1592" s="7" t="n">
        <v>41175</v>
      </c>
      <c r="Y1592" s="8" t="n">
        <v>-6456</v>
      </c>
      <c r="Z1592" s="8" t="n">
        <v>-10371</v>
      </c>
      <c r="AA1592" s="9" t="n">
        <v>58671</v>
      </c>
      <c r="AB1592" s="10" t="n">
        <v>-8689</v>
      </c>
      <c r="AC1592" s="10" t="n">
        <v>-5936</v>
      </c>
      <c r="AD1592" s="7" t="n">
        <v>48428</v>
      </c>
      <c r="AE1592" s="8" t="n">
        <v>-15061</v>
      </c>
      <c r="AF1592" s="8" t="n">
        <v>-10654</v>
      </c>
      <c r="AG1592" s="9" t="n">
        <v>27975</v>
      </c>
      <c r="AH1592" s="10" t="n">
        <v>-7482</v>
      </c>
      <c r="AI1592" s="10" t="n">
        <v>-3933</v>
      </c>
      <c r="AJ1592" s="11" t="n">
        <v>50339</v>
      </c>
      <c r="AK1592" s="12" t="n">
        <v>-5722</v>
      </c>
      <c r="AL1592" s="12" t="n">
        <v>769</v>
      </c>
      <c r="AM1592" s="13" t="n">
        <v>79.90000000000001</v>
      </c>
      <c r="AN1592" s="13" t="n">
        <v>22.3</v>
      </c>
      <c r="AO1592" s="13" t="n">
        <v>23.5</v>
      </c>
      <c r="AP1592" s="13" t="n">
        <v>11.4</v>
      </c>
    </row>
    <row r="1593">
      <c r="A1593" s="5" t="inlineStr">
        <is>
          <t>수산인더스트리</t>
        </is>
      </c>
      <c r="B1593" s="6" t="inlineStr">
        <is>
          <t>126720</t>
        </is>
      </c>
      <c r="C1593" s="6" t="inlineStr">
        <is>
          <t>연결</t>
        </is>
      </c>
      <c r="D1593" s="6" t="inlineStr">
        <is>
          <t>2026Q2</t>
        </is>
      </c>
      <c r="E1593" s="6" t="inlineStr"/>
      <c r="F1593" s="7" t="inlineStr"/>
      <c r="G1593" s="8" t="inlineStr"/>
      <c r="H1593" s="8" t="inlineStr"/>
      <c r="I1593" s="9" t="n">
        <v>72156</v>
      </c>
      <c r="J1593" s="10" t="n">
        <v>9383</v>
      </c>
      <c r="K1593" s="10" t="n">
        <v>9504</v>
      </c>
      <c r="L1593" s="7" t="n">
        <v>99997</v>
      </c>
      <c r="M1593" s="8" t="n">
        <v>20100</v>
      </c>
      <c r="N1593" s="8" t="n">
        <v>17363</v>
      </c>
      <c r="O1593" s="9" t="n">
        <v>66490</v>
      </c>
      <c r="P1593" s="10" t="n">
        <v>2258</v>
      </c>
      <c r="Q1593" s="10" t="n">
        <v>3555</v>
      </c>
      <c r="R1593" s="7" t="n">
        <v>78148</v>
      </c>
      <c r="S1593" s="8" t="n">
        <v>11759</v>
      </c>
      <c r="T1593" s="8" t="n">
        <v>8932</v>
      </c>
      <c r="U1593" s="9" t="n">
        <v>79267</v>
      </c>
      <c r="V1593" s="10" t="n">
        <v>10545</v>
      </c>
      <c r="W1593" s="10" t="n">
        <v>9412</v>
      </c>
      <c r="X1593" s="7" t="n">
        <v>86153</v>
      </c>
      <c r="Y1593" s="8" t="n">
        <v>10259</v>
      </c>
      <c r="Z1593" s="8" t="n">
        <v>5356</v>
      </c>
      <c r="AA1593" s="9" t="n">
        <v>81076</v>
      </c>
      <c r="AB1593" s="10" t="n">
        <v>10100</v>
      </c>
      <c r="AC1593" s="10" t="n">
        <v>12680</v>
      </c>
      <c r="AD1593" s="7" t="n">
        <v>91159</v>
      </c>
      <c r="AE1593" s="8" t="n">
        <v>12175</v>
      </c>
      <c r="AF1593" s="8" t="n">
        <v>21386</v>
      </c>
      <c r="AG1593" s="9" t="n">
        <v>85676</v>
      </c>
      <c r="AH1593" s="10" t="n">
        <v>13621</v>
      </c>
      <c r="AI1593" s="10" t="n">
        <v>22996</v>
      </c>
      <c r="AJ1593" s="11" t="n">
        <v>92617</v>
      </c>
      <c r="AK1593" s="12" t="n">
        <v>5863</v>
      </c>
      <c r="AL1593" s="12" t="n">
        <v>18373</v>
      </c>
      <c r="AM1593" s="13" t="n">
        <v>8.1</v>
      </c>
      <c r="AN1593" s="13" t="n">
        <v>7.5</v>
      </c>
      <c r="AO1593" s="13" t="n">
        <v>-57</v>
      </c>
      <c r="AP1593" s="13" t="n">
        <v>-42.9</v>
      </c>
    </row>
    <row r="1594">
      <c r="A1594" s="5" t="inlineStr">
        <is>
          <t>코칩</t>
        </is>
      </c>
      <c r="B1594" s="6" t="inlineStr">
        <is>
          <t>126730</t>
        </is>
      </c>
      <c r="C1594" s="6" t="inlineStr">
        <is>
          <t>연결</t>
        </is>
      </c>
      <c r="D1594" s="6" t="inlineStr">
        <is>
          <t>2026Q2</t>
        </is>
      </c>
      <c r="E1594" s="6" t="inlineStr"/>
      <c r="F1594" s="7" t="inlineStr"/>
      <c r="G1594" s="8" t="inlineStr"/>
      <c r="H1594" s="8" t="inlineStr"/>
      <c r="I1594" s="9" t="inlineStr"/>
      <c r="J1594" s="10" t="inlineStr"/>
      <c r="K1594" s="10" t="inlineStr"/>
      <c r="L1594" s="7" t="n">
        <v>7096</v>
      </c>
      <c r="M1594" s="8" t="n">
        <v>484</v>
      </c>
      <c r="N1594" s="8" t="n">
        <v>1072</v>
      </c>
      <c r="O1594" s="9" t="n">
        <v>6818</v>
      </c>
      <c r="P1594" s="10" t="n">
        <v>412</v>
      </c>
      <c r="Q1594" s="10" t="n">
        <v>267</v>
      </c>
      <c r="R1594" s="7" t="inlineStr"/>
      <c r="S1594" s="8" t="inlineStr"/>
      <c r="T1594" s="8" t="inlineStr"/>
      <c r="U1594" s="9" t="n">
        <v>8555</v>
      </c>
      <c r="V1594" s="10" t="n">
        <v>448</v>
      </c>
      <c r="W1594" s="10" t="n">
        <v>517</v>
      </c>
      <c r="X1594" s="7" t="n">
        <v>8627</v>
      </c>
      <c r="Y1594" s="8" t="n">
        <v>477</v>
      </c>
      <c r="Z1594" s="8" t="n">
        <v>975</v>
      </c>
      <c r="AA1594" s="9" t="n">
        <v>9730</v>
      </c>
      <c r="AB1594" s="10" t="n">
        <v>66</v>
      </c>
      <c r="AC1594" s="10" t="n">
        <v>875</v>
      </c>
      <c r="AD1594" s="7" t="n">
        <v>11373</v>
      </c>
      <c r="AE1594" s="8" t="n">
        <v>148</v>
      </c>
      <c r="AF1594" s="8" t="n">
        <v>482</v>
      </c>
      <c r="AG1594" s="9" t="n">
        <v>12053</v>
      </c>
      <c r="AH1594" s="10" t="n">
        <v>1069</v>
      </c>
      <c r="AI1594" s="10" t="n">
        <v>2128</v>
      </c>
      <c r="AJ1594" s="11" t="n">
        <v>17996</v>
      </c>
      <c r="AK1594" s="12" t="n">
        <v>4410</v>
      </c>
      <c r="AL1594" s="12" t="n">
        <v>3491</v>
      </c>
      <c r="AM1594" s="13" t="n">
        <v>49.3</v>
      </c>
      <c r="AN1594" s="13" t="n">
        <v>108.6</v>
      </c>
      <c r="AO1594" s="13" t="n">
        <v>312.5</v>
      </c>
      <c r="AP1594" s="13" t="n">
        <v>824.5</v>
      </c>
    </row>
    <row r="1595">
      <c r="A1595" s="5" t="inlineStr">
        <is>
          <t>제이엔케이글로벌</t>
        </is>
      </c>
      <c r="B1595" s="6" t="inlineStr">
        <is>
          <t>126880</t>
        </is>
      </c>
      <c r="C1595" s="6" t="inlineStr">
        <is>
          <t>연결</t>
        </is>
      </c>
      <c r="D1595" s="6" t="inlineStr">
        <is>
          <t>2026Q2</t>
        </is>
      </c>
      <c r="E1595" s="6" t="inlineStr"/>
      <c r="F1595" s="7" t="inlineStr"/>
      <c r="G1595" s="8" t="inlineStr"/>
      <c r="H1595" s="8" t="inlineStr"/>
      <c r="I1595" s="9" t="n">
        <v>27551</v>
      </c>
      <c r="J1595" s="10" t="n">
        <v>-2697</v>
      </c>
      <c r="K1595" s="10" t="n">
        <v>-611</v>
      </c>
      <c r="L1595" s="7" t="n">
        <v>25589</v>
      </c>
      <c r="M1595" s="8" t="n">
        <v>-228</v>
      </c>
      <c r="N1595" s="8" t="n">
        <v>86607</v>
      </c>
      <c r="O1595" s="9" t="n">
        <v>35877</v>
      </c>
      <c r="P1595" s="10" t="n">
        <v>1754</v>
      </c>
      <c r="Q1595" s="10" t="n">
        <v>-1179</v>
      </c>
      <c r="R1595" s="7" t="n">
        <v>49621</v>
      </c>
      <c r="S1595" s="8" t="n">
        <v>4813</v>
      </c>
      <c r="T1595" s="8" t="n">
        <v>6669</v>
      </c>
      <c r="U1595" s="9" t="n">
        <v>36613</v>
      </c>
      <c r="V1595" s="10" t="n">
        <v>-170</v>
      </c>
      <c r="W1595" s="10" t="n">
        <v>1156</v>
      </c>
      <c r="X1595" s="7" t="n">
        <v>29380</v>
      </c>
      <c r="Y1595" s="8" t="n">
        <v>675</v>
      </c>
      <c r="Z1595" s="8" t="n">
        <v>-819</v>
      </c>
      <c r="AA1595" s="9" t="n">
        <v>29275</v>
      </c>
      <c r="AB1595" s="10" t="n">
        <v>-678</v>
      </c>
      <c r="AC1595" s="10" t="n">
        <v>1092</v>
      </c>
      <c r="AD1595" s="7" t="n">
        <v>52025</v>
      </c>
      <c r="AE1595" s="8" t="n">
        <v>3327</v>
      </c>
      <c r="AF1595" s="8" t="n">
        <v>1492</v>
      </c>
      <c r="AG1595" s="9" t="n">
        <v>52041</v>
      </c>
      <c r="AH1595" s="10" t="n">
        <v>579</v>
      </c>
      <c r="AI1595" s="10" t="n">
        <v>2479</v>
      </c>
      <c r="AJ1595" s="11" t="n">
        <v>71445</v>
      </c>
      <c r="AK1595" s="12" t="n">
        <v>-223</v>
      </c>
      <c r="AL1595" s="12" t="n">
        <v>-677</v>
      </c>
      <c r="AM1595" s="13" t="n">
        <v>37.3</v>
      </c>
      <c r="AN1595" s="13" t="n">
        <v>143.2</v>
      </c>
      <c r="AO1595" s="13" t="n">
        <v>-138.5</v>
      </c>
      <c r="AP1595" s="13" t="n">
        <v>-133</v>
      </c>
    </row>
    <row r="1596">
      <c r="A1596" s="5" t="inlineStr">
        <is>
          <t>제이에스링크</t>
        </is>
      </c>
      <c r="B1596" s="6" t="inlineStr">
        <is>
          <t>127120</t>
        </is>
      </c>
      <c r="C1596" s="6" t="inlineStr">
        <is>
          <t>연결</t>
        </is>
      </c>
      <c r="D1596" s="6" t="inlineStr">
        <is>
          <t>2026Q2</t>
        </is>
      </c>
      <c r="E1596" s="6" t="inlineStr"/>
      <c r="F1596" s="7" t="inlineStr"/>
      <c r="G1596" s="8" t="inlineStr"/>
      <c r="H1596" s="8" t="inlineStr"/>
      <c r="I1596" s="9" t="n">
        <v>3062</v>
      </c>
      <c r="J1596" s="10" t="n">
        <v>-2534</v>
      </c>
      <c r="K1596" s="10" t="n">
        <v>-125</v>
      </c>
      <c r="L1596" s="7" t="n">
        <v>3050</v>
      </c>
      <c r="M1596" s="8" t="n">
        <v>-2386</v>
      </c>
      <c r="N1596" s="8" t="n">
        <v>-2980</v>
      </c>
      <c r="O1596" s="9" t="n">
        <v>4090</v>
      </c>
      <c r="P1596" s="10" t="n">
        <v>-2479</v>
      </c>
      <c r="Q1596" s="10" t="n">
        <v>-6046</v>
      </c>
      <c r="R1596" s="7" t="n">
        <v>5706</v>
      </c>
      <c r="S1596" s="8" t="n">
        <v>-1713</v>
      </c>
      <c r="T1596" s="8" t="n">
        <v>-1651</v>
      </c>
      <c r="U1596" s="9" t="n">
        <v>1427</v>
      </c>
      <c r="V1596" s="10" t="n">
        <v>-4818</v>
      </c>
      <c r="W1596" s="10" t="n">
        <v>-4479</v>
      </c>
      <c r="X1596" s="7" t="n">
        <v>3838</v>
      </c>
      <c r="Y1596" s="8" t="n">
        <v>-2360</v>
      </c>
      <c r="Z1596" s="8" t="n">
        <v>-2450</v>
      </c>
      <c r="AA1596" s="9" t="n">
        <v>5169</v>
      </c>
      <c r="AB1596" s="10" t="n">
        <v>-3865</v>
      </c>
      <c r="AC1596" s="10" t="n">
        <v>-3830</v>
      </c>
      <c r="AD1596" s="7" t="n">
        <v>8882</v>
      </c>
      <c r="AE1596" s="8" t="n">
        <v>-1444</v>
      </c>
      <c r="AF1596" s="8" t="n">
        <v>-5686</v>
      </c>
      <c r="AG1596" s="9" t="n">
        <v>2418</v>
      </c>
      <c r="AH1596" s="10" t="n">
        <v>-4919</v>
      </c>
      <c r="AI1596" s="10" t="n">
        <v>-3795</v>
      </c>
      <c r="AJ1596" s="11" t="n">
        <v>6311</v>
      </c>
      <c r="AK1596" s="12" t="n">
        <v>-4164</v>
      </c>
      <c r="AL1596" s="12" t="n">
        <v>8013</v>
      </c>
      <c r="AM1596" s="13" t="n">
        <v>161</v>
      </c>
      <c r="AN1596" s="13" t="n">
        <v>64.40000000000001</v>
      </c>
      <c r="AO1596" s="13" t="n">
        <v>15.3</v>
      </c>
      <c r="AP1596" s="13" t="n">
        <v>-76.40000000000001</v>
      </c>
    </row>
    <row r="1597">
      <c r="A1597" s="5" t="inlineStr">
        <is>
          <t>아시아경제</t>
        </is>
      </c>
      <c r="B1597" s="6" t="inlineStr">
        <is>
          <t>127710</t>
        </is>
      </c>
      <c r="C1597" s="6" t="inlineStr">
        <is>
          <t>연결</t>
        </is>
      </c>
      <c r="D1597" s="6" t="inlineStr">
        <is>
          <t>2026Q2</t>
        </is>
      </c>
      <c r="E1597" s="6" t="inlineStr"/>
      <c r="F1597" s="7" t="inlineStr"/>
      <c r="G1597" s="8" t="inlineStr"/>
      <c r="H1597" s="8" t="inlineStr"/>
      <c r="I1597" s="9" t="n">
        <v>16903</v>
      </c>
      <c r="J1597" s="10" t="n">
        <v>-4673</v>
      </c>
      <c r="K1597" s="10" t="n">
        <v>-6706</v>
      </c>
      <c r="L1597" s="7" t="n">
        <v>20325</v>
      </c>
      <c r="M1597" s="8" t="n">
        <v>-6067</v>
      </c>
      <c r="N1597" s="8" t="n">
        <v>-10324</v>
      </c>
      <c r="O1597" s="9" t="n">
        <v>18855</v>
      </c>
      <c r="P1597" s="10" t="n">
        <v>-3089</v>
      </c>
      <c r="Q1597" s="10" t="n">
        <v>-5532</v>
      </c>
      <c r="R1597" s="7" t="n">
        <v>21890</v>
      </c>
      <c r="S1597" s="8" t="n">
        <v>-21336</v>
      </c>
      <c r="T1597" s="8" t="n">
        <v>-54196</v>
      </c>
      <c r="U1597" s="9" t="n">
        <v>14655</v>
      </c>
      <c r="V1597" s="10" t="n">
        <v>-980</v>
      </c>
      <c r="W1597" s="10" t="n">
        <v>784</v>
      </c>
      <c r="X1597" s="7" t="n">
        <v>19441</v>
      </c>
      <c r="Y1597" s="8" t="n">
        <v>3</v>
      </c>
      <c r="Z1597" s="8" t="n">
        <v>3568</v>
      </c>
      <c r="AA1597" s="9" t="n">
        <v>17600</v>
      </c>
      <c r="AB1597" s="10" t="n">
        <v>7935</v>
      </c>
      <c r="AC1597" s="10" t="n">
        <v>1457</v>
      </c>
      <c r="AD1597" s="7" t="n">
        <v>21449</v>
      </c>
      <c r="AE1597" s="8" t="n">
        <v>-1479</v>
      </c>
      <c r="AF1597" s="8" t="n">
        <v>-2700</v>
      </c>
      <c r="AG1597" s="9" t="n">
        <v>14540</v>
      </c>
      <c r="AH1597" s="10" t="n">
        <v>-2765</v>
      </c>
      <c r="AI1597" s="10" t="n">
        <v>-1361</v>
      </c>
      <c r="AJ1597" s="11" t="n">
        <v>21183</v>
      </c>
      <c r="AK1597" s="12" t="n">
        <v>4960</v>
      </c>
      <c r="AL1597" s="12" t="n">
        <v>1413</v>
      </c>
      <c r="AM1597" s="13" t="n">
        <v>45.7</v>
      </c>
      <c r="AN1597" s="13" t="n">
        <v>9</v>
      </c>
      <c r="AO1597" s="13" t="n">
        <v>279.4</v>
      </c>
      <c r="AP1597" s="13" t="n">
        <v>165233.3</v>
      </c>
    </row>
    <row r="1598">
      <c r="A1598" s="5" t="inlineStr">
        <is>
          <t>화인써키트</t>
        </is>
      </c>
      <c r="B1598" s="6" t="inlineStr">
        <is>
          <t>127980</t>
        </is>
      </c>
      <c r="C1598" s="6" t="inlineStr">
        <is>
          <t>연결</t>
        </is>
      </c>
      <c r="D1598" s="6" t="inlineStr">
        <is>
          <t>2026Q2</t>
        </is>
      </c>
      <c r="E1598" s="6" t="inlineStr"/>
      <c r="F1598" s="7" t="inlineStr"/>
      <c r="G1598" s="8" t="inlineStr"/>
      <c r="H1598" s="8" t="inlineStr"/>
      <c r="I1598" s="9" t="n">
        <v>21630</v>
      </c>
      <c r="J1598" s="10" t="n">
        <v>965</v>
      </c>
      <c r="K1598" s="10" t="n">
        <v>706</v>
      </c>
      <c r="L1598" s="7" t="n">
        <v>24934</v>
      </c>
      <c r="M1598" s="8" t="n">
        <v>2025</v>
      </c>
      <c r="N1598" s="8" t="n">
        <v>1573</v>
      </c>
      <c r="O1598" s="9" t="n">
        <v>19402</v>
      </c>
      <c r="P1598" s="10" t="n">
        <v>382</v>
      </c>
      <c r="Q1598" s="10" t="n">
        <v>171</v>
      </c>
      <c r="R1598" s="7" t="n">
        <v>19955</v>
      </c>
      <c r="S1598" s="8" t="n">
        <v>1143</v>
      </c>
      <c r="T1598" s="8" t="n">
        <v>2217</v>
      </c>
      <c r="U1598" s="9" t="n">
        <v>25907</v>
      </c>
      <c r="V1598" s="10" t="n">
        <v>417</v>
      </c>
      <c r="W1598" s="10" t="n">
        <v>-2912</v>
      </c>
      <c r="X1598" s="7" t="n">
        <v>23928</v>
      </c>
      <c r="Y1598" s="8" t="n">
        <v>-287</v>
      </c>
      <c r="Z1598" s="8" t="n">
        <v>365</v>
      </c>
      <c r="AA1598" s="9" t="n">
        <v>16906</v>
      </c>
      <c r="AB1598" s="10" t="n">
        <v>-1021</v>
      </c>
      <c r="AC1598" s="10" t="n">
        <v>-1832</v>
      </c>
      <c r="AD1598" s="7" t="n">
        <v>15049</v>
      </c>
      <c r="AE1598" s="8" t="n">
        <v>-594</v>
      </c>
      <c r="AF1598" s="8" t="n">
        <v>605</v>
      </c>
      <c r="AG1598" s="9" t="n">
        <v>16611</v>
      </c>
      <c r="AH1598" s="10" t="n">
        <v>216</v>
      </c>
      <c r="AI1598" s="10" t="n">
        <v>698</v>
      </c>
      <c r="AJ1598" s="11" t="n">
        <v>20375</v>
      </c>
      <c r="AK1598" s="12" t="n">
        <v>1415</v>
      </c>
      <c r="AL1598" s="12" t="n">
        <v>1178</v>
      </c>
      <c r="AM1598" s="13" t="n">
        <v>22.7</v>
      </c>
      <c r="AN1598" s="13" t="n">
        <v>-14.8</v>
      </c>
      <c r="AO1598" s="13" t="n">
        <v>555.1</v>
      </c>
      <c r="AP1598" s="13" t="n">
        <v>593</v>
      </c>
    </row>
    <row r="1599">
      <c r="A1599" s="5" t="inlineStr">
        <is>
          <t>에코캡</t>
        </is>
      </c>
      <c r="B1599" s="6" t="inlineStr">
        <is>
          <t>128540</t>
        </is>
      </c>
      <c r="C1599" s="6" t="inlineStr">
        <is>
          <t>연결</t>
        </is>
      </c>
      <c r="D1599" s="6" t="inlineStr">
        <is>
          <t>2026Q2</t>
        </is>
      </c>
      <c r="E1599" s="6" t="inlineStr"/>
      <c r="F1599" s="7" t="inlineStr"/>
      <c r="G1599" s="8" t="inlineStr"/>
      <c r="H1599" s="8" t="inlineStr"/>
      <c r="I1599" s="9" t="n">
        <v>29602</v>
      </c>
      <c r="J1599" s="10" t="n">
        <v>-4721</v>
      </c>
      <c r="K1599" s="10" t="n">
        <v>-2837</v>
      </c>
      <c r="L1599" s="7" t="n">
        <v>32465</v>
      </c>
      <c r="M1599" s="8" t="n">
        <v>-1954</v>
      </c>
      <c r="N1599" s="8" t="n">
        <v>-1970</v>
      </c>
      <c r="O1599" s="9" t="n">
        <v>31739</v>
      </c>
      <c r="P1599" s="10" t="n">
        <v>2048</v>
      </c>
      <c r="Q1599" s="10" t="n">
        <v>-2499</v>
      </c>
      <c r="R1599" s="7" t="n">
        <v>44723</v>
      </c>
      <c r="S1599" s="8" t="n">
        <v>24224</v>
      </c>
      <c r="T1599" s="8" t="n">
        <v>27611</v>
      </c>
      <c r="U1599" s="9" t="n">
        <v>37107</v>
      </c>
      <c r="V1599" s="10" t="n">
        <v>2473</v>
      </c>
      <c r="W1599" s="10" t="n">
        <v>-3365</v>
      </c>
      <c r="X1599" s="7" t="n">
        <v>41064</v>
      </c>
      <c r="Y1599" s="8" t="n">
        <v>-9761</v>
      </c>
      <c r="Z1599" s="8" t="n">
        <v>-1376</v>
      </c>
      <c r="AA1599" s="9" t="n">
        <v>34542</v>
      </c>
      <c r="AB1599" s="10" t="n">
        <v>8284</v>
      </c>
      <c r="AC1599" s="10" t="n">
        <v>8056</v>
      </c>
      <c r="AD1599" s="7" t="n">
        <v>39133</v>
      </c>
      <c r="AE1599" s="8" t="n">
        <v>-4154</v>
      </c>
      <c r="AF1599" s="8" t="n">
        <v>-5777</v>
      </c>
      <c r="AG1599" s="9" t="n">
        <v>34330</v>
      </c>
      <c r="AH1599" s="10" t="n">
        <v>-1563</v>
      </c>
      <c r="AI1599" s="10" t="n">
        <v>1631</v>
      </c>
      <c r="AJ1599" s="11" t="n">
        <v>37037</v>
      </c>
      <c r="AK1599" s="12" t="n">
        <v>5719</v>
      </c>
      <c r="AL1599" s="12" t="n">
        <v>5959</v>
      </c>
      <c r="AM1599" s="13" t="n">
        <v>7.9</v>
      </c>
      <c r="AN1599" s="13" t="n">
        <v>-9.800000000000001</v>
      </c>
      <c r="AO1599" s="13" t="n">
        <v>465.9</v>
      </c>
      <c r="AP1599" s="13" t="n">
        <v>158.6</v>
      </c>
    </row>
    <row r="1600">
      <c r="A1600" s="5" t="inlineStr">
        <is>
          <t>피제이메탈</t>
        </is>
      </c>
      <c r="B1600" s="6" t="inlineStr">
        <is>
          <t>128660</t>
        </is>
      </c>
      <c r="C1600" s="6" t="inlineStr">
        <is>
          <t>연결</t>
        </is>
      </c>
      <c r="D1600" s="6" t="inlineStr">
        <is>
          <t>2026Q2</t>
        </is>
      </c>
      <c r="E1600" s="6" t="inlineStr"/>
      <c r="F1600" s="7" t="inlineStr"/>
      <c r="G1600" s="8" t="inlineStr"/>
      <c r="H1600" s="8" t="inlineStr"/>
      <c r="I1600" s="9" t="n">
        <v>51797</v>
      </c>
      <c r="J1600" s="10" t="n">
        <v>1110</v>
      </c>
      <c r="K1600" s="10" t="n">
        <v>-1230</v>
      </c>
      <c r="L1600" s="7" t="n">
        <v>65933</v>
      </c>
      <c r="M1600" s="8" t="n">
        <v>5413</v>
      </c>
      <c r="N1600" s="8" t="n">
        <v>3240</v>
      </c>
      <c r="O1600" s="9" t="n">
        <v>67005</v>
      </c>
      <c r="P1600" s="10" t="n">
        <v>-269</v>
      </c>
      <c r="Q1600" s="10" t="n">
        <v>725</v>
      </c>
      <c r="R1600" s="7" t="n">
        <v>69751</v>
      </c>
      <c r="S1600" s="8" t="n">
        <v>2917</v>
      </c>
      <c r="T1600" s="8" t="n">
        <v>-1681</v>
      </c>
      <c r="U1600" s="9" t="n">
        <v>84235</v>
      </c>
      <c r="V1600" s="10" t="n">
        <v>4729</v>
      </c>
      <c r="W1600" s="10" t="n">
        <v>3070</v>
      </c>
      <c r="X1600" s="7" t="n">
        <v>87183</v>
      </c>
      <c r="Y1600" s="8" t="n">
        <v>-836</v>
      </c>
      <c r="Z1600" s="8" t="n">
        <v>1055</v>
      </c>
      <c r="AA1600" s="9" t="n">
        <v>86789</v>
      </c>
      <c r="AB1600" s="10" t="n">
        <v>2443</v>
      </c>
      <c r="AC1600" s="10" t="n">
        <v>708</v>
      </c>
      <c r="AD1600" s="7" t="n">
        <v>90750</v>
      </c>
      <c r="AE1600" s="8" t="n">
        <v>5891</v>
      </c>
      <c r="AF1600" s="8" t="n">
        <v>3624</v>
      </c>
      <c r="AG1600" s="9" t="n">
        <v>103055</v>
      </c>
      <c r="AH1600" s="10" t="n">
        <v>7932</v>
      </c>
      <c r="AI1600" s="10" t="n">
        <v>1496</v>
      </c>
      <c r="AJ1600" s="11" t="n">
        <v>122815</v>
      </c>
      <c r="AK1600" s="12" t="n">
        <v>11786</v>
      </c>
      <c r="AL1600" s="12" t="n">
        <v>9299</v>
      </c>
      <c r="AM1600" s="13" t="n">
        <v>19.2</v>
      </c>
      <c r="AN1600" s="13" t="n">
        <v>40.9</v>
      </c>
      <c r="AO1600" s="13" t="n">
        <v>48.6</v>
      </c>
      <c r="AP1600" s="13" t="n">
        <v>1509.8</v>
      </c>
    </row>
    <row r="1601">
      <c r="A1601" s="5" t="inlineStr">
        <is>
          <t>대성산업</t>
        </is>
      </c>
      <c r="B1601" s="6" t="inlineStr">
        <is>
          <t>128820</t>
        </is>
      </c>
      <c r="C1601" s="6" t="inlineStr">
        <is>
          <t>연결</t>
        </is>
      </c>
      <c r="D1601" s="6" t="inlineStr">
        <is>
          <t>2026Q2</t>
        </is>
      </c>
      <c r="E1601" s="6" t="inlineStr"/>
      <c r="F1601" s="7" t="inlineStr"/>
      <c r="G1601" s="8" t="inlineStr"/>
      <c r="H1601" s="8" t="inlineStr"/>
      <c r="I1601" s="9" t="n">
        <v>396226</v>
      </c>
      <c r="J1601" s="10" t="n">
        <v>13256</v>
      </c>
      <c r="K1601" s="10" t="n">
        <v>9440</v>
      </c>
      <c r="L1601" s="7" t="n">
        <v>345259</v>
      </c>
      <c r="M1601" s="8" t="n">
        <v>704</v>
      </c>
      <c r="N1601" s="8" t="n">
        <v>-4069</v>
      </c>
      <c r="O1601" s="9" t="n">
        <v>358334</v>
      </c>
      <c r="P1601" s="10" t="n">
        <v>6429</v>
      </c>
      <c r="Q1601" s="10" t="n">
        <v>-1642</v>
      </c>
      <c r="R1601" s="7" t="n">
        <v>376953</v>
      </c>
      <c r="S1601" s="8" t="n">
        <v>1392</v>
      </c>
      <c r="T1601" s="8" t="n">
        <v>4683</v>
      </c>
      <c r="U1601" s="9" t="n">
        <v>416472</v>
      </c>
      <c r="V1601" s="10" t="n">
        <v>14220</v>
      </c>
      <c r="W1601" s="10" t="n">
        <v>11857</v>
      </c>
      <c r="X1601" s="7" t="n">
        <v>372310</v>
      </c>
      <c r="Y1601" s="8" t="n">
        <v>-510</v>
      </c>
      <c r="Z1601" s="8" t="n">
        <v>-15486</v>
      </c>
      <c r="AA1601" s="9" t="n">
        <v>350300</v>
      </c>
      <c r="AB1601" s="10" t="n">
        <v>3607</v>
      </c>
      <c r="AC1601" s="10" t="n">
        <v>-8718</v>
      </c>
      <c r="AD1601" s="7" t="n">
        <v>426841</v>
      </c>
      <c r="AE1601" s="8" t="n">
        <v>-6484</v>
      </c>
      <c r="AF1601" s="8" t="n">
        <v>-49399</v>
      </c>
      <c r="AG1601" s="9" t="n">
        <v>412554</v>
      </c>
      <c r="AH1601" s="10" t="n">
        <v>21828</v>
      </c>
      <c r="AI1601" s="10" t="n">
        <v>12709</v>
      </c>
      <c r="AJ1601" s="11" t="n">
        <v>365856</v>
      </c>
      <c r="AK1601" s="12" t="n">
        <v>3013</v>
      </c>
      <c r="AL1601" s="12" t="n">
        <v>-2584</v>
      </c>
      <c r="AM1601" s="13" t="n">
        <v>-11.3</v>
      </c>
      <c r="AN1601" s="13" t="n">
        <v>-1.7</v>
      </c>
      <c r="AO1601" s="13" t="n">
        <v>-86.2</v>
      </c>
      <c r="AP1601" s="13" t="n">
        <v>690.8</v>
      </c>
    </row>
    <row r="1602">
      <c r="A1602" s="5" t="inlineStr">
        <is>
          <t>한미약품</t>
        </is>
      </c>
      <c r="B1602" s="6" t="inlineStr">
        <is>
          <t>128940</t>
        </is>
      </c>
      <c r="C1602" s="6" t="inlineStr">
        <is>
          <t>연결</t>
        </is>
      </c>
      <c r="D1602" s="6" t="inlineStr">
        <is>
          <t>2026Q2</t>
        </is>
      </c>
      <c r="E1602" s="6" t="inlineStr"/>
      <c r="F1602" s="7" t="inlineStr"/>
      <c r="G1602" s="8" t="inlineStr"/>
      <c r="H1602" s="8" t="inlineStr"/>
      <c r="I1602" s="9" t="n">
        <v>403684</v>
      </c>
      <c r="J1602" s="10" t="n">
        <v>76645</v>
      </c>
      <c r="K1602" s="10" t="n">
        <v>63196</v>
      </c>
      <c r="L1602" s="7" t="n">
        <v>378133</v>
      </c>
      <c r="M1602" s="8" t="n">
        <v>58109</v>
      </c>
      <c r="N1602" s="8" t="n">
        <v>47058</v>
      </c>
      <c r="O1602" s="9" t="n">
        <v>362077</v>
      </c>
      <c r="P1602" s="10" t="n">
        <v>50976</v>
      </c>
      <c r="Q1602" s="10" t="n">
        <v>34955</v>
      </c>
      <c r="R1602" s="7" t="n">
        <v>351608</v>
      </c>
      <c r="S1602" s="8" t="n">
        <v>30456</v>
      </c>
      <c r="T1602" s="8" t="n">
        <v>-4778</v>
      </c>
      <c r="U1602" s="9" t="n">
        <v>390948</v>
      </c>
      <c r="V1602" s="10" t="n">
        <v>59020</v>
      </c>
      <c r="W1602" s="10" t="n">
        <v>44654</v>
      </c>
      <c r="X1602" s="7" t="n">
        <v>361277</v>
      </c>
      <c r="Y1602" s="8" t="n">
        <v>60438</v>
      </c>
      <c r="Z1602" s="8" t="n">
        <v>43012</v>
      </c>
      <c r="AA1602" s="9" t="n">
        <v>362345</v>
      </c>
      <c r="AB1602" s="10" t="n">
        <v>55069</v>
      </c>
      <c r="AC1602" s="10" t="n">
        <v>45416</v>
      </c>
      <c r="AD1602" s="7" t="n">
        <v>432961</v>
      </c>
      <c r="AE1602" s="8" t="n">
        <v>83272</v>
      </c>
      <c r="AF1602" s="8" t="n">
        <v>54054</v>
      </c>
      <c r="AG1602" s="9" t="n">
        <v>392926</v>
      </c>
      <c r="AH1602" s="10" t="n">
        <v>53649</v>
      </c>
      <c r="AI1602" s="10" t="n">
        <v>51083</v>
      </c>
      <c r="AJ1602" s="11" t="n">
        <v>467247</v>
      </c>
      <c r="AK1602" s="12" t="n">
        <v>131093</v>
      </c>
      <c r="AL1602" s="12" t="n">
        <v>84082</v>
      </c>
      <c r="AM1602" s="13" t="n">
        <v>18.9</v>
      </c>
      <c r="AN1602" s="13" t="n">
        <v>29.3</v>
      </c>
      <c r="AO1602" s="13" t="n">
        <v>144.4</v>
      </c>
      <c r="AP1602" s="13" t="n">
        <v>116.9</v>
      </c>
    </row>
    <row r="1603">
      <c r="A1603" s="5" t="inlineStr">
        <is>
          <t>인터지스</t>
        </is>
      </c>
      <c r="B1603" s="6" t="inlineStr">
        <is>
          <t>129260</t>
        </is>
      </c>
      <c r="C1603" s="6" t="inlineStr">
        <is>
          <t>연결</t>
        </is>
      </c>
      <c r="D1603" s="6" t="inlineStr">
        <is>
          <t>2026Q2</t>
        </is>
      </c>
      <c r="E1603" s="6" t="inlineStr"/>
      <c r="F1603" s="7" t="inlineStr"/>
      <c r="G1603" s="8" t="inlineStr"/>
      <c r="H1603" s="8" t="inlineStr"/>
      <c r="I1603" s="9" t="n">
        <v>157101</v>
      </c>
      <c r="J1603" s="10" t="n">
        <v>3627</v>
      </c>
      <c r="K1603" s="10" t="n">
        <v>2757</v>
      </c>
      <c r="L1603" s="7" t="n">
        <v>179637</v>
      </c>
      <c r="M1603" s="8" t="n">
        <v>8622</v>
      </c>
      <c r="N1603" s="8" t="n">
        <v>6794</v>
      </c>
      <c r="O1603" s="9" t="n">
        <v>183737</v>
      </c>
      <c r="P1603" s="10" t="n">
        <v>7483</v>
      </c>
      <c r="Q1603" s="10" t="n">
        <v>5206</v>
      </c>
      <c r="R1603" s="7" t="n">
        <v>180697</v>
      </c>
      <c r="S1603" s="8" t="n">
        <v>4132</v>
      </c>
      <c r="T1603" s="8" t="n">
        <v>-69</v>
      </c>
      <c r="U1603" s="9" t="n">
        <v>173878</v>
      </c>
      <c r="V1603" s="10" t="n">
        <v>8297</v>
      </c>
      <c r="W1603" s="10" t="n">
        <v>6044</v>
      </c>
      <c r="X1603" s="7" t="n">
        <v>182810</v>
      </c>
      <c r="Y1603" s="8" t="n">
        <v>7669</v>
      </c>
      <c r="Z1603" s="8" t="n">
        <v>5569</v>
      </c>
      <c r="AA1603" s="9" t="n">
        <v>177108</v>
      </c>
      <c r="AB1603" s="10" t="n">
        <v>5243</v>
      </c>
      <c r="AC1603" s="10" t="n">
        <v>4410</v>
      </c>
      <c r="AD1603" s="7" t="n">
        <v>175183</v>
      </c>
      <c r="AE1603" s="8" t="n">
        <v>-1448</v>
      </c>
      <c r="AF1603" s="8" t="n">
        <v>-5534</v>
      </c>
      <c r="AG1603" s="9" t="n">
        <v>194536</v>
      </c>
      <c r="AH1603" s="10" t="n">
        <v>3479</v>
      </c>
      <c r="AI1603" s="10" t="n">
        <v>2901</v>
      </c>
      <c r="AJ1603" s="11" t="n">
        <v>224366</v>
      </c>
      <c r="AK1603" s="12" t="n">
        <v>7945</v>
      </c>
      <c r="AL1603" s="12" t="n">
        <v>5475</v>
      </c>
      <c r="AM1603" s="13" t="n">
        <v>15.3</v>
      </c>
      <c r="AN1603" s="13" t="n">
        <v>22.7</v>
      </c>
      <c r="AO1603" s="13" t="n">
        <v>128.4</v>
      </c>
      <c r="AP1603" s="13" t="n">
        <v>3.6</v>
      </c>
    </row>
    <row r="1604">
      <c r="A1604" s="5" t="inlineStr">
        <is>
          <t>앱코</t>
        </is>
      </c>
      <c r="B1604" s="6" t="inlineStr">
        <is>
          <t>129890</t>
        </is>
      </c>
      <c r="C1604" s="6" t="inlineStr">
        <is>
          <t>연결</t>
        </is>
      </c>
      <c r="D1604" s="6" t="inlineStr">
        <is>
          <t>2026Q2</t>
        </is>
      </c>
      <c r="E1604" s="6" t="inlineStr"/>
      <c r="F1604" s="7" t="inlineStr"/>
      <c r="G1604" s="8" t="inlineStr"/>
      <c r="H1604" s="8" t="inlineStr"/>
      <c r="I1604" s="9" t="n">
        <v>22042</v>
      </c>
      <c r="J1604" s="10" t="n">
        <v>2606</v>
      </c>
      <c r="K1604" s="10" t="n">
        <v>2482</v>
      </c>
      <c r="L1604" s="7" t="n">
        <v>13303</v>
      </c>
      <c r="M1604" s="8" t="n">
        <v>447</v>
      </c>
      <c r="N1604" s="8" t="n">
        <v>460</v>
      </c>
      <c r="O1604" s="9" t="n">
        <v>19674</v>
      </c>
      <c r="P1604" s="10" t="n">
        <v>799</v>
      </c>
      <c r="Q1604" s="10" t="n">
        <v>1217</v>
      </c>
      <c r="R1604" s="7" t="n">
        <v>38349</v>
      </c>
      <c r="S1604" s="8" t="n">
        <v>967</v>
      </c>
      <c r="T1604" s="8" t="n">
        <v>543</v>
      </c>
      <c r="U1604" s="9" t="n">
        <v>22998</v>
      </c>
      <c r="V1604" s="10" t="n">
        <v>2007</v>
      </c>
      <c r="W1604" s="10" t="n">
        <v>2129</v>
      </c>
      <c r="X1604" s="7" t="n">
        <v>15886</v>
      </c>
      <c r="Y1604" s="8" t="n">
        <v>852</v>
      </c>
      <c r="Z1604" s="8" t="n">
        <v>849</v>
      </c>
      <c r="AA1604" s="9" t="n">
        <v>19334</v>
      </c>
      <c r="AB1604" s="10" t="n">
        <v>1143</v>
      </c>
      <c r="AC1604" s="10" t="n">
        <v>1176</v>
      </c>
      <c r="AD1604" s="7" t="n">
        <v>25210</v>
      </c>
      <c r="AE1604" s="8" t="n">
        <v>-825</v>
      </c>
      <c r="AF1604" s="8" t="n">
        <v>2255</v>
      </c>
      <c r="AG1604" s="9" t="n">
        <v>16391</v>
      </c>
      <c r="AH1604" s="10" t="n">
        <v>672</v>
      </c>
      <c r="AI1604" s="10" t="n">
        <v>2805</v>
      </c>
      <c r="AJ1604" s="11" t="n">
        <v>20828</v>
      </c>
      <c r="AK1604" s="12" t="n">
        <v>-308</v>
      </c>
      <c r="AL1604" s="12" t="n">
        <v>-782</v>
      </c>
      <c r="AM1604" s="13" t="n">
        <v>27.1</v>
      </c>
      <c r="AN1604" s="13" t="n">
        <v>31.1</v>
      </c>
      <c r="AO1604" s="13" t="n">
        <v>-145.8</v>
      </c>
      <c r="AP1604" s="13" t="n">
        <v>-136.2</v>
      </c>
    </row>
    <row r="1605">
      <c r="A1605" s="5" t="inlineStr">
        <is>
          <t>대성하이텍</t>
        </is>
      </c>
      <c r="B1605" s="6" t="inlineStr">
        <is>
          <t>129920</t>
        </is>
      </c>
      <c r="C1605" s="6" t="inlineStr">
        <is>
          <t>연결</t>
        </is>
      </c>
      <c r="D1605" s="6" t="inlineStr">
        <is>
          <t>2026Q2</t>
        </is>
      </c>
      <c r="E1605" s="6" t="inlineStr"/>
      <c r="F1605" s="7" t="inlineStr"/>
      <c r="G1605" s="8" t="inlineStr"/>
      <c r="H1605" s="8" t="inlineStr"/>
      <c r="I1605" s="9" t="n">
        <v>17598</v>
      </c>
      <c r="J1605" s="10" t="n">
        <v>-2717</v>
      </c>
      <c r="K1605" s="10" t="n">
        <v>-2439</v>
      </c>
      <c r="L1605" s="7" t="n">
        <v>25532</v>
      </c>
      <c r="M1605" s="8" t="n">
        <v>3108</v>
      </c>
      <c r="N1605" s="8" t="n">
        <v>1476</v>
      </c>
      <c r="O1605" s="9" t="n">
        <v>20188</v>
      </c>
      <c r="P1605" s="10" t="n">
        <v>-2243</v>
      </c>
      <c r="Q1605" s="10" t="n">
        <v>-3585</v>
      </c>
      <c r="R1605" s="7" t="n">
        <v>29513</v>
      </c>
      <c r="S1605" s="8" t="n">
        <v>-11285</v>
      </c>
      <c r="T1605" s="8" t="n">
        <v>-7963</v>
      </c>
      <c r="U1605" s="9" t="n">
        <v>18318</v>
      </c>
      <c r="V1605" s="10" t="n">
        <v>-207</v>
      </c>
      <c r="W1605" s="10" t="n">
        <v>-513</v>
      </c>
      <c r="X1605" s="7" t="n">
        <v>28889</v>
      </c>
      <c r="Y1605" s="8" t="n">
        <v>-1507</v>
      </c>
      <c r="Z1605" s="8" t="n">
        <v>-4773</v>
      </c>
      <c r="AA1605" s="9" t="n">
        <v>23091</v>
      </c>
      <c r="AB1605" s="10" t="n">
        <v>-436</v>
      </c>
      <c r="AC1605" s="10" t="n">
        <v>322</v>
      </c>
      <c r="AD1605" s="7" t="n">
        <v>24918</v>
      </c>
      <c r="AE1605" s="8" t="n">
        <v>-145</v>
      </c>
      <c r="AF1605" s="8" t="n">
        <v>-1211</v>
      </c>
      <c r="AG1605" s="9" t="n">
        <v>17580</v>
      </c>
      <c r="AH1605" s="10" t="n">
        <v>42</v>
      </c>
      <c r="AI1605" s="10" t="n">
        <v>-15953</v>
      </c>
      <c r="AJ1605" s="11" t="n">
        <v>23117</v>
      </c>
      <c r="AK1605" s="12" t="n">
        <v>-2189</v>
      </c>
      <c r="AL1605" s="12" t="n">
        <v>1932</v>
      </c>
      <c r="AM1605" s="13" t="n">
        <v>31.5</v>
      </c>
      <c r="AN1605" s="13" t="n">
        <v>-20</v>
      </c>
      <c r="AO1605" s="13" t="n">
        <v>-5311.9</v>
      </c>
      <c r="AP1605" s="13" t="n">
        <v>-45.3</v>
      </c>
    </row>
    <row r="1606">
      <c r="A1606" s="5" t="inlineStr">
        <is>
          <t>GH신소재</t>
        </is>
      </c>
      <c r="B1606" s="6" t="inlineStr">
        <is>
          <t>130500</t>
        </is>
      </c>
      <c r="C1606" s="6" t="inlineStr">
        <is>
          <t>연결</t>
        </is>
      </c>
      <c r="D1606" s="6" t="inlineStr">
        <is>
          <t>2026Q2</t>
        </is>
      </c>
      <c r="E1606" s="6" t="inlineStr"/>
      <c r="F1606" s="7" t="inlineStr"/>
      <c r="G1606" s="8" t="inlineStr"/>
      <c r="H1606" s="8" t="inlineStr"/>
      <c r="I1606" s="9" t="n">
        <v>20266</v>
      </c>
      <c r="J1606" s="10" t="n">
        <v>732</v>
      </c>
      <c r="K1606" s="10" t="n">
        <v>559</v>
      </c>
      <c r="L1606" s="7" t="n">
        <v>23236</v>
      </c>
      <c r="M1606" s="8" t="n">
        <v>3028</v>
      </c>
      <c r="N1606" s="8" t="n">
        <v>2352</v>
      </c>
      <c r="O1606" s="9" t="n">
        <v>23032</v>
      </c>
      <c r="P1606" s="10" t="n">
        <v>2896</v>
      </c>
      <c r="Q1606" s="10" t="n">
        <v>2206</v>
      </c>
      <c r="R1606" s="7" t="n">
        <v>17191</v>
      </c>
      <c r="S1606" s="8" t="n">
        <v>1011</v>
      </c>
      <c r="T1606" s="8" t="n">
        <v>1087</v>
      </c>
      <c r="U1606" s="9" t="n">
        <v>21613</v>
      </c>
      <c r="V1606" s="10" t="n">
        <v>1949</v>
      </c>
      <c r="W1606" s="10" t="n">
        <v>1660</v>
      </c>
      <c r="X1606" s="7" t="n">
        <v>21525</v>
      </c>
      <c r="Y1606" s="8" t="n">
        <v>1835</v>
      </c>
      <c r="Z1606" s="8" t="n">
        <v>-1359</v>
      </c>
      <c r="AA1606" s="9" t="n">
        <v>21766</v>
      </c>
      <c r="AB1606" s="10" t="n">
        <v>2265</v>
      </c>
      <c r="AC1606" s="10" t="n">
        <v>2475</v>
      </c>
      <c r="AD1606" s="7" t="n">
        <v>22720</v>
      </c>
      <c r="AE1606" s="8" t="n">
        <v>795</v>
      </c>
      <c r="AF1606" s="8" t="n">
        <v>-6751</v>
      </c>
      <c r="AG1606" s="9" t="n">
        <v>21077</v>
      </c>
      <c r="AH1606" s="10" t="n">
        <v>2029</v>
      </c>
      <c r="AI1606" s="10" t="n">
        <v>1664</v>
      </c>
      <c r="AJ1606" s="11" t="n">
        <v>22679</v>
      </c>
      <c r="AK1606" s="12" t="n">
        <v>2598</v>
      </c>
      <c r="AL1606" s="12" t="n">
        <v>2212</v>
      </c>
      <c r="AM1606" s="13" t="n">
        <v>7.6</v>
      </c>
      <c r="AN1606" s="13" t="n">
        <v>5.4</v>
      </c>
      <c r="AO1606" s="13" t="n">
        <v>28</v>
      </c>
      <c r="AP1606" s="13" t="n">
        <v>41.6</v>
      </c>
    </row>
    <row r="1607">
      <c r="A1607" s="5" t="inlineStr">
        <is>
          <t>나이스디앤비</t>
        </is>
      </c>
      <c r="B1607" s="6" t="inlineStr">
        <is>
          <t>130580</t>
        </is>
      </c>
      <c r="C1607" s="6" t="inlineStr">
        <is>
          <t>연결</t>
        </is>
      </c>
      <c r="D1607" s="6" t="inlineStr">
        <is>
          <t>2026Q2</t>
        </is>
      </c>
      <c r="E1607" s="6" t="inlineStr"/>
      <c r="F1607" s="7" t="inlineStr"/>
      <c r="G1607" s="8" t="inlineStr"/>
      <c r="H1607" s="8" t="inlineStr"/>
      <c r="I1607" s="9" t="n">
        <v>17695</v>
      </c>
      <c r="J1607" s="10" t="n">
        <v>1217</v>
      </c>
      <c r="K1607" s="10" t="n">
        <v>1446</v>
      </c>
      <c r="L1607" s="7" t="n">
        <v>29338</v>
      </c>
      <c r="M1607" s="8" t="n">
        <v>9698</v>
      </c>
      <c r="N1607" s="8" t="n">
        <v>7918</v>
      </c>
      <c r="O1607" s="9" t="n">
        <v>20717</v>
      </c>
      <c r="P1607" s="10" t="n">
        <v>3222</v>
      </c>
      <c r="Q1607" s="10" t="n">
        <v>2829</v>
      </c>
      <c r="R1607" s="7" t="n">
        <v>21914</v>
      </c>
      <c r="S1607" s="8" t="n">
        <v>1646</v>
      </c>
      <c r="T1607" s="8" t="n">
        <v>1470</v>
      </c>
      <c r="U1607" s="9" t="n">
        <v>17691</v>
      </c>
      <c r="V1607" s="10" t="n">
        <v>624</v>
      </c>
      <c r="W1607" s="10" t="n">
        <v>625</v>
      </c>
      <c r="X1607" s="7" t="n">
        <v>30133</v>
      </c>
      <c r="Y1607" s="8" t="n">
        <v>10034</v>
      </c>
      <c r="Z1607" s="8" t="n">
        <v>7937</v>
      </c>
      <c r="AA1607" s="9" t="n">
        <v>22372</v>
      </c>
      <c r="AB1607" s="10" t="n">
        <v>3469</v>
      </c>
      <c r="AC1607" s="10" t="n">
        <v>3556</v>
      </c>
      <c r="AD1607" s="7" t="n">
        <v>21167</v>
      </c>
      <c r="AE1607" s="8" t="n">
        <v>1305</v>
      </c>
      <c r="AF1607" s="8" t="n">
        <v>804</v>
      </c>
      <c r="AG1607" s="9" t="n">
        <v>18346</v>
      </c>
      <c r="AH1607" s="10" t="n">
        <v>1259</v>
      </c>
      <c r="AI1607" s="10" t="n">
        <v>1496</v>
      </c>
      <c r="AJ1607" s="11" t="n">
        <v>31988</v>
      </c>
      <c r="AK1607" s="12" t="n">
        <v>11078</v>
      </c>
      <c r="AL1607" s="12" t="n">
        <v>8895</v>
      </c>
      <c r="AM1607" s="13" t="n">
        <v>74.40000000000001</v>
      </c>
      <c r="AN1607" s="13" t="n">
        <v>6.2</v>
      </c>
      <c r="AO1607" s="13" t="n">
        <v>779.9</v>
      </c>
      <c r="AP1607" s="13" t="n">
        <v>10.4</v>
      </c>
    </row>
    <row r="1608">
      <c r="A1608" s="5" t="inlineStr">
        <is>
          <t>한전산업</t>
        </is>
      </c>
      <c r="B1608" s="6" t="inlineStr">
        <is>
          <t>130660</t>
        </is>
      </c>
      <c r="C1608" s="6" t="inlineStr">
        <is>
          <t>연결</t>
        </is>
      </c>
      <c r="D1608" s="6" t="inlineStr">
        <is>
          <t>2026Q2</t>
        </is>
      </c>
      <c r="E1608" s="6" t="inlineStr"/>
      <c r="F1608" s="7" t="inlineStr"/>
      <c r="G1608" s="8" t="inlineStr"/>
      <c r="H1608" s="8" t="inlineStr"/>
      <c r="I1608" s="9" t="n">
        <v>87929</v>
      </c>
      <c r="J1608" s="10" t="n">
        <v>7601</v>
      </c>
      <c r="K1608" s="10" t="n">
        <v>6070</v>
      </c>
      <c r="L1608" s="7" t="n">
        <v>103764</v>
      </c>
      <c r="M1608" s="8" t="n">
        <v>13290</v>
      </c>
      <c r="N1608" s="8" t="n">
        <v>10898</v>
      </c>
      <c r="O1608" s="9" t="n">
        <v>82918</v>
      </c>
      <c r="P1608" s="10" t="n">
        <v>1321</v>
      </c>
      <c r="Q1608" s="10" t="n">
        <v>881</v>
      </c>
      <c r="R1608" s="7" t="n">
        <v>92916</v>
      </c>
      <c r="S1608" s="8" t="n">
        <v>-6068</v>
      </c>
      <c r="T1608" s="8" t="n">
        <v>-6222</v>
      </c>
      <c r="U1608" s="9" t="n">
        <v>90424</v>
      </c>
      <c r="V1608" s="10" t="n">
        <v>7451</v>
      </c>
      <c r="W1608" s="10" t="n">
        <v>5936</v>
      </c>
      <c r="X1608" s="7" t="n">
        <v>109160</v>
      </c>
      <c r="Y1608" s="8" t="n">
        <v>13782</v>
      </c>
      <c r="Z1608" s="8" t="n">
        <v>10505</v>
      </c>
      <c r="AA1608" s="9" t="n">
        <v>90571</v>
      </c>
      <c r="AB1608" s="10" t="n">
        <v>-16378</v>
      </c>
      <c r="AC1608" s="10" t="n">
        <v>-12895</v>
      </c>
      <c r="AD1608" s="7" t="n">
        <v>104393</v>
      </c>
      <c r="AE1608" s="8" t="n">
        <v>1720</v>
      </c>
      <c r="AF1608" s="8" t="n">
        <v>514</v>
      </c>
      <c r="AG1608" s="9" t="n">
        <v>107390</v>
      </c>
      <c r="AH1608" s="10" t="n">
        <v>6327</v>
      </c>
      <c r="AI1608" s="10" t="n">
        <v>5430</v>
      </c>
      <c r="AJ1608" s="11" t="n">
        <v>124664</v>
      </c>
      <c r="AK1608" s="12" t="n">
        <v>15924</v>
      </c>
      <c r="AL1608" s="12" t="n">
        <v>11784</v>
      </c>
      <c r="AM1608" s="13" t="n">
        <v>16.1</v>
      </c>
      <c r="AN1608" s="13" t="n">
        <v>14.2</v>
      </c>
      <c r="AO1608" s="13" t="n">
        <v>151.7</v>
      </c>
      <c r="AP1608" s="13" t="n">
        <v>15.5</v>
      </c>
    </row>
    <row r="1609">
      <c r="A1609" s="5" t="inlineStr">
        <is>
          <t>티피씨글로벌</t>
        </is>
      </c>
      <c r="B1609" s="6" t="inlineStr">
        <is>
          <t>130740</t>
        </is>
      </c>
      <c r="C1609" s="6" t="inlineStr">
        <is>
          <t>연결</t>
        </is>
      </c>
      <c r="D1609" s="6" t="inlineStr">
        <is>
          <t>2026Q2</t>
        </is>
      </c>
      <c r="E1609" s="6" t="inlineStr"/>
      <c r="F1609" s="7" t="inlineStr"/>
      <c r="G1609" s="8" t="inlineStr"/>
      <c r="H1609" s="8" t="inlineStr"/>
      <c r="I1609" s="9" t="n">
        <v>18713</v>
      </c>
      <c r="J1609" s="10" t="n">
        <v>-787</v>
      </c>
      <c r="K1609" s="10" t="n">
        <v>-2050</v>
      </c>
      <c r="L1609" s="7" t="n">
        <v>23306</v>
      </c>
      <c r="M1609" s="8" t="n">
        <v>703</v>
      </c>
      <c r="N1609" s="8" t="n">
        <v>2521</v>
      </c>
      <c r="O1609" s="9" t="n">
        <v>17777</v>
      </c>
      <c r="P1609" s="10" t="n">
        <v>-948</v>
      </c>
      <c r="Q1609" s="10" t="n">
        <v>-896</v>
      </c>
      <c r="R1609" s="7" t="n">
        <v>20626</v>
      </c>
      <c r="S1609" s="8" t="n">
        <v>130</v>
      </c>
      <c r="T1609" s="8" t="n">
        <v>118</v>
      </c>
      <c r="U1609" s="9" t="n">
        <v>17421</v>
      </c>
      <c r="V1609" s="10" t="n">
        <v>-1228</v>
      </c>
      <c r="W1609" s="10" t="n">
        <v>-919</v>
      </c>
      <c r="X1609" s="7" t="n">
        <v>21173</v>
      </c>
      <c r="Y1609" s="8" t="n">
        <v>135</v>
      </c>
      <c r="Z1609" s="8" t="n">
        <v>1456</v>
      </c>
      <c r="AA1609" s="9" t="n">
        <v>19487</v>
      </c>
      <c r="AB1609" s="10" t="n">
        <v>-1416</v>
      </c>
      <c r="AC1609" s="10" t="n">
        <v>-1164</v>
      </c>
      <c r="AD1609" s="7" t="n">
        <v>21323</v>
      </c>
      <c r="AE1609" s="8" t="n">
        <v>-752</v>
      </c>
      <c r="AF1609" s="8" t="n">
        <v>252</v>
      </c>
      <c r="AG1609" s="9" t="n">
        <v>17254</v>
      </c>
      <c r="AH1609" s="10" t="n">
        <v>-592</v>
      </c>
      <c r="AI1609" s="10" t="n">
        <v>18341</v>
      </c>
      <c r="AJ1609" s="11" t="n">
        <v>19169</v>
      </c>
      <c r="AK1609" s="12" t="n">
        <v>558</v>
      </c>
      <c r="AL1609" s="12" t="n">
        <v>-1331</v>
      </c>
      <c r="AM1609" s="13" t="n">
        <v>11.1</v>
      </c>
      <c r="AN1609" s="13" t="n">
        <v>-9.5</v>
      </c>
      <c r="AO1609" s="13" t="n">
        <v>194.3</v>
      </c>
      <c r="AP1609" s="13" t="n">
        <v>313.3</v>
      </c>
    </row>
    <row r="1610">
      <c r="A1610" s="5" t="inlineStr">
        <is>
          <t>옵투스제약</t>
        </is>
      </c>
      <c r="B1610" s="6" t="inlineStr">
        <is>
          <t>131030</t>
        </is>
      </c>
      <c r="C1610" s="6" t="inlineStr">
        <is>
          <t>별도</t>
        </is>
      </c>
      <c r="D1610" s="6" t="inlineStr">
        <is>
          <t>2026Q2</t>
        </is>
      </c>
      <c r="E1610" s="6" t="inlineStr">
        <is>
          <t>2023Q4</t>
        </is>
      </c>
      <c r="F1610" s="14" t="n">
        <v>19880</v>
      </c>
      <c r="G1610" s="15" t="n">
        <v>1921</v>
      </c>
      <c r="H1610" s="15" t="n">
        <v>3167</v>
      </c>
      <c r="I1610" s="9" t="n">
        <v>18679</v>
      </c>
      <c r="J1610" s="10" t="n">
        <v>2235</v>
      </c>
      <c r="K1610" s="10" t="n">
        <v>2403</v>
      </c>
      <c r="L1610" s="7" t="n">
        <v>20935</v>
      </c>
      <c r="M1610" s="8" t="n">
        <v>2042</v>
      </c>
      <c r="N1610" s="8" t="n">
        <v>2424</v>
      </c>
      <c r="O1610" s="9" t="n">
        <v>19310</v>
      </c>
      <c r="P1610" s="10" t="n">
        <v>1271</v>
      </c>
      <c r="Q1610" s="10" t="n">
        <v>1520</v>
      </c>
      <c r="R1610" s="7" t="n">
        <v>22981</v>
      </c>
      <c r="S1610" s="8" t="n">
        <v>3040</v>
      </c>
      <c r="T1610" s="8" t="n">
        <v>3961</v>
      </c>
      <c r="U1610" s="9" t="n">
        <v>18729</v>
      </c>
      <c r="V1610" s="10" t="n">
        <v>920</v>
      </c>
      <c r="W1610" s="10" t="n">
        <v>1175</v>
      </c>
      <c r="X1610" s="7" t="n">
        <v>21793</v>
      </c>
      <c r="Y1610" s="8" t="n">
        <v>3074</v>
      </c>
      <c r="Z1610" s="8" t="n">
        <v>2850</v>
      </c>
      <c r="AA1610" s="9" t="n">
        <v>24075</v>
      </c>
      <c r="AB1610" s="10" t="n">
        <v>3221</v>
      </c>
      <c r="AC1610" s="10" t="n">
        <v>3197</v>
      </c>
      <c r="AD1610" s="7" t="n">
        <v>22564</v>
      </c>
      <c r="AE1610" s="8" t="n">
        <v>1660</v>
      </c>
      <c r="AF1610" s="8" t="n">
        <v>4136</v>
      </c>
      <c r="AG1610" s="9" t="n">
        <v>23192</v>
      </c>
      <c r="AH1610" s="10" t="n">
        <v>2904</v>
      </c>
      <c r="AI1610" s="10" t="n">
        <v>2513</v>
      </c>
      <c r="AJ1610" s="11" t="n">
        <v>24640</v>
      </c>
      <c r="AK1610" s="12" t="n">
        <v>2320</v>
      </c>
      <c r="AL1610" s="12" t="n">
        <v>3904</v>
      </c>
      <c r="AM1610" s="13" t="n">
        <v>6.2</v>
      </c>
      <c r="AN1610" s="13" t="n">
        <v>13.1</v>
      </c>
      <c r="AO1610" s="13" t="n">
        <v>-20.1</v>
      </c>
      <c r="AP1610" s="13" t="n">
        <v>-24.5</v>
      </c>
    </row>
    <row r="1611">
      <c r="A1611" s="5" t="inlineStr">
        <is>
          <t>시큐브</t>
        </is>
      </c>
      <c r="B1611" s="6" t="inlineStr">
        <is>
          <t>131090</t>
        </is>
      </c>
      <c r="C1611" s="6" t="inlineStr">
        <is>
          <t>별도</t>
        </is>
      </c>
      <c r="D1611" s="6" t="inlineStr">
        <is>
          <t>2026Q2</t>
        </is>
      </c>
      <c r="E1611" s="6" t="inlineStr"/>
      <c r="F1611" s="7" t="inlineStr"/>
      <c r="G1611" s="8" t="inlineStr"/>
      <c r="H1611" s="8" t="inlineStr"/>
      <c r="I1611" s="9" t="n">
        <v>1853</v>
      </c>
      <c r="J1611" s="10" t="n">
        <v>-71</v>
      </c>
      <c r="K1611" s="10" t="n">
        <v>152</v>
      </c>
      <c r="L1611" s="7" t="n">
        <v>3041</v>
      </c>
      <c r="M1611" s="8" t="n">
        <v>552</v>
      </c>
      <c r="N1611" s="8" t="n">
        <v>686</v>
      </c>
      <c r="O1611" s="9" t="n">
        <v>2533</v>
      </c>
      <c r="P1611" s="10" t="n">
        <v>459</v>
      </c>
      <c r="Q1611" s="10" t="n">
        <v>648</v>
      </c>
      <c r="R1611" s="7" t="n">
        <v>4649</v>
      </c>
      <c r="S1611" s="8" t="n">
        <v>2481</v>
      </c>
      <c r="T1611" s="8" t="n">
        <v>1541</v>
      </c>
      <c r="U1611" s="9" t="n">
        <v>2670</v>
      </c>
      <c r="V1611" s="10" t="n">
        <v>272</v>
      </c>
      <c r="W1611" s="10" t="n">
        <v>503</v>
      </c>
      <c r="X1611" s="7" t="n">
        <v>2251</v>
      </c>
      <c r="Y1611" s="8" t="n">
        <v>101</v>
      </c>
      <c r="Z1611" s="8" t="n">
        <v>274</v>
      </c>
      <c r="AA1611" s="9" t="n">
        <v>2698</v>
      </c>
      <c r="AB1611" s="10" t="n">
        <v>564</v>
      </c>
      <c r="AC1611" s="10" t="n">
        <v>702</v>
      </c>
      <c r="AD1611" s="7" t="n">
        <v>5819</v>
      </c>
      <c r="AE1611" s="8" t="n">
        <v>3377</v>
      </c>
      <c r="AF1611" s="8" t="n">
        <v>3220</v>
      </c>
      <c r="AG1611" s="9" t="n">
        <v>2324</v>
      </c>
      <c r="AH1611" s="10" t="n">
        <v>7</v>
      </c>
      <c r="AI1611" s="10" t="n">
        <v>234</v>
      </c>
      <c r="AJ1611" s="11" t="n">
        <v>2717</v>
      </c>
      <c r="AK1611" s="12" t="n">
        <v>396</v>
      </c>
      <c r="AL1611" s="12" t="n">
        <v>568</v>
      </c>
      <c r="AM1611" s="13" t="n">
        <v>16.9</v>
      </c>
      <c r="AN1611" s="13" t="n">
        <v>20.7</v>
      </c>
      <c r="AO1611" s="13" t="n">
        <v>5557.1</v>
      </c>
      <c r="AP1611" s="13" t="n">
        <v>292.1</v>
      </c>
    </row>
    <row r="1612">
      <c r="A1612" s="5" t="inlineStr">
        <is>
          <t>티엔엔터테인먼트</t>
        </is>
      </c>
      <c r="B1612" s="6" t="inlineStr">
        <is>
          <t>131100</t>
        </is>
      </c>
      <c r="C1612" s="6" t="inlineStr">
        <is>
          <t>별도</t>
        </is>
      </c>
      <c r="D1612" s="6" t="inlineStr">
        <is>
          <t>2026Q2</t>
        </is>
      </c>
      <c r="E1612" s="6" t="inlineStr"/>
      <c r="F1612" s="7" t="inlineStr"/>
      <c r="G1612" s="8" t="inlineStr"/>
      <c r="H1612" s="8" t="inlineStr"/>
      <c r="I1612" s="9" t="n">
        <v>32937</v>
      </c>
      <c r="J1612" s="10" t="n">
        <v>1675</v>
      </c>
      <c r="K1612" s="10" t="n">
        <v>873</v>
      </c>
      <c r="L1612" s="7" t="n">
        <v>38575</v>
      </c>
      <c r="M1612" s="8" t="n">
        <v>3714</v>
      </c>
      <c r="N1612" s="8" t="n">
        <v>2502</v>
      </c>
      <c r="O1612" s="9" t="n">
        <v>33861</v>
      </c>
      <c r="P1612" s="10" t="n">
        <v>2891</v>
      </c>
      <c r="Q1612" s="10" t="n">
        <v>2747</v>
      </c>
      <c r="R1612" s="7" t="n">
        <v>37558</v>
      </c>
      <c r="S1612" s="8" t="n">
        <v>1418</v>
      </c>
      <c r="T1612" s="8" t="n">
        <v>-3931</v>
      </c>
      <c r="U1612" s="9" t="n">
        <v>34404</v>
      </c>
      <c r="V1612" s="10" t="n">
        <v>2042</v>
      </c>
      <c r="W1612" s="10" t="n">
        <v>1437</v>
      </c>
      <c r="X1612" s="7" t="n">
        <v>31786</v>
      </c>
      <c r="Y1612" s="8" t="n">
        <v>254</v>
      </c>
      <c r="Z1612" s="8" t="n">
        <v>-216</v>
      </c>
      <c r="AA1612" s="9" t="n">
        <v>23015</v>
      </c>
      <c r="AB1612" s="10" t="n">
        <v>-28</v>
      </c>
      <c r="AC1612" s="10" t="n">
        <v>-249</v>
      </c>
      <c r="AD1612" s="7" t="n">
        <v>29094</v>
      </c>
      <c r="AE1612" s="8" t="n">
        <v>1083</v>
      </c>
      <c r="AF1612" s="8" t="n">
        <v>-655</v>
      </c>
      <c r="AG1612" s="9" t="n">
        <v>19325</v>
      </c>
      <c r="AH1612" s="10" t="n">
        <v>-882</v>
      </c>
      <c r="AI1612" s="10" t="n">
        <v>-1910</v>
      </c>
      <c r="AJ1612" s="11" t="n">
        <v>20044</v>
      </c>
      <c r="AK1612" s="12" t="n">
        <v>-526</v>
      </c>
      <c r="AL1612" s="12" t="n">
        <v>-10109</v>
      </c>
      <c r="AM1612" s="13" t="n">
        <v>3.7</v>
      </c>
      <c r="AN1612" s="13" t="n">
        <v>-36.9</v>
      </c>
      <c r="AO1612" s="13" t="n">
        <v>40.4</v>
      </c>
      <c r="AP1612" s="13" t="n">
        <v>-307.1</v>
      </c>
    </row>
    <row r="1613">
      <c r="A1613" s="5" t="inlineStr">
        <is>
          <t>딜리</t>
        </is>
      </c>
      <c r="B1613" s="6" t="inlineStr">
        <is>
          <t>131180</t>
        </is>
      </c>
      <c r="C1613" s="6" t="inlineStr">
        <is>
          <t>별도</t>
        </is>
      </c>
      <c r="D1613" s="6" t="inlineStr">
        <is>
          <t>2026Q2</t>
        </is>
      </c>
      <c r="E1613" s="6" t="inlineStr"/>
      <c r="F1613" s="7" t="inlineStr"/>
      <c r="G1613" s="8" t="inlineStr"/>
      <c r="H1613" s="8" t="inlineStr"/>
      <c r="I1613" s="9" t="n">
        <v>8004</v>
      </c>
      <c r="J1613" s="10" t="n">
        <v>556</v>
      </c>
      <c r="K1613" s="10" t="n">
        <v>909</v>
      </c>
      <c r="L1613" s="7" t="n">
        <v>10077</v>
      </c>
      <c r="M1613" s="8" t="n">
        <v>1435</v>
      </c>
      <c r="N1613" s="8" t="n">
        <v>1413</v>
      </c>
      <c r="O1613" s="9" t="n">
        <v>9589</v>
      </c>
      <c r="P1613" s="10" t="n">
        <v>168</v>
      </c>
      <c r="Q1613" s="10" t="n">
        <v>172</v>
      </c>
      <c r="R1613" s="7" t="n">
        <v>10543</v>
      </c>
      <c r="S1613" s="8" t="n">
        <v>149</v>
      </c>
      <c r="T1613" s="8" t="n">
        <v>2316</v>
      </c>
      <c r="U1613" s="9" t="n">
        <v>7502</v>
      </c>
      <c r="V1613" s="10" t="n">
        <v>157</v>
      </c>
      <c r="W1613" s="10" t="n">
        <v>338</v>
      </c>
      <c r="X1613" s="7" t="n">
        <v>7661</v>
      </c>
      <c r="Y1613" s="8" t="n">
        <v>353</v>
      </c>
      <c r="Z1613" s="8" t="n">
        <v>267</v>
      </c>
      <c r="AA1613" s="9" t="n">
        <v>7076</v>
      </c>
      <c r="AB1613" s="10" t="n">
        <v>176</v>
      </c>
      <c r="AC1613" s="10" t="n">
        <v>416</v>
      </c>
      <c r="AD1613" s="7" t="n">
        <v>10067</v>
      </c>
      <c r="AE1613" s="8" t="n">
        <v>117</v>
      </c>
      <c r="AF1613" s="8" t="n">
        <v>827</v>
      </c>
      <c r="AG1613" s="9" t="n">
        <v>8302</v>
      </c>
      <c r="AH1613" s="10" t="n">
        <v>442</v>
      </c>
      <c r="AI1613" s="10" t="n">
        <v>1179</v>
      </c>
      <c r="AJ1613" s="11" t="n">
        <v>11064</v>
      </c>
      <c r="AK1613" s="12" t="n">
        <v>1196</v>
      </c>
      <c r="AL1613" s="12" t="n">
        <v>1352</v>
      </c>
      <c r="AM1613" s="13" t="n">
        <v>33.3</v>
      </c>
      <c r="AN1613" s="13" t="n">
        <v>44.4</v>
      </c>
      <c r="AO1613" s="13" t="n">
        <v>170.6</v>
      </c>
      <c r="AP1613" s="13" t="n">
        <v>238.8</v>
      </c>
    </row>
    <row r="1614">
      <c r="A1614" s="5" t="inlineStr">
        <is>
          <t>대한과학</t>
        </is>
      </c>
      <c r="B1614" s="6" t="inlineStr">
        <is>
          <t>131220</t>
        </is>
      </c>
      <c r="C1614" s="6" t="inlineStr">
        <is>
          <t>연결</t>
        </is>
      </c>
      <c r="D1614" s="6" t="inlineStr">
        <is>
          <t>2026Q2</t>
        </is>
      </c>
      <c r="E1614" s="6" t="inlineStr"/>
      <c r="F1614" s="7" t="inlineStr"/>
      <c r="G1614" s="8" t="inlineStr"/>
      <c r="H1614" s="8" t="inlineStr"/>
      <c r="I1614" s="9" t="n">
        <v>13908</v>
      </c>
      <c r="J1614" s="10" t="n">
        <v>850</v>
      </c>
      <c r="K1614" s="10" t="n">
        <v>763</v>
      </c>
      <c r="L1614" s="7" t="n">
        <v>17620</v>
      </c>
      <c r="M1614" s="8" t="n">
        <v>902</v>
      </c>
      <c r="N1614" s="8" t="n">
        <v>909</v>
      </c>
      <c r="O1614" s="9" t="n">
        <v>18442</v>
      </c>
      <c r="P1614" s="10" t="n">
        <v>1165</v>
      </c>
      <c r="Q1614" s="10" t="n">
        <v>1203</v>
      </c>
      <c r="R1614" s="7" t="n">
        <v>21724</v>
      </c>
      <c r="S1614" s="8" t="n">
        <v>1308</v>
      </c>
      <c r="T1614" s="8" t="n">
        <v>1051</v>
      </c>
      <c r="U1614" s="9" t="n">
        <v>15700</v>
      </c>
      <c r="V1614" s="10" t="n">
        <v>928</v>
      </c>
      <c r="W1614" s="10" t="n">
        <v>824</v>
      </c>
      <c r="X1614" s="7" t="n">
        <v>19008</v>
      </c>
      <c r="Y1614" s="8" t="n">
        <v>1692</v>
      </c>
      <c r="Z1614" s="8" t="n">
        <v>1424</v>
      </c>
      <c r="AA1614" s="9" t="n">
        <v>21211</v>
      </c>
      <c r="AB1614" s="10" t="n">
        <v>2310</v>
      </c>
      <c r="AC1614" s="10" t="n">
        <v>2365</v>
      </c>
      <c r="AD1614" s="7" t="n">
        <v>25199</v>
      </c>
      <c r="AE1614" s="8" t="n">
        <v>601</v>
      </c>
      <c r="AF1614" s="8" t="n">
        <v>166</v>
      </c>
      <c r="AG1614" s="9" t="n">
        <v>17595</v>
      </c>
      <c r="AH1614" s="10" t="n">
        <v>973</v>
      </c>
      <c r="AI1614" s="10" t="n">
        <v>917</v>
      </c>
      <c r="AJ1614" s="11" t="n">
        <v>21622</v>
      </c>
      <c r="AK1614" s="12" t="n">
        <v>2066</v>
      </c>
      <c r="AL1614" s="12" t="n">
        <v>1861</v>
      </c>
      <c r="AM1614" s="13" t="n">
        <v>22.9</v>
      </c>
      <c r="AN1614" s="13" t="n">
        <v>13.8</v>
      </c>
      <c r="AO1614" s="13" t="n">
        <v>112.3</v>
      </c>
      <c r="AP1614" s="13" t="n">
        <v>22.1</v>
      </c>
    </row>
    <row r="1615">
      <c r="A1615" s="5" t="inlineStr">
        <is>
          <t>티에스이</t>
        </is>
      </c>
      <c r="B1615" s="6" t="inlineStr">
        <is>
          <t>131290</t>
        </is>
      </c>
      <c r="C1615" s="6" t="inlineStr">
        <is>
          <t>연결</t>
        </is>
      </c>
      <c r="D1615" s="6" t="inlineStr">
        <is>
          <t>2026Q2</t>
        </is>
      </c>
      <c r="E1615" s="6" t="inlineStr"/>
      <c r="F1615" s="7" t="inlineStr"/>
      <c r="G1615" s="8" t="inlineStr"/>
      <c r="H1615" s="8" t="inlineStr"/>
      <c r="I1615" s="9" t="n">
        <v>58211</v>
      </c>
      <c r="J1615" s="10" t="n">
        <v>-3067</v>
      </c>
      <c r="K1615" s="10" t="n">
        <v>155</v>
      </c>
      <c r="L1615" s="7" t="n">
        <v>76049</v>
      </c>
      <c r="M1615" s="8" t="n">
        <v>8706</v>
      </c>
      <c r="N1615" s="8" t="n">
        <v>8587</v>
      </c>
      <c r="O1615" s="9" t="n">
        <v>110676</v>
      </c>
      <c r="P1615" s="10" t="n">
        <v>20588</v>
      </c>
      <c r="Q1615" s="10" t="n">
        <v>13505</v>
      </c>
      <c r="R1615" s="7" t="n">
        <v>103117</v>
      </c>
      <c r="S1615" s="8" t="n">
        <v>13672</v>
      </c>
      <c r="T1615" s="8" t="n">
        <v>22785</v>
      </c>
      <c r="U1615" s="9" t="n">
        <v>83031</v>
      </c>
      <c r="V1615" s="10" t="n">
        <v>3118</v>
      </c>
      <c r="W1615" s="10" t="n">
        <v>1792</v>
      </c>
      <c r="X1615" s="7" t="n">
        <v>117614</v>
      </c>
      <c r="Y1615" s="8" t="n">
        <v>14802</v>
      </c>
      <c r="Z1615" s="8" t="n">
        <v>4559</v>
      </c>
      <c r="AA1615" s="9" t="n">
        <v>104399</v>
      </c>
      <c r="AB1615" s="10" t="n">
        <v>11482</v>
      </c>
      <c r="AC1615" s="10" t="n">
        <v>11768</v>
      </c>
      <c r="AD1615" s="7" t="n">
        <v>123857</v>
      </c>
      <c r="AE1615" s="8" t="n">
        <v>19770</v>
      </c>
      <c r="AF1615" s="8" t="n">
        <v>21925</v>
      </c>
      <c r="AG1615" s="9" t="n">
        <v>150671</v>
      </c>
      <c r="AH1615" s="10" t="n">
        <v>41992</v>
      </c>
      <c r="AI1615" s="10" t="n">
        <v>40015</v>
      </c>
      <c r="AJ1615" s="11" t="n">
        <v>188777</v>
      </c>
      <c r="AK1615" s="12" t="n">
        <v>52503</v>
      </c>
      <c r="AL1615" s="12" t="n">
        <v>42365</v>
      </c>
      <c r="AM1615" s="13" t="n">
        <v>25.3</v>
      </c>
      <c r="AN1615" s="13" t="n">
        <v>60.5</v>
      </c>
      <c r="AO1615" s="13" t="n">
        <v>25</v>
      </c>
      <c r="AP1615" s="13" t="n">
        <v>254.7</v>
      </c>
    </row>
    <row r="1616">
      <c r="A1616" s="5" t="inlineStr">
        <is>
          <t>알서포트</t>
        </is>
      </c>
      <c r="B1616" s="6" t="inlineStr">
        <is>
          <t>131370</t>
        </is>
      </c>
      <c r="C1616" s="6" t="inlineStr">
        <is>
          <t>연결</t>
        </is>
      </c>
      <c r="D1616" s="6" t="inlineStr">
        <is>
          <t>2026Q2</t>
        </is>
      </c>
      <c r="E1616" s="6" t="inlineStr"/>
      <c r="F1616" s="7" t="inlineStr"/>
      <c r="G1616" s="8" t="inlineStr"/>
      <c r="H1616" s="8" t="inlineStr"/>
      <c r="I1616" s="9" t="n">
        <v>10133</v>
      </c>
      <c r="J1616" s="10" t="n">
        <v>587</v>
      </c>
      <c r="K1616" s="10" t="n">
        <v>1063</v>
      </c>
      <c r="L1616" s="7" t="n">
        <v>14586</v>
      </c>
      <c r="M1616" s="8" t="n">
        <v>3563</v>
      </c>
      <c r="N1616" s="8" t="n">
        <v>2344</v>
      </c>
      <c r="O1616" s="9" t="n">
        <v>10286</v>
      </c>
      <c r="P1616" s="10" t="n">
        <v>-6</v>
      </c>
      <c r="Q1616" s="10" t="n">
        <v>-94</v>
      </c>
      <c r="R1616" s="7" t="n">
        <v>12523</v>
      </c>
      <c r="S1616" s="8" t="n">
        <v>-466</v>
      </c>
      <c r="T1616" s="8" t="n">
        <v>-252</v>
      </c>
      <c r="U1616" s="9" t="n">
        <v>10943</v>
      </c>
      <c r="V1616" s="10" t="n">
        <v>401</v>
      </c>
      <c r="W1616" s="10" t="n">
        <v>86</v>
      </c>
      <c r="X1616" s="7" t="n">
        <v>15835</v>
      </c>
      <c r="Y1616" s="8" t="n">
        <v>4185</v>
      </c>
      <c r="Z1616" s="8" t="n">
        <v>3695</v>
      </c>
      <c r="AA1616" s="9" t="n">
        <v>10787</v>
      </c>
      <c r="AB1616" s="10" t="n">
        <v>-961</v>
      </c>
      <c r="AC1616" s="10" t="n">
        <v>-920</v>
      </c>
      <c r="AD1616" s="7" t="n">
        <v>11280</v>
      </c>
      <c r="AE1616" s="8" t="n">
        <v>-1232</v>
      </c>
      <c r="AF1616" s="8" t="n">
        <v>-1061</v>
      </c>
      <c r="AG1616" s="9" t="n">
        <v>10699</v>
      </c>
      <c r="AH1616" s="10" t="n">
        <v>-751</v>
      </c>
      <c r="AI1616" s="10" t="n">
        <v>-839</v>
      </c>
      <c r="AJ1616" s="11" t="n">
        <v>14166</v>
      </c>
      <c r="AK1616" s="12" t="n">
        <v>2580</v>
      </c>
      <c r="AL1616" s="12" t="n">
        <v>2117</v>
      </c>
      <c r="AM1616" s="13" t="n">
        <v>32.4</v>
      </c>
      <c r="AN1616" s="13" t="n">
        <v>-10.5</v>
      </c>
      <c r="AO1616" s="13" t="n">
        <v>443.5</v>
      </c>
      <c r="AP1616" s="13" t="n">
        <v>-38.4</v>
      </c>
    </row>
    <row r="1617">
      <c r="A1617" s="5" t="inlineStr">
        <is>
          <t>이브이첨단소재</t>
        </is>
      </c>
      <c r="B1617" s="6" t="inlineStr">
        <is>
          <t>131400</t>
        </is>
      </c>
      <c r="C1617" s="6" t="inlineStr">
        <is>
          <t>연결</t>
        </is>
      </c>
      <c r="D1617" s="6" t="inlineStr">
        <is>
          <t>2026Q2</t>
        </is>
      </c>
      <c r="E1617" s="6" t="inlineStr"/>
      <c r="F1617" s="7" t="inlineStr"/>
      <c r="G1617" s="8" t="inlineStr"/>
      <c r="H1617" s="8" t="inlineStr"/>
      <c r="I1617" s="9" t="n">
        <v>18060</v>
      </c>
      <c r="J1617" s="10" t="n">
        <v>923</v>
      </c>
      <c r="K1617" s="10" t="n">
        <v>1783</v>
      </c>
      <c r="L1617" s="7" t="n">
        <v>23925</v>
      </c>
      <c r="M1617" s="8" t="n">
        <v>3476</v>
      </c>
      <c r="N1617" s="8" t="n">
        <v>-2723</v>
      </c>
      <c r="O1617" s="9" t="n">
        <v>22852</v>
      </c>
      <c r="P1617" s="10" t="n">
        <v>1500</v>
      </c>
      <c r="Q1617" s="10" t="n">
        <v>5957</v>
      </c>
      <c r="R1617" s="7" t="n">
        <v>17083</v>
      </c>
      <c r="S1617" s="8" t="n">
        <v>-3333</v>
      </c>
      <c r="T1617" s="8" t="n">
        <v>-13311</v>
      </c>
      <c r="U1617" s="9" t="n">
        <v>19333</v>
      </c>
      <c r="V1617" s="10" t="n">
        <v>865</v>
      </c>
      <c r="W1617" s="10" t="n">
        <v>-4714</v>
      </c>
      <c r="X1617" s="7" t="n">
        <v>14505</v>
      </c>
      <c r="Y1617" s="8" t="n">
        <v>-294</v>
      </c>
      <c r="Z1617" s="8" t="n">
        <v>-5352</v>
      </c>
      <c r="AA1617" s="9" t="n">
        <v>13848</v>
      </c>
      <c r="AB1617" s="10" t="n">
        <v>-1957</v>
      </c>
      <c r="AC1617" s="10" t="n">
        <v>-2507</v>
      </c>
      <c r="AD1617" s="7" t="n">
        <v>11271</v>
      </c>
      <c r="AE1617" s="8" t="n">
        <v>-1790</v>
      </c>
      <c r="AF1617" s="8" t="n">
        <v>-9002</v>
      </c>
      <c r="AG1617" s="9" t="n">
        <v>15877</v>
      </c>
      <c r="AH1617" s="10" t="n">
        <v>355</v>
      </c>
      <c r="AI1617" s="10" t="n">
        <v>201</v>
      </c>
      <c r="AJ1617" s="11" t="n">
        <v>20340</v>
      </c>
      <c r="AK1617" s="12" t="n">
        <v>1510</v>
      </c>
      <c r="AL1617" s="12" t="n">
        <v>1455</v>
      </c>
      <c r="AM1617" s="13" t="n">
        <v>28.1</v>
      </c>
      <c r="AN1617" s="13" t="n">
        <v>40.2</v>
      </c>
      <c r="AO1617" s="13" t="n">
        <v>325.4</v>
      </c>
      <c r="AP1617" s="13" t="n">
        <v>613.6</v>
      </c>
    </row>
    <row r="1618">
      <c r="A1618" s="5" t="inlineStr">
        <is>
          <t>파인텍</t>
        </is>
      </c>
      <c r="B1618" s="6" t="inlineStr">
        <is>
          <t>131760</t>
        </is>
      </c>
      <c r="C1618" s="6" t="inlineStr">
        <is>
          <t>연결</t>
        </is>
      </c>
      <c r="D1618" s="6" t="inlineStr">
        <is>
          <t>2026Q2</t>
        </is>
      </c>
      <c r="E1618" s="6" t="inlineStr"/>
      <c r="F1618" s="7" t="inlineStr"/>
      <c r="G1618" s="8" t="inlineStr"/>
      <c r="H1618" s="8" t="inlineStr"/>
      <c r="I1618" s="9" t="n">
        <v>14992</v>
      </c>
      <c r="J1618" s="10" t="n">
        <v>1232</v>
      </c>
      <c r="K1618" s="10" t="n">
        <v>956</v>
      </c>
      <c r="L1618" s="7" t="n">
        <v>17290</v>
      </c>
      <c r="M1618" s="8" t="n">
        <v>386</v>
      </c>
      <c r="N1618" s="8" t="n">
        <v>646</v>
      </c>
      <c r="O1618" s="9" t="n">
        <v>26080</v>
      </c>
      <c r="P1618" s="10" t="n">
        <v>1228</v>
      </c>
      <c r="Q1618" s="10" t="n">
        <v>1140</v>
      </c>
      <c r="R1618" s="7" t="n">
        <v>12658</v>
      </c>
      <c r="S1618" s="8" t="n">
        <v>-976</v>
      </c>
      <c r="T1618" s="8" t="n">
        <v>-81</v>
      </c>
      <c r="U1618" s="9" t="n">
        <v>11077</v>
      </c>
      <c r="V1618" s="10" t="n">
        <v>-607</v>
      </c>
      <c r="W1618" s="10" t="n">
        <v>-1095</v>
      </c>
      <c r="X1618" s="7" t="n">
        <v>7446</v>
      </c>
      <c r="Y1618" s="8" t="n">
        <v>-486</v>
      </c>
      <c r="Z1618" s="8" t="n">
        <v>-1674</v>
      </c>
      <c r="AA1618" s="9" t="n">
        <v>14624</v>
      </c>
      <c r="AB1618" s="10" t="n">
        <v>-1565</v>
      </c>
      <c r="AC1618" s="10" t="n">
        <v>-1748</v>
      </c>
      <c r="AD1618" s="7" t="n">
        <v>13198</v>
      </c>
      <c r="AE1618" s="8" t="n">
        <v>-273</v>
      </c>
      <c r="AF1618" s="8" t="n">
        <v>-3476</v>
      </c>
      <c r="AG1618" s="9" t="n">
        <v>9902</v>
      </c>
      <c r="AH1618" s="10" t="n">
        <v>-2656</v>
      </c>
      <c r="AI1618" s="10" t="n">
        <v>-1355</v>
      </c>
      <c r="AJ1618" s="11" t="n">
        <v>6886</v>
      </c>
      <c r="AK1618" s="12" t="n">
        <v>-2345</v>
      </c>
      <c r="AL1618" s="12" t="n">
        <v>-1779</v>
      </c>
      <c r="AM1618" s="13" t="n">
        <v>-30.5</v>
      </c>
      <c r="AN1618" s="13" t="n">
        <v>-7.5</v>
      </c>
      <c r="AO1618" s="13" t="n">
        <v>11.7</v>
      </c>
      <c r="AP1618" s="13" t="n">
        <v>-382.5</v>
      </c>
    </row>
    <row r="1619">
      <c r="A1619" s="5" t="inlineStr">
        <is>
          <t>두산테스나</t>
        </is>
      </c>
      <c r="B1619" s="6" t="inlineStr">
        <is>
          <t>131970</t>
        </is>
      </c>
      <c r="C1619" s="6" t="inlineStr">
        <is>
          <t>별도</t>
        </is>
      </c>
      <c r="D1619" s="6" t="inlineStr">
        <is>
          <t>2026Q2</t>
        </is>
      </c>
      <c r="E1619" s="6" t="inlineStr"/>
      <c r="F1619" s="7" t="inlineStr"/>
      <c r="G1619" s="8" t="inlineStr"/>
      <c r="H1619" s="8" t="inlineStr"/>
      <c r="I1619" s="9" t="n">
        <v>91777</v>
      </c>
      <c r="J1619" s="10" t="n">
        <v>11249</v>
      </c>
      <c r="K1619" s="10" t="n">
        <v>6861</v>
      </c>
      <c r="L1619" s="7" t="n">
        <v>99809</v>
      </c>
      <c r="M1619" s="8" t="n">
        <v>16773</v>
      </c>
      <c r="N1619" s="8" t="n">
        <v>23553</v>
      </c>
      <c r="O1619" s="9" t="n">
        <v>98702</v>
      </c>
      <c r="P1619" s="10" t="n">
        <v>11049</v>
      </c>
      <c r="Q1619" s="10" t="n">
        <v>5947</v>
      </c>
      <c r="R1619" s="7" t="n">
        <v>82830</v>
      </c>
      <c r="S1619" s="8" t="n">
        <v>-1148</v>
      </c>
      <c r="T1619" s="8" t="n">
        <v>420</v>
      </c>
      <c r="U1619" s="9" t="n">
        <v>59296</v>
      </c>
      <c r="V1619" s="10" t="n">
        <v>-19133</v>
      </c>
      <c r="W1619" s="10" t="n">
        <v>-16388</v>
      </c>
      <c r="X1619" s="7" t="n">
        <v>75901</v>
      </c>
      <c r="Y1619" s="8" t="n">
        <v>-2118</v>
      </c>
      <c r="Z1619" s="8" t="n">
        <v>-845</v>
      </c>
      <c r="AA1619" s="9" t="n">
        <v>83214</v>
      </c>
      <c r="AB1619" s="10" t="n">
        <v>5285</v>
      </c>
      <c r="AC1619" s="10" t="n">
        <v>2880</v>
      </c>
      <c r="AD1619" s="7" t="n">
        <v>85463</v>
      </c>
      <c r="AE1619" s="8" t="n">
        <v>15025</v>
      </c>
      <c r="AF1619" s="8" t="n">
        <v>15863</v>
      </c>
      <c r="AG1619" s="9" t="n">
        <v>76829</v>
      </c>
      <c r="AH1619" s="10" t="n">
        <v>5484</v>
      </c>
      <c r="AI1619" s="10" t="n">
        <v>8449</v>
      </c>
      <c r="AJ1619" s="11" t="n">
        <v>80926</v>
      </c>
      <c r="AK1619" s="12" t="n">
        <v>9851</v>
      </c>
      <c r="AL1619" s="12" t="n">
        <v>7038</v>
      </c>
      <c r="AM1619" s="13" t="n">
        <v>5.3</v>
      </c>
      <c r="AN1619" s="13" t="n">
        <v>6.6</v>
      </c>
      <c r="AO1619" s="13" t="n">
        <v>79.59999999999999</v>
      </c>
      <c r="AP1619" s="13" t="n">
        <v>565.1</v>
      </c>
    </row>
    <row r="1620">
      <c r="A1620" s="5" t="inlineStr">
        <is>
          <t>메가엠디</t>
        </is>
      </c>
      <c r="B1620" s="6" t="inlineStr">
        <is>
          <t>133750</t>
        </is>
      </c>
      <c r="C1620" s="6" t="inlineStr">
        <is>
          <t>별도</t>
        </is>
      </c>
      <c r="D1620" s="6" t="inlineStr">
        <is>
          <t>2026Q2</t>
        </is>
      </c>
      <c r="E1620" s="6" t="inlineStr"/>
      <c r="F1620" s="7" t="inlineStr"/>
      <c r="G1620" s="8" t="inlineStr"/>
      <c r="H1620" s="8" t="inlineStr"/>
      <c r="I1620" s="9" t="n">
        <v>8709</v>
      </c>
      <c r="J1620" s="10" t="n">
        <v>371</v>
      </c>
      <c r="K1620" s="10" t="n">
        <v>919</v>
      </c>
      <c r="L1620" s="7" t="n">
        <v>10729</v>
      </c>
      <c r="M1620" s="8" t="n">
        <v>1497</v>
      </c>
      <c r="N1620" s="8" t="n">
        <v>947</v>
      </c>
      <c r="O1620" s="9" t="n">
        <v>9940</v>
      </c>
      <c r="P1620" s="10" t="n">
        <v>1346</v>
      </c>
      <c r="Q1620" s="10" t="n">
        <v>899</v>
      </c>
      <c r="R1620" s="7" t="n">
        <v>7113</v>
      </c>
      <c r="S1620" s="8" t="n">
        <v>-978</v>
      </c>
      <c r="T1620" s="8" t="n">
        <v>1018</v>
      </c>
      <c r="U1620" s="9" t="n">
        <v>8379</v>
      </c>
      <c r="V1620" s="10" t="n">
        <v>-492</v>
      </c>
      <c r="W1620" s="10" t="n">
        <v>-194</v>
      </c>
      <c r="X1620" s="7" t="n">
        <v>9760</v>
      </c>
      <c r="Y1620" s="8" t="n">
        <v>1207</v>
      </c>
      <c r="Z1620" s="8" t="n">
        <v>1418</v>
      </c>
      <c r="AA1620" s="9" t="n">
        <v>9323</v>
      </c>
      <c r="AB1620" s="10" t="n">
        <v>1668</v>
      </c>
      <c r="AC1620" s="10" t="n">
        <v>2175</v>
      </c>
      <c r="AD1620" s="7" t="n">
        <v>7129</v>
      </c>
      <c r="AE1620" s="8" t="n">
        <v>-569</v>
      </c>
      <c r="AF1620" s="8" t="n">
        <v>-609</v>
      </c>
      <c r="AG1620" s="9" t="n">
        <v>7782</v>
      </c>
      <c r="AH1620" s="10" t="n">
        <v>150</v>
      </c>
      <c r="AI1620" s="10" t="n">
        <v>1885</v>
      </c>
      <c r="AJ1620" s="11" t="inlineStr"/>
      <c r="AK1620" s="12" t="n">
        <v>995</v>
      </c>
      <c r="AL1620" s="12" t="n">
        <v>1594</v>
      </c>
      <c r="AM1620" s="13" t="inlineStr"/>
      <c r="AN1620" s="13" t="inlineStr"/>
      <c r="AO1620" s="13" t="n">
        <v>563.3</v>
      </c>
      <c r="AP1620" s="13" t="n">
        <v>-17.6</v>
      </c>
    </row>
    <row r="1621">
      <c r="A1621" s="5" t="inlineStr">
        <is>
          <t>화인베스틸</t>
        </is>
      </c>
      <c r="B1621" s="6" t="inlineStr">
        <is>
          <t>133820</t>
        </is>
      </c>
      <c r="C1621" s="6" t="inlineStr">
        <is>
          <t>연결</t>
        </is>
      </c>
      <c r="D1621" s="6" t="inlineStr">
        <is>
          <t>2026Q2</t>
        </is>
      </c>
      <c r="E1621" s="6" t="inlineStr"/>
      <c r="F1621" s="7" t="inlineStr"/>
      <c r="G1621" s="8" t="inlineStr"/>
      <c r="H1621" s="8" t="inlineStr"/>
      <c r="I1621" s="9" t="n">
        <v>28167</v>
      </c>
      <c r="J1621" s="10" t="n">
        <v>-4394</v>
      </c>
      <c r="K1621" s="10" t="n">
        <v>-5529</v>
      </c>
      <c r="L1621" s="7" t="n">
        <v>26006</v>
      </c>
      <c r="M1621" s="8" t="n">
        <v>-935</v>
      </c>
      <c r="N1621" s="8" t="n">
        <v>-3144</v>
      </c>
      <c r="O1621" s="9" t="n">
        <v>30663</v>
      </c>
      <c r="P1621" s="10" t="n">
        <v>-6798</v>
      </c>
      <c r="Q1621" s="10" t="n">
        <v>-8226</v>
      </c>
      <c r="R1621" s="7" t="n">
        <v>34336</v>
      </c>
      <c r="S1621" s="8" t="n">
        <v>-7011</v>
      </c>
      <c r="T1621" s="8" t="n">
        <v>-12598</v>
      </c>
      <c r="U1621" s="9" t="n">
        <v>36646</v>
      </c>
      <c r="V1621" s="10" t="n">
        <v>-5452</v>
      </c>
      <c r="W1621" s="10" t="n">
        <v>-6587</v>
      </c>
      <c r="X1621" s="7" t="n">
        <v>47627</v>
      </c>
      <c r="Y1621" s="8" t="n">
        <v>1583</v>
      </c>
      <c r="Z1621" s="8" t="n">
        <v>5605</v>
      </c>
      <c r="AA1621" s="9" t="n">
        <v>48514</v>
      </c>
      <c r="AB1621" s="10" t="n">
        <v>32</v>
      </c>
      <c r="AC1621" s="10" t="n">
        <v>-3384</v>
      </c>
      <c r="AD1621" s="7" t="n">
        <v>53384</v>
      </c>
      <c r="AE1621" s="8" t="n">
        <v>2166</v>
      </c>
      <c r="AF1621" s="8" t="n">
        <v>-1740</v>
      </c>
      <c r="AG1621" s="9" t="n">
        <v>50620</v>
      </c>
      <c r="AH1621" s="10" t="n">
        <v>1394</v>
      </c>
      <c r="AI1621" s="10" t="n">
        <v>99</v>
      </c>
      <c r="AJ1621" s="11" t="n">
        <v>49136</v>
      </c>
      <c r="AK1621" s="12" t="n">
        <v>1278</v>
      </c>
      <c r="AL1621" s="12" t="n">
        <v>-41</v>
      </c>
      <c r="AM1621" s="13" t="n">
        <v>-2.9</v>
      </c>
      <c r="AN1621" s="13" t="n">
        <v>3.2</v>
      </c>
      <c r="AO1621" s="13" t="n">
        <v>-8.300000000000001</v>
      </c>
      <c r="AP1621" s="13" t="n">
        <v>-19.3</v>
      </c>
    </row>
    <row r="1622">
      <c r="A1622" s="5" t="inlineStr">
        <is>
          <t>이퓨쳐</t>
        </is>
      </c>
      <c r="B1622" s="6" t="inlineStr">
        <is>
          <t>134060</t>
        </is>
      </c>
      <c r="C1622" s="6" t="inlineStr">
        <is>
          <t>별도</t>
        </is>
      </c>
      <c r="D1622" s="6" t="inlineStr">
        <is>
          <t>2026Q2</t>
        </is>
      </c>
      <c r="E1622" s="6" t="inlineStr"/>
      <c r="F1622" s="7" t="inlineStr"/>
      <c r="G1622" s="8" t="inlineStr"/>
      <c r="H1622" s="8" t="inlineStr"/>
      <c r="I1622" s="9" t="n">
        <v>2889</v>
      </c>
      <c r="J1622" s="10" t="n">
        <v>500</v>
      </c>
      <c r="K1622" s="10" t="n">
        <v>986</v>
      </c>
      <c r="L1622" s="7" t="n">
        <v>2211</v>
      </c>
      <c r="M1622" s="8" t="n">
        <v>-208</v>
      </c>
      <c r="N1622" s="8" t="n">
        <v>118</v>
      </c>
      <c r="O1622" s="9" t="n">
        <v>2503</v>
      </c>
      <c r="P1622" s="10" t="n">
        <v>120</v>
      </c>
      <c r="Q1622" s="10" t="n">
        <v>-100</v>
      </c>
      <c r="R1622" s="7" t="n">
        <v>3426</v>
      </c>
      <c r="S1622" s="8" t="n">
        <v>325</v>
      </c>
      <c r="T1622" s="8" t="n">
        <v>1385</v>
      </c>
      <c r="U1622" s="9" t="n">
        <v>2854</v>
      </c>
      <c r="V1622" s="10" t="n">
        <v>311</v>
      </c>
      <c r="W1622" s="10" t="n">
        <v>409</v>
      </c>
      <c r="X1622" s="7" t="n">
        <v>2602</v>
      </c>
      <c r="Y1622" s="8" t="n">
        <v>128</v>
      </c>
      <c r="Z1622" s="8" t="n">
        <v>33</v>
      </c>
      <c r="AA1622" s="9" t="n">
        <v>2244</v>
      </c>
      <c r="AB1622" s="10" t="n">
        <v>-222</v>
      </c>
      <c r="AC1622" s="10" t="n">
        <v>91</v>
      </c>
      <c r="AD1622" s="7" t="n">
        <v>3442</v>
      </c>
      <c r="AE1622" s="8" t="n">
        <v>666</v>
      </c>
      <c r="AF1622" s="8" t="n">
        <v>699</v>
      </c>
      <c r="AG1622" s="9" t="n">
        <v>2536</v>
      </c>
      <c r="AH1622" s="10" t="n">
        <v>125</v>
      </c>
      <c r="AI1622" s="10" t="n">
        <v>612</v>
      </c>
      <c r="AJ1622" s="11" t="n">
        <v>2618</v>
      </c>
      <c r="AK1622" s="12" t="n">
        <v>-179</v>
      </c>
      <c r="AL1622" s="12" t="n">
        <v>401</v>
      </c>
      <c r="AM1622" s="13" t="n">
        <v>3.2</v>
      </c>
      <c r="AN1622" s="13" t="n">
        <v>0.6</v>
      </c>
      <c r="AO1622" s="13" t="n">
        <v>-243.2</v>
      </c>
      <c r="AP1622" s="13" t="n">
        <v>-239.8</v>
      </c>
    </row>
    <row r="1623">
      <c r="A1623" s="5" t="inlineStr">
        <is>
          <t>미원화학</t>
        </is>
      </c>
      <c r="B1623" s="6" t="inlineStr">
        <is>
          <t>134380</t>
        </is>
      </c>
      <c r="C1623" s="6" t="inlineStr">
        <is>
          <t>별도</t>
        </is>
      </c>
      <c r="D1623" s="6" t="inlineStr">
        <is>
          <t>2026Q2</t>
        </is>
      </c>
      <c r="E1623" s="6" t="inlineStr"/>
      <c r="F1623" s="7" t="inlineStr"/>
      <c r="G1623" s="8" t="inlineStr"/>
      <c r="H1623" s="8" t="inlineStr"/>
      <c r="I1623" s="9" t="n">
        <v>62511</v>
      </c>
      <c r="J1623" s="10" t="n">
        <v>8282</v>
      </c>
      <c r="K1623" s="10" t="n">
        <v>7471</v>
      </c>
      <c r="L1623" s="7" t="n">
        <v>64925</v>
      </c>
      <c r="M1623" s="8" t="n">
        <v>8982</v>
      </c>
      <c r="N1623" s="8" t="n">
        <v>8258</v>
      </c>
      <c r="O1623" s="9" t="n">
        <v>64394</v>
      </c>
      <c r="P1623" s="10" t="n">
        <v>7096</v>
      </c>
      <c r="Q1623" s="10" t="n">
        <v>5603</v>
      </c>
      <c r="R1623" s="7" t="n">
        <v>64280</v>
      </c>
      <c r="S1623" s="8" t="n">
        <v>4275</v>
      </c>
      <c r="T1623" s="8" t="n">
        <v>5599</v>
      </c>
      <c r="U1623" s="9" t="n">
        <v>64191</v>
      </c>
      <c r="V1623" s="10" t="n">
        <v>6980</v>
      </c>
      <c r="W1623" s="10" t="n">
        <v>5832</v>
      </c>
      <c r="X1623" s="7" t="n">
        <v>70158</v>
      </c>
      <c r="Y1623" s="8" t="n">
        <v>8265</v>
      </c>
      <c r="Z1623" s="8" t="n">
        <v>5965</v>
      </c>
      <c r="AA1623" s="9" t="n">
        <v>72819</v>
      </c>
      <c r="AB1623" s="10" t="n">
        <v>8806</v>
      </c>
      <c r="AC1623" s="10" t="n">
        <v>7952</v>
      </c>
      <c r="AD1623" s="7" t="n">
        <v>77344</v>
      </c>
      <c r="AE1623" s="8" t="n">
        <v>5103</v>
      </c>
      <c r="AF1623" s="8" t="n">
        <v>4977</v>
      </c>
      <c r="AG1623" s="9" t="n">
        <v>86412</v>
      </c>
      <c r="AH1623" s="10" t="n">
        <v>9002</v>
      </c>
      <c r="AI1623" s="10" t="n">
        <v>8508</v>
      </c>
      <c r="AJ1623" s="11" t="n">
        <v>105425</v>
      </c>
      <c r="AK1623" s="12" t="n">
        <v>24349</v>
      </c>
      <c r="AL1623" s="12" t="n">
        <v>19659</v>
      </c>
      <c r="AM1623" s="13" t="n">
        <v>22</v>
      </c>
      <c r="AN1623" s="13" t="n">
        <v>50.3</v>
      </c>
      <c r="AO1623" s="13" t="n">
        <v>170.5</v>
      </c>
      <c r="AP1623" s="13" t="n">
        <v>194.6</v>
      </c>
    </row>
    <row r="1624">
      <c r="A1624" s="5" t="inlineStr">
        <is>
          <t>탑코미디어</t>
        </is>
      </c>
      <c r="B1624" s="6" t="inlineStr">
        <is>
          <t>134580</t>
        </is>
      </c>
      <c r="C1624" s="6" t="inlineStr">
        <is>
          <t>연결</t>
        </is>
      </c>
      <c r="D1624" s="6" t="inlineStr">
        <is>
          <t>2026Q2</t>
        </is>
      </c>
      <c r="E1624" s="6" t="inlineStr"/>
      <c r="F1624" s="7" t="inlineStr"/>
      <c r="G1624" s="8" t="inlineStr"/>
      <c r="H1624" s="8" t="inlineStr"/>
      <c r="I1624" s="9" t="n">
        <v>5517</v>
      </c>
      <c r="J1624" s="10" t="n">
        <v>-858</v>
      </c>
      <c r="K1624" s="10" t="n">
        <v>-870</v>
      </c>
      <c r="L1624" s="7" t="n">
        <v>5519</v>
      </c>
      <c r="M1624" s="8" t="n">
        <v>-1874</v>
      </c>
      <c r="N1624" s="8" t="n">
        <v>-2247</v>
      </c>
      <c r="O1624" s="9" t="n">
        <v>6313</v>
      </c>
      <c r="P1624" s="10" t="n">
        <v>-952</v>
      </c>
      <c r="Q1624" s="10" t="n">
        <v>-419</v>
      </c>
      <c r="R1624" s="7" t="n">
        <v>5991</v>
      </c>
      <c r="S1624" s="8" t="n">
        <v>-42</v>
      </c>
      <c r="T1624" s="8" t="n">
        <v>-1188</v>
      </c>
      <c r="U1624" s="9" t="n">
        <v>5590</v>
      </c>
      <c r="V1624" s="10" t="n">
        <v>-2292</v>
      </c>
      <c r="W1624" s="10" t="n">
        <v>-1824</v>
      </c>
      <c r="X1624" s="7" t="n">
        <v>14889</v>
      </c>
      <c r="Y1624" s="8" t="n">
        <v>2979</v>
      </c>
      <c r="Z1624" s="8" t="n">
        <v>1576</v>
      </c>
      <c r="AA1624" s="9" t="n">
        <v>13912</v>
      </c>
      <c r="AB1624" s="10" t="n">
        <v>1668</v>
      </c>
      <c r="AC1624" s="10" t="n">
        <v>1791</v>
      </c>
      <c r="AD1624" s="7" t="n">
        <v>14214</v>
      </c>
      <c r="AE1624" s="8" t="n">
        <v>1315</v>
      </c>
      <c r="AF1624" s="8" t="n">
        <v>-3867</v>
      </c>
      <c r="AG1624" s="9" t="n">
        <v>11880</v>
      </c>
      <c r="AH1624" s="10" t="n">
        <v>-84</v>
      </c>
      <c r="AI1624" s="10" t="n">
        <v>-126</v>
      </c>
      <c r="AJ1624" s="11" t="n">
        <v>15488</v>
      </c>
      <c r="AK1624" s="12" t="n">
        <v>3667</v>
      </c>
      <c r="AL1624" s="12" t="n">
        <v>3175</v>
      </c>
      <c r="AM1624" s="13" t="n">
        <v>30.4</v>
      </c>
      <c r="AN1624" s="13" t="n">
        <v>4</v>
      </c>
      <c r="AO1624" s="13" t="n">
        <v>4465.5</v>
      </c>
      <c r="AP1624" s="13" t="n">
        <v>23.1</v>
      </c>
    </row>
    <row r="1625">
      <c r="A1625" s="5" t="inlineStr">
        <is>
          <t>시디즈</t>
        </is>
      </c>
      <c r="B1625" s="6" t="inlineStr">
        <is>
          <t>134790</t>
        </is>
      </c>
      <c r="C1625" s="6" t="inlineStr">
        <is>
          <t>연결</t>
        </is>
      </c>
      <c r="D1625" s="6" t="inlineStr">
        <is>
          <t>2026Q2</t>
        </is>
      </c>
      <c r="E1625" s="6" t="inlineStr"/>
      <c r="F1625" s="7" t="inlineStr"/>
      <c r="G1625" s="8" t="inlineStr"/>
      <c r="H1625" s="8" t="inlineStr"/>
      <c r="I1625" s="9" t="n">
        <v>57917</v>
      </c>
      <c r="J1625" s="10" t="n">
        <v>1070</v>
      </c>
      <c r="K1625" s="10" t="n">
        <v>1725</v>
      </c>
      <c r="L1625" s="7" t="n">
        <v>49942</v>
      </c>
      <c r="M1625" s="8" t="n">
        <v>-886</v>
      </c>
      <c r="N1625" s="8" t="n">
        <v>325</v>
      </c>
      <c r="O1625" s="9" t="n">
        <v>48348</v>
      </c>
      <c r="P1625" s="10" t="n">
        <v>-353</v>
      </c>
      <c r="Q1625" s="10" t="n">
        <v>422</v>
      </c>
      <c r="R1625" s="7" t="n">
        <v>52201</v>
      </c>
      <c r="S1625" s="8" t="n">
        <v>-3195</v>
      </c>
      <c r="T1625" s="8" t="n">
        <v>-1564</v>
      </c>
      <c r="U1625" s="9" t="n">
        <v>55002</v>
      </c>
      <c r="V1625" s="10" t="n">
        <v>-320</v>
      </c>
      <c r="W1625" s="10" t="n">
        <v>624</v>
      </c>
      <c r="X1625" s="7" t="n">
        <v>45634</v>
      </c>
      <c r="Y1625" s="8" t="n">
        <v>-3892</v>
      </c>
      <c r="Z1625" s="8" t="n">
        <v>-3316</v>
      </c>
      <c r="AA1625" s="9" t="n">
        <v>46536</v>
      </c>
      <c r="AB1625" s="10" t="n">
        <v>-1852</v>
      </c>
      <c r="AC1625" s="10" t="n">
        <v>-260</v>
      </c>
      <c r="AD1625" s="7" t="n">
        <v>48548</v>
      </c>
      <c r="AE1625" s="8" t="n">
        <v>-619</v>
      </c>
      <c r="AF1625" s="8" t="n">
        <v>691</v>
      </c>
      <c r="AG1625" s="9" t="n">
        <v>54450</v>
      </c>
      <c r="AH1625" s="10" t="n">
        <v>1504</v>
      </c>
      <c r="AI1625" s="10" t="n">
        <v>2795</v>
      </c>
      <c r="AJ1625" s="11" t="n">
        <v>48223</v>
      </c>
      <c r="AK1625" s="12" t="n">
        <v>-33</v>
      </c>
      <c r="AL1625" s="12" t="n">
        <v>621</v>
      </c>
      <c r="AM1625" s="13" t="n">
        <v>-11.4</v>
      </c>
      <c r="AN1625" s="13" t="n">
        <v>5.7</v>
      </c>
      <c r="AO1625" s="13" t="n">
        <v>-102.2</v>
      </c>
      <c r="AP1625" s="13" t="n">
        <v>99.2</v>
      </c>
    </row>
    <row r="1626">
      <c r="A1626" s="5" t="inlineStr">
        <is>
          <t>원일티엔아이</t>
        </is>
      </c>
      <c r="B1626" s="6" t="inlineStr">
        <is>
          <t>136150</t>
        </is>
      </c>
      <c r="C1626" s="6" t="inlineStr">
        <is>
          <t>별도</t>
        </is>
      </c>
      <c r="D1626" s="6" t="inlineStr">
        <is>
          <t>2026Q2</t>
        </is>
      </c>
      <c r="E1626" s="6" t="inlineStr"/>
      <c r="F1626" s="7" t="inlineStr"/>
      <c r="G1626" s="8" t="inlineStr"/>
      <c r="H1626" s="8" t="inlineStr"/>
      <c r="I1626" s="9" t="inlineStr"/>
      <c r="J1626" s="10" t="inlineStr"/>
      <c r="K1626" s="10" t="inlineStr"/>
      <c r="L1626" s="7" t="inlineStr"/>
      <c r="M1626" s="8" t="inlineStr"/>
      <c r="N1626" s="8" t="inlineStr"/>
      <c r="O1626" s="9" t="inlineStr"/>
      <c r="P1626" s="10" t="inlineStr"/>
      <c r="Q1626" s="10" t="inlineStr"/>
      <c r="R1626" s="7" t="inlineStr"/>
      <c r="S1626" s="8" t="inlineStr"/>
      <c r="T1626" s="8" t="inlineStr"/>
      <c r="U1626" s="9" t="inlineStr"/>
      <c r="V1626" s="10" t="inlineStr"/>
      <c r="W1626" s="10" t="inlineStr"/>
      <c r="X1626" s="7" t="n">
        <v>6888</v>
      </c>
      <c r="Y1626" s="8" t="n">
        <v>-2083</v>
      </c>
      <c r="Z1626" s="8" t="n">
        <v>-3147</v>
      </c>
      <c r="AA1626" s="9" t="n">
        <v>4266</v>
      </c>
      <c r="AB1626" s="10" t="n">
        <v>-1014</v>
      </c>
      <c r="AC1626" s="10" t="n">
        <v>-698</v>
      </c>
      <c r="AD1626" s="7" t="inlineStr"/>
      <c r="AE1626" s="8" t="inlineStr"/>
      <c r="AF1626" s="8" t="inlineStr"/>
      <c r="AG1626" s="9" t="n">
        <v>3988</v>
      </c>
      <c r="AH1626" s="10" t="n">
        <v>-2014</v>
      </c>
      <c r="AI1626" s="10" t="n">
        <v>-1374</v>
      </c>
      <c r="AJ1626" s="11" t="n">
        <v>9952</v>
      </c>
      <c r="AK1626" s="12" t="n">
        <v>543</v>
      </c>
      <c r="AL1626" s="12" t="n">
        <v>1010</v>
      </c>
      <c r="AM1626" s="13" t="n">
        <v>149.5</v>
      </c>
      <c r="AN1626" s="13" t="n">
        <v>44.5</v>
      </c>
      <c r="AO1626" s="13" t="n">
        <v>127</v>
      </c>
      <c r="AP1626" s="13" t="n">
        <v>126.1</v>
      </c>
    </row>
    <row r="1627">
      <c r="A1627" s="5" t="inlineStr">
        <is>
          <t>아셈스</t>
        </is>
      </c>
      <c r="B1627" s="6" t="inlineStr">
        <is>
          <t>136410</t>
        </is>
      </c>
      <c r="C1627" s="6" t="inlineStr">
        <is>
          <t>연결</t>
        </is>
      </c>
      <c r="D1627" s="6" t="inlineStr">
        <is>
          <t>2026Q2</t>
        </is>
      </c>
      <c r="E1627" s="6" t="inlineStr"/>
      <c r="F1627" s="7" t="inlineStr"/>
      <c r="G1627" s="8" t="inlineStr"/>
      <c r="H1627" s="8" t="inlineStr"/>
      <c r="I1627" s="9" t="n">
        <v>12953</v>
      </c>
      <c r="J1627" s="10" t="n">
        <v>2003</v>
      </c>
      <c r="K1627" s="10" t="n">
        <v>1483</v>
      </c>
      <c r="L1627" s="7" t="n">
        <v>13555</v>
      </c>
      <c r="M1627" s="8" t="n">
        <v>1959</v>
      </c>
      <c r="N1627" s="8" t="n">
        <v>897</v>
      </c>
      <c r="O1627" s="9" t="n">
        <v>14862</v>
      </c>
      <c r="P1627" s="10" t="n">
        <v>2546</v>
      </c>
      <c r="Q1627" s="10" t="n">
        <v>2787</v>
      </c>
      <c r="R1627" s="7" t="n">
        <v>15805</v>
      </c>
      <c r="S1627" s="8" t="n">
        <v>2716</v>
      </c>
      <c r="T1627" s="8" t="n">
        <v>961</v>
      </c>
      <c r="U1627" s="9" t="n">
        <v>16733</v>
      </c>
      <c r="V1627" s="10" t="n">
        <v>4202</v>
      </c>
      <c r="W1627" s="10" t="n">
        <v>2806</v>
      </c>
      <c r="X1627" s="7" t="n">
        <v>14547</v>
      </c>
      <c r="Y1627" s="8" t="n">
        <v>2913</v>
      </c>
      <c r="Z1627" s="8" t="n">
        <v>2366</v>
      </c>
      <c r="AA1627" s="9" t="n">
        <v>15109</v>
      </c>
      <c r="AB1627" s="10" t="n">
        <v>3833</v>
      </c>
      <c r="AC1627" s="10" t="n">
        <v>3178</v>
      </c>
      <c r="AD1627" s="7" t="n">
        <v>13884</v>
      </c>
      <c r="AE1627" s="8" t="n">
        <v>1053</v>
      </c>
      <c r="AF1627" s="8" t="n">
        <v>632</v>
      </c>
      <c r="AG1627" s="9" t="n">
        <v>13243</v>
      </c>
      <c r="AH1627" s="10" t="n">
        <v>2422</v>
      </c>
      <c r="AI1627" s="10" t="n">
        <v>1691</v>
      </c>
      <c r="AJ1627" s="11" t="n">
        <v>12205</v>
      </c>
      <c r="AK1627" s="12" t="n">
        <v>2217</v>
      </c>
      <c r="AL1627" s="12" t="n">
        <v>798</v>
      </c>
      <c r="AM1627" s="13" t="n">
        <v>-7.8</v>
      </c>
      <c r="AN1627" s="13" t="n">
        <v>-16.1</v>
      </c>
      <c r="AO1627" s="13" t="n">
        <v>-8.5</v>
      </c>
      <c r="AP1627" s="13" t="n">
        <v>-23.9</v>
      </c>
    </row>
    <row r="1628">
      <c r="A1628" s="5" t="inlineStr">
        <is>
          <t>하림</t>
        </is>
      </c>
      <c r="B1628" s="6" t="inlineStr">
        <is>
          <t>136480</t>
        </is>
      </c>
      <c r="C1628" s="6" t="inlineStr">
        <is>
          <t>연결</t>
        </is>
      </c>
      <c r="D1628" s="6" t="inlineStr">
        <is>
          <t>2026Q2</t>
        </is>
      </c>
      <c r="E1628" s="6" t="inlineStr"/>
      <c r="F1628" s="7" t="inlineStr"/>
      <c r="G1628" s="8" t="inlineStr"/>
      <c r="H1628" s="8" t="inlineStr"/>
      <c r="I1628" s="9" t="n">
        <v>305760</v>
      </c>
      <c r="J1628" s="10" t="n">
        <v>10358</v>
      </c>
      <c r="K1628" s="10" t="n">
        <v>-7419</v>
      </c>
      <c r="L1628" s="7" t="n">
        <v>326218</v>
      </c>
      <c r="M1628" s="8" t="n">
        <v>-2416</v>
      </c>
      <c r="N1628" s="8" t="n">
        <v>-16839</v>
      </c>
      <c r="O1628" s="9" t="n">
        <v>380986</v>
      </c>
      <c r="P1628" s="10" t="n">
        <v>27830</v>
      </c>
      <c r="Q1628" s="10" t="n">
        <v>38662</v>
      </c>
      <c r="R1628" s="7" t="n">
        <v>272455</v>
      </c>
      <c r="S1628" s="8" t="n">
        <v>-7259</v>
      </c>
      <c r="T1628" s="8" t="n">
        <v>-26740</v>
      </c>
      <c r="U1628" s="9" t="n">
        <v>322479</v>
      </c>
      <c r="V1628" s="10" t="n">
        <v>6948</v>
      </c>
      <c r="W1628" s="10" t="n">
        <v>2857</v>
      </c>
      <c r="X1628" s="7" t="n">
        <v>387408</v>
      </c>
      <c r="Y1628" s="8" t="n">
        <v>19771</v>
      </c>
      <c r="Z1628" s="8" t="n">
        <v>29963</v>
      </c>
      <c r="AA1628" s="9" t="n">
        <v>414259</v>
      </c>
      <c r="AB1628" s="10" t="n">
        <v>18482</v>
      </c>
      <c r="AC1628" s="10" t="n">
        <v>8485</v>
      </c>
      <c r="AD1628" s="7" t="n">
        <v>315849</v>
      </c>
      <c r="AE1628" s="8" t="n">
        <v>2480</v>
      </c>
      <c r="AF1628" s="8" t="n">
        <v>-2567</v>
      </c>
      <c r="AG1628" s="9" t="n">
        <v>327959</v>
      </c>
      <c r="AH1628" s="10" t="n">
        <v>11660</v>
      </c>
      <c r="AI1628" s="10" t="n">
        <v>3478</v>
      </c>
      <c r="AJ1628" s="11" t="n">
        <v>425794</v>
      </c>
      <c r="AK1628" s="12" t="n">
        <v>17305</v>
      </c>
      <c r="AL1628" s="12" t="n">
        <v>8921</v>
      </c>
      <c r="AM1628" s="13" t="n">
        <v>29.8</v>
      </c>
      <c r="AN1628" s="13" t="n">
        <v>9.9</v>
      </c>
      <c r="AO1628" s="13" t="n">
        <v>48.4</v>
      </c>
      <c r="AP1628" s="13" t="n">
        <v>-12.5</v>
      </c>
    </row>
    <row r="1629">
      <c r="A1629" s="5" t="inlineStr">
        <is>
          <t>선진</t>
        </is>
      </c>
      <c r="B1629" s="6" t="inlineStr">
        <is>
          <t>136490</t>
        </is>
      </c>
      <c r="C1629" s="6" t="inlineStr">
        <is>
          <t>연결</t>
        </is>
      </c>
      <c r="D1629" s="6" t="inlineStr">
        <is>
          <t>2026Q2</t>
        </is>
      </c>
      <c r="E1629" s="6" t="inlineStr"/>
      <c r="F1629" s="7" t="inlineStr"/>
      <c r="G1629" s="8" t="inlineStr"/>
      <c r="H1629" s="8" t="inlineStr"/>
      <c r="I1629" s="9" t="n">
        <v>430333</v>
      </c>
      <c r="J1629" s="10" t="n">
        <v>33395</v>
      </c>
      <c r="K1629" s="10" t="n">
        <v>-3723</v>
      </c>
      <c r="L1629" s="7" t="n">
        <v>414701</v>
      </c>
      <c r="M1629" s="8" t="n">
        <v>35416</v>
      </c>
      <c r="N1629" s="8" t="n">
        <v>8117</v>
      </c>
      <c r="O1629" s="9" t="n">
        <v>399986</v>
      </c>
      <c r="P1629" s="10" t="n">
        <v>23614</v>
      </c>
      <c r="Q1629" s="10" t="n">
        <v>36285</v>
      </c>
      <c r="R1629" s="7" t="n">
        <v>436351</v>
      </c>
      <c r="S1629" s="8" t="n">
        <v>31661</v>
      </c>
      <c r="T1629" s="8" t="n">
        <v>-34037</v>
      </c>
      <c r="U1629" s="9" t="n">
        <v>456193</v>
      </c>
      <c r="V1629" s="10" t="n">
        <v>56153</v>
      </c>
      <c r="W1629" s="10" t="n">
        <v>45571</v>
      </c>
      <c r="X1629" s="7" t="n">
        <v>463007</v>
      </c>
      <c r="Y1629" s="8" t="n">
        <v>44314</v>
      </c>
      <c r="Z1629" s="8" t="n">
        <v>49234</v>
      </c>
      <c r="AA1629" s="9" t="n">
        <v>473245</v>
      </c>
      <c r="AB1629" s="10" t="n">
        <v>38277</v>
      </c>
      <c r="AC1629" s="10" t="n">
        <v>15865</v>
      </c>
      <c r="AD1629" s="7" t="n">
        <v>503297</v>
      </c>
      <c r="AE1629" s="8" t="n">
        <v>40447</v>
      </c>
      <c r="AF1629" s="8" t="n">
        <v>15365</v>
      </c>
      <c r="AG1629" s="9" t="n">
        <v>532971</v>
      </c>
      <c r="AH1629" s="10" t="n">
        <v>61354</v>
      </c>
      <c r="AI1629" s="10" t="n">
        <v>40037</v>
      </c>
      <c r="AJ1629" s="11" t="n">
        <v>541130</v>
      </c>
      <c r="AK1629" s="12" t="n">
        <v>43399</v>
      </c>
      <c r="AL1629" s="12" t="n">
        <v>23759</v>
      </c>
      <c r="AM1629" s="13" t="n">
        <v>1.5</v>
      </c>
      <c r="AN1629" s="13" t="n">
        <v>16.9</v>
      </c>
      <c r="AO1629" s="13" t="n">
        <v>-29.3</v>
      </c>
      <c r="AP1629" s="13" t="n">
        <v>-2.1</v>
      </c>
    </row>
    <row r="1630">
      <c r="A1630" s="5" t="inlineStr">
        <is>
          <t>윈스테크넷</t>
        </is>
      </c>
      <c r="B1630" s="6" t="inlineStr">
        <is>
          <t>136540</t>
        </is>
      </c>
      <c r="C1630" s="6" t="inlineStr">
        <is>
          <t>연결</t>
        </is>
      </c>
      <c r="D1630" s="6" t="inlineStr">
        <is>
          <t>2026Q2</t>
        </is>
      </c>
      <c r="E1630" s="6" t="inlineStr">
        <is>
          <t>2023Q4</t>
        </is>
      </c>
      <c r="F1630" s="14" t="n">
        <v>106855</v>
      </c>
      <c r="G1630" s="15" t="n">
        <v>23090</v>
      </c>
      <c r="H1630" s="15" t="n">
        <v>21084</v>
      </c>
      <c r="I1630" s="9" t="n">
        <v>23744</v>
      </c>
      <c r="J1630" s="10" t="n">
        <v>4956</v>
      </c>
      <c r="K1630" s="10" t="n">
        <v>4864</v>
      </c>
      <c r="L1630" s="7" t="n">
        <v>22955</v>
      </c>
      <c r="M1630" s="8" t="n">
        <v>3981</v>
      </c>
      <c r="N1630" s="8" t="n">
        <v>3769</v>
      </c>
      <c r="O1630" s="9" t="n">
        <v>21480</v>
      </c>
      <c r="P1630" s="10" t="n">
        <v>4251</v>
      </c>
      <c r="Q1630" s="10" t="n">
        <v>4838</v>
      </c>
      <c r="R1630" s="7" t="n">
        <v>33280</v>
      </c>
      <c r="S1630" s="8" t="n">
        <v>7170</v>
      </c>
      <c r="T1630" s="8" t="n">
        <v>6401</v>
      </c>
      <c r="U1630" s="9" t="n">
        <v>18300</v>
      </c>
      <c r="V1630" s="10" t="n">
        <v>2447</v>
      </c>
      <c r="W1630" s="10" t="n">
        <v>2831</v>
      </c>
      <c r="X1630" s="7" t="n">
        <v>21949</v>
      </c>
      <c r="Y1630" s="8" t="n">
        <v>4675</v>
      </c>
      <c r="Z1630" s="8" t="n">
        <v>3852</v>
      </c>
      <c r="AA1630" s="9" t="n">
        <v>18568</v>
      </c>
      <c r="AB1630" s="10" t="n">
        <v>3429</v>
      </c>
      <c r="AC1630" s="10" t="n">
        <v>3792</v>
      </c>
      <c r="AD1630" s="7" t="n">
        <v>39781</v>
      </c>
      <c r="AE1630" s="8" t="n">
        <v>10608</v>
      </c>
      <c r="AF1630" s="8" t="n">
        <v>7935</v>
      </c>
      <c r="AG1630" s="9" t="n">
        <v>17454</v>
      </c>
      <c r="AH1630" s="10" t="n">
        <v>1732</v>
      </c>
      <c r="AI1630" s="10" t="n">
        <v>2250</v>
      </c>
      <c r="AJ1630" s="11" t="n">
        <v>20569</v>
      </c>
      <c r="AK1630" s="12" t="n">
        <v>3165</v>
      </c>
      <c r="AL1630" s="12" t="n">
        <v>4463</v>
      </c>
      <c r="AM1630" s="13" t="n">
        <v>17.8</v>
      </c>
      <c r="AN1630" s="13" t="n">
        <v>-6.3</v>
      </c>
      <c r="AO1630" s="13" t="n">
        <v>82.7</v>
      </c>
      <c r="AP1630" s="13" t="n">
        <v>-32.3</v>
      </c>
    </row>
    <row r="1631">
      <c r="A1631" s="5" t="inlineStr">
        <is>
          <t>나래나노텍</t>
        </is>
      </c>
      <c r="B1631" s="6" t="inlineStr">
        <is>
          <t>137080</t>
        </is>
      </c>
      <c r="C1631" s="6" t="inlineStr">
        <is>
          <t>연결</t>
        </is>
      </c>
      <c r="D1631" s="6" t="inlineStr">
        <is>
          <t>2026Q2</t>
        </is>
      </c>
      <c r="E1631" s="6" t="inlineStr"/>
      <c r="F1631" s="7" t="inlineStr"/>
      <c r="G1631" s="8" t="inlineStr"/>
      <c r="H1631" s="8" t="inlineStr"/>
      <c r="I1631" s="9" t="n">
        <v>2804</v>
      </c>
      <c r="J1631" s="10" t="n">
        <v>-5500</v>
      </c>
      <c r="K1631" s="10" t="n">
        <v>-3790</v>
      </c>
      <c r="L1631" s="7" t="n">
        <v>8837</v>
      </c>
      <c r="M1631" s="8" t="n">
        <v>-5284</v>
      </c>
      <c r="N1631" s="8" t="n">
        <v>-4974</v>
      </c>
      <c r="O1631" s="9" t="n">
        <v>7988</v>
      </c>
      <c r="P1631" s="10" t="n">
        <v>-4240</v>
      </c>
      <c r="Q1631" s="10" t="n">
        <v>-4628</v>
      </c>
      <c r="R1631" s="7" t="n">
        <v>20797</v>
      </c>
      <c r="S1631" s="8" t="n">
        <v>-7084</v>
      </c>
      <c r="T1631" s="8" t="n">
        <v>-3749</v>
      </c>
      <c r="U1631" s="9" t="n">
        <v>8327</v>
      </c>
      <c r="V1631" s="10" t="n">
        <v>-4314</v>
      </c>
      <c r="W1631" s="10" t="n">
        <v>-4025</v>
      </c>
      <c r="X1631" s="7" t="n">
        <v>20209</v>
      </c>
      <c r="Y1631" s="8" t="n">
        <v>-2831</v>
      </c>
      <c r="Z1631" s="8" t="n">
        <v>-4248</v>
      </c>
      <c r="AA1631" s="9" t="n">
        <v>10186</v>
      </c>
      <c r="AB1631" s="10" t="n">
        <v>-853</v>
      </c>
      <c r="AC1631" s="10" t="n">
        <v>-426</v>
      </c>
      <c r="AD1631" s="7" t="n">
        <v>15775</v>
      </c>
      <c r="AE1631" s="8" t="n">
        <v>-840</v>
      </c>
      <c r="AF1631" s="8" t="n">
        <v>48660</v>
      </c>
      <c r="AG1631" s="9" t="n">
        <v>17278</v>
      </c>
      <c r="AH1631" s="10" t="n">
        <v>660</v>
      </c>
      <c r="AI1631" s="10" t="n">
        <v>13182</v>
      </c>
      <c r="AJ1631" s="11" t="n">
        <v>20684</v>
      </c>
      <c r="AK1631" s="12" t="n">
        <v>3002</v>
      </c>
      <c r="AL1631" s="12" t="n">
        <v>2760</v>
      </c>
      <c r="AM1631" s="13" t="n">
        <v>19.7</v>
      </c>
      <c r="AN1631" s="13" t="n">
        <v>2.4</v>
      </c>
      <c r="AO1631" s="13" t="n">
        <v>354.8</v>
      </c>
      <c r="AP1631" s="13" t="n">
        <v>206</v>
      </c>
    </row>
    <row r="1632">
      <c r="A1632" s="5" t="inlineStr">
        <is>
          <t>에스디바이오센서</t>
        </is>
      </c>
      <c r="B1632" s="6" t="inlineStr">
        <is>
          <t>137310</t>
        </is>
      </c>
      <c r="C1632" s="6" t="inlineStr">
        <is>
          <t>연결</t>
        </is>
      </c>
      <c r="D1632" s="6" t="inlineStr">
        <is>
          <t>2026Q2</t>
        </is>
      </c>
      <c r="E1632" s="6" t="inlineStr"/>
      <c r="F1632" s="7" t="inlineStr"/>
      <c r="G1632" s="8" t="inlineStr"/>
      <c r="H1632" s="8" t="inlineStr"/>
      <c r="I1632" s="9" t="n">
        <v>176389</v>
      </c>
      <c r="J1632" s="10" t="n">
        <v>-10562</v>
      </c>
      <c r="K1632" s="10" t="n">
        <v>-11165</v>
      </c>
      <c r="L1632" s="7" t="n">
        <v>167461</v>
      </c>
      <c r="M1632" s="8" t="n">
        <v>-14884</v>
      </c>
      <c r="N1632" s="8" t="n">
        <v>-17988</v>
      </c>
      <c r="O1632" s="9" t="n">
        <v>170606</v>
      </c>
      <c r="P1632" s="10" t="n">
        <v>-10539</v>
      </c>
      <c r="Q1632" s="10" t="n">
        <v>65186</v>
      </c>
      <c r="R1632" s="7" t="n">
        <v>180118</v>
      </c>
      <c r="S1632" s="8" t="n">
        <v>-18072</v>
      </c>
      <c r="T1632" s="8" t="n">
        <v>-134173</v>
      </c>
      <c r="U1632" s="9" t="n">
        <v>185326</v>
      </c>
      <c r="V1632" s="10" t="n">
        <v>-14563</v>
      </c>
      <c r="W1632" s="10" t="n">
        <v>-18800</v>
      </c>
      <c r="X1632" s="7" t="n">
        <v>166501</v>
      </c>
      <c r="Y1632" s="8" t="n">
        <v>-20580</v>
      </c>
      <c r="Z1632" s="8" t="n">
        <v>275135</v>
      </c>
      <c r="AA1632" s="9" t="n">
        <v>164188</v>
      </c>
      <c r="AB1632" s="10" t="n">
        <v>-13966</v>
      </c>
      <c r="AC1632" s="10" t="n">
        <v>-9915</v>
      </c>
      <c r="AD1632" s="7" t="n">
        <v>194566</v>
      </c>
      <c r="AE1632" s="8" t="n">
        <v>-31836</v>
      </c>
      <c r="AF1632" s="8" t="n">
        <v>-759809</v>
      </c>
      <c r="AG1632" s="9" t="n">
        <v>193529</v>
      </c>
      <c r="AH1632" s="10" t="n">
        <v>-11554</v>
      </c>
      <c r="AI1632" s="10" t="n">
        <v>22329</v>
      </c>
      <c r="AJ1632" s="11" t="n">
        <v>186477</v>
      </c>
      <c r="AK1632" s="12" t="n">
        <v>-7300</v>
      </c>
      <c r="AL1632" s="12" t="n">
        <v>16310</v>
      </c>
      <c r="AM1632" s="13" t="n">
        <v>-3.6</v>
      </c>
      <c r="AN1632" s="13" t="n">
        <v>12</v>
      </c>
      <c r="AO1632" s="13" t="n">
        <v>36.8</v>
      </c>
      <c r="AP1632" s="13" t="n">
        <v>64.5</v>
      </c>
    </row>
    <row r="1633">
      <c r="A1633" s="5" t="inlineStr">
        <is>
          <t>피엔티</t>
        </is>
      </c>
      <c r="B1633" s="6" t="inlineStr">
        <is>
          <t>137400</t>
        </is>
      </c>
      <c r="C1633" s="6" t="inlineStr">
        <is>
          <t>연결</t>
        </is>
      </c>
      <c r="D1633" s="6" t="inlineStr">
        <is>
          <t>2026Q2</t>
        </is>
      </c>
      <c r="E1633" s="6" t="inlineStr"/>
      <c r="F1633" s="7" t="inlineStr"/>
      <c r="G1633" s="8" t="inlineStr"/>
      <c r="H1633" s="8" t="inlineStr"/>
      <c r="I1633" s="9" t="n">
        <v>204479</v>
      </c>
      <c r="J1633" s="10" t="n">
        <v>38084</v>
      </c>
      <c r="K1633" s="10" t="n">
        <v>33673</v>
      </c>
      <c r="L1633" s="7" t="n">
        <v>240513</v>
      </c>
      <c r="M1633" s="8" t="n">
        <v>26141</v>
      </c>
      <c r="N1633" s="8" t="n">
        <v>21466</v>
      </c>
      <c r="O1633" s="9" t="n">
        <v>200888</v>
      </c>
      <c r="P1633" s="10" t="n">
        <v>30970</v>
      </c>
      <c r="Q1633" s="10" t="n">
        <v>18063</v>
      </c>
      <c r="R1633" s="7" t="n">
        <v>389201</v>
      </c>
      <c r="S1633" s="8" t="n">
        <v>68034</v>
      </c>
      <c r="T1633" s="8" t="n">
        <v>69034</v>
      </c>
      <c r="U1633" s="9" t="n">
        <v>151819</v>
      </c>
      <c r="V1633" s="10" t="n">
        <v>14155</v>
      </c>
      <c r="W1633" s="10" t="n">
        <v>10314</v>
      </c>
      <c r="X1633" s="7" t="n">
        <v>113423</v>
      </c>
      <c r="Y1633" s="8" t="n">
        <v>22557</v>
      </c>
      <c r="Z1633" s="8" t="n">
        <v>7533</v>
      </c>
      <c r="AA1633" s="9" t="n">
        <v>107538</v>
      </c>
      <c r="AB1633" s="10" t="n">
        <v>13467</v>
      </c>
      <c r="AC1633" s="10" t="n">
        <v>12194</v>
      </c>
      <c r="AD1633" s="7" t="n">
        <v>372109</v>
      </c>
      <c r="AE1633" s="8" t="n">
        <v>45469</v>
      </c>
      <c r="AF1633" s="8" t="n">
        <v>39476</v>
      </c>
      <c r="AG1633" s="9" t="n">
        <v>101441</v>
      </c>
      <c r="AH1633" s="10" t="n">
        <v>8787</v>
      </c>
      <c r="AI1633" s="10" t="n">
        <v>20127</v>
      </c>
      <c r="AJ1633" s="11" t="n">
        <v>117574</v>
      </c>
      <c r="AK1633" s="12" t="n">
        <v>3697</v>
      </c>
      <c r="AL1633" s="12" t="n">
        <v>6979</v>
      </c>
      <c r="AM1633" s="13" t="n">
        <v>15.9</v>
      </c>
      <c r="AN1633" s="13" t="n">
        <v>3.7</v>
      </c>
      <c r="AO1633" s="13" t="n">
        <v>-57.9</v>
      </c>
      <c r="AP1633" s="13" t="n">
        <v>-83.59999999999999</v>
      </c>
    </row>
    <row r="1634">
      <c r="A1634" s="5" t="inlineStr">
        <is>
          <t>넥스트아이</t>
        </is>
      </c>
      <c r="B1634" s="6" t="inlineStr">
        <is>
          <t>137940</t>
        </is>
      </c>
      <c r="C1634" s="6" t="inlineStr">
        <is>
          <t>연결</t>
        </is>
      </c>
      <c r="D1634" s="6" t="inlineStr">
        <is>
          <t>2026Q2</t>
        </is>
      </c>
      <c r="E1634" s="6" t="inlineStr"/>
      <c r="F1634" s="7" t="inlineStr"/>
      <c r="G1634" s="8" t="inlineStr"/>
      <c r="H1634" s="8" t="inlineStr"/>
      <c r="I1634" s="9" t="n">
        <v>7169</v>
      </c>
      <c r="J1634" s="10" t="n">
        <v>-2717</v>
      </c>
      <c r="K1634" s="10" t="n">
        <v>-1366</v>
      </c>
      <c r="L1634" s="7" t="n">
        <v>30067</v>
      </c>
      <c r="M1634" s="8" t="n">
        <v>1507</v>
      </c>
      <c r="N1634" s="8" t="n">
        <v>-293</v>
      </c>
      <c r="O1634" s="9" t="n">
        <v>2423</v>
      </c>
      <c r="P1634" s="10" t="n">
        <v>-6148</v>
      </c>
      <c r="Q1634" s="10" t="n">
        <v>-5493</v>
      </c>
      <c r="R1634" s="7" t="n">
        <v>12376</v>
      </c>
      <c r="S1634" s="8" t="n">
        <v>1880</v>
      </c>
      <c r="T1634" s="8" t="n">
        <v>248</v>
      </c>
      <c r="U1634" s="9" t="n">
        <v>5767</v>
      </c>
      <c r="V1634" s="10" t="n">
        <v>-1776</v>
      </c>
      <c r="W1634" s="10" t="n">
        <v>1798</v>
      </c>
      <c r="X1634" s="7" t="n">
        <v>16405</v>
      </c>
      <c r="Y1634" s="8" t="n">
        <v>1866</v>
      </c>
      <c r="Z1634" s="8" t="n">
        <v>2324</v>
      </c>
      <c r="AA1634" s="9" t="n">
        <v>44125</v>
      </c>
      <c r="AB1634" s="10" t="n">
        <v>-18103</v>
      </c>
      <c r="AC1634" s="10" t="n">
        <v>-20105</v>
      </c>
      <c r="AD1634" s="7" t="n">
        <v>53766</v>
      </c>
      <c r="AE1634" s="8" t="n">
        <v>-17568</v>
      </c>
      <c r="AF1634" s="8" t="n">
        <v>-25341</v>
      </c>
      <c r="AG1634" s="9" t="n">
        <v>54152</v>
      </c>
      <c r="AH1634" s="10" t="n">
        <v>3559</v>
      </c>
      <c r="AI1634" s="10" t="n">
        <v>7786</v>
      </c>
      <c r="AJ1634" s="11" t="n">
        <v>65246</v>
      </c>
      <c r="AK1634" s="12" t="n">
        <v>-362</v>
      </c>
      <c r="AL1634" s="12" t="n">
        <v>783</v>
      </c>
      <c r="AM1634" s="13" t="n">
        <v>20.5</v>
      </c>
      <c r="AN1634" s="13" t="n">
        <v>297.7</v>
      </c>
      <c r="AO1634" s="13" t="n">
        <v>-110.2</v>
      </c>
      <c r="AP1634" s="13" t="n">
        <v>-119.4</v>
      </c>
    </row>
    <row r="1635">
      <c r="A1635" s="5" t="inlineStr">
        <is>
          <t>제이씨케미칼</t>
        </is>
      </c>
      <c r="B1635" s="6" t="inlineStr">
        <is>
          <t>137950</t>
        </is>
      </c>
      <c r="C1635" s="6" t="inlineStr">
        <is>
          <t>연결</t>
        </is>
      </c>
      <c r="D1635" s="6" t="inlineStr">
        <is>
          <t>2026Q2</t>
        </is>
      </c>
      <c r="E1635" s="6" t="inlineStr"/>
      <c r="F1635" s="7" t="inlineStr"/>
      <c r="G1635" s="8" t="inlineStr"/>
      <c r="H1635" s="8" t="inlineStr"/>
      <c r="I1635" s="9" t="n">
        <v>86087</v>
      </c>
      <c r="J1635" s="10" t="n">
        <v>1420</v>
      </c>
      <c r="K1635" s="10" t="n">
        <v>214</v>
      </c>
      <c r="L1635" s="7" t="n">
        <v>93986</v>
      </c>
      <c r="M1635" s="8" t="n">
        <v>2203</v>
      </c>
      <c r="N1635" s="8" t="n">
        <v>-2266</v>
      </c>
      <c r="O1635" s="9" t="n">
        <v>104872</v>
      </c>
      <c r="P1635" s="10" t="n">
        <v>2986</v>
      </c>
      <c r="Q1635" s="10" t="n">
        <v>7169</v>
      </c>
      <c r="R1635" s="7" t="n">
        <v>82375</v>
      </c>
      <c r="S1635" s="8" t="n">
        <v>4081</v>
      </c>
      <c r="T1635" s="8" t="n">
        <v>530</v>
      </c>
      <c r="U1635" s="9" t="n">
        <v>78298</v>
      </c>
      <c r="V1635" s="10" t="n">
        <v>2294</v>
      </c>
      <c r="W1635" s="10" t="n">
        <v>-2878</v>
      </c>
      <c r="X1635" s="7" t="n">
        <v>92176</v>
      </c>
      <c r="Y1635" s="8" t="n">
        <v>3963</v>
      </c>
      <c r="Z1635" s="8" t="n">
        <v>2095</v>
      </c>
      <c r="AA1635" s="9" t="n">
        <v>110830</v>
      </c>
      <c r="AB1635" s="10" t="n">
        <v>1840</v>
      </c>
      <c r="AC1635" s="10" t="n">
        <v>-644</v>
      </c>
      <c r="AD1635" s="7" t="n">
        <v>86238</v>
      </c>
      <c r="AE1635" s="8" t="n">
        <v>-379</v>
      </c>
      <c r="AF1635" s="8" t="n">
        <v>-3725</v>
      </c>
      <c r="AG1635" s="9" t="n">
        <v>121152</v>
      </c>
      <c r="AH1635" s="10" t="n">
        <v>1586</v>
      </c>
      <c r="AI1635" s="10" t="n">
        <v>1442</v>
      </c>
      <c r="AJ1635" s="11" t="n">
        <v>142806</v>
      </c>
      <c r="AK1635" s="12" t="n">
        <v>11455</v>
      </c>
      <c r="AL1635" s="12" t="n">
        <v>8755</v>
      </c>
      <c r="AM1635" s="13" t="n">
        <v>17.9</v>
      </c>
      <c r="AN1635" s="13" t="n">
        <v>54.9</v>
      </c>
      <c r="AO1635" s="13" t="n">
        <v>622.3</v>
      </c>
      <c r="AP1635" s="13" t="n">
        <v>189</v>
      </c>
    </row>
    <row r="1636">
      <c r="A1636" s="5" t="inlineStr">
        <is>
          <t>메리츠금융지주</t>
        </is>
      </c>
      <c r="B1636" s="6" t="inlineStr">
        <is>
          <t>138040</t>
        </is>
      </c>
      <c r="C1636" s="6" t="inlineStr">
        <is>
          <t>연결</t>
        </is>
      </c>
      <c r="D1636" s="6" t="inlineStr">
        <is>
          <t>2026Q2</t>
        </is>
      </c>
      <c r="E1636" s="6" t="inlineStr">
        <is>
          <t>2023Q4</t>
        </is>
      </c>
      <c r="F1636" s="14" t="n">
        <v>13279696</v>
      </c>
      <c r="G1636" s="15" t="n">
        <v>276457</v>
      </c>
      <c r="H1636" s="15" t="n">
        <v>110984</v>
      </c>
      <c r="I1636" s="9" t="n">
        <v>12563850</v>
      </c>
      <c r="J1636" s="10" t="n">
        <v>770786</v>
      </c>
      <c r="K1636" s="10" t="n">
        <v>591290</v>
      </c>
      <c r="L1636" s="7" t="n">
        <v>11222750</v>
      </c>
      <c r="M1636" s="8" t="n">
        <v>1005597</v>
      </c>
      <c r="N1636" s="8" t="n">
        <v>736173</v>
      </c>
      <c r="O1636" s="9" t="n">
        <v>10906898</v>
      </c>
      <c r="P1636" s="10" t="n">
        <v>901536</v>
      </c>
      <c r="Q1636" s="10" t="n">
        <v>656030</v>
      </c>
      <c r="R1636" s="7" t="n">
        <v>11881008</v>
      </c>
      <c r="S1636" s="8" t="n">
        <v>510970</v>
      </c>
      <c r="T1636" s="8" t="n">
        <v>349941</v>
      </c>
      <c r="U1636" s="9" t="n">
        <v>8230278</v>
      </c>
      <c r="V1636" s="10" t="n">
        <v>721743</v>
      </c>
      <c r="W1636" s="10" t="n">
        <v>620833</v>
      </c>
      <c r="X1636" s="7" t="n">
        <v>9351456</v>
      </c>
      <c r="Y1636" s="8" t="n">
        <v>949733</v>
      </c>
      <c r="Z1636" s="8" t="n">
        <v>737568</v>
      </c>
      <c r="AA1636" s="9" t="n">
        <v>7370496</v>
      </c>
      <c r="AB1636" s="10" t="n">
        <v>862313</v>
      </c>
      <c r="AC1636" s="10" t="n">
        <v>668390</v>
      </c>
      <c r="AD1636" s="14" t="n">
        <v>7969526</v>
      </c>
      <c r="AE1636" s="8" t="n">
        <v>338945</v>
      </c>
      <c r="AF1636" s="8" t="n">
        <v>323344</v>
      </c>
      <c r="AG1636" s="14" t="n">
        <v>12865744</v>
      </c>
      <c r="AH1636" s="10" t="n">
        <v>854829</v>
      </c>
      <c r="AI1636" s="10" t="n">
        <v>680229</v>
      </c>
      <c r="AJ1636" s="14" t="n">
        <v>16163062</v>
      </c>
      <c r="AK1636" s="12" t="n">
        <v>967554</v>
      </c>
      <c r="AL1636" s="12" t="n">
        <v>791372</v>
      </c>
      <c r="AM1636" s="13" t="n">
        <v>25.6</v>
      </c>
      <c r="AN1636" s="13" t="n">
        <v>72.8</v>
      </c>
      <c r="AO1636" s="13" t="n">
        <v>13.2</v>
      </c>
      <c r="AP1636" s="13" t="n">
        <v>1.9</v>
      </c>
    </row>
    <row r="1637">
      <c r="A1637" s="5" t="inlineStr">
        <is>
          <t>신진에스엠</t>
        </is>
      </c>
      <c r="B1637" s="6" t="inlineStr">
        <is>
          <t>138070</t>
        </is>
      </c>
      <c r="C1637" s="6" t="inlineStr">
        <is>
          <t>연결</t>
        </is>
      </c>
      <c r="D1637" s="6" t="inlineStr">
        <is>
          <t>2026Q2</t>
        </is>
      </c>
      <c r="E1637" s="6" t="inlineStr"/>
      <c r="F1637" s="7" t="inlineStr"/>
      <c r="G1637" s="8" t="inlineStr"/>
      <c r="H1637" s="8" t="inlineStr"/>
      <c r="I1637" s="9" t="n">
        <v>14533</v>
      </c>
      <c r="J1637" s="10" t="n">
        <v>481</v>
      </c>
      <c r="K1637" s="10" t="n">
        <v>308</v>
      </c>
      <c r="L1637" s="7" t="n">
        <v>14169</v>
      </c>
      <c r="M1637" s="8" t="n">
        <v>815</v>
      </c>
      <c r="N1637" s="8" t="n">
        <v>575</v>
      </c>
      <c r="O1637" s="9" t="n">
        <v>12727</v>
      </c>
      <c r="P1637" s="10" t="n">
        <v>251</v>
      </c>
      <c r="Q1637" s="10" t="n">
        <v>531</v>
      </c>
      <c r="R1637" s="7" t="n">
        <v>13197</v>
      </c>
      <c r="S1637" s="8" t="n">
        <v>-243</v>
      </c>
      <c r="T1637" s="8" t="n">
        <v>-686</v>
      </c>
      <c r="U1637" s="9" t="n">
        <v>13213</v>
      </c>
      <c r="V1637" s="10" t="n">
        <v>398</v>
      </c>
      <c r="W1637" s="10" t="n">
        <v>264</v>
      </c>
      <c r="X1637" s="7" t="n">
        <v>13597</v>
      </c>
      <c r="Y1637" s="8" t="n">
        <v>-304</v>
      </c>
      <c r="Z1637" s="8" t="n">
        <v>-407</v>
      </c>
      <c r="AA1637" s="9" t="n">
        <v>13901</v>
      </c>
      <c r="AB1637" s="10" t="n">
        <v>-28</v>
      </c>
      <c r="AC1637" s="10" t="n">
        <v>-29</v>
      </c>
      <c r="AD1637" s="7" t="n">
        <v>13725</v>
      </c>
      <c r="AE1637" s="8" t="n">
        <v>-449</v>
      </c>
      <c r="AF1637" s="8" t="n">
        <v>-240</v>
      </c>
      <c r="AG1637" s="9" t="n">
        <v>15228</v>
      </c>
      <c r="AH1637" s="10" t="n">
        <v>446</v>
      </c>
      <c r="AI1637" s="10" t="n">
        <v>338</v>
      </c>
      <c r="AJ1637" s="11" t="n">
        <v>16992</v>
      </c>
      <c r="AK1637" s="12" t="n">
        <v>1203</v>
      </c>
      <c r="AL1637" s="12" t="n">
        <v>1142</v>
      </c>
      <c r="AM1637" s="13" t="n">
        <v>11.6</v>
      </c>
      <c r="AN1637" s="13" t="n">
        <v>25</v>
      </c>
      <c r="AO1637" s="13" t="n">
        <v>169.7</v>
      </c>
      <c r="AP1637" s="13" t="n">
        <v>495.7</v>
      </c>
    </row>
    <row r="1638">
      <c r="A1638" s="5" t="inlineStr">
        <is>
          <t>오이솔루션</t>
        </is>
      </c>
      <c r="B1638" s="6" t="inlineStr">
        <is>
          <t>138080</t>
        </is>
      </c>
      <c r="C1638" s="6" t="inlineStr">
        <is>
          <t>연결</t>
        </is>
      </c>
      <c r="D1638" s="6" t="inlineStr">
        <is>
          <t>2026Q2</t>
        </is>
      </c>
      <c r="E1638" s="6" t="inlineStr"/>
      <c r="F1638" s="7" t="inlineStr"/>
      <c r="G1638" s="8" t="inlineStr"/>
      <c r="H1638" s="8" t="inlineStr"/>
      <c r="I1638" s="9" t="n">
        <v>8098</v>
      </c>
      <c r="J1638" s="10" t="n">
        <v>-7095</v>
      </c>
      <c r="K1638" s="10" t="n">
        <v>-5897</v>
      </c>
      <c r="L1638" s="7" t="n">
        <v>7493</v>
      </c>
      <c r="M1638" s="8" t="n">
        <v>-8441</v>
      </c>
      <c r="N1638" s="8" t="n">
        <v>-9050</v>
      </c>
      <c r="O1638" s="9" t="n">
        <v>7322</v>
      </c>
      <c r="P1638" s="10" t="n">
        <v>-9103</v>
      </c>
      <c r="Q1638" s="10" t="n">
        <v>-9193</v>
      </c>
      <c r="R1638" s="7" t="n">
        <v>9114</v>
      </c>
      <c r="S1638" s="8" t="n">
        <v>-5719</v>
      </c>
      <c r="T1638" s="8" t="n">
        <v>-8987</v>
      </c>
      <c r="U1638" s="9" t="n">
        <v>14069</v>
      </c>
      <c r="V1638" s="10" t="n">
        <v>-5687</v>
      </c>
      <c r="W1638" s="10" t="n">
        <v>-5876</v>
      </c>
      <c r="X1638" s="7" t="n">
        <v>15875</v>
      </c>
      <c r="Y1638" s="8" t="n">
        <v>-4009</v>
      </c>
      <c r="Z1638" s="8" t="n">
        <v>-4844</v>
      </c>
      <c r="AA1638" s="9" t="n">
        <v>13069</v>
      </c>
      <c r="AB1638" s="10" t="n">
        <v>-2920</v>
      </c>
      <c r="AC1638" s="10" t="n">
        <v>-3205</v>
      </c>
      <c r="AD1638" s="7" t="n">
        <v>14364</v>
      </c>
      <c r="AE1638" s="8" t="n">
        <v>-3383</v>
      </c>
      <c r="AF1638" s="8" t="n">
        <v>-13114</v>
      </c>
      <c r="AG1638" s="9" t="n">
        <v>18026</v>
      </c>
      <c r="AH1638" s="10" t="n">
        <v>-611</v>
      </c>
      <c r="AI1638" s="10" t="n">
        <v>1566</v>
      </c>
      <c r="AJ1638" s="11" t="n">
        <v>19652</v>
      </c>
      <c r="AK1638" s="12" t="n">
        <v>-870</v>
      </c>
      <c r="AL1638" s="12" t="n">
        <v>-2423</v>
      </c>
      <c r="AM1638" s="13" t="n">
        <v>9</v>
      </c>
      <c r="AN1638" s="13" t="n">
        <v>23.8</v>
      </c>
      <c r="AO1638" s="13" t="n">
        <v>-42.4</v>
      </c>
      <c r="AP1638" s="13" t="n">
        <v>78.3</v>
      </c>
    </row>
    <row r="1639">
      <c r="A1639" s="5" t="inlineStr">
        <is>
          <t>앤로보틱스</t>
        </is>
      </c>
      <c r="B1639" s="6" t="inlineStr">
        <is>
          <t>138360</t>
        </is>
      </c>
      <c r="C1639" s="6" t="inlineStr">
        <is>
          <t>별도</t>
        </is>
      </c>
      <c r="D1639" s="6" t="inlineStr">
        <is>
          <t>2026Q2</t>
        </is>
      </c>
      <c r="E1639" s="6" t="inlineStr"/>
      <c r="F1639" s="7" t="inlineStr"/>
      <c r="G1639" s="8" t="inlineStr"/>
      <c r="H1639" s="8" t="inlineStr"/>
      <c r="I1639" s="9" t="n">
        <v>892</v>
      </c>
      <c r="J1639" s="10" t="n">
        <v>-1099</v>
      </c>
      <c r="K1639" s="10" t="n">
        <v>-685</v>
      </c>
      <c r="L1639" s="7" t="n">
        <v>3528</v>
      </c>
      <c r="M1639" s="8" t="n">
        <v>-839</v>
      </c>
      <c r="N1639" s="8" t="n">
        <v>-1179</v>
      </c>
      <c r="O1639" s="9" t="n">
        <v>10343</v>
      </c>
      <c r="P1639" s="10" t="n">
        <v>916</v>
      </c>
      <c r="Q1639" s="10" t="n">
        <v>13105</v>
      </c>
      <c r="R1639" s="7" t="n">
        <v>6740</v>
      </c>
      <c r="S1639" s="8" t="n">
        <v>-150</v>
      </c>
      <c r="T1639" s="8" t="n">
        <v>-6628</v>
      </c>
      <c r="U1639" s="9" t="n">
        <v>1089</v>
      </c>
      <c r="V1639" s="10" t="n">
        <v>-1092</v>
      </c>
      <c r="W1639" s="10" t="n">
        <v>3038</v>
      </c>
      <c r="X1639" s="7" t="n">
        <v>4444</v>
      </c>
      <c r="Y1639" s="8" t="n">
        <v>-274</v>
      </c>
      <c r="Z1639" s="8" t="n">
        <v>1445</v>
      </c>
      <c r="AA1639" s="9" t="n">
        <v>11159</v>
      </c>
      <c r="AB1639" s="10" t="n">
        <v>2292</v>
      </c>
      <c r="AC1639" s="10" t="n">
        <v>1812</v>
      </c>
      <c r="AD1639" s="7" t="n">
        <v>6679</v>
      </c>
      <c r="AE1639" s="8" t="n">
        <v>-345</v>
      </c>
      <c r="AF1639" s="8" t="n">
        <v>567</v>
      </c>
      <c r="AG1639" s="9" t="n">
        <v>9045</v>
      </c>
      <c r="AH1639" s="10" t="n">
        <v>384</v>
      </c>
      <c r="AI1639" s="10" t="n">
        <v>5632</v>
      </c>
      <c r="AJ1639" s="11" t="n">
        <v>7712</v>
      </c>
      <c r="AK1639" s="12" t="n">
        <v>-8</v>
      </c>
      <c r="AL1639" s="12" t="n">
        <v>-202</v>
      </c>
      <c r="AM1639" s="13" t="n">
        <v>-14.7</v>
      </c>
      <c r="AN1639" s="13" t="n">
        <v>73.5</v>
      </c>
      <c r="AO1639" s="13" t="n">
        <v>-102.1</v>
      </c>
      <c r="AP1639" s="13" t="n">
        <v>97.09999999999999</v>
      </c>
    </row>
    <row r="1640">
      <c r="A1640" s="5" t="inlineStr">
        <is>
          <t>나이벡</t>
        </is>
      </c>
      <c r="B1640" s="6" t="inlineStr">
        <is>
          <t>138610</t>
        </is>
      </c>
      <c r="C1640" s="6" t="inlineStr">
        <is>
          <t>별도</t>
        </is>
      </c>
      <c r="D1640" s="6" t="inlineStr">
        <is>
          <t>2026Q2</t>
        </is>
      </c>
      <c r="E1640" s="6" t="inlineStr"/>
      <c r="F1640" s="7" t="inlineStr"/>
      <c r="G1640" s="8" t="inlineStr"/>
      <c r="H1640" s="8" t="inlineStr"/>
      <c r="I1640" s="9" t="n">
        <v>6427</v>
      </c>
      <c r="J1640" s="10" t="n">
        <v>316</v>
      </c>
      <c r="K1640" s="10" t="n">
        <v>234</v>
      </c>
      <c r="L1640" s="7" t="n">
        <v>5962</v>
      </c>
      <c r="M1640" s="8" t="n">
        <v>297</v>
      </c>
      <c r="N1640" s="8" t="n">
        <v>-906</v>
      </c>
      <c r="O1640" s="9" t="n">
        <v>5783</v>
      </c>
      <c r="P1640" s="10" t="n">
        <v>251</v>
      </c>
      <c r="Q1640" s="10" t="n">
        <v>-6027</v>
      </c>
      <c r="R1640" s="7" t="n">
        <v>6378</v>
      </c>
      <c r="S1640" s="8" t="n">
        <v>-5791</v>
      </c>
      <c r="T1640" s="8" t="n">
        <v>-2628</v>
      </c>
      <c r="U1640" s="9" t="n">
        <v>5616</v>
      </c>
      <c r="V1640" s="10" t="n">
        <v>-1222</v>
      </c>
      <c r="W1640" s="10" t="n">
        <v>-1507</v>
      </c>
      <c r="X1640" s="7" t="n">
        <v>15800</v>
      </c>
      <c r="Y1640" s="8" t="n">
        <v>8393</v>
      </c>
      <c r="Z1640" s="8" t="n">
        <v>7724</v>
      </c>
      <c r="AA1640" s="9" t="n">
        <v>5166</v>
      </c>
      <c r="AB1640" s="10" t="n">
        <v>-993</v>
      </c>
      <c r="AC1640" s="10" t="n">
        <v>-454</v>
      </c>
      <c r="AD1640" s="7" t="n">
        <v>6137</v>
      </c>
      <c r="AE1640" s="8" t="n">
        <v>-1152</v>
      </c>
      <c r="AF1640" s="8" t="n">
        <v>-1121</v>
      </c>
      <c r="AG1640" s="9" t="n">
        <v>5241</v>
      </c>
      <c r="AH1640" s="10" t="n">
        <v>137</v>
      </c>
      <c r="AI1640" s="10" t="n">
        <v>1149</v>
      </c>
      <c r="AJ1640" s="11" t="n">
        <v>6061</v>
      </c>
      <c r="AK1640" s="12" t="n">
        <v>103</v>
      </c>
      <c r="AL1640" s="12" t="n">
        <v>381</v>
      </c>
      <c r="AM1640" s="13" t="n">
        <v>15.6</v>
      </c>
      <c r="AN1640" s="13" t="n">
        <v>-61.6</v>
      </c>
      <c r="AO1640" s="13" t="n">
        <v>-24.8</v>
      </c>
      <c r="AP1640" s="13" t="n">
        <v>-98.8</v>
      </c>
    </row>
    <row r="1641">
      <c r="A1641" s="5" t="inlineStr">
        <is>
          <t>BNK금융지주</t>
        </is>
      </c>
      <c r="B1641" s="6" t="inlineStr">
        <is>
          <t>138930</t>
        </is>
      </c>
      <c r="C1641" s="6" t="inlineStr">
        <is>
          <t>연결</t>
        </is>
      </c>
      <c r="D1641" s="6" t="inlineStr">
        <is>
          <t>2026Q2</t>
        </is>
      </c>
      <c r="E1641" s="6" t="inlineStr">
        <is>
          <t>2023Q4</t>
        </is>
      </c>
      <c r="F1641" s="14" t="n">
        <v>2426755</v>
      </c>
      <c r="G1641" s="15" t="n">
        <v>-67681</v>
      </c>
      <c r="H1641" s="15" t="n">
        <v>-18657</v>
      </c>
      <c r="I1641" s="14" t="n">
        <v>298683</v>
      </c>
      <c r="J1641" s="10" t="n">
        <v>311477</v>
      </c>
      <c r="K1641" s="10" t="n">
        <v>254636</v>
      </c>
      <c r="L1641" s="14" t="n">
        <v>273051</v>
      </c>
      <c r="M1641" s="8" t="n">
        <v>294309</v>
      </c>
      <c r="N1641" s="8" t="n">
        <v>248233</v>
      </c>
      <c r="O1641" s="14" t="n">
        <v>295835</v>
      </c>
      <c r="P1641" s="10" t="n">
        <v>241535</v>
      </c>
      <c r="Q1641" s="10" t="n">
        <v>218410</v>
      </c>
      <c r="R1641" s="14" t="n">
        <v>2611847</v>
      </c>
      <c r="S1641" s="8" t="n">
        <v>28599</v>
      </c>
      <c r="T1641" s="8" t="n">
        <v>28697</v>
      </c>
      <c r="U1641" s="14" t="n">
        <v>370657</v>
      </c>
      <c r="V1641" s="10" t="n">
        <v>205841</v>
      </c>
      <c r="W1641" s="10" t="n">
        <v>171832</v>
      </c>
      <c r="X1641" s="14" t="n">
        <v>561483</v>
      </c>
      <c r="Y1641" s="8" t="n">
        <v>255856</v>
      </c>
      <c r="Z1641" s="8" t="n">
        <v>314483</v>
      </c>
      <c r="AA1641" s="14" t="n">
        <v>330645</v>
      </c>
      <c r="AB1641" s="10" t="n">
        <v>380399</v>
      </c>
      <c r="AC1641" s="10" t="n">
        <v>299535</v>
      </c>
      <c r="AD1641" s="14" t="n">
        <v>597920</v>
      </c>
      <c r="AE1641" s="8" t="n">
        <v>60585</v>
      </c>
      <c r="AF1641" s="8" t="n">
        <v>50307</v>
      </c>
      <c r="AG1641" s="14" t="n">
        <v>1120606</v>
      </c>
      <c r="AH1641" s="10" t="n">
        <v>283116</v>
      </c>
      <c r="AI1641" s="10" t="n">
        <v>216693</v>
      </c>
      <c r="AJ1641" s="14" t="n">
        <v>1331996</v>
      </c>
      <c r="AK1641" s="12" t="n">
        <v>235654</v>
      </c>
      <c r="AL1641" s="12" t="n">
        <v>205691</v>
      </c>
      <c r="AM1641" s="13" t="n">
        <v>18.9</v>
      </c>
      <c r="AN1641" s="13" t="n">
        <v>137.2</v>
      </c>
      <c r="AO1641" s="13" t="n">
        <v>-16.8</v>
      </c>
      <c r="AP1641" s="13" t="n">
        <v>-7.9</v>
      </c>
    </row>
    <row r="1642">
      <c r="A1642" s="5" t="inlineStr">
        <is>
          <t>iM금융지주</t>
        </is>
      </c>
      <c r="B1642" s="6" t="inlineStr">
        <is>
          <t>139130</t>
        </is>
      </c>
      <c r="C1642" s="6" t="inlineStr">
        <is>
          <t>연결</t>
        </is>
      </c>
      <c r="D1642" s="6" t="inlineStr">
        <is>
          <t>2026Q2</t>
        </is>
      </c>
      <c r="E1642" s="6" t="inlineStr">
        <is>
          <t>2023Q4</t>
        </is>
      </c>
      <c r="F1642" s="14" t="n">
        <v>1141684</v>
      </c>
      <c r="G1642" s="15" t="n">
        <v>17892</v>
      </c>
      <c r="H1642" s="15" t="n">
        <v>15980</v>
      </c>
      <c r="I1642" s="14" t="n">
        <v>550632</v>
      </c>
      <c r="J1642" s="10" t="n">
        <v>158510</v>
      </c>
      <c r="K1642" s="10" t="n">
        <v>112954</v>
      </c>
      <c r="L1642" s="14" t="n">
        <v>554233</v>
      </c>
      <c r="M1642" s="8" t="n">
        <v>33466</v>
      </c>
      <c r="N1642" s="8" t="n">
        <v>30774</v>
      </c>
      <c r="O1642" s="14" t="n">
        <v>1070266</v>
      </c>
      <c r="P1642" s="10" t="n">
        <v>113650</v>
      </c>
      <c r="Q1642" s="10" t="n">
        <v>100365</v>
      </c>
      <c r="R1642" s="14" t="n">
        <v>1246379</v>
      </c>
      <c r="S1642" s="8" t="n">
        <v>-42193</v>
      </c>
      <c r="T1642" s="8" t="n">
        <v>-42533</v>
      </c>
      <c r="U1642" s="14" t="n">
        <v>468877</v>
      </c>
      <c r="V1642" s="10" t="n">
        <v>209092</v>
      </c>
      <c r="W1642" s="10" t="n">
        <v>158663</v>
      </c>
      <c r="X1642" s="14" t="n">
        <v>716405</v>
      </c>
      <c r="Y1642" s="8" t="n">
        <v>198553</v>
      </c>
      <c r="Z1642" s="8" t="n">
        <v>159280</v>
      </c>
      <c r="AA1642" s="14" t="n">
        <v>426856</v>
      </c>
      <c r="AB1642" s="10" t="n">
        <v>155711</v>
      </c>
      <c r="AC1642" s="10" t="n">
        <v>125168</v>
      </c>
      <c r="AD1642" s="14" t="n">
        <v>1076043</v>
      </c>
      <c r="AE1642" s="8" t="n">
        <v>19885</v>
      </c>
      <c r="AF1642" s="8" t="n">
        <v>14375</v>
      </c>
      <c r="AG1642" s="14" t="n">
        <v>3357095</v>
      </c>
      <c r="AH1642" s="10" t="n">
        <v>193923</v>
      </c>
      <c r="AI1642" s="10" t="n">
        <v>158242</v>
      </c>
      <c r="AJ1642" s="14" t="n">
        <v>2578141</v>
      </c>
      <c r="AK1642" s="12" t="n">
        <v>182738</v>
      </c>
      <c r="AL1642" s="12" t="n">
        <v>144782</v>
      </c>
      <c r="AM1642" s="13" t="n">
        <v>-23.2</v>
      </c>
      <c r="AN1642" s="13" t="n">
        <v>259.9</v>
      </c>
      <c r="AO1642" s="13" t="n">
        <v>-5.8</v>
      </c>
      <c r="AP1642" s="13" t="n">
        <v>-8</v>
      </c>
    </row>
    <row r="1643">
      <c r="A1643" s="5" t="inlineStr">
        <is>
          <t>이마트</t>
        </is>
      </c>
      <c r="B1643" s="6" t="inlineStr">
        <is>
          <t>139480</t>
        </is>
      </c>
      <c r="C1643" s="6" t="inlineStr">
        <is>
          <t>연결</t>
        </is>
      </c>
      <c r="D1643" s="6" t="inlineStr">
        <is>
          <t>2026Q2</t>
        </is>
      </c>
      <c r="E1643" s="6" t="inlineStr">
        <is>
          <t>2023Q4</t>
        </is>
      </c>
      <c r="F1643" s="14" t="n">
        <v>7356100</v>
      </c>
      <c r="G1643" s="15" t="n">
        <v>-85500</v>
      </c>
      <c r="H1643" s="15" t="n">
        <v>-107100</v>
      </c>
      <c r="I1643" s="9" t="n">
        <v>7206713</v>
      </c>
      <c r="J1643" s="10" t="n">
        <v>47104</v>
      </c>
      <c r="K1643" s="10" t="n">
        <v>29378</v>
      </c>
      <c r="L1643" s="7" t="n">
        <v>7055986</v>
      </c>
      <c r="M1643" s="8" t="n">
        <v>-34636</v>
      </c>
      <c r="N1643" s="8" t="n">
        <v>-111889</v>
      </c>
      <c r="O1643" s="9" t="n">
        <v>7508473</v>
      </c>
      <c r="P1643" s="10" t="n">
        <v>111714</v>
      </c>
      <c r="Q1643" s="10" t="n">
        <v>105398</v>
      </c>
      <c r="R1643" s="7" t="n">
        <v>7249725</v>
      </c>
      <c r="S1643" s="8" t="n">
        <v>-77084</v>
      </c>
      <c r="T1643" s="8" t="n">
        <v>-596317</v>
      </c>
      <c r="U1643" s="9" t="n">
        <v>7218927</v>
      </c>
      <c r="V1643" s="10" t="n">
        <v>159319</v>
      </c>
      <c r="W1643" s="10" t="n">
        <v>83613</v>
      </c>
      <c r="X1643" s="7" t="n">
        <v>7038971</v>
      </c>
      <c r="Y1643" s="8" t="n">
        <v>21630</v>
      </c>
      <c r="Z1643" s="8" t="n">
        <v>-31362</v>
      </c>
      <c r="AA1643" s="9" t="n">
        <v>7400784</v>
      </c>
      <c r="AB1643" s="10" t="n">
        <v>151450</v>
      </c>
      <c r="AC1643" s="10" t="n">
        <v>310341</v>
      </c>
      <c r="AD1643" s="7" t="n">
        <v>7311706</v>
      </c>
      <c r="AE1643" s="8" t="n">
        <v>-9858</v>
      </c>
      <c r="AF1643" s="8" t="n">
        <v>-116253</v>
      </c>
      <c r="AG1643" s="9" t="n">
        <v>7123429</v>
      </c>
      <c r="AH1643" s="10" t="n">
        <v>178323</v>
      </c>
      <c r="AI1643" s="10" t="n">
        <v>79395</v>
      </c>
      <c r="AJ1643" s="11" t="n">
        <v>6915030</v>
      </c>
      <c r="AK1643" s="12" t="n">
        <v>-43038</v>
      </c>
      <c r="AL1643" s="12" t="n">
        <v>-136782</v>
      </c>
      <c r="AM1643" s="13" t="n">
        <v>-2.9</v>
      </c>
      <c r="AN1643" s="13" t="n">
        <v>-1.8</v>
      </c>
      <c r="AO1643" s="13" t="n">
        <v>-124.1</v>
      </c>
      <c r="AP1643" s="13" t="n">
        <v>-299</v>
      </c>
    </row>
    <row r="1644">
      <c r="A1644" s="5" t="inlineStr">
        <is>
          <t>키네마스터</t>
        </is>
      </c>
      <c r="B1644" s="6" t="inlineStr">
        <is>
          <t>139670</t>
        </is>
      </c>
      <c r="C1644" s="6" t="inlineStr">
        <is>
          <t>연결</t>
        </is>
      </c>
      <c r="D1644" s="6" t="inlineStr">
        <is>
          <t>2026Q2</t>
        </is>
      </c>
      <c r="E1644" s="6" t="inlineStr"/>
      <c r="F1644" s="7" t="inlineStr"/>
      <c r="G1644" s="8" t="inlineStr"/>
      <c r="H1644" s="8" t="inlineStr"/>
      <c r="I1644" s="9" t="n">
        <v>3274</v>
      </c>
      <c r="J1644" s="10" t="n">
        <v>51</v>
      </c>
      <c r="K1644" s="10" t="n">
        <v>1048</v>
      </c>
      <c r="L1644" s="7" t="n">
        <v>3469</v>
      </c>
      <c r="M1644" s="8" t="n">
        <v>286</v>
      </c>
      <c r="N1644" s="8" t="n">
        <v>1151</v>
      </c>
      <c r="O1644" s="9" t="n">
        <v>3235</v>
      </c>
      <c r="P1644" s="10" t="n">
        <v>94</v>
      </c>
      <c r="Q1644" s="10" t="n">
        <v>-609</v>
      </c>
      <c r="R1644" s="7" t="n">
        <v>3356</v>
      </c>
      <c r="S1644" s="8" t="n">
        <v>161</v>
      </c>
      <c r="T1644" s="8" t="n">
        <v>2807</v>
      </c>
      <c r="U1644" s="9" t="n">
        <v>3150</v>
      </c>
      <c r="V1644" s="10" t="n">
        <v>281</v>
      </c>
      <c r="W1644" s="10" t="n">
        <v>1817</v>
      </c>
      <c r="X1644" s="7" t="n">
        <v>3094</v>
      </c>
      <c r="Y1644" s="8" t="n">
        <v>121</v>
      </c>
      <c r="Z1644" s="8" t="n">
        <v>-433</v>
      </c>
      <c r="AA1644" s="9" t="n">
        <v>3001</v>
      </c>
      <c r="AB1644" s="10" t="n">
        <v>295</v>
      </c>
      <c r="AC1644" s="10" t="n">
        <v>2079</v>
      </c>
      <c r="AD1644" s="7" t="n">
        <v>3014</v>
      </c>
      <c r="AE1644" s="8" t="n">
        <v>228</v>
      </c>
      <c r="AF1644" s="8" t="n">
        <v>-48</v>
      </c>
      <c r="AG1644" s="9" t="n">
        <v>2835</v>
      </c>
      <c r="AH1644" s="10" t="n">
        <v>324</v>
      </c>
      <c r="AI1644" s="10" t="n">
        <v>2627</v>
      </c>
      <c r="AJ1644" s="11" t="n">
        <v>2719</v>
      </c>
      <c r="AK1644" s="12" t="n">
        <v>506</v>
      </c>
      <c r="AL1644" s="12" t="n">
        <v>2522</v>
      </c>
      <c r="AM1644" s="13" t="n">
        <v>-4.1</v>
      </c>
      <c r="AN1644" s="13" t="n">
        <v>-12.1</v>
      </c>
      <c r="AO1644" s="13" t="n">
        <v>56.2</v>
      </c>
      <c r="AP1644" s="13" t="n">
        <v>318.2</v>
      </c>
    </row>
    <row r="1645">
      <c r="A1645" s="5" t="inlineStr">
        <is>
          <t>아주스틸</t>
        </is>
      </c>
      <c r="B1645" s="6" t="inlineStr">
        <is>
          <t>139990</t>
        </is>
      </c>
      <c r="C1645" s="6" t="inlineStr">
        <is>
          <t>연결</t>
        </is>
      </c>
      <c r="D1645" s="6" t="inlineStr">
        <is>
          <t>2026Q2</t>
        </is>
      </c>
      <c r="E1645" s="6" t="inlineStr"/>
      <c r="F1645" s="7" t="inlineStr"/>
      <c r="G1645" s="8" t="inlineStr"/>
      <c r="H1645" s="8" t="inlineStr"/>
      <c r="I1645" s="9" t="n">
        <v>248870</v>
      </c>
      <c r="J1645" s="10" t="n">
        <v>2335</v>
      </c>
      <c r="K1645" s="10" t="n">
        <v>-3235</v>
      </c>
      <c r="L1645" s="7" t="n">
        <v>291473</v>
      </c>
      <c r="M1645" s="8" t="n">
        <v>-1445</v>
      </c>
      <c r="N1645" s="8" t="n">
        <v>-8792</v>
      </c>
      <c r="O1645" s="9" t="n">
        <v>224277</v>
      </c>
      <c r="P1645" s="10" t="n">
        <v>-27256</v>
      </c>
      <c r="Q1645" s="10" t="n">
        <v>-45646</v>
      </c>
      <c r="R1645" s="7" t="n">
        <v>235052</v>
      </c>
      <c r="S1645" s="8" t="n">
        <v>-16033</v>
      </c>
      <c r="T1645" s="8" t="n">
        <v>-64361</v>
      </c>
      <c r="U1645" s="9" t="n">
        <v>284683</v>
      </c>
      <c r="V1645" s="10" t="n">
        <v>-6756</v>
      </c>
      <c r="W1645" s="10" t="n">
        <v>-18083</v>
      </c>
      <c r="X1645" s="7" t="n">
        <v>270390</v>
      </c>
      <c r="Y1645" s="8" t="n">
        <v>-4817</v>
      </c>
      <c r="Z1645" s="8" t="n">
        <v>-6593</v>
      </c>
      <c r="AA1645" s="9" t="n">
        <v>248078</v>
      </c>
      <c r="AB1645" s="10" t="n">
        <v>5905</v>
      </c>
      <c r="AC1645" s="10" t="n">
        <v>4765</v>
      </c>
      <c r="AD1645" s="7" t="n">
        <v>282452</v>
      </c>
      <c r="AE1645" s="8" t="n">
        <v>-19898</v>
      </c>
      <c r="AF1645" s="8" t="n">
        <v>-21240</v>
      </c>
      <c r="AG1645" s="9" t="n">
        <v>263768</v>
      </c>
      <c r="AH1645" s="10" t="n">
        <v>-853</v>
      </c>
      <c r="AI1645" s="10" t="n">
        <v>-11262</v>
      </c>
      <c r="AJ1645" s="11" t="n">
        <v>294488</v>
      </c>
      <c r="AK1645" s="12" t="n">
        <v>1057</v>
      </c>
      <c r="AL1645" s="12" t="n">
        <v>-8769</v>
      </c>
      <c r="AM1645" s="13" t="n">
        <v>11.6</v>
      </c>
      <c r="AN1645" s="13" t="n">
        <v>8.9</v>
      </c>
      <c r="AO1645" s="13" t="n">
        <v>223.9</v>
      </c>
      <c r="AP1645" s="13" t="n">
        <v>121.9</v>
      </c>
    </row>
    <row r="1646">
      <c r="A1646" s="5" t="inlineStr">
        <is>
          <t>서플러스글로벌</t>
        </is>
      </c>
      <c r="B1646" s="6" t="inlineStr">
        <is>
          <t>140070</t>
        </is>
      </c>
      <c r="C1646" s="6" t="inlineStr">
        <is>
          <t>연결</t>
        </is>
      </c>
      <c r="D1646" s="6" t="inlineStr">
        <is>
          <t>2026Q2</t>
        </is>
      </c>
      <c r="E1646" s="6" t="inlineStr"/>
      <c r="F1646" s="7" t="inlineStr"/>
      <c r="G1646" s="8" t="inlineStr"/>
      <c r="H1646" s="8" t="inlineStr"/>
      <c r="I1646" s="9" t="n">
        <v>40330</v>
      </c>
      <c r="J1646" s="10" t="n">
        <v>1118</v>
      </c>
      <c r="K1646" s="10" t="n">
        <v>-1039</v>
      </c>
      <c r="L1646" s="7" t="n">
        <v>79295</v>
      </c>
      <c r="M1646" s="8" t="n">
        <v>9070</v>
      </c>
      <c r="N1646" s="8" t="n">
        <v>5019</v>
      </c>
      <c r="O1646" s="9" t="n">
        <v>66214</v>
      </c>
      <c r="P1646" s="10" t="n">
        <v>1617</v>
      </c>
      <c r="Q1646" s="10" t="n">
        <v>-508</v>
      </c>
      <c r="R1646" s="7" t="n">
        <v>65780</v>
      </c>
      <c r="S1646" s="8" t="n">
        <v>2352</v>
      </c>
      <c r="T1646" s="8" t="n">
        <v>1382</v>
      </c>
      <c r="U1646" s="9" t="n">
        <v>51894</v>
      </c>
      <c r="V1646" s="10" t="n">
        <v>-2974</v>
      </c>
      <c r="W1646" s="10" t="n">
        <v>-2997</v>
      </c>
      <c r="X1646" s="7" t="n">
        <v>51803</v>
      </c>
      <c r="Y1646" s="8" t="n">
        <v>1143</v>
      </c>
      <c r="Z1646" s="8" t="n">
        <v>998</v>
      </c>
      <c r="AA1646" s="9" t="n">
        <v>37260</v>
      </c>
      <c r="AB1646" s="10" t="n">
        <v>-5079</v>
      </c>
      <c r="AC1646" s="10" t="n">
        <v>-7568</v>
      </c>
      <c r="AD1646" s="7" t="n">
        <v>67454</v>
      </c>
      <c r="AE1646" s="8" t="n">
        <v>-4786</v>
      </c>
      <c r="AF1646" s="8" t="n">
        <v>-5037</v>
      </c>
      <c r="AG1646" s="9" t="n">
        <v>36612</v>
      </c>
      <c r="AH1646" s="10" t="n">
        <v>-4451</v>
      </c>
      <c r="AI1646" s="10" t="n">
        <v>-6947</v>
      </c>
      <c r="AJ1646" s="11" t="n">
        <v>38776</v>
      </c>
      <c r="AK1646" s="12" t="n">
        <v>-359</v>
      </c>
      <c r="AL1646" s="12" t="n">
        <v>-1703</v>
      </c>
      <c r="AM1646" s="13" t="n">
        <v>5.9</v>
      </c>
      <c r="AN1646" s="13" t="n">
        <v>-25.1</v>
      </c>
      <c r="AO1646" s="13" t="n">
        <v>91.90000000000001</v>
      </c>
      <c r="AP1646" s="13" t="n">
        <v>-131.4</v>
      </c>
    </row>
    <row r="1647">
      <c r="A1647" s="5" t="inlineStr">
        <is>
          <t>메지온</t>
        </is>
      </c>
      <c r="B1647" s="6" t="inlineStr">
        <is>
          <t>140410</t>
        </is>
      </c>
      <c r="C1647" s="6" t="inlineStr">
        <is>
          <t>연결</t>
        </is>
      </c>
      <c r="D1647" s="6" t="inlineStr">
        <is>
          <t>2026Q2</t>
        </is>
      </c>
      <c r="E1647" s="6" t="inlineStr"/>
      <c r="F1647" s="7" t="inlineStr"/>
      <c r="G1647" s="8" t="inlineStr"/>
      <c r="H1647" s="8" t="inlineStr"/>
      <c r="I1647" s="9" t="inlineStr"/>
      <c r="J1647" s="10" t="n">
        <v>-4066</v>
      </c>
      <c r="K1647" s="10" t="inlineStr"/>
      <c r="L1647" s="7" t="n">
        <v>2269</v>
      </c>
      <c r="M1647" s="8" t="n">
        <v>-4599</v>
      </c>
      <c r="N1647" s="8" t="n">
        <v>-1618</v>
      </c>
      <c r="O1647" s="9" t="inlineStr"/>
      <c r="P1647" s="10" t="n">
        <v>-1658</v>
      </c>
      <c r="Q1647" s="10" t="inlineStr"/>
      <c r="R1647" s="7" t="inlineStr"/>
      <c r="S1647" s="8" t="n">
        <v>-3977</v>
      </c>
      <c r="T1647" s="8" t="inlineStr"/>
      <c r="U1647" s="9" t="inlineStr"/>
      <c r="V1647" s="10" t="n">
        <v>-3518</v>
      </c>
      <c r="W1647" s="10" t="inlineStr"/>
      <c r="X1647" s="7" t="n">
        <v>1744</v>
      </c>
      <c r="Y1647" s="8" t="n">
        <v>-3548</v>
      </c>
      <c r="Z1647" s="8" t="n">
        <v>-1850</v>
      </c>
      <c r="AA1647" s="9" t="inlineStr"/>
      <c r="AB1647" s="10" t="n">
        <v>-4652</v>
      </c>
      <c r="AC1647" s="10" t="inlineStr"/>
      <c r="AD1647" s="7" t="inlineStr"/>
      <c r="AE1647" s="8" t="n">
        <v>-5051</v>
      </c>
      <c r="AF1647" s="8" t="inlineStr"/>
      <c r="AG1647" s="9" t="inlineStr"/>
      <c r="AH1647" s="10" t="n">
        <v>-4563</v>
      </c>
      <c r="AI1647" s="10" t="inlineStr"/>
      <c r="AJ1647" s="11" t="n">
        <v>2201</v>
      </c>
      <c r="AK1647" s="12" t="n">
        <v>-4541</v>
      </c>
      <c r="AL1647" s="12" t="n">
        <v>7685</v>
      </c>
      <c r="AM1647" s="13" t="inlineStr"/>
      <c r="AN1647" s="13" t="n">
        <v>26.2</v>
      </c>
      <c r="AO1647" s="13" t="n">
        <v>0.5</v>
      </c>
      <c r="AP1647" s="13" t="n">
        <v>-28</v>
      </c>
    </row>
    <row r="1648">
      <c r="A1648" s="5" t="inlineStr">
        <is>
          <t>카티스</t>
        </is>
      </c>
      <c r="B1648" s="6" t="inlineStr">
        <is>
          <t>140430</t>
        </is>
      </c>
      <c r="C1648" s="6" t="inlineStr">
        <is>
          <t>별도</t>
        </is>
      </c>
      <c r="D1648" s="6" t="inlineStr">
        <is>
          <t>2026Q2</t>
        </is>
      </c>
      <c r="E1648" s="6" t="inlineStr"/>
      <c r="F1648" s="7" t="inlineStr"/>
      <c r="G1648" s="8" t="inlineStr"/>
      <c r="H1648" s="8" t="inlineStr"/>
      <c r="I1648" s="9" t="n">
        <v>1918</v>
      </c>
      <c r="J1648" s="10" t="n">
        <v>-1411</v>
      </c>
      <c r="K1648" s="10" t="n">
        <v>-1535</v>
      </c>
      <c r="L1648" s="7" t="n">
        <v>7855</v>
      </c>
      <c r="M1648" s="8" t="n">
        <v>-57</v>
      </c>
      <c r="N1648" s="8" t="n">
        <v>-7422</v>
      </c>
      <c r="O1648" s="9" t="n">
        <v>7842</v>
      </c>
      <c r="P1648" s="10" t="n">
        <v>-476</v>
      </c>
      <c r="Q1648" s="10" t="n">
        <v>-434</v>
      </c>
      <c r="R1648" s="7" t="n">
        <v>14058</v>
      </c>
      <c r="S1648" s="8" t="n">
        <v>3538</v>
      </c>
      <c r="T1648" s="8" t="n">
        <v>4303</v>
      </c>
      <c r="U1648" s="9" t="n">
        <v>7041</v>
      </c>
      <c r="V1648" s="10" t="n">
        <v>-895</v>
      </c>
      <c r="W1648" s="10" t="n">
        <v>-932</v>
      </c>
      <c r="X1648" s="7" t="n">
        <v>7027</v>
      </c>
      <c r="Y1648" s="8" t="n">
        <v>-624</v>
      </c>
      <c r="Z1648" s="8" t="n">
        <v>-673</v>
      </c>
      <c r="AA1648" s="9" t="n">
        <v>4463</v>
      </c>
      <c r="AB1648" s="10" t="n">
        <v>-587</v>
      </c>
      <c r="AC1648" s="10" t="n">
        <v>-685</v>
      </c>
      <c r="AD1648" s="7" t="n">
        <v>9370</v>
      </c>
      <c r="AE1648" s="8" t="n">
        <v>1569</v>
      </c>
      <c r="AF1648" s="8" t="n">
        <v>1938</v>
      </c>
      <c r="AG1648" s="9" t="n">
        <v>2427</v>
      </c>
      <c r="AH1648" s="10" t="n">
        <v>-1420</v>
      </c>
      <c r="AI1648" s="10" t="n">
        <v>-1197</v>
      </c>
      <c r="AJ1648" s="11" t="n">
        <v>6924</v>
      </c>
      <c r="AK1648" s="12" t="n">
        <v>-61</v>
      </c>
      <c r="AL1648" s="12" t="n">
        <v>689</v>
      </c>
      <c r="AM1648" s="13" t="n">
        <v>185.3</v>
      </c>
      <c r="AN1648" s="13" t="n">
        <v>-1.5</v>
      </c>
      <c r="AO1648" s="13" t="n">
        <v>95.7</v>
      </c>
      <c r="AP1648" s="13" t="n">
        <v>90.2</v>
      </c>
    </row>
    <row r="1649">
      <c r="A1649" s="5" t="inlineStr">
        <is>
          <t>대창스틸</t>
        </is>
      </c>
      <c r="B1649" s="6" t="inlineStr">
        <is>
          <t>140520</t>
        </is>
      </c>
      <c r="C1649" s="6" t="inlineStr">
        <is>
          <t>연결</t>
        </is>
      </c>
      <c r="D1649" s="6" t="inlineStr">
        <is>
          <t>2026Q2</t>
        </is>
      </c>
      <c r="E1649" s="6" t="inlineStr"/>
      <c r="F1649" s="7" t="inlineStr"/>
      <c r="G1649" s="8" t="inlineStr"/>
      <c r="H1649" s="8" t="inlineStr"/>
      <c r="I1649" s="9" t="n">
        <v>105971</v>
      </c>
      <c r="J1649" s="10" t="n">
        <v>1510</v>
      </c>
      <c r="K1649" s="10" t="n">
        <v>1000</v>
      </c>
      <c r="L1649" s="7" t="n">
        <v>103775</v>
      </c>
      <c r="M1649" s="8" t="n">
        <v>-149</v>
      </c>
      <c r="N1649" s="8" t="n">
        <v>-1029</v>
      </c>
      <c r="O1649" s="9" t="n">
        <v>86454</v>
      </c>
      <c r="P1649" s="10" t="n">
        <v>213</v>
      </c>
      <c r="Q1649" s="10" t="n">
        <v>413</v>
      </c>
      <c r="R1649" s="7" t="n">
        <v>106249</v>
      </c>
      <c r="S1649" s="8" t="n">
        <v>1392</v>
      </c>
      <c r="T1649" s="8" t="n">
        <v>379</v>
      </c>
      <c r="U1649" s="9" t="n">
        <v>95995</v>
      </c>
      <c r="V1649" s="10" t="n">
        <v>751</v>
      </c>
      <c r="W1649" s="10" t="n">
        <v>1234</v>
      </c>
      <c r="X1649" s="7" t="n">
        <v>104708</v>
      </c>
      <c r="Y1649" s="8" t="n">
        <v>-907</v>
      </c>
      <c r="Z1649" s="8" t="n">
        <v>-2495</v>
      </c>
      <c r="AA1649" s="9" t="n">
        <v>97471</v>
      </c>
      <c r="AB1649" s="10" t="n">
        <v>1617</v>
      </c>
      <c r="AC1649" s="10" t="n">
        <v>2166</v>
      </c>
      <c r="AD1649" s="7" t="n">
        <v>100400</v>
      </c>
      <c r="AE1649" s="8" t="n">
        <v>1894</v>
      </c>
      <c r="AF1649" s="8" t="n">
        <v>1951</v>
      </c>
      <c r="AG1649" s="9" t="n">
        <v>103022</v>
      </c>
      <c r="AH1649" s="10" t="n">
        <v>-9</v>
      </c>
      <c r="AI1649" s="10" t="n">
        <v>415</v>
      </c>
      <c r="AJ1649" s="11" t="n">
        <v>125313</v>
      </c>
      <c r="AK1649" s="12" t="n">
        <v>3231</v>
      </c>
      <c r="AL1649" s="12" t="n">
        <v>1988</v>
      </c>
      <c r="AM1649" s="13" t="n">
        <v>21.6</v>
      </c>
      <c r="AN1649" s="13" t="n">
        <v>19.7</v>
      </c>
      <c r="AO1649" s="13" t="n">
        <v>36000</v>
      </c>
      <c r="AP1649" s="13" t="n">
        <v>456.2</v>
      </c>
    </row>
    <row r="1650">
      <c r="A1650" s="5" t="inlineStr">
        <is>
          <t>알에스오토메이션</t>
        </is>
      </c>
      <c r="B1650" s="6" t="inlineStr">
        <is>
          <t>140670</t>
        </is>
      </c>
      <c r="C1650" s="6" t="inlineStr">
        <is>
          <t>연결</t>
        </is>
      </c>
      <c r="D1650" s="6" t="inlineStr">
        <is>
          <t>2026Q2</t>
        </is>
      </c>
      <c r="E1650" s="6" t="inlineStr"/>
      <c r="F1650" s="7" t="inlineStr"/>
      <c r="G1650" s="8" t="inlineStr"/>
      <c r="H1650" s="8" t="inlineStr"/>
      <c r="I1650" s="9" t="n">
        <v>16198</v>
      </c>
      <c r="J1650" s="10" t="n">
        <v>-1559</v>
      </c>
      <c r="K1650" s="10" t="n">
        <v>-1711</v>
      </c>
      <c r="L1650" s="7" t="n">
        <v>16890</v>
      </c>
      <c r="M1650" s="8" t="n">
        <v>-1705</v>
      </c>
      <c r="N1650" s="8" t="n">
        <v>-3283</v>
      </c>
      <c r="O1650" s="9" t="n">
        <v>19690</v>
      </c>
      <c r="P1650" s="10" t="n">
        <v>-260</v>
      </c>
      <c r="Q1650" s="10" t="n">
        <v>-659</v>
      </c>
      <c r="R1650" s="7" t="n">
        <v>23990</v>
      </c>
      <c r="S1650" s="8" t="n">
        <v>-189</v>
      </c>
      <c r="T1650" s="8" t="n">
        <v>-3425</v>
      </c>
      <c r="U1650" s="9" t="n">
        <v>13109</v>
      </c>
      <c r="V1650" s="10" t="n">
        <v>-1106</v>
      </c>
      <c r="W1650" s="10" t="n">
        <v>-1254</v>
      </c>
      <c r="X1650" s="7" t="n">
        <v>16754</v>
      </c>
      <c r="Y1650" s="8" t="n">
        <v>-789</v>
      </c>
      <c r="Z1650" s="8" t="n">
        <v>-1060</v>
      </c>
      <c r="AA1650" s="9" t="n">
        <v>17361</v>
      </c>
      <c r="AB1650" s="10" t="n">
        <v>-426</v>
      </c>
      <c r="AC1650" s="10" t="n">
        <v>-506</v>
      </c>
      <c r="AD1650" s="7" t="n">
        <v>19814</v>
      </c>
      <c r="AE1650" s="8" t="n">
        <v>-1240</v>
      </c>
      <c r="AF1650" s="8" t="n">
        <v>-1165</v>
      </c>
      <c r="AG1650" s="9" t="n">
        <v>16611</v>
      </c>
      <c r="AH1650" s="10" t="n">
        <v>-1120</v>
      </c>
      <c r="AI1650" s="10" t="n">
        <v>-852</v>
      </c>
      <c r="AJ1650" s="11" t="n">
        <v>18316</v>
      </c>
      <c r="AK1650" s="12" t="n">
        <v>-1449</v>
      </c>
      <c r="AL1650" s="12" t="n">
        <v>-889</v>
      </c>
      <c r="AM1650" s="13" t="n">
        <v>10.3</v>
      </c>
      <c r="AN1650" s="13" t="n">
        <v>9.300000000000001</v>
      </c>
      <c r="AO1650" s="13" t="n">
        <v>-29.4</v>
      </c>
      <c r="AP1650" s="13" t="n">
        <v>-83.7</v>
      </c>
    </row>
    <row r="1651">
      <c r="A1651" s="5" t="inlineStr">
        <is>
          <t>파크시스템스</t>
        </is>
      </c>
      <c r="B1651" s="6" t="inlineStr">
        <is>
          <t>140860</t>
        </is>
      </c>
      <c r="C1651" s="6" t="inlineStr">
        <is>
          <t>연결</t>
        </is>
      </c>
      <c r="D1651" s="6" t="inlineStr">
        <is>
          <t>2026Q2</t>
        </is>
      </c>
      <c r="E1651" s="6" t="inlineStr">
        <is>
          <t>2023Q4</t>
        </is>
      </c>
      <c r="F1651" s="14" t="n">
        <v>45947</v>
      </c>
      <c r="G1651" s="15" t="n">
        <v>9722</v>
      </c>
      <c r="H1651" s="8" t="inlineStr"/>
      <c r="I1651" s="9" t="n">
        <v>25664</v>
      </c>
      <c r="J1651" s="10" t="n">
        <v>510</v>
      </c>
      <c r="K1651" s="10" t="n">
        <v>2727</v>
      </c>
      <c r="L1651" s="7" t="n">
        <v>44697</v>
      </c>
      <c r="M1651" s="8" t="n">
        <v>12695</v>
      </c>
      <c r="N1651" s="8" t="n">
        <v>13385</v>
      </c>
      <c r="O1651" s="9" t="n">
        <v>41374</v>
      </c>
      <c r="P1651" s="10" t="n">
        <v>8748</v>
      </c>
      <c r="Q1651" s="10" t="n">
        <v>6343</v>
      </c>
      <c r="R1651" s="7" t="n">
        <v>63325</v>
      </c>
      <c r="S1651" s="8" t="n">
        <v>16577</v>
      </c>
      <c r="T1651" s="8" t="n">
        <v>20349</v>
      </c>
      <c r="U1651" s="9" t="n">
        <v>50910</v>
      </c>
      <c r="V1651" s="10" t="n">
        <v>13150</v>
      </c>
      <c r="W1651" s="10" t="n">
        <v>14954</v>
      </c>
      <c r="X1651" s="7" t="n">
        <v>52309</v>
      </c>
      <c r="Y1651" s="8" t="n">
        <v>11967</v>
      </c>
      <c r="Z1651" s="8" t="n">
        <v>4048</v>
      </c>
      <c r="AA1651" s="9" t="n">
        <v>45621</v>
      </c>
      <c r="AB1651" s="10" t="n">
        <v>8634</v>
      </c>
      <c r="AC1651" s="10" t="n">
        <v>9676</v>
      </c>
      <c r="AD1651" s="7" t="n">
        <v>56773</v>
      </c>
      <c r="AE1651" s="8" t="n">
        <v>8440</v>
      </c>
      <c r="AF1651" s="8" t="n">
        <v>5798</v>
      </c>
      <c r="AG1651" s="9" t="n">
        <v>39361</v>
      </c>
      <c r="AH1651" s="10" t="n">
        <v>2098</v>
      </c>
      <c r="AI1651" s="10" t="n">
        <v>5127</v>
      </c>
      <c r="AJ1651" s="11" t="n">
        <v>53039</v>
      </c>
      <c r="AK1651" s="12" t="n">
        <v>4217</v>
      </c>
      <c r="AL1651" s="12" t="n">
        <v>2593</v>
      </c>
      <c r="AM1651" s="13" t="n">
        <v>34.8</v>
      </c>
      <c r="AN1651" s="13" t="n">
        <v>1.4</v>
      </c>
      <c r="AO1651" s="13" t="n">
        <v>101</v>
      </c>
      <c r="AP1651" s="13" t="n">
        <v>-64.8</v>
      </c>
    </row>
    <row r="1652">
      <c r="A1652" s="5" t="inlineStr">
        <is>
          <t>비아트론</t>
        </is>
      </c>
      <c r="B1652" s="6" t="inlineStr">
        <is>
          <t>141000</t>
        </is>
      </c>
      <c r="C1652" s="6" t="inlineStr">
        <is>
          <t>연결</t>
        </is>
      </c>
      <c r="D1652" s="6" t="inlineStr">
        <is>
          <t>2026Q2</t>
        </is>
      </c>
      <c r="E1652" s="6" t="inlineStr"/>
      <c r="F1652" s="7" t="inlineStr"/>
      <c r="G1652" s="8" t="inlineStr"/>
      <c r="H1652" s="8" t="inlineStr"/>
      <c r="I1652" s="9" t="n">
        <v>1645</v>
      </c>
      <c r="J1652" s="10" t="n">
        <v>-2431</v>
      </c>
      <c r="K1652" s="10" t="n">
        <v>1413</v>
      </c>
      <c r="L1652" s="7" t="n">
        <v>10404</v>
      </c>
      <c r="M1652" s="8" t="n">
        <v>1896</v>
      </c>
      <c r="N1652" s="8" t="n">
        <v>3015</v>
      </c>
      <c r="O1652" s="9" t="n">
        <v>28423</v>
      </c>
      <c r="P1652" s="10" t="n">
        <v>5952</v>
      </c>
      <c r="Q1652" s="10" t="n">
        <v>2667</v>
      </c>
      <c r="R1652" s="7" t="n">
        <v>17563</v>
      </c>
      <c r="S1652" s="8" t="n">
        <v>1341</v>
      </c>
      <c r="T1652" s="8" t="n">
        <v>6294</v>
      </c>
      <c r="U1652" s="9" t="n">
        <v>26132</v>
      </c>
      <c r="V1652" s="10" t="n">
        <v>8379</v>
      </c>
      <c r="W1652" s="10" t="n">
        <v>7296</v>
      </c>
      <c r="X1652" s="7" t="n">
        <v>22459</v>
      </c>
      <c r="Y1652" s="8" t="n">
        <v>2898</v>
      </c>
      <c r="Z1652" s="8" t="n">
        <v>-984</v>
      </c>
      <c r="AA1652" s="9" t="n">
        <v>3873</v>
      </c>
      <c r="AB1652" s="10" t="n">
        <v>-2515</v>
      </c>
      <c r="AC1652" s="10" t="n">
        <v>58</v>
      </c>
      <c r="AD1652" s="7" t="n">
        <v>12655</v>
      </c>
      <c r="AE1652" s="8" t="n">
        <v>418</v>
      </c>
      <c r="AF1652" s="8" t="n">
        <v>4053</v>
      </c>
      <c r="AG1652" s="9" t="n">
        <v>15554</v>
      </c>
      <c r="AH1652" s="10" t="n">
        <v>-1972</v>
      </c>
      <c r="AI1652" s="10" t="n">
        <v>1164</v>
      </c>
      <c r="AJ1652" s="11" t="n">
        <v>25666</v>
      </c>
      <c r="AK1652" s="12" t="n">
        <v>3490</v>
      </c>
      <c r="AL1652" s="12" t="n">
        <v>4875</v>
      </c>
      <c r="AM1652" s="13" t="n">
        <v>65</v>
      </c>
      <c r="AN1652" s="13" t="n">
        <v>14.3</v>
      </c>
      <c r="AO1652" s="13" t="n">
        <v>277</v>
      </c>
      <c r="AP1652" s="13" t="n">
        <v>20.4</v>
      </c>
    </row>
    <row r="1653">
      <c r="A1653" s="5" t="inlineStr">
        <is>
          <t>리가켐바이오</t>
        </is>
      </c>
      <c r="B1653" s="6" t="inlineStr">
        <is>
          <t>141080</t>
        </is>
      </c>
      <c r="C1653" s="6" t="inlineStr">
        <is>
          <t>연결</t>
        </is>
      </c>
      <c r="D1653" s="6" t="inlineStr">
        <is>
          <t>2026Q2</t>
        </is>
      </c>
      <c r="E1653" s="6" t="inlineStr"/>
      <c r="F1653" s="7" t="inlineStr"/>
      <c r="G1653" s="8" t="inlineStr"/>
      <c r="H1653" s="8" t="inlineStr"/>
      <c r="I1653" s="9" t="n">
        <v>31056</v>
      </c>
      <c r="J1653" s="10" t="n">
        <v>2861</v>
      </c>
      <c r="K1653" s="10" t="n">
        <v>9415</v>
      </c>
      <c r="L1653" s="7" t="n">
        <v>30754</v>
      </c>
      <c r="M1653" s="8" t="n">
        <v>-10590</v>
      </c>
      <c r="N1653" s="8" t="n">
        <v>-7445</v>
      </c>
      <c r="O1653" s="9" t="n">
        <v>30420</v>
      </c>
      <c r="P1653" s="10" t="n">
        <v>517</v>
      </c>
      <c r="Q1653" s="10" t="n">
        <v>11250</v>
      </c>
      <c r="R1653" s="7" t="n">
        <v>33668</v>
      </c>
      <c r="S1653" s="8" t="n">
        <v>-13701</v>
      </c>
      <c r="T1653" s="8" t="n">
        <v>-5420</v>
      </c>
      <c r="U1653" s="9" t="n">
        <v>51576</v>
      </c>
      <c r="V1653" s="10" t="n">
        <v>11378</v>
      </c>
      <c r="W1653" s="10" t="n">
        <v>26473</v>
      </c>
      <c r="X1653" s="7" t="n">
        <v>32617</v>
      </c>
      <c r="Y1653" s="8" t="n">
        <v>-21550</v>
      </c>
      <c r="Z1653" s="8" t="n">
        <v>-38084</v>
      </c>
      <c r="AA1653" s="9" t="n">
        <v>41410</v>
      </c>
      <c r="AB1653" s="10" t="n">
        <v>-23196</v>
      </c>
      <c r="AC1653" s="10" t="n">
        <v>-15339</v>
      </c>
      <c r="AD1653" s="7" t="n">
        <v>15950</v>
      </c>
      <c r="AE1653" s="8" t="n">
        <v>-73118</v>
      </c>
      <c r="AF1653" s="8" t="n">
        <v>-64602</v>
      </c>
      <c r="AG1653" s="9" t="n">
        <v>35888</v>
      </c>
      <c r="AH1653" s="10" t="n">
        <v>-37418</v>
      </c>
      <c r="AI1653" s="10" t="n">
        <v>-33306</v>
      </c>
      <c r="AJ1653" s="11" t="n">
        <v>5533</v>
      </c>
      <c r="AK1653" s="12" t="n">
        <v>-71977</v>
      </c>
      <c r="AL1653" s="12" t="n">
        <v>-68118</v>
      </c>
      <c r="AM1653" s="13" t="n">
        <v>-84.59999999999999</v>
      </c>
      <c r="AN1653" s="13" t="n">
        <v>-83</v>
      </c>
      <c r="AO1653" s="13" t="n">
        <v>-92.40000000000001</v>
      </c>
      <c r="AP1653" s="13" t="n">
        <v>-234</v>
      </c>
    </row>
    <row r="1654">
      <c r="A1654" s="5" t="inlineStr">
        <is>
          <t>유니트론텍</t>
        </is>
      </c>
      <c r="B1654" s="6" t="inlineStr">
        <is>
          <t>142210</t>
        </is>
      </c>
      <c r="C1654" s="6" t="inlineStr">
        <is>
          <t>연결</t>
        </is>
      </c>
      <c r="D1654" s="6" t="inlineStr">
        <is>
          <t>2026Q2</t>
        </is>
      </c>
      <c r="E1654" s="6" t="inlineStr"/>
      <c r="F1654" s="7" t="inlineStr"/>
      <c r="G1654" s="8" t="inlineStr"/>
      <c r="H1654" s="8" t="inlineStr"/>
      <c r="I1654" s="9" t="n">
        <v>176751</v>
      </c>
      <c r="J1654" s="10" t="n">
        <v>8364</v>
      </c>
      <c r="K1654" s="10" t="n">
        <v>5327</v>
      </c>
      <c r="L1654" s="7" t="n">
        <v>191940</v>
      </c>
      <c r="M1654" s="8" t="n">
        <v>9552</v>
      </c>
      <c r="N1654" s="8" t="n">
        <v>7711</v>
      </c>
      <c r="O1654" s="9" t="n">
        <v>164473</v>
      </c>
      <c r="P1654" s="10" t="n">
        <v>4677</v>
      </c>
      <c r="Q1654" s="10" t="n">
        <v>-52</v>
      </c>
      <c r="R1654" s="7" t="n">
        <v>179125</v>
      </c>
      <c r="S1654" s="8" t="n">
        <v>13534</v>
      </c>
      <c r="T1654" s="8" t="n">
        <v>6725</v>
      </c>
      <c r="U1654" s="9" t="n">
        <v>172562</v>
      </c>
      <c r="V1654" s="10" t="n">
        <v>9983</v>
      </c>
      <c r="W1654" s="10" t="n">
        <v>5737</v>
      </c>
      <c r="X1654" s="7" t="n">
        <v>205327</v>
      </c>
      <c r="Y1654" s="8" t="n">
        <v>3592</v>
      </c>
      <c r="Z1654" s="8" t="n">
        <v>-4838</v>
      </c>
      <c r="AA1654" s="9" t="n">
        <v>192437</v>
      </c>
      <c r="AB1654" s="10" t="n">
        <v>6883</v>
      </c>
      <c r="AC1654" s="10" t="n">
        <v>5624</v>
      </c>
      <c r="AD1654" s="7" t="n">
        <v>198648</v>
      </c>
      <c r="AE1654" s="8" t="n">
        <v>11811</v>
      </c>
      <c r="AF1654" s="8" t="n">
        <v>5311</v>
      </c>
      <c r="AG1654" s="9" t="n">
        <v>220306</v>
      </c>
      <c r="AH1654" s="10" t="n">
        <v>18440</v>
      </c>
      <c r="AI1654" s="10" t="n">
        <v>16471</v>
      </c>
      <c r="AJ1654" s="11" t="n">
        <v>340100</v>
      </c>
      <c r="AK1654" s="12" t="n">
        <v>38540</v>
      </c>
      <c r="AL1654" s="12" t="n">
        <v>17783</v>
      </c>
      <c r="AM1654" s="13" t="n">
        <v>54.4</v>
      </c>
      <c r="AN1654" s="13" t="n">
        <v>65.59999999999999</v>
      </c>
      <c r="AO1654" s="13" t="n">
        <v>109</v>
      </c>
      <c r="AP1654" s="13" t="n">
        <v>972.9</v>
      </c>
    </row>
    <row r="1655">
      <c r="A1655" s="5" t="inlineStr">
        <is>
          <t>녹십자엠에스</t>
        </is>
      </c>
      <c r="B1655" s="6" t="inlineStr">
        <is>
          <t>142280</t>
        </is>
      </c>
      <c r="C1655" s="6" t="inlineStr">
        <is>
          <t>연결</t>
        </is>
      </c>
      <c r="D1655" s="6" t="inlineStr">
        <is>
          <t>2026Q2</t>
        </is>
      </c>
      <c r="E1655" s="6" t="inlineStr">
        <is>
          <t>2023Q4</t>
        </is>
      </c>
      <c r="F1655" s="14" t="n">
        <v>23616</v>
      </c>
      <c r="G1655" s="15" t="n">
        <v>-47</v>
      </c>
      <c r="H1655" s="15" t="n">
        <v>-1133</v>
      </c>
      <c r="I1655" s="9" t="n">
        <v>23699</v>
      </c>
      <c r="J1655" s="10" t="n">
        <v>77</v>
      </c>
      <c r="K1655" s="10" t="n">
        <v>1256</v>
      </c>
      <c r="L1655" s="7" t="n">
        <v>25478</v>
      </c>
      <c r="M1655" s="8" t="n">
        <v>354</v>
      </c>
      <c r="N1655" s="8" t="n">
        <v>-174</v>
      </c>
      <c r="O1655" s="9" t="n">
        <v>26923</v>
      </c>
      <c r="P1655" s="10" t="n">
        <v>931</v>
      </c>
      <c r="Q1655" s="10" t="n">
        <v>179</v>
      </c>
      <c r="R1655" s="7" t="n">
        <v>27752</v>
      </c>
      <c r="S1655" s="8" t="n">
        <v>973</v>
      </c>
      <c r="T1655" s="8" t="n">
        <v>2135</v>
      </c>
      <c r="U1655" s="9" t="n">
        <v>26482</v>
      </c>
      <c r="V1655" s="10" t="n">
        <v>495</v>
      </c>
      <c r="W1655" s="10" t="n">
        <v>-727</v>
      </c>
      <c r="X1655" s="7" t="n">
        <v>30438</v>
      </c>
      <c r="Y1655" s="8" t="n">
        <v>1058</v>
      </c>
      <c r="Z1655" s="8" t="n">
        <v>2413</v>
      </c>
      <c r="AA1655" s="9" t="n">
        <v>26446</v>
      </c>
      <c r="AB1655" s="10" t="n">
        <v>944</v>
      </c>
      <c r="AC1655" s="10" t="n">
        <v>1443</v>
      </c>
      <c r="AD1655" s="7" t="n">
        <v>25047</v>
      </c>
      <c r="AE1655" s="8" t="n">
        <v>390</v>
      </c>
      <c r="AF1655" s="8" t="n">
        <v>332</v>
      </c>
      <c r="AG1655" s="9" t="n">
        <v>23551</v>
      </c>
      <c r="AH1655" s="10" t="n">
        <v>292</v>
      </c>
      <c r="AI1655" s="10" t="n">
        <v>221</v>
      </c>
      <c r="AJ1655" s="11" t="n">
        <v>27113</v>
      </c>
      <c r="AK1655" s="12" t="n">
        <v>743</v>
      </c>
      <c r="AL1655" s="12" t="n">
        <v>-4028</v>
      </c>
      <c r="AM1655" s="13" t="n">
        <v>15.1</v>
      </c>
      <c r="AN1655" s="13" t="n">
        <v>-10.9</v>
      </c>
      <c r="AO1655" s="13" t="n">
        <v>154.5</v>
      </c>
      <c r="AP1655" s="13" t="n">
        <v>-29.8</v>
      </c>
    </row>
    <row r="1656">
      <c r="A1656" s="5" t="inlineStr">
        <is>
          <t>모아라이프플러스</t>
        </is>
      </c>
      <c r="B1656" s="6" t="inlineStr">
        <is>
          <t>142760</t>
        </is>
      </c>
      <c r="C1656" s="6" t="inlineStr">
        <is>
          <t>연결</t>
        </is>
      </c>
      <c r="D1656" s="6" t="inlineStr">
        <is>
          <t>2026Q2</t>
        </is>
      </c>
      <c r="E1656" s="6" t="inlineStr"/>
      <c r="F1656" s="7" t="inlineStr"/>
      <c r="G1656" s="8" t="inlineStr"/>
      <c r="H1656" s="8" t="inlineStr"/>
      <c r="I1656" s="9" t="n">
        <v>4938</v>
      </c>
      <c r="J1656" s="10" t="n">
        <v>-1594</v>
      </c>
      <c r="K1656" s="10" t="n">
        <v>-3428</v>
      </c>
      <c r="L1656" s="7" t="n">
        <v>3954</v>
      </c>
      <c r="M1656" s="8" t="n">
        <v>305</v>
      </c>
      <c r="N1656" s="8" t="n">
        <v>930</v>
      </c>
      <c r="O1656" s="9" t="n">
        <v>3542</v>
      </c>
      <c r="P1656" s="10" t="n">
        <v>-603</v>
      </c>
      <c r="Q1656" s="10" t="n">
        <v>-1653</v>
      </c>
      <c r="R1656" s="7" t="n">
        <v>3196</v>
      </c>
      <c r="S1656" s="8" t="n">
        <v>-3647</v>
      </c>
      <c r="T1656" s="8" t="n">
        <v>-2821</v>
      </c>
      <c r="U1656" s="9" t="n">
        <v>3095</v>
      </c>
      <c r="V1656" s="10" t="n">
        <v>-1075</v>
      </c>
      <c r="W1656" s="10" t="n">
        <v>-1350</v>
      </c>
      <c r="X1656" s="7" t="n">
        <v>2328</v>
      </c>
      <c r="Y1656" s="8" t="n">
        <v>-1184</v>
      </c>
      <c r="Z1656" s="8" t="n">
        <v>-7006</v>
      </c>
      <c r="AA1656" s="9" t="n">
        <v>1182</v>
      </c>
      <c r="AB1656" s="10" t="n">
        <v>-1470</v>
      </c>
      <c r="AC1656" s="10" t="n">
        <v>-709</v>
      </c>
      <c r="AD1656" s="7" t="n">
        <v>4611</v>
      </c>
      <c r="AE1656" s="8" t="n">
        <v>-2802</v>
      </c>
      <c r="AF1656" s="8" t="n">
        <v>-3986</v>
      </c>
      <c r="AG1656" s="9" t="n">
        <v>2331</v>
      </c>
      <c r="AH1656" s="10" t="n">
        <v>-1357</v>
      </c>
      <c r="AI1656" s="10" t="n">
        <v>-1108</v>
      </c>
      <c r="AJ1656" s="11" t="n">
        <v>2336</v>
      </c>
      <c r="AK1656" s="12" t="n">
        <v>-1234</v>
      </c>
      <c r="AL1656" s="12" t="n">
        <v>-7907</v>
      </c>
      <c r="AM1656" s="13" t="n">
        <v>0.2</v>
      </c>
      <c r="AN1656" s="13" t="n">
        <v>0.3</v>
      </c>
      <c r="AO1656" s="13" t="n">
        <v>9.1</v>
      </c>
      <c r="AP1656" s="13" t="n">
        <v>-4.2</v>
      </c>
    </row>
    <row r="1657">
      <c r="A1657" s="5" t="inlineStr">
        <is>
          <t>아이디스</t>
        </is>
      </c>
      <c r="B1657" s="6" t="inlineStr">
        <is>
          <t>143160</t>
        </is>
      </c>
      <c r="C1657" s="6" t="inlineStr">
        <is>
          <t>연결</t>
        </is>
      </c>
      <c r="D1657" s="6" t="inlineStr">
        <is>
          <t>2026Q2</t>
        </is>
      </c>
      <c r="E1657" s="6" t="inlineStr"/>
      <c r="F1657" s="7" t="inlineStr"/>
      <c r="G1657" s="8" t="inlineStr"/>
      <c r="H1657" s="8" t="inlineStr"/>
      <c r="I1657" s="9" t="n">
        <v>77712</v>
      </c>
      <c r="J1657" s="10" t="n">
        <v>4484</v>
      </c>
      <c r="K1657" s="10" t="n">
        <v>5940</v>
      </c>
      <c r="L1657" s="7" t="n">
        <v>74510</v>
      </c>
      <c r="M1657" s="8" t="n">
        <v>3852</v>
      </c>
      <c r="N1657" s="8" t="n">
        <v>6868</v>
      </c>
      <c r="O1657" s="9" t="n">
        <v>83441</v>
      </c>
      <c r="P1657" s="10" t="n">
        <v>6701</v>
      </c>
      <c r="Q1657" s="10" t="n">
        <v>5060</v>
      </c>
      <c r="R1657" s="7" t="n">
        <v>77983</v>
      </c>
      <c r="S1657" s="8" t="n">
        <v>1050</v>
      </c>
      <c r="T1657" s="8" t="n">
        <v>-4999</v>
      </c>
      <c r="U1657" s="9" t="n">
        <v>80686</v>
      </c>
      <c r="V1657" s="10" t="n">
        <v>4417</v>
      </c>
      <c r="W1657" s="10" t="n">
        <v>4909</v>
      </c>
      <c r="X1657" s="7" t="n">
        <v>79935</v>
      </c>
      <c r="Y1657" s="8" t="n">
        <v>4906</v>
      </c>
      <c r="Z1657" s="8" t="n">
        <v>3428</v>
      </c>
      <c r="AA1657" s="9" t="n">
        <v>77978</v>
      </c>
      <c r="AB1657" s="10" t="n">
        <v>5451</v>
      </c>
      <c r="AC1657" s="10" t="n">
        <v>6980</v>
      </c>
      <c r="AD1657" s="7" t="n">
        <v>88997</v>
      </c>
      <c r="AE1657" s="8" t="n">
        <v>6468</v>
      </c>
      <c r="AF1657" s="8" t="n">
        <v>7983</v>
      </c>
      <c r="AG1657" s="9" t="n">
        <v>78807</v>
      </c>
      <c r="AH1657" s="10" t="n">
        <v>3405</v>
      </c>
      <c r="AI1657" s="10" t="n">
        <v>5680</v>
      </c>
      <c r="AJ1657" s="11" t="n">
        <v>83751</v>
      </c>
      <c r="AK1657" s="12" t="n">
        <v>8555</v>
      </c>
      <c r="AL1657" s="12" t="n">
        <v>6077</v>
      </c>
      <c r="AM1657" s="13" t="n">
        <v>6.3</v>
      </c>
      <c r="AN1657" s="13" t="n">
        <v>4.8</v>
      </c>
      <c r="AO1657" s="13" t="n">
        <v>151.2</v>
      </c>
      <c r="AP1657" s="13" t="n">
        <v>74.40000000000001</v>
      </c>
    </row>
    <row r="1658">
      <c r="A1658" s="5" t="inlineStr">
        <is>
          <t>핸즈코퍼레이션</t>
        </is>
      </c>
      <c r="B1658" s="6" t="inlineStr">
        <is>
          <t>143210</t>
        </is>
      </c>
      <c r="C1658" s="6" t="inlineStr">
        <is>
          <t>연결</t>
        </is>
      </c>
      <c r="D1658" s="6" t="inlineStr">
        <is>
          <t>2026Q2</t>
        </is>
      </c>
      <c r="E1658" s="6" t="inlineStr">
        <is>
          <t>2023Q4</t>
        </is>
      </c>
      <c r="F1658" s="14" t="n">
        <v>177122</v>
      </c>
      <c r="G1658" s="15" t="n">
        <v>-21296</v>
      </c>
      <c r="H1658" s="15" t="n">
        <v>-17871</v>
      </c>
      <c r="I1658" s="9" t="n">
        <v>197573</v>
      </c>
      <c r="J1658" s="10" t="n">
        <v>-10074</v>
      </c>
      <c r="K1658" s="10" t="n">
        <v>-16810</v>
      </c>
      <c r="L1658" s="7" t="n">
        <v>197956</v>
      </c>
      <c r="M1658" s="8" t="n">
        <v>-18925</v>
      </c>
      <c r="N1658" s="8" t="n">
        <v>-33622</v>
      </c>
      <c r="O1658" s="9" t="n">
        <v>171041</v>
      </c>
      <c r="P1658" s="10" t="n">
        <v>-12212</v>
      </c>
      <c r="Q1658" s="10" t="n">
        <v>-12194</v>
      </c>
      <c r="R1658" s="7" t="n">
        <v>197866</v>
      </c>
      <c r="S1658" s="8" t="n">
        <v>-5268</v>
      </c>
      <c r="T1658" s="8" t="n">
        <v>-59501</v>
      </c>
      <c r="U1658" s="9" t="n">
        <v>211755</v>
      </c>
      <c r="V1658" s="10" t="n">
        <v>248</v>
      </c>
      <c r="W1658" s="10" t="n">
        <v>-3590</v>
      </c>
      <c r="X1658" s="7" t="n">
        <v>208534</v>
      </c>
      <c r="Y1658" s="8" t="n">
        <v>-8269</v>
      </c>
      <c r="Z1658" s="8" t="n">
        <v>3083</v>
      </c>
      <c r="AA1658" s="9" t="n">
        <v>179319</v>
      </c>
      <c r="AB1658" s="10" t="n">
        <v>-20258</v>
      </c>
      <c r="AC1658" s="10" t="n">
        <v>-33040</v>
      </c>
      <c r="AD1658" s="7" t="n">
        <v>185143</v>
      </c>
      <c r="AE1658" s="8" t="n">
        <v>-10458</v>
      </c>
      <c r="AF1658" s="8" t="n">
        <v>-55211</v>
      </c>
      <c r="AG1658" s="9" t="n">
        <v>180551</v>
      </c>
      <c r="AH1658" s="10" t="n">
        <v>-9054</v>
      </c>
      <c r="AI1658" s="10" t="n">
        <v>-32246</v>
      </c>
      <c r="AJ1658" s="11" t="n">
        <v>156779</v>
      </c>
      <c r="AK1658" s="12" t="n">
        <v>9519</v>
      </c>
      <c r="AL1658" s="12" t="n">
        <v>23</v>
      </c>
      <c r="AM1658" s="13" t="n">
        <v>-13.2</v>
      </c>
      <c r="AN1658" s="13" t="n">
        <v>-24.8</v>
      </c>
      <c r="AO1658" s="13" t="n">
        <v>205.1</v>
      </c>
      <c r="AP1658" s="13" t="n">
        <v>215.1</v>
      </c>
    </row>
    <row r="1659">
      <c r="A1659" s="5" t="inlineStr">
        <is>
          <t>사람인</t>
        </is>
      </c>
      <c r="B1659" s="6" t="inlineStr">
        <is>
          <t>143240</t>
        </is>
      </c>
      <c r="C1659" s="6" t="inlineStr">
        <is>
          <t>연결</t>
        </is>
      </c>
      <c r="D1659" s="6" t="inlineStr">
        <is>
          <t>2026Q2</t>
        </is>
      </c>
      <c r="E1659" s="6" t="inlineStr">
        <is>
          <t>2023Q4</t>
        </is>
      </c>
      <c r="F1659" s="14" t="n">
        <v>31887</v>
      </c>
      <c r="G1659" s="15" t="n">
        <v>2925</v>
      </c>
      <c r="H1659" s="15" t="n">
        <v>42</v>
      </c>
      <c r="I1659" s="14" t="n">
        <v>30782</v>
      </c>
      <c r="J1659" s="10" t="n">
        <v>5277</v>
      </c>
      <c r="K1659" s="10" t="n">
        <v>4067</v>
      </c>
      <c r="L1659" s="7" t="inlineStr"/>
      <c r="M1659" s="8" t="n">
        <v>6577</v>
      </c>
      <c r="N1659" s="8" t="n">
        <v>5323</v>
      </c>
      <c r="O1659" s="9" t="inlineStr"/>
      <c r="P1659" s="10" t="n">
        <v>6470</v>
      </c>
      <c r="Q1659" s="10" t="n">
        <v>4942</v>
      </c>
      <c r="R1659" s="14" t="n">
        <v>31466</v>
      </c>
      <c r="S1659" s="8" t="n">
        <v>2940</v>
      </c>
      <c r="T1659" s="8" t="n">
        <v>-1984</v>
      </c>
      <c r="U1659" s="9" t="inlineStr"/>
      <c r="V1659" s="10" t="n">
        <v>1964</v>
      </c>
      <c r="W1659" s="10" t="n">
        <v>1406</v>
      </c>
      <c r="X1659" s="7" t="inlineStr"/>
      <c r="Y1659" s="8" t="n">
        <v>4987</v>
      </c>
      <c r="Z1659" s="8" t="n">
        <v>4121</v>
      </c>
      <c r="AA1659" s="9" t="inlineStr"/>
      <c r="AB1659" s="10" t="n">
        <v>5768</v>
      </c>
      <c r="AC1659" s="10" t="n">
        <v>7321</v>
      </c>
      <c r="AD1659" s="7" t="inlineStr"/>
      <c r="AE1659" s="8" t="n">
        <v>4056</v>
      </c>
      <c r="AF1659" s="8" t="n">
        <v>78923</v>
      </c>
      <c r="AG1659" s="9" t="n">
        <v>28293</v>
      </c>
      <c r="AH1659" s="10" t="n">
        <v>4269</v>
      </c>
      <c r="AI1659" s="10" t="n">
        <v>5021</v>
      </c>
      <c r="AJ1659" s="11" t="n">
        <v>35192</v>
      </c>
      <c r="AK1659" s="12" t="n">
        <v>6443</v>
      </c>
      <c r="AL1659" s="12" t="n">
        <v>6749</v>
      </c>
      <c r="AM1659" s="13" t="n">
        <v>24.4</v>
      </c>
      <c r="AN1659" s="13" t="inlineStr"/>
      <c r="AO1659" s="13" t="n">
        <v>50.9</v>
      </c>
      <c r="AP1659" s="13" t="n">
        <v>29.2</v>
      </c>
    </row>
    <row r="1660">
      <c r="A1660" s="5" t="inlineStr">
        <is>
          <t>영우디에스피</t>
        </is>
      </c>
      <c r="B1660" s="6" t="inlineStr">
        <is>
          <t>143540</t>
        </is>
      </c>
      <c r="C1660" s="6" t="inlineStr">
        <is>
          <t>연결</t>
        </is>
      </c>
      <c r="D1660" s="6" t="inlineStr">
        <is>
          <t>2026Q2</t>
        </is>
      </c>
      <c r="E1660" s="6" t="inlineStr"/>
      <c r="F1660" s="7" t="inlineStr"/>
      <c r="G1660" s="8" t="inlineStr"/>
      <c r="H1660" s="8" t="inlineStr"/>
      <c r="I1660" s="9" t="n">
        <v>5652</v>
      </c>
      <c r="J1660" s="10" t="n">
        <v>-1562</v>
      </c>
      <c r="K1660" s="10" t="n">
        <v>-965</v>
      </c>
      <c r="L1660" s="7" t="n">
        <v>24781</v>
      </c>
      <c r="M1660" s="8" t="n">
        <v>-74</v>
      </c>
      <c r="N1660" s="8" t="n">
        <v>156</v>
      </c>
      <c r="O1660" s="9" t="n">
        <v>7382</v>
      </c>
      <c r="P1660" s="10" t="n">
        <v>-1951</v>
      </c>
      <c r="Q1660" s="10" t="n">
        <v>-3161</v>
      </c>
      <c r="R1660" s="7" t="n">
        <v>21251</v>
      </c>
      <c r="S1660" s="8" t="n">
        <v>-1387</v>
      </c>
      <c r="T1660" s="8" t="n">
        <v>27</v>
      </c>
      <c r="U1660" s="9" t="n">
        <v>8119</v>
      </c>
      <c r="V1660" s="10" t="n">
        <v>-170</v>
      </c>
      <c r="W1660" s="10" t="n">
        <v>-518</v>
      </c>
      <c r="X1660" s="7" t="n">
        <v>18504</v>
      </c>
      <c r="Y1660" s="8" t="n">
        <v>-136</v>
      </c>
      <c r="Z1660" s="8" t="n">
        <v>659</v>
      </c>
      <c r="AA1660" s="9" t="n">
        <v>19394</v>
      </c>
      <c r="AB1660" s="10" t="n">
        <v>1060</v>
      </c>
      <c r="AC1660" s="10" t="n">
        <v>423</v>
      </c>
      <c r="AD1660" s="7" t="n">
        <v>34487</v>
      </c>
      <c r="AE1660" s="8" t="n">
        <v>5153</v>
      </c>
      <c r="AF1660" s="8" t="n">
        <v>4993</v>
      </c>
      <c r="AG1660" s="9" t="n">
        <v>23350</v>
      </c>
      <c r="AH1660" s="10" t="n">
        <v>3544</v>
      </c>
      <c r="AI1660" s="10" t="n">
        <v>4225</v>
      </c>
      <c r="AJ1660" s="11" t="n">
        <v>16558</v>
      </c>
      <c r="AK1660" s="12" t="n">
        <v>130</v>
      </c>
      <c r="AL1660" s="12" t="n">
        <v>626</v>
      </c>
      <c r="AM1660" s="13" t="n">
        <v>-29.1</v>
      </c>
      <c r="AN1660" s="13" t="n">
        <v>-10.5</v>
      </c>
      <c r="AO1660" s="13" t="n">
        <v>-96.3</v>
      </c>
      <c r="AP1660" s="13" t="n">
        <v>195.6</v>
      </c>
    </row>
    <row r="1661">
      <c r="A1661" s="5" t="inlineStr">
        <is>
          <t>지씨셀</t>
        </is>
      </c>
      <c r="B1661" s="6" t="inlineStr">
        <is>
          <t>144510</t>
        </is>
      </c>
      <c r="C1661" s="6" t="inlineStr">
        <is>
          <t>연결</t>
        </is>
      </c>
      <c r="D1661" s="6" t="inlineStr">
        <is>
          <t>2026Q2</t>
        </is>
      </c>
      <c r="E1661" s="6" t="inlineStr">
        <is>
          <t>2023Q4</t>
        </is>
      </c>
      <c r="F1661" s="14" t="n">
        <v>52516</v>
      </c>
      <c r="G1661" s="15" t="n">
        <v>3725</v>
      </c>
      <c r="H1661" s="15" t="n">
        <v>2317</v>
      </c>
      <c r="I1661" s="9" t="n">
        <v>41084</v>
      </c>
      <c r="J1661" s="10" t="n">
        <v>-5260</v>
      </c>
      <c r="K1661" s="10" t="n">
        <v>-9823</v>
      </c>
      <c r="L1661" s="7" t="n">
        <v>45406</v>
      </c>
      <c r="M1661" s="8" t="n">
        <v>-2719</v>
      </c>
      <c r="N1661" s="8" t="n">
        <v>-6404</v>
      </c>
      <c r="O1661" s="9" t="n">
        <v>45350</v>
      </c>
      <c r="P1661" s="10" t="n">
        <v>-2720</v>
      </c>
      <c r="Q1661" s="10" t="n">
        <v>9943</v>
      </c>
      <c r="R1661" s="7" t="n">
        <v>42611</v>
      </c>
      <c r="S1661" s="8" t="n">
        <v>-9300</v>
      </c>
      <c r="T1661" s="8" t="n">
        <v>-69453</v>
      </c>
      <c r="U1661" s="9" t="n">
        <v>39549</v>
      </c>
      <c r="V1661" s="10" t="n">
        <v>-5695</v>
      </c>
      <c r="W1661" s="10" t="n">
        <v>-17899</v>
      </c>
      <c r="X1661" s="7" t="n">
        <v>42954</v>
      </c>
      <c r="Y1661" s="8" t="n">
        <v>-3375</v>
      </c>
      <c r="Z1661" s="8" t="n">
        <v>-9532</v>
      </c>
      <c r="AA1661" s="9" t="n">
        <v>45017</v>
      </c>
      <c r="AB1661" s="10" t="n">
        <v>-397</v>
      </c>
      <c r="AC1661" s="10" t="n">
        <v>-2421</v>
      </c>
      <c r="AD1661" s="7" t="n">
        <v>38003</v>
      </c>
      <c r="AE1661" s="8" t="n">
        <v>-4327</v>
      </c>
      <c r="AF1661" s="8" t="n">
        <v>-243675</v>
      </c>
      <c r="AG1661" s="9" t="n">
        <v>37373</v>
      </c>
      <c r="AH1661" s="10" t="n">
        <v>-5114</v>
      </c>
      <c r="AI1661" s="10" t="n">
        <v>-2942</v>
      </c>
      <c r="AJ1661" s="11" t="n">
        <v>41604</v>
      </c>
      <c r="AK1661" s="12" t="n">
        <v>-1009</v>
      </c>
      <c r="AL1661" s="12" t="n">
        <v>2175</v>
      </c>
      <c r="AM1661" s="13" t="n">
        <v>11.3</v>
      </c>
      <c r="AN1661" s="13" t="n">
        <v>-3.1</v>
      </c>
      <c r="AO1661" s="13" t="n">
        <v>80.3</v>
      </c>
      <c r="AP1661" s="13" t="n">
        <v>70.09999999999999</v>
      </c>
    </row>
    <row r="1662">
      <c r="A1662" s="5" t="inlineStr">
        <is>
          <t>뉴파워프라즈마</t>
        </is>
      </c>
      <c r="B1662" s="6" t="inlineStr">
        <is>
          <t>144960</t>
        </is>
      </c>
      <c r="C1662" s="6" t="inlineStr">
        <is>
          <t>연결</t>
        </is>
      </c>
      <c r="D1662" s="6" t="inlineStr">
        <is>
          <t>2026Q2</t>
        </is>
      </c>
      <c r="E1662" s="6" t="inlineStr"/>
      <c r="F1662" s="7" t="inlineStr"/>
      <c r="G1662" s="8" t="inlineStr"/>
      <c r="H1662" s="8" t="inlineStr"/>
      <c r="I1662" s="9" t="n">
        <v>105486</v>
      </c>
      <c r="J1662" s="10" t="n">
        <v>5234</v>
      </c>
      <c r="K1662" s="10" t="n">
        <v>1246</v>
      </c>
      <c r="L1662" s="7" t="n">
        <v>141004</v>
      </c>
      <c r="M1662" s="8" t="n">
        <v>14166</v>
      </c>
      <c r="N1662" s="8" t="n">
        <v>17486</v>
      </c>
      <c r="O1662" s="9" t="n">
        <v>128571</v>
      </c>
      <c r="P1662" s="10" t="n">
        <v>3321</v>
      </c>
      <c r="Q1662" s="10" t="n">
        <v>-8168</v>
      </c>
      <c r="R1662" s="7" t="n">
        <v>144775</v>
      </c>
      <c r="S1662" s="8" t="n">
        <v>3407</v>
      </c>
      <c r="T1662" s="8" t="n">
        <v>11724</v>
      </c>
      <c r="U1662" s="9" t="n">
        <v>108160</v>
      </c>
      <c r="V1662" s="10" t="n">
        <v>3446</v>
      </c>
      <c r="W1662" s="10" t="n">
        <v>185</v>
      </c>
      <c r="X1662" s="7" t="n">
        <v>163345</v>
      </c>
      <c r="Y1662" s="8" t="n">
        <v>12203</v>
      </c>
      <c r="Z1662" s="8" t="n">
        <v>123</v>
      </c>
      <c r="AA1662" s="9" t="n">
        <v>151373</v>
      </c>
      <c r="AB1662" s="10" t="n">
        <v>6047</v>
      </c>
      <c r="AC1662" s="10" t="n">
        <v>6965</v>
      </c>
      <c r="AD1662" s="7" t="n">
        <v>155112</v>
      </c>
      <c r="AE1662" s="8" t="n">
        <v>6973</v>
      </c>
      <c r="AF1662" s="8" t="n">
        <v>331</v>
      </c>
      <c r="AG1662" s="9" t="n">
        <v>148512</v>
      </c>
      <c r="AH1662" s="10" t="n">
        <v>13545</v>
      </c>
      <c r="AI1662" s="10" t="n">
        <v>15468</v>
      </c>
      <c r="AJ1662" s="11" t="n">
        <v>208753</v>
      </c>
      <c r="AK1662" s="12" t="n">
        <v>27290</v>
      </c>
      <c r="AL1662" s="12" t="n">
        <v>28742</v>
      </c>
      <c r="AM1662" s="13" t="n">
        <v>40.6</v>
      </c>
      <c r="AN1662" s="13" t="n">
        <v>27.8</v>
      </c>
      <c r="AO1662" s="13" t="n">
        <v>101.5</v>
      </c>
      <c r="AP1662" s="13" t="n">
        <v>123.6</v>
      </c>
    </row>
    <row r="1663">
      <c r="A1663" s="5" t="inlineStr">
        <is>
          <t>휴젤</t>
        </is>
      </c>
      <c r="B1663" s="6" t="inlineStr">
        <is>
          <t>145020</t>
        </is>
      </c>
      <c r="C1663" s="6" t="inlineStr">
        <is>
          <t>연결</t>
        </is>
      </c>
      <c r="D1663" s="6" t="inlineStr">
        <is>
          <t>2026Q2</t>
        </is>
      </c>
      <c r="E1663" s="6" t="inlineStr"/>
      <c r="F1663" s="7" t="inlineStr"/>
      <c r="G1663" s="8" t="inlineStr"/>
      <c r="H1663" s="8" t="inlineStr"/>
      <c r="I1663" s="9" t="n">
        <v>74306</v>
      </c>
      <c r="J1663" s="10" t="n">
        <v>23956</v>
      </c>
      <c r="K1663" s="10" t="n">
        <v>22726</v>
      </c>
      <c r="L1663" s="7" t="n">
        <v>95423</v>
      </c>
      <c r="M1663" s="8" t="n">
        <v>42431</v>
      </c>
      <c r="N1663" s="8" t="n">
        <v>36979</v>
      </c>
      <c r="O1663" s="9" t="n">
        <v>105109</v>
      </c>
      <c r="P1663" s="10" t="n">
        <v>53380</v>
      </c>
      <c r="Q1663" s="10" t="n">
        <v>42029</v>
      </c>
      <c r="R1663" s="7" t="n">
        <v>98209</v>
      </c>
      <c r="S1663" s="8" t="n">
        <v>46462</v>
      </c>
      <c r="T1663" s="8" t="n">
        <v>41401</v>
      </c>
      <c r="U1663" s="9" t="n">
        <v>89820</v>
      </c>
      <c r="V1663" s="10" t="n">
        <v>38954</v>
      </c>
      <c r="W1663" s="10" t="n">
        <v>30887</v>
      </c>
      <c r="X1663" s="7" t="n">
        <v>110260</v>
      </c>
      <c r="Y1663" s="8" t="n">
        <v>56670</v>
      </c>
      <c r="Z1663" s="8" t="n">
        <v>38214</v>
      </c>
      <c r="AA1663" s="9" t="n">
        <v>105898</v>
      </c>
      <c r="AB1663" s="10" t="n">
        <v>47402</v>
      </c>
      <c r="AC1663" s="10" t="n">
        <v>38044</v>
      </c>
      <c r="AD1663" s="7" t="n">
        <v>119132</v>
      </c>
      <c r="AE1663" s="8" t="n">
        <v>57825</v>
      </c>
      <c r="AF1663" s="8" t="n">
        <v>39829</v>
      </c>
      <c r="AG1663" s="9" t="n">
        <v>116639</v>
      </c>
      <c r="AH1663" s="10" t="n">
        <v>47625</v>
      </c>
      <c r="AI1663" s="10" t="n">
        <v>40607</v>
      </c>
      <c r="AJ1663" s="11" t="n">
        <v>137903</v>
      </c>
      <c r="AK1663" s="12" t="n">
        <v>56030</v>
      </c>
      <c r="AL1663" s="12" t="n">
        <v>44739</v>
      </c>
      <c r="AM1663" s="13" t="n">
        <v>18.2</v>
      </c>
      <c r="AN1663" s="13" t="n">
        <v>25.1</v>
      </c>
      <c r="AO1663" s="13" t="n">
        <v>17.6</v>
      </c>
      <c r="AP1663" s="13" t="n">
        <v>-1.1</v>
      </c>
    </row>
    <row r="1664">
      <c r="A1664" s="5" t="inlineStr">
        <is>
          <t>노브랜드</t>
        </is>
      </c>
      <c r="B1664" s="6" t="inlineStr">
        <is>
          <t>145170</t>
        </is>
      </c>
      <c r="C1664" s="6" t="inlineStr">
        <is>
          <t>연결</t>
        </is>
      </c>
      <c r="D1664" s="6" t="inlineStr">
        <is>
          <t>2026Q2</t>
        </is>
      </c>
      <c r="E1664" s="6" t="inlineStr"/>
      <c r="F1664" s="7" t="inlineStr"/>
      <c r="G1664" s="8" t="inlineStr"/>
      <c r="H1664" s="8" t="inlineStr"/>
      <c r="I1664" s="9" t="inlineStr"/>
      <c r="J1664" s="10" t="inlineStr"/>
      <c r="K1664" s="10" t="inlineStr"/>
      <c r="L1664" s="7" t="n">
        <v>123470</v>
      </c>
      <c r="M1664" s="8" t="n">
        <v>1844</v>
      </c>
      <c r="N1664" s="8" t="n">
        <v>-22008</v>
      </c>
      <c r="O1664" s="9" t="n">
        <v>143228</v>
      </c>
      <c r="P1664" s="10" t="n">
        <v>12079</v>
      </c>
      <c r="Q1664" s="10" t="n">
        <v>6106</v>
      </c>
      <c r="R1664" s="7" t="inlineStr"/>
      <c r="S1664" s="8" t="inlineStr"/>
      <c r="T1664" s="8" t="inlineStr"/>
      <c r="U1664" s="9" t="n">
        <v>163204</v>
      </c>
      <c r="V1664" s="10" t="n">
        <v>9885</v>
      </c>
      <c r="W1664" s="10" t="n">
        <v>4649</v>
      </c>
      <c r="X1664" s="7" t="n">
        <v>139306</v>
      </c>
      <c r="Y1664" s="8" t="n">
        <v>-6186</v>
      </c>
      <c r="Z1664" s="8" t="n">
        <v>-2136</v>
      </c>
      <c r="AA1664" s="9" t="n">
        <v>163165</v>
      </c>
      <c r="AB1664" s="10" t="n">
        <v>8990</v>
      </c>
      <c r="AC1664" s="10" t="n">
        <v>4588</v>
      </c>
      <c r="AD1664" s="7" t="n">
        <v>136493</v>
      </c>
      <c r="AE1664" s="8" t="n">
        <v>651</v>
      </c>
      <c r="AF1664" s="8" t="n">
        <v>-2019</v>
      </c>
      <c r="AG1664" s="9" t="n">
        <v>172607</v>
      </c>
      <c r="AH1664" s="10" t="n">
        <v>7543</v>
      </c>
      <c r="AI1664" s="10" t="n">
        <v>2655</v>
      </c>
      <c r="AJ1664" s="11" t="n">
        <v>173383</v>
      </c>
      <c r="AK1664" s="12" t="n">
        <v>3370</v>
      </c>
      <c r="AL1664" s="12" t="n">
        <v>-117</v>
      </c>
      <c r="AM1664" s="13" t="n">
        <v>0.4</v>
      </c>
      <c r="AN1664" s="13" t="n">
        <v>24.5</v>
      </c>
      <c r="AO1664" s="13" t="n">
        <v>-55.3</v>
      </c>
      <c r="AP1664" s="13" t="n">
        <v>154.5</v>
      </c>
    </row>
    <row r="1665">
      <c r="A1665" s="5" t="inlineStr">
        <is>
          <t>다이나믹디자인</t>
        </is>
      </c>
      <c r="B1665" s="6" t="inlineStr">
        <is>
          <t>145210</t>
        </is>
      </c>
      <c r="C1665" s="6" t="inlineStr">
        <is>
          <t>연결</t>
        </is>
      </c>
      <c r="D1665" s="6" t="inlineStr">
        <is>
          <t>2026Q2</t>
        </is>
      </c>
      <c r="E1665" s="6" t="inlineStr"/>
      <c r="F1665" s="7" t="inlineStr"/>
      <c r="G1665" s="8" t="inlineStr"/>
      <c r="H1665" s="8" t="inlineStr"/>
      <c r="I1665" s="9" t="n">
        <v>18996</v>
      </c>
      <c r="J1665" s="10" t="n">
        <v>71</v>
      </c>
      <c r="K1665" s="10" t="n">
        <v>350</v>
      </c>
      <c r="L1665" s="7" t="n">
        <v>17985</v>
      </c>
      <c r="M1665" s="8" t="n">
        <v>12</v>
      </c>
      <c r="N1665" s="8" t="n">
        <v>5309</v>
      </c>
      <c r="O1665" s="9" t="n">
        <v>15469</v>
      </c>
      <c r="P1665" s="10" t="n">
        <v>-684</v>
      </c>
      <c r="Q1665" s="10" t="n">
        <v>-259</v>
      </c>
      <c r="R1665" s="7" t="n">
        <v>10124</v>
      </c>
      <c r="S1665" s="8" t="n">
        <v>-1947</v>
      </c>
      <c r="T1665" s="8" t="n">
        <v>-12472</v>
      </c>
      <c r="U1665" s="9" t="n">
        <v>19989</v>
      </c>
      <c r="V1665" s="10" t="n">
        <v>-192</v>
      </c>
      <c r="W1665" s="10" t="n">
        <v>-1665</v>
      </c>
      <c r="X1665" s="7" t="n">
        <v>17777</v>
      </c>
      <c r="Y1665" s="8" t="n">
        <v>123</v>
      </c>
      <c r="Z1665" s="8" t="n">
        <v>-2694</v>
      </c>
      <c r="AA1665" s="9" t="n">
        <v>19929</v>
      </c>
      <c r="AB1665" s="10" t="n">
        <v>-91</v>
      </c>
      <c r="AC1665" s="10" t="n">
        <v>-1220</v>
      </c>
      <c r="AD1665" s="7" t="n">
        <v>22495</v>
      </c>
      <c r="AE1665" s="8" t="n">
        <v>-410</v>
      </c>
      <c r="AF1665" s="8" t="n">
        <v>-3300</v>
      </c>
      <c r="AG1665" s="9" t="n">
        <v>27009</v>
      </c>
      <c r="AH1665" s="10" t="n">
        <v>1118</v>
      </c>
      <c r="AI1665" s="10" t="n">
        <v>716</v>
      </c>
      <c r="AJ1665" s="11" t="n">
        <v>21687</v>
      </c>
      <c r="AK1665" s="12" t="n">
        <v>-455</v>
      </c>
      <c r="AL1665" s="12" t="n">
        <v>-2287</v>
      </c>
      <c r="AM1665" s="13" t="n">
        <v>-19.7</v>
      </c>
      <c r="AN1665" s="13" t="n">
        <v>22</v>
      </c>
      <c r="AO1665" s="13" t="n">
        <v>-140.7</v>
      </c>
      <c r="AP1665" s="13" t="n">
        <v>-469.9</v>
      </c>
    </row>
    <row r="1666">
      <c r="A1666" s="5" t="inlineStr">
        <is>
          <t>케이탑리츠</t>
        </is>
      </c>
      <c r="B1666" s="6" t="inlineStr">
        <is>
          <t>145270</t>
        </is>
      </c>
      <c r="C1666" s="6" t="inlineStr">
        <is>
          <t>연결</t>
        </is>
      </c>
      <c r="D1666" s="6" t="inlineStr">
        <is>
          <t>2026Q2</t>
        </is>
      </c>
      <c r="E1666" s="6" t="inlineStr"/>
      <c r="F1666" s="7" t="inlineStr"/>
      <c r="G1666" s="8" t="inlineStr"/>
      <c r="H1666" s="8" t="inlineStr"/>
      <c r="I1666" s="9" t="n">
        <v>2295</v>
      </c>
      <c r="J1666" s="10" t="n">
        <v>1331</v>
      </c>
      <c r="K1666" s="10" t="n">
        <v>666</v>
      </c>
      <c r="L1666" s="7" t="n">
        <v>2297</v>
      </c>
      <c r="M1666" s="8" t="n">
        <v>1017</v>
      </c>
      <c r="N1666" s="8" t="n">
        <v>353</v>
      </c>
      <c r="O1666" s="9" t="n">
        <v>2397</v>
      </c>
      <c r="P1666" s="10" t="n">
        <v>1457</v>
      </c>
      <c r="Q1666" s="10" t="n">
        <v>581</v>
      </c>
      <c r="R1666" s="7" t="n">
        <v>5099</v>
      </c>
      <c r="S1666" s="8" t="n">
        <v>4112</v>
      </c>
      <c r="T1666" s="8" t="n">
        <v>3665</v>
      </c>
      <c r="U1666" s="9" t="n">
        <v>2080</v>
      </c>
      <c r="V1666" s="10" t="n">
        <v>977</v>
      </c>
      <c r="W1666" s="10" t="n">
        <v>231</v>
      </c>
      <c r="X1666" s="7" t="n">
        <v>2107</v>
      </c>
      <c r="Y1666" s="8" t="n">
        <v>827</v>
      </c>
      <c r="Z1666" s="8" t="n">
        <v>226</v>
      </c>
      <c r="AA1666" s="9" t="n">
        <v>2088</v>
      </c>
      <c r="AB1666" s="10" t="n">
        <v>1061</v>
      </c>
      <c r="AC1666" s="10" t="n">
        <v>524</v>
      </c>
      <c r="AD1666" s="7" t="n">
        <v>8808</v>
      </c>
      <c r="AE1666" s="8" t="n">
        <v>7758</v>
      </c>
      <c r="AF1666" s="8" t="n">
        <v>5526</v>
      </c>
      <c r="AG1666" s="9" t="n">
        <v>2311</v>
      </c>
      <c r="AH1666" s="10" t="n">
        <v>1293</v>
      </c>
      <c r="AI1666" s="10" t="n">
        <v>482</v>
      </c>
      <c r="AJ1666" s="11" t="n">
        <v>2362</v>
      </c>
      <c r="AK1666" s="12" t="n">
        <v>1059</v>
      </c>
      <c r="AL1666" s="12" t="n">
        <v>2558</v>
      </c>
      <c r="AM1666" s="13" t="n">
        <v>2.2</v>
      </c>
      <c r="AN1666" s="13" t="n">
        <v>12.1</v>
      </c>
      <c r="AO1666" s="13" t="n">
        <v>-18.1</v>
      </c>
      <c r="AP1666" s="13" t="n">
        <v>28.1</v>
      </c>
    </row>
    <row r="1667">
      <c r="A1667" s="5" t="inlineStr">
        <is>
          <t>덴티움</t>
        </is>
      </c>
      <c r="B1667" s="6" t="inlineStr">
        <is>
          <t>145720</t>
        </is>
      </c>
      <c r="C1667" s="6" t="inlineStr">
        <is>
          <t>연결</t>
        </is>
      </c>
      <c r="D1667" s="6" t="inlineStr">
        <is>
          <t>2026Q2</t>
        </is>
      </c>
      <c r="E1667" s="6" t="inlineStr">
        <is>
          <t>2023Q4</t>
        </is>
      </c>
      <c r="F1667" s="14" t="n">
        <v>124810</v>
      </c>
      <c r="G1667" s="15" t="n">
        <v>47887</v>
      </c>
      <c r="H1667" s="15" t="n">
        <v>27023</v>
      </c>
      <c r="I1667" s="9" t="n">
        <v>82733</v>
      </c>
      <c r="J1667" s="10" t="n">
        <v>19223</v>
      </c>
      <c r="K1667" s="10" t="n">
        <v>16521</v>
      </c>
      <c r="L1667" s="7" t="n">
        <v>111672</v>
      </c>
      <c r="M1667" s="8" t="n">
        <v>27705</v>
      </c>
      <c r="N1667" s="8" t="n">
        <v>20467</v>
      </c>
      <c r="O1667" s="9" t="n">
        <v>94677</v>
      </c>
      <c r="P1667" s="10" t="n">
        <v>24365</v>
      </c>
      <c r="Q1667" s="10" t="n">
        <v>14757</v>
      </c>
      <c r="R1667" s="7" t="n">
        <v>118725</v>
      </c>
      <c r="S1667" s="8" t="n">
        <v>27204</v>
      </c>
      <c r="T1667" s="8" t="n">
        <v>20665</v>
      </c>
      <c r="U1667" s="9" t="n">
        <v>76834</v>
      </c>
      <c r="V1667" s="10" t="n">
        <v>9584</v>
      </c>
      <c r="W1667" s="10" t="n">
        <v>12682</v>
      </c>
      <c r="X1667" s="7" t="n">
        <v>82253</v>
      </c>
      <c r="Y1667" s="8" t="n">
        <v>15541</v>
      </c>
      <c r="Z1667" s="8" t="n">
        <v>4733</v>
      </c>
      <c r="AA1667" s="9" t="n">
        <v>78219</v>
      </c>
      <c r="AB1667" s="10" t="n">
        <v>12471</v>
      </c>
      <c r="AC1667" s="10" t="n">
        <v>3949</v>
      </c>
      <c r="AD1667" s="7" t="n">
        <v>109146</v>
      </c>
      <c r="AE1667" s="8" t="n">
        <v>26515</v>
      </c>
      <c r="AF1667" s="8" t="n">
        <v>-5036</v>
      </c>
      <c r="AG1667" s="9" t="n">
        <v>71383</v>
      </c>
      <c r="AH1667" s="10" t="n">
        <v>15851</v>
      </c>
      <c r="AI1667" s="10" t="n">
        <v>17055</v>
      </c>
      <c r="AJ1667" s="11" t="n">
        <v>89346</v>
      </c>
      <c r="AK1667" s="12" t="n">
        <v>14688</v>
      </c>
      <c r="AL1667" s="12" t="n">
        <v>13890</v>
      </c>
      <c r="AM1667" s="13" t="n">
        <v>25.2</v>
      </c>
      <c r="AN1667" s="13" t="n">
        <v>8.6</v>
      </c>
      <c r="AO1667" s="13" t="n">
        <v>-7.3</v>
      </c>
      <c r="AP1667" s="13" t="n">
        <v>-5.5</v>
      </c>
    </row>
    <row r="1668">
      <c r="A1668" s="5" t="inlineStr">
        <is>
          <t>삼양사</t>
        </is>
      </c>
      <c r="B1668" s="6" t="inlineStr">
        <is>
          <t>145990</t>
        </is>
      </c>
      <c r="C1668" s="6" t="inlineStr">
        <is>
          <t>연결</t>
        </is>
      </c>
      <c r="D1668" s="6" t="inlineStr">
        <is>
          <t>2026Q2</t>
        </is>
      </c>
      <c r="E1668" s="6" t="inlineStr"/>
      <c r="F1668" s="7" t="inlineStr"/>
      <c r="G1668" s="8" t="inlineStr"/>
      <c r="H1668" s="8" t="inlineStr"/>
      <c r="I1668" s="9" t="n">
        <v>659832</v>
      </c>
      <c r="J1668" s="10" t="n">
        <v>28743</v>
      </c>
      <c r="K1668" s="10" t="n">
        <v>41256</v>
      </c>
      <c r="L1668" s="7" t="n">
        <v>706963</v>
      </c>
      <c r="M1668" s="8" t="n">
        <v>53975</v>
      </c>
      <c r="N1668" s="8" t="n">
        <v>42554</v>
      </c>
      <c r="O1668" s="9" t="n">
        <v>660624</v>
      </c>
      <c r="P1668" s="10" t="n">
        <v>39003</v>
      </c>
      <c r="Q1668" s="10" t="n">
        <v>33957</v>
      </c>
      <c r="R1668" s="7" t="n">
        <v>644402</v>
      </c>
      <c r="S1668" s="8" t="n">
        <v>11802</v>
      </c>
      <c r="T1668" s="8" t="n">
        <v>18674</v>
      </c>
      <c r="U1668" s="9" t="n">
        <v>619981</v>
      </c>
      <c r="V1668" s="10" t="n">
        <v>24081</v>
      </c>
      <c r="W1668" s="10" t="n">
        <v>33721</v>
      </c>
      <c r="X1668" s="7" t="n">
        <v>673784</v>
      </c>
      <c r="Y1668" s="8" t="n">
        <v>38515</v>
      </c>
      <c r="Z1668" s="8" t="n">
        <v>34920</v>
      </c>
      <c r="AA1668" s="9" t="n">
        <v>665884</v>
      </c>
      <c r="AB1668" s="10" t="n">
        <v>38439</v>
      </c>
      <c r="AC1668" s="10" t="n">
        <v>33486</v>
      </c>
      <c r="AD1668" s="7" t="n">
        <v>602851</v>
      </c>
      <c r="AE1668" s="8" t="n">
        <v>10690</v>
      </c>
      <c r="AF1668" s="8" t="n">
        <v>-404490</v>
      </c>
      <c r="AG1668" s="9" t="n">
        <v>608270</v>
      </c>
      <c r="AH1668" s="10" t="n">
        <v>21058</v>
      </c>
      <c r="AI1668" s="10" t="n">
        <v>31568</v>
      </c>
      <c r="AJ1668" s="11" t="n">
        <v>705532</v>
      </c>
      <c r="AK1668" s="12" t="n">
        <v>43081</v>
      </c>
      <c r="AL1668" s="12" t="n">
        <v>36713</v>
      </c>
      <c r="AM1668" s="13" t="n">
        <v>16</v>
      </c>
      <c r="AN1668" s="13" t="n">
        <v>4.7</v>
      </c>
      <c r="AO1668" s="13" t="n">
        <v>104.6</v>
      </c>
      <c r="AP1668" s="13" t="n">
        <v>11.9</v>
      </c>
    </row>
    <row r="1669">
      <c r="A1669" s="5" t="inlineStr">
        <is>
          <t>율촌</t>
        </is>
      </c>
      <c r="B1669" s="6" t="inlineStr">
        <is>
          <t>146060</t>
        </is>
      </c>
      <c r="C1669" s="6" t="inlineStr">
        <is>
          <t>연결</t>
        </is>
      </c>
      <c r="D1669" s="6" t="inlineStr">
        <is>
          <t>2026Q2</t>
        </is>
      </c>
      <c r="E1669" s="6" t="inlineStr"/>
      <c r="F1669" s="7" t="inlineStr"/>
      <c r="G1669" s="8" t="inlineStr"/>
      <c r="H1669" s="8" t="inlineStr"/>
      <c r="I1669" s="9" t="n">
        <v>19156</v>
      </c>
      <c r="J1669" s="10" t="n">
        <v>495</v>
      </c>
      <c r="K1669" s="10" t="n">
        <v>300</v>
      </c>
      <c r="L1669" s="7" t="n">
        <v>19690</v>
      </c>
      <c r="M1669" s="8" t="n">
        <v>1468</v>
      </c>
      <c r="N1669" s="8" t="n">
        <v>494</v>
      </c>
      <c r="O1669" s="9" t="n">
        <v>18513</v>
      </c>
      <c r="P1669" s="10" t="n">
        <v>1649</v>
      </c>
      <c r="Q1669" s="10" t="n">
        <v>1164</v>
      </c>
      <c r="R1669" s="7" t="n">
        <v>20807</v>
      </c>
      <c r="S1669" s="8" t="n">
        <v>1545</v>
      </c>
      <c r="T1669" s="8" t="n">
        <v>649</v>
      </c>
      <c r="U1669" s="9" t="n">
        <v>19821</v>
      </c>
      <c r="V1669" s="10" t="n">
        <v>2051</v>
      </c>
      <c r="W1669" s="10" t="n">
        <v>2083</v>
      </c>
      <c r="X1669" s="7" t="n">
        <v>19424</v>
      </c>
      <c r="Y1669" s="8" t="n">
        <v>872</v>
      </c>
      <c r="Z1669" s="8" t="n">
        <v>535</v>
      </c>
      <c r="AA1669" s="9" t="n">
        <v>20420</v>
      </c>
      <c r="AB1669" s="10" t="n">
        <v>1523</v>
      </c>
      <c r="AC1669" s="10" t="n">
        <v>1769</v>
      </c>
      <c r="AD1669" s="7" t="n">
        <v>19586</v>
      </c>
      <c r="AE1669" s="8" t="n">
        <v>634</v>
      </c>
      <c r="AF1669" s="8" t="n">
        <v>-713</v>
      </c>
      <c r="AG1669" s="9" t="n">
        <v>19814</v>
      </c>
      <c r="AH1669" s="10" t="n">
        <v>909</v>
      </c>
      <c r="AI1669" s="10" t="n">
        <v>898</v>
      </c>
      <c r="AJ1669" s="11" t="n">
        <v>23047</v>
      </c>
      <c r="AK1669" s="12" t="n">
        <v>2325</v>
      </c>
      <c r="AL1669" s="12" t="n">
        <v>1757</v>
      </c>
      <c r="AM1669" s="13" t="n">
        <v>16.3</v>
      </c>
      <c r="AN1669" s="13" t="n">
        <v>18.7</v>
      </c>
      <c r="AO1669" s="13" t="n">
        <v>155.8</v>
      </c>
      <c r="AP1669" s="13" t="n">
        <v>166.6</v>
      </c>
    </row>
    <row r="1670">
      <c r="A1670" s="5" t="inlineStr">
        <is>
          <t>비씨엔씨</t>
        </is>
      </c>
      <c r="B1670" s="6" t="inlineStr">
        <is>
          <t>146320</t>
        </is>
      </c>
      <c r="C1670" s="6" t="inlineStr">
        <is>
          <t>연결</t>
        </is>
      </c>
      <c r="D1670" s="6" t="inlineStr">
        <is>
          <t>2026Q2</t>
        </is>
      </c>
      <c r="E1670" s="6" t="inlineStr">
        <is>
          <t>2023Q4</t>
        </is>
      </c>
      <c r="F1670" s="14" t="n">
        <v>17577</v>
      </c>
      <c r="G1670" s="15" t="n">
        <v>925</v>
      </c>
      <c r="H1670" s="15" t="n">
        <v>1863</v>
      </c>
      <c r="I1670" s="9" t="n">
        <v>17736</v>
      </c>
      <c r="J1670" s="10" t="n">
        <v>404</v>
      </c>
      <c r="K1670" s="10" t="n">
        <v>561</v>
      </c>
      <c r="L1670" s="7" t="n">
        <v>19522</v>
      </c>
      <c r="M1670" s="8" t="n">
        <v>-224</v>
      </c>
      <c r="N1670" s="8" t="n">
        <v>-151</v>
      </c>
      <c r="O1670" s="9" t="n">
        <v>19287</v>
      </c>
      <c r="P1670" s="10" t="n">
        <v>-189</v>
      </c>
      <c r="Q1670" s="10" t="n">
        <v>-543</v>
      </c>
      <c r="R1670" s="7" t="n">
        <v>20829</v>
      </c>
      <c r="S1670" s="8" t="n">
        <v>-2053</v>
      </c>
      <c r="T1670" s="8" t="n">
        <v>-2137</v>
      </c>
      <c r="U1670" s="9" t="n">
        <v>19845</v>
      </c>
      <c r="V1670" s="10" t="n">
        <v>-65</v>
      </c>
      <c r="W1670" s="10" t="n">
        <v>-1197</v>
      </c>
      <c r="X1670" s="7" t="n">
        <v>21943</v>
      </c>
      <c r="Y1670" s="8" t="n">
        <v>1608</v>
      </c>
      <c r="Z1670" s="8" t="n">
        <v>130</v>
      </c>
      <c r="AA1670" s="9" t="n">
        <v>21876</v>
      </c>
      <c r="AB1670" s="10" t="n">
        <v>1380</v>
      </c>
      <c r="AC1670" s="10" t="n">
        <v>1512</v>
      </c>
      <c r="AD1670" s="7" t="n">
        <v>23920</v>
      </c>
      <c r="AE1670" s="8" t="n">
        <v>1004</v>
      </c>
      <c r="AF1670" s="8" t="n">
        <v>706</v>
      </c>
      <c r="AG1670" s="9" t="n">
        <v>23717</v>
      </c>
      <c r="AH1670" s="10" t="n">
        <v>802</v>
      </c>
      <c r="AI1670" s="10" t="n">
        <v>268</v>
      </c>
      <c r="AJ1670" s="11" t="n">
        <v>26766</v>
      </c>
      <c r="AK1670" s="12" t="n">
        <v>1838</v>
      </c>
      <c r="AL1670" s="12" t="n">
        <v>461</v>
      </c>
      <c r="AM1670" s="13" t="n">
        <v>12.9</v>
      </c>
      <c r="AN1670" s="13" t="n">
        <v>22</v>
      </c>
      <c r="AO1670" s="13" t="n">
        <v>129.2</v>
      </c>
      <c r="AP1670" s="13" t="n">
        <v>14.3</v>
      </c>
    </row>
    <row r="1671">
      <c r="A1671" s="5" t="inlineStr">
        <is>
          <t>피엠티</t>
        </is>
      </c>
      <c r="B1671" s="6" t="inlineStr">
        <is>
          <t>147760</t>
        </is>
      </c>
      <c r="C1671" s="6" t="inlineStr">
        <is>
          <t>별도</t>
        </is>
      </c>
      <c r="D1671" s="6" t="inlineStr">
        <is>
          <t>2026Q2</t>
        </is>
      </c>
      <c r="E1671" s="6" t="inlineStr"/>
      <c r="F1671" s="7" t="inlineStr"/>
      <c r="G1671" s="8" t="inlineStr"/>
      <c r="H1671" s="8" t="inlineStr"/>
      <c r="I1671" s="9" t="n">
        <v>7087</v>
      </c>
      <c r="J1671" s="10" t="n">
        <v>-1316</v>
      </c>
      <c r="K1671" s="10" t="n">
        <v>-1130</v>
      </c>
      <c r="L1671" s="7" t="n">
        <v>5317</v>
      </c>
      <c r="M1671" s="8" t="n">
        <v>-3432</v>
      </c>
      <c r="N1671" s="8" t="n">
        <v>-3335</v>
      </c>
      <c r="O1671" s="9" t="n">
        <v>8193</v>
      </c>
      <c r="P1671" s="10" t="n">
        <v>-1874</v>
      </c>
      <c r="Q1671" s="10" t="n">
        <v>-2130</v>
      </c>
      <c r="R1671" s="7" t="n">
        <v>3796</v>
      </c>
      <c r="S1671" s="8" t="n">
        <v>-6478</v>
      </c>
      <c r="T1671" s="8" t="n">
        <v>-7635</v>
      </c>
      <c r="U1671" s="9" t="n">
        <v>6217</v>
      </c>
      <c r="V1671" s="10" t="n">
        <v>-3675</v>
      </c>
      <c r="W1671" s="10" t="n">
        <v>-3976</v>
      </c>
      <c r="X1671" s="7" t="n">
        <v>5804</v>
      </c>
      <c r="Y1671" s="8" t="n">
        <v>-4663</v>
      </c>
      <c r="Z1671" s="8" t="n">
        <v>-4796</v>
      </c>
      <c r="AA1671" s="9" t="n">
        <v>6040</v>
      </c>
      <c r="AB1671" s="10" t="n">
        <v>-2528</v>
      </c>
      <c r="AC1671" s="10" t="n">
        <v>-3205</v>
      </c>
      <c r="AD1671" s="7" t="n">
        <v>7227</v>
      </c>
      <c r="AE1671" s="8" t="n">
        <v>-9530</v>
      </c>
      <c r="AF1671" s="8" t="n">
        <v>-10500</v>
      </c>
      <c r="AG1671" s="9" t="n">
        <v>15875</v>
      </c>
      <c r="AH1671" s="10" t="n">
        <v>162</v>
      </c>
      <c r="AI1671" s="10" t="n">
        <v>1270</v>
      </c>
      <c r="AJ1671" s="11" t="n">
        <v>18475</v>
      </c>
      <c r="AK1671" s="12" t="n">
        <v>1256</v>
      </c>
      <c r="AL1671" s="12" t="n">
        <v>-350</v>
      </c>
      <c r="AM1671" s="13" t="n">
        <v>16.4</v>
      </c>
      <c r="AN1671" s="13" t="n">
        <v>218.3</v>
      </c>
      <c r="AO1671" s="13" t="n">
        <v>675.3</v>
      </c>
      <c r="AP1671" s="13" t="n">
        <v>126.9</v>
      </c>
    </row>
    <row r="1672">
      <c r="A1672" s="5" t="inlineStr">
        <is>
          <t>제룡산업</t>
        </is>
      </c>
      <c r="B1672" s="6" t="inlineStr">
        <is>
          <t>147830</t>
        </is>
      </c>
      <c r="C1672" s="6" t="inlineStr">
        <is>
          <t>별도</t>
        </is>
      </c>
      <c r="D1672" s="6" t="inlineStr">
        <is>
          <t>2026Q2</t>
        </is>
      </c>
      <c r="E1672" s="6" t="inlineStr"/>
      <c r="F1672" s="7" t="inlineStr"/>
      <c r="G1672" s="8" t="inlineStr"/>
      <c r="H1672" s="8" t="inlineStr"/>
      <c r="I1672" s="9" t="n">
        <v>6107</v>
      </c>
      <c r="J1672" s="10" t="n">
        <v>549</v>
      </c>
      <c r="K1672" s="10" t="n">
        <v>1315</v>
      </c>
      <c r="L1672" s="7" t="n">
        <v>8897</v>
      </c>
      <c r="M1672" s="8" t="n">
        <v>2388</v>
      </c>
      <c r="N1672" s="8" t="n">
        <v>2713</v>
      </c>
      <c r="O1672" s="9" t="n">
        <v>6530</v>
      </c>
      <c r="P1672" s="10" t="n">
        <v>614</v>
      </c>
      <c r="Q1672" s="10" t="n">
        <v>1283</v>
      </c>
      <c r="R1672" s="7" t="n">
        <v>7794</v>
      </c>
      <c r="S1672" s="8" t="n">
        <v>538</v>
      </c>
      <c r="T1672" s="8" t="n">
        <v>931</v>
      </c>
      <c r="U1672" s="9" t="n">
        <v>7611</v>
      </c>
      <c r="V1672" s="10" t="n">
        <v>2519</v>
      </c>
      <c r="W1672" s="10" t="n">
        <v>2681</v>
      </c>
      <c r="X1672" s="7" t="n">
        <v>9764</v>
      </c>
      <c r="Y1672" s="8" t="n">
        <v>3173</v>
      </c>
      <c r="Z1672" s="8" t="n">
        <v>3145</v>
      </c>
      <c r="AA1672" s="9" t="n">
        <v>8429</v>
      </c>
      <c r="AB1672" s="10" t="n">
        <v>1481</v>
      </c>
      <c r="AC1672" s="10" t="n">
        <v>1956</v>
      </c>
      <c r="AD1672" s="7" t="n">
        <v>12120</v>
      </c>
      <c r="AE1672" s="8" t="n">
        <v>3400</v>
      </c>
      <c r="AF1672" s="8" t="n">
        <v>3706</v>
      </c>
      <c r="AG1672" s="9" t="n">
        <v>13912</v>
      </c>
      <c r="AH1672" s="10" t="n">
        <v>4837</v>
      </c>
      <c r="AI1672" s="10" t="n">
        <v>5272</v>
      </c>
      <c r="AJ1672" s="11" t="n">
        <v>16282</v>
      </c>
      <c r="AK1672" s="12" t="n">
        <v>5835</v>
      </c>
      <c r="AL1672" s="12" t="n">
        <v>9443</v>
      </c>
      <c r="AM1672" s="13" t="n">
        <v>17</v>
      </c>
      <c r="AN1672" s="13" t="n">
        <v>66.8</v>
      </c>
      <c r="AO1672" s="13" t="n">
        <v>20.6</v>
      </c>
      <c r="AP1672" s="13" t="n">
        <v>83.90000000000001</v>
      </c>
    </row>
    <row r="1673">
      <c r="A1673" s="5" t="inlineStr">
        <is>
          <t>세경하이테크</t>
        </is>
      </c>
      <c r="B1673" s="6" t="inlineStr">
        <is>
          <t>148150</t>
        </is>
      </c>
      <c r="C1673" s="6" t="inlineStr">
        <is>
          <t>연결</t>
        </is>
      </c>
      <c r="D1673" s="6" t="inlineStr">
        <is>
          <t>2026Q2</t>
        </is>
      </c>
      <c r="E1673" s="6" t="inlineStr"/>
      <c r="F1673" s="7" t="inlineStr"/>
      <c r="G1673" s="8" t="inlineStr"/>
      <c r="H1673" s="8" t="inlineStr"/>
      <c r="I1673" s="9" t="n">
        <v>72538</v>
      </c>
      <c r="J1673" s="10" t="n">
        <v>9860</v>
      </c>
      <c r="K1673" s="10" t="n">
        <v>3026</v>
      </c>
      <c r="L1673" s="7" t="n">
        <v>100137</v>
      </c>
      <c r="M1673" s="8" t="n">
        <v>12854</v>
      </c>
      <c r="N1673" s="8" t="n">
        <v>-42856</v>
      </c>
      <c r="O1673" s="9" t="n">
        <v>80176</v>
      </c>
      <c r="P1673" s="10" t="n">
        <v>6468</v>
      </c>
      <c r="Q1673" s="10" t="n">
        <v>59513</v>
      </c>
      <c r="R1673" s="7" t="n">
        <v>67482</v>
      </c>
      <c r="S1673" s="8" t="n">
        <v>2314</v>
      </c>
      <c r="T1673" s="8" t="n">
        <v>-17082</v>
      </c>
      <c r="U1673" s="9" t="n">
        <v>53946</v>
      </c>
      <c r="V1673" s="10" t="n">
        <v>-3149</v>
      </c>
      <c r="W1673" s="10" t="n">
        <v>13362</v>
      </c>
      <c r="X1673" s="7" t="n">
        <v>74811</v>
      </c>
      <c r="Y1673" s="8" t="n">
        <v>1842</v>
      </c>
      <c r="Z1673" s="8" t="inlineStr"/>
      <c r="AA1673" s="9" t="n">
        <v>78276</v>
      </c>
      <c r="AB1673" s="10" t="n">
        <v>2555</v>
      </c>
      <c r="AC1673" s="10" t="inlineStr"/>
      <c r="AD1673" s="7" t="n">
        <v>70884</v>
      </c>
      <c r="AE1673" s="8" t="n">
        <v>515</v>
      </c>
      <c r="AF1673" s="8" t="inlineStr"/>
      <c r="AG1673" s="9" t="n">
        <v>61029</v>
      </c>
      <c r="AH1673" s="10" t="n">
        <v>-2167</v>
      </c>
      <c r="AI1673" s="10" t="n">
        <v>3115</v>
      </c>
      <c r="AJ1673" s="11" t="n">
        <v>86291</v>
      </c>
      <c r="AK1673" s="12" t="n">
        <v>3325</v>
      </c>
      <c r="AL1673" s="12" t="n">
        <v>20792</v>
      </c>
      <c r="AM1673" s="13" t="n">
        <v>41.4</v>
      </c>
      <c r="AN1673" s="13" t="n">
        <v>15.3</v>
      </c>
      <c r="AO1673" s="13" t="n">
        <v>253.4</v>
      </c>
      <c r="AP1673" s="13" t="n">
        <v>80.5</v>
      </c>
    </row>
    <row r="1674">
      <c r="A1674" s="5" t="inlineStr">
        <is>
          <t>알엔투테크놀로지</t>
        </is>
      </c>
      <c r="B1674" s="6" t="inlineStr">
        <is>
          <t>148250</t>
        </is>
      </c>
      <c r="C1674" s="6" t="inlineStr">
        <is>
          <t>연결</t>
        </is>
      </c>
      <c r="D1674" s="6" t="inlineStr">
        <is>
          <t>2026Q2</t>
        </is>
      </c>
      <c r="E1674" s="6" t="inlineStr"/>
      <c r="F1674" s="7" t="inlineStr"/>
      <c r="G1674" s="8" t="inlineStr"/>
      <c r="H1674" s="8" t="inlineStr"/>
      <c r="I1674" s="9" t="n">
        <v>4131</v>
      </c>
      <c r="J1674" s="10" t="n">
        <v>-339</v>
      </c>
      <c r="K1674" s="10" t="n">
        <v>-188</v>
      </c>
      <c r="L1674" s="7" t="n">
        <v>2573</v>
      </c>
      <c r="M1674" s="8" t="n">
        <v>-1006</v>
      </c>
      <c r="N1674" s="8" t="n">
        <v>-428</v>
      </c>
      <c r="O1674" s="9" t="n">
        <v>3966</v>
      </c>
      <c r="P1674" s="10" t="n">
        <v>-561</v>
      </c>
      <c r="Q1674" s="10" t="n">
        <v>-594</v>
      </c>
      <c r="R1674" s="7" t="n">
        <v>3633</v>
      </c>
      <c r="S1674" s="8" t="n">
        <v>-782</v>
      </c>
      <c r="T1674" s="8" t="n">
        <v>-509</v>
      </c>
      <c r="U1674" s="9" t="n">
        <v>4555</v>
      </c>
      <c r="V1674" s="10" t="n">
        <v>-214</v>
      </c>
      <c r="W1674" s="10" t="n">
        <v>-1232</v>
      </c>
      <c r="X1674" s="7" t="n">
        <v>4614</v>
      </c>
      <c r="Y1674" s="8" t="n">
        <v>-832</v>
      </c>
      <c r="Z1674" s="8" t="n">
        <v>666</v>
      </c>
      <c r="AA1674" s="9" t="n">
        <v>4987</v>
      </c>
      <c r="AB1674" s="10" t="n">
        <v>-1583</v>
      </c>
      <c r="AC1674" s="10" t="n">
        <v>-1878</v>
      </c>
      <c r="AD1674" s="7" t="n">
        <v>4496</v>
      </c>
      <c r="AE1674" s="8" t="n">
        <v>-805</v>
      </c>
      <c r="AF1674" s="8" t="n">
        <v>-1420</v>
      </c>
      <c r="AG1674" s="9" t="n">
        <v>4710</v>
      </c>
      <c r="AH1674" s="10" t="n">
        <v>-1337</v>
      </c>
      <c r="AI1674" s="10" t="n">
        <v>-3374</v>
      </c>
      <c r="AJ1674" s="11" t="n">
        <v>4738</v>
      </c>
      <c r="AK1674" s="12" t="n">
        <v>-921</v>
      </c>
      <c r="AL1674" s="12" t="n">
        <v>-3186</v>
      </c>
      <c r="AM1674" s="13" t="n">
        <v>0.6</v>
      </c>
      <c r="AN1674" s="13" t="n">
        <v>2.7</v>
      </c>
      <c r="AO1674" s="13" t="n">
        <v>31.1</v>
      </c>
      <c r="AP1674" s="13" t="n">
        <v>-10.7</v>
      </c>
    </row>
    <row r="1675">
      <c r="A1675" s="5" t="inlineStr">
        <is>
          <t>비큐AI</t>
        </is>
      </c>
      <c r="B1675" s="6" t="inlineStr">
        <is>
          <t>148780</t>
        </is>
      </c>
      <c r="C1675" s="6" t="inlineStr">
        <is>
          <t>연결</t>
        </is>
      </c>
      <c r="D1675" s="6" t="inlineStr">
        <is>
          <t>2026Q2</t>
        </is>
      </c>
      <c r="E1675" s="6" t="inlineStr"/>
      <c r="F1675" s="7" t="inlineStr"/>
      <c r="G1675" s="8" t="inlineStr"/>
      <c r="H1675" s="8" t="inlineStr"/>
      <c r="I1675" s="9" t="n">
        <v>4087</v>
      </c>
      <c r="J1675" s="10" t="n">
        <v>-89</v>
      </c>
      <c r="K1675" s="10" t="n">
        <v>34</v>
      </c>
      <c r="L1675" s="7" t="n">
        <v>4150</v>
      </c>
      <c r="M1675" s="8" t="n">
        <v>-249</v>
      </c>
      <c r="N1675" s="8" t="n">
        <v>-136</v>
      </c>
      <c r="O1675" s="9" t="n">
        <v>4531</v>
      </c>
      <c r="P1675" s="10" t="n">
        <v>-281</v>
      </c>
      <c r="Q1675" s="10" t="n">
        <v>-395</v>
      </c>
      <c r="R1675" s="7" t="n">
        <v>4532</v>
      </c>
      <c r="S1675" s="8" t="n">
        <v>-193</v>
      </c>
      <c r="T1675" s="8" t="n">
        <v>-104</v>
      </c>
      <c r="U1675" s="9" t="n">
        <v>3699</v>
      </c>
      <c r="V1675" s="10" t="n">
        <v>-753</v>
      </c>
      <c r="W1675" s="10" t="n">
        <v>-654</v>
      </c>
      <c r="X1675" s="7" t="n">
        <v>4209</v>
      </c>
      <c r="Y1675" s="8" t="n">
        <v>-119</v>
      </c>
      <c r="Z1675" s="8" t="n">
        <v>-32</v>
      </c>
      <c r="AA1675" s="9" t="n">
        <v>4420</v>
      </c>
      <c r="AB1675" s="10" t="n">
        <v>-164</v>
      </c>
      <c r="AC1675" s="10" t="n">
        <v>-87</v>
      </c>
      <c r="AD1675" s="7" t="n">
        <v>4687</v>
      </c>
      <c r="AE1675" s="8" t="n">
        <v>-32</v>
      </c>
      <c r="AF1675" s="8" t="n">
        <v>14</v>
      </c>
      <c r="AG1675" s="9" t="n">
        <v>3725</v>
      </c>
      <c r="AH1675" s="10" t="n">
        <v>-195</v>
      </c>
      <c r="AI1675" s="10" t="n">
        <v>40</v>
      </c>
      <c r="AJ1675" s="11" t="n">
        <v>4277</v>
      </c>
      <c r="AK1675" s="12" t="n">
        <v>-27</v>
      </c>
      <c r="AL1675" s="12" t="n">
        <v>24</v>
      </c>
      <c r="AM1675" s="13" t="n">
        <v>14.8</v>
      </c>
      <c r="AN1675" s="13" t="n">
        <v>1.6</v>
      </c>
      <c r="AO1675" s="13" t="n">
        <v>86.2</v>
      </c>
      <c r="AP1675" s="13" t="n">
        <v>77.3</v>
      </c>
    </row>
    <row r="1676">
      <c r="A1676" s="5" t="inlineStr">
        <is>
          <t>에이치와이티씨</t>
        </is>
      </c>
      <c r="B1676" s="6" t="inlineStr">
        <is>
          <t>148930</t>
        </is>
      </c>
      <c r="C1676" s="6" t="inlineStr">
        <is>
          <t>연결</t>
        </is>
      </c>
      <c r="D1676" s="6" t="inlineStr">
        <is>
          <t>2026Q2</t>
        </is>
      </c>
      <c r="E1676" s="6" t="inlineStr"/>
      <c r="F1676" s="7" t="inlineStr"/>
      <c r="G1676" s="8" t="inlineStr"/>
      <c r="H1676" s="8" t="inlineStr"/>
      <c r="I1676" s="9" t="n">
        <v>7739</v>
      </c>
      <c r="J1676" s="10" t="n">
        <v>187</v>
      </c>
      <c r="K1676" s="10" t="n">
        <v>944</v>
      </c>
      <c r="L1676" s="7" t="n">
        <v>8762</v>
      </c>
      <c r="M1676" s="8" t="n">
        <v>328</v>
      </c>
      <c r="N1676" s="8" t="n">
        <v>777</v>
      </c>
      <c r="O1676" s="9" t="n">
        <v>6306</v>
      </c>
      <c r="P1676" s="10" t="n">
        <v>-354</v>
      </c>
      <c r="Q1676" s="10" t="n">
        <v>57</v>
      </c>
      <c r="R1676" s="7" t="n">
        <v>9514</v>
      </c>
      <c r="S1676" s="8" t="n">
        <v>263</v>
      </c>
      <c r="T1676" s="8" t="n">
        <v>829</v>
      </c>
      <c r="U1676" s="9" t="n">
        <v>6591</v>
      </c>
      <c r="V1676" s="10" t="n">
        <v>-398</v>
      </c>
      <c r="W1676" s="10" t="n">
        <v>194</v>
      </c>
      <c r="X1676" s="7" t="n">
        <v>6143</v>
      </c>
      <c r="Y1676" s="8" t="n">
        <v>-2224</v>
      </c>
      <c r="Z1676" s="8" t="n">
        <v>-1981</v>
      </c>
      <c r="AA1676" s="9" t="n">
        <v>8185</v>
      </c>
      <c r="AB1676" s="10" t="n">
        <v>-583</v>
      </c>
      <c r="AC1676" s="10" t="n">
        <v>1412</v>
      </c>
      <c r="AD1676" s="7" t="n">
        <v>9166</v>
      </c>
      <c r="AE1676" s="8" t="n">
        <v>37</v>
      </c>
      <c r="AF1676" s="8" t="n">
        <v>3822</v>
      </c>
      <c r="AG1676" s="9" t="n">
        <v>8346</v>
      </c>
      <c r="AH1676" s="10" t="n">
        <v>-1170</v>
      </c>
      <c r="AI1676" s="10" t="n">
        <v>3167</v>
      </c>
      <c r="AJ1676" s="11" t="n">
        <v>10333</v>
      </c>
      <c r="AK1676" s="12" t="n">
        <v>-54</v>
      </c>
      <c r="AL1676" s="12" t="n">
        <v>17174</v>
      </c>
      <c r="AM1676" s="13" t="n">
        <v>23.8</v>
      </c>
      <c r="AN1676" s="13" t="n">
        <v>68.2</v>
      </c>
      <c r="AO1676" s="13" t="n">
        <v>95.40000000000001</v>
      </c>
      <c r="AP1676" s="13" t="n">
        <v>97.59999999999999</v>
      </c>
    </row>
    <row r="1677">
      <c r="A1677" s="5" t="inlineStr">
        <is>
          <t>아바텍</t>
        </is>
      </c>
      <c r="B1677" s="6" t="inlineStr">
        <is>
          <t>149950</t>
        </is>
      </c>
      <c r="C1677" s="6" t="inlineStr">
        <is>
          <t>별도</t>
        </is>
      </c>
      <c r="D1677" s="6" t="inlineStr">
        <is>
          <t>2026Q2</t>
        </is>
      </c>
      <c r="E1677" s="6" t="inlineStr"/>
      <c r="F1677" s="7" t="inlineStr"/>
      <c r="G1677" s="8" t="inlineStr"/>
      <c r="H1677" s="8" t="inlineStr"/>
      <c r="I1677" s="9" t="n">
        <v>23234</v>
      </c>
      <c r="J1677" s="10" t="n">
        <v>3825</v>
      </c>
      <c r="K1677" s="10" t="n">
        <v>4122</v>
      </c>
      <c r="L1677" s="7" t="n">
        <v>24828</v>
      </c>
      <c r="M1677" s="8" t="n">
        <v>4845</v>
      </c>
      <c r="N1677" s="8" t="n">
        <v>5985</v>
      </c>
      <c r="O1677" s="9" t="n">
        <v>20906</v>
      </c>
      <c r="P1677" s="10" t="n">
        <v>660</v>
      </c>
      <c r="Q1677" s="10" t="n">
        <v>632</v>
      </c>
      <c r="R1677" s="7" t="n">
        <v>15578</v>
      </c>
      <c r="S1677" s="8" t="n">
        <v>-3533</v>
      </c>
      <c r="T1677" s="8" t="n">
        <v>-1843</v>
      </c>
      <c r="U1677" s="9" t="n">
        <v>17971</v>
      </c>
      <c r="V1677" s="10" t="n">
        <v>-1162</v>
      </c>
      <c r="W1677" s="10" t="n">
        <v>-514</v>
      </c>
      <c r="X1677" s="7" t="n">
        <v>18424</v>
      </c>
      <c r="Y1677" s="8" t="n">
        <v>1320</v>
      </c>
      <c r="Z1677" s="8" t="n">
        <v>1649</v>
      </c>
      <c r="AA1677" s="9" t="n">
        <v>22817</v>
      </c>
      <c r="AB1677" s="10" t="n">
        <v>3303</v>
      </c>
      <c r="AC1677" s="10" t="n">
        <v>3048</v>
      </c>
      <c r="AD1677" s="7" t="n">
        <v>21732</v>
      </c>
      <c r="AE1677" s="8" t="n">
        <v>2687</v>
      </c>
      <c r="AF1677" s="8" t="n">
        <v>2736</v>
      </c>
      <c r="AG1677" s="9" t="n">
        <v>16973</v>
      </c>
      <c r="AH1677" s="10" t="n">
        <v>767</v>
      </c>
      <c r="AI1677" s="10" t="n">
        <v>920</v>
      </c>
      <c r="AJ1677" s="11" t="n">
        <v>16907</v>
      </c>
      <c r="AK1677" s="12" t="n">
        <v>336</v>
      </c>
      <c r="AL1677" s="12" t="n">
        <v>1310</v>
      </c>
      <c r="AM1677" s="13" t="n">
        <v>-0.4</v>
      </c>
      <c r="AN1677" s="13" t="n">
        <v>-8.199999999999999</v>
      </c>
      <c r="AO1677" s="13" t="n">
        <v>-56.2</v>
      </c>
      <c r="AP1677" s="13" t="n">
        <v>-74.5</v>
      </c>
    </row>
    <row r="1678">
      <c r="A1678" s="5" t="inlineStr">
        <is>
          <t>하이로닉</t>
        </is>
      </c>
      <c r="B1678" s="6" t="inlineStr">
        <is>
          <t>149980</t>
        </is>
      </c>
      <c r="C1678" s="6" t="inlineStr">
        <is>
          <t>연결</t>
        </is>
      </c>
      <c r="D1678" s="6" t="inlineStr">
        <is>
          <t>2026Q2</t>
        </is>
      </c>
      <c r="E1678" s="6" t="inlineStr">
        <is>
          <t>2023Q4</t>
        </is>
      </c>
      <c r="F1678" s="14" t="n">
        <v>10769</v>
      </c>
      <c r="G1678" s="15" t="n">
        <v>2524</v>
      </c>
      <c r="H1678" s="15" t="n">
        <v>2480</v>
      </c>
      <c r="I1678" s="9" t="n">
        <v>7889</v>
      </c>
      <c r="J1678" s="10" t="n">
        <v>1304</v>
      </c>
      <c r="K1678" s="10" t="n">
        <v>1600</v>
      </c>
      <c r="L1678" s="7" t="n">
        <v>7203</v>
      </c>
      <c r="M1678" s="8" t="n">
        <v>634</v>
      </c>
      <c r="N1678" s="8" t="n">
        <v>1227</v>
      </c>
      <c r="O1678" s="9" t="n">
        <v>7038</v>
      </c>
      <c r="P1678" s="10" t="n">
        <v>-338</v>
      </c>
      <c r="Q1678" s="10" t="n">
        <v>-1414</v>
      </c>
      <c r="R1678" s="7" t="n">
        <v>9499</v>
      </c>
      <c r="S1678" s="8" t="n">
        <v>-6357</v>
      </c>
      <c r="T1678" s="8" t="n">
        <v>-6899</v>
      </c>
      <c r="U1678" s="9" t="n">
        <v>7493</v>
      </c>
      <c r="V1678" s="10" t="n">
        <v>2235</v>
      </c>
      <c r="W1678" s="10" t="n">
        <v>1716</v>
      </c>
      <c r="X1678" s="7" t="n">
        <v>7888</v>
      </c>
      <c r="Y1678" s="8" t="n">
        <v>-323</v>
      </c>
      <c r="Z1678" s="8" t="n">
        <v>-1052</v>
      </c>
      <c r="AA1678" s="9" t="n">
        <v>8303</v>
      </c>
      <c r="AB1678" s="10" t="n">
        <v>483</v>
      </c>
      <c r="AC1678" s="10" t="n">
        <v>433</v>
      </c>
      <c r="AD1678" s="7" t="n">
        <v>8402</v>
      </c>
      <c r="AE1678" s="8" t="n">
        <v>1707</v>
      </c>
      <c r="AF1678" s="8" t="n">
        <v>2047</v>
      </c>
      <c r="AG1678" s="9" t="n">
        <v>9594</v>
      </c>
      <c r="AH1678" s="10" t="n">
        <v>1454</v>
      </c>
      <c r="AI1678" s="10" t="n">
        <v>1267</v>
      </c>
      <c r="AJ1678" s="11" t="n">
        <v>10798</v>
      </c>
      <c r="AK1678" s="12" t="n">
        <v>1099</v>
      </c>
      <c r="AL1678" s="12" t="n">
        <v>772</v>
      </c>
      <c r="AM1678" s="13" t="n">
        <v>12.5</v>
      </c>
      <c r="AN1678" s="13" t="n">
        <v>36.9</v>
      </c>
      <c r="AO1678" s="13" t="n">
        <v>-24.4</v>
      </c>
      <c r="AP1678" s="13" t="n">
        <v>440.2</v>
      </c>
    </row>
    <row r="1679">
      <c r="A1679" s="5" t="inlineStr">
        <is>
          <t>파수AI</t>
        </is>
      </c>
      <c r="B1679" s="6" t="inlineStr">
        <is>
          <t>150900</t>
        </is>
      </c>
      <c r="C1679" s="6" t="inlineStr">
        <is>
          <t>연결</t>
        </is>
      </c>
      <c r="D1679" s="6" t="inlineStr">
        <is>
          <t>2026Q2</t>
        </is>
      </c>
      <c r="E1679" s="6" t="inlineStr">
        <is>
          <t>2023Q4</t>
        </is>
      </c>
      <c r="F1679" s="14" t="n">
        <v>15662</v>
      </c>
      <c r="G1679" s="15" t="n">
        <v>4613</v>
      </c>
      <c r="H1679" s="15" t="n">
        <v>4397</v>
      </c>
      <c r="I1679" s="9" t="n">
        <v>8140</v>
      </c>
      <c r="J1679" s="10" t="n">
        <v>-1420</v>
      </c>
      <c r="K1679" s="10" t="n">
        <v>-1160</v>
      </c>
      <c r="L1679" s="7" t="n">
        <v>11298</v>
      </c>
      <c r="M1679" s="8" t="n">
        <v>644</v>
      </c>
      <c r="N1679" s="8" t="n">
        <v>593</v>
      </c>
      <c r="O1679" s="9" t="n">
        <v>9784</v>
      </c>
      <c r="P1679" s="10" t="n">
        <v>-617</v>
      </c>
      <c r="Q1679" s="10" t="n">
        <v>-639</v>
      </c>
      <c r="R1679" s="7" t="n">
        <v>16881</v>
      </c>
      <c r="S1679" s="8" t="n">
        <v>5293</v>
      </c>
      <c r="T1679" s="8" t="n">
        <v>5819</v>
      </c>
      <c r="U1679" s="9" t="n">
        <v>8433</v>
      </c>
      <c r="V1679" s="10" t="n">
        <v>-2715</v>
      </c>
      <c r="W1679" s="10" t="n">
        <v>-2661</v>
      </c>
      <c r="X1679" s="7" t="n">
        <v>10699</v>
      </c>
      <c r="Y1679" s="8" t="n">
        <v>-939</v>
      </c>
      <c r="Z1679" s="8" t="n">
        <v>-1243</v>
      </c>
      <c r="AA1679" s="9" t="n">
        <v>10449</v>
      </c>
      <c r="AB1679" s="10" t="n">
        <v>255</v>
      </c>
      <c r="AC1679" s="10" t="n">
        <v>364</v>
      </c>
      <c r="AD1679" s="7" t="n">
        <v>17095</v>
      </c>
      <c r="AE1679" s="8" t="n">
        <v>5935</v>
      </c>
      <c r="AF1679" s="8" t="n">
        <v>6261</v>
      </c>
      <c r="AG1679" s="9" t="n">
        <v>9005</v>
      </c>
      <c r="AH1679" s="10" t="n">
        <v>-2017</v>
      </c>
      <c r="AI1679" s="10" t="n">
        <v>-1872</v>
      </c>
      <c r="AJ1679" s="11" t="n">
        <v>13128</v>
      </c>
      <c r="AK1679" s="12" t="n">
        <v>1006</v>
      </c>
      <c r="AL1679" s="12" t="n">
        <v>1050</v>
      </c>
      <c r="AM1679" s="13" t="n">
        <v>45.8</v>
      </c>
      <c r="AN1679" s="13" t="n">
        <v>22.7</v>
      </c>
      <c r="AO1679" s="13" t="n">
        <v>149.9</v>
      </c>
      <c r="AP1679" s="13" t="n">
        <v>207.1</v>
      </c>
    </row>
    <row r="1680">
      <c r="A1680" s="5" t="inlineStr">
        <is>
          <t>KG에코솔루션</t>
        </is>
      </c>
      <c r="B1680" s="6" t="inlineStr">
        <is>
          <t>151860</t>
        </is>
      </c>
      <c r="C1680" s="6" t="inlineStr">
        <is>
          <t>연결</t>
        </is>
      </c>
      <c r="D1680" s="6" t="inlineStr">
        <is>
          <t>2026Q2</t>
        </is>
      </c>
      <c r="E1680" s="6" t="inlineStr"/>
      <c r="F1680" s="7" t="inlineStr"/>
      <c r="G1680" s="8" t="inlineStr"/>
      <c r="H1680" s="8" t="inlineStr"/>
      <c r="I1680" s="9" t="n">
        <v>1839977</v>
      </c>
      <c r="J1680" s="10" t="n">
        <v>71095</v>
      </c>
      <c r="K1680" s="10" t="n">
        <v>78641</v>
      </c>
      <c r="L1680" s="7" t="n">
        <v>1853818</v>
      </c>
      <c r="M1680" s="8" t="n">
        <v>87926</v>
      </c>
      <c r="N1680" s="8" t="n">
        <v>77693</v>
      </c>
      <c r="O1680" s="9" t="n">
        <v>1746944</v>
      </c>
      <c r="P1680" s="10" t="n">
        <v>5580</v>
      </c>
      <c r="Q1680" s="10" t="n">
        <v>-3150</v>
      </c>
      <c r="R1680" s="7" t="n">
        <v>1844123</v>
      </c>
      <c r="S1680" s="8" t="n">
        <v>61934</v>
      </c>
      <c r="T1680" s="8" t="n">
        <v>61048</v>
      </c>
      <c r="U1680" s="9" t="n">
        <v>1747752</v>
      </c>
      <c r="V1680" s="10" t="n">
        <v>75445</v>
      </c>
      <c r="W1680" s="10" t="n">
        <v>50491</v>
      </c>
      <c r="X1680" s="7" t="n">
        <v>1805739</v>
      </c>
      <c r="Y1680" s="8" t="n">
        <v>48312</v>
      </c>
      <c r="Z1680" s="8" t="n">
        <v>39707</v>
      </c>
      <c r="AA1680" s="9" t="n">
        <v>2069142</v>
      </c>
      <c r="AB1680" s="10" t="n">
        <v>58838</v>
      </c>
      <c r="AC1680" s="10" t="n">
        <v>29177</v>
      </c>
      <c r="AD1680" s="7" t="n">
        <v>1954564</v>
      </c>
      <c r="AE1680" s="8" t="n">
        <v>8661</v>
      </c>
      <c r="AF1680" s="8" t="n">
        <v>64328</v>
      </c>
      <c r="AG1680" s="9" t="n">
        <v>1969605</v>
      </c>
      <c r="AH1680" s="10" t="n">
        <v>32795</v>
      </c>
      <c r="AI1680" s="10" t="n">
        <v>70430</v>
      </c>
      <c r="AJ1680" s="11" t="n">
        <v>2150309</v>
      </c>
      <c r="AK1680" s="12" t="n">
        <v>51655</v>
      </c>
      <c r="AL1680" s="12" t="n">
        <v>112761</v>
      </c>
      <c r="AM1680" s="13" t="n">
        <v>9.199999999999999</v>
      </c>
      <c r="AN1680" s="13" t="n">
        <v>19.1</v>
      </c>
      <c r="AO1680" s="13" t="n">
        <v>57.5</v>
      </c>
      <c r="AP1680" s="13" t="n">
        <v>6.9</v>
      </c>
    </row>
    <row r="1681">
      <c r="A1681" s="5" t="inlineStr">
        <is>
          <t>네이블</t>
        </is>
      </c>
      <c r="B1681" s="6" t="inlineStr">
        <is>
          <t>153460</t>
        </is>
      </c>
      <c r="C1681" s="6" t="inlineStr">
        <is>
          <t>별도</t>
        </is>
      </c>
      <c r="D1681" s="6" t="inlineStr">
        <is>
          <t>2026Q2</t>
        </is>
      </c>
      <c r="E1681" s="6" t="inlineStr"/>
      <c r="F1681" s="7" t="inlineStr"/>
      <c r="G1681" s="8" t="inlineStr"/>
      <c r="H1681" s="8" t="inlineStr"/>
      <c r="I1681" s="9" t="n">
        <v>1955</v>
      </c>
      <c r="J1681" s="10" t="n">
        <v>-1650</v>
      </c>
      <c r="K1681" s="10" t="n">
        <v>-1405</v>
      </c>
      <c r="L1681" s="7" t="n">
        <v>2546</v>
      </c>
      <c r="M1681" s="8" t="n">
        <v>-1056</v>
      </c>
      <c r="N1681" s="8" t="n">
        <v>-628</v>
      </c>
      <c r="O1681" s="9" t="n">
        <v>2163</v>
      </c>
      <c r="P1681" s="10" t="n">
        <v>-660</v>
      </c>
      <c r="Q1681" s="10" t="n">
        <v>-459</v>
      </c>
      <c r="R1681" s="7" t="n">
        <v>10536</v>
      </c>
      <c r="S1681" s="8" t="n">
        <v>3751</v>
      </c>
      <c r="T1681" s="8" t="n">
        <v>3777</v>
      </c>
      <c r="U1681" s="9" t="n">
        <v>2998</v>
      </c>
      <c r="V1681" s="10" t="n">
        <v>-474</v>
      </c>
      <c r="W1681" s="10" t="n">
        <v>-277</v>
      </c>
      <c r="X1681" s="7" t="n">
        <v>3602</v>
      </c>
      <c r="Y1681" s="8" t="n">
        <v>583</v>
      </c>
      <c r="Z1681" s="8" t="n">
        <v>653</v>
      </c>
      <c r="AA1681" s="9" t="n">
        <v>5182</v>
      </c>
      <c r="AB1681" s="10" t="n">
        <v>1071</v>
      </c>
      <c r="AC1681" s="10" t="n">
        <v>1130</v>
      </c>
      <c r="AD1681" s="7" t="n">
        <v>7407</v>
      </c>
      <c r="AE1681" s="8" t="n">
        <v>1432</v>
      </c>
      <c r="AF1681" s="8" t="n">
        <v>1013</v>
      </c>
      <c r="AG1681" s="9" t="n">
        <v>2851</v>
      </c>
      <c r="AH1681" s="10" t="n">
        <v>-1118</v>
      </c>
      <c r="AI1681" s="10" t="n">
        <v>-915</v>
      </c>
      <c r="AJ1681" s="11" t="n">
        <v>3454</v>
      </c>
      <c r="AK1681" s="12" t="n">
        <v>-555</v>
      </c>
      <c r="AL1681" s="12" t="n">
        <v>-341</v>
      </c>
      <c r="AM1681" s="13" t="n">
        <v>21.2</v>
      </c>
      <c r="AN1681" s="13" t="n">
        <v>-4.1</v>
      </c>
      <c r="AO1681" s="13" t="n">
        <v>50.4</v>
      </c>
      <c r="AP1681" s="13" t="n">
        <v>-195.2</v>
      </c>
    </row>
    <row r="1682">
      <c r="A1682" s="5" t="inlineStr">
        <is>
          <t>우리이앤엘하루틴</t>
        </is>
      </c>
      <c r="B1682" s="6" t="inlineStr">
        <is>
          <t>153490</t>
        </is>
      </c>
      <c r="C1682" s="6" t="inlineStr">
        <is>
          <t>연결</t>
        </is>
      </c>
      <c r="D1682" s="6" t="inlineStr">
        <is>
          <t>2026Q2</t>
        </is>
      </c>
      <c r="E1682" s="6" t="inlineStr"/>
      <c r="F1682" s="7" t="inlineStr"/>
      <c r="G1682" s="8" t="inlineStr"/>
      <c r="H1682" s="8" t="inlineStr"/>
      <c r="I1682" s="9" t="n">
        <v>34398</v>
      </c>
      <c r="J1682" s="10" t="n">
        <v>1305</v>
      </c>
      <c r="K1682" s="10" t="n">
        <v>2604</v>
      </c>
      <c r="L1682" s="7" t="n">
        <v>40473</v>
      </c>
      <c r="M1682" s="8" t="n">
        <v>5325</v>
      </c>
      <c r="N1682" s="8" t="n">
        <v>5699</v>
      </c>
      <c r="O1682" s="9" t="n">
        <v>37505</v>
      </c>
      <c r="P1682" s="10" t="n">
        <v>151</v>
      </c>
      <c r="Q1682" s="10" t="n">
        <v>-2894</v>
      </c>
      <c r="R1682" s="7" t="n">
        <v>34477</v>
      </c>
      <c r="S1682" s="8" t="n">
        <v>87</v>
      </c>
      <c r="T1682" s="8" t="n">
        <v>106</v>
      </c>
      <c r="U1682" s="9" t="n">
        <v>32112</v>
      </c>
      <c r="V1682" s="10" t="n">
        <v>602</v>
      </c>
      <c r="W1682" s="10" t="n">
        <v>81</v>
      </c>
      <c r="X1682" s="7" t="n">
        <v>33899</v>
      </c>
      <c r="Y1682" s="8" t="n">
        <v>3069</v>
      </c>
      <c r="Z1682" s="8" t="n">
        <v>2</v>
      </c>
      <c r="AA1682" s="9" t="n">
        <v>29480</v>
      </c>
      <c r="AB1682" s="10" t="n">
        <v>-1487</v>
      </c>
      <c r="AC1682" s="10" t="n">
        <v>794</v>
      </c>
      <c r="AD1682" s="7" t="n">
        <v>25720</v>
      </c>
      <c r="AE1682" s="8" t="n">
        <v>-1897</v>
      </c>
      <c r="AF1682" s="8" t="n">
        <v>-2268</v>
      </c>
      <c r="AG1682" s="9" t="n">
        <v>23004</v>
      </c>
      <c r="AH1682" s="10" t="n">
        <v>-5768</v>
      </c>
      <c r="AI1682" s="10" t="n">
        <v>-3438</v>
      </c>
      <c r="AJ1682" s="11" t="n">
        <v>36151</v>
      </c>
      <c r="AK1682" s="12" t="n">
        <v>-4557</v>
      </c>
      <c r="AL1682" s="12" t="n">
        <v>-4206</v>
      </c>
      <c r="AM1682" s="13" t="n">
        <v>57.2</v>
      </c>
      <c r="AN1682" s="13" t="n">
        <v>6.6</v>
      </c>
      <c r="AO1682" s="13" t="n">
        <v>21</v>
      </c>
      <c r="AP1682" s="13" t="n">
        <v>-248.5</v>
      </c>
    </row>
    <row r="1683">
      <c r="A1683" s="5" t="inlineStr">
        <is>
          <t>옵티팜</t>
        </is>
      </c>
      <c r="B1683" s="6" t="inlineStr">
        <is>
          <t>153710</t>
        </is>
      </c>
      <c r="C1683" s="6" t="inlineStr">
        <is>
          <t>별도</t>
        </is>
      </c>
      <c r="D1683" s="6" t="inlineStr">
        <is>
          <t>2026Q2</t>
        </is>
      </c>
      <c r="E1683" s="6" t="inlineStr"/>
      <c r="F1683" s="7" t="inlineStr"/>
      <c r="G1683" s="8" t="inlineStr"/>
      <c r="H1683" s="8" t="inlineStr"/>
      <c r="I1683" s="9" t="n">
        <v>4300</v>
      </c>
      <c r="J1683" s="10" t="n">
        <v>-863</v>
      </c>
      <c r="K1683" s="10" t="n">
        <v>-832</v>
      </c>
      <c r="L1683" s="7" t="n">
        <v>4954</v>
      </c>
      <c r="M1683" s="8" t="n">
        <v>-792</v>
      </c>
      <c r="N1683" s="8" t="n">
        <v>-769</v>
      </c>
      <c r="O1683" s="9" t="n">
        <v>4786</v>
      </c>
      <c r="P1683" s="10" t="n">
        <v>-546</v>
      </c>
      <c r="Q1683" s="10" t="n">
        <v>-526</v>
      </c>
      <c r="R1683" s="7" t="n">
        <v>5596</v>
      </c>
      <c r="S1683" s="8" t="n">
        <v>-251</v>
      </c>
      <c r="T1683" s="8" t="n">
        <v>-230</v>
      </c>
      <c r="U1683" s="9" t="n">
        <v>4918</v>
      </c>
      <c r="V1683" s="10" t="n">
        <v>-1134</v>
      </c>
      <c r="W1683" s="10" t="n">
        <v>-1138</v>
      </c>
      <c r="X1683" s="7" t="n">
        <v>5789</v>
      </c>
      <c r="Y1683" s="8" t="n">
        <v>-434</v>
      </c>
      <c r="Z1683" s="8" t="n">
        <v>-470</v>
      </c>
      <c r="AA1683" s="9" t="n">
        <v>5677</v>
      </c>
      <c r="AB1683" s="10" t="n">
        <v>-525</v>
      </c>
      <c r="AC1683" s="10" t="n">
        <v>-547</v>
      </c>
      <c r="AD1683" s="7" t="n">
        <v>5961</v>
      </c>
      <c r="AE1683" s="8" t="n">
        <v>-321</v>
      </c>
      <c r="AF1683" s="8" t="n">
        <v>-344</v>
      </c>
      <c r="AG1683" s="9" t="n">
        <v>5361</v>
      </c>
      <c r="AH1683" s="10" t="n">
        <v>-723</v>
      </c>
      <c r="AI1683" s="10" t="n">
        <v>-754</v>
      </c>
      <c r="AJ1683" s="11" t="n">
        <v>6588</v>
      </c>
      <c r="AK1683" s="12" t="n">
        <v>-206</v>
      </c>
      <c r="AL1683" s="12" t="n">
        <v>-217</v>
      </c>
      <c r="AM1683" s="13" t="n">
        <v>22.9</v>
      </c>
      <c r="AN1683" s="13" t="n">
        <v>13.8</v>
      </c>
      <c r="AO1683" s="13" t="n">
        <v>71.5</v>
      </c>
      <c r="AP1683" s="13" t="n">
        <v>52.5</v>
      </c>
    </row>
    <row r="1684">
      <c r="A1684" s="5" t="inlineStr">
        <is>
          <t>져스텍</t>
        </is>
      </c>
      <c r="B1684" s="6" t="inlineStr">
        <is>
          <t>153890</t>
        </is>
      </c>
      <c r="C1684" s="6" t="inlineStr">
        <is>
          <t>연결</t>
        </is>
      </c>
      <c r="D1684" s="6" t="inlineStr">
        <is>
          <t>2026Q2</t>
        </is>
      </c>
      <c r="E1684" s="6" t="inlineStr"/>
      <c r="F1684" s="7" t="inlineStr"/>
      <c r="G1684" s="8" t="inlineStr"/>
      <c r="H1684" s="8" t="inlineStr"/>
      <c r="I1684" s="9" t="inlineStr"/>
      <c r="J1684" s="10" t="inlineStr"/>
      <c r="K1684" s="10" t="inlineStr"/>
      <c r="L1684" s="7" t="inlineStr"/>
      <c r="M1684" s="8" t="inlineStr"/>
      <c r="N1684" s="8" t="inlineStr"/>
      <c r="O1684" s="9" t="inlineStr"/>
      <c r="P1684" s="10" t="inlineStr"/>
      <c r="Q1684" s="10" t="inlineStr"/>
      <c r="R1684" s="7" t="inlineStr"/>
      <c r="S1684" s="8" t="inlineStr"/>
      <c r="T1684" s="8" t="inlineStr"/>
      <c r="U1684" s="9" t="inlineStr"/>
      <c r="V1684" s="10" t="inlineStr"/>
      <c r="W1684" s="10" t="inlineStr"/>
      <c r="X1684" s="7" t="inlineStr"/>
      <c r="Y1684" s="8" t="inlineStr"/>
      <c r="Z1684" s="8" t="inlineStr"/>
      <c r="AA1684" s="9" t="inlineStr"/>
      <c r="AB1684" s="10" t="inlineStr"/>
      <c r="AC1684" s="10" t="inlineStr"/>
      <c r="AD1684" s="7" t="inlineStr"/>
      <c r="AE1684" s="8" t="inlineStr"/>
      <c r="AF1684" s="8" t="inlineStr"/>
      <c r="AG1684" s="9" t="n">
        <v>3495</v>
      </c>
      <c r="AH1684" s="10" t="n">
        <v>-284</v>
      </c>
      <c r="AI1684" s="10" t="n">
        <v>-280</v>
      </c>
      <c r="AJ1684" s="11" t="n">
        <v>5037</v>
      </c>
      <c r="AK1684" s="12" t="n">
        <v>1099</v>
      </c>
      <c r="AL1684" s="12" t="n">
        <v>1162</v>
      </c>
      <c r="AM1684" s="13" t="n">
        <v>44.1</v>
      </c>
      <c r="AN1684" s="13" t="inlineStr"/>
      <c r="AO1684" s="13" t="n">
        <v>487</v>
      </c>
      <c r="AP1684" s="13" t="inlineStr"/>
    </row>
    <row r="1685">
      <c r="A1685" s="5" t="inlineStr">
        <is>
          <t>아시아종묘</t>
        </is>
      </c>
      <c r="B1685" s="6" t="inlineStr">
        <is>
          <t>154030</t>
        </is>
      </c>
      <c r="C1685" s="6" t="inlineStr">
        <is>
          <t>연결</t>
        </is>
      </c>
      <c r="D1685" s="6" t="inlineStr">
        <is>
          <t>2026Q2</t>
        </is>
      </c>
      <c r="E1685" s="6" t="inlineStr"/>
      <c r="F1685" s="7" t="inlineStr"/>
      <c r="G1685" s="8" t="inlineStr"/>
      <c r="H1685" s="8" t="inlineStr"/>
      <c r="I1685" s="9" t="n">
        <v>4281</v>
      </c>
      <c r="J1685" s="10" t="n">
        <v>-1242</v>
      </c>
      <c r="K1685" s="10" t="n">
        <v>-1064</v>
      </c>
      <c r="L1685" s="7" t="n">
        <v>7976</v>
      </c>
      <c r="M1685" s="8" t="n">
        <v>300</v>
      </c>
      <c r="N1685" s="8" t="n">
        <v>1398</v>
      </c>
      <c r="O1685" s="9" t="n">
        <v>5965</v>
      </c>
      <c r="P1685" s="10" t="n">
        <v>-533</v>
      </c>
      <c r="Q1685" s="10" t="n">
        <v>-721</v>
      </c>
      <c r="R1685" s="7" t="n">
        <v>6372</v>
      </c>
      <c r="S1685" s="8" t="n">
        <v>350</v>
      </c>
      <c r="T1685" s="8" t="n">
        <v>-247</v>
      </c>
      <c r="U1685" s="9" t="inlineStr"/>
      <c r="V1685" s="10" t="inlineStr"/>
      <c r="W1685" s="10" t="inlineStr"/>
      <c r="X1685" s="7" t="n">
        <v>9188</v>
      </c>
      <c r="Y1685" s="8" t="n">
        <v>1352</v>
      </c>
      <c r="Z1685" s="8" t="n">
        <v>2207</v>
      </c>
      <c r="AA1685" s="9" t="n">
        <v>5561</v>
      </c>
      <c r="AB1685" s="10" t="n">
        <v>-201</v>
      </c>
      <c r="AC1685" s="10" t="n">
        <v>-566</v>
      </c>
      <c r="AD1685" s="7" t="inlineStr"/>
      <c r="AE1685" s="8" t="inlineStr"/>
      <c r="AF1685" s="8" t="inlineStr"/>
      <c r="AG1685" s="9" t="n">
        <v>8842</v>
      </c>
      <c r="AH1685" s="10" t="n">
        <v>1220</v>
      </c>
      <c r="AI1685" s="10" t="n">
        <v>1497</v>
      </c>
      <c r="AJ1685" s="11" t="n">
        <v>6751</v>
      </c>
      <c r="AK1685" s="12" t="n">
        <v>-263</v>
      </c>
      <c r="AL1685" s="12" t="n">
        <v>-293</v>
      </c>
      <c r="AM1685" s="13" t="n">
        <v>-23.6</v>
      </c>
      <c r="AN1685" s="13" t="n">
        <v>-26.5</v>
      </c>
      <c r="AO1685" s="13" t="n">
        <v>-121.6</v>
      </c>
      <c r="AP1685" s="13" t="n">
        <v>-119.5</v>
      </c>
    </row>
    <row r="1686">
      <c r="A1686" s="5" t="inlineStr">
        <is>
          <t>다산솔루에타</t>
        </is>
      </c>
      <c r="B1686" s="6" t="inlineStr">
        <is>
          <t>154040</t>
        </is>
      </c>
      <c r="C1686" s="6" t="inlineStr">
        <is>
          <t>별도</t>
        </is>
      </c>
      <c r="D1686" s="6" t="inlineStr">
        <is>
          <t>2026Q2</t>
        </is>
      </c>
      <c r="E1686" s="6" t="inlineStr"/>
      <c r="F1686" s="7" t="inlineStr"/>
      <c r="G1686" s="8" t="inlineStr"/>
      <c r="H1686" s="8" t="inlineStr"/>
      <c r="I1686" s="9" t="n">
        <v>43057</v>
      </c>
      <c r="J1686" s="10" t="n">
        <v>2270</v>
      </c>
      <c r="K1686" s="10" t="n">
        <v>-975</v>
      </c>
      <c r="L1686" s="7" t="n">
        <v>10651</v>
      </c>
      <c r="M1686" s="8" t="n">
        <v>2022</v>
      </c>
      <c r="N1686" s="8" t="n">
        <v>1369</v>
      </c>
      <c r="O1686" s="9" t="n">
        <v>11452</v>
      </c>
      <c r="P1686" s="10" t="n">
        <v>1959</v>
      </c>
      <c r="Q1686" s="10" t="n">
        <v>-211</v>
      </c>
      <c r="R1686" s="7" t="n">
        <v>-29724</v>
      </c>
      <c r="S1686" s="8" t="n">
        <v>-4256</v>
      </c>
      <c r="T1686" s="8" t="n">
        <v>-19503</v>
      </c>
      <c r="U1686" s="9" t="n">
        <v>7915</v>
      </c>
      <c r="V1686" s="10" t="n">
        <v>1470</v>
      </c>
      <c r="W1686" s="10" t="n">
        <v>2452</v>
      </c>
      <c r="X1686" s="7" t="n">
        <v>8618</v>
      </c>
      <c r="Y1686" s="8" t="n">
        <v>777</v>
      </c>
      <c r="Z1686" s="8" t="n">
        <v>11422</v>
      </c>
      <c r="AA1686" s="9" t="n">
        <v>8698</v>
      </c>
      <c r="AB1686" s="10" t="n">
        <v>438</v>
      </c>
      <c r="AC1686" s="10" t="n">
        <v>7473</v>
      </c>
      <c r="AD1686" s="7" t="n">
        <v>6168</v>
      </c>
      <c r="AE1686" s="8" t="n">
        <v>-973</v>
      </c>
      <c r="AF1686" s="8" t="n">
        <v>-9181</v>
      </c>
      <c r="AG1686" s="9" t="n">
        <v>6283</v>
      </c>
      <c r="AH1686" s="10" t="n">
        <v>4</v>
      </c>
      <c r="AI1686" s="10" t="n">
        <v>658</v>
      </c>
      <c r="AJ1686" s="11" t="n">
        <v>6977</v>
      </c>
      <c r="AK1686" s="12" t="n">
        <v>232</v>
      </c>
      <c r="AL1686" s="12" t="n">
        <v>878</v>
      </c>
      <c r="AM1686" s="13" t="n">
        <v>11</v>
      </c>
      <c r="AN1686" s="13" t="n">
        <v>-19</v>
      </c>
      <c r="AO1686" s="13" t="n">
        <v>5700</v>
      </c>
      <c r="AP1686" s="13" t="n">
        <v>-70.09999999999999</v>
      </c>
    </row>
    <row r="1687">
      <c r="A1687" s="5" t="inlineStr">
        <is>
          <t>와이엠씨</t>
        </is>
      </c>
      <c r="B1687" s="6" t="inlineStr">
        <is>
          <t>155650</t>
        </is>
      </c>
      <c r="C1687" s="6" t="inlineStr">
        <is>
          <t>연결</t>
        </is>
      </c>
      <c r="D1687" s="6" t="inlineStr">
        <is>
          <t>2026Q2</t>
        </is>
      </c>
      <c r="E1687" s="6" t="inlineStr"/>
      <c r="F1687" s="7" t="inlineStr"/>
      <c r="G1687" s="8" t="inlineStr"/>
      <c r="H1687" s="8" t="inlineStr"/>
      <c r="I1687" s="9" t="n">
        <v>36635</v>
      </c>
      <c r="J1687" s="10" t="n">
        <v>1794</v>
      </c>
      <c r="K1687" s="10" t="n">
        <v>1511</v>
      </c>
      <c r="L1687" s="7" t="n">
        <v>43630</v>
      </c>
      <c r="M1687" s="8" t="n">
        <v>2707</v>
      </c>
      <c r="N1687" s="8" t="n">
        <v>2180</v>
      </c>
      <c r="O1687" s="9" t="n">
        <v>41570</v>
      </c>
      <c r="P1687" s="10" t="n">
        <v>1792</v>
      </c>
      <c r="Q1687" s="10" t="n">
        <v>751</v>
      </c>
      <c r="R1687" s="7" t="n">
        <v>45895</v>
      </c>
      <c r="S1687" s="8" t="n">
        <v>604</v>
      </c>
      <c r="T1687" s="8" t="n">
        <v>2257</v>
      </c>
      <c r="U1687" s="9" t="n">
        <v>41092</v>
      </c>
      <c r="V1687" s="10" t="n">
        <v>21</v>
      </c>
      <c r="W1687" s="10" t="n">
        <v>-434</v>
      </c>
      <c r="X1687" s="7" t="n">
        <v>43238</v>
      </c>
      <c r="Y1687" s="8" t="n">
        <v>2482</v>
      </c>
      <c r="Z1687" s="8" t="n">
        <v>509</v>
      </c>
      <c r="AA1687" s="9" t="n">
        <v>40965</v>
      </c>
      <c r="AB1687" s="10" t="n">
        <v>1859</v>
      </c>
      <c r="AC1687" s="10" t="n">
        <v>1500</v>
      </c>
      <c r="AD1687" s="7" t="n">
        <v>47482</v>
      </c>
      <c r="AE1687" s="8" t="n">
        <v>212</v>
      </c>
      <c r="AF1687" s="8" t="n">
        <v>-462</v>
      </c>
      <c r="AG1687" s="9" t="n">
        <v>47096</v>
      </c>
      <c r="AH1687" s="10" t="n">
        <v>1101</v>
      </c>
      <c r="AI1687" s="10" t="n">
        <v>1593</v>
      </c>
      <c r="AJ1687" s="11" t="n">
        <v>53408</v>
      </c>
      <c r="AK1687" s="12" t="n">
        <v>2788</v>
      </c>
      <c r="AL1687" s="12" t="n">
        <v>2325</v>
      </c>
      <c r="AM1687" s="13" t="n">
        <v>13.4</v>
      </c>
      <c r="AN1687" s="13" t="n">
        <v>23.5</v>
      </c>
      <c r="AO1687" s="13" t="n">
        <v>153.2</v>
      </c>
      <c r="AP1687" s="13" t="n">
        <v>12.3</v>
      </c>
    </row>
    <row r="1688">
      <c r="A1688" s="5" t="inlineStr">
        <is>
          <t>DSR</t>
        </is>
      </c>
      <c r="B1688" s="6" t="inlineStr">
        <is>
          <t>155660</t>
        </is>
      </c>
      <c r="C1688" s="6" t="inlineStr">
        <is>
          <t>연결</t>
        </is>
      </c>
      <c r="D1688" s="6" t="inlineStr">
        <is>
          <t>2026Q2</t>
        </is>
      </c>
      <c r="E1688" s="6" t="inlineStr"/>
      <c r="F1688" s="7" t="inlineStr"/>
      <c r="G1688" s="8" t="inlineStr"/>
      <c r="H1688" s="8" t="inlineStr"/>
      <c r="I1688" s="9" t="n">
        <v>68124</v>
      </c>
      <c r="J1688" s="10" t="n">
        <v>5117</v>
      </c>
      <c r="K1688" s="10" t="n">
        <v>4607</v>
      </c>
      <c r="L1688" s="7" t="n">
        <v>75451</v>
      </c>
      <c r="M1688" s="8" t="n">
        <v>5142</v>
      </c>
      <c r="N1688" s="8" t="n">
        <v>4675</v>
      </c>
      <c r="O1688" s="9" t="n">
        <v>74179</v>
      </c>
      <c r="P1688" s="10" t="n">
        <v>1590</v>
      </c>
      <c r="Q1688" s="10" t="n">
        <v>3158</v>
      </c>
      <c r="R1688" s="7" t="n">
        <v>82055</v>
      </c>
      <c r="S1688" s="8" t="n">
        <v>3492</v>
      </c>
      <c r="T1688" s="8" t="n">
        <v>2073</v>
      </c>
      <c r="U1688" s="9" t="n">
        <v>74085</v>
      </c>
      <c r="V1688" s="10" t="n">
        <v>5728</v>
      </c>
      <c r="W1688" s="10" t="n">
        <v>4201</v>
      </c>
      <c r="X1688" s="7" t="n">
        <v>76691</v>
      </c>
      <c r="Y1688" s="8" t="n">
        <v>2951</v>
      </c>
      <c r="Z1688" s="8" t="n">
        <v>-123</v>
      </c>
      <c r="AA1688" s="9" t="n">
        <v>74657</v>
      </c>
      <c r="AB1688" s="10" t="n">
        <v>5494</v>
      </c>
      <c r="AC1688" s="10" t="n">
        <v>7289</v>
      </c>
      <c r="AD1688" s="7" t="n">
        <v>76957</v>
      </c>
      <c r="AE1688" s="8" t="n">
        <v>5119</v>
      </c>
      <c r="AF1688" s="8" t="n">
        <v>3501</v>
      </c>
      <c r="AG1688" s="9" t="n">
        <v>76336</v>
      </c>
      <c r="AH1688" s="10" t="n">
        <v>6674</v>
      </c>
      <c r="AI1688" s="10" t="n">
        <v>9784</v>
      </c>
      <c r="AJ1688" s="11" t="n">
        <v>88214</v>
      </c>
      <c r="AK1688" s="12" t="n">
        <v>4075</v>
      </c>
      <c r="AL1688" s="12" t="n">
        <v>11034</v>
      </c>
      <c r="AM1688" s="13" t="n">
        <v>15.6</v>
      </c>
      <c r="AN1688" s="13" t="n">
        <v>15</v>
      </c>
      <c r="AO1688" s="13" t="n">
        <v>-38.9</v>
      </c>
      <c r="AP1688" s="13" t="n">
        <v>38.1</v>
      </c>
    </row>
    <row r="1689">
      <c r="A1689" s="5" t="inlineStr">
        <is>
          <t>엘앤케이바이오</t>
        </is>
      </c>
      <c r="B1689" s="6" t="inlineStr">
        <is>
          <t>156100</t>
        </is>
      </c>
      <c r="C1689" s="6" t="inlineStr">
        <is>
          <t>연결</t>
        </is>
      </c>
      <c r="D1689" s="6" t="inlineStr">
        <is>
          <t>2026Q2</t>
        </is>
      </c>
      <c r="E1689" s="6" t="inlineStr"/>
      <c r="F1689" s="7" t="inlineStr"/>
      <c r="G1689" s="8" t="inlineStr"/>
      <c r="H1689" s="8" t="inlineStr"/>
      <c r="I1689" s="9" t="n">
        <v>9126</v>
      </c>
      <c r="J1689" s="10" t="n">
        <v>1653</v>
      </c>
      <c r="K1689" s="10" t="n">
        <v>1788</v>
      </c>
      <c r="L1689" s="7" t="n">
        <v>7194</v>
      </c>
      <c r="M1689" s="8" t="n">
        <v>-403</v>
      </c>
      <c r="N1689" s="8" t="n">
        <v>2341</v>
      </c>
      <c r="O1689" s="9" t="n">
        <v>9748</v>
      </c>
      <c r="P1689" s="10" t="n">
        <v>1259</v>
      </c>
      <c r="Q1689" s="10" t="n">
        <v>-827</v>
      </c>
      <c r="R1689" s="7" t="n">
        <v>10024</v>
      </c>
      <c r="S1689" s="8" t="n">
        <v>569</v>
      </c>
      <c r="T1689" s="8" t="n">
        <v>5849</v>
      </c>
      <c r="U1689" s="9" t="n">
        <v>8893</v>
      </c>
      <c r="V1689" s="10" t="n">
        <v>-145</v>
      </c>
      <c r="W1689" s="10" t="n">
        <v>-734</v>
      </c>
      <c r="X1689" s="7" t="n">
        <v>11320</v>
      </c>
      <c r="Y1689" s="8" t="n">
        <v>1721</v>
      </c>
      <c r="Z1689" s="8" t="n">
        <v>-2280</v>
      </c>
      <c r="AA1689" s="9" t="n">
        <v>10097</v>
      </c>
      <c r="AB1689" s="10" t="n">
        <v>338</v>
      </c>
      <c r="AC1689" s="10" t="n">
        <v>2580</v>
      </c>
      <c r="AD1689" s="7" t="n">
        <v>8610</v>
      </c>
      <c r="AE1689" s="8" t="n">
        <v>-1199</v>
      </c>
      <c r="AF1689" s="8" t="n">
        <v>-16358</v>
      </c>
      <c r="AG1689" s="9" t="n">
        <v>9500</v>
      </c>
      <c r="AH1689" s="10" t="n">
        <v>106</v>
      </c>
      <c r="AI1689" s="10" t="n">
        <v>7925</v>
      </c>
      <c r="AJ1689" s="11" t="n">
        <v>11735</v>
      </c>
      <c r="AK1689" s="12" t="n">
        <v>1275</v>
      </c>
      <c r="AL1689" s="12" t="n">
        <v>7979</v>
      </c>
      <c r="AM1689" s="13" t="n">
        <v>23.5</v>
      </c>
      <c r="AN1689" s="13" t="n">
        <v>3.7</v>
      </c>
      <c r="AO1689" s="13" t="n">
        <v>1102.8</v>
      </c>
      <c r="AP1689" s="13" t="n">
        <v>-25.9</v>
      </c>
    </row>
    <row r="1690">
      <c r="A1690" s="5" t="inlineStr">
        <is>
          <t>아톤</t>
        </is>
      </c>
      <c r="B1690" s="6" t="inlineStr">
        <is>
          <t>158430</t>
        </is>
      </c>
      <c r="C1690" s="6" t="inlineStr">
        <is>
          <t>연결</t>
        </is>
      </c>
      <c r="D1690" s="6" t="inlineStr">
        <is>
          <t>2026Q2</t>
        </is>
      </c>
      <c r="E1690" s="6" t="inlineStr"/>
      <c r="F1690" s="7" t="inlineStr"/>
      <c r="G1690" s="8" t="inlineStr"/>
      <c r="H1690" s="8" t="inlineStr"/>
      <c r="I1690" s="9" t="n">
        <v>14301</v>
      </c>
      <c r="J1690" s="10" t="n">
        <v>2974</v>
      </c>
      <c r="K1690" s="10" t="n">
        <v>2716</v>
      </c>
      <c r="L1690" s="7" t="n">
        <v>16236</v>
      </c>
      <c r="M1690" s="8" t="n">
        <v>4363</v>
      </c>
      <c r="N1690" s="8" t="n">
        <v>2931</v>
      </c>
      <c r="O1690" s="9" t="n">
        <v>15040</v>
      </c>
      <c r="P1690" s="10" t="n">
        <v>3814</v>
      </c>
      <c r="Q1690" s="10" t="n">
        <v>4221</v>
      </c>
      <c r="R1690" s="7" t="n">
        <v>19847</v>
      </c>
      <c r="S1690" s="8" t="n">
        <v>3286</v>
      </c>
      <c r="T1690" s="8" t="n">
        <v>1170</v>
      </c>
      <c r="U1690" s="9" t="n">
        <v>17013</v>
      </c>
      <c r="V1690" s="10" t="n">
        <v>2096</v>
      </c>
      <c r="W1690" s="10" t="n">
        <v>1945</v>
      </c>
      <c r="X1690" s="7" t="n">
        <v>19686</v>
      </c>
      <c r="Y1690" s="8" t="n">
        <v>1638</v>
      </c>
      <c r="Z1690" s="8" t="n">
        <v>133</v>
      </c>
      <c r="AA1690" s="9" t="n">
        <v>14639</v>
      </c>
      <c r="AB1690" s="10" t="n">
        <v>3323</v>
      </c>
      <c r="AC1690" s="10" t="n">
        <v>3129</v>
      </c>
      <c r="AD1690" s="7" t="n">
        <v>16265</v>
      </c>
      <c r="AE1690" s="8" t="n">
        <v>3301</v>
      </c>
      <c r="AF1690" s="8" t="n">
        <v>-3024</v>
      </c>
      <c r="AG1690" s="9" t="n">
        <v>14842</v>
      </c>
      <c r="AH1690" s="10" t="n">
        <v>432</v>
      </c>
      <c r="AI1690" s="10" t="n">
        <v>1895</v>
      </c>
      <c r="AJ1690" s="11" t="n">
        <v>17438</v>
      </c>
      <c r="AK1690" s="12" t="n">
        <v>3151</v>
      </c>
      <c r="AL1690" s="12" t="n">
        <v>3684</v>
      </c>
      <c r="AM1690" s="13" t="n">
        <v>17.5</v>
      </c>
      <c r="AN1690" s="13" t="n">
        <v>-11.4</v>
      </c>
      <c r="AO1690" s="13" t="n">
        <v>629.4</v>
      </c>
      <c r="AP1690" s="13" t="n">
        <v>92.40000000000001</v>
      </c>
    </row>
    <row r="1691">
      <c r="A1691" s="5" t="inlineStr">
        <is>
          <t>아스플로</t>
        </is>
      </c>
      <c r="B1691" s="6" t="inlineStr">
        <is>
          <t>159010</t>
        </is>
      </c>
      <c r="C1691" s="6" t="inlineStr">
        <is>
          <t>연결</t>
        </is>
      </c>
      <c r="D1691" s="6" t="inlineStr">
        <is>
          <t>2026Q2</t>
        </is>
      </c>
      <c r="E1691" s="6" t="inlineStr"/>
      <c r="F1691" s="7" t="inlineStr"/>
      <c r="G1691" s="8" t="inlineStr"/>
      <c r="H1691" s="8" t="inlineStr"/>
      <c r="I1691" s="9" t="n">
        <v>26035</v>
      </c>
      <c r="J1691" s="10" t="n">
        <v>2794</v>
      </c>
      <c r="K1691" s="10" t="n">
        <v>1756</v>
      </c>
      <c r="L1691" s="7" t="n">
        <v>21397</v>
      </c>
      <c r="M1691" s="8" t="n">
        <v>-20</v>
      </c>
      <c r="N1691" s="8" t="n">
        <v>-219</v>
      </c>
      <c r="O1691" s="9" t="n">
        <v>14763</v>
      </c>
      <c r="P1691" s="10" t="n">
        <v>-3297</v>
      </c>
      <c r="Q1691" s="10" t="n">
        <v>-4361</v>
      </c>
      <c r="R1691" s="7" t="n">
        <v>21415</v>
      </c>
      <c r="S1691" s="8" t="n">
        <v>-1341</v>
      </c>
      <c r="T1691" s="8" t="n">
        <v>457</v>
      </c>
      <c r="U1691" s="9" t="n">
        <v>26000</v>
      </c>
      <c r="V1691" s="10" t="n">
        <v>-1451</v>
      </c>
      <c r="W1691" s="10" t="n">
        <v>-1844</v>
      </c>
      <c r="X1691" s="7" t="n">
        <v>14922</v>
      </c>
      <c r="Y1691" s="8" t="n">
        <v>-1992</v>
      </c>
      <c r="Z1691" s="8" t="n">
        <v>-5387</v>
      </c>
      <c r="AA1691" s="9" t="n">
        <v>13427</v>
      </c>
      <c r="AB1691" s="10" t="n">
        <v>-894</v>
      </c>
      <c r="AC1691" s="10" t="n">
        <v>-273</v>
      </c>
      <c r="AD1691" s="7" t="n">
        <v>13575</v>
      </c>
      <c r="AE1691" s="8" t="n">
        <v>-2678</v>
      </c>
      <c r="AF1691" s="8" t="n">
        <v>-2433</v>
      </c>
      <c r="AG1691" s="9" t="n">
        <v>28315</v>
      </c>
      <c r="AH1691" s="10" t="n">
        <v>1383</v>
      </c>
      <c r="AI1691" s="10" t="n">
        <v>1234</v>
      </c>
      <c r="AJ1691" s="11" t="n">
        <v>31714</v>
      </c>
      <c r="AK1691" s="12" t="n">
        <v>4420</v>
      </c>
      <c r="AL1691" s="12" t="n">
        <v>8819</v>
      </c>
      <c r="AM1691" s="13" t="n">
        <v>12</v>
      </c>
      <c r="AN1691" s="13" t="n">
        <v>112.5</v>
      </c>
      <c r="AO1691" s="13" t="n">
        <v>219.6</v>
      </c>
      <c r="AP1691" s="13" t="n">
        <v>321.9</v>
      </c>
    </row>
    <row r="1692">
      <c r="A1692" s="5" t="inlineStr">
        <is>
          <t>제로투세븐</t>
        </is>
      </c>
      <c r="B1692" s="6" t="inlineStr">
        <is>
          <t>159580</t>
        </is>
      </c>
      <c r="C1692" s="6" t="inlineStr">
        <is>
          <t>연결</t>
        </is>
      </c>
      <c r="D1692" s="6" t="inlineStr">
        <is>
          <t>2026Q2</t>
        </is>
      </c>
      <c r="E1692" s="6" t="inlineStr"/>
      <c r="F1692" s="7" t="inlineStr"/>
      <c r="G1692" s="8" t="inlineStr"/>
      <c r="H1692" s="8" t="inlineStr"/>
      <c r="I1692" s="9" t="n">
        <v>15961</v>
      </c>
      <c r="J1692" s="10" t="n">
        <v>749</v>
      </c>
      <c r="K1692" s="10" t="n">
        <v>196</v>
      </c>
      <c r="L1692" s="7" t="n">
        <v>18132</v>
      </c>
      <c r="M1692" s="8" t="n">
        <v>641</v>
      </c>
      <c r="N1692" s="8" t="n">
        <v>706</v>
      </c>
      <c r="O1692" s="9" t="n">
        <v>17334</v>
      </c>
      <c r="P1692" s="10" t="n">
        <v>432</v>
      </c>
      <c r="Q1692" s="10" t="n">
        <v>-138</v>
      </c>
      <c r="R1692" s="7" t="n">
        <v>15467</v>
      </c>
      <c r="S1692" s="8" t="n">
        <v>-296</v>
      </c>
      <c r="T1692" s="8" t="n">
        <v>-264</v>
      </c>
      <c r="U1692" s="9" t="n">
        <v>18165</v>
      </c>
      <c r="V1692" s="10" t="n">
        <v>1279</v>
      </c>
      <c r="W1692" s="10" t="n">
        <v>999</v>
      </c>
      <c r="X1692" s="7" t="n">
        <v>19491</v>
      </c>
      <c r="Y1692" s="8" t="n">
        <v>797</v>
      </c>
      <c r="Z1692" s="8" t="n">
        <v>866</v>
      </c>
      <c r="AA1692" s="9" t="n">
        <v>16386</v>
      </c>
      <c r="AB1692" s="10" t="n">
        <v>419</v>
      </c>
      <c r="AC1692" s="10" t="n">
        <v>240</v>
      </c>
      <c r="AD1692" s="7" t="n">
        <v>16913</v>
      </c>
      <c r="AE1692" s="8" t="n">
        <v>21</v>
      </c>
      <c r="AF1692" s="8" t="n">
        <v>1345</v>
      </c>
      <c r="AG1692" s="9" t="n">
        <v>16690</v>
      </c>
      <c r="AH1692" s="10" t="n">
        <v>644</v>
      </c>
      <c r="AI1692" s="10" t="n">
        <v>929</v>
      </c>
      <c r="AJ1692" s="11" t="n">
        <v>20745</v>
      </c>
      <c r="AK1692" s="12" t="n">
        <v>1769</v>
      </c>
      <c r="AL1692" s="12" t="n">
        <v>1999</v>
      </c>
      <c r="AM1692" s="13" t="n">
        <v>24.3</v>
      </c>
      <c r="AN1692" s="13" t="n">
        <v>6.4</v>
      </c>
      <c r="AO1692" s="13" t="n">
        <v>174.7</v>
      </c>
      <c r="AP1692" s="13" t="n">
        <v>122</v>
      </c>
    </row>
    <row r="1693">
      <c r="A1693" s="5" t="inlineStr">
        <is>
          <t>에코글로우</t>
        </is>
      </c>
      <c r="B1693" s="6" t="inlineStr">
        <is>
          <t>159910</t>
        </is>
      </c>
      <c r="C1693" s="6" t="inlineStr">
        <is>
          <t>연결</t>
        </is>
      </c>
      <c r="D1693" s="6" t="inlineStr">
        <is>
          <t>2026Q2</t>
        </is>
      </c>
      <c r="E1693" s="6" t="inlineStr"/>
      <c r="F1693" s="7" t="inlineStr"/>
      <c r="G1693" s="8" t="inlineStr"/>
      <c r="H1693" s="8" t="inlineStr"/>
      <c r="I1693" s="9" t="n">
        <v>4214</v>
      </c>
      <c r="J1693" s="10" t="n">
        <v>-1862</v>
      </c>
      <c r="K1693" s="10" t="n">
        <v>-1805</v>
      </c>
      <c r="L1693" s="7" t="n">
        <v>3793</v>
      </c>
      <c r="M1693" s="8" t="n">
        <v>-1459</v>
      </c>
      <c r="N1693" s="8" t="n">
        <v>-1261</v>
      </c>
      <c r="O1693" s="9" t="n">
        <v>3028</v>
      </c>
      <c r="P1693" s="10" t="n">
        <v>-1317</v>
      </c>
      <c r="Q1693" s="10" t="n">
        <v>-1858</v>
      </c>
      <c r="R1693" s="7" t="n">
        <v>3487</v>
      </c>
      <c r="S1693" s="8" t="n">
        <v>-1708</v>
      </c>
      <c r="T1693" s="8" t="n">
        <v>-1186</v>
      </c>
      <c r="U1693" s="9" t="n">
        <v>4676</v>
      </c>
      <c r="V1693" s="10" t="n">
        <v>-882</v>
      </c>
      <c r="W1693" s="10" t="n">
        <v>-1154</v>
      </c>
      <c r="X1693" s="7" t="n">
        <v>3318</v>
      </c>
      <c r="Y1693" s="8" t="n">
        <v>-867</v>
      </c>
      <c r="Z1693" s="8" t="n">
        <v>36</v>
      </c>
      <c r="AA1693" s="9" t="n">
        <v>2107</v>
      </c>
      <c r="AB1693" s="10" t="n">
        <v>-1432</v>
      </c>
      <c r="AC1693" s="10" t="n">
        <v>-1827</v>
      </c>
      <c r="AD1693" s="7" t="n">
        <v>-176</v>
      </c>
      <c r="AE1693" s="8" t="n">
        <v>-757</v>
      </c>
      <c r="AF1693" s="8" t="n">
        <v>-2731</v>
      </c>
      <c r="AG1693" s="9" t="n">
        <v>4820</v>
      </c>
      <c r="AH1693" s="10" t="n">
        <v>-463</v>
      </c>
      <c r="AI1693" s="10" t="n">
        <v>710</v>
      </c>
      <c r="AJ1693" s="11" t="n">
        <v>447</v>
      </c>
      <c r="AK1693" s="12" t="n">
        <v>-1925</v>
      </c>
      <c r="AL1693" s="12" t="n">
        <v>-495</v>
      </c>
      <c r="AM1693" s="13" t="n">
        <v>-90.7</v>
      </c>
      <c r="AN1693" s="13" t="n">
        <v>-86.5</v>
      </c>
      <c r="AO1693" s="13" t="n">
        <v>-315.8</v>
      </c>
      <c r="AP1693" s="13" t="n">
        <v>-122</v>
      </c>
    </row>
    <row r="1694">
      <c r="A1694" s="5" t="inlineStr">
        <is>
          <t>하이젠알앤엠</t>
        </is>
      </c>
      <c r="B1694" s="6" t="inlineStr">
        <is>
          <t>160190</t>
        </is>
      </c>
      <c r="C1694" s="6" t="inlineStr">
        <is>
          <t>연결</t>
        </is>
      </c>
      <c r="D1694" s="6" t="inlineStr">
        <is>
          <t>2026Q2</t>
        </is>
      </c>
      <c r="E1694" s="6" t="inlineStr"/>
      <c r="F1694" s="7" t="inlineStr"/>
      <c r="G1694" s="8" t="inlineStr"/>
      <c r="H1694" s="8" t="inlineStr"/>
      <c r="I1694" s="9" t="inlineStr"/>
      <c r="J1694" s="10" t="inlineStr"/>
      <c r="K1694" s="10" t="inlineStr"/>
      <c r="L1694" s="7" t="n">
        <v>18345</v>
      </c>
      <c r="M1694" s="8" t="n">
        <v>338</v>
      </c>
      <c r="N1694" s="8" t="n">
        <v>92</v>
      </c>
      <c r="O1694" s="9" t="n">
        <v>18760</v>
      </c>
      <c r="P1694" s="10" t="n">
        <v>-433</v>
      </c>
      <c r="Q1694" s="10" t="n">
        <v>-225</v>
      </c>
      <c r="R1694" s="7" t="inlineStr"/>
      <c r="S1694" s="8" t="inlineStr"/>
      <c r="T1694" s="8" t="inlineStr"/>
      <c r="U1694" s="9" t="n">
        <v>18170</v>
      </c>
      <c r="V1694" s="10" t="n">
        <v>-2376</v>
      </c>
      <c r="W1694" s="10" t="n">
        <v>-2434</v>
      </c>
      <c r="X1694" s="7" t="n">
        <v>16711</v>
      </c>
      <c r="Y1694" s="8" t="n">
        <v>-1392</v>
      </c>
      <c r="Z1694" s="8" t="n">
        <v>-1654</v>
      </c>
      <c r="AA1694" s="9" t="n">
        <v>15885</v>
      </c>
      <c r="AB1694" s="10" t="n">
        <v>-2088</v>
      </c>
      <c r="AC1694" s="10" t="n">
        <v>-2268</v>
      </c>
      <c r="AD1694" s="7" t="n">
        <v>22778</v>
      </c>
      <c r="AE1694" s="8" t="n">
        <v>-3053</v>
      </c>
      <c r="AF1694" s="8" t="n">
        <v>-746</v>
      </c>
      <c r="AG1694" s="9" t="n">
        <v>18634</v>
      </c>
      <c r="AH1694" s="10" t="n">
        <v>-3395</v>
      </c>
      <c r="AI1694" s="10" t="n">
        <v>-3215</v>
      </c>
      <c r="AJ1694" s="11" t="n">
        <v>20800</v>
      </c>
      <c r="AK1694" s="12" t="n">
        <v>-1464</v>
      </c>
      <c r="AL1694" s="12" t="n">
        <v>-889</v>
      </c>
      <c r="AM1694" s="13" t="n">
        <v>11.6</v>
      </c>
      <c r="AN1694" s="13" t="n">
        <v>24.5</v>
      </c>
      <c r="AO1694" s="13" t="n">
        <v>56.9</v>
      </c>
      <c r="AP1694" s="13" t="n">
        <v>-5.2</v>
      </c>
    </row>
    <row r="1695">
      <c r="A1695" s="5" t="inlineStr">
        <is>
          <t>NEW</t>
        </is>
      </c>
      <c r="B1695" s="6" t="inlineStr">
        <is>
          <t>160550</t>
        </is>
      </c>
      <c r="C1695" s="6" t="inlineStr">
        <is>
          <t>연결</t>
        </is>
      </c>
      <c r="D1695" s="6" t="inlineStr">
        <is>
          <t>2026Q2</t>
        </is>
      </c>
      <c r="E1695" s="6" t="inlineStr"/>
      <c r="F1695" s="7" t="inlineStr"/>
      <c r="G1695" s="8" t="inlineStr"/>
      <c r="H1695" s="8" t="inlineStr"/>
      <c r="I1695" s="9" t="n">
        <v>17487</v>
      </c>
      <c r="J1695" s="10" t="n">
        <v>-2238</v>
      </c>
      <c r="K1695" s="10" t="n">
        <v>-2450</v>
      </c>
      <c r="L1695" s="7" t="n">
        <v>26522</v>
      </c>
      <c r="M1695" s="8" t="n">
        <v>-7101</v>
      </c>
      <c r="N1695" s="8" t="n">
        <v>-7503</v>
      </c>
      <c r="O1695" s="9" t="n">
        <v>49387</v>
      </c>
      <c r="P1695" s="10" t="n">
        <v>-4314</v>
      </c>
      <c r="Q1695" s="10" t="n">
        <v>-3466</v>
      </c>
      <c r="R1695" s="7" t="n">
        <v>19849</v>
      </c>
      <c r="S1695" s="8" t="n">
        <v>-5304</v>
      </c>
      <c r="T1695" s="8" t="n">
        <v>-10653</v>
      </c>
      <c r="U1695" s="9" t="n">
        <v>30585</v>
      </c>
      <c r="V1695" s="10" t="n">
        <v>871</v>
      </c>
      <c r="W1695" s="10" t="n">
        <v>-644</v>
      </c>
      <c r="X1695" s="7" t="n">
        <v>32234</v>
      </c>
      <c r="Y1695" s="8" t="n">
        <v>285</v>
      </c>
      <c r="Z1695" s="8" t="n">
        <v>-464</v>
      </c>
      <c r="AA1695" s="9" t="n">
        <v>54544</v>
      </c>
      <c r="AB1695" s="10" t="n">
        <v>3939</v>
      </c>
      <c r="AC1695" s="10" t="n">
        <v>4038</v>
      </c>
      <c r="AD1695" s="7" t="n">
        <v>25290</v>
      </c>
      <c r="AE1695" s="8" t="n">
        <v>-2441</v>
      </c>
      <c r="AF1695" s="8" t="n">
        <v>-2406</v>
      </c>
      <c r="AG1695" s="9" t="n">
        <v>25625</v>
      </c>
      <c r="AH1695" s="10" t="n">
        <v>-1431</v>
      </c>
      <c r="AI1695" s="10" t="n">
        <v>-1683</v>
      </c>
      <c r="AJ1695" s="11" t="n">
        <v>27046</v>
      </c>
      <c r="AK1695" s="12" t="n">
        <v>-2226</v>
      </c>
      <c r="AL1695" s="12" t="n">
        <v>-4289</v>
      </c>
      <c r="AM1695" s="13" t="n">
        <v>5.5</v>
      </c>
      <c r="AN1695" s="13" t="n">
        <v>-16.1</v>
      </c>
      <c r="AO1695" s="13" t="n">
        <v>-55.6</v>
      </c>
      <c r="AP1695" s="13" t="n">
        <v>-881.1</v>
      </c>
    </row>
    <row r="1696">
      <c r="A1696" s="5" t="inlineStr">
        <is>
          <t>싸이맥스</t>
        </is>
      </c>
      <c r="B1696" s="6" t="inlineStr">
        <is>
          <t>160980</t>
        </is>
      </c>
      <c r="C1696" s="6" t="inlineStr">
        <is>
          <t>연결</t>
        </is>
      </c>
      <c r="D1696" s="6" t="inlineStr">
        <is>
          <t>2026Q2</t>
        </is>
      </c>
      <c r="E1696" s="6" t="inlineStr"/>
      <c r="F1696" s="7" t="inlineStr"/>
      <c r="G1696" s="8" t="inlineStr"/>
      <c r="H1696" s="8" t="inlineStr"/>
      <c r="I1696" s="9" t="n">
        <v>43018</v>
      </c>
      <c r="J1696" s="10" t="n">
        <v>4088</v>
      </c>
      <c r="K1696" s="10" t="n">
        <v>4987</v>
      </c>
      <c r="L1696" s="7" t="n">
        <v>38622</v>
      </c>
      <c r="M1696" s="8" t="n">
        <v>5636</v>
      </c>
      <c r="N1696" s="8" t="n">
        <v>3623</v>
      </c>
      <c r="O1696" s="9" t="n">
        <v>38465</v>
      </c>
      <c r="P1696" s="10" t="n">
        <v>6054</v>
      </c>
      <c r="Q1696" s="10" t="n">
        <v>-5116</v>
      </c>
      <c r="R1696" s="7" t="n">
        <v>44953</v>
      </c>
      <c r="S1696" s="8" t="n">
        <v>7627</v>
      </c>
      <c r="T1696" s="8" t="n">
        <v>11919</v>
      </c>
      <c r="U1696" s="9" t="n">
        <v>45818</v>
      </c>
      <c r="V1696" s="10" t="n">
        <v>7393</v>
      </c>
      <c r="W1696" s="10" t="n">
        <v>5558</v>
      </c>
      <c r="X1696" s="7" t="n">
        <v>48303</v>
      </c>
      <c r="Y1696" s="8" t="n">
        <v>7412</v>
      </c>
      <c r="Z1696" s="8" t="n">
        <v>5606</v>
      </c>
      <c r="AA1696" s="9" t="n">
        <v>41195</v>
      </c>
      <c r="AB1696" s="10" t="n">
        <v>6195</v>
      </c>
      <c r="AC1696" s="10" t="n">
        <v>4212</v>
      </c>
      <c r="AD1696" s="7" t="n">
        <v>29089</v>
      </c>
      <c r="AE1696" s="8" t="n">
        <v>2346</v>
      </c>
      <c r="AF1696" s="8" t="n">
        <v>-437</v>
      </c>
      <c r="AG1696" s="9" t="n">
        <v>40517</v>
      </c>
      <c r="AH1696" s="10" t="n">
        <v>4730</v>
      </c>
      <c r="AI1696" s="10" t="n">
        <v>3957</v>
      </c>
      <c r="AJ1696" s="11" t="n">
        <v>62516</v>
      </c>
      <c r="AK1696" s="12" t="n">
        <v>11290</v>
      </c>
      <c r="AL1696" s="12" t="n">
        <v>9006</v>
      </c>
      <c r="AM1696" s="13" t="n">
        <v>54.3</v>
      </c>
      <c r="AN1696" s="13" t="n">
        <v>29.4</v>
      </c>
      <c r="AO1696" s="13" t="n">
        <v>138.7</v>
      </c>
      <c r="AP1696" s="13" t="n">
        <v>52.3</v>
      </c>
    </row>
    <row r="1697">
      <c r="A1697" s="5" t="inlineStr">
        <is>
          <t>애경케미칼</t>
        </is>
      </c>
      <c r="B1697" s="6" t="inlineStr">
        <is>
          <t>161000</t>
        </is>
      </c>
      <c r="C1697" s="6" t="inlineStr">
        <is>
          <t>연결</t>
        </is>
      </c>
      <c r="D1697" s="6" t="inlineStr">
        <is>
          <t>2026Q2</t>
        </is>
      </c>
      <c r="E1697" s="6" t="inlineStr"/>
      <c r="F1697" s="7" t="inlineStr"/>
      <c r="G1697" s="8" t="inlineStr"/>
      <c r="H1697" s="8" t="inlineStr"/>
      <c r="I1697" s="9" t="n">
        <v>406638</v>
      </c>
      <c r="J1697" s="10" t="n">
        <v>918</v>
      </c>
      <c r="K1697" s="10" t="n">
        <v>-1832</v>
      </c>
      <c r="L1697" s="7" t="n">
        <v>450191</v>
      </c>
      <c r="M1697" s="8" t="n">
        <v>10764</v>
      </c>
      <c r="N1697" s="8" t="n">
        <v>3085</v>
      </c>
      <c r="O1697" s="9" t="n">
        <v>426396</v>
      </c>
      <c r="P1697" s="10" t="n">
        <v>6035</v>
      </c>
      <c r="Q1697" s="10" t="n">
        <v>-1419</v>
      </c>
      <c r="R1697" s="7" t="n">
        <v>359020</v>
      </c>
      <c r="S1697" s="8" t="n">
        <v>-2258</v>
      </c>
      <c r="T1697" s="8" t="n">
        <v>8694</v>
      </c>
      <c r="U1697" s="9" t="n">
        <v>370015</v>
      </c>
      <c r="V1697" s="10" t="n">
        <v>3483</v>
      </c>
      <c r="W1697" s="10" t="n">
        <v>-1441</v>
      </c>
      <c r="X1697" s="7" t="n">
        <v>376154</v>
      </c>
      <c r="Y1697" s="8" t="n">
        <v>-828</v>
      </c>
      <c r="Z1697" s="8" t="n">
        <v>-6979</v>
      </c>
      <c r="AA1697" s="9" t="n">
        <v>357758</v>
      </c>
      <c r="AB1697" s="10" t="n">
        <v>-7343</v>
      </c>
      <c r="AC1697" s="10" t="n">
        <v>14045</v>
      </c>
      <c r="AD1697" s="7" t="n">
        <v>348408</v>
      </c>
      <c r="AE1697" s="8" t="n">
        <v>-5505</v>
      </c>
      <c r="AF1697" s="8" t="n">
        <v>-10557</v>
      </c>
      <c r="AG1697" s="9" t="n">
        <v>370622</v>
      </c>
      <c r="AH1697" s="10" t="n">
        <v>5816</v>
      </c>
      <c r="AI1697" s="10" t="n">
        <v>-1435</v>
      </c>
      <c r="AJ1697" s="11" t="n">
        <v>503303</v>
      </c>
      <c r="AK1697" s="12" t="n">
        <v>42845</v>
      </c>
      <c r="AL1697" s="12" t="n">
        <v>16156</v>
      </c>
      <c r="AM1697" s="13" t="n">
        <v>35.8</v>
      </c>
      <c r="AN1697" s="13" t="n">
        <v>33.8</v>
      </c>
      <c r="AO1697" s="13" t="n">
        <v>636.7</v>
      </c>
      <c r="AP1697" s="13" t="n">
        <v>5274.5</v>
      </c>
    </row>
    <row r="1698">
      <c r="A1698" s="5" t="inlineStr">
        <is>
          <t>한국타이어앤테크놀로지</t>
        </is>
      </c>
      <c r="B1698" s="6" t="inlineStr">
        <is>
          <t>161390</t>
        </is>
      </c>
      <c r="C1698" s="6" t="inlineStr">
        <is>
          <t>연결</t>
        </is>
      </c>
      <c r="D1698" s="6" t="inlineStr">
        <is>
          <t>2026Q2</t>
        </is>
      </c>
      <c r="E1698" s="6" t="inlineStr">
        <is>
          <t>2023Q4</t>
        </is>
      </c>
      <c r="F1698" s="14" t="n">
        <v>2232030</v>
      </c>
      <c r="G1698" s="15" t="n">
        <v>492409</v>
      </c>
      <c r="H1698" s="15" t="n">
        <v>191114</v>
      </c>
      <c r="I1698" s="9" t="n">
        <v>2127260</v>
      </c>
      <c r="J1698" s="10" t="n">
        <v>398743</v>
      </c>
      <c r="K1698" s="10" t="n">
        <v>360493</v>
      </c>
      <c r="L1698" s="7" t="n">
        <v>2317897</v>
      </c>
      <c r="M1698" s="8" t="n">
        <v>420038</v>
      </c>
      <c r="N1698" s="8" t="n">
        <v>323137</v>
      </c>
      <c r="O1698" s="9" t="n">
        <v>2435262</v>
      </c>
      <c r="P1698" s="10" t="n">
        <v>470229</v>
      </c>
      <c r="Q1698" s="10" t="n">
        <v>385556</v>
      </c>
      <c r="R1698" s="7" t="n">
        <v>2531529</v>
      </c>
      <c r="S1698" s="8" t="n">
        <v>473250</v>
      </c>
      <c r="T1698" s="8" t="n">
        <v>61912</v>
      </c>
      <c r="U1698" s="9" t="n">
        <v>4963667</v>
      </c>
      <c r="V1698" s="10" t="n">
        <v>354644</v>
      </c>
      <c r="W1698" s="10" t="n">
        <v>312208</v>
      </c>
      <c r="X1698" s="7" t="n">
        <v>5369660</v>
      </c>
      <c r="Y1698" s="8" t="n">
        <v>353640</v>
      </c>
      <c r="Z1698" s="8" t="n">
        <v>178752</v>
      </c>
      <c r="AA1698" s="9" t="n">
        <v>5412727</v>
      </c>
      <c r="AB1698" s="10" t="n">
        <v>585952</v>
      </c>
      <c r="AC1698" s="10" t="n">
        <v>389577</v>
      </c>
      <c r="AD1698" s="7" t="n">
        <v>5456245</v>
      </c>
      <c r="AE1698" s="8" t="n">
        <v>546840</v>
      </c>
      <c r="AF1698" s="8" t="n">
        <v>91058</v>
      </c>
      <c r="AG1698" s="9" t="n">
        <v>5313928</v>
      </c>
      <c r="AH1698" s="10" t="n">
        <v>506964</v>
      </c>
      <c r="AI1698" s="10" t="n">
        <v>372404</v>
      </c>
      <c r="AJ1698" s="11" t="n">
        <v>5682494</v>
      </c>
      <c r="AK1698" s="12" t="n">
        <v>559087</v>
      </c>
      <c r="AL1698" s="12" t="n">
        <v>317249</v>
      </c>
      <c r="AM1698" s="13" t="n">
        <v>6.9</v>
      </c>
      <c r="AN1698" s="13" t="n">
        <v>5.8</v>
      </c>
      <c r="AO1698" s="13" t="n">
        <v>10.3</v>
      </c>
      <c r="AP1698" s="13" t="n">
        <v>58.1</v>
      </c>
    </row>
    <row r="1699">
      <c r="A1699" s="5" t="inlineStr">
        <is>
          <t>필옵틱스</t>
        </is>
      </c>
      <c r="B1699" s="6" t="inlineStr">
        <is>
          <t>161580</t>
        </is>
      </c>
      <c r="C1699" s="6" t="inlineStr">
        <is>
          <t>연결</t>
        </is>
      </c>
      <c r="D1699" s="6" t="inlineStr">
        <is>
          <t>2026Q2</t>
        </is>
      </c>
      <c r="E1699" s="6" t="inlineStr"/>
      <c r="F1699" s="7" t="inlineStr"/>
      <c r="G1699" s="8" t="inlineStr"/>
      <c r="H1699" s="8" t="inlineStr"/>
      <c r="I1699" s="9" t="n">
        <v>70154</v>
      </c>
      <c r="J1699" s="10" t="n">
        <v>-2050</v>
      </c>
      <c r="K1699" s="10" t="n">
        <v>-1468</v>
      </c>
      <c r="L1699" s="7" t="n">
        <v>120979</v>
      </c>
      <c r="M1699" s="8" t="n">
        <v>6534</v>
      </c>
      <c r="N1699" s="8" t="n">
        <v>6736</v>
      </c>
      <c r="O1699" s="9" t="n">
        <v>70526</v>
      </c>
      <c r="P1699" s="10" t="n">
        <v>-2802</v>
      </c>
      <c r="Q1699" s="10" t="n">
        <v>-3257</v>
      </c>
      <c r="R1699" s="7" t="n">
        <v>149235</v>
      </c>
      <c r="S1699" s="8" t="n">
        <v>12114</v>
      </c>
      <c r="T1699" s="8" t="n">
        <v>26830</v>
      </c>
      <c r="U1699" s="9" t="n">
        <v>32674</v>
      </c>
      <c r="V1699" s="10" t="n">
        <v>-3221</v>
      </c>
      <c r="W1699" s="10" t="n">
        <v>-4673</v>
      </c>
      <c r="X1699" s="7" t="n">
        <v>33808</v>
      </c>
      <c r="Y1699" s="8" t="n">
        <v>-8448</v>
      </c>
      <c r="Z1699" s="8" t="n">
        <v>-9323</v>
      </c>
      <c r="AA1699" s="9" t="n">
        <v>10518</v>
      </c>
      <c r="AB1699" s="10" t="n">
        <v>-9564</v>
      </c>
      <c r="AC1699" s="10" t="n">
        <v>-8106</v>
      </c>
      <c r="AD1699" s="7" t="n">
        <v>26441</v>
      </c>
      <c r="AE1699" s="8" t="n">
        <v>-13659</v>
      </c>
      <c r="AF1699" s="8" t="n">
        <v>-4328</v>
      </c>
      <c r="AG1699" s="9" t="n">
        <v>10973</v>
      </c>
      <c r="AH1699" s="10" t="n">
        <v>-5351</v>
      </c>
      <c r="AI1699" s="10" t="n">
        <v>-12534</v>
      </c>
      <c r="AJ1699" s="11" t="n">
        <v>8197</v>
      </c>
      <c r="AK1699" s="12" t="n">
        <v>-15177</v>
      </c>
      <c r="AL1699" s="12" t="n">
        <v>-3368</v>
      </c>
      <c r="AM1699" s="13" t="n">
        <v>-25.3</v>
      </c>
      <c r="AN1699" s="13" t="n">
        <v>-75.8</v>
      </c>
      <c r="AO1699" s="13" t="n">
        <v>-183.6</v>
      </c>
      <c r="AP1699" s="13" t="n">
        <v>-79.7</v>
      </c>
    </row>
    <row r="1700">
      <c r="A1700" s="5" t="inlineStr">
        <is>
          <t>한국콜마</t>
        </is>
      </c>
      <c r="B1700" s="6" t="inlineStr">
        <is>
          <t>161890</t>
        </is>
      </c>
      <c r="C1700" s="6" t="inlineStr">
        <is>
          <t>연결</t>
        </is>
      </c>
      <c r="D1700" s="6" t="inlineStr">
        <is>
          <t>2026Q2</t>
        </is>
      </c>
      <c r="E1700" s="6" t="inlineStr">
        <is>
          <t>2023Q4</t>
        </is>
      </c>
      <c r="F1700" s="14" t="n">
        <v>551647</v>
      </c>
      <c r="G1700" s="15" t="n">
        <v>37823</v>
      </c>
      <c r="H1700" s="15" t="n">
        <v>-43281</v>
      </c>
      <c r="I1700" s="9" t="n">
        <v>574790</v>
      </c>
      <c r="J1700" s="10" t="n">
        <v>32430</v>
      </c>
      <c r="K1700" s="10" t="n">
        <v>12073</v>
      </c>
      <c r="L1700" s="7" t="n">
        <v>660271</v>
      </c>
      <c r="M1700" s="8" t="n">
        <v>71741</v>
      </c>
      <c r="N1700" s="8" t="n">
        <v>45165</v>
      </c>
      <c r="O1700" s="9" t="n">
        <v>626505</v>
      </c>
      <c r="P1700" s="10" t="n">
        <v>54540</v>
      </c>
      <c r="Q1700" s="10" t="n">
        <v>23642</v>
      </c>
      <c r="R1700" s="7" t="n">
        <v>590498</v>
      </c>
      <c r="S1700" s="8" t="n">
        <v>35139</v>
      </c>
      <c r="T1700" s="8" t="n">
        <v>44445</v>
      </c>
      <c r="U1700" s="9" t="n">
        <v>653086</v>
      </c>
      <c r="V1700" s="10" t="n">
        <v>59940</v>
      </c>
      <c r="W1700" s="10" t="n">
        <v>23179</v>
      </c>
      <c r="X1700" s="7" t="n">
        <v>730849</v>
      </c>
      <c r="Y1700" s="8" t="n">
        <v>73477</v>
      </c>
      <c r="Z1700" s="8" t="n">
        <v>41803</v>
      </c>
      <c r="AA1700" s="9" t="n">
        <v>683015</v>
      </c>
      <c r="AB1700" s="10" t="n">
        <v>58330</v>
      </c>
      <c r="AC1700" s="10" t="n">
        <v>42379</v>
      </c>
      <c r="AD1700" s="7" t="n">
        <v>655469</v>
      </c>
      <c r="AE1700" s="8" t="n">
        <v>47848</v>
      </c>
      <c r="AF1700" s="8" t="n">
        <v>60859</v>
      </c>
      <c r="AG1700" s="9" t="n">
        <v>728036</v>
      </c>
      <c r="AH1700" s="10" t="n">
        <v>78886</v>
      </c>
      <c r="AI1700" s="10" t="n">
        <v>59954</v>
      </c>
      <c r="AJ1700" s="11" t="n">
        <v>861277</v>
      </c>
      <c r="AK1700" s="12" t="n">
        <v>110341</v>
      </c>
      <c r="AL1700" s="12" t="n">
        <v>70615</v>
      </c>
      <c r="AM1700" s="13" t="n">
        <v>18.3</v>
      </c>
      <c r="AN1700" s="13" t="n">
        <v>17.8</v>
      </c>
      <c r="AO1700" s="13" t="n">
        <v>39.9</v>
      </c>
      <c r="AP1700" s="13" t="n">
        <v>50.2</v>
      </c>
    </row>
    <row r="1701">
      <c r="A1701" s="5" t="inlineStr">
        <is>
          <t>신스틸</t>
        </is>
      </c>
      <c r="B1701" s="6" t="inlineStr">
        <is>
          <t>162300</t>
        </is>
      </c>
      <c r="C1701" s="6" t="inlineStr">
        <is>
          <t>연결</t>
        </is>
      </c>
      <c r="D1701" s="6" t="inlineStr">
        <is>
          <t>2026Q2</t>
        </is>
      </c>
      <c r="E1701" s="6" t="inlineStr"/>
      <c r="F1701" s="7" t="inlineStr"/>
      <c r="G1701" s="8" t="inlineStr"/>
      <c r="H1701" s="8" t="inlineStr"/>
      <c r="I1701" s="9" t="n">
        <v>89677</v>
      </c>
      <c r="J1701" s="10" t="n">
        <v>3304</v>
      </c>
      <c r="K1701" s="10" t="n">
        <v>1738</v>
      </c>
      <c r="L1701" s="7" t="n">
        <v>107191</v>
      </c>
      <c r="M1701" s="8" t="n">
        <v>4409</v>
      </c>
      <c r="N1701" s="8" t="n">
        <v>-793</v>
      </c>
      <c r="O1701" s="9" t="n">
        <v>90550</v>
      </c>
      <c r="P1701" s="10" t="n">
        <v>1721</v>
      </c>
      <c r="Q1701" s="10" t="n">
        <v>2897</v>
      </c>
      <c r="R1701" s="7" t="n">
        <v>99137</v>
      </c>
      <c r="S1701" s="8" t="n">
        <v>1033</v>
      </c>
      <c r="T1701" s="8" t="n">
        <v>2669</v>
      </c>
      <c r="U1701" s="9" t="n">
        <v>95230</v>
      </c>
      <c r="V1701" s="10" t="n">
        <v>1966</v>
      </c>
      <c r="W1701" s="10" t="n">
        <v>2194</v>
      </c>
      <c r="X1701" s="7" t="n">
        <v>91108</v>
      </c>
      <c r="Y1701" s="8" t="n">
        <v>21</v>
      </c>
      <c r="Z1701" s="8" t="n">
        <v>-1986</v>
      </c>
      <c r="AA1701" s="9" t="n">
        <v>85342</v>
      </c>
      <c r="AB1701" s="10" t="n">
        <v>183</v>
      </c>
      <c r="AC1701" s="10" t="n">
        <v>566</v>
      </c>
      <c r="AD1701" s="7" t="n">
        <v>80492</v>
      </c>
      <c r="AE1701" s="8" t="n">
        <v>877</v>
      </c>
      <c r="AF1701" s="8" t="n">
        <v>562</v>
      </c>
      <c r="AG1701" s="9" t="n">
        <v>94942</v>
      </c>
      <c r="AH1701" s="10" t="n">
        <v>476</v>
      </c>
      <c r="AI1701" s="10" t="n">
        <v>476</v>
      </c>
      <c r="AJ1701" s="11" t="n">
        <v>100941</v>
      </c>
      <c r="AK1701" s="12" t="n">
        <v>739</v>
      </c>
      <c r="AL1701" s="12" t="n">
        <v>-421</v>
      </c>
      <c r="AM1701" s="13" t="n">
        <v>6.3</v>
      </c>
      <c r="AN1701" s="13" t="n">
        <v>10.8</v>
      </c>
      <c r="AO1701" s="13" t="n">
        <v>55.3</v>
      </c>
      <c r="AP1701" s="13" t="n">
        <v>3419</v>
      </c>
    </row>
    <row r="1702">
      <c r="A1702" s="5" t="inlineStr">
        <is>
          <t>에어레인</t>
        </is>
      </c>
      <c r="B1702" s="6" t="inlineStr">
        <is>
          <t>163280</t>
        </is>
      </c>
      <c r="C1702" s="6" t="inlineStr">
        <is>
          <t>별도</t>
        </is>
      </c>
      <c r="D1702" s="6" t="inlineStr">
        <is>
          <t>2026Q2</t>
        </is>
      </c>
      <c r="E1702" s="6" t="inlineStr"/>
      <c r="F1702" s="7" t="inlineStr"/>
      <c r="G1702" s="8" t="inlineStr"/>
      <c r="H1702" s="8" t="inlineStr"/>
      <c r="I1702" s="9" t="inlineStr"/>
      <c r="J1702" s="10" t="inlineStr"/>
      <c r="K1702" s="10" t="inlineStr"/>
      <c r="L1702" s="7" t="inlineStr"/>
      <c r="M1702" s="8" t="inlineStr"/>
      <c r="N1702" s="8" t="inlineStr"/>
      <c r="O1702" s="9" t="inlineStr"/>
      <c r="P1702" s="10" t="inlineStr"/>
      <c r="Q1702" s="10" t="inlineStr"/>
      <c r="R1702" s="7" t="inlineStr"/>
      <c r="S1702" s="8" t="inlineStr"/>
      <c r="T1702" s="8" t="inlineStr"/>
      <c r="U1702" s="9" t="n">
        <v>6007</v>
      </c>
      <c r="V1702" s="10" t="n">
        <v>1155</v>
      </c>
      <c r="W1702" s="10" t="n">
        <v>1023</v>
      </c>
      <c r="X1702" s="7" t="n">
        <v>8874</v>
      </c>
      <c r="Y1702" s="8" t="n">
        <v>1097</v>
      </c>
      <c r="Z1702" s="8" t="n">
        <v>116</v>
      </c>
      <c r="AA1702" s="9" t="n">
        <v>6011</v>
      </c>
      <c r="AB1702" s="10" t="n">
        <v>489</v>
      </c>
      <c r="AC1702" s="10" t="n">
        <v>469</v>
      </c>
      <c r="AD1702" s="7" t="n">
        <v>7184</v>
      </c>
      <c r="AE1702" s="8" t="n">
        <v>348</v>
      </c>
      <c r="AF1702" s="8" t="n">
        <v>1192</v>
      </c>
      <c r="AG1702" s="9" t="n">
        <v>6339</v>
      </c>
      <c r="AH1702" s="10" t="n">
        <v>1157</v>
      </c>
      <c r="AI1702" s="10" t="n">
        <v>1784</v>
      </c>
      <c r="AJ1702" s="11" t="n">
        <v>7631</v>
      </c>
      <c r="AK1702" s="12" t="n">
        <v>825</v>
      </c>
      <c r="AL1702" s="12" t="n">
        <v>4094</v>
      </c>
      <c r="AM1702" s="13" t="n">
        <v>20.4</v>
      </c>
      <c r="AN1702" s="13" t="n">
        <v>-14</v>
      </c>
      <c r="AO1702" s="13" t="n">
        <v>-28.7</v>
      </c>
      <c r="AP1702" s="13" t="n">
        <v>-24.8</v>
      </c>
    </row>
    <row r="1703">
      <c r="A1703" s="5" t="inlineStr">
        <is>
          <t>동일고무벨트</t>
        </is>
      </c>
      <c r="B1703" s="6" t="inlineStr">
        <is>
          <t>163560</t>
        </is>
      </c>
      <c r="C1703" s="6" t="inlineStr">
        <is>
          <t>연결</t>
        </is>
      </c>
      <c r="D1703" s="6" t="inlineStr">
        <is>
          <t>2026Q2</t>
        </is>
      </c>
      <c r="E1703" s="6" t="inlineStr"/>
      <c r="F1703" s="7" t="inlineStr"/>
      <c r="G1703" s="8" t="inlineStr"/>
      <c r="H1703" s="8" t="inlineStr"/>
      <c r="I1703" s="9" t="n">
        <v>85856</v>
      </c>
      <c r="J1703" s="10" t="n">
        <v>4603</v>
      </c>
      <c r="K1703" s="10" t="n">
        <v>4550</v>
      </c>
      <c r="L1703" s="7" t="n">
        <v>94564</v>
      </c>
      <c r="M1703" s="8" t="n">
        <v>4083</v>
      </c>
      <c r="N1703" s="8" t="n">
        <v>2470</v>
      </c>
      <c r="O1703" s="9" t="n">
        <v>74880</v>
      </c>
      <c r="P1703" s="10" t="n">
        <v>159</v>
      </c>
      <c r="Q1703" s="10" t="n">
        <v>-3008</v>
      </c>
      <c r="R1703" s="7" t="n">
        <v>81683</v>
      </c>
      <c r="S1703" s="8" t="n">
        <v>742</v>
      </c>
      <c r="T1703" s="8" t="n">
        <v>5914</v>
      </c>
      <c r="U1703" s="9" t="n">
        <v>87424</v>
      </c>
      <c r="V1703" s="10" t="n">
        <v>2817</v>
      </c>
      <c r="W1703" s="10" t="n">
        <v>1848</v>
      </c>
      <c r="X1703" s="7" t="n">
        <v>89181</v>
      </c>
      <c r="Y1703" s="8" t="n">
        <v>5973</v>
      </c>
      <c r="Z1703" s="8" t="n">
        <v>128</v>
      </c>
      <c r="AA1703" s="9" t="n">
        <v>88635</v>
      </c>
      <c r="AB1703" s="10" t="n">
        <v>2705</v>
      </c>
      <c r="AC1703" s="10" t="n">
        <v>3548</v>
      </c>
      <c r="AD1703" s="7" t="n">
        <v>99363</v>
      </c>
      <c r="AE1703" s="8" t="n">
        <v>7070</v>
      </c>
      <c r="AF1703" s="8" t="n">
        <v>4263</v>
      </c>
      <c r="AG1703" s="9" t="n">
        <v>95366</v>
      </c>
      <c r="AH1703" s="10" t="n">
        <v>7775</v>
      </c>
      <c r="AI1703" s="10" t="n">
        <v>10173</v>
      </c>
      <c r="AJ1703" s="11" t="n">
        <v>103548</v>
      </c>
      <c r="AK1703" s="12" t="n">
        <v>7509</v>
      </c>
      <c r="AL1703" s="12" t="n">
        <v>7167</v>
      </c>
      <c r="AM1703" s="13" t="n">
        <v>8.6</v>
      </c>
      <c r="AN1703" s="13" t="n">
        <v>16.1</v>
      </c>
      <c r="AO1703" s="13" t="n">
        <v>-3.4</v>
      </c>
      <c r="AP1703" s="13" t="n">
        <v>25.7</v>
      </c>
    </row>
    <row r="1704">
      <c r="A1704" s="5" t="inlineStr">
        <is>
          <t>핑거</t>
        </is>
      </c>
      <c r="B1704" s="6" t="inlineStr">
        <is>
          <t>163730</t>
        </is>
      </c>
      <c r="C1704" s="6" t="inlineStr">
        <is>
          <t>연결</t>
        </is>
      </c>
      <c r="D1704" s="6" t="inlineStr">
        <is>
          <t>2026Q2</t>
        </is>
      </c>
      <c r="E1704" s="6" t="inlineStr"/>
      <c r="F1704" s="7" t="inlineStr"/>
      <c r="G1704" s="8" t="inlineStr"/>
      <c r="H1704" s="8" t="inlineStr"/>
      <c r="I1704" s="9" t="n">
        <v>16268</v>
      </c>
      <c r="J1704" s="10" t="n">
        <v>-23</v>
      </c>
      <c r="K1704" s="10" t="n">
        <v>165</v>
      </c>
      <c r="L1704" s="7" t="n">
        <v>15153</v>
      </c>
      <c r="M1704" s="8" t="n">
        <v>-53</v>
      </c>
      <c r="N1704" s="8" t="n">
        <v>192</v>
      </c>
      <c r="O1704" s="9" t="n">
        <v>19967</v>
      </c>
      <c r="P1704" s="10" t="n">
        <v>-118</v>
      </c>
      <c r="Q1704" s="10" t="n">
        <v>218</v>
      </c>
      <c r="R1704" s="7" t="n">
        <v>20218</v>
      </c>
      <c r="S1704" s="8" t="n">
        <v>-276</v>
      </c>
      <c r="T1704" s="8" t="n">
        <v>366</v>
      </c>
      <c r="U1704" s="9" t="n">
        <v>20614</v>
      </c>
      <c r="V1704" s="10" t="n">
        <v>201</v>
      </c>
      <c r="W1704" s="10" t="n">
        <v>528</v>
      </c>
      <c r="X1704" s="7" t="n">
        <v>21845</v>
      </c>
      <c r="Y1704" s="8" t="n">
        <v>528</v>
      </c>
      <c r="Z1704" s="8" t="n">
        <v>599</v>
      </c>
      <c r="AA1704" s="9" t="n">
        <v>25268</v>
      </c>
      <c r="AB1704" s="10" t="n">
        <v>1090</v>
      </c>
      <c r="AC1704" s="10" t="n">
        <v>1548</v>
      </c>
      <c r="AD1704" s="7" t="n">
        <v>23880</v>
      </c>
      <c r="AE1704" s="8" t="n">
        <v>-351</v>
      </c>
      <c r="AF1704" s="8" t="n">
        <v>-2342</v>
      </c>
      <c r="AG1704" s="9" t="n">
        <v>20462</v>
      </c>
      <c r="AH1704" s="10" t="n">
        <v>-326</v>
      </c>
      <c r="AI1704" s="10" t="n">
        <v>-44</v>
      </c>
      <c r="AJ1704" s="11" t="n">
        <v>22552</v>
      </c>
      <c r="AK1704" s="12" t="n">
        <v>370</v>
      </c>
      <c r="AL1704" s="12" t="n">
        <v>6733</v>
      </c>
      <c r="AM1704" s="13" t="n">
        <v>10.2</v>
      </c>
      <c r="AN1704" s="13" t="n">
        <v>3.2</v>
      </c>
      <c r="AO1704" s="13" t="n">
        <v>213.5</v>
      </c>
      <c r="AP1704" s="13" t="n">
        <v>-29.9</v>
      </c>
    </row>
    <row r="1705">
      <c r="A1705" s="5" t="inlineStr">
        <is>
          <t>하나머티리얼즈</t>
        </is>
      </c>
      <c r="B1705" s="6" t="inlineStr">
        <is>
          <t>166090</t>
        </is>
      </c>
      <c r="C1705" s="6" t="inlineStr">
        <is>
          <t>연결</t>
        </is>
      </c>
      <c r="D1705" s="6" t="inlineStr">
        <is>
          <t>2026Q2</t>
        </is>
      </c>
      <c r="E1705" s="6" t="inlineStr"/>
      <c r="F1705" s="7" t="inlineStr"/>
      <c r="G1705" s="8" t="inlineStr"/>
      <c r="H1705" s="8" t="inlineStr"/>
      <c r="I1705" s="9" t="n">
        <v>57748</v>
      </c>
      <c r="J1705" s="10" t="n">
        <v>6551</v>
      </c>
      <c r="K1705" s="10" t="n">
        <v>5455</v>
      </c>
      <c r="L1705" s="7" t="n">
        <v>61313</v>
      </c>
      <c r="M1705" s="8" t="n">
        <v>9573</v>
      </c>
      <c r="N1705" s="8" t="n">
        <v>5625</v>
      </c>
      <c r="O1705" s="9" t="n">
        <v>63409</v>
      </c>
      <c r="P1705" s="10" t="n">
        <v>11994</v>
      </c>
      <c r="Q1705" s="10" t="n">
        <v>8179</v>
      </c>
      <c r="R1705" s="7" t="n">
        <v>69176</v>
      </c>
      <c r="S1705" s="8" t="n">
        <v>15294</v>
      </c>
      <c r="T1705" s="8" t="n">
        <v>12498</v>
      </c>
      <c r="U1705" s="9" t="n">
        <v>58634</v>
      </c>
      <c r="V1705" s="10" t="n">
        <v>8717</v>
      </c>
      <c r="W1705" s="10" t="n">
        <v>6135</v>
      </c>
      <c r="X1705" s="7" t="n">
        <v>64090</v>
      </c>
      <c r="Y1705" s="8" t="n">
        <v>8499</v>
      </c>
      <c r="Z1705" s="8" t="n">
        <v>5444</v>
      </c>
      <c r="AA1705" s="9" t="n">
        <v>69836</v>
      </c>
      <c r="AB1705" s="10" t="n">
        <v>11998</v>
      </c>
      <c r="AC1705" s="10" t="n">
        <v>9207</v>
      </c>
      <c r="AD1705" s="7" t="n">
        <v>80922</v>
      </c>
      <c r="AE1705" s="8" t="n">
        <v>20867</v>
      </c>
      <c r="AF1705" s="8" t="n">
        <v>17590</v>
      </c>
      <c r="AG1705" s="9" t="n">
        <v>93400</v>
      </c>
      <c r="AH1705" s="10" t="n">
        <v>21298</v>
      </c>
      <c r="AI1705" s="10" t="n">
        <v>17647</v>
      </c>
      <c r="AJ1705" s="11" t="n">
        <v>90087</v>
      </c>
      <c r="AK1705" s="12" t="n">
        <v>26016</v>
      </c>
      <c r="AL1705" s="12" t="n">
        <v>19754</v>
      </c>
      <c r="AM1705" s="13" t="n">
        <v>-3.5</v>
      </c>
      <c r="AN1705" s="13" t="n">
        <v>40.6</v>
      </c>
      <c r="AO1705" s="13" t="n">
        <v>22.2</v>
      </c>
      <c r="AP1705" s="13" t="n">
        <v>206.1</v>
      </c>
    </row>
    <row r="1706">
      <c r="A1706" s="5" t="inlineStr">
        <is>
          <t>코아스템켐온</t>
        </is>
      </c>
      <c r="B1706" s="6" t="inlineStr">
        <is>
          <t>166480</t>
        </is>
      </c>
      <c r="C1706" s="6" t="inlineStr">
        <is>
          <t>연결</t>
        </is>
      </c>
      <c r="D1706" s="6" t="inlineStr">
        <is>
          <t>2026Q2</t>
        </is>
      </c>
      <c r="E1706" s="6" t="inlineStr"/>
      <c r="F1706" s="7" t="inlineStr"/>
      <c r="G1706" s="8" t="inlineStr"/>
      <c r="H1706" s="8" t="inlineStr"/>
      <c r="I1706" s="9" t="n">
        <v>8394</v>
      </c>
      <c r="J1706" s="10" t="n">
        <v>-2445</v>
      </c>
      <c r="K1706" s="10" t="n">
        <v>-11153</v>
      </c>
      <c r="L1706" s="7" t="n">
        <v>7144</v>
      </c>
      <c r="M1706" s="8" t="n">
        <v>-6095</v>
      </c>
      <c r="N1706" s="8" t="n">
        <v>-14316</v>
      </c>
      <c r="O1706" s="9" t="n">
        <v>8304</v>
      </c>
      <c r="P1706" s="10" t="n">
        <v>-5691</v>
      </c>
      <c r="Q1706" s="10" t="n">
        <v>-4684</v>
      </c>
      <c r="R1706" s="7" t="n">
        <v>4920</v>
      </c>
      <c r="S1706" s="8" t="n">
        <v>-7788</v>
      </c>
      <c r="T1706" s="8" t="n">
        <v>3901</v>
      </c>
      <c r="U1706" s="9" t="n">
        <v>6118</v>
      </c>
      <c r="V1706" s="10" t="n">
        <v>-3863</v>
      </c>
      <c r="W1706" s="10" t="n">
        <v>-1786</v>
      </c>
      <c r="X1706" s="7" t="n">
        <v>5493</v>
      </c>
      <c r="Y1706" s="8" t="n">
        <v>-6787</v>
      </c>
      <c r="Z1706" s="8" t="n">
        <v>-7859</v>
      </c>
      <c r="AA1706" s="9" t="n">
        <v>3599</v>
      </c>
      <c r="AB1706" s="10" t="n">
        <v>-7486</v>
      </c>
      <c r="AC1706" s="10" t="n">
        <v>-7179</v>
      </c>
      <c r="AD1706" s="7" t="n">
        <v>4949</v>
      </c>
      <c r="AE1706" s="8" t="n">
        <v>-3087</v>
      </c>
      <c r="AF1706" s="8" t="n">
        <v>-10009</v>
      </c>
      <c r="AG1706" s="9" t="n">
        <v>4346</v>
      </c>
      <c r="AH1706" s="10" t="n">
        <v>-5986</v>
      </c>
      <c r="AI1706" s="10" t="n">
        <v>-6941</v>
      </c>
      <c r="AJ1706" s="11" t="n">
        <v>5398</v>
      </c>
      <c r="AK1706" s="12" t="n">
        <v>-4282</v>
      </c>
      <c r="AL1706" s="12" t="n">
        <v>-3678</v>
      </c>
      <c r="AM1706" s="13" t="n">
        <v>24.2</v>
      </c>
      <c r="AN1706" s="13" t="n">
        <v>-1.7</v>
      </c>
      <c r="AO1706" s="13" t="n">
        <v>28.5</v>
      </c>
      <c r="AP1706" s="13" t="n">
        <v>36.9</v>
      </c>
    </row>
    <row r="1707">
      <c r="A1707" s="5" t="inlineStr">
        <is>
          <t>내츄럴엔도텍</t>
        </is>
      </c>
      <c r="B1707" s="6" t="inlineStr">
        <is>
          <t>168330</t>
        </is>
      </c>
      <c r="C1707" s="6" t="inlineStr">
        <is>
          <t>연결</t>
        </is>
      </c>
      <c r="D1707" s="6" t="inlineStr">
        <is>
          <t>2026Q2</t>
        </is>
      </c>
      <c r="E1707" s="6" t="inlineStr"/>
      <c r="F1707" s="7" t="inlineStr"/>
      <c r="G1707" s="8" t="inlineStr"/>
      <c r="H1707" s="8" t="inlineStr"/>
      <c r="I1707" s="9" t="n">
        <v>5233</v>
      </c>
      <c r="J1707" s="10" t="n">
        <v>-980</v>
      </c>
      <c r="K1707" s="10" t="n">
        <v>-1041</v>
      </c>
      <c r="L1707" s="7" t="n">
        <v>5737</v>
      </c>
      <c r="M1707" s="8" t="n">
        <v>-900</v>
      </c>
      <c r="N1707" s="8" t="n">
        <v>-900</v>
      </c>
      <c r="O1707" s="9" t="n">
        <v>6462</v>
      </c>
      <c r="P1707" s="10" t="n">
        <v>-952</v>
      </c>
      <c r="Q1707" s="10" t="n">
        <v>-1042</v>
      </c>
      <c r="R1707" s="7" t="n">
        <v>4831</v>
      </c>
      <c r="S1707" s="8" t="n">
        <v>-936</v>
      </c>
      <c r="T1707" s="8" t="n">
        <v>-1094</v>
      </c>
      <c r="U1707" s="9" t="n">
        <v>6238</v>
      </c>
      <c r="V1707" s="10" t="n">
        <v>-726</v>
      </c>
      <c r="W1707" s="10" t="n">
        <v>-700</v>
      </c>
      <c r="X1707" s="7" t="n">
        <v>5052</v>
      </c>
      <c r="Y1707" s="8" t="n">
        <v>-1053</v>
      </c>
      <c r="Z1707" s="8" t="n">
        <v>-1127</v>
      </c>
      <c r="AA1707" s="9" t="n">
        <v>5754</v>
      </c>
      <c r="AB1707" s="10" t="n">
        <v>-684</v>
      </c>
      <c r="AC1707" s="10" t="n">
        <v>-698</v>
      </c>
      <c r="AD1707" s="7" t="n">
        <v>5183</v>
      </c>
      <c r="AE1707" s="8" t="n">
        <v>-832</v>
      </c>
      <c r="AF1707" s="8" t="n">
        <v>-1095</v>
      </c>
      <c r="AG1707" s="9" t="n">
        <v>5702</v>
      </c>
      <c r="AH1707" s="10" t="n">
        <v>-70</v>
      </c>
      <c r="AI1707" s="10" t="n">
        <v>-69</v>
      </c>
      <c r="AJ1707" s="11" t="n">
        <v>6154</v>
      </c>
      <c r="AK1707" s="12" t="n">
        <v>-194</v>
      </c>
      <c r="AL1707" s="12" t="n">
        <v>-254</v>
      </c>
      <c r="AM1707" s="13" t="n">
        <v>7.9</v>
      </c>
      <c r="AN1707" s="13" t="n">
        <v>21.8</v>
      </c>
      <c r="AO1707" s="13" t="n">
        <v>-177.1</v>
      </c>
      <c r="AP1707" s="13" t="n">
        <v>81.59999999999999</v>
      </c>
    </row>
    <row r="1708">
      <c r="A1708" s="5" t="inlineStr">
        <is>
          <t>펨트론</t>
        </is>
      </c>
      <c r="B1708" s="6" t="inlineStr">
        <is>
          <t>168360</t>
        </is>
      </c>
      <c r="C1708" s="6" t="inlineStr">
        <is>
          <t>연결</t>
        </is>
      </c>
      <c r="D1708" s="6" t="inlineStr">
        <is>
          <t>2026Q2</t>
        </is>
      </c>
      <c r="E1708" s="6" t="inlineStr"/>
      <c r="F1708" s="7" t="inlineStr"/>
      <c r="G1708" s="8" t="inlineStr"/>
      <c r="H1708" s="8" t="inlineStr"/>
      <c r="I1708" s="9" t="n">
        <v>12843</v>
      </c>
      <c r="J1708" s="10" t="n">
        <v>-1514</v>
      </c>
      <c r="K1708" s="10" t="n">
        <v>-1007</v>
      </c>
      <c r="L1708" s="7" t="n">
        <v>12561</v>
      </c>
      <c r="M1708" s="8" t="n">
        <v>-2407</v>
      </c>
      <c r="N1708" s="8" t="n">
        <v>-1717</v>
      </c>
      <c r="O1708" s="9" t="n">
        <v>17377</v>
      </c>
      <c r="P1708" s="10" t="n">
        <v>314</v>
      </c>
      <c r="Q1708" s="10" t="n">
        <v>440</v>
      </c>
      <c r="R1708" s="7" t="n">
        <v>14224</v>
      </c>
      <c r="S1708" s="8" t="n">
        <v>-16</v>
      </c>
      <c r="T1708" s="8" t="n">
        <v>373</v>
      </c>
      <c r="U1708" s="9" t="n">
        <v>11093</v>
      </c>
      <c r="V1708" s="10" t="n">
        <v>-3019</v>
      </c>
      <c r="W1708" s="10" t="n">
        <v>-2289</v>
      </c>
      <c r="X1708" s="7" t="n">
        <v>16712</v>
      </c>
      <c r="Y1708" s="8" t="n">
        <v>259</v>
      </c>
      <c r="Z1708" s="8" t="n">
        <v>-5274</v>
      </c>
      <c r="AA1708" s="9" t="n">
        <v>17863</v>
      </c>
      <c r="AB1708" s="10" t="n">
        <v>1075</v>
      </c>
      <c r="AC1708" s="10" t="n">
        <v>733</v>
      </c>
      <c r="AD1708" s="7" t="n">
        <v>24194</v>
      </c>
      <c r="AE1708" s="8" t="n">
        <v>4869</v>
      </c>
      <c r="AF1708" s="8" t="n">
        <v>3042</v>
      </c>
      <c r="AG1708" s="9" t="n">
        <v>16939</v>
      </c>
      <c r="AH1708" s="10" t="n">
        <v>-1043</v>
      </c>
      <c r="AI1708" s="10" t="n">
        <v>-1417</v>
      </c>
      <c r="AJ1708" s="11" t="n">
        <v>24004</v>
      </c>
      <c r="AK1708" s="12" t="n">
        <v>1393</v>
      </c>
      <c r="AL1708" s="12" t="n">
        <v>-2224</v>
      </c>
      <c r="AM1708" s="13" t="n">
        <v>41.7</v>
      </c>
      <c r="AN1708" s="13" t="n">
        <v>43.6</v>
      </c>
      <c r="AO1708" s="13" t="n">
        <v>233.6</v>
      </c>
      <c r="AP1708" s="13" t="n">
        <v>437.8</v>
      </c>
    </row>
    <row r="1709">
      <c r="A1709" s="5" t="inlineStr">
        <is>
          <t>엠브레인</t>
        </is>
      </c>
      <c r="B1709" s="6" t="inlineStr">
        <is>
          <t>169330</t>
        </is>
      </c>
      <c r="C1709" s="6" t="inlineStr">
        <is>
          <t>연결</t>
        </is>
      </c>
      <c r="D1709" s="6" t="inlineStr">
        <is>
          <t>2025Q4</t>
        </is>
      </c>
      <c r="E1709" s="6" t="inlineStr"/>
      <c r="F1709" s="7" t="inlineStr"/>
      <c r="G1709" s="8" t="inlineStr"/>
      <c r="H1709" s="8" t="inlineStr"/>
      <c r="I1709" s="9" t="n">
        <v>10336</v>
      </c>
      <c r="J1709" s="10" t="n">
        <v>-120</v>
      </c>
      <c r="K1709" s="10" t="n">
        <v>-174</v>
      </c>
      <c r="L1709" s="7" t="n">
        <v>20367</v>
      </c>
      <c r="M1709" s="8" t="n">
        <v>1535</v>
      </c>
      <c r="N1709" s="8" t="n">
        <v>1462</v>
      </c>
      <c r="O1709" s="9" t="n">
        <v>10183</v>
      </c>
      <c r="P1709" s="10" t="n">
        <v>-1175</v>
      </c>
      <c r="Q1709" s="10" t="n">
        <v>-828</v>
      </c>
      <c r="R1709" s="7" t="n">
        <v>12825</v>
      </c>
      <c r="S1709" s="8" t="n">
        <v>1435</v>
      </c>
      <c r="T1709" s="8" t="n">
        <v>1432</v>
      </c>
      <c r="U1709" s="9" t="n">
        <v>13627</v>
      </c>
      <c r="V1709" s="10" t="n">
        <v>335</v>
      </c>
      <c r="W1709" s="10" t="n">
        <v>225</v>
      </c>
      <c r="X1709" s="7" t="n">
        <v>21835</v>
      </c>
      <c r="Y1709" s="8" t="n">
        <v>2535</v>
      </c>
      <c r="Z1709" s="8" t="n">
        <v>2151</v>
      </c>
      <c r="AA1709" s="9" t="n">
        <v>11151</v>
      </c>
      <c r="AB1709" s="10" t="n">
        <v>-1007</v>
      </c>
      <c r="AC1709" s="10" t="n">
        <v>-809</v>
      </c>
      <c r="AD1709" s="7" t="n">
        <v>9548</v>
      </c>
      <c r="AE1709" s="8" t="n">
        <v>-3121</v>
      </c>
      <c r="AF1709" s="8" t="n">
        <v>-2631</v>
      </c>
      <c r="AG1709" s="9" t="inlineStr"/>
      <c r="AH1709" s="10" t="inlineStr"/>
      <c r="AI1709" s="10" t="inlineStr"/>
      <c r="AJ1709" s="11" t="inlineStr"/>
      <c r="AK1709" s="12" t="inlineStr"/>
      <c r="AL1709" s="12" t="inlineStr"/>
      <c r="AM1709" s="13" t="inlineStr"/>
      <c r="AN1709" s="13" t="inlineStr"/>
      <c r="AO1709" s="13" t="inlineStr"/>
      <c r="AP1709" s="13" t="inlineStr"/>
    </row>
    <row r="1710">
      <c r="A1710" s="5" t="inlineStr">
        <is>
          <t>현대공업</t>
        </is>
      </c>
      <c r="B1710" s="6" t="inlineStr">
        <is>
          <t>170030</t>
        </is>
      </c>
      <c r="C1710" s="6" t="inlineStr">
        <is>
          <t>연결</t>
        </is>
      </c>
      <c r="D1710" s="6" t="inlineStr">
        <is>
          <t>2026Q2</t>
        </is>
      </c>
      <c r="E1710" s="6" t="inlineStr"/>
      <c r="F1710" s="7" t="inlineStr"/>
      <c r="G1710" s="8" t="inlineStr"/>
      <c r="H1710" s="8" t="inlineStr"/>
      <c r="I1710" s="9" t="n">
        <v>81942</v>
      </c>
      <c r="J1710" s="10" t="n">
        <v>4964</v>
      </c>
      <c r="K1710" s="10" t="n">
        <v>4325</v>
      </c>
      <c r="L1710" s="7" t="n">
        <v>83957</v>
      </c>
      <c r="M1710" s="8" t="n">
        <v>3139</v>
      </c>
      <c r="N1710" s="8" t="n">
        <v>4717</v>
      </c>
      <c r="O1710" s="9" t="n">
        <v>74635</v>
      </c>
      <c r="P1710" s="10" t="n">
        <v>2894</v>
      </c>
      <c r="Q1710" s="10" t="n">
        <v>1383</v>
      </c>
      <c r="R1710" s="7" t="n">
        <v>86354</v>
      </c>
      <c r="S1710" s="8" t="n">
        <v>-117</v>
      </c>
      <c r="T1710" s="8" t="n">
        <v>2457</v>
      </c>
      <c r="U1710" s="9" t="n">
        <v>84155</v>
      </c>
      <c r="V1710" s="10" t="n">
        <v>794</v>
      </c>
      <c r="W1710" s="10" t="n">
        <v>1410</v>
      </c>
      <c r="X1710" s="7" t="n">
        <v>98508</v>
      </c>
      <c r="Y1710" s="8" t="n">
        <v>6042</v>
      </c>
      <c r="Z1710" s="8" t="n">
        <v>3005</v>
      </c>
      <c r="AA1710" s="9" t="n">
        <v>86413</v>
      </c>
      <c r="AB1710" s="10" t="n">
        <v>4411</v>
      </c>
      <c r="AC1710" s="10" t="n">
        <v>6288</v>
      </c>
      <c r="AD1710" s="7" t="n">
        <v>98835</v>
      </c>
      <c r="AE1710" s="8" t="n">
        <v>1065</v>
      </c>
      <c r="AF1710" s="8" t="n">
        <v>1142</v>
      </c>
      <c r="AG1710" s="9" t="n">
        <v>91174</v>
      </c>
      <c r="AH1710" s="10" t="n">
        <v>5515</v>
      </c>
      <c r="AI1710" s="10" t="n">
        <v>5043</v>
      </c>
      <c r="AJ1710" s="11" t="n">
        <v>85516</v>
      </c>
      <c r="AK1710" s="12" t="n">
        <v>6264</v>
      </c>
      <c r="AL1710" s="12" t="n">
        <v>10599</v>
      </c>
      <c r="AM1710" s="13" t="n">
        <v>-6.2</v>
      </c>
      <c r="AN1710" s="13" t="n">
        <v>-13.2</v>
      </c>
      <c r="AO1710" s="13" t="n">
        <v>13.6</v>
      </c>
      <c r="AP1710" s="13" t="n">
        <v>3.7</v>
      </c>
    </row>
    <row r="1711">
      <c r="A1711" s="5" t="inlineStr">
        <is>
          <t>파이오링크</t>
        </is>
      </c>
      <c r="B1711" s="6" t="inlineStr">
        <is>
          <t>170790</t>
        </is>
      </c>
      <c r="C1711" s="6" t="inlineStr">
        <is>
          <t>연결</t>
        </is>
      </c>
      <c r="D1711" s="6" t="inlineStr">
        <is>
          <t>2026Q2</t>
        </is>
      </c>
      <c r="E1711" s="6" t="inlineStr"/>
      <c r="F1711" s="7" t="inlineStr"/>
      <c r="G1711" s="8" t="inlineStr"/>
      <c r="H1711" s="8" t="inlineStr"/>
      <c r="I1711" s="9" t="n">
        <v>9682</v>
      </c>
      <c r="J1711" s="10" t="n">
        <v>-1578</v>
      </c>
      <c r="K1711" s="10" t="n">
        <v>-1671</v>
      </c>
      <c r="L1711" s="7" t="n">
        <v>12760</v>
      </c>
      <c r="M1711" s="8" t="n">
        <v>41</v>
      </c>
      <c r="N1711" s="8" t="n">
        <v>426</v>
      </c>
      <c r="O1711" s="9" t="n">
        <v>13605</v>
      </c>
      <c r="P1711" s="10" t="n">
        <v>669</v>
      </c>
      <c r="Q1711" s="10" t="n">
        <v>1888</v>
      </c>
      <c r="R1711" s="7" t="n">
        <v>22249</v>
      </c>
      <c r="S1711" s="8" t="n">
        <v>3460</v>
      </c>
      <c r="T1711" s="8" t="n">
        <v>4755</v>
      </c>
      <c r="U1711" s="9" t="n">
        <v>11993</v>
      </c>
      <c r="V1711" s="10" t="n">
        <v>-1487</v>
      </c>
      <c r="W1711" s="10" t="n">
        <v>-650</v>
      </c>
      <c r="X1711" s="7" t="n">
        <v>14722</v>
      </c>
      <c r="Y1711" s="8" t="n">
        <v>-71</v>
      </c>
      <c r="Z1711" s="8" t="n">
        <v>1354</v>
      </c>
      <c r="AA1711" s="9" t="n">
        <v>14690</v>
      </c>
      <c r="AB1711" s="10" t="n">
        <v>521</v>
      </c>
      <c r="AC1711" s="10" t="n">
        <v>843</v>
      </c>
      <c r="AD1711" s="7" t="n">
        <v>24230</v>
      </c>
      <c r="AE1711" s="8" t="n">
        <v>6440</v>
      </c>
      <c r="AF1711" s="8" t="n">
        <v>5971</v>
      </c>
      <c r="AG1711" s="9" t="n">
        <v>12826</v>
      </c>
      <c r="AH1711" s="10" t="n">
        <v>-1477</v>
      </c>
      <c r="AI1711" s="10" t="n">
        <v>-1255</v>
      </c>
      <c r="AJ1711" s="11" t="n">
        <v>15847</v>
      </c>
      <c r="AK1711" s="12" t="n">
        <v>-132</v>
      </c>
      <c r="AL1711" s="12" t="n">
        <v>1187</v>
      </c>
      <c r="AM1711" s="13" t="n">
        <v>23.6</v>
      </c>
      <c r="AN1711" s="13" t="n">
        <v>7.6</v>
      </c>
      <c r="AO1711" s="13" t="n">
        <v>91.09999999999999</v>
      </c>
      <c r="AP1711" s="13" t="n">
        <v>-85.90000000000001</v>
      </c>
    </row>
    <row r="1712">
      <c r="A1712" s="5" t="inlineStr">
        <is>
          <t>동아에스티</t>
        </is>
      </c>
      <c r="B1712" s="6" t="inlineStr">
        <is>
          <t>170900</t>
        </is>
      </c>
      <c r="C1712" s="6" t="inlineStr">
        <is>
          <t>연결</t>
        </is>
      </c>
      <c r="D1712" s="6" t="inlineStr">
        <is>
          <t>2026Q2</t>
        </is>
      </c>
      <c r="E1712" s="6" t="inlineStr">
        <is>
          <t>2023Q4</t>
        </is>
      </c>
      <c r="F1712" s="14" t="n">
        <v>165703</v>
      </c>
      <c r="G1712" s="15" t="n">
        <v>7252</v>
      </c>
      <c r="H1712" s="15" t="n">
        <v>-4667</v>
      </c>
      <c r="I1712" s="9" t="n">
        <v>155364</v>
      </c>
      <c r="J1712" s="10" t="n">
        <v>-16097</v>
      </c>
      <c r="K1712" s="10" t="n">
        <v>-14909</v>
      </c>
      <c r="L1712" s="7" t="n">
        <v>172382</v>
      </c>
      <c r="M1712" s="8" t="n">
        <v>-5985</v>
      </c>
      <c r="N1712" s="8" t="n">
        <v>-6604</v>
      </c>
      <c r="O1712" s="9" t="n">
        <v>191500</v>
      </c>
      <c r="P1712" s="10" t="n">
        <v>4347</v>
      </c>
      <c r="Q1712" s="10" t="n">
        <v>-13931</v>
      </c>
      <c r="R1712" s="7" t="n">
        <v>178623</v>
      </c>
      <c r="S1712" s="8" t="n">
        <v>-7267</v>
      </c>
      <c r="T1712" s="8" t="n">
        <v>12209</v>
      </c>
      <c r="U1712" s="9" t="n">
        <v>182087</v>
      </c>
      <c r="V1712" s="10" t="n">
        <v>-4808</v>
      </c>
      <c r="W1712" s="10" t="n">
        <v>-12343</v>
      </c>
      <c r="X1712" s="7" t="n">
        <v>193994</v>
      </c>
      <c r="Y1712" s="8" t="n">
        <v>-5826</v>
      </c>
      <c r="Z1712" s="8" t="n">
        <v>-21792</v>
      </c>
      <c r="AA1712" s="9" t="n">
        <v>215928</v>
      </c>
      <c r="AB1712" s="10" t="n">
        <v>13993</v>
      </c>
      <c r="AC1712" s="10" t="n">
        <v>8471</v>
      </c>
      <c r="AD1712" s="7" t="n">
        <v>216771</v>
      </c>
      <c r="AE1712" s="8" t="n">
        <v>-2736</v>
      </c>
      <c r="AF1712" s="8" t="n">
        <v>-11947</v>
      </c>
      <c r="AG1712" s="9" t="n">
        <v>203579</v>
      </c>
      <c r="AH1712" s="10" t="n">
        <v>7756</v>
      </c>
      <c r="AI1712" s="10" t="n">
        <v>7855</v>
      </c>
      <c r="AJ1712" s="11" t="n">
        <v>224659</v>
      </c>
      <c r="AK1712" s="12" t="n">
        <v>6294</v>
      </c>
      <c r="AL1712" s="12" t="n">
        <v>1447</v>
      </c>
      <c r="AM1712" s="13" t="n">
        <v>10.4</v>
      </c>
      <c r="AN1712" s="13" t="n">
        <v>15.8</v>
      </c>
      <c r="AO1712" s="13" t="n">
        <v>-18.8</v>
      </c>
      <c r="AP1712" s="13" t="n">
        <v>208</v>
      </c>
    </row>
    <row r="1713">
      <c r="A1713" s="5" t="inlineStr">
        <is>
          <t>엘티씨</t>
        </is>
      </c>
      <c r="B1713" s="6" t="inlineStr">
        <is>
          <t>170920</t>
        </is>
      </c>
      <c r="C1713" s="6" t="inlineStr">
        <is>
          <t>연결</t>
        </is>
      </c>
      <c r="D1713" s="6" t="inlineStr">
        <is>
          <t>2026Q2</t>
        </is>
      </c>
      <c r="E1713" s="6" t="inlineStr"/>
      <c r="F1713" s="7" t="inlineStr"/>
      <c r="G1713" s="8" t="inlineStr"/>
      <c r="H1713" s="8" t="inlineStr"/>
      <c r="I1713" s="9" t="n">
        <v>49681</v>
      </c>
      <c r="J1713" s="10" t="n">
        <v>1678</v>
      </c>
      <c r="K1713" s="10" t="n">
        <v>770</v>
      </c>
      <c r="L1713" s="7" t="n">
        <v>57761</v>
      </c>
      <c r="M1713" s="8" t="n">
        <v>3609</v>
      </c>
      <c r="N1713" s="8" t="n">
        <v>359</v>
      </c>
      <c r="O1713" s="9" t="n">
        <v>76956</v>
      </c>
      <c r="P1713" s="10" t="n">
        <v>8082</v>
      </c>
      <c r="Q1713" s="10" t="n">
        <v>3125</v>
      </c>
      <c r="R1713" s="7" t="n">
        <v>92575</v>
      </c>
      <c r="S1713" s="8" t="n">
        <v>10815</v>
      </c>
      <c r="T1713" s="8" t="n">
        <v>10175</v>
      </c>
      <c r="U1713" s="9" t="n">
        <v>75871</v>
      </c>
      <c r="V1713" s="10" t="n">
        <v>9425</v>
      </c>
      <c r="W1713" s="10" t="n">
        <v>6676</v>
      </c>
      <c r="X1713" s="7" t="n">
        <v>61345</v>
      </c>
      <c r="Y1713" s="8" t="n">
        <v>4912</v>
      </c>
      <c r="Z1713" s="8" t="n">
        <v>921</v>
      </c>
      <c r="AA1713" s="9" t="n">
        <v>67933</v>
      </c>
      <c r="AB1713" s="10" t="n">
        <v>8226</v>
      </c>
      <c r="AC1713" s="10" t="n">
        <v>4535</v>
      </c>
      <c r="AD1713" s="7" t="n">
        <v>105236</v>
      </c>
      <c r="AE1713" s="8" t="n">
        <v>7066</v>
      </c>
      <c r="AF1713" s="8" t="n">
        <v>6058</v>
      </c>
      <c r="AG1713" s="9" t="n">
        <v>98838</v>
      </c>
      <c r="AH1713" s="10" t="n">
        <v>18100</v>
      </c>
      <c r="AI1713" s="10" t="n">
        <v>17121</v>
      </c>
      <c r="AJ1713" s="11" t="n">
        <v>140878</v>
      </c>
      <c r="AK1713" s="12" t="n">
        <v>23201</v>
      </c>
      <c r="AL1713" s="12" t="n">
        <v>21567</v>
      </c>
      <c r="AM1713" s="13" t="n">
        <v>42.5</v>
      </c>
      <c r="AN1713" s="13" t="n">
        <v>129.6</v>
      </c>
      <c r="AO1713" s="13" t="n">
        <v>28.2</v>
      </c>
      <c r="AP1713" s="13" t="n">
        <v>372.3</v>
      </c>
    </row>
    <row r="1714">
      <c r="A1714" s="5" t="inlineStr">
        <is>
          <t>램테크놀러지</t>
        </is>
      </c>
      <c r="B1714" s="6" t="inlineStr">
        <is>
          <t>171010</t>
        </is>
      </c>
      <c r="C1714" s="6" t="inlineStr">
        <is>
          <t>연결</t>
        </is>
      </c>
      <c r="D1714" s="6" t="inlineStr">
        <is>
          <t>2026Q2</t>
        </is>
      </c>
      <c r="E1714" s="6" t="inlineStr"/>
      <c r="F1714" s="7" t="inlineStr"/>
      <c r="G1714" s="8" t="inlineStr"/>
      <c r="H1714" s="8" t="inlineStr"/>
      <c r="I1714" s="9" t="n">
        <v>11677</v>
      </c>
      <c r="J1714" s="10" t="n">
        <v>-533</v>
      </c>
      <c r="K1714" s="10" t="n">
        <v>-719</v>
      </c>
      <c r="L1714" s="7" t="n">
        <v>11913</v>
      </c>
      <c r="M1714" s="8" t="n">
        <v>-200</v>
      </c>
      <c r="N1714" s="8" t="n">
        <v>-72</v>
      </c>
      <c r="O1714" s="9" t="n">
        <v>10980</v>
      </c>
      <c r="P1714" s="10" t="n">
        <v>4</v>
      </c>
      <c r="Q1714" s="10" t="n">
        <v>-665</v>
      </c>
      <c r="R1714" s="7" t="n">
        <v>9931</v>
      </c>
      <c r="S1714" s="8" t="n">
        <v>-924</v>
      </c>
      <c r="T1714" s="8" t="n">
        <v>-1101</v>
      </c>
      <c r="U1714" s="9" t="n">
        <v>10519</v>
      </c>
      <c r="V1714" s="10" t="n">
        <v>161</v>
      </c>
      <c r="W1714" s="10" t="n">
        <v>-205</v>
      </c>
      <c r="X1714" s="7" t="n">
        <v>10779</v>
      </c>
      <c r="Y1714" s="8" t="n">
        <v>11</v>
      </c>
      <c r="Z1714" s="8" t="n">
        <v>-129</v>
      </c>
      <c r="AA1714" s="9" t="n">
        <v>10675</v>
      </c>
      <c r="AB1714" s="10" t="n">
        <v>88</v>
      </c>
      <c r="AC1714" s="10" t="n">
        <v>-503</v>
      </c>
      <c r="AD1714" s="7" t="n">
        <v>10709</v>
      </c>
      <c r="AE1714" s="8" t="n">
        <v>-1214</v>
      </c>
      <c r="AF1714" s="8" t="n">
        <v>-7529</v>
      </c>
      <c r="AG1714" s="9" t="n">
        <v>11662</v>
      </c>
      <c r="AH1714" s="10" t="n">
        <v>473</v>
      </c>
      <c r="AI1714" s="10" t="n">
        <v>182</v>
      </c>
      <c r="AJ1714" s="11" t="n">
        <v>12161</v>
      </c>
      <c r="AK1714" s="12" t="n">
        <v>299</v>
      </c>
      <c r="AL1714" s="12" t="n">
        <v>-57</v>
      </c>
      <c r="AM1714" s="13" t="n">
        <v>4.3</v>
      </c>
      <c r="AN1714" s="13" t="n">
        <v>12.8</v>
      </c>
      <c r="AO1714" s="13" t="n">
        <v>-36.8</v>
      </c>
      <c r="AP1714" s="13" t="n">
        <v>2618.2</v>
      </c>
    </row>
    <row r="1715">
      <c r="A1715" s="5" t="inlineStr">
        <is>
          <t>선익시스템</t>
        </is>
      </c>
      <c r="B1715" s="6" t="inlineStr">
        <is>
          <t>171090</t>
        </is>
      </c>
      <c r="C1715" s="6" t="inlineStr">
        <is>
          <t>연결</t>
        </is>
      </c>
      <c r="D1715" s="6" t="inlineStr">
        <is>
          <t>2026Q2</t>
        </is>
      </c>
      <c r="E1715" s="6" t="inlineStr"/>
      <c r="F1715" s="7" t="inlineStr"/>
      <c r="G1715" s="8" t="inlineStr"/>
      <c r="H1715" s="8" t="inlineStr"/>
      <c r="I1715" s="9" t="n">
        <v>17328</v>
      </c>
      <c r="J1715" s="10" t="n">
        <v>-1154</v>
      </c>
      <c r="K1715" s="10" t="n">
        <v>-8751</v>
      </c>
      <c r="L1715" s="7" t="n">
        <v>42594</v>
      </c>
      <c r="M1715" s="8" t="n">
        <v>7439</v>
      </c>
      <c r="N1715" s="8" t="n">
        <v>106</v>
      </c>
      <c r="O1715" s="9" t="n">
        <v>12856</v>
      </c>
      <c r="P1715" s="10" t="n">
        <v>-1564</v>
      </c>
      <c r="Q1715" s="10" t="n">
        <v>7891</v>
      </c>
      <c r="R1715" s="7" t="n">
        <v>40147</v>
      </c>
      <c r="S1715" s="8" t="n">
        <v>3186</v>
      </c>
      <c r="T1715" s="8" t="n">
        <v>-27316</v>
      </c>
      <c r="U1715" s="9" t="n">
        <v>15894</v>
      </c>
      <c r="V1715" s="10" t="n">
        <v>-1795</v>
      </c>
      <c r="W1715" s="10" t="n">
        <v>-3428</v>
      </c>
      <c r="X1715" s="7" t="n">
        <v>190055</v>
      </c>
      <c r="Y1715" s="8" t="n">
        <v>39962</v>
      </c>
      <c r="Z1715" s="8" t="n">
        <v>59341</v>
      </c>
      <c r="AA1715" s="9" t="n">
        <v>88763</v>
      </c>
      <c r="AB1715" s="10" t="n">
        <v>19797</v>
      </c>
      <c r="AC1715" s="10" t="n">
        <v>6570</v>
      </c>
      <c r="AD1715" s="7" t="n">
        <v>221049</v>
      </c>
      <c r="AE1715" s="8" t="n">
        <v>53562</v>
      </c>
      <c r="AF1715" s="8" t="n">
        <v>34041</v>
      </c>
      <c r="AG1715" s="9" t="n">
        <v>16099</v>
      </c>
      <c r="AH1715" s="10" t="n">
        <v>1475</v>
      </c>
      <c r="AI1715" s="10" t="n">
        <v>-19633</v>
      </c>
      <c r="AJ1715" s="11" t="n">
        <v>20242</v>
      </c>
      <c r="AK1715" s="12" t="n">
        <v>-10143</v>
      </c>
      <c r="AL1715" s="12" t="n">
        <v>-7954</v>
      </c>
      <c r="AM1715" s="13" t="n">
        <v>25.7</v>
      </c>
      <c r="AN1715" s="13" t="n">
        <v>-89.3</v>
      </c>
      <c r="AO1715" s="13" t="n">
        <v>-787.7</v>
      </c>
      <c r="AP1715" s="13" t="n">
        <v>-125.4</v>
      </c>
    </row>
    <row r="1716">
      <c r="A1716" s="5" t="inlineStr">
        <is>
          <t>라이온켐텍</t>
        </is>
      </c>
      <c r="B1716" s="6" t="inlineStr">
        <is>
          <t>171120</t>
        </is>
      </c>
      <c r="C1716" s="6" t="inlineStr">
        <is>
          <t>연결</t>
        </is>
      </c>
      <c r="D1716" s="6" t="inlineStr">
        <is>
          <t>2026Q2</t>
        </is>
      </c>
      <c r="E1716" s="6" t="inlineStr"/>
      <c r="F1716" s="7" t="inlineStr"/>
      <c r="G1716" s="8" t="inlineStr"/>
      <c r="H1716" s="8" t="inlineStr"/>
      <c r="I1716" s="9" t="n">
        <v>26435</v>
      </c>
      <c r="J1716" s="10" t="n">
        <v>960</v>
      </c>
      <c r="K1716" s="10" t="n">
        <v>1533</v>
      </c>
      <c r="L1716" s="7" t="n">
        <v>42755</v>
      </c>
      <c r="M1716" s="8" t="n">
        <v>5103</v>
      </c>
      <c r="N1716" s="8" t="n">
        <v>1718</v>
      </c>
      <c r="O1716" s="9" t="n">
        <v>37138</v>
      </c>
      <c r="P1716" s="10" t="n">
        <v>1747</v>
      </c>
      <c r="Q1716" s="10" t="n">
        <v>-76</v>
      </c>
      <c r="R1716" s="7" t="n">
        <v>35484</v>
      </c>
      <c r="S1716" s="8" t="n">
        <v>1566</v>
      </c>
      <c r="T1716" s="8" t="n">
        <v>2830</v>
      </c>
      <c r="U1716" s="9" t="n">
        <v>25100</v>
      </c>
      <c r="V1716" s="10" t="n">
        <v>-2020</v>
      </c>
      <c r="W1716" s="10" t="n">
        <v>-2489</v>
      </c>
      <c r="X1716" s="7" t="n">
        <v>38353</v>
      </c>
      <c r="Y1716" s="8" t="n">
        <v>5079</v>
      </c>
      <c r="Z1716" s="8" t="n">
        <v>2002</v>
      </c>
      <c r="AA1716" s="9" t="n">
        <v>36554</v>
      </c>
      <c r="AB1716" s="10" t="n">
        <v>4784</v>
      </c>
      <c r="AC1716" s="10" t="n">
        <v>3910</v>
      </c>
      <c r="AD1716" s="7" t="n">
        <v>30265</v>
      </c>
      <c r="AE1716" s="8" t="n">
        <v>3529</v>
      </c>
      <c r="AF1716" s="8" t="n">
        <v>1591</v>
      </c>
      <c r="AG1716" s="9" t="n">
        <v>36621</v>
      </c>
      <c r="AH1716" s="10" t="n">
        <v>4189</v>
      </c>
      <c r="AI1716" s="10" t="n">
        <v>3481</v>
      </c>
      <c r="AJ1716" s="11" t="n">
        <v>42022</v>
      </c>
      <c r="AK1716" s="12" t="n">
        <v>5190</v>
      </c>
      <c r="AL1716" s="12" t="n">
        <v>3074</v>
      </c>
      <c r="AM1716" s="13" t="n">
        <v>14.7</v>
      </c>
      <c r="AN1716" s="13" t="n">
        <v>9.6</v>
      </c>
      <c r="AO1716" s="13" t="n">
        <v>23.9</v>
      </c>
      <c r="AP1716" s="13" t="n">
        <v>2.2</v>
      </c>
    </row>
    <row r="1717">
      <c r="A1717" s="5" t="inlineStr">
        <is>
          <t>에이엘티</t>
        </is>
      </c>
      <c r="B1717" s="6" t="inlineStr">
        <is>
          <t>172670</t>
        </is>
      </c>
      <c r="C1717" s="6" t="inlineStr">
        <is>
          <t>연결</t>
        </is>
      </c>
      <c r="D1717" s="6" t="inlineStr">
        <is>
          <t>2026Q2</t>
        </is>
      </c>
      <c r="E1717" s="6" t="inlineStr"/>
      <c r="F1717" s="7" t="inlineStr"/>
      <c r="G1717" s="8" t="inlineStr"/>
      <c r="H1717" s="8" t="inlineStr"/>
      <c r="I1717" s="9" t="n">
        <v>9005</v>
      </c>
      <c r="J1717" s="10" t="n">
        <v>-3164</v>
      </c>
      <c r="K1717" s="10" t="n">
        <v>-3707</v>
      </c>
      <c r="L1717" s="7" t="n">
        <v>9298</v>
      </c>
      <c r="M1717" s="8" t="n">
        <v>-2163</v>
      </c>
      <c r="N1717" s="8" t="n">
        <v>-824</v>
      </c>
      <c r="O1717" s="9" t="n">
        <v>8442</v>
      </c>
      <c r="P1717" s="10" t="n">
        <v>-4068</v>
      </c>
      <c r="Q1717" s="10" t="n">
        <v>-2712</v>
      </c>
      <c r="R1717" s="7" t="n">
        <v>9922</v>
      </c>
      <c r="S1717" s="8" t="n">
        <v>-2813</v>
      </c>
      <c r="T1717" s="8" t="n">
        <v>-2000</v>
      </c>
      <c r="U1717" s="9" t="n">
        <v>10074</v>
      </c>
      <c r="V1717" s="10" t="n">
        <v>-3139</v>
      </c>
      <c r="W1717" s="10" t="n">
        <v>-4022</v>
      </c>
      <c r="X1717" s="7" t="n">
        <v>11229</v>
      </c>
      <c r="Y1717" s="8" t="n">
        <v>-2246</v>
      </c>
      <c r="Z1717" s="8" t="n">
        <v>-4500</v>
      </c>
      <c r="AA1717" s="9" t="n">
        <v>11989</v>
      </c>
      <c r="AB1717" s="10" t="n">
        <v>-2843</v>
      </c>
      <c r="AC1717" s="10" t="n">
        <v>-3789</v>
      </c>
      <c r="AD1717" s="7" t="n">
        <v>15066</v>
      </c>
      <c r="AE1717" s="8" t="n">
        <v>833</v>
      </c>
      <c r="AF1717" s="8" t="n">
        <v>3445</v>
      </c>
      <c r="AG1717" s="9" t="n">
        <v>13804</v>
      </c>
      <c r="AH1717" s="10" t="n">
        <v>-858</v>
      </c>
      <c r="AI1717" s="10" t="n">
        <v>-2226</v>
      </c>
      <c r="AJ1717" s="11" t="n">
        <v>16435</v>
      </c>
      <c r="AK1717" s="12" t="n">
        <v>2132</v>
      </c>
      <c r="AL1717" s="12" t="n">
        <v>1479</v>
      </c>
      <c r="AM1717" s="13" t="n">
        <v>19.1</v>
      </c>
      <c r="AN1717" s="13" t="n">
        <v>46.4</v>
      </c>
      <c r="AO1717" s="13" t="n">
        <v>348.5</v>
      </c>
      <c r="AP1717" s="13" t="n">
        <v>194.9</v>
      </c>
    </row>
    <row r="1718">
      <c r="A1718" s="5" t="inlineStr">
        <is>
          <t>오파스넷</t>
        </is>
      </c>
      <c r="B1718" s="6" t="inlineStr">
        <is>
          <t>173130</t>
        </is>
      </c>
      <c r="C1718" s="6" t="inlineStr">
        <is>
          <t>연결</t>
        </is>
      </c>
      <c r="D1718" s="6" t="inlineStr">
        <is>
          <t>2026Q2</t>
        </is>
      </c>
      <c r="E1718" s="6" t="inlineStr"/>
      <c r="F1718" s="7" t="inlineStr"/>
      <c r="G1718" s="8" t="inlineStr"/>
      <c r="H1718" s="8" t="inlineStr"/>
      <c r="I1718" s="9" t="n">
        <v>33147</v>
      </c>
      <c r="J1718" s="10" t="n">
        <v>108</v>
      </c>
      <c r="K1718" s="10" t="n">
        <v>136</v>
      </c>
      <c r="L1718" s="7" t="n">
        <v>38982</v>
      </c>
      <c r="M1718" s="8" t="n">
        <v>1676</v>
      </c>
      <c r="N1718" s="8" t="n">
        <v>1353</v>
      </c>
      <c r="O1718" s="9" t="n">
        <v>44412</v>
      </c>
      <c r="P1718" s="10" t="n">
        <v>2514</v>
      </c>
      <c r="Q1718" s="10" t="n">
        <v>1794</v>
      </c>
      <c r="R1718" s="7" t="n">
        <v>76344</v>
      </c>
      <c r="S1718" s="8" t="n">
        <v>6354</v>
      </c>
      <c r="T1718" s="8" t="n">
        <v>6364</v>
      </c>
      <c r="U1718" s="9" t="n">
        <v>44366</v>
      </c>
      <c r="V1718" s="10" t="n">
        <v>565</v>
      </c>
      <c r="W1718" s="10" t="n">
        <v>470</v>
      </c>
      <c r="X1718" s="7" t="n">
        <v>58156</v>
      </c>
      <c r="Y1718" s="8" t="n">
        <v>5582</v>
      </c>
      <c r="Z1718" s="8" t="n">
        <v>4566</v>
      </c>
      <c r="AA1718" s="9" t="n">
        <v>42826</v>
      </c>
      <c r="AB1718" s="10" t="n">
        <v>3362</v>
      </c>
      <c r="AC1718" s="10" t="n">
        <v>3039</v>
      </c>
      <c r="AD1718" s="7" t="n">
        <v>87946</v>
      </c>
      <c r="AE1718" s="8" t="n">
        <v>4536</v>
      </c>
      <c r="AF1718" s="8" t="n">
        <v>3940</v>
      </c>
      <c r="AG1718" s="9" t="n">
        <v>38093</v>
      </c>
      <c r="AH1718" s="10" t="n">
        <v>1406</v>
      </c>
      <c r="AI1718" s="10" t="n">
        <v>1830</v>
      </c>
      <c r="AJ1718" s="11" t="n">
        <v>47341</v>
      </c>
      <c r="AK1718" s="12" t="n">
        <v>1937</v>
      </c>
      <c r="AL1718" s="12" t="n">
        <v>3631</v>
      </c>
      <c r="AM1718" s="13" t="n">
        <v>24.3</v>
      </c>
      <c r="AN1718" s="13" t="n">
        <v>-18.6</v>
      </c>
      <c r="AO1718" s="13" t="n">
        <v>37.8</v>
      </c>
      <c r="AP1718" s="13" t="n">
        <v>-65.3</v>
      </c>
    </row>
    <row r="1719">
      <c r="A1719" s="5" t="inlineStr">
        <is>
          <t>에프엔씨엔터</t>
        </is>
      </c>
      <c r="B1719" s="6" t="inlineStr">
        <is>
          <t>173940</t>
        </is>
      </c>
      <c r="C1719" s="6" t="inlineStr">
        <is>
          <t>연결</t>
        </is>
      </c>
      <c r="D1719" s="6" t="inlineStr">
        <is>
          <t>2026Q2</t>
        </is>
      </c>
      <c r="E1719" s="6" t="inlineStr"/>
      <c r="F1719" s="7" t="inlineStr"/>
      <c r="G1719" s="8" t="inlineStr"/>
      <c r="H1719" s="8" t="inlineStr"/>
      <c r="I1719" s="9" t="n">
        <v>18389</v>
      </c>
      <c r="J1719" s="10" t="n">
        <v>-1451</v>
      </c>
      <c r="K1719" s="10" t="n">
        <v>-2072</v>
      </c>
      <c r="L1719" s="7" t="n">
        <v>18169</v>
      </c>
      <c r="M1719" s="8" t="n">
        <v>419</v>
      </c>
      <c r="N1719" s="8" t="n">
        <v>380</v>
      </c>
      <c r="O1719" s="9" t="n">
        <v>23082</v>
      </c>
      <c r="P1719" s="10" t="n">
        <v>-1074</v>
      </c>
      <c r="Q1719" s="10" t="n">
        <v>-875</v>
      </c>
      <c r="R1719" s="7" t="n">
        <v>26584</v>
      </c>
      <c r="S1719" s="8" t="n">
        <v>-2076</v>
      </c>
      <c r="T1719" s="8" t="n">
        <v>-4086</v>
      </c>
      <c r="U1719" s="9" t="n">
        <v>11340</v>
      </c>
      <c r="V1719" s="10" t="n">
        <v>-3746</v>
      </c>
      <c r="W1719" s="10" t="n">
        <v>-4023</v>
      </c>
      <c r="X1719" s="7" t="n">
        <v>26515</v>
      </c>
      <c r="Y1719" s="8" t="n">
        <v>929</v>
      </c>
      <c r="Z1719" s="8" t="n">
        <v>-316</v>
      </c>
      <c r="AA1719" s="9" t="n">
        <v>29536</v>
      </c>
      <c r="AB1719" s="10" t="n">
        <v>1776</v>
      </c>
      <c r="AC1719" s="10" t="n">
        <v>739</v>
      </c>
      <c r="AD1719" s="7" t="n">
        <v>34978</v>
      </c>
      <c r="AE1719" s="8" t="n">
        <v>427</v>
      </c>
      <c r="AF1719" s="8" t="n">
        <v>-8214</v>
      </c>
      <c r="AG1719" s="9" t="n">
        <v>27203</v>
      </c>
      <c r="AH1719" s="10" t="n">
        <v>803</v>
      </c>
      <c r="AI1719" s="10" t="n">
        <v>1655</v>
      </c>
      <c r="AJ1719" s="11" t="n">
        <v>22069</v>
      </c>
      <c r="AK1719" s="12" t="n">
        <v>-3387</v>
      </c>
      <c r="AL1719" s="12" t="n">
        <v>-4398</v>
      </c>
      <c r="AM1719" s="13" t="n">
        <v>-18.9</v>
      </c>
      <c r="AN1719" s="13" t="n">
        <v>-16.8</v>
      </c>
      <c r="AO1719" s="13" t="n">
        <v>-521.8</v>
      </c>
      <c r="AP1719" s="13" t="n">
        <v>-464.6</v>
      </c>
    </row>
    <row r="1720">
      <c r="A1720" s="5" t="inlineStr">
        <is>
          <t>앱클론</t>
        </is>
      </c>
      <c r="B1720" s="6" t="inlineStr">
        <is>
          <t>174900</t>
        </is>
      </c>
      <c r="C1720" s="6" t="inlineStr">
        <is>
          <t>별도</t>
        </is>
      </c>
      <c r="D1720" s="6" t="inlineStr">
        <is>
          <t>2026Q2</t>
        </is>
      </c>
      <c r="E1720" s="6" t="inlineStr"/>
      <c r="F1720" s="7" t="inlineStr"/>
      <c r="G1720" s="8" t="inlineStr"/>
      <c r="H1720" s="8" t="inlineStr"/>
      <c r="I1720" s="9" t="n">
        <v>437</v>
      </c>
      <c r="J1720" s="10" t="n">
        <v>-5406</v>
      </c>
      <c r="K1720" s="10" t="n">
        <v>-5651</v>
      </c>
      <c r="L1720" s="7" t="n">
        <v>395</v>
      </c>
      <c r="M1720" s="8" t="n">
        <v>-3680</v>
      </c>
      <c r="N1720" s="8" t="n">
        <v>-3964</v>
      </c>
      <c r="O1720" s="9" t="n">
        <v>798</v>
      </c>
      <c r="P1720" s="10" t="n">
        <v>-3257</v>
      </c>
      <c r="Q1720" s="10" t="n">
        <v>-3426</v>
      </c>
      <c r="R1720" s="7" t="n">
        <v>710</v>
      </c>
      <c r="S1720" s="8" t="n">
        <v>-3246</v>
      </c>
      <c r="T1720" s="8" t="n">
        <v>-3261</v>
      </c>
      <c r="U1720" s="9" t="n">
        <v>413</v>
      </c>
      <c r="V1720" s="10" t="n">
        <v>-5760</v>
      </c>
      <c r="W1720" s="10" t="n">
        <v>-5978</v>
      </c>
      <c r="X1720" s="7" t="n">
        <v>1112</v>
      </c>
      <c r="Y1720" s="8" t="n">
        <v>-3345</v>
      </c>
      <c r="Z1720" s="8" t="n">
        <v>-3469</v>
      </c>
      <c r="AA1720" s="9" t="n">
        <v>1566</v>
      </c>
      <c r="AB1720" s="10" t="n">
        <v>-3538</v>
      </c>
      <c r="AC1720" s="10" t="n">
        <v>-3522</v>
      </c>
      <c r="AD1720" s="7" t="n">
        <v>1623</v>
      </c>
      <c r="AE1720" s="8" t="n">
        <v>-4993</v>
      </c>
      <c r="AF1720" s="8" t="n">
        <v>-4938</v>
      </c>
      <c r="AG1720" s="9" t="n">
        <v>434</v>
      </c>
      <c r="AH1720" s="10" t="n">
        <v>-3059</v>
      </c>
      <c r="AI1720" s="10" t="n">
        <v>-2781</v>
      </c>
      <c r="AJ1720" s="11" t="n">
        <v>1684</v>
      </c>
      <c r="AK1720" s="12" t="n">
        <v>-6255</v>
      </c>
      <c r="AL1720" s="12" t="n">
        <v>-6059</v>
      </c>
      <c r="AM1720" s="13" t="n">
        <v>288</v>
      </c>
      <c r="AN1720" s="13" t="n">
        <v>51.4</v>
      </c>
      <c r="AO1720" s="13" t="n">
        <v>-104.5</v>
      </c>
      <c r="AP1720" s="13" t="n">
        <v>-87</v>
      </c>
    </row>
    <row r="1721">
      <c r="A1721" s="5" t="inlineStr">
        <is>
          <t>휴먼테크놀로지</t>
        </is>
      </c>
      <c r="B1721" s="6" t="inlineStr">
        <is>
          <t>175140</t>
        </is>
      </c>
      <c r="C1721" s="6" t="inlineStr">
        <is>
          <t>연결</t>
        </is>
      </c>
      <c r="D1721" s="6" t="inlineStr">
        <is>
          <t>2026Q2</t>
        </is>
      </c>
      <c r="E1721" s="6" t="inlineStr"/>
      <c r="F1721" s="7" t="inlineStr"/>
      <c r="G1721" s="8" t="inlineStr"/>
      <c r="H1721" s="8" t="inlineStr"/>
      <c r="I1721" s="9" t="n">
        <v>6681</v>
      </c>
      <c r="J1721" s="10" t="n">
        <v>-1708</v>
      </c>
      <c r="K1721" s="10" t="n">
        <v>-930</v>
      </c>
      <c r="L1721" s="7" t="n">
        <v>9166</v>
      </c>
      <c r="M1721" s="8" t="n">
        <v>-2263</v>
      </c>
      <c r="N1721" s="8" t="n">
        <v>-1570</v>
      </c>
      <c r="O1721" s="9" t="n">
        <v>16051</v>
      </c>
      <c r="P1721" s="10" t="n">
        <v>-236</v>
      </c>
      <c r="Q1721" s="10" t="n">
        <v>-473</v>
      </c>
      <c r="R1721" s="7" t="n">
        <v>10785</v>
      </c>
      <c r="S1721" s="8" t="n">
        <v>-2381</v>
      </c>
      <c r="T1721" s="8" t="n">
        <v>-13207</v>
      </c>
      <c r="U1721" s="9" t="n">
        <v>12689</v>
      </c>
      <c r="V1721" s="10" t="n">
        <v>-1993</v>
      </c>
      <c r="W1721" s="10" t="n">
        <v>-1689</v>
      </c>
      <c r="X1721" s="7" t="n">
        <v>11453</v>
      </c>
      <c r="Y1721" s="8" t="n">
        <v>-6144</v>
      </c>
      <c r="Z1721" s="8" t="n">
        <v>-6866</v>
      </c>
      <c r="AA1721" s="9" t="n">
        <v>14381</v>
      </c>
      <c r="AB1721" s="10" t="n">
        <v>-3055</v>
      </c>
      <c r="AC1721" s="10" t="n">
        <v>-3247</v>
      </c>
      <c r="AD1721" s="7" t="n">
        <v>16968</v>
      </c>
      <c r="AE1721" s="8" t="n">
        <v>-437</v>
      </c>
      <c r="AF1721" s="8" t="n">
        <v>-6603</v>
      </c>
      <c r="AG1721" s="9" t="n">
        <v>9159</v>
      </c>
      <c r="AH1721" s="10" t="n">
        <v>-2957</v>
      </c>
      <c r="AI1721" s="10" t="n">
        <v>-3746</v>
      </c>
      <c r="AJ1721" s="11" t="n">
        <v>9617</v>
      </c>
      <c r="AK1721" s="12" t="n">
        <v>-2544</v>
      </c>
      <c r="AL1721" s="12" t="n">
        <v>-2541</v>
      </c>
      <c r="AM1721" s="13" t="n">
        <v>5</v>
      </c>
      <c r="AN1721" s="13" t="n">
        <v>-16</v>
      </c>
      <c r="AO1721" s="13" t="n">
        <v>14</v>
      </c>
      <c r="AP1721" s="13" t="n">
        <v>58.6</v>
      </c>
    </row>
    <row r="1722">
      <c r="A1722" s="5" t="inlineStr">
        <is>
          <t>아이큐어</t>
        </is>
      </c>
      <c r="B1722" s="6" t="inlineStr">
        <is>
          <t>175250</t>
        </is>
      </c>
      <c r="C1722" s="6" t="inlineStr">
        <is>
          <t>연결</t>
        </is>
      </c>
      <c r="D1722" s="6" t="inlineStr">
        <is>
          <t>2026Q2</t>
        </is>
      </c>
      <c r="E1722" s="6" t="inlineStr"/>
      <c r="F1722" s="7" t="inlineStr"/>
      <c r="G1722" s="8" t="inlineStr"/>
      <c r="H1722" s="8" t="inlineStr"/>
      <c r="I1722" s="9" t="n">
        <v>15938</v>
      </c>
      <c r="J1722" s="10" t="n">
        <v>-4144</v>
      </c>
      <c r="K1722" s="10" t="n">
        <v>-4889</v>
      </c>
      <c r="L1722" s="7" t="n">
        <v>16836</v>
      </c>
      <c r="M1722" s="8" t="n">
        <v>-3985</v>
      </c>
      <c r="N1722" s="8" t="n">
        <v>-836</v>
      </c>
      <c r="O1722" s="9" t="n">
        <v>15730</v>
      </c>
      <c r="P1722" s="10" t="n">
        <v>-4409</v>
      </c>
      <c r="Q1722" s="10" t="n">
        <v>21920</v>
      </c>
      <c r="R1722" s="7" t="n">
        <v>20703</v>
      </c>
      <c r="S1722" s="8" t="n">
        <v>-4644</v>
      </c>
      <c r="T1722" s="8" t="n">
        <v>-16170</v>
      </c>
      <c r="U1722" s="9" t="n">
        <v>22131</v>
      </c>
      <c r="V1722" s="10" t="n">
        <v>-2444</v>
      </c>
      <c r="W1722" s="10" t="n">
        <v>-2481</v>
      </c>
      <c r="X1722" s="7" t="n">
        <v>25255</v>
      </c>
      <c r="Y1722" s="8" t="n">
        <v>-4415</v>
      </c>
      <c r="Z1722" s="8" t="n">
        <v>-9811</v>
      </c>
      <c r="AA1722" s="9" t="n">
        <v>25135</v>
      </c>
      <c r="AB1722" s="10" t="n">
        <v>-3256</v>
      </c>
      <c r="AC1722" s="10" t="n">
        <v>-3872</v>
      </c>
      <c r="AD1722" s="7" t="n">
        <v>10864</v>
      </c>
      <c r="AE1722" s="8" t="n">
        <v>-1842</v>
      </c>
      <c r="AF1722" s="8" t="n">
        <v>-18351</v>
      </c>
      <c r="AG1722" s="9" t="n">
        <v>32192</v>
      </c>
      <c r="AH1722" s="10" t="n">
        <v>208</v>
      </c>
      <c r="AI1722" s="10" t="n">
        <v>-669</v>
      </c>
      <c r="AJ1722" s="11" t="n">
        <v>37654</v>
      </c>
      <c r="AK1722" s="12" t="n">
        <v>2396</v>
      </c>
      <c r="AL1722" s="12" t="n">
        <v>2263</v>
      </c>
      <c r="AM1722" s="13" t="n">
        <v>17</v>
      </c>
      <c r="AN1722" s="13" t="n">
        <v>49.1</v>
      </c>
      <c r="AO1722" s="13" t="n">
        <v>1051.9</v>
      </c>
      <c r="AP1722" s="13" t="n">
        <v>154.3</v>
      </c>
    </row>
    <row r="1723">
      <c r="A1723" s="5" t="inlineStr">
        <is>
          <t>JB금융지주</t>
        </is>
      </c>
      <c r="B1723" s="6" t="inlineStr">
        <is>
          <t>175330</t>
        </is>
      </c>
      <c r="C1723" s="6" t="inlineStr">
        <is>
          <t>연결</t>
        </is>
      </c>
      <c r="D1723" s="6" t="inlineStr">
        <is>
          <t>2026Q2</t>
        </is>
      </c>
      <c r="E1723" s="6" t="inlineStr">
        <is>
          <t>2023Q4</t>
        </is>
      </c>
      <c r="F1723" s="14" t="n">
        <v>252792</v>
      </c>
      <c r="G1723" s="15" t="n">
        <v>50009</v>
      </c>
      <c r="H1723" s="15" t="n">
        <v>38811</v>
      </c>
      <c r="I1723" s="14" t="n">
        <v>1140187</v>
      </c>
      <c r="J1723" s="10" t="n">
        <v>227963</v>
      </c>
      <c r="K1723" s="10" t="n">
        <v>176041</v>
      </c>
      <c r="L1723" s="14" t="n">
        <v>1173739</v>
      </c>
      <c r="M1723" s="8" t="n">
        <v>258802</v>
      </c>
      <c r="N1723" s="8" t="n">
        <v>200733</v>
      </c>
      <c r="O1723" s="14" t="n">
        <v>1145476</v>
      </c>
      <c r="P1723" s="10" t="n">
        <v>261033</v>
      </c>
      <c r="Q1723" s="10" t="n">
        <v>197536</v>
      </c>
      <c r="R1723" s="14" t="n">
        <v>1160162</v>
      </c>
      <c r="S1723" s="8" t="n">
        <v>158281</v>
      </c>
      <c r="T1723" s="8" t="n">
        <v>118681</v>
      </c>
      <c r="U1723" s="14" t="n">
        <v>1122928</v>
      </c>
      <c r="V1723" s="10" t="n">
        <v>217472</v>
      </c>
      <c r="W1723" s="10" t="n">
        <v>166894</v>
      </c>
      <c r="X1723" s="14" t="n">
        <v>1186908</v>
      </c>
      <c r="Y1723" s="8" t="n">
        <v>266896</v>
      </c>
      <c r="Z1723" s="8" t="n">
        <v>213712</v>
      </c>
      <c r="AA1723" s="14" t="n">
        <v>1124073</v>
      </c>
      <c r="AB1723" s="10" t="n">
        <v>281076</v>
      </c>
      <c r="AC1723" s="10" t="n">
        <v>213230</v>
      </c>
      <c r="AD1723" s="14" t="n">
        <v>1195239</v>
      </c>
      <c r="AE1723" s="8" t="n">
        <v>186870</v>
      </c>
      <c r="AF1723" s="8" t="n">
        <v>136204</v>
      </c>
      <c r="AG1723" s="14" t="n">
        <v>1215063</v>
      </c>
      <c r="AH1723" s="10" t="n">
        <v>221310</v>
      </c>
      <c r="AI1723" s="10" t="n">
        <v>172283</v>
      </c>
      <c r="AJ1723" s="14" t="n">
        <v>1264480</v>
      </c>
      <c r="AK1723" s="12" t="n">
        <v>305602</v>
      </c>
      <c r="AL1723" s="12" t="n">
        <v>226452</v>
      </c>
      <c r="AM1723" s="13" t="n">
        <v>4.1</v>
      </c>
      <c r="AN1723" s="13" t="n">
        <v>6.5</v>
      </c>
      <c r="AO1723" s="13" t="n">
        <v>38.1</v>
      </c>
      <c r="AP1723" s="13" t="n">
        <v>14.5</v>
      </c>
    </row>
    <row r="1724">
      <c r="A1724" s="5" t="inlineStr">
        <is>
          <t>듀켐바이오</t>
        </is>
      </c>
      <c r="B1724" s="6" t="inlineStr">
        <is>
          <t>176750</t>
        </is>
      </c>
      <c r="C1724" s="6" t="inlineStr">
        <is>
          <t>연결</t>
        </is>
      </c>
      <c r="D1724" s="6" t="inlineStr">
        <is>
          <t>2026Q2</t>
        </is>
      </c>
      <c r="E1724" s="6" t="inlineStr"/>
      <c r="F1724" s="7" t="inlineStr"/>
      <c r="G1724" s="8" t="inlineStr"/>
      <c r="H1724" s="8" t="inlineStr"/>
      <c r="I1724" s="9" t="inlineStr"/>
      <c r="J1724" s="10" t="inlineStr"/>
      <c r="K1724" s="10" t="inlineStr"/>
      <c r="L1724" s="7" t="inlineStr"/>
      <c r="M1724" s="8" t="inlineStr"/>
      <c r="N1724" s="8" t="inlineStr"/>
      <c r="O1724" s="9" t="inlineStr"/>
      <c r="P1724" s="10" t="inlineStr"/>
      <c r="Q1724" s="10" t="inlineStr"/>
      <c r="R1724" s="7" t="inlineStr"/>
      <c r="S1724" s="8" t="inlineStr"/>
      <c r="T1724" s="8" t="inlineStr"/>
      <c r="U1724" s="9" t="n">
        <v>8459</v>
      </c>
      <c r="V1724" s="10" t="n">
        <v>670</v>
      </c>
      <c r="W1724" s="10" t="n">
        <v>378</v>
      </c>
      <c r="X1724" s="7" t="n">
        <v>9505</v>
      </c>
      <c r="Y1724" s="8" t="n">
        <v>1887</v>
      </c>
      <c r="Z1724" s="8" t="n">
        <v>1352</v>
      </c>
      <c r="AA1724" s="9" t="n">
        <v>9925</v>
      </c>
      <c r="AB1724" s="10" t="n">
        <v>1901</v>
      </c>
      <c r="AC1724" s="10" t="n">
        <v>1434</v>
      </c>
      <c r="AD1724" s="7" t="n">
        <v>10683</v>
      </c>
      <c r="AE1724" s="8" t="n">
        <v>2985</v>
      </c>
      <c r="AF1724" s="8" t="n">
        <v>3316</v>
      </c>
      <c r="AG1724" s="9" t="n">
        <v>9705</v>
      </c>
      <c r="AH1724" s="10" t="n">
        <v>1256</v>
      </c>
      <c r="AI1724" s="10" t="n">
        <v>873</v>
      </c>
      <c r="AJ1724" s="11" t="n">
        <v>11196</v>
      </c>
      <c r="AK1724" s="12" t="n">
        <v>1931</v>
      </c>
      <c r="AL1724" s="12" t="n">
        <v>1205</v>
      </c>
      <c r="AM1724" s="13" t="n">
        <v>15.4</v>
      </c>
      <c r="AN1724" s="13" t="n">
        <v>17.8</v>
      </c>
      <c r="AO1724" s="13" t="n">
        <v>53.7</v>
      </c>
      <c r="AP1724" s="13" t="n">
        <v>2.3</v>
      </c>
    </row>
    <row r="1725">
      <c r="A1725" s="5" t="inlineStr">
        <is>
          <t>베셀</t>
        </is>
      </c>
      <c r="B1725" s="6" t="inlineStr">
        <is>
          <t>177350</t>
        </is>
      </c>
      <c r="C1725" s="6" t="inlineStr">
        <is>
          <t>연결</t>
        </is>
      </c>
      <c r="D1725" s="6" t="inlineStr">
        <is>
          <t>2026Q2</t>
        </is>
      </c>
      <c r="E1725" s="6" t="inlineStr"/>
      <c r="F1725" s="7" t="inlineStr"/>
      <c r="G1725" s="8" t="inlineStr"/>
      <c r="H1725" s="8" t="inlineStr"/>
      <c r="I1725" s="9" t="n">
        <v>7100</v>
      </c>
      <c r="J1725" s="10" t="n">
        <v>-4370</v>
      </c>
      <c r="K1725" s="10" t="n">
        <v>-3637</v>
      </c>
      <c r="L1725" s="7" t="n">
        <v>7665</v>
      </c>
      <c r="M1725" s="8" t="n">
        <v>-1673</v>
      </c>
      <c r="N1725" s="8" t="n">
        <v>-1235</v>
      </c>
      <c r="O1725" s="9" t="n">
        <v>6738</v>
      </c>
      <c r="P1725" s="10" t="n">
        <v>-1242</v>
      </c>
      <c r="Q1725" s="10" t="n">
        <v>-2243</v>
      </c>
      <c r="R1725" s="7" t="n">
        <v>4205</v>
      </c>
      <c r="S1725" s="8" t="n">
        <v>-4433</v>
      </c>
      <c r="T1725" s="8" t="n">
        <v>-3389</v>
      </c>
      <c r="U1725" s="9" t="n">
        <v>4116</v>
      </c>
      <c r="V1725" s="10" t="n">
        <v>-1142</v>
      </c>
      <c r="W1725" s="10" t="n">
        <v>-1380</v>
      </c>
      <c r="X1725" s="7" t="n">
        <v>4696</v>
      </c>
      <c r="Y1725" s="8" t="n">
        <v>-776</v>
      </c>
      <c r="Z1725" s="8" t="n">
        <v>15053</v>
      </c>
      <c r="AA1725" s="9" t="n">
        <v>3536</v>
      </c>
      <c r="AB1725" s="10" t="n">
        <v>-121</v>
      </c>
      <c r="AC1725" s="10" t="n">
        <v>454</v>
      </c>
      <c r="AD1725" s="7" t="n">
        <v>4223</v>
      </c>
      <c r="AE1725" s="8" t="n">
        <v>-574</v>
      </c>
      <c r="AF1725" s="8" t="n">
        <v>3552</v>
      </c>
      <c r="AG1725" s="9" t="n">
        <v>3884</v>
      </c>
      <c r="AH1725" s="10" t="n">
        <v>-136</v>
      </c>
      <c r="AI1725" s="10" t="n">
        <v>-1193</v>
      </c>
      <c r="AJ1725" s="11" t="n">
        <v>5014</v>
      </c>
      <c r="AK1725" s="12" t="n">
        <v>-617</v>
      </c>
      <c r="AL1725" s="12" t="n">
        <v>-1834</v>
      </c>
      <c r="AM1725" s="13" t="n">
        <v>29.1</v>
      </c>
      <c r="AN1725" s="13" t="n">
        <v>6.8</v>
      </c>
      <c r="AO1725" s="13" t="n">
        <v>-353.7</v>
      </c>
      <c r="AP1725" s="13" t="n">
        <v>20.5</v>
      </c>
    </row>
    <row r="1726">
      <c r="A1726" s="5" t="inlineStr">
        <is>
          <t>파버나인</t>
        </is>
      </c>
      <c r="B1726" s="6" t="inlineStr">
        <is>
          <t>177830</t>
        </is>
      </c>
      <c r="C1726" s="6" t="inlineStr">
        <is>
          <t>연결</t>
        </is>
      </c>
      <c r="D1726" s="6" t="inlineStr">
        <is>
          <t>2026Q2</t>
        </is>
      </c>
      <c r="E1726" s="6" t="inlineStr"/>
      <c r="F1726" s="7" t="inlineStr"/>
      <c r="G1726" s="8" t="inlineStr"/>
      <c r="H1726" s="8" t="inlineStr"/>
      <c r="I1726" s="9" t="n">
        <v>28913</v>
      </c>
      <c r="J1726" s="10" t="n">
        <v>1890</v>
      </c>
      <c r="K1726" s="10" t="n">
        <v>1895</v>
      </c>
      <c r="L1726" s="7" t="n">
        <v>36775</v>
      </c>
      <c r="M1726" s="8" t="n">
        <v>2852</v>
      </c>
      <c r="N1726" s="8" t="n">
        <v>2656</v>
      </c>
      <c r="O1726" s="9" t="n">
        <v>35070</v>
      </c>
      <c r="P1726" s="10" t="n">
        <v>1520</v>
      </c>
      <c r="Q1726" s="10" t="n">
        <v>-237</v>
      </c>
      <c r="R1726" s="7" t="n">
        <v>32067</v>
      </c>
      <c r="S1726" s="8" t="n">
        <v>1864</v>
      </c>
      <c r="T1726" s="8" t="n">
        <v>2719</v>
      </c>
      <c r="U1726" s="9" t="n">
        <v>35333</v>
      </c>
      <c r="V1726" s="10" t="n">
        <v>1085</v>
      </c>
      <c r="W1726" s="10" t="n">
        <v>534</v>
      </c>
      <c r="X1726" s="7" t="n">
        <v>33206</v>
      </c>
      <c r="Y1726" s="8" t="n">
        <v>1179</v>
      </c>
      <c r="Z1726" s="8" t="n">
        <v>-976</v>
      </c>
      <c r="AA1726" s="9" t="n">
        <v>33835</v>
      </c>
      <c r="AB1726" s="10" t="n">
        <v>685</v>
      </c>
      <c r="AC1726" s="10" t="n">
        <v>732</v>
      </c>
      <c r="AD1726" s="7" t="n">
        <v>30166</v>
      </c>
      <c r="AE1726" s="8" t="n">
        <v>-380</v>
      </c>
      <c r="AF1726" s="8" t="n">
        <v>-4474</v>
      </c>
      <c r="AG1726" s="9" t="n">
        <v>31810</v>
      </c>
      <c r="AH1726" s="10" t="n">
        <v>90</v>
      </c>
      <c r="AI1726" s="10" t="n">
        <v>-312</v>
      </c>
      <c r="AJ1726" s="11" t="n">
        <v>37853</v>
      </c>
      <c r="AK1726" s="12" t="n">
        <v>31</v>
      </c>
      <c r="AL1726" s="12" t="n">
        <v>-253</v>
      </c>
      <c r="AM1726" s="13" t="n">
        <v>19</v>
      </c>
      <c r="AN1726" s="13" t="n">
        <v>14</v>
      </c>
      <c r="AO1726" s="13" t="n">
        <v>-65.59999999999999</v>
      </c>
      <c r="AP1726" s="13" t="n">
        <v>-97.40000000000001</v>
      </c>
    </row>
    <row r="1727">
      <c r="A1727" s="5" t="inlineStr">
        <is>
          <t>쓰리에이로직스</t>
        </is>
      </c>
      <c r="B1727" s="6" t="inlineStr">
        <is>
          <t>177900</t>
        </is>
      </c>
      <c r="C1727" s="6" t="inlineStr">
        <is>
          <t>별도</t>
        </is>
      </c>
      <c r="D1727" s="6" t="inlineStr">
        <is>
          <t>2026Q2</t>
        </is>
      </c>
      <c r="E1727" s="6" t="inlineStr"/>
      <c r="F1727" s="7" t="inlineStr"/>
      <c r="G1727" s="8" t="inlineStr"/>
      <c r="H1727" s="8" t="inlineStr"/>
      <c r="I1727" s="9" t="inlineStr"/>
      <c r="J1727" s="10" t="inlineStr"/>
      <c r="K1727" s="10" t="inlineStr"/>
      <c r="L1727" s="7" t="inlineStr"/>
      <c r="M1727" s="8" t="inlineStr"/>
      <c r="N1727" s="8" t="inlineStr"/>
      <c r="O1727" s="9" t="inlineStr"/>
      <c r="P1727" s="10" t="inlineStr"/>
      <c r="Q1727" s="10" t="inlineStr"/>
      <c r="R1727" s="7" t="inlineStr"/>
      <c r="S1727" s="8" t="inlineStr"/>
      <c r="T1727" s="8" t="inlineStr"/>
      <c r="U1727" s="9" t="n">
        <v>4033</v>
      </c>
      <c r="V1727" s="10" t="n">
        <v>104</v>
      </c>
      <c r="W1727" s="10" t="n">
        <v>-163</v>
      </c>
      <c r="X1727" s="7" t="n">
        <v>4482</v>
      </c>
      <c r="Y1727" s="8" t="n">
        <v>-203</v>
      </c>
      <c r="Z1727" s="8" t="n">
        <v>-630</v>
      </c>
      <c r="AA1727" s="9" t="n">
        <v>3232</v>
      </c>
      <c r="AB1727" s="10" t="n">
        <v>-436</v>
      </c>
      <c r="AC1727" s="10" t="n">
        <v>-496</v>
      </c>
      <c r="AD1727" s="7" t="n">
        <v>2748</v>
      </c>
      <c r="AE1727" s="8" t="n">
        <v>-2151</v>
      </c>
      <c r="AF1727" s="8" t="n">
        <v>-2318</v>
      </c>
      <c r="AG1727" s="9" t="n">
        <v>6127</v>
      </c>
      <c r="AH1727" s="10" t="n">
        <v>274</v>
      </c>
      <c r="AI1727" s="10" t="n">
        <v>449</v>
      </c>
      <c r="AJ1727" s="11" t="n">
        <v>5352</v>
      </c>
      <c r="AK1727" s="12" t="n">
        <v>-70</v>
      </c>
      <c r="AL1727" s="12" t="n">
        <v>-385</v>
      </c>
      <c r="AM1727" s="13" t="n">
        <v>-12.6</v>
      </c>
      <c r="AN1727" s="13" t="n">
        <v>19.4</v>
      </c>
      <c r="AO1727" s="13" t="n">
        <v>-125.5</v>
      </c>
      <c r="AP1727" s="13" t="n">
        <v>65.5</v>
      </c>
    </row>
    <row r="1728">
      <c r="A1728" s="5" t="inlineStr">
        <is>
          <t>서진시스템</t>
        </is>
      </c>
      <c r="B1728" s="6" t="inlineStr">
        <is>
          <t>178320</t>
        </is>
      </c>
      <c r="C1728" s="6" t="inlineStr">
        <is>
          <t>연결</t>
        </is>
      </c>
      <c r="D1728" s="6" t="inlineStr">
        <is>
          <t>2026Q2</t>
        </is>
      </c>
      <c r="E1728" s="6" t="inlineStr">
        <is>
          <t>2023Q4</t>
        </is>
      </c>
      <c r="F1728" s="14" t="n">
        <v>257986</v>
      </c>
      <c r="G1728" s="15" t="n">
        <v>42165</v>
      </c>
      <c r="H1728" s="15" t="n">
        <v>22578</v>
      </c>
      <c r="I1728" s="9" t="n">
        <v>325667</v>
      </c>
      <c r="J1728" s="10" t="n">
        <v>43271</v>
      </c>
      <c r="K1728" s="10" t="n">
        <v>18798</v>
      </c>
      <c r="L1728" s="7" t="n">
        <v>308858</v>
      </c>
      <c r="M1728" s="8" t="n">
        <v>31144</v>
      </c>
      <c r="N1728" s="8" t="n">
        <v>9478</v>
      </c>
      <c r="O1728" s="9" t="n">
        <v>314833</v>
      </c>
      <c r="P1728" s="10" t="n">
        <v>33282</v>
      </c>
      <c r="Q1728" s="10" t="n">
        <v>-13747</v>
      </c>
      <c r="R1728" s="7" t="n">
        <v>264395</v>
      </c>
      <c r="S1728" s="8" t="n">
        <v>1004</v>
      </c>
      <c r="T1728" s="8" t="n">
        <v>69392</v>
      </c>
      <c r="U1728" s="9" t="n">
        <v>281267</v>
      </c>
      <c r="V1728" s="10" t="n">
        <v>20865</v>
      </c>
      <c r="W1728" s="10" t="n">
        <v>1132</v>
      </c>
      <c r="X1728" s="7" t="n">
        <v>258576</v>
      </c>
      <c r="Y1728" s="8" t="n">
        <v>-5972</v>
      </c>
      <c r="Z1728" s="8" t="n">
        <v>-81223</v>
      </c>
      <c r="AA1728" s="9" t="n">
        <v>215501</v>
      </c>
      <c r="AB1728" s="10" t="n">
        <v>-37259</v>
      </c>
      <c r="AC1728" s="10" t="n">
        <v>-47965</v>
      </c>
      <c r="AD1728" s="7" t="n">
        <v>310987</v>
      </c>
      <c r="AE1728" s="8" t="n">
        <v>23512</v>
      </c>
      <c r="AF1728" s="8" t="n">
        <v>25635</v>
      </c>
      <c r="AG1728" s="9" t="n">
        <v>280168</v>
      </c>
      <c r="AH1728" s="10" t="n">
        <v>-32957</v>
      </c>
      <c r="AI1728" s="10" t="n">
        <v>-20494</v>
      </c>
      <c r="AJ1728" s="11" t="n">
        <v>410184</v>
      </c>
      <c r="AK1728" s="12" t="n">
        <v>-19357</v>
      </c>
      <c r="AL1728" s="12" t="n">
        <v>-40186</v>
      </c>
      <c r="AM1728" s="13" t="n">
        <v>46.4</v>
      </c>
      <c r="AN1728" s="13" t="n">
        <v>58.6</v>
      </c>
      <c r="AO1728" s="13" t="n">
        <v>41.3</v>
      </c>
      <c r="AP1728" s="13" t="n">
        <v>-224.1</v>
      </c>
    </row>
    <row r="1729">
      <c r="A1729" s="5" t="inlineStr">
        <is>
          <t>일월지엠엘</t>
        </is>
      </c>
      <c r="B1729" s="6" t="inlineStr">
        <is>
          <t>178780</t>
        </is>
      </c>
      <c r="C1729" s="6" t="inlineStr">
        <is>
          <t>연결</t>
        </is>
      </c>
      <c r="D1729" s="6" t="inlineStr">
        <is>
          <t>2026Q2</t>
        </is>
      </c>
      <c r="E1729" s="6" t="inlineStr"/>
      <c r="F1729" s="7" t="inlineStr"/>
      <c r="G1729" s="8" t="inlineStr"/>
      <c r="H1729" s="8" t="inlineStr"/>
      <c r="I1729" s="9" t="n">
        <v>3565</v>
      </c>
      <c r="J1729" s="10" t="n">
        <v>-661</v>
      </c>
      <c r="K1729" s="10" t="n">
        <v>-106</v>
      </c>
      <c r="L1729" s="7" t="n">
        <v>4129</v>
      </c>
      <c r="M1729" s="8" t="n">
        <v>-128</v>
      </c>
      <c r="N1729" s="8" t="n">
        <v>314</v>
      </c>
      <c r="O1729" s="9" t="n">
        <v>7257</v>
      </c>
      <c r="P1729" s="10" t="n">
        <v>1142</v>
      </c>
      <c r="Q1729" s="10" t="n">
        <v>1571</v>
      </c>
      <c r="R1729" s="7" t="n">
        <v>30581</v>
      </c>
      <c r="S1729" s="8" t="n">
        <v>4334</v>
      </c>
      <c r="T1729" s="8" t="n">
        <v>5703</v>
      </c>
      <c r="U1729" s="9" t="n">
        <v>4540</v>
      </c>
      <c r="V1729" s="10" t="n">
        <v>-163</v>
      </c>
      <c r="W1729" s="10" t="n">
        <v>32</v>
      </c>
      <c r="X1729" s="7" t="n">
        <v>954</v>
      </c>
      <c r="Y1729" s="8" t="n">
        <v>-951</v>
      </c>
      <c r="Z1729" s="8" t="n">
        <v>157</v>
      </c>
      <c r="AA1729" s="9" t="n">
        <v>3273</v>
      </c>
      <c r="AB1729" s="10" t="n">
        <v>-47</v>
      </c>
      <c r="AC1729" s="10" t="n">
        <v>138</v>
      </c>
      <c r="AD1729" s="7" t="n">
        <v>25139</v>
      </c>
      <c r="AE1729" s="8" t="n">
        <v>3198</v>
      </c>
      <c r="AF1729" s="8" t="n">
        <v>4958</v>
      </c>
      <c r="AG1729" s="9" t="n">
        <v>1653</v>
      </c>
      <c r="AH1729" s="10" t="n">
        <v>-309</v>
      </c>
      <c r="AI1729" s="10" t="n">
        <v>32</v>
      </c>
      <c r="AJ1729" s="11" t="n">
        <v>483</v>
      </c>
      <c r="AK1729" s="12" t="n">
        <v>-1164</v>
      </c>
      <c r="AL1729" s="12" t="n">
        <v>-903</v>
      </c>
      <c r="AM1729" s="13" t="n">
        <v>-70.8</v>
      </c>
      <c r="AN1729" s="13" t="n">
        <v>-49.4</v>
      </c>
      <c r="AO1729" s="13" t="n">
        <v>-276.7</v>
      </c>
      <c r="AP1729" s="13" t="n">
        <v>-22.4</v>
      </c>
    </row>
    <row r="1730">
      <c r="A1730" s="5" t="inlineStr">
        <is>
          <t>PI첨단소재</t>
        </is>
      </c>
      <c r="B1730" s="6" t="inlineStr">
        <is>
          <t>178920</t>
        </is>
      </c>
      <c r="C1730" s="6" t="inlineStr">
        <is>
          <t>별도</t>
        </is>
      </c>
      <c r="D1730" s="6" t="inlineStr">
        <is>
          <t>2026Q2</t>
        </is>
      </c>
      <c r="E1730" s="6" t="inlineStr">
        <is>
          <t>2023Q4</t>
        </is>
      </c>
      <c r="F1730" s="14" t="n">
        <v>53397</v>
      </c>
      <c r="G1730" s="15" t="n">
        <v>1095</v>
      </c>
      <c r="H1730" s="15" t="n">
        <v>-149</v>
      </c>
      <c r="I1730" s="9" t="n">
        <v>51807</v>
      </c>
      <c r="J1730" s="10" t="n">
        <v>2470</v>
      </c>
      <c r="K1730" s="10" t="n">
        <v>1486</v>
      </c>
      <c r="L1730" s="7" t="n">
        <v>73713</v>
      </c>
      <c r="M1730" s="8" t="n">
        <v>17702</v>
      </c>
      <c r="N1730" s="8" t="n">
        <v>13478</v>
      </c>
      <c r="O1730" s="9" t="n">
        <v>70652</v>
      </c>
      <c r="P1730" s="10" t="n">
        <v>12071</v>
      </c>
      <c r="Q1730" s="10" t="n">
        <v>6446</v>
      </c>
      <c r="R1730" s="7" t="n">
        <v>55123</v>
      </c>
      <c r="S1730" s="8" t="n">
        <v>2689</v>
      </c>
      <c r="T1730" s="8" t="n">
        <v>1967</v>
      </c>
      <c r="U1730" s="9" t="n">
        <v>64096</v>
      </c>
      <c r="V1730" s="10" t="n">
        <v>8902</v>
      </c>
      <c r="W1730" s="10" t="n">
        <v>6055</v>
      </c>
      <c r="X1730" s="7" t="n">
        <v>72469</v>
      </c>
      <c r="Y1730" s="8" t="n">
        <v>16170</v>
      </c>
      <c r="Z1730" s="8" t="n">
        <v>11711</v>
      </c>
      <c r="AA1730" s="9" t="n">
        <v>68418</v>
      </c>
      <c r="AB1730" s="10" t="n">
        <v>11608</v>
      </c>
      <c r="AC1730" s="10" t="n">
        <v>8427</v>
      </c>
      <c r="AD1730" s="7" t="n">
        <v>58438</v>
      </c>
      <c r="AE1730" s="8" t="n">
        <v>6359</v>
      </c>
      <c r="AF1730" s="8" t="n">
        <v>4192</v>
      </c>
      <c r="AG1730" s="9" t="n">
        <v>64054</v>
      </c>
      <c r="AH1730" s="10" t="n">
        <v>14048</v>
      </c>
      <c r="AI1730" s="10" t="n">
        <v>10558</v>
      </c>
      <c r="AJ1730" s="11" t="n">
        <v>77501</v>
      </c>
      <c r="AK1730" s="12" t="n">
        <v>22983</v>
      </c>
      <c r="AL1730" s="12" t="n">
        <v>17471</v>
      </c>
      <c r="AM1730" s="13" t="n">
        <v>21</v>
      </c>
      <c r="AN1730" s="13" t="n">
        <v>6.9</v>
      </c>
      <c r="AO1730" s="13" t="n">
        <v>63.6</v>
      </c>
      <c r="AP1730" s="13" t="n">
        <v>42.1</v>
      </c>
    </row>
    <row r="1731">
      <c r="A1731" s="5" t="inlineStr">
        <is>
          <t>엠아이텍</t>
        </is>
      </c>
      <c r="B1731" s="6" t="inlineStr">
        <is>
          <t>179290</t>
        </is>
      </c>
      <c r="C1731" s="6" t="inlineStr">
        <is>
          <t>연결</t>
        </is>
      </c>
      <c r="D1731" s="6" t="inlineStr">
        <is>
          <t>2026Q2</t>
        </is>
      </c>
      <c r="E1731" s="6" t="inlineStr"/>
      <c r="F1731" s="7" t="inlineStr"/>
      <c r="G1731" s="8" t="inlineStr"/>
      <c r="H1731" s="8" t="inlineStr"/>
      <c r="I1731" s="9" t="n">
        <v>13269</v>
      </c>
      <c r="J1731" s="10" t="n">
        <v>5435</v>
      </c>
      <c r="K1731" s="10" t="n">
        <v>5627</v>
      </c>
      <c r="L1731" s="7" t="n">
        <v>12803</v>
      </c>
      <c r="M1731" s="8" t="n">
        <v>3829</v>
      </c>
      <c r="N1731" s="8" t="n">
        <v>4760</v>
      </c>
      <c r="O1731" s="9" t="n">
        <v>15442</v>
      </c>
      <c r="P1731" s="10" t="n">
        <v>6008</v>
      </c>
      <c r="Q1731" s="10" t="n">
        <v>4355</v>
      </c>
      <c r="R1731" s="7" t="n">
        <v>12239</v>
      </c>
      <c r="S1731" s="8" t="n">
        <v>2304</v>
      </c>
      <c r="T1731" s="8" t="n">
        <v>3547</v>
      </c>
      <c r="U1731" s="9" t="n">
        <v>17249</v>
      </c>
      <c r="V1731" s="10" t="n">
        <v>6665</v>
      </c>
      <c r="W1731" s="10" t="n">
        <v>5807</v>
      </c>
      <c r="X1731" s="7" t="n">
        <v>15666</v>
      </c>
      <c r="Y1731" s="8" t="n">
        <v>4065</v>
      </c>
      <c r="Z1731" s="8" t="n">
        <v>4457</v>
      </c>
      <c r="AA1731" s="9" t="n">
        <v>17059</v>
      </c>
      <c r="AB1731" s="10" t="n">
        <v>5747</v>
      </c>
      <c r="AC1731" s="10" t="n">
        <v>4944</v>
      </c>
      <c r="AD1731" s="7" t="n">
        <v>17178</v>
      </c>
      <c r="AE1731" s="8" t="n">
        <v>4197</v>
      </c>
      <c r="AF1731" s="8" t="n">
        <v>5155</v>
      </c>
      <c r="AG1731" s="9" t="n">
        <v>16728</v>
      </c>
      <c r="AH1731" s="10" t="n">
        <v>4914</v>
      </c>
      <c r="AI1731" s="10" t="n">
        <v>4989</v>
      </c>
      <c r="AJ1731" s="11" t="n">
        <v>19752</v>
      </c>
      <c r="AK1731" s="12" t="n">
        <v>5802</v>
      </c>
      <c r="AL1731" s="12" t="n">
        <v>5828</v>
      </c>
      <c r="AM1731" s="13" t="n">
        <v>18.1</v>
      </c>
      <c r="AN1731" s="13" t="n">
        <v>26.1</v>
      </c>
      <c r="AO1731" s="13" t="n">
        <v>18.1</v>
      </c>
      <c r="AP1731" s="13" t="n">
        <v>42.7</v>
      </c>
    </row>
    <row r="1732">
      <c r="A1732" s="5" t="inlineStr">
        <is>
          <t>애드바이오텍</t>
        </is>
      </c>
      <c r="B1732" s="6" t="inlineStr">
        <is>
          <t>179530</t>
        </is>
      </c>
      <c r="C1732" s="6" t="inlineStr">
        <is>
          <t>연결</t>
        </is>
      </c>
      <c r="D1732" s="6" t="inlineStr">
        <is>
          <t>2026Q2</t>
        </is>
      </c>
      <c r="E1732" s="6" t="inlineStr"/>
      <c r="F1732" s="7" t="inlineStr"/>
      <c r="G1732" s="8" t="inlineStr"/>
      <c r="H1732" s="8" t="inlineStr"/>
      <c r="I1732" s="9" t="n">
        <v>2930</v>
      </c>
      <c r="J1732" s="10" t="n">
        <v>-573</v>
      </c>
      <c r="K1732" s="10" t="n">
        <v>-4487</v>
      </c>
      <c r="L1732" s="7" t="n">
        <v>2474</v>
      </c>
      <c r="M1732" s="8" t="n">
        <v>-1703</v>
      </c>
      <c r="N1732" s="8" t="n">
        <v>-2314</v>
      </c>
      <c r="O1732" s="9" t="n">
        <v>1732</v>
      </c>
      <c r="P1732" s="10" t="n">
        <v>-1118</v>
      </c>
      <c r="Q1732" s="10" t="n">
        <v>-1254</v>
      </c>
      <c r="R1732" s="7" t="n">
        <v>4000</v>
      </c>
      <c r="S1732" s="8" t="n">
        <v>-723</v>
      </c>
      <c r="T1732" s="8" t="n">
        <v>-932</v>
      </c>
      <c r="U1732" s="9" t="n">
        <v>3454</v>
      </c>
      <c r="V1732" s="10" t="n">
        <v>-200</v>
      </c>
      <c r="W1732" s="10" t="n">
        <v>-601</v>
      </c>
      <c r="X1732" s="7" t="n">
        <v>2848</v>
      </c>
      <c r="Y1732" s="8" t="n">
        <v>-1888</v>
      </c>
      <c r="Z1732" s="8" t="n">
        <v>-4863</v>
      </c>
      <c r="AA1732" s="9" t="n">
        <v>3626</v>
      </c>
      <c r="AB1732" s="10" t="n">
        <v>-1758</v>
      </c>
      <c r="AC1732" s="10" t="n">
        <v>-4813</v>
      </c>
      <c r="AD1732" s="7" t="n">
        <v>2969</v>
      </c>
      <c r="AE1732" s="8" t="n">
        <v>345</v>
      </c>
      <c r="AF1732" s="8" t="n">
        <v>6948</v>
      </c>
      <c r="AG1732" s="9" t="n">
        <v>3070</v>
      </c>
      <c r="AH1732" s="10" t="n">
        <v>-1062</v>
      </c>
      <c r="AI1732" s="10" t="n">
        <v>-5402</v>
      </c>
      <c r="AJ1732" s="11" t="n">
        <v>2905</v>
      </c>
      <c r="AK1732" s="12" t="n">
        <v>-1936</v>
      </c>
      <c r="AL1732" s="12" t="n">
        <v>-284</v>
      </c>
      <c r="AM1732" s="13" t="n">
        <v>-5.4</v>
      </c>
      <c r="AN1732" s="13" t="n">
        <v>2</v>
      </c>
      <c r="AO1732" s="13" t="n">
        <v>-82.3</v>
      </c>
      <c r="AP1732" s="13" t="n">
        <v>-2.5</v>
      </c>
    </row>
    <row r="1733">
      <c r="A1733" s="5" t="inlineStr">
        <is>
          <t>유티아이</t>
        </is>
      </c>
      <c r="B1733" s="6" t="inlineStr">
        <is>
          <t>179900</t>
        </is>
      </c>
      <c r="C1733" s="6" t="inlineStr">
        <is>
          <t>연결</t>
        </is>
      </c>
      <c r="D1733" s="6" t="inlineStr">
        <is>
          <t>2026Q2</t>
        </is>
      </c>
      <c r="E1733" s="6" t="inlineStr"/>
      <c r="F1733" s="7" t="inlineStr"/>
      <c r="G1733" s="8" t="inlineStr"/>
      <c r="H1733" s="8" t="inlineStr"/>
      <c r="I1733" s="9" t="n">
        <v>5562</v>
      </c>
      <c r="J1733" s="10" t="n">
        <v>-6402</v>
      </c>
      <c r="K1733" s="10" t="n">
        <v>-5652</v>
      </c>
      <c r="L1733" s="7" t="n">
        <v>3929</v>
      </c>
      <c r="M1733" s="8" t="n">
        <v>-5534</v>
      </c>
      <c r="N1733" s="8" t="n">
        <v>4077</v>
      </c>
      <c r="O1733" s="9" t="n">
        <v>4648</v>
      </c>
      <c r="P1733" s="10" t="n">
        <v>-7299</v>
      </c>
      <c r="Q1733" s="10" t="n">
        <v>-9381</v>
      </c>
      <c r="R1733" s="7" t="n">
        <v>4421</v>
      </c>
      <c r="S1733" s="8" t="n">
        <v>-13009</v>
      </c>
      <c r="T1733" s="8" t="n">
        <v>-11783</v>
      </c>
      <c r="U1733" s="9" t="n">
        <v>4706</v>
      </c>
      <c r="V1733" s="10" t="n">
        <v>-9674</v>
      </c>
      <c r="W1733" s="10" t="n">
        <v>-11007</v>
      </c>
      <c r="X1733" s="7" t="n">
        <v>5525</v>
      </c>
      <c r="Y1733" s="8" t="n">
        <v>-9615</v>
      </c>
      <c r="Z1733" s="8" t="n">
        <v>-9396</v>
      </c>
      <c r="AA1733" s="9" t="n">
        <v>4618</v>
      </c>
      <c r="AB1733" s="10" t="n">
        <v>-13302</v>
      </c>
      <c r="AC1733" s="10" t="n">
        <v>-15937</v>
      </c>
      <c r="AD1733" s="7" t="n">
        <v>5123</v>
      </c>
      <c r="AE1733" s="8" t="n">
        <v>-15720</v>
      </c>
      <c r="AF1733" s="8" t="n">
        <v>-1050</v>
      </c>
      <c r="AG1733" s="9" t="n">
        <v>4773</v>
      </c>
      <c r="AH1733" s="10" t="n">
        <v>-13178</v>
      </c>
      <c r="AI1733" s="10" t="n">
        <v>-15249</v>
      </c>
      <c r="AJ1733" s="11" t="n">
        <v>5494</v>
      </c>
      <c r="AK1733" s="12" t="n">
        <v>-15889</v>
      </c>
      <c r="AL1733" s="12" t="n">
        <v>13892</v>
      </c>
      <c r="AM1733" s="13" t="n">
        <v>15.1</v>
      </c>
      <c r="AN1733" s="13" t="n">
        <v>-0.6</v>
      </c>
      <c r="AO1733" s="13" t="n">
        <v>-20.6</v>
      </c>
      <c r="AP1733" s="13" t="n">
        <v>-65.3</v>
      </c>
    </row>
    <row r="1734">
      <c r="A1734" s="5" t="inlineStr">
        <is>
          <t>DXVX</t>
        </is>
      </c>
      <c r="B1734" s="6" t="inlineStr">
        <is>
          <t>180400</t>
        </is>
      </c>
      <c r="C1734" s="6" t="inlineStr">
        <is>
          <t>연결</t>
        </is>
      </c>
      <c r="D1734" s="6" t="inlineStr">
        <is>
          <t>2026Q2</t>
        </is>
      </c>
      <c r="E1734" s="6" t="inlineStr"/>
      <c r="F1734" s="7" t="inlineStr"/>
      <c r="G1734" s="8" t="inlineStr"/>
      <c r="H1734" s="8" t="inlineStr"/>
      <c r="I1734" s="9" t="n">
        <v>10332</v>
      </c>
      <c r="J1734" s="10" t="n">
        <v>-4857</v>
      </c>
      <c r="K1734" s="10" t="n">
        <v>-7367</v>
      </c>
      <c r="L1734" s="7" t="n">
        <v>10851</v>
      </c>
      <c r="M1734" s="8" t="n">
        <v>-546</v>
      </c>
      <c r="N1734" s="8" t="n">
        <v>-3711</v>
      </c>
      <c r="O1734" s="9" t="n">
        <v>7336</v>
      </c>
      <c r="P1734" s="10" t="n">
        <v>-6424</v>
      </c>
      <c r="Q1734" s="10" t="n">
        <v>-9718</v>
      </c>
      <c r="R1734" s="7" t="n">
        <v>5428</v>
      </c>
      <c r="S1734" s="8" t="n">
        <v>-9770</v>
      </c>
      <c r="T1734" s="8" t="n">
        <v>-30688</v>
      </c>
      <c r="U1734" s="9" t="n">
        <v>7529</v>
      </c>
      <c r="V1734" s="10" t="n">
        <v>-6684</v>
      </c>
      <c r="W1734" s="10" t="n">
        <v>-7475</v>
      </c>
      <c r="X1734" s="7" t="n">
        <v>8663</v>
      </c>
      <c r="Y1734" s="8" t="n">
        <v>-7899</v>
      </c>
      <c r="Z1734" s="8" t="n">
        <v>-7704</v>
      </c>
      <c r="AA1734" s="9" t="n">
        <v>5611</v>
      </c>
      <c r="AB1734" s="10" t="n">
        <v>-6792</v>
      </c>
      <c r="AC1734" s="10" t="n">
        <v>-8854</v>
      </c>
      <c r="AD1734" s="7" t="n">
        <v>7554</v>
      </c>
      <c r="AE1734" s="8" t="n">
        <v>-2942</v>
      </c>
      <c r="AF1734" s="8" t="n">
        <v>-5552</v>
      </c>
      <c r="AG1734" s="9" t="n">
        <v>6656</v>
      </c>
      <c r="AH1734" s="10" t="n">
        <v>-5253</v>
      </c>
      <c r="AI1734" s="10" t="n">
        <v>-6516</v>
      </c>
      <c r="AJ1734" s="11" t="n">
        <v>6404</v>
      </c>
      <c r="AK1734" s="12" t="n">
        <v>-6036</v>
      </c>
      <c r="AL1734" s="12" t="n">
        <v>-5917</v>
      </c>
      <c r="AM1734" s="13" t="n">
        <v>-3.8</v>
      </c>
      <c r="AN1734" s="13" t="n">
        <v>-26.1</v>
      </c>
      <c r="AO1734" s="13" t="n">
        <v>-14.9</v>
      </c>
      <c r="AP1734" s="13" t="n">
        <v>23.6</v>
      </c>
    </row>
    <row r="1735">
      <c r="A1735" s="5" t="inlineStr">
        <is>
          <t>한진칼</t>
        </is>
      </c>
      <c r="B1735" s="6" t="inlineStr">
        <is>
          <t>180640</t>
        </is>
      </c>
      <c r="C1735" s="6" t="inlineStr">
        <is>
          <t>연결</t>
        </is>
      </c>
      <c r="D1735" s="6" t="inlineStr">
        <is>
          <t>2026Q2</t>
        </is>
      </c>
      <c r="E1735" s="6" t="inlineStr">
        <is>
          <t>2023Q4</t>
        </is>
      </c>
      <c r="F1735" s="14" t="n">
        <v>275727</v>
      </c>
      <c r="G1735" s="15" t="n">
        <v>46674</v>
      </c>
      <c r="H1735" s="15" t="n">
        <v>377962</v>
      </c>
      <c r="I1735" s="9" t="n">
        <v>69758</v>
      </c>
      <c r="J1735" s="10" t="n">
        <v>12869</v>
      </c>
      <c r="K1735" s="10" t="n">
        <v>111126</v>
      </c>
      <c r="L1735" s="7" t="n">
        <v>70223</v>
      </c>
      <c r="M1735" s="8" t="n">
        <v>14515</v>
      </c>
      <c r="N1735" s="8" t="n">
        <v>137266</v>
      </c>
      <c r="O1735" s="9" t="n">
        <v>81577</v>
      </c>
      <c r="P1735" s="10" t="n">
        <v>13891</v>
      </c>
      <c r="Q1735" s="10" t="n">
        <v>193753</v>
      </c>
      <c r="R1735" s="7" t="n">
        <v>70599</v>
      </c>
      <c r="S1735" s="8" t="n">
        <v>7918</v>
      </c>
      <c r="T1735" s="8" t="n">
        <v>70031</v>
      </c>
      <c r="U1735" s="9" t="n">
        <v>62668</v>
      </c>
      <c r="V1735" s="10" t="n">
        <v>6753</v>
      </c>
      <c r="W1735" s="10" t="n">
        <v>73095</v>
      </c>
      <c r="X1735" s="7" t="n">
        <v>70664</v>
      </c>
      <c r="Y1735" s="8" t="n">
        <v>9891</v>
      </c>
      <c r="Z1735" s="8" t="n">
        <v>112722</v>
      </c>
      <c r="AA1735" s="9" t="n">
        <v>85402</v>
      </c>
      <c r="AB1735" s="10" t="n">
        <v>-36555</v>
      </c>
      <c r="AC1735" s="10" t="n">
        <v>-76210</v>
      </c>
      <c r="AD1735" s="7" t="n">
        <v>79628</v>
      </c>
      <c r="AE1735" s="8" t="n">
        <v>12387</v>
      </c>
      <c r="AF1735" s="8" t="n">
        <v>49575</v>
      </c>
      <c r="AG1735" s="9" t="n">
        <v>69595</v>
      </c>
      <c r="AH1735" s="10" t="n">
        <v>13012</v>
      </c>
      <c r="AI1735" s="10" t="n">
        <v>85433</v>
      </c>
      <c r="AJ1735" s="11" t="n">
        <v>71462</v>
      </c>
      <c r="AK1735" s="12" t="n">
        <v>16777</v>
      </c>
      <c r="AL1735" s="12" t="n">
        <v>-85698</v>
      </c>
      <c r="AM1735" s="13" t="n">
        <v>2.7</v>
      </c>
      <c r="AN1735" s="13" t="n">
        <v>1.1</v>
      </c>
      <c r="AO1735" s="13" t="n">
        <v>28.9</v>
      </c>
      <c r="AP1735" s="13" t="n">
        <v>69.59999999999999</v>
      </c>
    </row>
    <row r="1736">
      <c r="A1736" s="5" t="inlineStr">
        <is>
          <t>NHN</t>
        </is>
      </c>
      <c r="B1736" s="6" t="inlineStr">
        <is>
          <t>181710</t>
        </is>
      </c>
      <c r="C1736" s="6" t="inlineStr">
        <is>
          <t>연결</t>
        </is>
      </c>
      <c r="D1736" s="6" t="inlineStr">
        <is>
          <t>2026Q2</t>
        </is>
      </c>
      <c r="E1736" s="6" t="inlineStr">
        <is>
          <t>2023Q4</t>
        </is>
      </c>
      <c r="F1736" s="14" t="n">
        <v>598294</v>
      </c>
      <c r="G1736" s="15" t="n">
        <v>-7833</v>
      </c>
      <c r="H1736" s="15" t="n">
        <v>-57936</v>
      </c>
      <c r="I1736" s="9" t="n">
        <v>604395</v>
      </c>
      <c r="J1736" s="10" t="n">
        <v>27287</v>
      </c>
      <c r="K1736" s="10" t="n">
        <v>-4843</v>
      </c>
      <c r="L1736" s="7" t="n">
        <v>599404</v>
      </c>
      <c r="M1736" s="8" t="n">
        <v>28477</v>
      </c>
      <c r="N1736" s="8" t="n">
        <v>4630</v>
      </c>
      <c r="O1736" s="9" t="n">
        <v>608367</v>
      </c>
      <c r="P1736" s="10" t="n">
        <v>-113389</v>
      </c>
      <c r="Q1736" s="10" t="n">
        <v>-110270</v>
      </c>
      <c r="R1736" s="7" t="n">
        <v>643942</v>
      </c>
      <c r="S1736" s="8" t="n">
        <v>25005</v>
      </c>
      <c r="T1736" s="8" t="n">
        <v>-82116</v>
      </c>
      <c r="U1736" s="9" t="n">
        <v>600129</v>
      </c>
      <c r="V1736" s="10" t="n">
        <v>27646</v>
      </c>
      <c r="W1736" s="10" t="n">
        <v>-238</v>
      </c>
      <c r="X1736" s="7" t="n">
        <v>604887</v>
      </c>
      <c r="Y1736" s="8" t="n">
        <v>21922</v>
      </c>
      <c r="Z1736" s="8" t="n">
        <v>11233</v>
      </c>
      <c r="AA1736" s="9" t="n">
        <v>625602</v>
      </c>
      <c r="AB1736" s="10" t="n">
        <v>27637</v>
      </c>
      <c r="AC1736" s="10" t="n">
        <v>18003</v>
      </c>
      <c r="AD1736" s="7" t="n">
        <v>685616</v>
      </c>
      <c r="AE1736" s="8" t="n">
        <v>55229</v>
      </c>
      <c r="AF1736" s="8" t="n">
        <v>22911</v>
      </c>
      <c r="AG1736" s="9" t="n">
        <v>671397</v>
      </c>
      <c r="AH1736" s="10" t="n">
        <v>26251</v>
      </c>
      <c r="AI1736" s="10" t="n">
        <v>31119</v>
      </c>
      <c r="AJ1736" s="11" t="n">
        <v>757918</v>
      </c>
      <c r="AK1736" s="12" t="n">
        <v>57905</v>
      </c>
      <c r="AL1736" s="12" t="n">
        <v>29075</v>
      </c>
      <c r="AM1736" s="13" t="n">
        <v>12.9</v>
      </c>
      <c r="AN1736" s="13" t="n">
        <v>25.3</v>
      </c>
      <c r="AO1736" s="13" t="n">
        <v>120.6</v>
      </c>
      <c r="AP1736" s="13" t="n">
        <v>164.1</v>
      </c>
    </row>
    <row r="1737">
      <c r="A1737" s="5" t="inlineStr">
        <is>
          <t>큐브엔터</t>
        </is>
      </c>
      <c r="B1737" s="6" t="inlineStr">
        <is>
          <t>182360</t>
        </is>
      </c>
      <c r="C1737" s="6" t="inlineStr">
        <is>
          <t>연결</t>
        </is>
      </c>
      <c r="D1737" s="6" t="inlineStr">
        <is>
          <t>2026Q2</t>
        </is>
      </c>
      <c r="E1737" s="6" t="inlineStr"/>
      <c r="F1737" s="7" t="inlineStr"/>
      <c r="G1737" s="8" t="inlineStr"/>
      <c r="H1737" s="8" t="inlineStr"/>
      <c r="I1737" s="9" t="n">
        <v>49553</v>
      </c>
      <c r="J1737" s="10" t="n">
        <v>5788</v>
      </c>
      <c r="K1737" s="10" t="n">
        <v>4336</v>
      </c>
      <c r="L1737" s="7" t="n">
        <v>51522</v>
      </c>
      <c r="M1737" s="8" t="n">
        <v>5146</v>
      </c>
      <c r="N1737" s="8" t="n">
        <v>2138</v>
      </c>
      <c r="O1737" s="9" t="n">
        <v>59764</v>
      </c>
      <c r="P1737" s="10" t="n">
        <v>4942</v>
      </c>
      <c r="Q1737" s="10" t="n">
        <v>8085</v>
      </c>
      <c r="R1737" s="7" t="n">
        <v>57444</v>
      </c>
      <c r="S1737" s="8" t="n">
        <v>692</v>
      </c>
      <c r="T1737" s="8" t="n">
        <v>2047</v>
      </c>
      <c r="U1737" s="9" t="n">
        <v>41320</v>
      </c>
      <c r="V1737" s="10" t="n">
        <v>-942</v>
      </c>
      <c r="W1737" s="10" t="n">
        <v>1004</v>
      </c>
      <c r="X1737" s="7" t="n">
        <v>55200</v>
      </c>
      <c r="Y1737" s="8" t="n">
        <v>906</v>
      </c>
      <c r="Z1737" s="8" t="n">
        <v>2182</v>
      </c>
      <c r="AA1737" s="9" t="n">
        <v>50109</v>
      </c>
      <c r="AB1737" s="10" t="n">
        <v>-5240</v>
      </c>
      <c r="AC1737" s="10" t="n">
        <v>-6575</v>
      </c>
      <c r="AD1737" s="7" t="n">
        <v>-59401</v>
      </c>
      <c r="AE1737" s="8" t="n">
        <v>-1986</v>
      </c>
      <c r="AF1737" s="8" t="n">
        <v>-2470</v>
      </c>
      <c r="AG1737" s="9" t="n">
        <v>15104</v>
      </c>
      <c r="AH1737" s="10" t="n">
        <v>-5179</v>
      </c>
      <c r="AI1737" s="10" t="n">
        <v>2236</v>
      </c>
      <c r="AJ1737" s="11" t="n">
        <v>21549</v>
      </c>
      <c r="AK1737" s="12" t="n">
        <v>-2039</v>
      </c>
      <c r="AL1737" s="12" t="n">
        <v>-2667</v>
      </c>
      <c r="AM1737" s="13" t="n">
        <v>42.7</v>
      </c>
      <c r="AN1737" s="13" t="n">
        <v>-61</v>
      </c>
      <c r="AO1737" s="13" t="n">
        <v>60.6</v>
      </c>
      <c r="AP1737" s="13" t="n">
        <v>-325.1</v>
      </c>
    </row>
    <row r="1738">
      <c r="A1738" s="5" t="inlineStr">
        <is>
          <t>엔케이젠바이오텍코리아</t>
        </is>
      </c>
      <c r="B1738" s="6" t="inlineStr">
        <is>
          <t>182400</t>
        </is>
      </c>
      <c r="C1738" s="6" t="inlineStr">
        <is>
          <t>연결</t>
        </is>
      </c>
      <c r="D1738" s="6" t="inlineStr">
        <is>
          <t>2026Q2</t>
        </is>
      </c>
      <c r="E1738" s="6" t="inlineStr"/>
      <c r="F1738" s="7" t="inlineStr"/>
      <c r="G1738" s="8" t="inlineStr"/>
      <c r="H1738" s="8" t="inlineStr"/>
      <c r="I1738" s="9" t="n">
        <v>1813</v>
      </c>
      <c r="J1738" s="10" t="n">
        <v>-4527</v>
      </c>
      <c r="K1738" s="10" t="n">
        <v>-3573</v>
      </c>
      <c r="L1738" s="7" t="n">
        <v>2427</v>
      </c>
      <c r="M1738" s="8" t="n">
        <v>-2713</v>
      </c>
      <c r="N1738" s="8" t="n">
        <v>-25144</v>
      </c>
      <c r="O1738" s="9" t="n">
        <v>2331</v>
      </c>
      <c r="P1738" s="10" t="n">
        <v>-1386</v>
      </c>
      <c r="Q1738" s="10" t="n">
        <v>-9142</v>
      </c>
      <c r="R1738" s="7" t="n">
        <v>2229</v>
      </c>
      <c r="S1738" s="8" t="n">
        <v>4561</v>
      </c>
      <c r="T1738" s="8" t="n">
        <v>917</v>
      </c>
      <c r="U1738" s="9" t="n">
        <v>1423</v>
      </c>
      <c r="V1738" s="10" t="n">
        <v>-527</v>
      </c>
      <c r="W1738" s="10" t="n">
        <v>-77</v>
      </c>
      <c r="X1738" s="7" t="n">
        <v>2021</v>
      </c>
      <c r="Y1738" s="8" t="n">
        <v>-905</v>
      </c>
      <c r="Z1738" s="8" t="n">
        <v>2470</v>
      </c>
      <c r="AA1738" s="9" t="n">
        <v>2206</v>
      </c>
      <c r="AB1738" s="10" t="n">
        <v>44</v>
      </c>
      <c r="AC1738" s="10" t="n">
        <v>216</v>
      </c>
      <c r="AD1738" s="7" t="n">
        <v>2213</v>
      </c>
      <c r="AE1738" s="8" t="n">
        <v>-1144</v>
      </c>
      <c r="AF1738" s="8" t="n">
        <v>-9951</v>
      </c>
      <c r="AG1738" s="9" t="n">
        <v>1575</v>
      </c>
      <c r="AH1738" s="10" t="n">
        <v>-1206</v>
      </c>
      <c r="AI1738" s="10" t="n">
        <v>-1266</v>
      </c>
      <c r="AJ1738" s="11" t="n">
        <v>2138</v>
      </c>
      <c r="AK1738" s="12" t="n">
        <v>-130</v>
      </c>
      <c r="AL1738" s="12" t="n">
        <v>-191</v>
      </c>
      <c r="AM1738" s="13" t="n">
        <v>35.7</v>
      </c>
      <c r="AN1738" s="13" t="n">
        <v>5.8</v>
      </c>
      <c r="AO1738" s="13" t="n">
        <v>89.2</v>
      </c>
      <c r="AP1738" s="13" t="n">
        <v>85.59999999999999</v>
      </c>
    </row>
    <row r="1739">
      <c r="A1739" s="5" t="inlineStr">
        <is>
          <t>아세아시멘트</t>
        </is>
      </c>
      <c r="B1739" s="6" t="inlineStr">
        <is>
          <t>183190</t>
        </is>
      </c>
      <c r="C1739" s="6" t="inlineStr">
        <is>
          <t>연결</t>
        </is>
      </c>
      <c r="D1739" s="6" t="inlineStr">
        <is>
          <t>2026Q2</t>
        </is>
      </c>
      <c r="E1739" s="6" t="inlineStr"/>
      <c r="F1739" s="7" t="inlineStr"/>
      <c r="G1739" s="8" t="inlineStr"/>
      <c r="H1739" s="8" t="inlineStr"/>
      <c r="I1739" s="9" t="n">
        <v>262809</v>
      </c>
      <c r="J1739" s="10" t="n">
        <v>32628</v>
      </c>
      <c r="K1739" s="10" t="n">
        <v>16980</v>
      </c>
      <c r="L1739" s="7" t="n">
        <v>306503</v>
      </c>
      <c r="M1739" s="8" t="n">
        <v>56873</v>
      </c>
      <c r="N1739" s="8" t="n">
        <v>35832</v>
      </c>
      <c r="O1739" s="9" t="n">
        <v>245986</v>
      </c>
      <c r="P1739" s="10" t="n">
        <v>28407</v>
      </c>
      <c r="Q1739" s="10" t="n">
        <v>16592</v>
      </c>
      <c r="R1739" s="7" t="n">
        <v>295040</v>
      </c>
      <c r="S1739" s="8" t="n">
        <v>22843</v>
      </c>
      <c r="T1739" s="8" t="n">
        <v>10669</v>
      </c>
      <c r="U1739" s="9" t="n">
        <v>220455</v>
      </c>
      <c r="V1739" s="10" t="n">
        <v>10007</v>
      </c>
      <c r="W1739" s="10" t="n">
        <v>1061</v>
      </c>
      <c r="X1739" s="7" t="n">
        <v>284358</v>
      </c>
      <c r="Y1739" s="8" t="n">
        <v>40565</v>
      </c>
      <c r="Z1739" s="8" t="n">
        <v>23559</v>
      </c>
      <c r="AA1739" s="9" t="n">
        <v>243810</v>
      </c>
      <c r="AB1739" s="10" t="n">
        <v>18992</v>
      </c>
      <c r="AC1739" s="10" t="n">
        <v>8567</v>
      </c>
      <c r="AD1739" s="7" t="n">
        <v>274167</v>
      </c>
      <c r="AE1739" s="8" t="n">
        <v>7570</v>
      </c>
      <c r="AF1739" s="8" t="n">
        <v>-16753</v>
      </c>
      <c r="AG1739" s="9" t="n">
        <v>240592</v>
      </c>
      <c r="AH1739" s="10" t="n">
        <v>11412</v>
      </c>
      <c r="AI1739" s="10" t="n">
        <v>6686</v>
      </c>
      <c r="AJ1739" s="11" t="n">
        <v>277711</v>
      </c>
      <c r="AK1739" s="12" t="n">
        <v>23561</v>
      </c>
      <c r="AL1739" s="12" t="n">
        <v>12754</v>
      </c>
      <c r="AM1739" s="13" t="n">
        <v>15.4</v>
      </c>
      <c r="AN1739" s="13" t="n">
        <v>-2.3</v>
      </c>
      <c r="AO1739" s="13" t="n">
        <v>106.5</v>
      </c>
      <c r="AP1739" s="13" t="n">
        <v>-41.9</v>
      </c>
    </row>
    <row r="1740">
      <c r="A1740" s="5" t="inlineStr">
        <is>
          <t>코미코</t>
        </is>
      </c>
      <c r="B1740" s="6" t="inlineStr">
        <is>
          <t>183300</t>
        </is>
      </c>
      <c r="C1740" s="6" t="inlineStr">
        <is>
          <t>연결</t>
        </is>
      </c>
      <c r="D1740" s="6" t="inlineStr">
        <is>
          <t>2026Q2</t>
        </is>
      </c>
      <c r="E1740" s="6" t="inlineStr"/>
      <c r="F1740" s="7" t="inlineStr"/>
      <c r="G1740" s="8" t="inlineStr"/>
      <c r="H1740" s="8" t="inlineStr"/>
      <c r="I1740" s="9" t="n">
        <v>118018</v>
      </c>
      <c r="J1740" s="10" t="n">
        <v>27765</v>
      </c>
      <c r="K1740" s="10" t="n">
        <v>20002</v>
      </c>
      <c r="L1740" s="7" t="n">
        <v>133557</v>
      </c>
      <c r="M1740" s="8" t="n">
        <v>36891</v>
      </c>
      <c r="N1740" s="8" t="n">
        <v>22039</v>
      </c>
      <c r="O1740" s="9" t="n">
        <v>127698</v>
      </c>
      <c r="P1740" s="10" t="n">
        <v>28981</v>
      </c>
      <c r="Q1740" s="10" t="n">
        <v>18277</v>
      </c>
      <c r="R1740" s="7" t="n">
        <v>127866</v>
      </c>
      <c r="S1740" s="8" t="n">
        <v>18825</v>
      </c>
      <c r="T1740" s="8" t="n">
        <v>27528</v>
      </c>
      <c r="U1740" s="9" t="n">
        <v>134961</v>
      </c>
      <c r="V1740" s="10" t="n">
        <v>31258</v>
      </c>
      <c r="W1740" s="10" t="n">
        <v>20667</v>
      </c>
      <c r="X1740" s="7" t="n">
        <v>146003</v>
      </c>
      <c r="Y1740" s="8" t="n">
        <v>30164</v>
      </c>
      <c r="Z1740" s="8" t="n">
        <v>21464</v>
      </c>
      <c r="AA1740" s="9" t="n">
        <v>159056</v>
      </c>
      <c r="AB1740" s="10" t="n">
        <v>25847</v>
      </c>
      <c r="AC1740" s="10" t="n">
        <v>14565</v>
      </c>
      <c r="AD1740" s="7" t="n">
        <v>164090</v>
      </c>
      <c r="AE1740" s="8" t="n">
        <v>23723</v>
      </c>
      <c r="AF1740" s="8" t="n">
        <v>20541</v>
      </c>
      <c r="AG1740" s="9" t="n">
        <v>157060</v>
      </c>
      <c r="AH1740" s="10" t="n">
        <v>20450</v>
      </c>
      <c r="AI1740" s="10" t="n">
        <v>17157</v>
      </c>
      <c r="AJ1740" s="11" t="n">
        <v>175962</v>
      </c>
      <c r="AK1740" s="12" t="n">
        <v>27050</v>
      </c>
      <c r="AL1740" s="12" t="n">
        <v>8968</v>
      </c>
      <c r="AM1740" s="13" t="n">
        <v>12</v>
      </c>
      <c r="AN1740" s="13" t="n">
        <v>20.5</v>
      </c>
      <c r="AO1740" s="13" t="n">
        <v>32.3</v>
      </c>
      <c r="AP1740" s="13" t="n">
        <v>-10.3</v>
      </c>
    </row>
    <row r="1741">
      <c r="A1741" s="5" t="inlineStr">
        <is>
          <t>엔지켐생명과학</t>
        </is>
      </c>
      <c r="B1741" s="6" t="inlineStr">
        <is>
          <t>183490</t>
        </is>
      </c>
      <c r="C1741" s="6" t="inlineStr">
        <is>
          <t>연결</t>
        </is>
      </c>
      <c r="D1741" s="6" t="inlineStr">
        <is>
          <t>2026Q2</t>
        </is>
      </c>
      <c r="E1741" s="6" t="inlineStr"/>
      <c r="F1741" s="7" t="inlineStr"/>
      <c r="G1741" s="8" t="inlineStr"/>
      <c r="H1741" s="8" t="inlineStr"/>
      <c r="I1741" s="9" t="n">
        <v>22244</v>
      </c>
      <c r="J1741" s="10" t="n">
        <v>-2196</v>
      </c>
      <c r="K1741" s="10" t="n">
        <v>-1082</v>
      </c>
      <c r="L1741" s="7" t="n">
        <v>19605</v>
      </c>
      <c r="M1741" s="8" t="n">
        <v>-3632</v>
      </c>
      <c r="N1741" s="8" t="n">
        <v>-3320</v>
      </c>
      <c r="O1741" s="9" t="n">
        <v>17012</v>
      </c>
      <c r="P1741" s="10" t="n">
        <v>-2674</v>
      </c>
      <c r="Q1741" s="10" t="n">
        <v>-1589</v>
      </c>
      <c r="R1741" s="7" t="n">
        <v>18517</v>
      </c>
      <c r="S1741" s="8" t="n">
        <v>-4692</v>
      </c>
      <c r="T1741" s="8" t="n">
        <v>-16097</v>
      </c>
      <c r="U1741" s="9" t="n">
        <v>20783</v>
      </c>
      <c r="V1741" s="10" t="n">
        <v>-2561</v>
      </c>
      <c r="W1741" s="10" t="n">
        <v>-1828</v>
      </c>
      <c r="X1741" s="7" t="n">
        <v>16401</v>
      </c>
      <c r="Y1741" s="8" t="n">
        <v>-3677</v>
      </c>
      <c r="Z1741" s="8" t="n">
        <v>-3024</v>
      </c>
      <c r="AA1741" s="9" t="n">
        <v>16471</v>
      </c>
      <c r="AB1741" s="10" t="n">
        <v>-3719</v>
      </c>
      <c r="AC1741" s="10" t="n">
        <v>-3302</v>
      </c>
      <c r="AD1741" s="7" t="n">
        <v>14096</v>
      </c>
      <c r="AE1741" s="8" t="n">
        <v>-4380</v>
      </c>
      <c r="AF1741" s="8" t="n">
        <v>-9938</v>
      </c>
      <c r="AG1741" s="9" t="n">
        <v>14892</v>
      </c>
      <c r="AH1741" s="10" t="n">
        <v>-3243</v>
      </c>
      <c r="AI1741" s="10" t="n">
        <v>-1899</v>
      </c>
      <c r="AJ1741" s="11" t="n">
        <v>23543</v>
      </c>
      <c r="AK1741" s="12" t="n">
        <v>-4068</v>
      </c>
      <c r="AL1741" s="12" t="n">
        <v>-2763</v>
      </c>
      <c r="AM1741" s="13" t="n">
        <v>58.1</v>
      </c>
      <c r="AN1741" s="13" t="n">
        <v>43.5</v>
      </c>
      <c r="AO1741" s="13" t="n">
        <v>-25.4</v>
      </c>
      <c r="AP1741" s="13" t="n">
        <v>-10.6</v>
      </c>
    </row>
    <row r="1742">
      <c r="A1742" s="5" t="inlineStr">
        <is>
          <t>SGA솔루션즈</t>
        </is>
      </c>
      <c r="B1742" s="6" t="inlineStr">
        <is>
          <t>184230</t>
        </is>
      </c>
      <c r="C1742" s="6" t="inlineStr">
        <is>
          <t>연결</t>
        </is>
      </c>
      <c r="D1742" s="6" t="inlineStr">
        <is>
          <t>2026Q2</t>
        </is>
      </c>
      <c r="E1742" s="6" t="inlineStr"/>
      <c r="F1742" s="7" t="inlineStr"/>
      <c r="G1742" s="8" t="inlineStr"/>
      <c r="H1742" s="8" t="inlineStr"/>
      <c r="I1742" s="9" t="n">
        <v>8649</v>
      </c>
      <c r="J1742" s="10" t="n">
        <v>-3455</v>
      </c>
      <c r="K1742" s="10" t="n">
        <v>-4197</v>
      </c>
      <c r="L1742" s="7" t="n">
        <v>9351</v>
      </c>
      <c r="M1742" s="8" t="n">
        <v>-840</v>
      </c>
      <c r="N1742" s="8" t="n">
        <v>-104</v>
      </c>
      <c r="O1742" s="9" t="n">
        <v>9033</v>
      </c>
      <c r="P1742" s="10" t="n">
        <v>-1434</v>
      </c>
      <c r="Q1742" s="10" t="n">
        <v>-2075</v>
      </c>
      <c r="R1742" s="7" t="n">
        <v>15891</v>
      </c>
      <c r="S1742" s="8" t="n">
        <v>1622</v>
      </c>
      <c r="T1742" s="8" t="n">
        <v>-3562</v>
      </c>
      <c r="U1742" s="9" t="n">
        <v>8038</v>
      </c>
      <c r="V1742" s="10" t="n">
        <v>-2287</v>
      </c>
      <c r="W1742" s="10" t="n">
        <v>-2900</v>
      </c>
      <c r="X1742" s="7" t="n">
        <v>10308</v>
      </c>
      <c r="Y1742" s="8" t="n">
        <v>-573</v>
      </c>
      <c r="Z1742" s="8" t="n">
        <v>-2392</v>
      </c>
      <c r="AA1742" s="9" t="n">
        <v>30310</v>
      </c>
      <c r="AB1742" s="10" t="n">
        <v>8437</v>
      </c>
      <c r="AC1742" s="10" t="n">
        <v>7600</v>
      </c>
      <c r="AD1742" s="7" t="n">
        <v>12980</v>
      </c>
      <c r="AE1742" s="8" t="n">
        <v>9247</v>
      </c>
      <c r="AF1742" s="8" t="n">
        <v>14686</v>
      </c>
      <c r="AG1742" s="9" t="n">
        <v>25956</v>
      </c>
      <c r="AH1742" s="10" t="n">
        <v>761</v>
      </c>
      <c r="AI1742" s="10" t="n">
        <v>-485</v>
      </c>
      <c r="AJ1742" s="11" t="n">
        <v>49142</v>
      </c>
      <c r="AK1742" s="12" t="n">
        <v>1364</v>
      </c>
      <c r="AL1742" s="12" t="n">
        <v>-243</v>
      </c>
      <c r="AM1742" s="13" t="n">
        <v>89.3</v>
      </c>
      <c r="AN1742" s="13" t="n">
        <v>376.7</v>
      </c>
      <c r="AO1742" s="13" t="n">
        <v>79.2</v>
      </c>
      <c r="AP1742" s="13" t="n">
        <v>338</v>
      </c>
    </row>
    <row r="1743">
      <c r="A1743" s="5" t="inlineStr">
        <is>
          <t>아이진</t>
        </is>
      </c>
      <c r="B1743" s="6" t="inlineStr">
        <is>
          <t>185490</t>
        </is>
      </c>
      <c r="C1743" s="6" t="inlineStr">
        <is>
          <t>연결</t>
        </is>
      </c>
      <c r="D1743" s="6" t="inlineStr">
        <is>
          <t>2026Q2</t>
        </is>
      </c>
      <c r="E1743" s="6" t="inlineStr"/>
      <c r="F1743" s="7" t="inlineStr"/>
      <c r="G1743" s="8" t="inlineStr"/>
      <c r="H1743" s="8" t="inlineStr"/>
      <c r="I1743" s="9" t="n">
        <v>523</v>
      </c>
      <c r="J1743" s="10" t="n">
        <v>-3573</v>
      </c>
      <c r="K1743" s="10" t="n">
        <v>-3352</v>
      </c>
      <c r="L1743" s="7" t="n">
        <v>561</v>
      </c>
      <c r="M1743" s="8" t="n">
        <v>-3708</v>
      </c>
      <c r="N1743" s="8" t="n">
        <v>-3264</v>
      </c>
      <c r="O1743" s="9" t="n">
        <v>960</v>
      </c>
      <c r="P1743" s="10" t="n">
        <v>-3602</v>
      </c>
      <c r="Q1743" s="10" t="n">
        <v>-3553</v>
      </c>
      <c r="R1743" s="7" t="n">
        <v>1312</v>
      </c>
      <c r="S1743" s="8" t="n">
        <v>-2371</v>
      </c>
      <c r="T1743" s="8" t="n">
        <v>-2727</v>
      </c>
      <c r="U1743" s="9" t="n">
        <v>818</v>
      </c>
      <c r="V1743" s="10" t="n">
        <v>-2497</v>
      </c>
      <c r="W1743" s="10" t="n">
        <v>-2988</v>
      </c>
      <c r="X1743" s="7" t="n">
        <v>877</v>
      </c>
      <c r="Y1743" s="8" t="n">
        <v>-2453</v>
      </c>
      <c r="Z1743" s="8" t="n">
        <v>-2461</v>
      </c>
      <c r="AA1743" s="9" t="n">
        <v>1098</v>
      </c>
      <c r="AB1743" s="10" t="n">
        <v>-1647</v>
      </c>
      <c r="AC1743" s="10" t="n">
        <v>-1566</v>
      </c>
      <c r="AD1743" s="7" t="n">
        <v>774</v>
      </c>
      <c r="AE1743" s="8" t="n">
        <v>-3254</v>
      </c>
      <c r="AF1743" s="8" t="n">
        <v>-12062</v>
      </c>
      <c r="AG1743" s="9" t="n">
        <v>1272</v>
      </c>
      <c r="AH1743" s="10" t="n">
        <v>-3533</v>
      </c>
      <c r="AI1743" s="10" t="n">
        <v>-3557</v>
      </c>
      <c r="AJ1743" s="11" t="n">
        <v>1339</v>
      </c>
      <c r="AK1743" s="12" t="n">
        <v>-3948</v>
      </c>
      <c r="AL1743" s="12" t="n">
        <v>-3841</v>
      </c>
      <c r="AM1743" s="13" t="n">
        <v>5.3</v>
      </c>
      <c r="AN1743" s="13" t="n">
        <v>52.7</v>
      </c>
      <c r="AO1743" s="13" t="n">
        <v>-11.7</v>
      </c>
      <c r="AP1743" s="13" t="n">
        <v>-60.9</v>
      </c>
    </row>
    <row r="1744">
      <c r="A1744" s="5" t="inlineStr">
        <is>
          <t>종근당</t>
        </is>
      </c>
      <c r="B1744" s="6" t="inlineStr">
        <is>
          <t>185750</t>
        </is>
      </c>
      <c r="C1744" s="6" t="inlineStr">
        <is>
          <t>연결</t>
        </is>
      </c>
      <c r="D1744" s="6" t="inlineStr">
        <is>
          <t>2026Q2</t>
        </is>
      </c>
      <c r="E1744" s="6" t="inlineStr"/>
      <c r="F1744" s="7" t="inlineStr"/>
      <c r="G1744" s="8" t="inlineStr"/>
      <c r="H1744" s="8" t="inlineStr"/>
      <c r="I1744" s="9" t="n">
        <v>361502</v>
      </c>
      <c r="J1744" s="10" t="n">
        <v>30832</v>
      </c>
      <c r="K1744" s="10" t="n">
        <v>26668</v>
      </c>
      <c r="L1744" s="7" t="n">
        <v>396802</v>
      </c>
      <c r="M1744" s="8" t="n">
        <v>35840</v>
      </c>
      <c r="N1744" s="8" t="n">
        <v>55040</v>
      </c>
      <c r="O1744" s="9" t="n">
        <v>412762</v>
      </c>
      <c r="P1744" s="10" t="n">
        <v>26025</v>
      </c>
      <c r="Q1744" s="10" t="n">
        <v>21667</v>
      </c>
      <c r="R1744" s="7" t="n">
        <v>415365</v>
      </c>
      <c r="S1744" s="8" t="n">
        <v>6765</v>
      </c>
      <c r="T1744" s="8" t="n">
        <v>8067</v>
      </c>
      <c r="U1744" s="9" t="n">
        <v>400956</v>
      </c>
      <c r="V1744" s="10" t="n">
        <v>12453</v>
      </c>
      <c r="W1744" s="10" t="n">
        <v>11874</v>
      </c>
      <c r="X1744" s="7" t="n">
        <v>434849</v>
      </c>
      <c r="Y1744" s="8" t="n">
        <v>23643</v>
      </c>
      <c r="Z1744" s="8" t="n">
        <v>19426</v>
      </c>
      <c r="AA1744" s="9" t="n">
        <v>429819</v>
      </c>
      <c r="AB1744" s="10" t="n">
        <v>20987</v>
      </c>
      <c r="AC1744" s="10" t="n">
        <v>20234</v>
      </c>
      <c r="AD1744" s="7" t="n">
        <v>426780</v>
      </c>
      <c r="AE1744" s="8" t="n">
        <v>23485</v>
      </c>
      <c r="AF1744" s="8" t="n">
        <v>26293</v>
      </c>
      <c r="AG1744" s="9" t="n">
        <v>447766</v>
      </c>
      <c r="AH1744" s="10" t="n">
        <v>14088</v>
      </c>
      <c r="AI1744" s="10" t="n">
        <v>12615</v>
      </c>
      <c r="AJ1744" s="11" t="n">
        <v>478465</v>
      </c>
      <c r="AK1744" s="12" t="n">
        <v>18612</v>
      </c>
      <c r="AL1744" s="12" t="n">
        <v>20424</v>
      </c>
      <c r="AM1744" s="13" t="n">
        <v>6.9</v>
      </c>
      <c r="AN1744" s="13" t="n">
        <v>10</v>
      </c>
      <c r="AO1744" s="13" t="n">
        <v>32.1</v>
      </c>
      <c r="AP1744" s="13" t="n">
        <v>-21.3</v>
      </c>
    </row>
    <row r="1745">
      <c r="A1745" s="5" t="inlineStr">
        <is>
          <t>그린플러스</t>
        </is>
      </c>
      <c r="B1745" s="6" t="inlineStr">
        <is>
          <t>186230</t>
        </is>
      </c>
      <c r="C1745" s="6" t="inlineStr">
        <is>
          <t>연결</t>
        </is>
      </c>
      <c r="D1745" s="6" t="inlineStr">
        <is>
          <t>2026Q2</t>
        </is>
      </c>
      <c r="E1745" s="6" t="inlineStr"/>
      <c r="F1745" s="7" t="inlineStr"/>
      <c r="G1745" s="8" t="inlineStr"/>
      <c r="H1745" s="8" t="inlineStr"/>
      <c r="I1745" s="9" t="n">
        <v>17864</v>
      </c>
      <c r="J1745" s="10" t="n">
        <v>345</v>
      </c>
      <c r="K1745" s="10" t="n">
        <v>31</v>
      </c>
      <c r="L1745" s="7" t="n">
        <v>20976</v>
      </c>
      <c r="M1745" s="8" t="n">
        <v>-629</v>
      </c>
      <c r="N1745" s="8" t="n">
        <v>-1526</v>
      </c>
      <c r="O1745" s="9" t="n">
        <v>20369</v>
      </c>
      <c r="P1745" s="10" t="n">
        <v>-1205</v>
      </c>
      <c r="Q1745" s="10" t="n">
        <v>-1721</v>
      </c>
      <c r="R1745" s="7" t="n">
        <v>28474</v>
      </c>
      <c r="S1745" s="8" t="n">
        <v>3975</v>
      </c>
      <c r="T1745" s="8" t="n">
        <v>3472</v>
      </c>
      <c r="U1745" s="9" t="n">
        <v>22077</v>
      </c>
      <c r="V1745" s="10" t="n">
        <v>301</v>
      </c>
      <c r="W1745" s="10" t="n">
        <v>-773</v>
      </c>
      <c r="X1745" s="7" t="n">
        <v>25894</v>
      </c>
      <c r="Y1745" s="8" t="n">
        <v>-1522</v>
      </c>
      <c r="Z1745" s="8" t="n">
        <v>-1942</v>
      </c>
      <c r="AA1745" s="9" t="n">
        <v>27855</v>
      </c>
      <c r="AB1745" s="10" t="n">
        <v>1640</v>
      </c>
      <c r="AC1745" s="10" t="n">
        <v>51</v>
      </c>
      <c r="AD1745" s="7" t="n">
        <v>29889</v>
      </c>
      <c r="AE1745" s="8" t="n">
        <v>-1371</v>
      </c>
      <c r="AF1745" s="8" t="n">
        <v>-10368</v>
      </c>
      <c r="AG1745" s="9" t="n">
        <v>31562</v>
      </c>
      <c r="AH1745" s="10" t="n">
        <v>429</v>
      </c>
      <c r="AI1745" s="10" t="n">
        <v>59</v>
      </c>
      <c r="AJ1745" s="11" t="n">
        <v>38037</v>
      </c>
      <c r="AK1745" s="12" t="n">
        <v>949</v>
      </c>
      <c r="AL1745" s="12" t="n">
        <v>582</v>
      </c>
      <c r="AM1745" s="13" t="n">
        <v>20.5</v>
      </c>
      <c r="AN1745" s="13" t="n">
        <v>46.9</v>
      </c>
      <c r="AO1745" s="13" t="n">
        <v>121.2</v>
      </c>
      <c r="AP1745" s="13" t="n">
        <v>162.4</v>
      </c>
    </row>
    <row r="1746">
      <c r="A1746" s="5" t="inlineStr">
        <is>
          <t>디티앤씨</t>
        </is>
      </c>
      <c r="B1746" s="6" t="inlineStr">
        <is>
          <t>187220</t>
        </is>
      </c>
      <c r="C1746" s="6" t="inlineStr">
        <is>
          <t>연결</t>
        </is>
      </c>
      <c r="D1746" s="6" t="inlineStr">
        <is>
          <t>2026Q2</t>
        </is>
      </c>
      <c r="E1746" s="6" t="inlineStr"/>
      <c r="F1746" s="7" t="inlineStr"/>
      <c r="G1746" s="8" t="inlineStr"/>
      <c r="H1746" s="8" t="inlineStr"/>
      <c r="I1746" s="9" t="n">
        <v>29282</v>
      </c>
      <c r="J1746" s="10" t="n">
        <v>-907</v>
      </c>
      <c r="K1746" s="10" t="n">
        <v>-1367</v>
      </c>
      <c r="L1746" s="7" t="n">
        <v>23351</v>
      </c>
      <c r="M1746" s="8" t="n">
        <v>-4236</v>
      </c>
      <c r="N1746" s="8" t="n">
        <v>-2444</v>
      </c>
      <c r="O1746" s="9" t="n">
        <v>28290</v>
      </c>
      <c r="P1746" s="10" t="n">
        <v>313</v>
      </c>
      <c r="Q1746" s="10" t="n">
        <v>-1603</v>
      </c>
      <c r="R1746" s="7" t="n">
        <v>31016</v>
      </c>
      <c r="S1746" s="8" t="n">
        <v>-879</v>
      </c>
      <c r="T1746" s="8" t="n">
        <v>8325</v>
      </c>
      <c r="U1746" s="9" t="n">
        <v>28906</v>
      </c>
      <c r="V1746" s="10" t="n">
        <v>-614</v>
      </c>
      <c r="W1746" s="10" t="n">
        <v>-2751</v>
      </c>
      <c r="X1746" s="7" t="n">
        <v>29231</v>
      </c>
      <c r="Y1746" s="8" t="n">
        <v>203</v>
      </c>
      <c r="Z1746" s="8" t="n">
        <v>2931</v>
      </c>
      <c r="AA1746" s="9" t="n">
        <v>32627</v>
      </c>
      <c r="AB1746" s="10" t="n">
        <v>-1113</v>
      </c>
      <c r="AC1746" s="10" t="n">
        <v>-4714</v>
      </c>
      <c r="AD1746" s="7" t="n">
        <v>35070</v>
      </c>
      <c r="AE1746" s="8" t="n">
        <v>927</v>
      </c>
      <c r="AF1746" s="8" t="n">
        <v>3763</v>
      </c>
      <c r="AG1746" s="9" t="n">
        <v>28392</v>
      </c>
      <c r="AH1746" s="10" t="n">
        <v>-1897</v>
      </c>
      <c r="AI1746" s="10" t="n">
        <v>-3465</v>
      </c>
      <c r="AJ1746" s="11" t="n">
        <v>28042</v>
      </c>
      <c r="AK1746" s="12" t="n">
        <v>-6810</v>
      </c>
      <c r="AL1746" s="12" t="n">
        <v>-4939</v>
      </c>
      <c r="AM1746" s="13" t="n">
        <v>-1.2</v>
      </c>
      <c r="AN1746" s="13" t="n">
        <v>-4.1</v>
      </c>
      <c r="AO1746" s="13" t="n">
        <v>-259</v>
      </c>
      <c r="AP1746" s="13" t="n">
        <v>-3454.7</v>
      </c>
    </row>
    <row r="1747">
      <c r="A1747" s="5" t="inlineStr">
        <is>
          <t>신화콘텍</t>
        </is>
      </c>
      <c r="B1747" s="6" t="inlineStr">
        <is>
          <t>187270</t>
        </is>
      </c>
      <c r="C1747" s="6" t="inlineStr">
        <is>
          <t>연결</t>
        </is>
      </c>
      <c r="D1747" s="6" t="inlineStr">
        <is>
          <t>2026Q2</t>
        </is>
      </c>
      <c r="E1747" s="6" t="inlineStr"/>
      <c r="F1747" s="7" t="inlineStr"/>
      <c r="G1747" s="8" t="inlineStr"/>
      <c r="H1747" s="8" t="inlineStr"/>
      <c r="I1747" s="9" t="n">
        <v>13680</v>
      </c>
      <c r="J1747" s="10" t="n">
        <v>2275</v>
      </c>
      <c r="K1747" s="10" t="n">
        <v>1899</v>
      </c>
      <c r="L1747" s="7" t="n">
        <v>12236</v>
      </c>
      <c r="M1747" s="8" t="n">
        <v>1338</v>
      </c>
      <c r="N1747" s="8" t="n">
        <v>2307</v>
      </c>
      <c r="O1747" s="9" t="n">
        <v>12782</v>
      </c>
      <c r="P1747" s="10" t="n">
        <v>1402</v>
      </c>
      <c r="Q1747" s="10" t="n">
        <v>1156</v>
      </c>
      <c r="R1747" s="7" t="n">
        <v>13271</v>
      </c>
      <c r="S1747" s="8" t="n">
        <v>1948</v>
      </c>
      <c r="T1747" s="8" t="n">
        <v>2170</v>
      </c>
      <c r="U1747" s="9" t="n">
        <v>13157</v>
      </c>
      <c r="V1747" s="10" t="n">
        <v>2093</v>
      </c>
      <c r="W1747" s="10" t="n">
        <v>3663</v>
      </c>
      <c r="X1747" s="7" t="n">
        <v>12048</v>
      </c>
      <c r="Y1747" s="8" t="n">
        <v>1171</v>
      </c>
      <c r="Z1747" s="8" t="n">
        <v>-1184</v>
      </c>
      <c r="AA1747" s="9" t="n">
        <v>14039</v>
      </c>
      <c r="AB1747" s="10" t="n">
        <v>488</v>
      </c>
      <c r="AC1747" s="10" t="n">
        <v>650</v>
      </c>
      <c r="AD1747" s="7" t="n">
        <v>14189</v>
      </c>
      <c r="AE1747" s="8" t="n">
        <v>1048</v>
      </c>
      <c r="AF1747" s="8" t="n">
        <v>-225</v>
      </c>
      <c r="AG1747" s="9" t="n">
        <v>13427</v>
      </c>
      <c r="AH1747" s="10" t="n">
        <v>1380</v>
      </c>
      <c r="AI1747" s="10" t="n">
        <v>1642</v>
      </c>
      <c r="AJ1747" s="11" t="n">
        <v>16365</v>
      </c>
      <c r="AK1747" s="12" t="n">
        <v>684</v>
      </c>
      <c r="AL1747" s="12" t="n">
        <v>709</v>
      </c>
      <c r="AM1747" s="13" t="n">
        <v>21.9</v>
      </c>
      <c r="AN1747" s="13" t="n">
        <v>35.8</v>
      </c>
      <c r="AO1747" s="13" t="n">
        <v>-50.4</v>
      </c>
      <c r="AP1747" s="13" t="n">
        <v>-41.6</v>
      </c>
    </row>
    <row r="1748">
      <c r="A1748" s="5" t="inlineStr">
        <is>
          <t>HLB제넥스</t>
        </is>
      </c>
      <c r="B1748" s="6" t="inlineStr">
        <is>
          <t>187420</t>
        </is>
      </c>
      <c r="C1748" s="6" t="inlineStr">
        <is>
          <t>연결</t>
        </is>
      </c>
      <c r="D1748" s="6" t="inlineStr">
        <is>
          <t>2026Q2</t>
        </is>
      </c>
      <c r="E1748" s="6" t="inlineStr"/>
      <c r="F1748" s="7" t="inlineStr"/>
      <c r="G1748" s="8" t="inlineStr"/>
      <c r="H1748" s="8" t="inlineStr"/>
      <c r="I1748" s="9" t="n">
        <v>7112</v>
      </c>
      <c r="J1748" s="10" t="n">
        <v>-427</v>
      </c>
      <c r="K1748" s="10" t="n">
        <v>-1363</v>
      </c>
      <c r="L1748" s="7" t="n">
        <v>9104</v>
      </c>
      <c r="M1748" s="8" t="n">
        <v>63</v>
      </c>
      <c r="N1748" s="8" t="n">
        <v>392</v>
      </c>
      <c r="O1748" s="9" t="n">
        <v>9149</v>
      </c>
      <c r="P1748" s="10" t="n">
        <v>-50</v>
      </c>
      <c r="Q1748" s="10" t="n">
        <v>-504</v>
      </c>
      <c r="R1748" s="7" t="n">
        <v>10065</v>
      </c>
      <c r="S1748" s="8" t="n">
        <v>-1462</v>
      </c>
      <c r="T1748" s="8" t="n">
        <v>-16458</v>
      </c>
      <c r="U1748" s="9" t="n">
        <v>10692</v>
      </c>
      <c r="V1748" s="10" t="n">
        <v>815</v>
      </c>
      <c r="W1748" s="10" t="n">
        <v>-1179</v>
      </c>
      <c r="X1748" s="7" t="n">
        <v>10010</v>
      </c>
      <c r="Y1748" s="8" t="n">
        <v>1430</v>
      </c>
      <c r="Z1748" s="8" t="n">
        <v>19060</v>
      </c>
      <c r="AA1748" s="9" t="n">
        <v>10185</v>
      </c>
      <c r="AB1748" s="10" t="n">
        <v>-384</v>
      </c>
      <c r="AC1748" s="10" t="n">
        <v>-3952</v>
      </c>
      <c r="AD1748" s="7" t="n">
        <v>12483</v>
      </c>
      <c r="AE1748" s="8" t="n">
        <v>-655</v>
      </c>
      <c r="AF1748" s="8" t="n">
        <v>8969</v>
      </c>
      <c r="AG1748" s="9" t="n">
        <v>11668</v>
      </c>
      <c r="AH1748" s="10" t="n">
        <v>1005</v>
      </c>
      <c r="AI1748" s="10" t="n">
        <v>-2378</v>
      </c>
      <c r="AJ1748" s="11" t="n">
        <v>11333</v>
      </c>
      <c r="AK1748" s="12" t="n">
        <v>959</v>
      </c>
      <c r="AL1748" s="12" t="n">
        <v>7046</v>
      </c>
      <c r="AM1748" s="13" t="n">
        <v>-2.9</v>
      </c>
      <c r="AN1748" s="13" t="n">
        <v>13.2</v>
      </c>
      <c r="AO1748" s="13" t="n">
        <v>-4.6</v>
      </c>
      <c r="AP1748" s="13" t="n">
        <v>-32.9</v>
      </c>
    </row>
    <row r="1749">
      <c r="A1749" s="5" t="inlineStr">
        <is>
          <t>페니트리움바이오</t>
        </is>
      </c>
      <c r="B1749" s="6" t="inlineStr">
        <is>
          <t>187660</t>
        </is>
      </c>
      <c r="C1749" s="6" t="inlineStr">
        <is>
          <t>별도</t>
        </is>
      </c>
      <c r="D1749" s="6" t="inlineStr">
        <is>
          <t>2026Q2</t>
        </is>
      </c>
      <c r="E1749" s="6" t="inlineStr"/>
      <c r="F1749" s="7" t="inlineStr"/>
      <c r="G1749" s="8" t="inlineStr"/>
      <c r="H1749" s="8" t="inlineStr"/>
      <c r="I1749" s="9" t="n">
        <v>2933</v>
      </c>
      <c r="J1749" s="10" t="n">
        <v>-1772</v>
      </c>
      <c r="K1749" s="10" t="n">
        <v>-1485</v>
      </c>
      <c r="L1749" s="7" t="n">
        <v>2627</v>
      </c>
      <c r="M1749" s="8" t="n">
        <v>-10566</v>
      </c>
      <c r="N1749" s="8" t="n">
        <v>-12730</v>
      </c>
      <c r="O1749" s="9" t="n">
        <v>2045</v>
      </c>
      <c r="P1749" s="10" t="n">
        <v>-2578</v>
      </c>
      <c r="Q1749" s="10" t="n">
        <v>-3790</v>
      </c>
      <c r="R1749" s="7" t="n">
        <v>2140</v>
      </c>
      <c r="S1749" s="8" t="n">
        <v>-1016</v>
      </c>
      <c r="T1749" s="8" t="n">
        <v>-2255</v>
      </c>
      <c r="U1749" s="9" t="n">
        <v>2213</v>
      </c>
      <c r="V1749" s="10" t="n">
        <v>-2718</v>
      </c>
      <c r="W1749" s="10" t="n">
        <v>-3657</v>
      </c>
      <c r="X1749" s="7" t="n">
        <v>2524</v>
      </c>
      <c r="Y1749" s="8" t="n">
        <v>-1652</v>
      </c>
      <c r="Z1749" s="8" t="n">
        <v>1814</v>
      </c>
      <c r="AA1749" s="9" t="n">
        <v>2607</v>
      </c>
      <c r="AB1749" s="10" t="n">
        <v>-1455</v>
      </c>
      <c r="AC1749" s="10" t="n">
        <v>-8461</v>
      </c>
      <c r="AD1749" s="7" t="n">
        <v>1929</v>
      </c>
      <c r="AE1749" s="8" t="n">
        <v>-1551</v>
      </c>
      <c r="AF1749" s="8" t="n">
        <v>-4526</v>
      </c>
      <c r="AG1749" s="9" t="n">
        <v>1692</v>
      </c>
      <c r="AH1749" s="10" t="n">
        <v>-1836</v>
      </c>
      <c r="AI1749" s="10" t="n">
        <v>-1867</v>
      </c>
      <c r="AJ1749" s="11" t="n">
        <v>2116</v>
      </c>
      <c r="AK1749" s="12" t="n">
        <v>-1859</v>
      </c>
      <c r="AL1749" s="12" t="n">
        <v>-1510</v>
      </c>
      <c r="AM1749" s="13" t="n">
        <v>25.1</v>
      </c>
      <c r="AN1749" s="13" t="n">
        <v>-16.2</v>
      </c>
      <c r="AO1749" s="13" t="n">
        <v>-1.3</v>
      </c>
      <c r="AP1749" s="13" t="n">
        <v>-12.5</v>
      </c>
    </row>
    <row r="1750">
      <c r="A1750" s="5" t="inlineStr">
        <is>
          <t>나노</t>
        </is>
      </c>
      <c r="B1750" s="6" t="inlineStr">
        <is>
          <t>187790</t>
        </is>
      </c>
      <c r="C1750" s="6" t="inlineStr">
        <is>
          <t>연결</t>
        </is>
      </c>
      <c r="D1750" s="6" t="inlineStr">
        <is>
          <t>2026Q2</t>
        </is>
      </c>
      <c r="E1750" s="6" t="inlineStr"/>
      <c r="F1750" s="7" t="inlineStr"/>
      <c r="G1750" s="8" t="inlineStr"/>
      <c r="H1750" s="8" t="inlineStr"/>
      <c r="I1750" s="9" t="n">
        <v>18757</v>
      </c>
      <c r="J1750" s="10" t="n">
        <v>866</v>
      </c>
      <c r="K1750" s="10" t="n">
        <v>827</v>
      </c>
      <c r="L1750" s="7" t="n">
        <v>22949</v>
      </c>
      <c r="M1750" s="8" t="n">
        <v>2366</v>
      </c>
      <c r="N1750" s="8" t="n">
        <v>6076</v>
      </c>
      <c r="O1750" s="9" t="n">
        <v>25844</v>
      </c>
      <c r="P1750" s="10" t="n">
        <v>520</v>
      </c>
      <c r="Q1750" s="10" t="n">
        <v>3868</v>
      </c>
      <c r="R1750" s="7" t="n">
        <v>21051</v>
      </c>
      <c r="S1750" s="8" t="n">
        <v>-2094</v>
      </c>
      <c r="T1750" s="8" t="n">
        <v>19038</v>
      </c>
      <c r="U1750" s="9" t="n">
        <v>13662</v>
      </c>
      <c r="V1750" s="10" t="n">
        <v>-264</v>
      </c>
      <c r="W1750" s="10" t="n">
        <v>3379</v>
      </c>
      <c r="X1750" s="7" t="n">
        <v>15766</v>
      </c>
      <c r="Y1750" s="8" t="n">
        <v>15</v>
      </c>
      <c r="Z1750" s="8" t="n">
        <v>1247</v>
      </c>
      <c r="AA1750" s="9" t="n">
        <v>34465</v>
      </c>
      <c r="AB1750" s="10" t="n">
        <v>5518</v>
      </c>
      <c r="AC1750" s="10" t="n">
        <v>5154</v>
      </c>
      <c r="AD1750" s="7" t="n">
        <v>21783</v>
      </c>
      <c r="AE1750" s="8" t="n">
        <v>257</v>
      </c>
      <c r="AF1750" s="8" t="n">
        <v>-4928</v>
      </c>
      <c r="AG1750" s="9" t="n">
        <v>11035</v>
      </c>
      <c r="AH1750" s="10" t="n">
        <v>-889</v>
      </c>
      <c r="AI1750" s="10" t="n">
        <v>-1120</v>
      </c>
      <c r="AJ1750" s="11" t="n">
        <v>25950</v>
      </c>
      <c r="AK1750" s="12" t="n">
        <v>583</v>
      </c>
      <c r="AL1750" s="12" t="n">
        <v>383</v>
      </c>
      <c r="AM1750" s="13" t="n">
        <v>135.2</v>
      </c>
      <c r="AN1750" s="13" t="n">
        <v>64.59999999999999</v>
      </c>
      <c r="AO1750" s="13" t="n">
        <v>165.6</v>
      </c>
      <c r="AP1750" s="13" t="n">
        <v>3786.7</v>
      </c>
    </row>
    <row r="1751">
      <c r="A1751" s="5" t="inlineStr">
        <is>
          <t>디바이스</t>
        </is>
      </c>
      <c r="B1751" s="6" t="inlineStr">
        <is>
          <t>187870</t>
        </is>
      </c>
      <c r="C1751" s="6" t="inlineStr">
        <is>
          <t>연결</t>
        </is>
      </c>
      <c r="D1751" s="6" t="inlineStr">
        <is>
          <t>2026Q2</t>
        </is>
      </c>
      <c r="E1751" s="6" t="inlineStr"/>
      <c r="F1751" s="7" t="inlineStr"/>
      <c r="G1751" s="8" t="inlineStr"/>
      <c r="H1751" s="8" t="inlineStr"/>
      <c r="I1751" s="9" t="n">
        <v>7965</v>
      </c>
      <c r="J1751" s="10" t="n">
        <v>539</v>
      </c>
      <c r="K1751" s="10" t="n">
        <v>1038</v>
      </c>
      <c r="L1751" s="7" t="n">
        <v>7675</v>
      </c>
      <c r="M1751" s="8" t="n">
        <v>-3185</v>
      </c>
      <c r="N1751" s="8" t="n">
        <v>-981</v>
      </c>
      <c r="O1751" s="9" t="n">
        <v>5318</v>
      </c>
      <c r="P1751" s="10" t="n">
        <v>-1128</v>
      </c>
      <c r="Q1751" s="10" t="n">
        <v>-1599</v>
      </c>
      <c r="R1751" s="7" t="n">
        <v>26202</v>
      </c>
      <c r="S1751" s="8" t="n">
        <v>7996</v>
      </c>
      <c r="T1751" s="8" t="n">
        <v>9342</v>
      </c>
      <c r="U1751" s="9" t="n">
        <v>8638</v>
      </c>
      <c r="V1751" s="10" t="n">
        <v>-779</v>
      </c>
      <c r="W1751" s="10" t="n">
        <v>-307</v>
      </c>
      <c r="X1751" s="7" t="n">
        <v>9207</v>
      </c>
      <c r="Y1751" s="8" t="n">
        <v>2204</v>
      </c>
      <c r="Z1751" s="8" t="n">
        <v>1035</v>
      </c>
      <c r="AA1751" s="9" t="n">
        <v>39194</v>
      </c>
      <c r="AB1751" s="10" t="n">
        <v>13326</v>
      </c>
      <c r="AC1751" s="10" t="n">
        <v>11964</v>
      </c>
      <c r="AD1751" s="7" t="n">
        <v>27044</v>
      </c>
      <c r="AE1751" s="8" t="n">
        <v>2583</v>
      </c>
      <c r="AF1751" s="8" t="n">
        <v>4232</v>
      </c>
      <c r="AG1751" s="9" t="n">
        <v>31092</v>
      </c>
      <c r="AH1751" s="10" t="n">
        <v>12284</v>
      </c>
      <c r="AI1751" s="10" t="n">
        <v>11058</v>
      </c>
      <c r="AJ1751" s="11" t="n">
        <v>23336</v>
      </c>
      <c r="AK1751" s="12" t="n">
        <v>7747</v>
      </c>
      <c r="AL1751" s="12" t="n">
        <v>8048</v>
      </c>
      <c r="AM1751" s="13" t="n">
        <v>-24.9</v>
      </c>
      <c r="AN1751" s="13" t="n">
        <v>153.5</v>
      </c>
      <c r="AO1751" s="13" t="n">
        <v>-36.9</v>
      </c>
      <c r="AP1751" s="13" t="n">
        <v>251.5</v>
      </c>
    </row>
    <row r="1752">
      <c r="A1752" s="5" t="inlineStr">
        <is>
          <t>바이오포트</t>
        </is>
      </c>
      <c r="B1752" s="6" t="inlineStr">
        <is>
          <t>188040</t>
        </is>
      </c>
      <c r="C1752" s="6" t="inlineStr">
        <is>
          <t>연결</t>
        </is>
      </c>
      <c r="D1752" s="6" t="inlineStr">
        <is>
          <t>2026Q2</t>
        </is>
      </c>
      <c r="E1752" s="6" t="inlineStr"/>
      <c r="F1752" s="7" t="inlineStr"/>
      <c r="G1752" s="8" t="inlineStr"/>
      <c r="H1752" s="8" t="inlineStr"/>
      <c r="I1752" s="9" t="inlineStr"/>
      <c r="J1752" s="10" t="inlineStr"/>
      <c r="K1752" s="10" t="inlineStr"/>
      <c r="L1752" s="7" t="inlineStr"/>
      <c r="M1752" s="8" t="inlineStr"/>
      <c r="N1752" s="8" t="inlineStr"/>
      <c r="O1752" s="9" t="inlineStr"/>
      <c r="P1752" s="10" t="inlineStr"/>
      <c r="Q1752" s="10" t="inlineStr"/>
      <c r="R1752" s="7" t="inlineStr"/>
      <c r="S1752" s="8" t="inlineStr"/>
      <c r="T1752" s="8" t="inlineStr"/>
      <c r="U1752" s="9" t="inlineStr"/>
      <c r="V1752" s="10" t="inlineStr"/>
      <c r="W1752" s="10" t="inlineStr"/>
      <c r="X1752" s="7" t="n">
        <v>19226</v>
      </c>
      <c r="Y1752" s="8" t="n">
        <v>747</v>
      </c>
      <c r="Z1752" s="8" t="n">
        <v>-2010</v>
      </c>
      <c r="AA1752" s="9" t="n">
        <v>19062</v>
      </c>
      <c r="AB1752" s="10" t="n">
        <v>525</v>
      </c>
      <c r="AC1752" s="10" t="n">
        <v>528</v>
      </c>
      <c r="AD1752" s="7" t="inlineStr"/>
      <c r="AE1752" s="8" t="inlineStr"/>
      <c r="AF1752" s="8" t="inlineStr"/>
      <c r="AG1752" s="9" t="n">
        <v>21385</v>
      </c>
      <c r="AH1752" s="10" t="n">
        <v>765</v>
      </c>
      <c r="AI1752" s="10" t="n">
        <v>710</v>
      </c>
      <c r="AJ1752" s="11" t="n">
        <v>21804</v>
      </c>
      <c r="AK1752" s="12" t="n">
        <v>1526</v>
      </c>
      <c r="AL1752" s="12" t="n">
        <v>1683</v>
      </c>
      <c r="AM1752" s="13" t="n">
        <v>2</v>
      </c>
      <c r="AN1752" s="13" t="n">
        <v>13.4</v>
      </c>
      <c r="AO1752" s="13" t="n">
        <v>99.5</v>
      </c>
      <c r="AP1752" s="13" t="n">
        <v>104.3</v>
      </c>
    </row>
    <row r="1753">
      <c r="A1753" s="5" t="inlineStr">
        <is>
          <t>세니젠</t>
        </is>
      </c>
      <c r="B1753" s="6" t="inlineStr">
        <is>
          <t>188260</t>
        </is>
      </c>
      <c r="C1753" s="6" t="inlineStr">
        <is>
          <t>별도</t>
        </is>
      </c>
      <c r="D1753" s="6" t="inlineStr">
        <is>
          <t>2026Q2</t>
        </is>
      </c>
      <c r="E1753" s="6" t="inlineStr"/>
      <c r="F1753" s="7" t="inlineStr"/>
      <c r="G1753" s="8" t="inlineStr"/>
      <c r="H1753" s="8" t="inlineStr"/>
      <c r="I1753" s="9" t="n">
        <v>4731</v>
      </c>
      <c r="J1753" s="10" t="n">
        <v>-1591</v>
      </c>
      <c r="K1753" s="10" t="n">
        <v>-1565</v>
      </c>
      <c r="L1753" s="7" t="n">
        <v>5681</v>
      </c>
      <c r="M1753" s="8" t="n">
        <v>-1348</v>
      </c>
      <c r="N1753" s="8" t="n">
        <v>-1332</v>
      </c>
      <c r="O1753" s="9" t="n">
        <v>6586</v>
      </c>
      <c r="P1753" s="10" t="n">
        <v>-1102</v>
      </c>
      <c r="Q1753" s="10" t="n">
        <v>-1121</v>
      </c>
      <c r="R1753" s="7" t="n">
        <v>-1570</v>
      </c>
      <c r="S1753" s="8" t="n">
        <v>-1834</v>
      </c>
      <c r="T1753" s="8" t="n">
        <v>-2537</v>
      </c>
      <c r="U1753" s="9" t="n">
        <v>7676</v>
      </c>
      <c r="V1753" s="10" t="n">
        <v>-891</v>
      </c>
      <c r="W1753" s="10" t="n">
        <v>-904</v>
      </c>
      <c r="X1753" s="7" t="n">
        <v>8567</v>
      </c>
      <c r="Y1753" s="8" t="n">
        <v>-791</v>
      </c>
      <c r="Z1753" s="8" t="n">
        <v>-812</v>
      </c>
      <c r="AA1753" s="9" t="n">
        <v>4050</v>
      </c>
      <c r="AB1753" s="10" t="n">
        <v>-908</v>
      </c>
      <c r="AC1753" s="10" t="n">
        <v>-937</v>
      </c>
      <c r="AD1753" s="7" t="n">
        <v>-4939</v>
      </c>
      <c r="AE1753" s="8" t="n">
        <v>-1784</v>
      </c>
      <c r="AF1753" s="8" t="n">
        <v>-3167</v>
      </c>
      <c r="AG1753" s="9" t="n">
        <v>3310</v>
      </c>
      <c r="AH1753" s="10" t="n">
        <v>-872</v>
      </c>
      <c r="AI1753" s="10" t="n">
        <v>-898</v>
      </c>
      <c r="AJ1753" s="11" t="n">
        <v>3813</v>
      </c>
      <c r="AK1753" s="12" t="n">
        <v>-405</v>
      </c>
      <c r="AL1753" s="12" t="n">
        <v>-145</v>
      </c>
      <c r="AM1753" s="13" t="n">
        <v>15.2</v>
      </c>
      <c r="AN1753" s="13" t="n">
        <v>-55.5</v>
      </c>
      <c r="AO1753" s="13" t="n">
        <v>53.6</v>
      </c>
      <c r="AP1753" s="13" t="n">
        <v>48.8</v>
      </c>
    </row>
    <row r="1754">
      <c r="A1754" s="5" t="inlineStr">
        <is>
          <t>인텔리안테크</t>
        </is>
      </c>
      <c r="B1754" s="6" t="inlineStr">
        <is>
          <t>189300</t>
        </is>
      </c>
      <c r="C1754" s="6" t="inlineStr">
        <is>
          <t>연결</t>
        </is>
      </c>
      <c r="D1754" s="6" t="inlineStr">
        <is>
          <t>2026Q2</t>
        </is>
      </c>
      <c r="E1754" s="6" t="inlineStr"/>
      <c r="F1754" s="7" t="inlineStr"/>
      <c r="G1754" s="8" t="inlineStr"/>
      <c r="H1754" s="8" t="inlineStr"/>
      <c r="I1754" s="9" t="n">
        <v>46698</v>
      </c>
      <c r="J1754" s="10" t="n">
        <v>-9346</v>
      </c>
      <c r="K1754" s="10" t="n">
        <v>-4872</v>
      </c>
      <c r="L1754" s="7" t="n">
        <v>71699</v>
      </c>
      <c r="M1754" s="8" t="n">
        <v>910</v>
      </c>
      <c r="N1754" s="8" t="n">
        <v>2655</v>
      </c>
      <c r="O1754" s="9" t="n">
        <v>62361</v>
      </c>
      <c r="P1754" s="10" t="n">
        <v>-5735</v>
      </c>
      <c r="Q1754" s="10" t="n">
        <v>-12118</v>
      </c>
      <c r="R1754" s="7" t="n">
        <v>77011</v>
      </c>
      <c r="S1754" s="8" t="n">
        <v>-5273</v>
      </c>
      <c r="T1754" s="8" t="n">
        <v>11323</v>
      </c>
      <c r="U1754" s="9" t="n">
        <v>43350</v>
      </c>
      <c r="V1754" s="10" t="n">
        <v>-12039</v>
      </c>
      <c r="W1754" s="10" t="n">
        <v>-14132</v>
      </c>
      <c r="X1754" s="7" t="n">
        <v>74736</v>
      </c>
      <c r="Y1754" s="8" t="n">
        <v>1763</v>
      </c>
      <c r="Z1754" s="8" t="n">
        <v>-4068</v>
      </c>
      <c r="AA1754" s="9" t="n">
        <v>77226</v>
      </c>
      <c r="AB1754" s="10" t="n">
        <v>2373</v>
      </c>
      <c r="AC1754" s="10" t="n">
        <v>3359</v>
      </c>
      <c r="AD1754" s="7" t="n">
        <v>124316</v>
      </c>
      <c r="AE1754" s="8" t="n">
        <v>19857</v>
      </c>
      <c r="AF1754" s="8" t="n">
        <v>22305</v>
      </c>
      <c r="AG1754" s="9" t="n">
        <v>64724</v>
      </c>
      <c r="AH1754" s="10" t="n">
        <v>593</v>
      </c>
      <c r="AI1754" s="10" t="n">
        <v>13472</v>
      </c>
      <c r="AJ1754" s="11" t="n">
        <v>97246</v>
      </c>
      <c r="AK1754" s="12" t="n">
        <v>7136</v>
      </c>
      <c r="AL1754" s="12" t="n">
        <v>4745</v>
      </c>
      <c r="AM1754" s="13" t="n">
        <v>50.2</v>
      </c>
      <c r="AN1754" s="13" t="n">
        <v>30.1</v>
      </c>
      <c r="AO1754" s="13" t="n">
        <v>1103.4</v>
      </c>
      <c r="AP1754" s="13" t="n">
        <v>304.8</v>
      </c>
    </row>
    <row r="1755">
      <c r="A1755" s="5" t="inlineStr">
        <is>
          <t>씨이랩</t>
        </is>
      </c>
      <c r="B1755" s="6" t="inlineStr">
        <is>
          <t>189330</t>
        </is>
      </c>
      <c r="C1755" s="6" t="inlineStr">
        <is>
          <t>연결</t>
        </is>
      </c>
      <c r="D1755" s="6" t="inlineStr">
        <is>
          <t>2026Q2</t>
        </is>
      </c>
      <c r="E1755" s="6" t="inlineStr"/>
      <c r="F1755" s="7" t="inlineStr"/>
      <c r="G1755" s="8" t="inlineStr"/>
      <c r="H1755" s="8" t="inlineStr"/>
      <c r="I1755" s="9" t="n">
        <v>2290</v>
      </c>
      <c r="J1755" s="10" t="n">
        <v>-1948</v>
      </c>
      <c r="K1755" s="10" t="n">
        <v>-1918</v>
      </c>
      <c r="L1755" s="7" t="n">
        <v>348</v>
      </c>
      <c r="M1755" s="8" t="n">
        <v>-1905</v>
      </c>
      <c r="N1755" s="8" t="n">
        <v>-1872</v>
      </c>
      <c r="O1755" s="9" t="n">
        <v>2601</v>
      </c>
      <c r="P1755" s="10" t="n">
        <v>-1150</v>
      </c>
      <c r="Q1755" s="10" t="n">
        <v>-1145</v>
      </c>
      <c r="R1755" s="7" t="n">
        <v>3854</v>
      </c>
      <c r="S1755" s="8" t="n">
        <v>-282</v>
      </c>
      <c r="T1755" s="8" t="n">
        <v>-252</v>
      </c>
      <c r="U1755" s="9" t="n">
        <v>784</v>
      </c>
      <c r="V1755" s="10" t="n">
        <v>-1070</v>
      </c>
      <c r="W1755" s="10" t="n">
        <v>-841</v>
      </c>
      <c r="X1755" s="7" t="n">
        <v>716</v>
      </c>
      <c r="Y1755" s="8" t="n">
        <v>-1245</v>
      </c>
      <c r="Z1755" s="8" t="n">
        <v>-1236</v>
      </c>
      <c r="AA1755" s="9" t="n">
        <v>3839</v>
      </c>
      <c r="AB1755" s="10" t="n">
        <v>-662</v>
      </c>
      <c r="AC1755" s="10" t="n">
        <v>-595</v>
      </c>
      <c r="AD1755" s="7" t="n">
        <v>4933</v>
      </c>
      <c r="AE1755" s="8" t="n">
        <v>-248</v>
      </c>
      <c r="AF1755" s="8" t="n">
        <v>-447</v>
      </c>
      <c r="AG1755" s="9" t="n">
        <v>1112</v>
      </c>
      <c r="AH1755" s="10" t="n">
        <v>-1927</v>
      </c>
      <c r="AI1755" s="10" t="n">
        <v>-1763</v>
      </c>
      <c r="AJ1755" s="11" t="n">
        <v>2014</v>
      </c>
      <c r="AK1755" s="12" t="n">
        <v>-2720</v>
      </c>
      <c r="AL1755" s="12" t="n">
        <v>-2571</v>
      </c>
      <c r="AM1755" s="13" t="n">
        <v>81.09999999999999</v>
      </c>
      <c r="AN1755" s="13" t="n">
        <v>181.3</v>
      </c>
      <c r="AO1755" s="13" t="n">
        <v>-41.2</v>
      </c>
      <c r="AP1755" s="13" t="n">
        <v>-118.5</v>
      </c>
    </row>
    <row r="1756">
      <c r="A1756" s="5" t="inlineStr">
        <is>
          <t>포시에스</t>
        </is>
      </c>
      <c r="B1756" s="6" t="inlineStr">
        <is>
          <t>189690</t>
        </is>
      </c>
      <c r="C1756" s="6" t="inlineStr">
        <is>
          <t>연결</t>
        </is>
      </c>
      <c r="D1756" s="6" t="inlineStr">
        <is>
          <t>2025Q4</t>
        </is>
      </c>
      <c r="E1756" s="6" t="inlineStr"/>
      <c r="F1756" s="7" t="inlineStr"/>
      <c r="G1756" s="8" t="inlineStr"/>
      <c r="H1756" s="8" t="inlineStr"/>
      <c r="I1756" s="9" t="n">
        <v>9410</v>
      </c>
      <c r="J1756" s="10" t="n">
        <v>400</v>
      </c>
      <c r="K1756" s="10" t="n">
        <v>560</v>
      </c>
      <c r="L1756" s="7" t="n">
        <v>10626</v>
      </c>
      <c r="M1756" s="8" t="n">
        <v>3771</v>
      </c>
      <c r="N1756" s="8" t="n">
        <v>4450</v>
      </c>
      <c r="O1756" s="9" t="n">
        <v>5877</v>
      </c>
      <c r="P1756" s="10" t="n">
        <v>-346</v>
      </c>
      <c r="Q1756" s="10" t="n">
        <v>-297</v>
      </c>
      <c r="R1756" s="7" t="n">
        <v>5389</v>
      </c>
      <c r="S1756" s="8" t="n">
        <v>693</v>
      </c>
      <c r="T1756" s="8" t="n">
        <v>6</v>
      </c>
      <c r="U1756" s="9" t="n">
        <v>7548</v>
      </c>
      <c r="V1756" s="10" t="n">
        <v>98</v>
      </c>
      <c r="W1756" s="10" t="n">
        <v>310</v>
      </c>
      <c r="X1756" s="7" t="n">
        <v>12610</v>
      </c>
      <c r="Y1756" s="8" t="n">
        <v>3997</v>
      </c>
      <c r="Z1756" s="8" t="n">
        <v>4641</v>
      </c>
      <c r="AA1756" s="9" t="n">
        <v>5750</v>
      </c>
      <c r="AB1756" s="10" t="n">
        <v>-474</v>
      </c>
      <c r="AC1756" s="10" t="n">
        <v>-483</v>
      </c>
      <c r="AD1756" s="7" t="n">
        <v>6981</v>
      </c>
      <c r="AE1756" s="8" t="n">
        <v>778</v>
      </c>
      <c r="AF1756" s="8" t="n">
        <v>77</v>
      </c>
      <c r="AG1756" s="9" t="inlineStr"/>
      <c r="AH1756" s="10" t="inlineStr"/>
      <c r="AI1756" s="10" t="inlineStr"/>
      <c r="AJ1756" s="11" t="inlineStr"/>
      <c r="AK1756" s="12" t="inlineStr"/>
      <c r="AL1756" s="12" t="inlineStr"/>
      <c r="AM1756" s="13" t="inlineStr"/>
      <c r="AN1756" s="13" t="inlineStr"/>
      <c r="AO1756" s="13" t="inlineStr"/>
      <c r="AP1756" s="13" t="inlineStr"/>
    </row>
    <row r="1757">
      <c r="A1757" s="5" t="inlineStr">
        <is>
          <t>서전기전</t>
        </is>
      </c>
      <c r="B1757" s="6" t="inlineStr">
        <is>
          <t>189860</t>
        </is>
      </c>
      <c r="C1757" s="6" t="inlineStr">
        <is>
          <t>별도</t>
        </is>
      </c>
      <c r="D1757" s="6" t="inlineStr">
        <is>
          <t>2026Q2</t>
        </is>
      </c>
      <c r="E1757" s="6" t="inlineStr"/>
      <c r="F1757" s="7" t="inlineStr"/>
      <c r="G1757" s="8" t="inlineStr"/>
      <c r="H1757" s="8" t="inlineStr"/>
      <c r="I1757" s="9" t="n">
        <v>5251</v>
      </c>
      <c r="J1757" s="10" t="n">
        <v>-3860</v>
      </c>
      <c r="K1757" s="10" t="n">
        <v>-3895</v>
      </c>
      <c r="L1757" s="7" t="n">
        <v>9616</v>
      </c>
      <c r="M1757" s="8" t="n">
        <v>-3711</v>
      </c>
      <c r="N1757" s="8" t="n">
        <v>-3647</v>
      </c>
      <c r="O1757" s="9" t="n">
        <v>15468</v>
      </c>
      <c r="P1757" s="10" t="n">
        <v>-3176</v>
      </c>
      <c r="Q1757" s="10" t="n">
        <v>-3207</v>
      </c>
      <c r="R1757" s="7" t="n">
        <v>33001</v>
      </c>
      <c r="S1757" s="8" t="n">
        <v>11359</v>
      </c>
      <c r="T1757" s="8" t="n">
        <v>11832</v>
      </c>
      <c r="U1757" s="9" t="n">
        <v>4403</v>
      </c>
      <c r="V1757" s="10" t="n">
        <v>-4627</v>
      </c>
      <c r="W1757" s="10" t="n">
        <v>-4693</v>
      </c>
      <c r="X1757" s="7" t="n">
        <v>11152</v>
      </c>
      <c r="Y1757" s="8" t="n">
        <v>-4089</v>
      </c>
      <c r="Z1757" s="8" t="n">
        <v>-4032</v>
      </c>
      <c r="AA1757" s="9" t="n">
        <v>20269</v>
      </c>
      <c r="AB1757" s="10" t="inlineStr"/>
      <c r="AC1757" s="10" t="n">
        <v>18114</v>
      </c>
      <c r="AD1757" s="7" t="n">
        <v>32283</v>
      </c>
      <c r="AE1757" s="8" t="inlineStr"/>
      <c r="AF1757" s="8" t="n">
        <v>-2450</v>
      </c>
      <c r="AG1757" s="9" t="n">
        <v>7441</v>
      </c>
      <c r="AH1757" s="10" t="n">
        <v>-4160</v>
      </c>
      <c r="AI1757" s="10" t="n">
        <v>-4117</v>
      </c>
      <c r="AJ1757" s="11" t="n">
        <v>12043</v>
      </c>
      <c r="AK1757" s="12" t="n">
        <v>-948</v>
      </c>
      <c r="AL1757" s="12" t="n">
        <v>-915</v>
      </c>
      <c r="AM1757" s="13" t="n">
        <v>61.8</v>
      </c>
      <c r="AN1757" s="13" t="n">
        <v>8</v>
      </c>
      <c r="AO1757" s="13" t="n">
        <v>77.2</v>
      </c>
      <c r="AP1757" s="13" t="n">
        <v>76.8</v>
      </c>
    </row>
    <row r="1758">
      <c r="A1758" s="5" t="inlineStr">
        <is>
          <t>흥국에프엔비</t>
        </is>
      </c>
      <c r="B1758" s="6" t="inlineStr">
        <is>
          <t>189980</t>
        </is>
      </c>
      <c r="C1758" s="6" t="inlineStr">
        <is>
          <t>연결</t>
        </is>
      </c>
      <c r="D1758" s="6" t="inlineStr">
        <is>
          <t>2026Q2</t>
        </is>
      </c>
      <c r="E1758" s="6" t="inlineStr">
        <is>
          <t>2023Q4</t>
        </is>
      </c>
      <c r="F1758" s="14" t="n">
        <v>19748</v>
      </c>
      <c r="G1758" s="15" t="n">
        <v>669</v>
      </c>
      <c r="H1758" s="15" t="n">
        <v>1553</v>
      </c>
      <c r="I1758" s="9" t="n">
        <v>22507</v>
      </c>
      <c r="J1758" s="10" t="n">
        <v>1846</v>
      </c>
      <c r="K1758" s="10" t="n">
        <v>837</v>
      </c>
      <c r="L1758" s="7" t="n">
        <v>29393</v>
      </c>
      <c r="M1758" s="8" t="n">
        <v>3623</v>
      </c>
      <c r="N1758" s="8" t="n">
        <v>1949</v>
      </c>
      <c r="O1758" s="9" t="n">
        <v>25628</v>
      </c>
      <c r="P1758" s="10" t="n">
        <v>3515</v>
      </c>
      <c r="Q1758" s="10" t="n">
        <v>2596</v>
      </c>
      <c r="R1758" s="7" t="n">
        <v>25096</v>
      </c>
      <c r="S1758" s="8" t="n">
        <v>1758</v>
      </c>
      <c r="T1758" s="8" t="n">
        <v>-185</v>
      </c>
      <c r="U1758" s="9" t="n">
        <v>24273</v>
      </c>
      <c r="V1758" s="10" t="n">
        <v>2191</v>
      </c>
      <c r="W1758" s="10" t="n">
        <v>1410</v>
      </c>
      <c r="X1758" s="7" t="n">
        <v>25360</v>
      </c>
      <c r="Y1758" s="8" t="n">
        <v>2812</v>
      </c>
      <c r="Z1758" s="8" t="n">
        <v>2652</v>
      </c>
      <c r="AA1758" s="9" t="n">
        <v>28576</v>
      </c>
      <c r="AB1758" s="10" t="n">
        <v>3047</v>
      </c>
      <c r="AC1758" s="10" t="n">
        <v>1848</v>
      </c>
      <c r="AD1758" s="7" t="n">
        <v>21169</v>
      </c>
      <c r="AE1758" s="8" t="n">
        <v>482</v>
      </c>
      <c r="AF1758" s="8" t="n">
        <v>2077</v>
      </c>
      <c r="AG1758" s="9" t="n">
        <v>20806</v>
      </c>
      <c r="AH1758" s="10" t="n">
        <v>1009</v>
      </c>
      <c r="AI1758" s="10" t="n">
        <v>153</v>
      </c>
      <c r="AJ1758" s="11" t="n">
        <v>26092</v>
      </c>
      <c r="AK1758" s="12" t="n">
        <v>1428</v>
      </c>
      <c r="AL1758" s="12" t="n">
        <v>492</v>
      </c>
      <c r="AM1758" s="13" t="n">
        <v>25.4</v>
      </c>
      <c r="AN1758" s="13" t="n">
        <v>2.9</v>
      </c>
      <c r="AO1758" s="13" t="n">
        <v>41.5</v>
      </c>
      <c r="AP1758" s="13" t="n">
        <v>-49.2</v>
      </c>
    </row>
    <row r="1759">
      <c r="A1759" s="5" t="inlineStr">
        <is>
          <t>나무가</t>
        </is>
      </c>
      <c r="B1759" s="6" t="inlineStr">
        <is>
          <t>190510</t>
        </is>
      </c>
      <c r="C1759" s="6" t="inlineStr">
        <is>
          <t>연결</t>
        </is>
      </c>
      <c r="D1759" s="6" t="inlineStr">
        <is>
          <t>2026Q2</t>
        </is>
      </c>
      <c r="E1759" s="6" t="inlineStr"/>
      <c r="F1759" s="7" t="inlineStr"/>
      <c r="G1759" s="8" t="inlineStr"/>
      <c r="H1759" s="8" t="inlineStr"/>
      <c r="I1759" s="9" t="n">
        <v>116157</v>
      </c>
      <c r="J1759" s="10" t="n">
        <v>7545</v>
      </c>
      <c r="K1759" s="10" t="n">
        <v>9741</v>
      </c>
      <c r="L1759" s="7" t="n">
        <v>111668</v>
      </c>
      <c r="M1759" s="8" t="n">
        <v>3616</v>
      </c>
      <c r="N1759" s="8" t="n">
        <v>4429</v>
      </c>
      <c r="O1759" s="9" t="n">
        <v>118281</v>
      </c>
      <c r="P1759" s="10" t="n">
        <v>5562</v>
      </c>
      <c r="Q1759" s="10" t="n">
        <v>3601</v>
      </c>
      <c r="R1759" s="7" t="n">
        <v>104257</v>
      </c>
      <c r="S1759" s="8" t="n">
        <v>4226</v>
      </c>
      <c r="T1759" s="8" t="n">
        <v>8345</v>
      </c>
      <c r="U1759" s="9" t="n">
        <v>140498</v>
      </c>
      <c r="V1759" s="10" t="n">
        <v>9416</v>
      </c>
      <c r="W1759" s="10" t="n">
        <v>9333</v>
      </c>
      <c r="X1759" s="7" t="n">
        <v>110603</v>
      </c>
      <c r="Y1759" s="8" t="n">
        <v>7684</v>
      </c>
      <c r="Z1759" s="8" t="n">
        <v>3185</v>
      </c>
      <c r="AA1759" s="9" t="n">
        <v>112728</v>
      </c>
      <c r="AB1759" s="10" t="n">
        <v>7456</v>
      </c>
      <c r="AC1759" s="10" t="n">
        <v>8963</v>
      </c>
      <c r="AD1759" s="7" t="n">
        <v>96051</v>
      </c>
      <c r="AE1759" s="8" t="n">
        <v>3629</v>
      </c>
      <c r="AF1759" s="8" t="n">
        <v>3634</v>
      </c>
      <c r="AG1759" s="9" t="n">
        <v>97890</v>
      </c>
      <c r="AH1759" s="10" t="n">
        <v>3880</v>
      </c>
      <c r="AI1759" s="10" t="n">
        <v>4499</v>
      </c>
      <c r="AJ1759" s="11" t="n">
        <v>93207</v>
      </c>
      <c r="AK1759" s="12" t="n">
        <v>2152</v>
      </c>
      <c r="AL1759" s="12" t="n">
        <v>2283</v>
      </c>
      <c r="AM1759" s="13" t="n">
        <v>-4.8</v>
      </c>
      <c r="AN1759" s="13" t="n">
        <v>-15.7</v>
      </c>
      <c r="AO1759" s="13" t="n">
        <v>-44.5</v>
      </c>
      <c r="AP1759" s="13" t="n">
        <v>-72</v>
      </c>
    </row>
    <row r="1760">
      <c r="A1760" s="5" t="inlineStr">
        <is>
          <t>코리아에셋투자증권</t>
        </is>
      </c>
      <c r="B1760" s="6" t="inlineStr">
        <is>
          <t>190650</t>
        </is>
      </c>
      <c r="C1760" s="6" t="inlineStr">
        <is>
          <t>별도</t>
        </is>
      </c>
      <c r="D1760" s="6" t="inlineStr">
        <is>
          <t>2026Q1</t>
        </is>
      </c>
      <c r="E1760" s="6" t="inlineStr"/>
      <c r="F1760" s="7" t="inlineStr"/>
      <c r="G1760" s="8" t="inlineStr"/>
      <c r="H1760" s="8" t="inlineStr"/>
      <c r="I1760" s="9" t="n">
        <v>58961</v>
      </c>
      <c r="J1760" s="10" t="n">
        <v>2345</v>
      </c>
      <c r="K1760" s="10" t="n">
        <v>1582</v>
      </c>
      <c r="L1760" s="7" t="n">
        <v>65233</v>
      </c>
      <c r="M1760" s="8" t="n">
        <v>1601</v>
      </c>
      <c r="N1760" s="8" t="n">
        <v>2308</v>
      </c>
      <c r="O1760" s="9" t="n">
        <v>82206</v>
      </c>
      <c r="P1760" s="10" t="n">
        <v>1559</v>
      </c>
      <c r="Q1760" s="10" t="n">
        <v>1273</v>
      </c>
      <c r="R1760" s="7" t="n">
        <v>10858</v>
      </c>
      <c r="S1760" s="8" t="n">
        <v>2370</v>
      </c>
      <c r="T1760" s="8" t="n">
        <v>644</v>
      </c>
      <c r="U1760" s="9" t="n">
        <v>72380</v>
      </c>
      <c r="V1760" s="10" t="n">
        <v>847</v>
      </c>
      <c r="W1760" s="10" t="n">
        <v>416</v>
      </c>
      <c r="X1760" s="7" t="n">
        <v>59583</v>
      </c>
      <c r="Y1760" s="8" t="n">
        <v>4715</v>
      </c>
      <c r="Z1760" s="8" t="n">
        <v>3301</v>
      </c>
      <c r="AA1760" s="9" t="n">
        <v>63626</v>
      </c>
      <c r="AB1760" s="10" t="n">
        <v>-973</v>
      </c>
      <c r="AC1760" s="10" t="n">
        <v>-941</v>
      </c>
      <c r="AD1760" s="7" t="n">
        <v>72879</v>
      </c>
      <c r="AE1760" s="8" t="n">
        <v>5661</v>
      </c>
      <c r="AF1760" s="8" t="n">
        <v>4955</v>
      </c>
      <c r="AG1760" s="9" t="n">
        <v>70788</v>
      </c>
      <c r="AH1760" s="10" t="n">
        <v>6217</v>
      </c>
      <c r="AI1760" s="10" t="n">
        <v>3594</v>
      </c>
      <c r="AJ1760" s="11" t="inlineStr"/>
      <c r="AK1760" s="12" t="inlineStr"/>
      <c r="AL1760" s="12" t="inlineStr"/>
      <c r="AM1760" s="13" t="inlineStr"/>
      <c r="AN1760" s="13" t="inlineStr"/>
      <c r="AO1760" s="13" t="inlineStr"/>
      <c r="AP1760" s="13" t="inlineStr"/>
    </row>
    <row r="1761">
      <c r="A1761" s="5" t="inlineStr">
        <is>
          <t>육일씨엔에쓰</t>
        </is>
      </c>
      <c r="B1761" s="6" t="inlineStr">
        <is>
          <t>191410</t>
        </is>
      </c>
      <c r="C1761" s="6" t="inlineStr">
        <is>
          <t>연결</t>
        </is>
      </c>
      <c r="D1761" s="6" t="inlineStr">
        <is>
          <t>2026Q2</t>
        </is>
      </c>
      <c r="E1761" s="6" t="inlineStr"/>
      <c r="F1761" s="7" t="inlineStr"/>
      <c r="G1761" s="8" t="inlineStr"/>
      <c r="H1761" s="8" t="inlineStr"/>
      <c r="I1761" s="9" t="n">
        <v>7013</v>
      </c>
      <c r="J1761" s="10" t="n">
        <v>820</v>
      </c>
      <c r="K1761" s="10" t="n">
        <v>1097</v>
      </c>
      <c r="L1761" s="7" t="n">
        <v>5691</v>
      </c>
      <c r="M1761" s="8" t="n">
        <v>-102</v>
      </c>
      <c r="N1761" s="8" t="n">
        <v>-228</v>
      </c>
      <c r="O1761" s="9" t="n">
        <v>12123</v>
      </c>
      <c r="P1761" s="10" t="n">
        <v>-2261</v>
      </c>
      <c r="Q1761" s="10" t="n">
        <v>-1710</v>
      </c>
      <c r="R1761" s="7" t="n">
        <v>12716</v>
      </c>
      <c r="S1761" s="8" t="n">
        <v>1067</v>
      </c>
      <c r="T1761" s="8" t="n">
        <v>302</v>
      </c>
      <c r="U1761" s="9" t="n">
        <v>19527</v>
      </c>
      <c r="V1761" s="10" t="n">
        <v>775</v>
      </c>
      <c r="W1761" s="10" t="n">
        <v>21</v>
      </c>
      <c r="X1761" s="7" t="n">
        <v>7347</v>
      </c>
      <c r="Y1761" s="8" t="n">
        <v>-924</v>
      </c>
      <c r="Z1761" s="8" t="n">
        <v>-1917</v>
      </c>
      <c r="AA1761" s="9" t="n">
        <v>8207</v>
      </c>
      <c r="AB1761" s="10" t="n">
        <v>-904</v>
      </c>
      <c r="AC1761" s="10" t="n">
        <v>13145</v>
      </c>
      <c r="AD1761" s="7" t="n">
        <v>9754</v>
      </c>
      <c r="AE1761" s="8" t="n">
        <v>-454</v>
      </c>
      <c r="AF1761" s="8" t="n">
        <v>-9633</v>
      </c>
      <c r="AG1761" s="9" t="n">
        <v>10763</v>
      </c>
      <c r="AH1761" s="10" t="n">
        <v>514</v>
      </c>
      <c r="AI1761" s="10" t="n">
        <v>578</v>
      </c>
      <c r="AJ1761" s="11" t="n">
        <v>7794</v>
      </c>
      <c r="AK1761" s="12" t="n">
        <v>-482</v>
      </c>
      <c r="AL1761" s="12" t="n">
        <v>-796</v>
      </c>
      <c r="AM1761" s="13" t="n">
        <v>-27.6</v>
      </c>
      <c r="AN1761" s="13" t="n">
        <v>6.1</v>
      </c>
      <c r="AO1761" s="13" t="n">
        <v>-193.8</v>
      </c>
      <c r="AP1761" s="13" t="n">
        <v>47.8</v>
      </c>
    </row>
    <row r="1762">
      <c r="A1762" s="5" t="inlineStr">
        <is>
          <t>테고사이언스</t>
        </is>
      </c>
      <c r="B1762" s="6" t="inlineStr">
        <is>
          <t>191420</t>
        </is>
      </c>
      <c r="C1762" s="6" t="inlineStr">
        <is>
          <t>연결</t>
        </is>
      </c>
      <c r="D1762" s="6" t="inlineStr">
        <is>
          <t>2026Q2</t>
        </is>
      </c>
      <c r="E1762" s="6" t="inlineStr"/>
      <c r="F1762" s="7" t="inlineStr"/>
      <c r="G1762" s="8" t="inlineStr"/>
      <c r="H1762" s="8" t="inlineStr"/>
      <c r="I1762" s="9" t="n">
        <v>1274</v>
      </c>
      <c r="J1762" s="10" t="n">
        <v>-848</v>
      </c>
      <c r="K1762" s="10" t="n">
        <v>-664</v>
      </c>
      <c r="L1762" s="7" t="n">
        <v>1897</v>
      </c>
      <c r="M1762" s="8" t="n">
        <v>-137</v>
      </c>
      <c r="N1762" s="8" t="n">
        <v>4901</v>
      </c>
      <c r="O1762" s="9" t="n">
        <v>1982</v>
      </c>
      <c r="P1762" s="10" t="n">
        <v>-148</v>
      </c>
      <c r="Q1762" s="10" t="n">
        <v>370</v>
      </c>
      <c r="R1762" s="7" t="n">
        <v>1606</v>
      </c>
      <c r="S1762" s="8" t="n">
        <v>-1097</v>
      </c>
      <c r="T1762" s="8" t="n">
        <v>-1291</v>
      </c>
      <c r="U1762" s="9" t="n">
        <v>1312</v>
      </c>
      <c r="V1762" s="10" t="n">
        <v>-888</v>
      </c>
      <c r="W1762" s="10" t="n">
        <v>-658</v>
      </c>
      <c r="X1762" s="7" t="n">
        <v>1616</v>
      </c>
      <c r="Y1762" s="8" t="n">
        <v>-463</v>
      </c>
      <c r="Z1762" s="8" t="n">
        <v>-338</v>
      </c>
      <c r="AA1762" s="9" t="n">
        <v>1620</v>
      </c>
      <c r="AB1762" s="10" t="n">
        <v>-955</v>
      </c>
      <c r="AC1762" s="10" t="n">
        <v>-981</v>
      </c>
      <c r="AD1762" s="7" t="n">
        <v>1393</v>
      </c>
      <c r="AE1762" s="8" t="n">
        <v>-2118</v>
      </c>
      <c r="AF1762" s="8" t="n">
        <v>-5044</v>
      </c>
      <c r="AG1762" s="9" t="n">
        <v>1198</v>
      </c>
      <c r="AH1762" s="10" t="n">
        <v>-1866</v>
      </c>
      <c r="AI1762" s="10" t="n">
        <v>-2011</v>
      </c>
      <c r="AJ1762" s="11" t="n">
        <v>1970</v>
      </c>
      <c r="AK1762" s="12" t="n">
        <v>-1153</v>
      </c>
      <c r="AL1762" s="12" t="n">
        <v>-4885</v>
      </c>
      <c r="AM1762" s="13" t="n">
        <v>64.40000000000001</v>
      </c>
      <c r="AN1762" s="13" t="n">
        <v>21.9</v>
      </c>
      <c r="AO1762" s="13" t="n">
        <v>38.2</v>
      </c>
      <c r="AP1762" s="13" t="n">
        <v>-149</v>
      </c>
    </row>
    <row r="1763">
      <c r="A1763" s="5" t="inlineStr">
        <is>
          <t>더블유게임즈</t>
        </is>
      </c>
      <c r="B1763" s="6" t="inlineStr">
        <is>
          <t>192080</t>
        </is>
      </c>
      <c r="C1763" s="6" t="inlineStr">
        <is>
          <t>연결</t>
        </is>
      </c>
      <c r="D1763" s="6" t="inlineStr">
        <is>
          <t>2026Q2</t>
        </is>
      </c>
      <c r="E1763" s="6" t="inlineStr">
        <is>
          <t>2023Q4</t>
        </is>
      </c>
      <c r="F1763" s="14" t="n">
        <v>153476</v>
      </c>
      <c r="G1763" s="15" t="n">
        <v>62840</v>
      </c>
      <c r="H1763" s="15" t="n">
        <v>46672</v>
      </c>
      <c r="I1763" s="9" t="n">
        <v>160481</v>
      </c>
      <c r="J1763" s="10" t="n">
        <v>61687</v>
      </c>
      <c r="K1763" s="10" t="n">
        <v>60437</v>
      </c>
      <c r="L1763" s="7" t="n">
        <v>163135</v>
      </c>
      <c r="M1763" s="8" t="n">
        <v>67072</v>
      </c>
      <c r="N1763" s="8" t="n">
        <v>64156</v>
      </c>
      <c r="O1763" s="9" t="n">
        <v>154060</v>
      </c>
      <c r="P1763" s="10" t="n">
        <v>59468</v>
      </c>
      <c r="Q1763" s="10" t="n">
        <v>40851</v>
      </c>
      <c r="R1763" s="7" t="n">
        <v>155798</v>
      </c>
      <c r="S1763" s="8" t="n">
        <v>60507</v>
      </c>
      <c r="T1763" s="8" t="n">
        <v>77877</v>
      </c>
      <c r="U1763" s="9" t="n">
        <v>161980</v>
      </c>
      <c r="V1763" s="10" t="n">
        <v>54754</v>
      </c>
      <c r="W1763" s="10" t="n">
        <v>45798</v>
      </c>
      <c r="X1763" s="7" t="n">
        <v>171946</v>
      </c>
      <c r="Y1763" s="8" t="n">
        <v>54318</v>
      </c>
      <c r="Z1763" s="8" t="n">
        <v>32990</v>
      </c>
      <c r="AA1763" s="9" t="n">
        <v>186154</v>
      </c>
      <c r="AB1763" s="10" t="n">
        <v>59152</v>
      </c>
      <c r="AC1763" s="10" t="n">
        <v>56396</v>
      </c>
      <c r="AD1763" s="7" t="n">
        <v>199817</v>
      </c>
      <c r="AE1763" s="8" t="n">
        <v>63910</v>
      </c>
      <c r="AF1763" s="8" t="n">
        <v>44627</v>
      </c>
      <c r="AG1763" s="9" t="n">
        <v>204987</v>
      </c>
      <c r="AH1763" s="10" t="n">
        <v>68471</v>
      </c>
      <c r="AI1763" s="10" t="n">
        <v>73549</v>
      </c>
      <c r="AJ1763" s="11" t="n">
        <v>210629</v>
      </c>
      <c r="AK1763" s="12" t="n">
        <v>70072</v>
      </c>
      <c r="AL1763" s="12" t="n">
        <v>65033</v>
      </c>
      <c r="AM1763" s="13" t="n">
        <v>2.8</v>
      </c>
      <c r="AN1763" s="13" t="n">
        <v>22.5</v>
      </c>
      <c r="AO1763" s="13" t="n">
        <v>2.3</v>
      </c>
      <c r="AP1763" s="13" t="n">
        <v>29</v>
      </c>
    </row>
    <row r="1764">
      <c r="A1764" s="5" t="inlineStr">
        <is>
          <t>케이사인</t>
        </is>
      </c>
      <c r="B1764" s="6" t="inlineStr">
        <is>
          <t>192250</t>
        </is>
      </c>
      <c r="C1764" s="6" t="inlineStr">
        <is>
          <t>연결</t>
        </is>
      </c>
      <c r="D1764" s="6" t="inlineStr">
        <is>
          <t>2026Q2</t>
        </is>
      </c>
      <c r="E1764" s="6" t="inlineStr"/>
      <c r="F1764" s="7" t="inlineStr"/>
      <c r="G1764" s="8" t="inlineStr"/>
      <c r="H1764" s="8" t="inlineStr"/>
      <c r="I1764" s="9" t="inlineStr"/>
      <c r="J1764" s="10" t="n">
        <v>-644</v>
      </c>
      <c r="K1764" s="10" t="n">
        <v>-1083</v>
      </c>
      <c r="L1764" s="7" t="inlineStr"/>
      <c r="M1764" s="8" t="n">
        <v>-326</v>
      </c>
      <c r="N1764" s="8" t="n">
        <v>-366</v>
      </c>
      <c r="O1764" s="9" t="inlineStr"/>
      <c r="P1764" s="10" t="n">
        <v>936</v>
      </c>
      <c r="Q1764" s="10" t="n">
        <v>332</v>
      </c>
      <c r="R1764" s="7" t="inlineStr"/>
      <c r="S1764" s="8" t="n">
        <v>1340</v>
      </c>
      <c r="T1764" s="8" t="n">
        <v>1551</v>
      </c>
      <c r="U1764" s="9" t="inlineStr"/>
      <c r="V1764" s="10" t="n">
        <v>-940</v>
      </c>
      <c r="W1764" s="10" t="n">
        <v>-1185</v>
      </c>
      <c r="X1764" s="7" t="inlineStr"/>
      <c r="Y1764" s="8" t="n">
        <v>-663</v>
      </c>
      <c r="Z1764" s="8" t="n">
        <v>-530</v>
      </c>
      <c r="AA1764" s="9" t="inlineStr"/>
      <c r="AB1764" s="10" t="n">
        <v>-1482</v>
      </c>
      <c r="AC1764" s="10" t="n">
        <v>-1686</v>
      </c>
      <c r="AD1764" s="7" t="inlineStr"/>
      <c r="AE1764" s="8" t="n">
        <v>5980</v>
      </c>
      <c r="AF1764" s="8" t="n">
        <v>5564</v>
      </c>
      <c r="AG1764" s="9" t="inlineStr"/>
      <c r="AH1764" s="10" t="n">
        <v>241</v>
      </c>
      <c r="AI1764" s="10" t="n">
        <v>327</v>
      </c>
      <c r="AJ1764" s="11" t="inlineStr"/>
      <c r="AK1764" s="12" t="n">
        <v>936</v>
      </c>
      <c r="AL1764" s="12" t="n">
        <v>120</v>
      </c>
      <c r="AM1764" s="13" t="inlineStr"/>
      <c r="AN1764" s="13" t="inlineStr"/>
      <c r="AO1764" s="13" t="n">
        <v>288.4</v>
      </c>
      <c r="AP1764" s="13" t="n">
        <v>241.2</v>
      </c>
    </row>
    <row r="1765">
      <c r="A1765" s="5" t="inlineStr">
        <is>
          <t>윈하이텍</t>
        </is>
      </c>
      <c r="B1765" s="6" t="inlineStr">
        <is>
          <t>192390</t>
        </is>
      </c>
      <c r="C1765" s="6" t="inlineStr">
        <is>
          <t>연결</t>
        </is>
      </c>
      <c r="D1765" s="6" t="inlineStr">
        <is>
          <t>2026Q2</t>
        </is>
      </c>
      <c r="E1765" s="6" t="inlineStr"/>
      <c r="F1765" s="7" t="inlineStr"/>
      <c r="G1765" s="8" t="inlineStr"/>
      <c r="H1765" s="8" t="inlineStr"/>
      <c r="I1765" s="9" t="n">
        <v>31925</v>
      </c>
      <c r="J1765" s="10" t="n">
        <v>4459</v>
      </c>
      <c r="K1765" s="10" t="n">
        <v>3044</v>
      </c>
      <c r="L1765" s="7" t="n">
        <v>35026</v>
      </c>
      <c r="M1765" s="8" t="n">
        <v>6238</v>
      </c>
      <c r="N1765" s="8" t="n">
        <v>5619</v>
      </c>
      <c r="O1765" s="9" t="n">
        <v>25901</v>
      </c>
      <c r="P1765" s="10" t="n">
        <v>3363</v>
      </c>
      <c r="Q1765" s="10" t="n">
        <v>2341</v>
      </c>
      <c r="R1765" s="7" t="n">
        <v>19314</v>
      </c>
      <c r="S1765" s="8" t="n">
        <v>-3028</v>
      </c>
      <c r="T1765" s="8" t="n">
        <v>-3230</v>
      </c>
      <c r="U1765" s="9" t="n">
        <v>19350</v>
      </c>
      <c r="V1765" s="10" t="n">
        <v>-425</v>
      </c>
      <c r="W1765" s="10" t="n">
        <v>-1040</v>
      </c>
      <c r="X1765" s="7" t="n">
        <v>21979</v>
      </c>
      <c r="Y1765" s="8" t="n">
        <v>-830</v>
      </c>
      <c r="Z1765" s="8" t="n">
        <v>-2180</v>
      </c>
      <c r="AA1765" s="9" t="n">
        <v>20612</v>
      </c>
      <c r="AB1765" s="10" t="n">
        <v>-1332</v>
      </c>
      <c r="AC1765" s="10" t="n">
        <v>-1720</v>
      </c>
      <c r="AD1765" s="7" t="n">
        <v>13207</v>
      </c>
      <c r="AE1765" s="8" t="n">
        <v>-1348</v>
      </c>
      <c r="AF1765" s="8" t="n">
        <v>-1750</v>
      </c>
      <c r="AG1765" s="9" t="n">
        <v>14299</v>
      </c>
      <c r="AH1765" s="10" t="n">
        <v>-3095</v>
      </c>
      <c r="AI1765" s="10" t="n">
        <v>-3781</v>
      </c>
      <c r="AJ1765" s="11" t="n">
        <v>17435</v>
      </c>
      <c r="AK1765" s="12" t="n">
        <v>-2471</v>
      </c>
      <c r="AL1765" s="12" t="n">
        <v>-2150</v>
      </c>
      <c r="AM1765" s="13" t="n">
        <v>21.9</v>
      </c>
      <c r="AN1765" s="13" t="n">
        <v>-20.7</v>
      </c>
      <c r="AO1765" s="13" t="n">
        <v>20.2</v>
      </c>
      <c r="AP1765" s="13" t="n">
        <v>-197.7</v>
      </c>
    </row>
    <row r="1766">
      <c r="A1766" s="5" t="inlineStr">
        <is>
          <t>쿠쿠홀딩스</t>
        </is>
      </c>
      <c r="B1766" s="6" t="inlineStr">
        <is>
          <t>192400</t>
        </is>
      </c>
      <c r="C1766" s="6" t="inlineStr">
        <is>
          <t>연결</t>
        </is>
      </c>
      <c r="D1766" s="6" t="inlineStr">
        <is>
          <t>2026Q2</t>
        </is>
      </c>
      <c r="E1766" s="6" t="inlineStr"/>
      <c r="F1766" s="7" t="inlineStr"/>
      <c r="G1766" s="8" t="inlineStr"/>
      <c r="H1766" s="8" t="inlineStr"/>
      <c r="I1766" s="9" t="n">
        <v>207949</v>
      </c>
      <c r="J1766" s="10" t="n">
        <v>25704</v>
      </c>
      <c r="K1766" s="10" t="n">
        <v>32892</v>
      </c>
      <c r="L1766" s="7" t="n">
        <v>183543</v>
      </c>
      <c r="M1766" s="8" t="n">
        <v>17966</v>
      </c>
      <c r="N1766" s="8" t="n">
        <v>33258</v>
      </c>
      <c r="O1766" s="9" t="n">
        <v>203007</v>
      </c>
      <c r="P1766" s="10" t="n">
        <v>22576</v>
      </c>
      <c r="Q1766" s="10" t="n">
        <v>23251</v>
      </c>
      <c r="R1766" s="7" t="n">
        <v>239303</v>
      </c>
      <c r="S1766" s="8" t="n">
        <v>36988</v>
      </c>
      <c r="T1766" s="8" t="n">
        <v>47640</v>
      </c>
      <c r="U1766" s="9" t="n">
        <v>224242</v>
      </c>
      <c r="V1766" s="10" t="n">
        <v>27573</v>
      </c>
      <c r="W1766" s="10" t="n">
        <v>33289</v>
      </c>
      <c r="X1766" s="7" t="n">
        <v>206265</v>
      </c>
      <c r="Y1766" s="8" t="n">
        <v>20352</v>
      </c>
      <c r="Z1766" s="8" t="n">
        <v>19827</v>
      </c>
      <c r="AA1766" s="9" t="n">
        <v>243282</v>
      </c>
      <c r="AB1766" s="10" t="n">
        <v>30323</v>
      </c>
      <c r="AC1766" s="10" t="n">
        <v>38037</v>
      </c>
      <c r="AD1766" s="7" t="n">
        <v>247140</v>
      </c>
      <c r="AE1766" s="8" t="n">
        <v>35761</v>
      </c>
      <c r="AF1766" s="8" t="n">
        <v>54066</v>
      </c>
      <c r="AG1766" s="9" t="n">
        <v>232699</v>
      </c>
      <c r="AH1766" s="10" t="n">
        <v>21982</v>
      </c>
      <c r="AI1766" s="10" t="n">
        <v>39443</v>
      </c>
      <c r="AJ1766" s="11" t="n">
        <v>239965</v>
      </c>
      <c r="AK1766" s="12" t="n">
        <v>31124</v>
      </c>
      <c r="AL1766" s="12" t="n">
        <v>43271</v>
      </c>
      <c r="AM1766" s="13" t="n">
        <v>3.1</v>
      </c>
      <c r="AN1766" s="13" t="n">
        <v>16.3</v>
      </c>
      <c r="AO1766" s="13" t="n">
        <v>41.6</v>
      </c>
      <c r="AP1766" s="13" t="n">
        <v>52.9</v>
      </c>
    </row>
    <row r="1767">
      <c r="A1767" s="5" t="inlineStr">
        <is>
          <t>오늘이엔엠</t>
        </is>
      </c>
      <c r="B1767" s="6" t="inlineStr">
        <is>
          <t>192410</t>
        </is>
      </c>
      <c r="C1767" s="6" t="inlineStr">
        <is>
          <t>연결</t>
        </is>
      </c>
      <c r="D1767" s="6" t="inlineStr">
        <is>
          <t>2026Q2</t>
        </is>
      </c>
      <c r="E1767" s="6" t="inlineStr"/>
      <c r="F1767" s="7" t="inlineStr"/>
      <c r="G1767" s="8" t="inlineStr"/>
      <c r="H1767" s="8" t="inlineStr"/>
      <c r="I1767" s="9" t="n">
        <v>3937</v>
      </c>
      <c r="J1767" s="10" t="n">
        <v>-1537</v>
      </c>
      <c r="K1767" s="10" t="n">
        <v>-3181</v>
      </c>
      <c r="L1767" s="7" t="n">
        <v>3657</v>
      </c>
      <c r="M1767" s="8" t="n">
        <v>-1216</v>
      </c>
      <c r="N1767" s="8" t="n">
        <v>-2306</v>
      </c>
      <c r="O1767" s="9" t="n">
        <v>2615</v>
      </c>
      <c r="P1767" s="10" t="n">
        <v>-1819</v>
      </c>
      <c r="Q1767" s="10" t="n">
        <v>-6902</v>
      </c>
      <c r="R1767" s="7" t="n">
        <v>2811</v>
      </c>
      <c r="S1767" s="8" t="n">
        <v>-1920</v>
      </c>
      <c r="T1767" s="8" t="n">
        <v>-4803</v>
      </c>
      <c r="U1767" s="9" t="n">
        <v>3027</v>
      </c>
      <c r="V1767" s="10" t="n">
        <v>-1081</v>
      </c>
      <c r="W1767" s="10" t="n">
        <v>-6067</v>
      </c>
      <c r="X1767" s="7" t="n">
        <v>4161</v>
      </c>
      <c r="Y1767" s="8" t="n">
        <v>-575</v>
      </c>
      <c r="Z1767" s="8" t="n">
        <v>-48998</v>
      </c>
      <c r="AA1767" s="9" t="n">
        <v>5615</v>
      </c>
      <c r="AB1767" s="10" t="n">
        <v>595</v>
      </c>
      <c r="AC1767" s="10" t="n">
        <v>-13473</v>
      </c>
      <c r="AD1767" s="7" t="n">
        <v>3891</v>
      </c>
      <c r="AE1767" s="8" t="n">
        <v>-787</v>
      </c>
      <c r="AF1767" s="8" t="n">
        <v>-9717</v>
      </c>
      <c r="AG1767" s="9" t="n">
        <v>5117</v>
      </c>
      <c r="AH1767" s="10" t="n">
        <v>-386</v>
      </c>
      <c r="AI1767" s="10" t="n">
        <v>-1239</v>
      </c>
      <c r="AJ1767" s="11" t="n">
        <v>4531</v>
      </c>
      <c r="AK1767" s="12" t="n">
        <v>-1564</v>
      </c>
      <c r="AL1767" s="12" t="n">
        <v>-8110</v>
      </c>
      <c r="AM1767" s="13" t="n">
        <v>-11.5</v>
      </c>
      <c r="AN1767" s="13" t="n">
        <v>8.9</v>
      </c>
      <c r="AO1767" s="13" t="n">
        <v>-305.2</v>
      </c>
      <c r="AP1767" s="13" t="n">
        <v>-172</v>
      </c>
    </row>
    <row r="1768">
      <c r="A1768" s="5" t="inlineStr">
        <is>
          <t>슈피겐코리아</t>
        </is>
      </c>
      <c r="B1768" s="6" t="inlineStr">
        <is>
          <t>192440</t>
        </is>
      </c>
      <c r="C1768" s="6" t="inlineStr">
        <is>
          <t>연결</t>
        </is>
      </c>
      <c r="D1768" s="6" t="inlineStr">
        <is>
          <t>2026Q2</t>
        </is>
      </c>
      <c r="E1768" s="6" t="inlineStr"/>
      <c r="F1768" s="7" t="inlineStr"/>
      <c r="G1768" s="8" t="inlineStr"/>
      <c r="H1768" s="8" t="inlineStr"/>
      <c r="I1768" s="9" t="n">
        <v>108186</v>
      </c>
      <c r="J1768" s="10" t="n">
        <v>7768</v>
      </c>
      <c r="K1768" s="10" t="n">
        <v>8951</v>
      </c>
      <c r="L1768" s="7" t="n">
        <v>96818</v>
      </c>
      <c r="M1768" s="8" t="n">
        <v>1113</v>
      </c>
      <c r="N1768" s="8" t="n">
        <v>2728</v>
      </c>
      <c r="O1768" s="9" t="n">
        <v>132137</v>
      </c>
      <c r="P1768" s="10" t="n">
        <v>7066</v>
      </c>
      <c r="Q1768" s="10" t="n">
        <v>6114</v>
      </c>
      <c r="R1768" s="7" t="n">
        <v>128153</v>
      </c>
      <c r="S1768" s="8" t="n">
        <v>5802</v>
      </c>
      <c r="T1768" s="8" t="n">
        <v>10102</v>
      </c>
      <c r="U1768" s="9" t="n">
        <v>108950</v>
      </c>
      <c r="V1768" s="10" t="n">
        <v>9250</v>
      </c>
      <c r="W1768" s="10" t="n">
        <v>8177</v>
      </c>
      <c r="X1768" s="7" t="n">
        <v>95898</v>
      </c>
      <c r="Y1768" s="8" t="n">
        <v>958</v>
      </c>
      <c r="Z1768" s="8" t="n">
        <v>-1768</v>
      </c>
      <c r="AA1768" s="9" t="n">
        <v>129974</v>
      </c>
      <c r="AB1768" s="10" t="n">
        <v>9190</v>
      </c>
      <c r="AC1768" s="10" t="n">
        <v>12551</v>
      </c>
      <c r="AD1768" s="7" t="n">
        <v>128876</v>
      </c>
      <c r="AE1768" s="8" t="n">
        <v>13815</v>
      </c>
      <c r="AF1768" s="8" t="n">
        <v>10049</v>
      </c>
      <c r="AG1768" s="9" t="n">
        <v>113200</v>
      </c>
      <c r="AH1768" s="10" t="n">
        <v>11237</v>
      </c>
      <c r="AI1768" s="10" t="n">
        <v>14649</v>
      </c>
      <c r="AJ1768" s="11" t="n">
        <v>110317</v>
      </c>
      <c r="AK1768" s="12" t="n">
        <v>12575</v>
      </c>
      <c r="AL1768" s="12" t="n">
        <v>15232</v>
      </c>
      <c r="AM1768" s="13" t="n">
        <v>-2.5</v>
      </c>
      <c r="AN1768" s="13" t="n">
        <v>15</v>
      </c>
      <c r="AO1768" s="13" t="n">
        <v>11.9</v>
      </c>
      <c r="AP1768" s="13" t="n">
        <v>1212.6</v>
      </c>
    </row>
    <row r="1769">
      <c r="A1769" s="5" t="inlineStr">
        <is>
          <t>드림텍</t>
        </is>
      </c>
      <c r="B1769" s="6" t="inlineStr">
        <is>
          <t>192650</t>
        </is>
      </c>
      <c r="C1769" s="6" t="inlineStr">
        <is>
          <t>연결</t>
        </is>
      </c>
      <c r="D1769" s="6" t="inlineStr">
        <is>
          <t>2026Q2</t>
        </is>
      </c>
      <c r="E1769" s="6" t="inlineStr"/>
      <c r="F1769" s="7" t="inlineStr"/>
      <c r="G1769" s="8" t="inlineStr"/>
      <c r="H1769" s="8" t="inlineStr"/>
      <c r="I1769" s="9" t="n">
        <v>284111</v>
      </c>
      <c r="J1769" s="10" t="n">
        <v>11954</v>
      </c>
      <c r="K1769" s="10" t="n">
        <v>11506</v>
      </c>
      <c r="L1769" s="7" t="n">
        <v>266507</v>
      </c>
      <c r="M1769" s="8" t="n">
        <v>2284</v>
      </c>
      <c r="N1769" s="8" t="n">
        <v>8151</v>
      </c>
      <c r="O1769" s="9" t="n">
        <v>329619</v>
      </c>
      <c r="P1769" s="10" t="n">
        <v>7651</v>
      </c>
      <c r="Q1769" s="10" t="n">
        <v>-2630</v>
      </c>
      <c r="R1769" s="7" t="n">
        <v>292444</v>
      </c>
      <c r="S1769" s="8" t="n">
        <v>1665</v>
      </c>
      <c r="T1769" s="8" t="n">
        <v>-4287</v>
      </c>
      <c r="U1769" s="9" t="n">
        <v>341185</v>
      </c>
      <c r="V1769" s="10" t="n">
        <v>9940</v>
      </c>
      <c r="W1769" s="10" t="n">
        <v>5571</v>
      </c>
      <c r="X1769" s="7" t="n">
        <v>291395</v>
      </c>
      <c r="Y1769" s="8" t="n">
        <v>8825</v>
      </c>
      <c r="Z1769" s="8" t="n">
        <v>-2387</v>
      </c>
      <c r="AA1769" s="9" t="n">
        <v>322527</v>
      </c>
      <c r="AB1769" s="10" t="n">
        <v>10555</v>
      </c>
      <c r="AC1769" s="10" t="n">
        <v>5729</v>
      </c>
      <c r="AD1769" s="7" t="n">
        <v>275514</v>
      </c>
      <c r="AE1769" s="8" t="n">
        <v>2053</v>
      </c>
      <c r="AF1769" s="8" t="n">
        <v>4334</v>
      </c>
      <c r="AG1769" s="9" t="n">
        <v>260706</v>
      </c>
      <c r="AH1769" s="10" t="n">
        <v>413</v>
      </c>
      <c r="AI1769" s="10" t="n">
        <v>-4364</v>
      </c>
      <c r="AJ1769" s="11" t="n">
        <v>257336</v>
      </c>
      <c r="AK1769" s="12" t="n">
        <v>105</v>
      </c>
      <c r="AL1769" s="12" t="n">
        <v>-4987</v>
      </c>
      <c r="AM1769" s="13" t="n">
        <v>-1.3</v>
      </c>
      <c r="AN1769" s="13" t="n">
        <v>-11.7</v>
      </c>
      <c r="AO1769" s="13" t="n">
        <v>-74.59999999999999</v>
      </c>
      <c r="AP1769" s="13" t="n">
        <v>-98.8</v>
      </c>
    </row>
    <row r="1770">
      <c r="A1770" s="5" t="inlineStr">
        <is>
          <t>코스맥스</t>
        </is>
      </c>
      <c r="B1770" s="6" t="inlineStr">
        <is>
          <t>192820</t>
        </is>
      </c>
      <c r="C1770" s="6" t="inlineStr">
        <is>
          <t>연결</t>
        </is>
      </c>
      <c r="D1770" s="6" t="inlineStr">
        <is>
          <t>2026Q2</t>
        </is>
      </c>
      <c r="E1770" s="6" t="inlineStr"/>
      <c r="F1770" s="7" t="inlineStr"/>
      <c r="G1770" s="8" t="inlineStr"/>
      <c r="H1770" s="8" t="inlineStr"/>
      <c r="I1770" s="9" t="n">
        <v>526802</v>
      </c>
      <c r="J1770" s="10" t="n">
        <v>45453</v>
      </c>
      <c r="K1770" s="10" t="n">
        <v>19618</v>
      </c>
      <c r="L1770" s="7" t="n">
        <v>551453</v>
      </c>
      <c r="M1770" s="8" t="n">
        <v>46712</v>
      </c>
      <c r="N1770" s="8" t="n">
        <v>35297</v>
      </c>
      <c r="O1770" s="9" t="n">
        <v>529832</v>
      </c>
      <c r="P1770" s="10" t="n">
        <v>43413</v>
      </c>
      <c r="Q1770" s="10" t="n">
        <v>20618</v>
      </c>
      <c r="R1770" s="7" t="n">
        <v>558003</v>
      </c>
      <c r="S1770" s="8" t="n">
        <v>39817</v>
      </c>
      <c r="T1770" s="8" t="n">
        <v>12884</v>
      </c>
      <c r="U1770" s="9" t="n">
        <v>588574</v>
      </c>
      <c r="V1770" s="10" t="n">
        <v>51346</v>
      </c>
      <c r="W1770" s="10" t="n">
        <v>10629</v>
      </c>
      <c r="X1770" s="7" t="n">
        <v>623561</v>
      </c>
      <c r="Y1770" s="8" t="n">
        <v>60813</v>
      </c>
      <c r="Z1770" s="8" t="n">
        <v>21838</v>
      </c>
      <c r="AA1770" s="9" t="n">
        <v>585617</v>
      </c>
      <c r="AB1770" s="10" t="n">
        <v>42727</v>
      </c>
      <c r="AC1770" s="10" t="n">
        <v>10665</v>
      </c>
      <c r="AD1770" s="7" t="n">
        <v>601006</v>
      </c>
      <c r="AE1770" s="8" t="n">
        <v>40906</v>
      </c>
      <c r="AF1770" s="8" t="n">
        <v>87944</v>
      </c>
      <c r="AG1770" s="9" t="n">
        <v>682023</v>
      </c>
      <c r="AH1770" s="10" t="n">
        <v>53031</v>
      </c>
      <c r="AI1770" s="10" t="n">
        <v>43806</v>
      </c>
      <c r="AJ1770" s="11" t="n">
        <v>794891</v>
      </c>
      <c r="AK1770" s="12" t="n">
        <v>73735</v>
      </c>
      <c r="AL1770" s="12" t="n">
        <v>50009</v>
      </c>
      <c r="AM1770" s="13" t="n">
        <v>16.5</v>
      </c>
      <c r="AN1770" s="13" t="n">
        <v>27.5</v>
      </c>
      <c r="AO1770" s="13" t="n">
        <v>39</v>
      </c>
      <c r="AP1770" s="13" t="n">
        <v>21.2</v>
      </c>
    </row>
    <row r="1771">
      <c r="A1771" s="5" t="inlineStr">
        <is>
          <t>링크드</t>
        </is>
      </c>
      <c r="B1771" s="6" t="inlineStr">
        <is>
          <t>193250</t>
        </is>
      </c>
      <c r="C1771" s="6" t="inlineStr">
        <is>
          <t>연결</t>
        </is>
      </c>
      <c r="D1771" s="6" t="inlineStr">
        <is>
          <t>2026Q2</t>
        </is>
      </c>
      <c r="E1771" s="6" t="inlineStr"/>
      <c r="F1771" s="7" t="inlineStr"/>
      <c r="G1771" s="8" t="inlineStr"/>
      <c r="H1771" s="8" t="inlineStr"/>
      <c r="I1771" s="9" t="n">
        <v>4699</v>
      </c>
      <c r="J1771" s="10" t="n">
        <v>-2160</v>
      </c>
      <c r="K1771" s="10" t="n">
        <v>-1480</v>
      </c>
      <c r="L1771" s="7" t="n">
        <v>2819</v>
      </c>
      <c r="M1771" s="8" t="n">
        <v>-1116</v>
      </c>
      <c r="N1771" s="8" t="n">
        <v>-5290</v>
      </c>
      <c r="O1771" s="9" t="n">
        <v>2861</v>
      </c>
      <c r="P1771" s="10" t="n">
        <v>-1673</v>
      </c>
      <c r="Q1771" s="10" t="n">
        <v>-3141</v>
      </c>
      <c r="R1771" s="7" t="n">
        <v>3700</v>
      </c>
      <c r="S1771" s="8" t="n">
        <v>-1111</v>
      </c>
      <c r="T1771" s="8" t="n">
        <v>-7737</v>
      </c>
      <c r="U1771" s="9" t="n">
        <v>2526</v>
      </c>
      <c r="V1771" s="10" t="n">
        <v>-1634</v>
      </c>
      <c r="W1771" s="10" t="n">
        <v>204</v>
      </c>
      <c r="X1771" s="7" t="n">
        <v>2459</v>
      </c>
      <c r="Y1771" s="8" t="n">
        <v>-1719</v>
      </c>
      <c r="Z1771" s="8" t="n">
        <v>-11740</v>
      </c>
      <c r="AA1771" s="9" t="n">
        <v>1998</v>
      </c>
      <c r="AB1771" s="10" t="n">
        <v>-1952</v>
      </c>
      <c r="AC1771" s="10" t="n">
        <v>-787</v>
      </c>
      <c r="AD1771" s="7" t="n">
        <v>3472</v>
      </c>
      <c r="AE1771" s="8" t="n">
        <v>-1905</v>
      </c>
      <c r="AF1771" s="8" t="n">
        <v>9339</v>
      </c>
      <c r="AG1771" s="9" t="n">
        <v>2389</v>
      </c>
      <c r="AH1771" s="10" t="n">
        <v>-2331</v>
      </c>
      <c r="AI1771" s="10" t="n">
        <v>-1588</v>
      </c>
      <c r="AJ1771" s="11" t="n">
        <v>4074</v>
      </c>
      <c r="AK1771" s="12" t="n">
        <v>-2442</v>
      </c>
      <c r="AL1771" s="12" t="n">
        <v>3017</v>
      </c>
      <c r="AM1771" s="13" t="n">
        <v>70.5</v>
      </c>
      <c r="AN1771" s="13" t="n">
        <v>65.7</v>
      </c>
      <c r="AO1771" s="13" t="n">
        <v>-4.8</v>
      </c>
      <c r="AP1771" s="13" t="n">
        <v>-42.1</v>
      </c>
    </row>
    <row r="1772">
      <c r="A1772" s="5" t="inlineStr">
        <is>
          <t>제이에스코퍼레이션</t>
        </is>
      </c>
      <c r="B1772" s="6" t="inlineStr">
        <is>
          <t>194370</t>
        </is>
      </c>
      <c r="C1772" s="6" t="inlineStr">
        <is>
          <t>연결</t>
        </is>
      </c>
      <c r="D1772" s="6" t="inlineStr">
        <is>
          <t>2026Q2</t>
        </is>
      </c>
      <c r="E1772" s="6" t="inlineStr">
        <is>
          <t>2023Q4</t>
        </is>
      </c>
      <c r="F1772" s="14" t="n">
        <v>219339</v>
      </c>
      <c r="G1772" s="15" t="n">
        <v>23537</v>
      </c>
      <c r="H1772" s="15" t="n">
        <v>1242</v>
      </c>
      <c r="I1772" s="9" t="n">
        <v>207443</v>
      </c>
      <c r="J1772" s="10" t="n">
        <v>19275</v>
      </c>
      <c r="K1772" s="10" t="n">
        <v>10914</v>
      </c>
      <c r="L1772" s="7" t="n">
        <v>228666</v>
      </c>
      <c r="M1772" s="8" t="n">
        <v>26130</v>
      </c>
      <c r="N1772" s="8" t="n">
        <v>37952</v>
      </c>
      <c r="O1772" s="9" t="n">
        <v>361626</v>
      </c>
      <c r="P1772" s="10" t="n">
        <v>42781</v>
      </c>
      <c r="Q1772" s="10" t="n">
        <v>113209</v>
      </c>
      <c r="R1772" s="7" t="n">
        <v>319764</v>
      </c>
      <c r="S1772" s="8" t="n">
        <v>33070</v>
      </c>
      <c r="T1772" s="8" t="n">
        <v>-59876</v>
      </c>
      <c r="U1772" s="9" t="n">
        <v>293694</v>
      </c>
      <c r="V1772" s="10" t="n">
        <v>28343</v>
      </c>
      <c r="W1772" s="10" t="n">
        <v>14204</v>
      </c>
      <c r="X1772" s="7" t="n">
        <v>317329</v>
      </c>
      <c r="Y1772" s="8" t="n">
        <v>28118</v>
      </c>
      <c r="Z1772" s="8" t="n">
        <v>22893</v>
      </c>
      <c r="AA1772" s="9" t="n">
        <v>356815</v>
      </c>
      <c r="AB1772" s="10" t="n">
        <v>41106</v>
      </c>
      <c r="AC1772" s="10" t="n">
        <v>25851</v>
      </c>
      <c r="AD1772" s="7" t="n">
        <v>320395</v>
      </c>
      <c r="AE1772" s="8" t="n">
        <v>42945</v>
      </c>
      <c r="AF1772" s="8" t="n">
        <v>22806</v>
      </c>
      <c r="AG1772" s="9" t="n">
        <v>308036</v>
      </c>
      <c r="AH1772" s="10" t="n">
        <v>30797</v>
      </c>
      <c r="AI1772" s="10" t="n">
        <v>12177</v>
      </c>
      <c r="AJ1772" s="11" t="n">
        <v>453516</v>
      </c>
      <c r="AK1772" s="12" t="n">
        <v>56476</v>
      </c>
      <c r="AL1772" s="12" t="n">
        <v>28353</v>
      </c>
      <c r="AM1772" s="13" t="n">
        <v>47.2</v>
      </c>
      <c r="AN1772" s="13" t="n">
        <v>42.9</v>
      </c>
      <c r="AO1772" s="13" t="n">
        <v>83.40000000000001</v>
      </c>
      <c r="AP1772" s="13" t="n">
        <v>100.9</v>
      </c>
    </row>
    <row r="1773">
      <c r="A1773" s="5" t="inlineStr">
        <is>
          <t>데브시스터즈</t>
        </is>
      </c>
      <c r="B1773" s="6" t="inlineStr">
        <is>
          <t>194480</t>
        </is>
      </c>
      <c r="C1773" s="6" t="inlineStr">
        <is>
          <t>연결</t>
        </is>
      </c>
      <c r="D1773" s="6" t="inlineStr">
        <is>
          <t>2026Q2</t>
        </is>
      </c>
      <c r="E1773" s="6" t="inlineStr"/>
      <c r="F1773" s="7" t="inlineStr"/>
      <c r="G1773" s="8" t="inlineStr"/>
      <c r="H1773" s="8" t="inlineStr"/>
      <c r="I1773" s="14" t="n">
        <v>59500</v>
      </c>
      <c r="J1773" s="10" t="n">
        <v>8140</v>
      </c>
      <c r="K1773" s="10" t="n">
        <v>9537</v>
      </c>
      <c r="L1773" s="14" t="n">
        <v>54485</v>
      </c>
      <c r="M1773" s="8" t="n">
        <v>4944</v>
      </c>
      <c r="N1773" s="8" t="n">
        <v>6310</v>
      </c>
      <c r="O1773" s="14" t="n">
        <v>72030</v>
      </c>
      <c r="P1773" s="10" t="n">
        <v>13395</v>
      </c>
      <c r="Q1773" s="10" t="n">
        <v>14348</v>
      </c>
      <c r="R1773" s="7" t="inlineStr"/>
      <c r="S1773" s="8" t="n">
        <v>706</v>
      </c>
      <c r="T1773" s="8" t="n">
        <v>-1924</v>
      </c>
      <c r="U1773" s="9" t="n">
        <v>89083</v>
      </c>
      <c r="V1773" s="10" t="n">
        <v>9408</v>
      </c>
      <c r="W1773" s="10" t="n">
        <v>10158</v>
      </c>
      <c r="X1773" s="7" t="n">
        <v>91976</v>
      </c>
      <c r="Y1773" s="8" t="n">
        <v>10108</v>
      </c>
      <c r="Z1773" s="8" t="n">
        <v>10329</v>
      </c>
      <c r="AA1773" s="9" t="n">
        <v>54876</v>
      </c>
      <c r="AB1773" s="10" t="n">
        <v>-729</v>
      </c>
      <c r="AC1773" s="10" t="n">
        <v>1639</v>
      </c>
      <c r="AD1773" s="7" t="n">
        <v>59643</v>
      </c>
      <c r="AE1773" s="8" t="n">
        <v>-12437</v>
      </c>
      <c r="AF1773" s="8" t="n">
        <v>-11321</v>
      </c>
      <c r="AG1773" s="9" t="n">
        <v>58471</v>
      </c>
      <c r="AH1773" s="10" t="n">
        <v>-17374</v>
      </c>
      <c r="AI1773" s="10" t="n">
        <v>-15088</v>
      </c>
      <c r="AJ1773" s="11" t="n">
        <v>52668</v>
      </c>
      <c r="AK1773" s="12" t="n">
        <v>-15975</v>
      </c>
      <c r="AL1773" s="12" t="n">
        <v>-14973</v>
      </c>
      <c r="AM1773" s="13" t="n">
        <v>-9.9</v>
      </c>
      <c r="AN1773" s="13" t="n">
        <v>-42.7</v>
      </c>
      <c r="AO1773" s="13" t="n">
        <v>8.1</v>
      </c>
      <c r="AP1773" s="13" t="n">
        <v>-258</v>
      </c>
    </row>
    <row r="1774">
      <c r="A1774" s="5" t="inlineStr">
        <is>
          <t>노바렉스</t>
        </is>
      </c>
      <c r="B1774" s="6" t="inlineStr">
        <is>
          <t>194700</t>
        </is>
      </c>
      <c r="C1774" s="6" t="inlineStr">
        <is>
          <t>별도</t>
        </is>
      </c>
      <c r="D1774" s="6" t="inlineStr">
        <is>
          <t>2026Q2</t>
        </is>
      </c>
      <c r="E1774" s="6" t="inlineStr"/>
      <c r="F1774" s="7" t="inlineStr"/>
      <c r="G1774" s="8" t="inlineStr"/>
      <c r="H1774" s="8" t="inlineStr"/>
      <c r="I1774" s="9" t="n">
        <v>56551</v>
      </c>
      <c r="J1774" s="10" t="n">
        <v>3563</v>
      </c>
      <c r="K1774" s="10" t="n">
        <v>3871</v>
      </c>
      <c r="L1774" s="7" t="n">
        <v>81758</v>
      </c>
      <c r="M1774" s="8" t="n">
        <v>7344</v>
      </c>
      <c r="N1774" s="8" t="n">
        <v>7119</v>
      </c>
      <c r="O1774" s="9" t="n">
        <v>77266</v>
      </c>
      <c r="P1774" s="10" t="n">
        <v>5542</v>
      </c>
      <c r="Q1774" s="10" t="n">
        <v>3467</v>
      </c>
      <c r="R1774" s="7" t="n">
        <v>82150</v>
      </c>
      <c r="S1774" s="8" t="n">
        <v>6740</v>
      </c>
      <c r="T1774" s="8" t="n">
        <v>9381</v>
      </c>
      <c r="U1774" s="9" t="n">
        <v>90706</v>
      </c>
      <c r="V1774" s="10" t="n">
        <v>8419</v>
      </c>
      <c r="W1774" s="10" t="n">
        <v>7225</v>
      </c>
      <c r="X1774" s="7" t="n">
        <v>99063</v>
      </c>
      <c r="Y1774" s="8" t="n">
        <v>11019</v>
      </c>
      <c r="Z1774" s="8" t="n">
        <v>7826</v>
      </c>
      <c r="AA1774" s="9" t="n">
        <v>113838</v>
      </c>
      <c r="AB1774" s="10" t="n">
        <v>12910</v>
      </c>
      <c r="AC1774" s="10" t="n">
        <v>12384</v>
      </c>
      <c r="AD1774" s="7" t="n">
        <v>100653</v>
      </c>
      <c r="AE1774" s="8" t="n">
        <v>10702</v>
      </c>
      <c r="AF1774" s="8" t="n">
        <v>8527</v>
      </c>
      <c r="AG1774" s="9" t="n">
        <v>120808</v>
      </c>
      <c r="AH1774" s="10" t="n">
        <v>14145</v>
      </c>
      <c r="AI1774" s="10" t="n">
        <v>14914</v>
      </c>
      <c r="AJ1774" s="11" t="n">
        <v>101785</v>
      </c>
      <c r="AK1774" s="12" t="n">
        <v>10967</v>
      </c>
      <c r="AL1774" s="12" t="n">
        <v>7671</v>
      </c>
      <c r="AM1774" s="13" t="n">
        <v>-15.7</v>
      </c>
      <c r="AN1774" s="13" t="n">
        <v>2.7</v>
      </c>
      <c r="AO1774" s="13" t="n">
        <v>-22.5</v>
      </c>
      <c r="AP1774" s="13" t="n">
        <v>-0.5</v>
      </c>
    </row>
    <row r="1775">
      <c r="A1775" s="5" t="inlineStr">
        <is>
          <t>마니커에프앤지</t>
        </is>
      </c>
      <c r="B1775" s="6" t="inlineStr">
        <is>
          <t>195500</t>
        </is>
      </c>
      <c r="C1775" s="6" t="inlineStr">
        <is>
          <t>별도</t>
        </is>
      </c>
      <c r="D1775" s="6" t="inlineStr">
        <is>
          <t>2026Q2</t>
        </is>
      </c>
      <c r="E1775" s="6" t="inlineStr"/>
      <c r="F1775" s="7" t="inlineStr"/>
      <c r="G1775" s="8" t="inlineStr"/>
      <c r="H1775" s="8" t="inlineStr"/>
      <c r="I1775" s="9" t="n">
        <v>24048</v>
      </c>
      <c r="J1775" s="10" t="n">
        <v>1218</v>
      </c>
      <c r="K1775" s="10" t="n">
        <v>1025</v>
      </c>
      <c r="L1775" s="7" t="n">
        <v>27052</v>
      </c>
      <c r="M1775" s="8" t="n">
        <v>1347</v>
      </c>
      <c r="N1775" s="8" t="n">
        <v>1107</v>
      </c>
      <c r="O1775" s="9" t="n">
        <v>29371</v>
      </c>
      <c r="P1775" s="10" t="n">
        <v>659</v>
      </c>
      <c r="Q1775" s="10" t="n">
        <v>572</v>
      </c>
      <c r="R1775" s="7" t="n">
        <v>27231</v>
      </c>
      <c r="S1775" s="8" t="n">
        <v>621</v>
      </c>
      <c r="T1775" s="8" t="n">
        <v>290</v>
      </c>
      <c r="U1775" s="9" t="n">
        <v>25443</v>
      </c>
      <c r="V1775" s="10" t="n">
        <v>-130</v>
      </c>
      <c r="W1775" s="10" t="n">
        <v>-30</v>
      </c>
      <c r="X1775" s="7" t="n">
        <v>28124</v>
      </c>
      <c r="Y1775" s="8" t="n">
        <v>810</v>
      </c>
      <c r="Z1775" s="8" t="n">
        <v>619</v>
      </c>
      <c r="AA1775" s="9" t="n">
        <v>29459</v>
      </c>
      <c r="AB1775" s="10" t="n">
        <v>943</v>
      </c>
      <c r="AC1775" s="10" t="n">
        <v>718</v>
      </c>
      <c r="AD1775" s="7" t="n">
        <v>23732</v>
      </c>
      <c r="AE1775" s="8" t="n">
        <v>863</v>
      </c>
      <c r="AF1775" s="8" t="n">
        <v>862</v>
      </c>
      <c r="AG1775" s="9" t="n">
        <v>27690</v>
      </c>
      <c r="AH1775" s="10" t="n">
        <v>239</v>
      </c>
      <c r="AI1775" s="10" t="n">
        <v>214</v>
      </c>
      <c r="AJ1775" s="11" t="n">
        <v>30789</v>
      </c>
      <c r="AK1775" s="12" t="n">
        <v>1005</v>
      </c>
      <c r="AL1775" s="12" t="n">
        <v>893</v>
      </c>
      <c r="AM1775" s="13" t="n">
        <v>11.2</v>
      </c>
      <c r="AN1775" s="13" t="n">
        <v>9.5</v>
      </c>
      <c r="AO1775" s="13" t="n">
        <v>320.5</v>
      </c>
      <c r="AP1775" s="13" t="n">
        <v>24.1</v>
      </c>
    </row>
    <row r="1776">
      <c r="A1776" s="5" t="inlineStr">
        <is>
          <t>해성디에스</t>
        </is>
      </c>
      <c r="B1776" s="6" t="inlineStr">
        <is>
          <t>195870</t>
        </is>
      </c>
      <c r="C1776" s="6" t="inlineStr">
        <is>
          <t>연결</t>
        </is>
      </c>
      <c r="D1776" s="6" t="inlineStr">
        <is>
          <t>2026Q2</t>
        </is>
      </c>
      <c r="E1776" s="6" t="inlineStr">
        <is>
          <t>2023Q4</t>
        </is>
      </c>
      <c r="F1776" s="14" t="n">
        <v>145100</v>
      </c>
      <c r="G1776" s="15" t="n">
        <v>16300</v>
      </c>
      <c r="H1776" s="15" t="n">
        <v>10600</v>
      </c>
      <c r="I1776" s="9" t="n">
        <v>154904</v>
      </c>
      <c r="J1776" s="10" t="n">
        <v>20883</v>
      </c>
      <c r="K1776" s="10" t="n">
        <v>19500</v>
      </c>
      <c r="L1776" s="7" t="n">
        <v>153470</v>
      </c>
      <c r="M1776" s="8" t="n">
        <v>18010</v>
      </c>
      <c r="N1776" s="8" t="n">
        <v>20988</v>
      </c>
      <c r="O1776" s="9" t="n">
        <v>149423</v>
      </c>
      <c r="P1776" s="10" t="n">
        <v>11710</v>
      </c>
      <c r="Q1776" s="10" t="n">
        <v>5959</v>
      </c>
      <c r="R1776" s="7" t="n">
        <v>145197</v>
      </c>
      <c r="S1776" s="8" t="n">
        <v>6267</v>
      </c>
      <c r="T1776" s="8" t="n">
        <v>12250</v>
      </c>
      <c r="U1776" s="9" t="n">
        <v>137478</v>
      </c>
      <c r="V1776" s="10" t="n">
        <v>355</v>
      </c>
      <c r="W1776" s="10" t="n">
        <v>581</v>
      </c>
      <c r="X1776" s="7" t="n">
        <v>157383</v>
      </c>
      <c r="Y1776" s="8" t="n">
        <v>8228</v>
      </c>
      <c r="Z1776" s="8" t="n">
        <v>-438</v>
      </c>
      <c r="AA1776" s="9" t="n">
        <v>178589</v>
      </c>
      <c r="AB1776" s="10" t="n">
        <v>16113</v>
      </c>
      <c r="AC1776" s="10" t="n">
        <v>14073</v>
      </c>
      <c r="AD1776" s="7" t="n">
        <v>179947</v>
      </c>
      <c r="AE1776" s="8" t="n">
        <v>21795</v>
      </c>
      <c r="AF1776" s="8" t="n">
        <v>9605</v>
      </c>
      <c r="AG1776" s="9" t="n">
        <v>188652</v>
      </c>
      <c r="AH1776" s="10" t="n">
        <v>10978</v>
      </c>
      <c r="AI1776" s="10" t="n">
        <v>10826</v>
      </c>
      <c r="AJ1776" s="11" t="n">
        <v>211086</v>
      </c>
      <c r="AK1776" s="12" t="n">
        <v>24867</v>
      </c>
      <c r="AL1776" s="12" t="n">
        <v>19080</v>
      </c>
      <c r="AM1776" s="13" t="n">
        <v>11.9</v>
      </c>
      <c r="AN1776" s="13" t="n">
        <v>34.1</v>
      </c>
      <c r="AO1776" s="13" t="n">
        <v>126.5</v>
      </c>
      <c r="AP1776" s="13" t="n">
        <v>202.2</v>
      </c>
    </row>
    <row r="1777">
      <c r="A1777" s="5" t="inlineStr">
        <is>
          <t>HK이노엔</t>
        </is>
      </c>
      <c r="B1777" s="6" t="inlineStr">
        <is>
          <t>195940</t>
        </is>
      </c>
      <c r="C1777" s="6" t="inlineStr">
        <is>
          <t>별도</t>
        </is>
      </c>
      <c r="D1777" s="6" t="inlineStr">
        <is>
          <t>2026Q2</t>
        </is>
      </c>
      <c r="E1777" s="6" t="inlineStr">
        <is>
          <t>2023Q4</t>
        </is>
      </c>
      <c r="F1777" s="14" t="n">
        <v>224061</v>
      </c>
      <c r="G1777" s="15" t="n">
        <v>22540</v>
      </c>
      <c r="H1777" s="15" t="n">
        <v>15119</v>
      </c>
      <c r="I1777" s="9" t="n">
        <v>212615</v>
      </c>
      <c r="J1777" s="10" t="n">
        <v>17259</v>
      </c>
      <c r="K1777" s="10" t="n">
        <v>10486</v>
      </c>
      <c r="L1777" s="7" t="n">
        <v>219285</v>
      </c>
      <c r="M1777" s="8" t="n">
        <v>24348</v>
      </c>
      <c r="N1777" s="8" t="n">
        <v>17416</v>
      </c>
      <c r="O1777" s="9" t="n">
        <v>229470</v>
      </c>
      <c r="P1777" s="10" t="n">
        <v>22235</v>
      </c>
      <c r="Q1777" s="10" t="n">
        <v>14498</v>
      </c>
      <c r="R1777" s="7" t="n">
        <v>235772</v>
      </c>
      <c r="S1777" s="8" t="n">
        <v>24382</v>
      </c>
      <c r="T1777" s="8" t="n">
        <v>19180</v>
      </c>
      <c r="U1777" s="9" t="n">
        <v>247359</v>
      </c>
      <c r="V1777" s="10" t="n">
        <v>25370</v>
      </c>
      <c r="W1777" s="10" t="n">
        <v>17427</v>
      </c>
      <c r="X1777" s="7" t="n">
        <v>263091</v>
      </c>
      <c r="Y1777" s="8" t="n">
        <v>19533</v>
      </c>
      <c r="Z1777" s="8" t="n">
        <v>12042</v>
      </c>
      <c r="AA1777" s="9" t="n">
        <v>260822</v>
      </c>
      <c r="AB1777" s="10" t="n">
        <v>25874</v>
      </c>
      <c r="AC1777" s="10" t="n">
        <v>18557</v>
      </c>
      <c r="AD1777" s="7" t="n">
        <v>291879</v>
      </c>
      <c r="AE1777" s="8" t="n">
        <v>40100</v>
      </c>
      <c r="AF1777" s="8" t="n">
        <v>27674</v>
      </c>
      <c r="AG1777" s="9" t="n">
        <v>258683</v>
      </c>
      <c r="AH1777" s="10" t="n">
        <v>33191</v>
      </c>
      <c r="AI1777" s="10" t="n">
        <v>25944</v>
      </c>
      <c r="AJ1777" s="11" t="n">
        <v>267225</v>
      </c>
      <c r="AK1777" s="12" t="n">
        <v>30009</v>
      </c>
      <c r="AL1777" s="12" t="n">
        <v>13674</v>
      </c>
      <c r="AM1777" s="13" t="n">
        <v>3.3</v>
      </c>
      <c r="AN1777" s="13" t="n">
        <v>1.6</v>
      </c>
      <c r="AO1777" s="13" t="n">
        <v>-9.6</v>
      </c>
      <c r="AP1777" s="13" t="n">
        <v>53.6</v>
      </c>
    </row>
    <row r="1778">
      <c r="A1778" s="5" t="inlineStr">
        <is>
          <t>루트K</t>
        </is>
      </c>
      <c r="B1778" s="6" t="inlineStr">
        <is>
          <t>195990</t>
        </is>
      </c>
      <c r="C1778" s="6" t="inlineStr">
        <is>
          <t>연결</t>
        </is>
      </c>
      <c r="D1778" s="6" t="inlineStr">
        <is>
          <t>2026Q2</t>
        </is>
      </c>
      <c r="E1778" s="6" t="inlineStr"/>
      <c r="F1778" s="7" t="inlineStr"/>
      <c r="G1778" s="8" t="inlineStr"/>
      <c r="H1778" s="8" t="inlineStr"/>
      <c r="I1778" s="9" t="n">
        <v>6105</v>
      </c>
      <c r="J1778" s="10" t="n">
        <v>-2048</v>
      </c>
      <c r="K1778" s="10" t="n">
        <v>-723</v>
      </c>
      <c r="L1778" s="7" t="n">
        <v>1958</v>
      </c>
      <c r="M1778" s="8" t="n">
        <v>-3025</v>
      </c>
      <c r="N1778" s="8" t="n">
        <v>-1199</v>
      </c>
      <c r="O1778" s="9" t="n">
        <v>13276</v>
      </c>
      <c r="P1778" s="10" t="n">
        <v>-1628</v>
      </c>
      <c r="Q1778" s="10" t="n">
        <v>8482</v>
      </c>
      <c r="R1778" s="7" t="n">
        <v>10324</v>
      </c>
      <c r="S1778" s="8" t="n">
        <v>-3506</v>
      </c>
      <c r="T1778" s="8" t="n">
        <v>-22189</v>
      </c>
      <c r="U1778" s="9" t="n">
        <v>8872</v>
      </c>
      <c r="V1778" s="10" t="n">
        <v>-3264</v>
      </c>
      <c r="W1778" s="10" t="n">
        <v>-3261</v>
      </c>
      <c r="X1778" s="7" t="n">
        <v>9117</v>
      </c>
      <c r="Y1778" s="8" t="n">
        <v>-2525</v>
      </c>
      <c r="Z1778" s="8" t="n">
        <v>-44371</v>
      </c>
      <c r="AA1778" s="9" t="n">
        <v>7871</v>
      </c>
      <c r="AB1778" s="10" t="n">
        <v>-1701</v>
      </c>
      <c r="AC1778" s="10" t="n">
        <v>-206</v>
      </c>
      <c r="AD1778" s="7" t="n">
        <v>6063</v>
      </c>
      <c r="AE1778" s="8" t="n">
        <v>-1792</v>
      </c>
      <c r="AF1778" s="8" t="n">
        <v>-1082</v>
      </c>
      <c r="AG1778" s="9" t="n">
        <v>7886</v>
      </c>
      <c r="AH1778" s="10" t="n">
        <v>-2260</v>
      </c>
      <c r="AI1778" s="10" t="n">
        <v>2073</v>
      </c>
      <c r="AJ1778" s="11" t="n">
        <v>9019</v>
      </c>
      <c r="AK1778" s="12" t="n">
        <v>-4112</v>
      </c>
      <c r="AL1778" s="12" t="n">
        <v>-5846</v>
      </c>
      <c r="AM1778" s="13" t="n">
        <v>14.4</v>
      </c>
      <c r="AN1778" s="13" t="n">
        <v>-1.1</v>
      </c>
      <c r="AO1778" s="13" t="n">
        <v>-81.90000000000001</v>
      </c>
      <c r="AP1778" s="13" t="n">
        <v>-62.9</v>
      </c>
    </row>
    <row r="1779">
      <c r="A1779" s="5" t="inlineStr">
        <is>
          <t>알테오젠</t>
        </is>
      </c>
      <c r="B1779" s="6" t="inlineStr">
        <is>
          <t>196170</t>
        </is>
      </c>
      <c r="C1779" s="6" t="inlineStr">
        <is>
          <t>연결</t>
        </is>
      </c>
      <c r="D1779" s="6" t="inlineStr">
        <is>
          <t>2026Q2</t>
        </is>
      </c>
      <c r="E1779" s="6" t="inlineStr"/>
      <c r="F1779" s="7" t="inlineStr"/>
      <c r="G1779" s="8" t="inlineStr"/>
      <c r="H1779" s="8" t="inlineStr"/>
      <c r="I1779" s="9" t="n">
        <v>34901</v>
      </c>
      <c r="J1779" s="10" t="n">
        <v>17259</v>
      </c>
      <c r="K1779" s="10" t="n">
        <v>20889</v>
      </c>
      <c r="L1779" s="7" t="n">
        <v>12234</v>
      </c>
      <c r="M1779" s="8" t="n">
        <v>-6727</v>
      </c>
      <c r="N1779" s="8" t="n">
        <v>-3180</v>
      </c>
      <c r="O1779" s="9" t="n">
        <v>4890</v>
      </c>
      <c r="P1779" s="10" t="n">
        <v>-8158</v>
      </c>
      <c r="Q1779" s="10" t="n">
        <v>-9433</v>
      </c>
      <c r="R1779" s="7" t="n">
        <v>50830</v>
      </c>
      <c r="S1779" s="8" t="n">
        <v>23030</v>
      </c>
      <c r="T1779" s="8" t="n">
        <v>52414</v>
      </c>
      <c r="U1779" s="9" t="n">
        <v>83696</v>
      </c>
      <c r="V1779" s="10" t="n">
        <v>61018</v>
      </c>
      <c r="W1779" s="10" t="n">
        <v>83038</v>
      </c>
      <c r="X1779" s="7" t="n">
        <v>18643</v>
      </c>
      <c r="Y1779" s="8" t="n">
        <v>-426</v>
      </c>
      <c r="Z1779" s="8" t="n">
        <v>-34317</v>
      </c>
      <c r="AA1779" s="9" t="n">
        <v>49013</v>
      </c>
      <c r="AB1779" s="10" t="n">
        <v>26671</v>
      </c>
      <c r="AC1779" s="10" t="n">
        <v>22025</v>
      </c>
      <c r="AD1779" s="7" t="n">
        <v>64507</v>
      </c>
      <c r="AE1779" s="8" t="n">
        <v>19637</v>
      </c>
      <c r="AF1779" s="8" t="n">
        <v>74427</v>
      </c>
      <c r="AG1779" s="9" t="n">
        <v>71599</v>
      </c>
      <c r="AH1779" s="10" t="n">
        <v>39301</v>
      </c>
      <c r="AI1779" s="10" t="n">
        <v>71344</v>
      </c>
      <c r="AJ1779" s="11" t="n">
        <v>68894</v>
      </c>
      <c r="AK1779" s="12" t="n">
        <v>34180</v>
      </c>
      <c r="AL1779" s="12" t="n">
        <v>29989</v>
      </c>
      <c r="AM1779" s="13" t="n">
        <v>-3.8</v>
      </c>
      <c r="AN1779" s="13" t="n">
        <v>269.5</v>
      </c>
      <c r="AO1779" s="13" t="n">
        <v>-13</v>
      </c>
      <c r="AP1779" s="13" t="n">
        <v>8123.5</v>
      </c>
    </row>
    <row r="1780">
      <c r="A1780" s="5" t="inlineStr">
        <is>
          <t>HLB펩</t>
        </is>
      </c>
      <c r="B1780" s="6" t="inlineStr">
        <is>
          <t>196300</t>
        </is>
      </c>
      <c r="C1780" s="6" t="inlineStr">
        <is>
          <t>별도</t>
        </is>
      </c>
      <c r="D1780" s="6" t="inlineStr">
        <is>
          <t>2026Q2</t>
        </is>
      </c>
      <c r="E1780" s="6" t="inlineStr"/>
      <c r="F1780" s="7" t="inlineStr"/>
      <c r="G1780" s="8" t="inlineStr"/>
      <c r="H1780" s="8" t="inlineStr"/>
      <c r="I1780" s="9" t="n">
        <v>2505</v>
      </c>
      <c r="J1780" s="10" t="n">
        <v>-1121</v>
      </c>
      <c r="K1780" s="10" t="n">
        <v>-1210</v>
      </c>
      <c r="L1780" s="7" t="n">
        <v>1211</v>
      </c>
      <c r="M1780" s="8" t="n">
        <v>-1604</v>
      </c>
      <c r="N1780" s="8" t="n">
        <v>-1489</v>
      </c>
      <c r="O1780" s="9" t="n">
        <v>1114</v>
      </c>
      <c r="P1780" s="10" t="n">
        <v>-1438</v>
      </c>
      <c r="Q1780" s="10" t="n">
        <v>-1311</v>
      </c>
      <c r="R1780" s="7" t="n">
        <v>1399</v>
      </c>
      <c r="S1780" s="8" t="n">
        <v>-1277</v>
      </c>
      <c r="T1780" s="8" t="n">
        <v>-2783</v>
      </c>
      <c r="U1780" s="9" t="n">
        <v>1089</v>
      </c>
      <c r="V1780" s="10" t="n">
        <v>-1487</v>
      </c>
      <c r="W1780" s="10" t="n">
        <v>-1571</v>
      </c>
      <c r="X1780" s="7" t="n">
        <v>1231</v>
      </c>
      <c r="Y1780" s="8" t="n">
        <v>-1262</v>
      </c>
      <c r="Z1780" s="8" t="n">
        <v>382</v>
      </c>
      <c r="AA1780" s="9" t="n">
        <v>1172</v>
      </c>
      <c r="AB1780" s="10" t="n">
        <v>-1398</v>
      </c>
      <c r="AC1780" s="10" t="n">
        <v>-2052</v>
      </c>
      <c r="AD1780" s="7" t="n">
        <v>1470</v>
      </c>
      <c r="AE1780" s="8" t="n">
        <v>-3173</v>
      </c>
      <c r="AF1780" s="8" t="n">
        <v>2599</v>
      </c>
      <c r="AG1780" s="9" t="n">
        <v>1643</v>
      </c>
      <c r="AH1780" s="10" t="n">
        <v>-1833</v>
      </c>
      <c r="AI1780" s="10" t="n">
        <v>-3000</v>
      </c>
      <c r="AJ1780" s="11" t="n">
        <v>1259</v>
      </c>
      <c r="AK1780" s="12" t="n">
        <v>-1382</v>
      </c>
      <c r="AL1780" s="12" t="n">
        <v>-735</v>
      </c>
      <c r="AM1780" s="13" t="n">
        <v>-23.4</v>
      </c>
      <c r="AN1780" s="13" t="n">
        <v>2.3</v>
      </c>
      <c r="AO1780" s="13" t="n">
        <v>24.6</v>
      </c>
      <c r="AP1780" s="13" t="n">
        <v>-9.5</v>
      </c>
    </row>
    <row r="1781">
      <c r="A1781" s="5" t="inlineStr">
        <is>
          <t>코아시아씨엠</t>
        </is>
      </c>
      <c r="B1781" s="6" t="inlineStr">
        <is>
          <t>196450</t>
        </is>
      </c>
      <c r="C1781" s="6" t="inlineStr">
        <is>
          <t>연결</t>
        </is>
      </c>
      <c r="D1781" s="6" t="inlineStr">
        <is>
          <t>2026Q2</t>
        </is>
      </c>
      <c r="E1781" s="6" t="inlineStr"/>
      <c r="F1781" s="7" t="inlineStr"/>
      <c r="G1781" s="8" t="inlineStr"/>
      <c r="H1781" s="8" t="inlineStr"/>
      <c r="I1781" s="9" t="n">
        <v>81030</v>
      </c>
      <c r="J1781" s="10" t="n">
        <v>-1223</v>
      </c>
      <c r="K1781" s="10" t="n">
        <v>-1400</v>
      </c>
      <c r="L1781" s="7" t="n">
        <v>58618</v>
      </c>
      <c r="M1781" s="8" t="n">
        <v>-2150</v>
      </c>
      <c r="N1781" s="8" t="n">
        <v>-4177</v>
      </c>
      <c r="O1781" s="9" t="n">
        <v>70441</v>
      </c>
      <c r="P1781" s="10" t="n">
        <v>-2241</v>
      </c>
      <c r="Q1781" s="10" t="n">
        <v>-1643</v>
      </c>
      <c r="R1781" s="7" t="n">
        <v>57247</v>
      </c>
      <c r="S1781" s="8" t="n">
        <v>-3926</v>
      </c>
      <c r="T1781" s="8" t="n">
        <v>-11509</v>
      </c>
      <c r="U1781" s="9" t="n">
        <v>77710</v>
      </c>
      <c r="V1781" s="10" t="n">
        <v>908</v>
      </c>
      <c r="W1781" s="10" t="n">
        <v>586</v>
      </c>
      <c r="X1781" s="7" t="n">
        <v>70741</v>
      </c>
      <c r="Y1781" s="8" t="n">
        <v>1853</v>
      </c>
      <c r="Z1781" s="8" t="n">
        <v>1356</v>
      </c>
      <c r="AA1781" s="9" t="n">
        <v>61438</v>
      </c>
      <c r="AB1781" s="10" t="n">
        <v>1103</v>
      </c>
      <c r="AC1781" s="10" t="n">
        <v>924</v>
      </c>
      <c r="AD1781" s="7" t="n">
        <v>48308</v>
      </c>
      <c r="AE1781" s="8" t="n">
        <v>1408</v>
      </c>
      <c r="AF1781" s="8" t="n">
        <v>-151</v>
      </c>
      <c r="AG1781" s="9" t="n">
        <v>70506</v>
      </c>
      <c r="AH1781" s="10" t="n">
        <v>1781</v>
      </c>
      <c r="AI1781" s="10" t="n">
        <v>1375</v>
      </c>
      <c r="AJ1781" s="11" t="n">
        <v>63405</v>
      </c>
      <c r="AK1781" s="12" t="n">
        <v>99</v>
      </c>
      <c r="AL1781" s="12" t="n">
        <v>-588</v>
      </c>
      <c r="AM1781" s="13" t="n">
        <v>-10.1</v>
      </c>
      <c r="AN1781" s="13" t="n">
        <v>-10.4</v>
      </c>
      <c r="AO1781" s="13" t="n">
        <v>-94.40000000000001</v>
      </c>
      <c r="AP1781" s="13" t="n">
        <v>-94.7</v>
      </c>
    </row>
    <row r="1782">
      <c r="A1782" s="5" t="inlineStr">
        <is>
          <t>디에이테크놀로지</t>
        </is>
      </c>
      <c r="B1782" s="6" t="inlineStr">
        <is>
          <t>196490</t>
        </is>
      </c>
      <c r="C1782" s="6" t="inlineStr">
        <is>
          <t>연결</t>
        </is>
      </c>
      <c r="D1782" s="6" t="inlineStr">
        <is>
          <t>2026Q2</t>
        </is>
      </c>
      <c r="E1782" s="6" t="inlineStr"/>
      <c r="F1782" s="7" t="inlineStr"/>
      <c r="G1782" s="8" t="inlineStr"/>
      <c r="H1782" s="8" t="inlineStr"/>
      <c r="I1782" s="9" t="n">
        <v>9304</v>
      </c>
      <c r="J1782" s="10" t="n">
        <v>-578</v>
      </c>
      <c r="K1782" s="10" t="n">
        <v>-14344</v>
      </c>
      <c r="L1782" s="7" t="n">
        <v>8123</v>
      </c>
      <c r="M1782" s="8" t="n">
        <v>-6065</v>
      </c>
      <c r="N1782" s="8" t="n">
        <v>-25708</v>
      </c>
      <c r="O1782" s="9" t="n">
        <v>2765</v>
      </c>
      <c r="P1782" s="10" t="n">
        <v>-2794</v>
      </c>
      <c r="Q1782" s="10" t="n">
        <v>-10293</v>
      </c>
      <c r="R1782" s="7" t="n">
        <v>23097</v>
      </c>
      <c r="S1782" s="8" t="n">
        <v>-13128</v>
      </c>
      <c r="T1782" s="8" t="n">
        <v>-13442</v>
      </c>
      <c r="U1782" s="9" t="n">
        <v>2564</v>
      </c>
      <c r="V1782" s="10" t="n">
        <v>-813</v>
      </c>
      <c r="W1782" s="10" t="n">
        <v>-1753</v>
      </c>
      <c r="X1782" s="7" t="n">
        <v>2383</v>
      </c>
      <c r="Y1782" s="8" t="n">
        <v>205</v>
      </c>
      <c r="Z1782" s="8" t="n">
        <v>-1803</v>
      </c>
      <c r="AA1782" s="9" t="n">
        <v>25491</v>
      </c>
      <c r="AB1782" s="10" t="n">
        <v>7349</v>
      </c>
      <c r="AC1782" s="10" t="n">
        <v>7679</v>
      </c>
      <c r="AD1782" s="7" t="n">
        <v>2884</v>
      </c>
      <c r="AE1782" s="8" t="n">
        <v>-13202</v>
      </c>
      <c r="AF1782" s="8" t="n">
        <v>-12774</v>
      </c>
      <c r="AG1782" s="9" t="n">
        <v>1512</v>
      </c>
      <c r="AH1782" s="10" t="n">
        <v>-1981</v>
      </c>
      <c r="AI1782" s="10" t="n">
        <v>-1858</v>
      </c>
      <c r="AJ1782" s="11" t="n">
        <v>2087</v>
      </c>
      <c r="AK1782" s="12" t="n">
        <v>-143</v>
      </c>
      <c r="AL1782" s="12" t="n">
        <v>4880</v>
      </c>
      <c r="AM1782" s="13" t="n">
        <v>38</v>
      </c>
      <c r="AN1782" s="13" t="n">
        <v>-12.4</v>
      </c>
      <c r="AO1782" s="13" t="n">
        <v>92.8</v>
      </c>
      <c r="AP1782" s="13" t="n">
        <v>-169.8</v>
      </c>
    </row>
    <row r="1783">
      <c r="A1783" s="5" t="inlineStr">
        <is>
          <t>웹스</t>
        </is>
      </c>
      <c r="B1783" s="6" t="inlineStr">
        <is>
          <t>196700</t>
        </is>
      </c>
      <c r="C1783" s="6" t="inlineStr">
        <is>
          <t>연결</t>
        </is>
      </c>
      <c r="D1783" s="6" t="inlineStr">
        <is>
          <t>2026Q2</t>
        </is>
      </c>
      <c r="E1783" s="6" t="inlineStr"/>
      <c r="F1783" s="7" t="inlineStr"/>
      <c r="G1783" s="8" t="inlineStr"/>
      <c r="H1783" s="8" t="inlineStr"/>
      <c r="I1783" s="9" t="n">
        <v>9088</v>
      </c>
      <c r="J1783" s="10" t="n">
        <v>294</v>
      </c>
      <c r="K1783" s="10" t="n">
        <v>154</v>
      </c>
      <c r="L1783" s="7" t="n">
        <v>8515</v>
      </c>
      <c r="M1783" s="8" t="n">
        <v>1310</v>
      </c>
      <c r="N1783" s="8" t="n">
        <v>641</v>
      </c>
      <c r="O1783" s="9" t="n">
        <v>7110</v>
      </c>
      <c r="P1783" s="10" t="n">
        <v>430</v>
      </c>
      <c r="Q1783" s="10" t="n">
        <v>127</v>
      </c>
      <c r="R1783" s="7" t="n">
        <v>9360</v>
      </c>
      <c r="S1783" s="8" t="n">
        <v>1055</v>
      </c>
      <c r="T1783" s="8" t="n">
        <v>274</v>
      </c>
      <c r="U1783" s="9" t="n">
        <v>8097</v>
      </c>
      <c r="V1783" s="10" t="n">
        <v>504</v>
      </c>
      <c r="W1783" s="10" t="n">
        <v>210</v>
      </c>
      <c r="X1783" s="7" t="n">
        <v>12111</v>
      </c>
      <c r="Y1783" s="8" t="n">
        <v>1574</v>
      </c>
      <c r="Z1783" s="8" t="n">
        <v>1201</v>
      </c>
      <c r="AA1783" s="9" t="n">
        <v>12907</v>
      </c>
      <c r="AB1783" s="10" t="n">
        <v>1920</v>
      </c>
      <c r="AC1783" s="10" t="n">
        <v>1392</v>
      </c>
      <c r="AD1783" s="7" t="n">
        <v>10060</v>
      </c>
      <c r="AE1783" s="8" t="n">
        <v>1552</v>
      </c>
      <c r="AF1783" s="8" t="n">
        <v>1302</v>
      </c>
      <c r="AG1783" s="9" t="n">
        <v>10197</v>
      </c>
      <c r="AH1783" s="10" t="n">
        <v>767</v>
      </c>
      <c r="AI1783" s="10" t="n">
        <v>874</v>
      </c>
      <c r="AJ1783" s="11" t="n">
        <v>10899</v>
      </c>
      <c r="AK1783" s="12" t="n">
        <v>1448</v>
      </c>
      <c r="AL1783" s="12" t="n">
        <v>1302</v>
      </c>
      <c r="AM1783" s="13" t="n">
        <v>6.9</v>
      </c>
      <c r="AN1783" s="13" t="n">
        <v>-10</v>
      </c>
      <c r="AO1783" s="13" t="n">
        <v>88.8</v>
      </c>
      <c r="AP1783" s="13" t="n">
        <v>-8</v>
      </c>
    </row>
    <row r="1784">
      <c r="A1784" s="5" t="inlineStr">
        <is>
          <t>디지캡</t>
        </is>
      </c>
      <c r="B1784" s="6" t="inlineStr">
        <is>
          <t>197140</t>
        </is>
      </c>
      <c r="C1784" s="6" t="inlineStr">
        <is>
          <t>별도</t>
        </is>
      </c>
      <c r="D1784" s="6" t="inlineStr">
        <is>
          <t>2026Q2</t>
        </is>
      </c>
      <c r="E1784" s="6" t="inlineStr"/>
      <c r="F1784" s="7" t="inlineStr"/>
      <c r="G1784" s="8" t="inlineStr"/>
      <c r="H1784" s="8" t="inlineStr"/>
      <c r="I1784" s="9" t="n">
        <v>8377</v>
      </c>
      <c r="J1784" s="10" t="n">
        <v>1061</v>
      </c>
      <c r="K1784" s="10" t="n">
        <v>922</v>
      </c>
      <c r="L1784" s="7" t="n">
        <v>3224</v>
      </c>
      <c r="M1784" s="8" t="n">
        <v>-1716</v>
      </c>
      <c r="N1784" s="8" t="n">
        <v>-438</v>
      </c>
      <c r="O1784" s="9" t="n">
        <v>12645</v>
      </c>
      <c r="P1784" s="10" t="n">
        <v>211</v>
      </c>
      <c r="Q1784" s="10" t="n">
        <v>207</v>
      </c>
      <c r="R1784" s="7" t="n">
        <v>7768</v>
      </c>
      <c r="S1784" s="8" t="n">
        <v>-1153</v>
      </c>
      <c r="T1784" s="8" t="n">
        <v>460</v>
      </c>
      <c r="U1784" s="9" t="n">
        <v>15260</v>
      </c>
      <c r="V1784" s="10" t="n">
        <v>-1100</v>
      </c>
      <c r="W1784" s="10" t="n">
        <v>-748</v>
      </c>
      <c r="X1784" s="7" t="n">
        <v>18754</v>
      </c>
      <c r="Y1784" s="8" t="n">
        <v>-1755</v>
      </c>
      <c r="Z1784" s="8" t="n">
        <v>-803</v>
      </c>
      <c r="AA1784" s="9" t="n">
        <v>17219</v>
      </c>
      <c r="AB1784" s="10" t="n">
        <v>239</v>
      </c>
      <c r="AC1784" s="10" t="n">
        <v>786</v>
      </c>
      <c r="AD1784" s="7" t="n">
        <v>15399</v>
      </c>
      <c r="AE1784" s="8" t="n">
        <v>86</v>
      </c>
      <c r="AF1784" s="8" t="n">
        <v>236</v>
      </c>
      <c r="AG1784" s="9" t="n">
        <v>14902</v>
      </c>
      <c r="AH1784" s="10" t="n">
        <v>-1088</v>
      </c>
      <c r="AI1784" s="10" t="n">
        <v>-619</v>
      </c>
      <c r="AJ1784" s="11" t="n">
        <v>17581</v>
      </c>
      <c r="AK1784" s="12" t="n">
        <v>-1232</v>
      </c>
      <c r="AL1784" s="12" t="n">
        <v>-864</v>
      </c>
      <c r="AM1784" s="13" t="n">
        <v>18</v>
      </c>
      <c r="AN1784" s="13" t="n">
        <v>-6.3</v>
      </c>
      <c r="AO1784" s="13" t="n">
        <v>-13.2</v>
      </c>
      <c r="AP1784" s="13" t="n">
        <v>29.8</v>
      </c>
    </row>
    <row r="1785">
      <c r="A1785" s="5" t="inlineStr">
        <is>
          <t>캐프</t>
        </is>
      </c>
      <c r="B1785" s="6" t="inlineStr">
        <is>
          <t>198080</t>
        </is>
      </c>
      <c r="C1785" s="6" t="inlineStr">
        <is>
          <t>연결</t>
        </is>
      </c>
      <c r="D1785" s="6" t="inlineStr">
        <is>
          <t>2026Q2</t>
        </is>
      </c>
      <c r="E1785" s="6" t="inlineStr"/>
      <c r="F1785" s="7" t="inlineStr"/>
      <c r="G1785" s="8" t="inlineStr"/>
      <c r="H1785" s="8" t="inlineStr"/>
      <c r="I1785" s="9" t="n">
        <v>72421</v>
      </c>
      <c r="J1785" s="10" t="n">
        <v>5112</v>
      </c>
      <c r="K1785" s="10" t="n">
        <v>4402</v>
      </c>
      <c r="L1785" s="7" t="n">
        <v>72695</v>
      </c>
      <c r="M1785" s="8" t="n">
        <v>5138</v>
      </c>
      <c r="N1785" s="8" t="n">
        <v>8284</v>
      </c>
      <c r="O1785" s="9" t="n">
        <v>83253</v>
      </c>
      <c r="P1785" s="10" t="n">
        <v>6662</v>
      </c>
      <c r="Q1785" s="10" t="n">
        <v>4862</v>
      </c>
      <c r="R1785" s="7" t="n">
        <v>86491</v>
      </c>
      <c r="S1785" s="8" t="n">
        <v>3042</v>
      </c>
      <c r="T1785" s="8" t="n">
        <v>1529</v>
      </c>
      <c r="U1785" s="9" t="n">
        <v>72865</v>
      </c>
      <c r="V1785" s="10" t="n">
        <v>7222</v>
      </c>
      <c r="W1785" s="10" t="n">
        <v>5870</v>
      </c>
      <c r="X1785" s="7" t="n">
        <v>74456</v>
      </c>
      <c r="Y1785" s="8" t="n">
        <v>4389</v>
      </c>
      <c r="Z1785" s="8" t="n">
        <v>2791</v>
      </c>
      <c r="AA1785" s="9" t="n">
        <v>65279</v>
      </c>
      <c r="AB1785" s="10" t="n">
        <v>4277</v>
      </c>
      <c r="AC1785" s="10" t="n">
        <v>4623</v>
      </c>
      <c r="AD1785" s="7" t="n">
        <v>82601</v>
      </c>
      <c r="AE1785" s="8" t="n">
        <v>8385</v>
      </c>
      <c r="AF1785" s="8" t="n">
        <v>6183</v>
      </c>
      <c r="AG1785" s="9" t="n">
        <v>67814</v>
      </c>
      <c r="AH1785" s="10" t="n">
        <v>7371</v>
      </c>
      <c r="AI1785" s="10" t="n">
        <v>6619</v>
      </c>
      <c r="AJ1785" s="11" t="n">
        <v>65267</v>
      </c>
      <c r="AK1785" s="12" t="n">
        <v>4847</v>
      </c>
      <c r="AL1785" s="12" t="n">
        <v>3386</v>
      </c>
      <c r="AM1785" s="13" t="n">
        <v>-3.8</v>
      </c>
      <c r="AN1785" s="13" t="n">
        <v>-12.3</v>
      </c>
      <c r="AO1785" s="13" t="n">
        <v>-34.2</v>
      </c>
      <c r="AP1785" s="13" t="n">
        <v>10.4</v>
      </c>
    </row>
    <row r="1786">
      <c r="A1786" s="5" t="inlineStr">
        <is>
          <t>강동씨앤엘</t>
        </is>
      </c>
      <c r="B1786" s="6" t="inlineStr">
        <is>
          <t>198440</t>
        </is>
      </c>
      <c r="C1786" s="6" t="inlineStr">
        <is>
          <t>별도</t>
        </is>
      </c>
      <c r="D1786" s="6" t="inlineStr">
        <is>
          <t>2026Q2</t>
        </is>
      </c>
      <c r="E1786" s="6" t="inlineStr"/>
      <c r="F1786" s="7" t="inlineStr"/>
      <c r="G1786" s="8" t="inlineStr"/>
      <c r="H1786" s="8" t="inlineStr"/>
      <c r="I1786" s="9" t="n">
        <v>4023</v>
      </c>
      <c r="J1786" s="10" t="n">
        <v>-996</v>
      </c>
      <c r="K1786" s="10" t="n">
        <v>-903</v>
      </c>
      <c r="L1786" s="7" t="n">
        <v>6554</v>
      </c>
      <c r="M1786" s="8" t="n">
        <v>-797</v>
      </c>
      <c r="N1786" s="8" t="n">
        <v>-241</v>
      </c>
      <c r="O1786" s="9" t="n">
        <v>19578</v>
      </c>
      <c r="P1786" s="10" t="n">
        <v>4389</v>
      </c>
      <c r="Q1786" s="10" t="n">
        <v>6390</v>
      </c>
      <c r="R1786" s="7" t="n">
        <v>17228</v>
      </c>
      <c r="S1786" s="8" t="n">
        <v>2954</v>
      </c>
      <c r="T1786" s="8" t="n">
        <v>-12956</v>
      </c>
      <c r="U1786" s="9" t="n">
        <v>11555</v>
      </c>
      <c r="V1786" s="10" t="n">
        <v>-816</v>
      </c>
      <c r="W1786" s="10" t="n">
        <v>-1916</v>
      </c>
      <c r="X1786" s="7" t="n">
        <v>19302</v>
      </c>
      <c r="Y1786" s="8" t="n">
        <v>2839</v>
      </c>
      <c r="Z1786" s="8" t="n">
        <v>1530</v>
      </c>
      <c r="AA1786" s="9" t="n">
        <v>21692</v>
      </c>
      <c r="AB1786" s="10" t="n">
        <v>2695</v>
      </c>
      <c r="AC1786" s="10" t="n">
        <v>857</v>
      </c>
      <c r="AD1786" s="7" t="n">
        <v>19294</v>
      </c>
      <c r="AE1786" s="8" t="n">
        <v>2684</v>
      </c>
      <c r="AF1786" s="8" t="n">
        <v>185</v>
      </c>
      <c r="AG1786" s="9" t="n">
        <v>12545</v>
      </c>
      <c r="AH1786" s="10" t="n">
        <v>-786</v>
      </c>
      <c r="AI1786" s="10" t="n">
        <v>-1988</v>
      </c>
      <c r="AJ1786" s="11" t="n">
        <v>19655</v>
      </c>
      <c r="AK1786" s="12" t="n">
        <v>2457</v>
      </c>
      <c r="AL1786" s="12" t="n">
        <v>1625</v>
      </c>
      <c r="AM1786" s="13" t="n">
        <v>56.7</v>
      </c>
      <c r="AN1786" s="13" t="n">
        <v>1.8</v>
      </c>
      <c r="AO1786" s="13" t="n">
        <v>412.6</v>
      </c>
      <c r="AP1786" s="13" t="n">
        <v>-13.5</v>
      </c>
    </row>
    <row r="1787">
      <c r="A1787" s="5" t="inlineStr">
        <is>
          <t>한주라이트메탈</t>
        </is>
      </c>
      <c r="B1787" s="6" t="inlineStr">
        <is>
          <t>198940</t>
        </is>
      </c>
      <c r="C1787" s="6" t="inlineStr">
        <is>
          <t>연결</t>
        </is>
      </c>
      <c r="D1787" s="6" t="inlineStr">
        <is>
          <t>2026Q2</t>
        </is>
      </c>
      <c r="E1787" s="6" t="inlineStr"/>
      <c r="F1787" s="7" t="inlineStr"/>
      <c r="G1787" s="8" t="inlineStr"/>
      <c r="H1787" s="8" t="inlineStr"/>
      <c r="I1787" s="9" t="n">
        <v>60374</v>
      </c>
      <c r="J1787" s="10" t="n">
        <v>245</v>
      </c>
      <c r="K1787" s="10" t="n">
        <v>-2141</v>
      </c>
      <c r="L1787" s="7" t="n">
        <v>65398</v>
      </c>
      <c r="M1787" s="8" t="n">
        <v>391</v>
      </c>
      <c r="N1787" s="8" t="n">
        <v>2533</v>
      </c>
      <c r="O1787" s="9" t="n">
        <v>58146</v>
      </c>
      <c r="P1787" s="10" t="n">
        <v>-4206</v>
      </c>
      <c r="Q1787" s="10" t="n">
        <v>-7587</v>
      </c>
      <c r="R1787" s="7" t="n">
        <v>66846</v>
      </c>
      <c r="S1787" s="8" t="n">
        <v>-5089</v>
      </c>
      <c r="T1787" s="8" t="n">
        <v>-87</v>
      </c>
      <c r="U1787" s="9" t="n">
        <v>62199</v>
      </c>
      <c r="V1787" s="10" t="n">
        <v>1853</v>
      </c>
      <c r="W1787" s="10" t="n">
        <v>469</v>
      </c>
      <c r="X1787" s="7" t="n">
        <v>73127</v>
      </c>
      <c r="Y1787" s="8" t="n">
        <v>2541</v>
      </c>
      <c r="Z1787" s="8" t="n">
        <v>-583</v>
      </c>
      <c r="AA1787" s="9" t="n">
        <v>65170</v>
      </c>
      <c r="AB1787" s="10" t="n">
        <v>-170</v>
      </c>
      <c r="AC1787" s="10" t="n">
        <v>-357</v>
      </c>
      <c r="AD1787" s="7" t="n">
        <v>58969</v>
      </c>
      <c r="AE1787" s="8" t="n">
        <v>-2890</v>
      </c>
      <c r="AF1787" s="8" t="n">
        <v>-2271</v>
      </c>
      <c r="AG1787" s="9" t="n">
        <v>63142</v>
      </c>
      <c r="AH1787" s="10" t="n">
        <v>1218</v>
      </c>
      <c r="AI1787" s="10" t="n">
        <v>-221</v>
      </c>
      <c r="AJ1787" s="11" t="n">
        <v>72554</v>
      </c>
      <c r="AK1787" s="12" t="n">
        <v>2604</v>
      </c>
      <c r="AL1787" s="12" t="n">
        <v>938</v>
      </c>
      <c r="AM1787" s="13" t="n">
        <v>14.9</v>
      </c>
      <c r="AN1787" s="13" t="n">
        <v>-0.8</v>
      </c>
      <c r="AO1787" s="13" t="n">
        <v>113.8</v>
      </c>
      <c r="AP1787" s="13" t="n">
        <v>2.5</v>
      </c>
    </row>
    <row r="1788">
      <c r="A1788" s="5" t="inlineStr">
        <is>
          <t>케이엔알시스템</t>
        </is>
      </c>
      <c r="B1788" s="6" t="inlineStr">
        <is>
          <t>199430</t>
        </is>
      </c>
      <c r="C1788" s="6" t="inlineStr">
        <is>
          <t>별도</t>
        </is>
      </c>
      <c r="D1788" s="6" t="inlineStr">
        <is>
          <t>2026Q2</t>
        </is>
      </c>
      <c r="E1788" s="6" t="inlineStr"/>
      <c r="F1788" s="7" t="inlineStr"/>
      <c r="G1788" s="8" t="inlineStr"/>
      <c r="H1788" s="8" t="inlineStr"/>
      <c r="I1788" s="9" t="n">
        <v>1884</v>
      </c>
      <c r="J1788" s="10" t="n">
        <v>-1797</v>
      </c>
      <c r="K1788" s="10" t="n">
        <v>-2099</v>
      </c>
      <c r="L1788" s="7" t="n">
        <v>4428</v>
      </c>
      <c r="M1788" s="8" t="n">
        <v>-3050</v>
      </c>
      <c r="N1788" s="8" t="n">
        <v>-2975</v>
      </c>
      <c r="O1788" s="9" t="n">
        <v>2616</v>
      </c>
      <c r="P1788" s="10" t="n">
        <v>-2122</v>
      </c>
      <c r="Q1788" s="10" t="n">
        <v>-1928</v>
      </c>
      <c r="R1788" s="7" t="n">
        <v>9605</v>
      </c>
      <c r="S1788" s="8" t="n">
        <v>-753</v>
      </c>
      <c r="T1788" s="8" t="n">
        <v>-854</v>
      </c>
      <c r="U1788" s="9" t="n">
        <v>2357</v>
      </c>
      <c r="V1788" s="10" t="n">
        <v>-2039</v>
      </c>
      <c r="W1788" s="10" t="n">
        <v>-2136</v>
      </c>
      <c r="X1788" s="7" t="n">
        <v>1751</v>
      </c>
      <c r="Y1788" s="8" t="n">
        <v>-2304</v>
      </c>
      <c r="Z1788" s="8" t="n">
        <v>-2298</v>
      </c>
      <c r="AA1788" s="9" t="n">
        <v>2219</v>
      </c>
      <c r="AB1788" s="10" t="n">
        <v>-2766</v>
      </c>
      <c r="AC1788" s="10" t="n">
        <v>-2924</v>
      </c>
      <c r="AD1788" s="7" t="n">
        <v>9586</v>
      </c>
      <c r="AE1788" s="8" t="n">
        <v>-429</v>
      </c>
      <c r="AF1788" s="8" t="n">
        <v>-1106</v>
      </c>
      <c r="AG1788" s="9" t="n">
        <v>1846</v>
      </c>
      <c r="AH1788" s="10" t="n">
        <v>-2542</v>
      </c>
      <c r="AI1788" s="10" t="n">
        <v>-2463</v>
      </c>
      <c r="AJ1788" s="11" t="n">
        <v>4507</v>
      </c>
      <c r="AK1788" s="12" t="n">
        <v>-1933</v>
      </c>
      <c r="AL1788" s="12" t="n">
        <v>-2091</v>
      </c>
      <c r="AM1788" s="13" t="n">
        <v>144.1</v>
      </c>
      <c r="AN1788" s="13" t="n">
        <v>157.4</v>
      </c>
      <c r="AO1788" s="13" t="n">
        <v>24</v>
      </c>
      <c r="AP1788" s="13" t="n">
        <v>16.1</v>
      </c>
    </row>
    <row r="1789">
      <c r="A1789" s="5" t="inlineStr">
        <is>
          <t>뱅크웨어글로벌</t>
        </is>
      </c>
      <c r="B1789" s="6" t="inlineStr">
        <is>
          <t>199480</t>
        </is>
      </c>
      <c r="C1789" s="6" t="inlineStr">
        <is>
          <t>연결</t>
        </is>
      </c>
      <c r="D1789" s="6" t="inlineStr">
        <is>
          <t>2026Q2</t>
        </is>
      </c>
      <c r="E1789" s="6" t="inlineStr"/>
      <c r="F1789" s="7" t="inlineStr"/>
      <c r="G1789" s="8" t="inlineStr"/>
      <c r="H1789" s="8" t="inlineStr"/>
      <c r="I1789" s="9" t="inlineStr"/>
      <c r="J1789" s="10" t="inlineStr"/>
      <c r="K1789" s="10" t="inlineStr"/>
      <c r="L1789" s="7" t="inlineStr"/>
      <c r="M1789" s="8" t="inlineStr"/>
      <c r="N1789" s="8" t="inlineStr"/>
      <c r="O1789" s="9" t="n">
        <v>12764</v>
      </c>
      <c r="P1789" s="10" t="n">
        <v>-2888</v>
      </c>
      <c r="Q1789" s="10" t="n">
        <v>-2750</v>
      </c>
      <c r="R1789" s="7" t="inlineStr"/>
      <c r="S1789" s="8" t="inlineStr"/>
      <c r="T1789" s="8" t="inlineStr"/>
      <c r="U1789" s="9" t="n">
        <v>14232</v>
      </c>
      <c r="V1789" s="10" t="n">
        <v>-2034</v>
      </c>
      <c r="W1789" s="10" t="n">
        <v>-1878</v>
      </c>
      <c r="X1789" s="7" t="n">
        <v>14851</v>
      </c>
      <c r="Y1789" s="8" t="n">
        <v>-604</v>
      </c>
      <c r="Z1789" s="8" t="n">
        <v>-991</v>
      </c>
      <c r="AA1789" s="9" t="n">
        <v>16977</v>
      </c>
      <c r="AB1789" s="10" t="n">
        <v>-230</v>
      </c>
      <c r="AC1789" s="10" t="n">
        <v>-34</v>
      </c>
      <c r="AD1789" s="7" t="n">
        <v>17388</v>
      </c>
      <c r="AE1789" s="8" t="n">
        <v>-1513</v>
      </c>
      <c r="AF1789" s="8" t="n">
        <v>140</v>
      </c>
      <c r="AG1789" s="9" t="n">
        <v>19347</v>
      </c>
      <c r="AH1789" s="10" t="n">
        <v>-1177</v>
      </c>
      <c r="AI1789" s="10" t="n">
        <v>-480</v>
      </c>
      <c r="AJ1789" s="11" t="n">
        <v>17213</v>
      </c>
      <c r="AK1789" s="12" t="n">
        <v>-81</v>
      </c>
      <c r="AL1789" s="12" t="n">
        <v>99</v>
      </c>
      <c r="AM1789" s="13" t="n">
        <v>-11</v>
      </c>
      <c r="AN1789" s="13" t="n">
        <v>15.9</v>
      </c>
      <c r="AO1789" s="13" t="n">
        <v>93.09999999999999</v>
      </c>
      <c r="AP1789" s="13" t="n">
        <v>86.59999999999999</v>
      </c>
    </row>
    <row r="1790">
      <c r="A1790" s="5" t="inlineStr">
        <is>
          <t>레이저옵텍</t>
        </is>
      </c>
      <c r="B1790" s="6" t="inlineStr">
        <is>
          <t>199550</t>
        </is>
      </c>
      <c r="C1790" s="6" t="inlineStr">
        <is>
          <t>연결</t>
        </is>
      </c>
      <c r="D1790" s="6" t="inlineStr">
        <is>
          <t>2026Q2</t>
        </is>
      </c>
      <c r="E1790" s="6" t="inlineStr"/>
      <c r="F1790" s="7" t="inlineStr"/>
      <c r="G1790" s="8" t="inlineStr"/>
      <c r="H1790" s="8" t="inlineStr"/>
      <c r="I1790" s="9" t="n">
        <v>8178</v>
      </c>
      <c r="J1790" s="10" t="n">
        <v>206</v>
      </c>
      <c r="K1790" s="10" t="n">
        <v>-2560</v>
      </c>
      <c r="L1790" s="7" t="n">
        <v>10355</v>
      </c>
      <c r="M1790" s="8" t="n">
        <v>1751</v>
      </c>
      <c r="N1790" s="8" t="n">
        <v>1992</v>
      </c>
      <c r="O1790" s="9" t="n">
        <v>7288</v>
      </c>
      <c r="P1790" s="10" t="n">
        <v>-1048</v>
      </c>
      <c r="Q1790" s="10" t="n">
        <v>-441</v>
      </c>
      <c r="R1790" s="7" t="n">
        <v>7217</v>
      </c>
      <c r="S1790" s="8" t="n">
        <v>-1105</v>
      </c>
      <c r="T1790" s="8" t="n">
        <v>226</v>
      </c>
      <c r="U1790" s="9" t="n">
        <v>5267</v>
      </c>
      <c r="V1790" s="10" t="n">
        <v>-2278</v>
      </c>
      <c r="W1790" s="10" t="n">
        <v>-2725</v>
      </c>
      <c r="X1790" s="7" t="n">
        <v>3900</v>
      </c>
      <c r="Y1790" s="8" t="n">
        <v>-2300</v>
      </c>
      <c r="Z1790" s="8" t="n">
        <v>-3028</v>
      </c>
      <c r="AA1790" s="9" t="n">
        <v>9873</v>
      </c>
      <c r="AB1790" s="10" t="n">
        <v>-2969</v>
      </c>
      <c r="AC1790" s="10" t="n">
        <v>-2646</v>
      </c>
      <c r="AD1790" s="7" t="n">
        <v>6655</v>
      </c>
      <c r="AE1790" s="8" t="n">
        <v>-4498</v>
      </c>
      <c r="AF1790" s="8" t="n">
        <v>-2345</v>
      </c>
      <c r="AG1790" s="9" t="n">
        <v>6362</v>
      </c>
      <c r="AH1790" s="10" t="n">
        <v>-1954</v>
      </c>
      <c r="AI1790" s="10" t="n">
        <v>-1179</v>
      </c>
      <c r="AJ1790" s="11" t="n">
        <v>8788</v>
      </c>
      <c r="AK1790" s="12" t="n">
        <v>-991</v>
      </c>
      <c r="AL1790" s="12" t="n">
        <v>-772</v>
      </c>
      <c r="AM1790" s="13" t="n">
        <v>38.1</v>
      </c>
      <c r="AN1790" s="13" t="n">
        <v>125.3</v>
      </c>
      <c r="AO1790" s="13" t="n">
        <v>49.3</v>
      </c>
      <c r="AP1790" s="13" t="n">
        <v>56.9</v>
      </c>
    </row>
    <row r="1791">
      <c r="A1791" s="5" t="inlineStr">
        <is>
          <t>바이오인프라</t>
        </is>
      </c>
      <c r="B1791" s="6" t="inlineStr">
        <is>
          <t>199730</t>
        </is>
      </c>
      <c r="C1791" s="6" t="inlineStr">
        <is>
          <t>별도</t>
        </is>
      </c>
      <c r="D1791" s="6" t="inlineStr">
        <is>
          <t>2026Q2</t>
        </is>
      </c>
      <c r="E1791" s="6" t="inlineStr"/>
      <c r="F1791" s="7" t="inlineStr"/>
      <c r="G1791" s="8" t="inlineStr"/>
      <c r="H1791" s="8" t="inlineStr"/>
      <c r="I1791" s="9" t="n">
        <v>5022</v>
      </c>
      <c r="J1791" s="10" t="n">
        <v>-1506</v>
      </c>
      <c r="K1791" s="10" t="n">
        <v>-1480</v>
      </c>
      <c r="L1791" s="7" t="inlineStr"/>
      <c r="M1791" s="8" t="inlineStr"/>
      <c r="N1791" s="8" t="inlineStr"/>
      <c r="O1791" s="9" t="inlineStr"/>
      <c r="P1791" s="10" t="inlineStr"/>
      <c r="Q1791" s="10" t="inlineStr"/>
      <c r="R1791" s="7" t="inlineStr"/>
      <c r="S1791" s="8" t="inlineStr"/>
      <c r="T1791" s="8" t="inlineStr"/>
      <c r="U1791" s="9" t="n">
        <v>5441</v>
      </c>
      <c r="V1791" s="10" t="n">
        <v>-2207</v>
      </c>
      <c r="W1791" s="10" t="n">
        <v>-1740</v>
      </c>
      <c r="X1791" s="7" t="n">
        <v>6080</v>
      </c>
      <c r="Y1791" s="8" t="n">
        <v>-1116</v>
      </c>
      <c r="Z1791" s="8" t="n">
        <v>-1598</v>
      </c>
      <c r="AA1791" s="9" t="n">
        <v>5066</v>
      </c>
      <c r="AB1791" s="10" t="n">
        <v>-2052</v>
      </c>
      <c r="AC1791" s="10" t="n">
        <v>-2208</v>
      </c>
      <c r="AD1791" s="7" t="inlineStr"/>
      <c r="AE1791" s="8" t="inlineStr"/>
      <c r="AF1791" s="8" t="inlineStr"/>
      <c r="AG1791" s="9" t="n">
        <v>5500</v>
      </c>
      <c r="AH1791" s="10" t="n">
        <v>-2409</v>
      </c>
      <c r="AI1791" s="10" t="n">
        <v>-2495</v>
      </c>
      <c r="AJ1791" s="11" t="n">
        <v>8495</v>
      </c>
      <c r="AK1791" s="12" t="n">
        <v>76</v>
      </c>
      <c r="AL1791" s="12" t="n">
        <v>2</v>
      </c>
      <c r="AM1791" s="13" t="n">
        <v>54.5</v>
      </c>
      <c r="AN1791" s="13" t="n">
        <v>39.7</v>
      </c>
      <c r="AO1791" s="13" t="n">
        <v>103.2</v>
      </c>
      <c r="AP1791" s="13" t="n">
        <v>106.8</v>
      </c>
    </row>
    <row r="1792">
      <c r="A1792" s="5" t="inlineStr">
        <is>
          <t>툴젠</t>
        </is>
      </c>
      <c r="B1792" s="6" t="inlineStr">
        <is>
          <t>199800</t>
        </is>
      </c>
      <c r="C1792" s="6" t="inlineStr">
        <is>
          <t>연결</t>
        </is>
      </c>
      <c r="D1792" s="6" t="inlineStr">
        <is>
          <t>2026Q2</t>
        </is>
      </c>
      <c r="E1792" s="6" t="inlineStr"/>
      <c r="F1792" s="7" t="inlineStr"/>
      <c r="G1792" s="8" t="inlineStr"/>
      <c r="H1792" s="8" t="inlineStr"/>
      <c r="I1792" s="9" t="n">
        <v>121</v>
      </c>
      <c r="J1792" s="10" t="n">
        <v>-5028</v>
      </c>
      <c r="K1792" s="10" t="n">
        <v>-4957</v>
      </c>
      <c r="L1792" s="7" t="n">
        <v>159</v>
      </c>
      <c r="M1792" s="8" t="n">
        <v>-6026</v>
      </c>
      <c r="N1792" s="8" t="n">
        <v>-6180</v>
      </c>
      <c r="O1792" s="9" t="n">
        <v>441</v>
      </c>
      <c r="P1792" s="10" t="n">
        <v>-5069</v>
      </c>
      <c r="Q1792" s="10" t="n">
        <v>-5162</v>
      </c>
      <c r="R1792" s="7" t="n">
        <v>170</v>
      </c>
      <c r="S1792" s="8" t="n">
        <v>-5675</v>
      </c>
      <c r="T1792" s="8" t="n">
        <v>22531</v>
      </c>
      <c r="U1792" s="9" t="n">
        <v>129</v>
      </c>
      <c r="V1792" s="10" t="n">
        <v>-4610</v>
      </c>
      <c r="W1792" s="10" t="n">
        <v>-4443</v>
      </c>
      <c r="X1792" s="7" t="n">
        <v>143</v>
      </c>
      <c r="Y1792" s="8" t="n">
        <v>-6332</v>
      </c>
      <c r="Z1792" s="8" t="n">
        <v>-4393</v>
      </c>
      <c r="AA1792" s="9" t="n">
        <v>631</v>
      </c>
      <c r="AB1792" s="10" t="n">
        <v>-5413</v>
      </c>
      <c r="AC1792" s="10" t="n">
        <v>-5447</v>
      </c>
      <c r="AD1792" s="7" t="n">
        <v>403</v>
      </c>
      <c r="AE1792" s="8" t="n">
        <v>-6939</v>
      </c>
      <c r="AF1792" s="8" t="n">
        <v>-22481</v>
      </c>
      <c r="AG1792" s="9" t="n">
        <v>391</v>
      </c>
      <c r="AH1792" s="10" t="n">
        <v>-4593</v>
      </c>
      <c r="AI1792" s="10" t="n">
        <v>-4413</v>
      </c>
      <c r="AJ1792" s="11" t="n">
        <v>487</v>
      </c>
      <c r="AK1792" s="12" t="n">
        <v>-6891</v>
      </c>
      <c r="AL1792" s="12" t="n">
        <v>-6782</v>
      </c>
      <c r="AM1792" s="13" t="n">
        <v>24.6</v>
      </c>
      <c r="AN1792" s="13" t="n">
        <v>240.6</v>
      </c>
      <c r="AO1792" s="13" t="n">
        <v>-50</v>
      </c>
      <c r="AP1792" s="13" t="n">
        <v>-8.800000000000001</v>
      </c>
    </row>
    <row r="1793">
      <c r="A1793" s="5" t="inlineStr">
        <is>
          <t>제일일렉트릭</t>
        </is>
      </c>
      <c r="B1793" s="6" t="inlineStr">
        <is>
          <t>199820</t>
        </is>
      </c>
      <c r="C1793" s="6" t="inlineStr">
        <is>
          <t>연결</t>
        </is>
      </c>
      <c r="D1793" s="6" t="inlineStr">
        <is>
          <t>2026Q2</t>
        </is>
      </c>
      <c r="E1793" s="6" t="inlineStr"/>
      <c r="F1793" s="7" t="inlineStr"/>
      <c r="G1793" s="8" t="inlineStr"/>
      <c r="H1793" s="8" t="inlineStr"/>
      <c r="I1793" s="9" t="n">
        <v>42907</v>
      </c>
      <c r="J1793" s="10" t="n">
        <v>2315</v>
      </c>
      <c r="K1793" s="10" t="n">
        <v>2381</v>
      </c>
      <c r="L1793" s="7" t="n">
        <v>44365</v>
      </c>
      <c r="M1793" s="8" t="n">
        <v>4012</v>
      </c>
      <c r="N1793" s="8" t="n">
        <v>4354</v>
      </c>
      <c r="O1793" s="9" t="n">
        <v>51347</v>
      </c>
      <c r="P1793" s="10" t="n">
        <v>3523</v>
      </c>
      <c r="Q1793" s="10" t="n">
        <v>1360</v>
      </c>
      <c r="R1793" s="7" t="n">
        <v>47668</v>
      </c>
      <c r="S1793" s="8" t="n">
        <v>-947</v>
      </c>
      <c r="T1793" s="8" t="n">
        <v>2324</v>
      </c>
      <c r="U1793" s="9" t="n">
        <v>51711</v>
      </c>
      <c r="V1793" s="10" t="n">
        <v>2684</v>
      </c>
      <c r="W1793" s="10" t="n">
        <v>2484</v>
      </c>
      <c r="X1793" s="7" t="n">
        <v>54665</v>
      </c>
      <c r="Y1793" s="8" t="n">
        <v>6604</v>
      </c>
      <c r="Z1793" s="8" t="n">
        <v>3626</v>
      </c>
      <c r="AA1793" s="9" t="n">
        <v>45125</v>
      </c>
      <c r="AB1793" s="10" t="n">
        <v>2721</v>
      </c>
      <c r="AC1793" s="10" t="n">
        <v>2422</v>
      </c>
      <c r="AD1793" s="7" t="n">
        <v>44534</v>
      </c>
      <c r="AE1793" s="8" t="n">
        <v>-247</v>
      </c>
      <c r="AF1793" s="8" t="n">
        <v>-1835</v>
      </c>
      <c r="AG1793" s="9" t="n">
        <v>52694</v>
      </c>
      <c r="AH1793" s="10" t="n">
        <v>2517</v>
      </c>
      <c r="AI1793" s="10" t="n">
        <v>2876</v>
      </c>
      <c r="AJ1793" s="11" t="n">
        <v>49897</v>
      </c>
      <c r="AK1793" s="12" t="n">
        <v>3010</v>
      </c>
      <c r="AL1793" s="12" t="n">
        <v>2694</v>
      </c>
      <c r="AM1793" s="13" t="n">
        <v>-5.3</v>
      </c>
      <c r="AN1793" s="13" t="n">
        <v>-8.699999999999999</v>
      </c>
      <c r="AO1793" s="13" t="n">
        <v>19.6</v>
      </c>
      <c r="AP1793" s="13" t="n">
        <v>-54.4</v>
      </c>
    </row>
    <row r="1794">
      <c r="A1794" s="5" t="inlineStr">
        <is>
          <t>콜마비앤에이치</t>
        </is>
      </c>
      <c r="B1794" s="6" t="inlineStr">
        <is>
          <t>200130</t>
        </is>
      </c>
      <c r="C1794" s="6" t="inlineStr">
        <is>
          <t>연결</t>
        </is>
      </c>
      <c r="D1794" s="6" t="inlineStr">
        <is>
          <t>2026Q2</t>
        </is>
      </c>
      <c r="E1794" s="6" t="inlineStr"/>
      <c r="F1794" s="7" t="inlineStr"/>
      <c r="G1794" s="8" t="inlineStr"/>
      <c r="H1794" s="8" t="inlineStr"/>
      <c r="I1794" s="9" t="n">
        <v>160225</v>
      </c>
      <c r="J1794" s="10" t="n">
        <v>9537</v>
      </c>
      <c r="K1794" s="10" t="n">
        <v>6633</v>
      </c>
      <c r="L1794" s="7" t="n">
        <v>165920</v>
      </c>
      <c r="M1794" s="8" t="n">
        <v>7794</v>
      </c>
      <c r="N1794" s="8" t="n">
        <v>4943</v>
      </c>
      <c r="O1794" s="9" t="n">
        <v>147445</v>
      </c>
      <c r="P1794" s="10" t="n">
        <v>4067</v>
      </c>
      <c r="Q1794" s="10" t="n">
        <v>3558</v>
      </c>
      <c r="R1794" s="7" t="n">
        <v>142052</v>
      </c>
      <c r="S1794" s="8" t="n">
        <v>3225</v>
      </c>
      <c r="T1794" s="8" t="n">
        <v>2071</v>
      </c>
      <c r="U1794" s="9" t="n">
        <v>136729</v>
      </c>
      <c r="V1794" s="10" t="n">
        <v>3581</v>
      </c>
      <c r="W1794" s="10" t="n">
        <v>1441</v>
      </c>
      <c r="X1794" s="7" t="n">
        <v>164102</v>
      </c>
      <c r="Y1794" s="8" t="n">
        <v>10703</v>
      </c>
      <c r="Z1794" s="8" t="n">
        <v>6705</v>
      </c>
      <c r="AA1794" s="9" t="n">
        <v>151828</v>
      </c>
      <c r="AB1794" s="10" t="n">
        <v>9713</v>
      </c>
      <c r="AC1794" s="10" t="n">
        <v>6183</v>
      </c>
      <c r="AD1794" s="7" t="n">
        <v>122226</v>
      </c>
      <c r="AE1794" s="8" t="n">
        <v>2649</v>
      </c>
      <c r="AF1794" s="8" t="n">
        <v>-36968</v>
      </c>
      <c r="AG1794" s="9" t="n">
        <v>136890</v>
      </c>
      <c r="AH1794" s="10" t="n">
        <v>10332</v>
      </c>
      <c r="AI1794" s="10" t="n">
        <v>22355</v>
      </c>
      <c r="AJ1794" s="11" t="n">
        <v>127233</v>
      </c>
      <c r="AK1794" s="12" t="n">
        <v>10159</v>
      </c>
      <c r="AL1794" s="12" t="n">
        <v>6948</v>
      </c>
      <c r="AM1794" s="13" t="n">
        <v>-7.1</v>
      </c>
      <c r="AN1794" s="13" t="n">
        <v>-22.5</v>
      </c>
      <c r="AO1794" s="13" t="n">
        <v>-1.7</v>
      </c>
      <c r="AP1794" s="13" t="n">
        <v>-5.1</v>
      </c>
    </row>
    <row r="1795">
      <c r="A1795" s="5" t="inlineStr">
        <is>
          <t>텔콘RF제약</t>
        </is>
      </c>
      <c r="B1795" s="6" t="inlineStr">
        <is>
          <t>200230</t>
        </is>
      </c>
      <c r="C1795" s="6" t="inlineStr">
        <is>
          <t>연결</t>
        </is>
      </c>
      <c r="D1795" s="6" t="inlineStr">
        <is>
          <t>2026Q2</t>
        </is>
      </c>
      <c r="E1795" s="6" t="inlineStr"/>
      <c r="F1795" s="7" t="inlineStr"/>
      <c r="G1795" s="8" t="inlineStr"/>
      <c r="H1795" s="8" t="inlineStr"/>
      <c r="I1795" s="9" t="n">
        <v>8036</v>
      </c>
      <c r="J1795" s="10" t="n">
        <v>-965</v>
      </c>
      <c r="K1795" s="10" t="n">
        <v>-7431</v>
      </c>
      <c r="L1795" s="7" t="n">
        <v>8827</v>
      </c>
      <c r="M1795" s="8" t="n">
        <v>-1003</v>
      </c>
      <c r="N1795" s="8" t="n">
        <v>-9894</v>
      </c>
      <c r="O1795" s="9" t="n">
        <v>7163</v>
      </c>
      <c r="P1795" s="10" t="n">
        <v>-1237</v>
      </c>
      <c r="Q1795" s="10" t="n">
        <v>3026</v>
      </c>
      <c r="R1795" s="7" t="n">
        <v>13839</v>
      </c>
      <c r="S1795" s="8" t="n">
        <v>3134</v>
      </c>
      <c r="T1795" s="8" t="n">
        <v>-12201</v>
      </c>
      <c r="U1795" s="9" t="n">
        <v>9984</v>
      </c>
      <c r="V1795" s="10" t="n">
        <v>-1502</v>
      </c>
      <c r="W1795" s="10" t="n">
        <v>-14603</v>
      </c>
      <c r="X1795" s="7" t="n">
        <v>10030</v>
      </c>
      <c r="Y1795" s="8" t="n">
        <v>-397</v>
      </c>
      <c r="Z1795" s="8" t="n">
        <v>-1829</v>
      </c>
      <c r="AA1795" s="9" t="n">
        <v>9825</v>
      </c>
      <c r="AB1795" s="10" t="n">
        <v>-9</v>
      </c>
      <c r="AC1795" s="10" t="n">
        <v>-4848</v>
      </c>
      <c r="AD1795" s="7" t="n">
        <v>13323</v>
      </c>
      <c r="AE1795" s="8" t="n">
        <v>2627</v>
      </c>
      <c r="AF1795" s="8" t="n">
        <v>9849</v>
      </c>
      <c r="AG1795" s="9" t="n">
        <v>9700</v>
      </c>
      <c r="AH1795" s="10" t="n">
        <v>-1426</v>
      </c>
      <c r="AI1795" s="10" t="n">
        <v>-11469</v>
      </c>
      <c r="AJ1795" s="11" t="n">
        <v>28937</v>
      </c>
      <c r="AK1795" s="12" t="n">
        <v>-806</v>
      </c>
      <c r="AL1795" s="12" t="n">
        <v>-22258</v>
      </c>
      <c r="AM1795" s="13" t="n">
        <v>198.3</v>
      </c>
      <c r="AN1795" s="13" t="n">
        <v>188.5</v>
      </c>
      <c r="AO1795" s="13" t="n">
        <v>43.5</v>
      </c>
      <c r="AP1795" s="13" t="n">
        <v>-103</v>
      </c>
    </row>
    <row r="1796">
      <c r="A1796" s="5" t="inlineStr">
        <is>
          <t>아티스트스튜디오</t>
        </is>
      </c>
      <c r="B1796" s="6" t="inlineStr">
        <is>
          <t>200350</t>
        </is>
      </c>
      <c r="C1796" s="6" t="inlineStr">
        <is>
          <t>연결</t>
        </is>
      </c>
      <c r="D1796" s="6" t="inlineStr">
        <is>
          <t>2026Q2</t>
        </is>
      </c>
      <c r="E1796" s="6" t="inlineStr"/>
      <c r="F1796" s="7" t="inlineStr"/>
      <c r="G1796" s="8" t="inlineStr"/>
      <c r="H1796" s="8" t="inlineStr"/>
      <c r="I1796" s="9" t="n">
        <v>5435</v>
      </c>
      <c r="J1796" s="10" t="n">
        <v>-506</v>
      </c>
      <c r="K1796" s="10" t="n">
        <v>-409</v>
      </c>
      <c r="L1796" s="7" t="n">
        <v>9584</v>
      </c>
      <c r="M1796" s="8" t="n">
        <v>-1058</v>
      </c>
      <c r="N1796" s="8" t="n">
        <v>-931</v>
      </c>
      <c r="O1796" s="9" t="n">
        <v>8577</v>
      </c>
      <c r="P1796" s="10" t="n">
        <v>226</v>
      </c>
      <c r="Q1796" s="10" t="n">
        <v>332</v>
      </c>
      <c r="R1796" s="7" t="n">
        <v>3711</v>
      </c>
      <c r="S1796" s="8" t="n">
        <v>-5983</v>
      </c>
      <c r="T1796" s="8" t="n">
        <v>-13947</v>
      </c>
      <c r="U1796" s="9" t="n">
        <v>2182</v>
      </c>
      <c r="V1796" s="10" t="n">
        <v>-688</v>
      </c>
      <c r="W1796" s="10" t="n">
        <v>-340</v>
      </c>
      <c r="X1796" s="7" t="n">
        <v>3556</v>
      </c>
      <c r="Y1796" s="8" t="n">
        <v>-1181</v>
      </c>
      <c r="Z1796" s="8" t="n">
        <v>-897</v>
      </c>
      <c r="AA1796" s="9" t="n">
        <v>5758</v>
      </c>
      <c r="AB1796" s="10" t="n">
        <v>-534</v>
      </c>
      <c r="AC1796" s="10" t="n">
        <v>-425</v>
      </c>
      <c r="AD1796" s="7" t="n">
        <v>3122</v>
      </c>
      <c r="AE1796" s="8" t="n">
        <v>-604</v>
      </c>
      <c r="AF1796" s="8" t="n">
        <v>-3036</v>
      </c>
      <c r="AG1796" s="9" t="n">
        <v>1255</v>
      </c>
      <c r="AH1796" s="10" t="n">
        <v>-425</v>
      </c>
      <c r="AI1796" s="10" t="n">
        <v>-186</v>
      </c>
      <c r="AJ1796" s="11" t="n">
        <v>10040</v>
      </c>
      <c r="AK1796" s="12" t="n">
        <v>-376</v>
      </c>
      <c r="AL1796" s="12" t="n">
        <v>-682</v>
      </c>
      <c r="AM1796" s="13" t="n">
        <v>700</v>
      </c>
      <c r="AN1796" s="13" t="n">
        <v>182.3</v>
      </c>
      <c r="AO1796" s="13" t="n">
        <v>11.5</v>
      </c>
      <c r="AP1796" s="13" t="n">
        <v>68.2</v>
      </c>
    </row>
    <row r="1797">
      <c r="A1797" s="5" t="inlineStr">
        <is>
          <t>에이팩트</t>
        </is>
      </c>
      <c r="B1797" s="6" t="inlineStr">
        <is>
          <t>200470</t>
        </is>
      </c>
      <c r="C1797" s="6" t="inlineStr">
        <is>
          <t>별도</t>
        </is>
      </c>
      <c r="D1797" s="6" t="inlineStr">
        <is>
          <t>2026Q2</t>
        </is>
      </c>
      <c r="E1797" s="6" t="inlineStr"/>
      <c r="F1797" s="7" t="inlineStr"/>
      <c r="G1797" s="8" t="inlineStr"/>
      <c r="H1797" s="8" t="inlineStr"/>
      <c r="I1797" s="9" t="n">
        <v>21763</v>
      </c>
      <c r="J1797" s="10" t="n">
        <v>-6140</v>
      </c>
      <c r="K1797" s="10" t="n">
        <v>-5969</v>
      </c>
      <c r="L1797" s="7" t="n">
        <v>20154</v>
      </c>
      <c r="M1797" s="8" t="n">
        <v>-6858</v>
      </c>
      <c r="N1797" s="8" t="n">
        <v>-11465</v>
      </c>
      <c r="O1797" s="9" t="n">
        <v>19253</v>
      </c>
      <c r="P1797" s="10" t="n">
        <v>-6560</v>
      </c>
      <c r="Q1797" s="10" t="n">
        <v>-6330</v>
      </c>
      <c r="R1797" s="7" t="n">
        <v>25553</v>
      </c>
      <c r="S1797" s="8" t="n">
        <v>-1975</v>
      </c>
      <c r="T1797" s="8" t="n">
        <v>-26953</v>
      </c>
      <c r="U1797" s="9" t="n">
        <v>23377</v>
      </c>
      <c r="V1797" s="10" t="n">
        <v>-3393</v>
      </c>
      <c r="W1797" s="10" t="n">
        <v>-3833</v>
      </c>
      <c r="X1797" s="7" t="n">
        <v>26684</v>
      </c>
      <c r="Y1797" s="8" t="n">
        <v>934</v>
      </c>
      <c r="Z1797" s="8" t="n">
        <v>-1218</v>
      </c>
      <c r="AA1797" s="9" t="n">
        <v>28353</v>
      </c>
      <c r="AB1797" s="10" t="n">
        <v>1985</v>
      </c>
      <c r="AC1797" s="10" t="n">
        <v>1684</v>
      </c>
      <c r="AD1797" s="7" t="n">
        <v>32585</v>
      </c>
      <c r="AE1797" s="8" t="n">
        <v>5741</v>
      </c>
      <c r="AF1797" s="8" t="n">
        <v>8593</v>
      </c>
      <c r="AG1797" s="9" t="n">
        <v>30463</v>
      </c>
      <c r="AH1797" s="10" t="n">
        <v>-1910</v>
      </c>
      <c r="AI1797" s="10" t="n">
        <v>-3268</v>
      </c>
      <c r="AJ1797" s="11" t="n">
        <v>45224</v>
      </c>
      <c r="AK1797" s="12" t="n">
        <v>1110</v>
      </c>
      <c r="AL1797" s="12" t="n">
        <v>4390</v>
      </c>
      <c r="AM1797" s="13" t="n">
        <v>48.5</v>
      </c>
      <c r="AN1797" s="13" t="n">
        <v>69.5</v>
      </c>
      <c r="AO1797" s="13" t="n">
        <v>158.1</v>
      </c>
      <c r="AP1797" s="13" t="n">
        <v>18.8</v>
      </c>
    </row>
    <row r="1798">
      <c r="A1798" s="5" t="inlineStr">
        <is>
          <t>휴메딕스</t>
        </is>
      </c>
      <c r="B1798" s="6" t="inlineStr">
        <is>
          <t>200670</t>
        </is>
      </c>
      <c r="C1798" s="6" t="inlineStr">
        <is>
          <t>별도</t>
        </is>
      </c>
      <c r="D1798" s="6" t="inlineStr">
        <is>
          <t>2026Q2</t>
        </is>
      </c>
      <c r="E1798" s="6" t="inlineStr"/>
      <c r="F1798" s="7" t="inlineStr"/>
      <c r="G1798" s="8" t="inlineStr"/>
      <c r="H1798" s="8" t="inlineStr"/>
      <c r="I1798" s="9" t="n">
        <v>41174</v>
      </c>
      <c r="J1798" s="10" t="n">
        <v>10648</v>
      </c>
      <c r="K1798" s="10" t="n">
        <v>9263</v>
      </c>
      <c r="L1798" s="7" t="n">
        <v>45862</v>
      </c>
      <c r="M1798" s="8" t="n">
        <v>13059</v>
      </c>
      <c r="N1798" s="8" t="n">
        <v>11858</v>
      </c>
      <c r="O1798" s="9" t="n">
        <v>37370</v>
      </c>
      <c r="P1798" s="10" t="n">
        <v>9248</v>
      </c>
      <c r="Q1798" s="10" t="n">
        <v>6834</v>
      </c>
      <c r="R1798" s="7" t="n">
        <v>37467</v>
      </c>
      <c r="S1798" s="8" t="n">
        <v>10186</v>
      </c>
      <c r="T1798" s="8" t="n">
        <v>11304</v>
      </c>
      <c r="U1798" s="9" t="n">
        <v>40139</v>
      </c>
      <c r="V1798" s="10" t="n">
        <v>11423</v>
      </c>
      <c r="W1798" s="10" t="n">
        <v>13436</v>
      </c>
      <c r="X1798" s="7" t="n">
        <v>42979</v>
      </c>
      <c r="Y1798" s="8" t="n">
        <v>10799</v>
      </c>
      <c r="Z1798" s="8" t="n">
        <v>7891</v>
      </c>
      <c r="AA1798" s="9" t="n">
        <v>40913</v>
      </c>
      <c r="AB1798" s="10" t="n">
        <v>8976</v>
      </c>
      <c r="AC1798" s="10" t="n">
        <v>22650</v>
      </c>
      <c r="AD1798" s="7" t="n">
        <v>46022</v>
      </c>
      <c r="AE1798" s="8" t="n">
        <v>11131</v>
      </c>
      <c r="AF1798" s="8" t="n">
        <v>7809</v>
      </c>
      <c r="AG1798" s="9" t="n">
        <v>40521</v>
      </c>
      <c r="AH1798" s="10" t="n">
        <v>8907</v>
      </c>
      <c r="AI1798" s="10" t="n">
        <v>13002</v>
      </c>
      <c r="AJ1798" s="11" t="n">
        <v>50421</v>
      </c>
      <c r="AK1798" s="12" t="n">
        <v>11685</v>
      </c>
      <c r="AL1798" s="12" t="n">
        <v>2447</v>
      </c>
      <c r="AM1798" s="13" t="n">
        <v>24.4</v>
      </c>
      <c r="AN1798" s="13" t="n">
        <v>17.3</v>
      </c>
      <c r="AO1798" s="13" t="n">
        <v>31.2</v>
      </c>
      <c r="AP1798" s="13" t="n">
        <v>8.199999999999999</v>
      </c>
    </row>
    <row r="1799">
      <c r="A1799" s="5" t="inlineStr">
        <is>
          <t>에이디테크놀로지</t>
        </is>
      </c>
      <c r="B1799" s="6" t="inlineStr">
        <is>
          <t>200710</t>
        </is>
      </c>
      <c r="C1799" s="6" t="inlineStr">
        <is>
          <t>연결</t>
        </is>
      </c>
      <c r="D1799" s="6" t="inlineStr">
        <is>
          <t>2026Q2</t>
        </is>
      </c>
      <c r="E1799" s="6" t="inlineStr"/>
      <c r="F1799" s="7" t="inlineStr"/>
      <c r="G1799" s="8" t="inlineStr"/>
      <c r="H1799" s="8" t="inlineStr"/>
      <c r="I1799" s="9" t="n">
        <v>30589</v>
      </c>
      <c r="J1799" s="10" t="n">
        <v>-3761</v>
      </c>
      <c r="K1799" s="10" t="n">
        <v>561</v>
      </c>
      <c r="L1799" s="7" t="n">
        <v>20201</v>
      </c>
      <c r="M1799" s="8" t="n">
        <v>-4427</v>
      </c>
      <c r="N1799" s="8" t="n">
        <v>-2683</v>
      </c>
      <c r="O1799" s="9" t="n">
        <v>34417</v>
      </c>
      <c r="P1799" s="10" t="n">
        <v>-1698</v>
      </c>
      <c r="Q1799" s="10" t="n">
        <v>-4143</v>
      </c>
      <c r="R1799" s="7" t="n">
        <v>21338</v>
      </c>
      <c r="S1799" s="8" t="n">
        <v>-7068</v>
      </c>
      <c r="T1799" s="8" t="n">
        <v>-8912</v>
      </c>
      <c r="U1799" s="9" t="n">
        <v>32641</v>
      </c>
      <c r="V1799" s="10" t="n">
        <v>-1552</v>
      </c>
      <c r="W1799" s="10" t="n">
        <v>-1742</v>
      </c>
      <c r="X1799" s="7" t="n">
        <v>34027</v>
      </c>
      <c r="Y1799" s="8" t="n">
        <v>-1020</v>
      </c>
      <c r="Z1799" s="8" t="n">
        <v>-3134</v>
      </c>
      <c r="AA1799" s="9" t="n">
        <v>36806</v>
      </c>
      <c r="AB1799" s="10" t="n">
        <v>2668</v>
      </c>
      <c r="AC1799" s="10" t="n">
        <v>3000</v>
      </c>
      <c r="AD1799" s="7" t="n">
        <v>61038</v>
      </c>
      <c r="AE1799" s="8" t="n">
        <v>2757</v>
      </c>
      <c r="AF1799" s="8" t="n">
        <v>5454</v>
      </c>
      <c r="AG1799" s="9" t="n">
        <v>36033</v>
      </c>
      <c r="AH1799" s="10" t="n">
        <v>-357</v>
      </c>
      <c r="AI1799" s="10" t="n">
        <v>357</v>
      </c>
      <c r="AJ1799" s="11" t="n">
        <v>45946</v>
      </c>
      <c r="AK1799" s="12" t="n">
        <v>-1174</v>
      </c>
      <c r="AL1799" s="12" t="n">
        <v>-6541</v>
      </c>
      <c r="AM1799" s="13" t="n">
        <v>27.5</v>
      </c>
      <c r="AN1799" s="13" t="n">
        <v>35</v>
      </c>
      <c r="AO1799" s="13" t="n">
        <v>-228.9</v>
      </c>
      <c r="AP1799" s="13" t="n">
        <v>-15.1</v>
      </c>
    </row>
    <row r="1800">
      <c r="A1800" s="5" t="inlineStr">
        <is>
          <t>비씨월드제약</t>
        </is>
      </c>
      <c r="B1800" s="6" t="inlineStr">
        <is>
          <t>200780</t>
        </is>
      </c>
      <c r="C1800" s="6" t="inlineStr">
        <is>
          <t>연결</t>
        </is>
      </c>
      <c r="D1800" s="6" t="inlineStr">
        <is>
          <t>2026Q2</t>
        </is>
      </c>
      <c r="E1800" s="6" t="inlineStr"/>
      <c r="F1800" s="7" t="inlineStr"/>
      <c r="G1800" s="8" t="inlineStr"/>
      <c r="H1800" s="8" t="inlineStr"/>
      <c r="I1800" s="9" t="n">
        <v>16303</v>
      </c>
      <c r="J1800" s="10" t="n">
        <v>-482</v>
      </c>
      <c r="K1800" s="10" t="n">
        <v>-1621</v>
      </c>
      <c r="L1800" s="7" t="n">
        <v>19460</v>
      </c>
      <c r="M1800" s="8" t="n">
        <v>-316</v>
      </c>
      <c r="N1800" s="8" t="n">
        <v>-1754</v>
      </c>
      <c r="O1800" s="9" t="n">
        <v>17524</v>
      </c>
      <c r="P1800" s="10" t="n">
        <v>333</v>
      </c>
      <c r="Q1800" s="10" t="n">
        <v>-849</v>
      </c>
      <c r="R1800" s="7" t="n">
        <v>21527</v>
      </c>
      <c r="S1800" s="8" t="n">
        <v>1965</v>
      </c>
      <c r="T1800" s="8" t="n">
        <v>908</v>
      </c>
      <c r="U1800" s="9" t="n">
        <v>15823</v>
      </c>
      <c r="V1800" s="10" t="n">
        <v>-695</v>
      </c>
      <c r="W1800" s="10" t="n">
        <v>-1876</v>
      </c>
      <c r="X1800" s="7" t="n">
        <v>20442</v>
      </c>
      <c r="Y1800" s="8" t="n">
        <v>1825</v>
      </c>
      <c r="Z1800" s="8" t="n">
        <v>-217</v>
      </c>
      <c r="AA1800" s="9" t="n">
        <v>19251</v>
      </c>
      <c r="AB1800" s="10" t="n">
        <v>148</v>
      </c>
      <c r="AC1800" s="10" t="n">
        <v>-981</v>
      </c>
      <c r="AD1800" s="7" t="n">
        <v>20284</v>
      </c>
      <c r="AE1800" s="8" t="n">
        <v>719</v>
      </c>
      <c r="AF1800" s="8" t="n">
        <v>-69</v>
      </c>
      <c r="AG1800" s="9" t="n">
        <v>19835</v>
      </c>
      <c r="AH1800" s="10" t="n">
        <v>1806</v>
      </c>
      <c r="AI1800" s="10" t="n">
        <v>786</v>
      </c>
      <c r="AJ1800" s="11" t="n">
        <v>20958</v>
      </c>
      <c r="AK1800" s="12" t="n">
        <v>147</v>
      </c>
      <c r="AL1800" s="12" t="n">
        <v>-1000</v>
      </c>
      <c r="AM1800" s="13" t="n">
        <v>5.7</v>
      </c>
      <c r="AN1800" s="13" t="n">
        <v>2.5</v>
      </c>
      <c r="AO1800" s="13" t="n">
        <v>-91.90000000000001</v>
      </c>
      <c r="AP1800" s="13" t="n">
        <v>-91.90000000000001</v>
      </c>
    </row>
    <row r="1801">
      <c r="A1801" s="5" t="inlineStr">
        <is>
          <t>서연이화</t>
        </is>
      </c>
      <c r="B1801" s="6" t="inlineStr">
        <is>
          <t>200880</t>
        </is>
      </c>
      <c r="C1801" s="6" t="inlineStr">
        <is>
          <t>연결</t>
        </is>
      </c>
      <c r="D1801" s="6" t="inlineStr">
        <is>
          <t>2026Q2</t>
        </is>
      </c>
      <c r="E1801" s="6" t="inlineStr"/>
      <c r="F1801" s="7" t="inlineStr"/>
      <c r="G1801" s="8" t="inlineStr"/>
      <c r="H1801" s="8" t="inlineStr"/>
      <c r="I1801" s="9" t="n">
        <v>938732</v>
      </c>
      <c r="J1801" s="10" t="n">
        <v>44373</v>
      </c>
      <c r="K1801" s="10" t="n">
        <v>43812</v>
      </c>
      <c r="L1801" s="7" t="n">
        <v>1029034</v>
      </c>
      <c r="M1801" s="8" t="n">
        <v>49819</v>
      </c>
      <c r="N1801" s="8" t="n">
        <v>42275</v>
      </c>
      <c r="O1801" s="9" t="n">
        <v>1005218</v>
      </c>
      <c r="P1801" s="10" t="n">
        <v>56009</v>
      </c>
      <c r="Q1801" s="10" t="n">
        <v>20040</v>
      </c>
      <c r="R1801" s="7" t="n">
        <v>1068545</v>
      </c>
      <c r="S1801" s="8" t="n">
        <v>4203</v>
      </c>
      <c r="T1801" s="8" t="n">
        <v>48190</v>
      </c>
      <c r="U1801" s="9" t="n">
        <v>1055157</v>
      </c>
      <c r="V1801" s="10" t="n">
        <v>38629</v>
      </c>
      <c r="W1801" s="10" t="n">
        <v>16865</v>
      </c>
      <c r="X1801" s="7" t="n">
        <v>1210681</v>
      </c>
      <c r="Y1801" s="8" t="n">
        <v>52955</v>
      </c>
      <c r="Z1801" s="8" t="n">
        <v>-3904</v>
      </c>
      <c r="AA1801" s="9" t="n">
        <v>1096518</v>
      </c>
      <c r="AB1801" s="10" t="n">
        <v>49016</v>
      </c>
      <c r="AC1801" s="10" t="n">
        <v>48642</v>
      </c>
      <c r="AD1801" s="7" t="n">
        <v>1142894</v>
      </c>
      <c r="AE1801" s="8" t="n">
        <v>21200</v>
      </c>
      <c r="AF1801" s="8" t="n">
        <v>-503</v>
      </c>
      <c r="AG1801" s="9" t="n">
        <v>1188680</v>
      </c>
      <c r="AH1801" s="10" t="n">
        <v>48582</v>
      </c>
      <c r="AI1801" s="10" t="n">
        <v>46824</v>
      </c>
      <c r="AJ1801" s="11" t="n">
        <v>1254455</v>
      </c>
      <c r="AK1801" s="12" t="n">
        <v>51062</v>
      </c>
      <c r="AL1801" s="12" t="n">
        <v>34111</v>
      </c>
      <c r="AM1801" s="13" t="n">
        <v>5.5</v>
      </c>
      <c r="AN1801" s="13" t="n">
        <v>3.6</v>
      </c>
      <c r="AO1801" s="13" t="n">
        <v>5.1</v>
      </c>
      <c r="AP1801" s="13" t="n">
        <v>-3.6</v>
      </c>
    </row>
    <row r="1802">
      <c r="A1802" s="5" t="inlineStr">
        <is>
          <t>미투온</t>
        </is>
      </c>
      <c r="B1802" s="6" t="inlineStr">
        <is>
          <t>201490</t>
        </is>
      </c>
      <c r="C1802" s="6" t="inlineStr">
        <is>
          <t>연결</t>
        </is>
      </c>
      <c r="D1802" s="6" t="inlineStr">
        <is>
          <t>2026Q2</t>
        </is>
      </c>
      <c r="E1802" s="6" t="inlineStr">
        <is>
          <t>2023Q4</t>
        </is>
      </c>
      <c r="F1802" s="14" t="n">
        <v>27684</v>
      </c>
      <c r="G1802" s="15" t="n">
        <v>3365</v>
      </c>
      <c r="H1802" s="15" t="n">
        <v>1438</v>
      </c>
      <c r="I1802" s="9" t="n">
        <v>25417</v>
      </c>
      <c r="J1802" s="10" t="n">
        <v>4409</v>
      </c>
      <c r="K1802" s="10" t="n">
        <v>4401</v>
      </c>
      <c r="L1802" s="7" t="n">
        <v>24558</v>
      </c>
      <c r="M1802" s="8" t="n">
        <v>4727</v>
      </c>
      <c r="N1802" s="8" t="n">
        <v>4942</v>
      </c>
      <c r="O1802" s="9" t="n">
        <v>22155</v>
      </c>
      <c r="P1802" s="10" t="n">
        <v>2240</v>
      </c>
      <c r="Q1802" s="10" t="n">
        <v>2677</v>
      </c>
      <c r="R1802" s="7" t="n">
        <v>22186</v>
      </c>
      <c r="S1802" s="8" t="n">
        <v>435</v>
      </c>
      <c r="T1802" s="8" t="n">
        <v>-7987</v>
      </c>
      <c r="U1802" s="9" t="n">
        <v>23009</v>
      </c>
      <c r="V1802" s="10" t="n">
        <v>3326</v>
      </c>
      <c r="W1802" s="10" t="n">
        <v>4257</v>
      </c>
      <c r="X1802" s="7" t="n">
        <v>22340</v>
      </c>
      <c r="Y1802" s="8" t="n">
        <v>2949</v>
      </c>
      <c r="Z1802" s="8" t="n">
        <v>2343</v>
      </c>
      <c r="AA1802" s="9" t="n">
        <v>22715</v>
      </c>
      <c r="AB1802" s="10" t="n">
        <v>3335</v>
      </c>
      <c r="AC1802" s="10" t="n">
        <v>3042</v>
      </c>
      <c r="AD1802" s="7" t="n">
        <v>52860</v>
      </c>
      <c r="AE1802" s="8" t="n">
        <v>3002</v>
      </c>
      <c r="AF1802" s="8" t="n">
        <v>-5947</v>
      </c>
      <c r="AG1802" s="9" t="n">
        <v>23056</v>
      </c>
      <c r="AH1802" s="10" t="n">
        <v>3891</v>
      </c>
      <c r="AI1802" s="10" t="n">
        <v>3214</v>
      </c>
      <c r="AJ1802" s="11" t="n">
        <v>24851</v>
      </c>
      <c r="AK1802" s="12" t="n">
        <v>4765</v>
      </c>
      <c r="AL1802" s="12" t="n">
        <v>4340</v>
      </c>
      <c r="AM1802" s="13" t="n">
        <v>7.8</v>
      </c>
      <c r="AN1802" s="13" t="n">
        <v>11.2</v>
      </c>
      <c r="AO1802" s="13" t="n">
        <v>22.5</v>
      </c>
      <c r="AP1802" s="13" t="n">
        <v>61.6</v>
      </c>
    </row>
    <row r="1803">
      <c r="A1803" s="5" t="inlineStr">
        <is>
          <t>에이비온</t>
        </is>
      </c>
      <c r="B1803" s="6" t="inlineStr">
        <is>
          <t>203400</t>
        </is>
      </c>
      <c r="C1803" s="6" t="inlineStr">
        <is>
          <t>연결</t>
        </is>
      </c>
      <c r="D1803" s="6" t="inlineStr">
        <is>
          <t>2026Q2</t>
        </is>
      </c>
      <c r="E1803" s="6" t="inlineStr"/>
      <c r="F1803" s="7" t="inlineStr"/>
      <c r="G1803" s="8" t="inlineStr"/>
      <c r="H1803" s="8" t="inlineStr"/>
      <c r="I1803" s="9" t="n">
        <v>204</v>
      </c>
      <c r="J1803" s="10" t="n">
        <v>-6561</v>
      </c>
      <c r="K1803" s="10" t="n">
        <v>-7310</v>
      </c>
      <c r="L1803" s="7" t="n">
        <v>187</v>
      </c>
      <c r="M1803" s="8" t="n">
        <v>-8702</v>
      </c>
      <c r="N1803" s="8" t="n">
        <v>-20974</v>
      </c>
      <c r="O1803" s="9" t="n">
        <v>152</v>
      </c>
      <c r="P1803" s="10" t="n">
        <v>-8064</v>
      </c>
      <c r="Q1803" s="10" t="n">
        <v>-8671</v>
      </c>
      <c r="R1803" s="7" t="n">
        <v>217</v>
      </c>
      <c r="S1803" s="8" t="n">
        <v>-10739</v>
      </c>
      <c r="T1803" s="8" t="n">
        <v>-6426</v>
      </c>
      <c r="U1803" s="9" t="n">
        <v>439</v>
      </c>
      <c r="V1803" s="10" t="n">
        <v>-4987</v>
      </c>
      <c r="W1803" s="10" t="n">
        <v>-10438</v>
      </c>
      <c r="X1803" s="7" t="n">
        <v>212</v>
      </c>
      <c r="Y1803" s="8" t="n">
        <v>-4364</v>
      </c>
      <c r="Z1803" s="8" t="n">
        <v>-5859</v>
      </c>
      <c r="AA1803" s="9" t="n">
        <v>162</v>
      </c>
      <c r="AB1803" s="10" t="n">
        <v>-4393</v>
      </c>
      <c r="AC1803" s="10" t="n">
        <v>-5339</v>
      </c>
      <c r="AD1803" s="7" t="n">
        <v>67</v>
      </c>
      <c r="AE1803" s="8" t="n">
        <v>-5628</v>
      </c>
      <c r="AF1803" s="8" t="n">
        <v>-7427</v>
      </c>
      <c r="AG1803" s="9" t="n">
        <v>574</v>
      </c>
      <c r="AH1803" s="10" t="n">
        <v>-6545</v>
      </c>
      <c r="AI1803" s="10" t="n">
        <v>-6577</v>
      </c>
      <c r="AJ1803" s="11" t="n">
        <v>137</v>
      </c>
      <c r="AK1803" s="12" t="n">
        <v>-4322</v>
      </c>
      <c r="AL1803" s="12" t="n">
        <v>-9007</v>
      </c>
      <c r="AM1803" s="13" t="n">
        <v>-76.09999999999999</v>
      </c>
      <c r="AN1803" s="13" t="n">
        <v>-35.4</v>
      </c>
      <c r="AO1803" s="13" t="n">
        <v>34</v>
      </c>
      <c r="AP1803" s="13" t="n">
        <v>1</v>
      </c>
    </row>
    <row r="1804">
      <c r="A1804" s="5" t="inlineStr">
        <is>
          <t>유니온바이오메트릭스</t>
        </is>
      </c>
      <c r="B1804" s="6" t="inlineStr">
        <is>
          <t>203450</t>
        </is>
      </c>
      <c r="C1804" s="6" t="inlineStr">
        <is>
          <t>연결</t>
        </is>
      </c>
      <c r="D1804" s="6" t="inlineStr">
        <is>
          <t>2026Q2</t>
        </is>
      </c>
      <c r="E1804" s="6" t="inlineStr">
        <is>
          <t>2023Q4</t>
        </is>
      </c>
      <c r="F1804" s="14" t="n">
        <v>15874</v>
      </c>
      <c r="G1804" s="15" t="n">
        <v>3011</v>
      </c>
      <c r="H1804" s="15" t="n">
        <v>1809</v>
      </c>
      <c r="I1804" s="9" t="n">
        <v>9745</v>
      </c>
      <c r="J1804" s="10" t="n">
        <v>-823</v>
      </c>
      <c r="K1804" s="10" t="n">
        <v>-120</v>
      </c>
      <c r="L1804" s="7" t="n">
        <v>10038</v>
      </c>
      <c r="M1804" s="8" t="n">
        <v>72</v>
      </c>
      <c r="N1804" s="8" t="n">
        <v>487</v>
      </c>
      <c r="O1804" s="9" t="n">
        <v>11066</v>
      </c>
      <c r="P1804" s="10" t="n">
        <v>442</v>
      </c>
      <c r="Q1804" s="10" t="n">
        <v>854</v>
      </c>
      <c r="R1804" s="7" t="n">
        <v>25897</v>
      </c>
      <c r="S1804" s="8" t="n">
        <v>3151</v>
      </c>
      <c r="T1804" s="8" t="n">
        <v>3728</v>
      </c>
      <c r="U1804" s="9" t="n">
        <v>12841</v>
      </c>
      <c r="V1804" s="10" t="n">
        <v>822</v>
      </c>
      <c r="W1804" s="10" t="n">
        <v>917</v>
      </c>
      <c r="X1804" s="7" t="n">
        <v>11830</v>
      </c>
      <c r="Y1804" s="8" t="n">
        <v>-321</v>
      </c>
      <c r="Z1804" s="8" t="n">
        <v>-199</v>
      </c>
      <c r="AA1804" s="9" t="n">
        <v>13214</v>
      </c>
      <c r="AB1804" s="10" t="n">
        <v>473</v>
      </c>
      <c r="AC1804" s="10" t="n">
        <v>845</v>
      </c>
      <c r="AD1804" s="7" t="n">
        <v>13439</v>
      </c>
      <c r="AE1804" s="8" t="n">
        <v>47</v>
      </c>
      <c r="AF1804" s="8" t="n">
        <v>448</v>
      </c>
      <c r="AG1804" s="9" t="n">
        <v>11410</v>
      </c>
      <c r="AH1804" s="10" t="n">
        <v>-857</v>
      </c>
      <c r="AI1804" s="10" t="n">
        <v>308</v>
      </c>
      <c r="AJ1804" s="11" t="n">
        <v>13790</v>
      </c>
      <c r="AK1804" s="12" t="n">
        <v>-354</v>
      </c>
      <c r="AL1804" s="12" t="n">
        <v>-368</v>
      </c>
      <c r="AM1804" s="13" t="n">
        <v>20.9</v>
      </c>
      <c r="AN1804" s="13" t="n">
        <v>16.6</v>
      </c>
      <c r="AO1804" s="13" t="n">
        <v>58.7</v>
      </c>
      <c r="AP1804" s="13" t="n">
        <v>-10.3</v>
      </c>
    </row>
    <row r="1805">
      <c r="A1805" s="5" t="inlineStr">
        <is>
          <t>드림시큐리티</t>
        </is>
      </c>
      <c r="B1805" s="6" t="inlineStr">
        <is>
          <t>203650</t>
        </is>
      </c>
      <c r="C1805" s="6" t="inlineStr">
        <is>
          <t>연결</t>
        </is>
      </c>
      <c r="D1805" s="6" t="inlineStr">
        <is>
          <t>2026Q2</t>
        </is>
      </c>
      <c r="E1805" s="6" t="inlineStr"/>
      <c r="F1805" s="7" t="inlineStr"/>
      <c r="G1805" s="8" t="inlineStr"/>
      <c r="H1805" s="8" t="inlineStr"/>
      <c r="I1805" s="9" t="n">
        <v>65061</v>
      </c>
      <c r="J1805" s="10" t="n">
        <v>6483</v>
      </c>
      <c r="K1805" s="10" t="n">
        <v>2612</v>
      </c>
      <c r="L1805" s="7" t="n">
        <v>51040</v>
      </c>
      <c r="M1805" s="8" t="n">
        <v>1921</v>
      </c>
      <c r="N1805" s="8" t="n">
        <v>-105</v>
      </c>
      <c r="O1805" s="9" t="n">
        <v>69540</v>
      </c>
      <c r="P1805" s="10" t="n">
        <v>6594</v>
      </c>
      <c r="Q1805" s="10" t="n">
        <v>302</v>
      </c>
      <c r="R1805" s="7" t="n">
        <v>83198</v>
      </c>
      <c r="S1805" s="8" t="n">
        <v>10648</v>
      </c>
      <c r="T1805" s="8" t="n">
        <v>9266</v>
      </c>
      <c r="U1805" s="9" t="n">
        <v>74177</v>
      </c>
      <c r="V1805" s="10" t="n">
        <v>5934</v>
      </c>
      <c r="W1805" s="10" t="n">
        <v>686</v>
      </c>
      <c r="X1805" s="7" t="n">
        <v>74882</v>
      </c>
      <c r="Y1805" s="8" t="n">
        <v>2472</v>
      </c>
      <c r="Z1805" s="8" t="n">
        <v>-624</v>
      </c>
      <c r="AA1805" s="9" t="n">
        <v>75117</v>
      </c>
      <c r="AB1805" s="10" t="n">
        <v>3997</v>
      </c>
      <c r="AC1805" s="10" t="n">
        <v>4066</v>
      </c>
      <c r="AD1805" s="7" t="n">
        <v>94675</v>
      </c>
      <c r="AE1805" s="8" t="n">
        <v>10082</v>
      </c>
      <c r="AF1805" s="8" t="n">
        <v>3264</v>
      </c>
      <c r="AG1805" s="9" t="n">
        <v>108396</v>
      </c>
      <c r="AH1805" s="10" t="n">
        <v>3761</v>
      </c>
      <c r="AI1805" s="10" t="n">
        <v>276</v>
      </c>
      <c r="AJ1805" s="11" t="n">
        <v>108304</v>
      </c>
      <c r="AK1805" s="12" t="n">
        <v>8161</v>
      </c>
      <c r="AL1805" s="12" t="n">
        <v>4783</v>
      </c>
      <c r="AM1805" s="13" t="n">
        <v>-0.1</v>
      </c>
      <c r="AN1805" s="13" t="n">
        <v>44.6</v>
      </c>
      <c r="AO1805" s="13" t="n">
        <v>117</v>
      </c>
      <c r="AP1805" s="13" t="n">
        <v>230.1</v>
      </c>
    </row>
    <row r="1806">
      <c r="A1806" s="5" t="inlineStr">
        <is>
          <t>아크솔루션스</t>
        </is>
      </c>
      <c r="B1806" s="6" t="inlineStr">
        <is>
          <t>203690</t>
        </is>
      </c>
      <c r="C1806" s="6" t="inlineStr">
        <is>
          <t>연결</t>
        </is>
      </c>
      <c r="D1806" s="6" t="inlineStr">
        <is>
          <t>2026Q2</t>
        </is>
      </c>
      <c r="E1806" s="6" t="inlineStr"/>
      <c r="F1806" s="7" t="inlineStr"/>
      <c r="G1806" s="8" t="inlineStr"/>
      <c r="H1806" s="8" t="inlineStr"/>
      <c r="I1806" s="9" t="n">
        <v>7812</v>
      </c>
      <c r="J1806" s="10" t="n">
        <v>-2425</v>
      </c>
      <c r="K1806" s="10" t="n">
        <v>-1479</v>
      </c>
      <c r="L1806" s="7" t="n">
        <v>8024</v>
      </c>
      <c r="M1806" s="8" t="n">
        <v>-1525</v>
      </c>
      <c r="N1806" s="8" t="n">
        <v>-389</v>
      </c>
      <c r="O1806" s="9" t="n">
        <v>8940</v>
      </c>
      <c r="P1806" s="10" t="n">
        <v>-941</v>
      </c>
      <c r="Q1806" s="10" t="n">
        <v>-3979</v>
      </c>
      <c r="R1806" s="7" t="n">
        <v>8449</v>
      </c>
      <c r="S1806" s="8" t="n">
        <v>-1311</v>
      </c>
      <c r="T1806" s="8" t="n">
        <v>-3579</v>
      </c>
      <c r="U1806" s="9" t="n">
        <v>5516</v>
      </c>
      <c r="V1806" s="10" t="n">
        <v>-1892</v>
      </c>
      <c r="W1806" s="10" t="n">
        <v>-3180</v>
      </c>
      <c r="X1806" s="7" t="n">
        <v>3911</v>
      </c>
      <c r="Y1806" s="8" t="n">
        <v>-1736</v>
      </c>
      <c r="Z1806" s="8" t="n">
        <v>-1815</v>
      </c>
      <c r="AA1806" s="9" t="n">
        <v>3619</v>
      </c>
      <c r="AB1806" s="10" t="n">
        <v>-1455</v>
      </c>
      <c r="AC1806" s="10" t="n">
        <v>-2694</v>
      </c>
      <c r="AD1806" s="7" t="n">
        <v>3033</v>
      </c>
      <c r="AE1806" s="8" t="n">
        <v>-2354</v>
      </c>
      <c r="AF1806" s="8" t="n">
        <v>-4106</v>
      </c>
      <c r="AG1806" s="9" t="n">
        <v>7386</v>
      </c>
      <c r="AH1806" s="10" t="n">
        <v>-946</v>
      </c>
      <c r="AI1806" s="10" t="n">
        <v>-1045</v>
      </c>
      <c r="AJ1806" s="11" t="n">
        <v>3289</v>
      </c>
      <c r="AK1806" s="12" t="n">
        <v>-1452</v>
      </c>
      <c r="AL1806" s="12" t="n">
        <v>-1571</v>
      </c>
      <c r="AM1806" s="13" t="n">
        <v>-55.5</v>
      </c>
      <c r="AN1806" s="13" t="n">
        <v>-15.9</v>
      </c>
      <c r="AO1806" s="13" t="n">
        <v>-53.5</v>
      </c>
      <c r="AP1806" s="13" t="n">
        <v>16.4</v>
      </c>
    </row>
    <row r="1807">
      <c r="A1807" s="5" t="inlineStr">
        <is>
          <t>그리티</t>
        </is>
      </c>
      <c r="B1807" s="6" t="inlineStr">
        <is>
          <t>204020</t>
        </is>
      </c>
      <c r="C1807" s="6" t="inlineStr">
        <is>
          <t>연결</t>
        </is>
      </c>
      <c r="D1807" s="6" t="inlineStr">
        <is>
          <t>2026Q2</t>
        </is>
      </c>
      <c r="E1807" s="6" t="inlineStr"/>
      <c r="F1807" s="7" t="inlineStr"/>
      <c r="G1807" s="8" t="inlineStr"/>
      <c r="H1807" s="8" t="inlineStr"/>
      <c r="I1807" s="9" t="n">
        <v>40781</v>
      </c>
      <c r="J1807" s="10" t="n">
        <v>2154</v>
      </c>
      <c r="K1807" s="10" t="n">
        <v>1690</v>
      </c>
      <c r="L1807" s="7" t="n">
        <v>63150</v>
      </c>
      <c r="M1807" s="8" t="n">
        <v>5198</v>
      </c>
      <c r="N1807" s="8" t="n">
        <v>4395</v>
      </c>
      <c r="O1807" s="9" t="n">
        <v>54304</v>
      </c>
      <c r="P1807" s="10" t="n">
        <v>4197</v>
      </c>
      <c r="Q1807" s="10" t="n">
        <v>3377</v>
      </c>
      <c r="R1807" s="7" t="n">
        <v>36505</v>
      </c>
      <c r="S1807" s="8" t="n">
        <v>761</v>
      </c>
      <c r="T1807" s="8" t="n">
        <v>227</v>
      </c>
      <c r="U1807" s="9" t="n">
        <v>41049</v>
      </c>
      <c r="V1807" s="10" t="n">
        <v>1256</v>
      </c>
      <c r="W1807" s="10" t="n">
        <v>1001</v>
      </c>
      <c r="X1807" s="7" t="n">
        <v>62057</v>
      </c>
      <c r="Y1807" s="8" t="n">
        <v>2362</v>
      </c>
      <c r="Z1807" s="8" t="n">
        <v>1679</v>
      </c>
      <c r="AA1807" s="9" t="n">
        <v>56475</v>
      </c>
      <c r="AB1807" s="10" t="n">
        <v>3554</v>
      </c>
      <c r="AC1807" s="10" t="n">
        <v>2410</v>
      </c>
      <c r="AD1807" s="7" t="n">
        <v>42137</v>
      </c>
      <c r="AE1807" s="8" t="n">
        <v>681</v>
      </c>
      <c r="AF1807" s="8" t="n">
        <v>-401</v>
      </c>
      <c r="AG1807" s="9" t="n">
        <v>38424</v>
      </c>
      <c r="AH1807" s="10" t="n">
        <v>587</v>
      </c>
      <c r="AI1807" s="10" t="n">
        <v>-372</v>
      </c>
      <c r="AJ1807" s="11" t="n">
        <v>59895</v>
      </c>
      <c r="AK1807" s="12" t="n">
        <v>3690</v>
      </c>
      <c r="AL1807" s="12" t="n">
        <v>2929</v>
      </c>
      <c r="AM1807" s="13" t="n">
        <v>55.9</v>
      </c>
      <c r="AN1807" s="13" t="n">
        <v>-3.5</v>
      </c>
      <c r="AO1807" s="13" t="n">
        <v>528.6</v>
      </c>
      <c r="AP1807" s="13" t="n">
        <v>56.2</v>
      </c>
    </row>
    <row r="1808">
      <c r="A1808" s="5" t="inlineStr">
        <is>
          <t>제이앤티씨</t>
        </is>
      </c>
      <c r="B1808" s="6" t="inlineStr">
        <is>
          <t>204270</t>
        </is>
      </c>
      <c r="C1808" s="6" t="inlineStr">
        <is>
          <t>연결</t>
        </is>
      </c>
      <c r="D1808" s="6" t="inlineStr">
        <is>
          <t>2026Q2</t>
        </is>
      </c>
      <c r="E1808" s="6" t="inlineStr"/>
      <c r="F1808" s="7" t="inlineStr"/>
      <c r="G1808" s="8" t="inlineStr"/>
      <c r="H1808" s="8" t="inlineStr"/>
      <c r="I1808" s="9" t="n">
        <v>127062</v>
      </c>
      <c r="J1808" s="10" t="n">
        <v>31758</v>
      </c>
      <c r="K1808" s="10" t="n">
        <v>32342</v>
      </c>
      <c r="L1808" s="7" t="n">
        <v>65346</v>
      </c>
      <c r="M1808" s="8" t="n">
        <v>-20866</v>
      </c>
      <c r="N1808" s="8" t="n">
        <v>-15089</v>
      </c>
      <c r="O1808" s="9" t="n">
        <v>32662</v>
      </c>
      <c r="P1808" s="10" t="n">
        <v>-25247</v>
      </c>
      <c r="Q1808" s="10" t="n">
        <v>-36422</v>
      </c>
      <c r="R1808" s="7" t="n">
        <v>48169</v>
      </c>
      <c r="S1808" s="8" t="n">
        <v>-31736</v>
      </c>
      <c r="T1808" s="8" t="n">
        <v>-14232</v>
      </c>
      <c r="U1808" s="9" t="n">
        <v>48049</v>
      </c>
      <c r="V1808" s="10" t="n">
        <v>-14168</v>
      </c>
      <c r="W1808" s="10" t="n">
        <v>-18016</v>
      </c>
      <c r="X1808" s="7" t="n">
        <v>56085</v>
      </c>
      <c r="Y1808" s="8" t="n">
        <v>-23845</v>
      </c>
      <c r="Z1808" s="8" t="n">
        <v>-39651</v>
      </c>
      <c r="AA1808" s="9" t="n">
        <v>39097</v>
      </c>
      <c r="AB1808" s="10" t="n">
        <v>-17926</v>
      </c>
      <c r="AC1808" s="10" t="n">
        <v>-15627</v>
      </c>
      <c r="AD1808" s="7" t="n">
        <v>42422</v>
      </c>
      <c r="AE1808" s="8" t="n">
        <v>-22057</v>
      </c>
      <c r="AF1808" s="8" t="n">
        <v>-18287</v>
      </c>
      <c r="AG1808" s="9" t="n">
        <v>39979</v>
      </c>
      <c r="AH1808" s="10" t="n">
        <v>-11432</v>
      </c>
      <c r="AI1808" s="10" t="n">
        <v>-8427</v>
      </c>
      <c r="AJ1808" s="11" t="n">
        <v>38832</v>
      </c>
      <c r="AK1808" s="12" t="n">
        <v>-25006</v>
      </c>
      <c r="AL1808" s="12" t="n">
        <v>-24672</v>
      </c>
      <c r="AM1808" s="13" t="n">
        <v>-2.9</v>
      </c>
      <c r="AN1808" s="13" t="n">
        <v>-30.8</v>
      </c>
      <c r="AO1808" s="13" t="n">
        <v>-118.7</v>
      </c>
      <c r="AP1808" s="13" t="n">
        <v>-4.9</v>
      </c>
    </row>
    <row r="1809">
      <c r="A1809" s="5" t="inlineStr">
        <is>
          <t>HL만도</t>
        </is>
      </c>
      <c r="B1809" s="6" t="inlineStr">
        <is>
          <t>204320</t>
        </is>
      </c>
      <c r="C1809" s="6" t="inlineStr">
        <is>
          <t>연결</t>
        </is>
      </c>
      <c r="D1809" s="6" t="inlineStr">
        <is>
          <t>2026Q2</t>
        </is>
      </c>
      <c r="E1809" s="6" t="inlineStr">
        <is>
          <t>2023Q4</t>
        </is>
      </c>
      <c r="F1809" s="14" t="n">
        <v>2190435</v>
      </c>
      <c r="G1809" s="15" t="n">
        <v>50591</v>
      </c>
      <c r="H1809" s="15" t="n">
        <v>40629</v>
      </c>
      <c r="I1809" s="9" t="n">
        <v>2107342</v>
      </c>
      <c r="J1809" s="10" t="n">
        <v>75618</v>
      </c>
      <c r="K1809" s="10" t="n">
        <v>145739</v>
      </c>
      <c r="L1809" s="7" t="n">
        <v>2147360</v>
      </c>
      <c r="M1809" s="8" t="n">
        <v>89625</v>
      </c>
      <c r="N1809" s="8" t="n">
        <v>11876</v>
      </c>
      <c r="O1809" s="9" t="n">
        <v>2171724</v>
      </c>
      <c r="P1809" s="10" t="n">
        <v>82497</v>
      </c>
      <c r="Q1809" s="10" t="n">
        <v>-49155</v>
      </c>
      <c r="R1809" s="7" t="n">
        <v>2421756</v>
      </c>
      <c r="S1809" s="8" t="n">
        <v>111021</v>
      </c>
      <c r="T1809" s="8" t="n">
        <v>49789</v>
      </c>
      <c r="U1809" s="9" t="n">
        <v>2271045</v>
      </c>
      <c r="V1809" s="10" t="n">
        <v>79183</v>
      </c>
      <c r="W1809" s="10" t="n">
        <v>34635</v>
      </c>
      <c r="X1809" s="7" t="n">
        <v>2400874</v>
      </c>
      <c r="Y1809" s="8" t="n">
        <v>104101</v>
      </c>
      <c r="Z1809" s="8" t="n">
        <v>9898</v>
      </c>
      <c r="AA1809" s="9" t="n">
        <v>2321278</v>
      </c>
      <c r="AB1809" s="10" t="n">
        <v>94152</v>
      </c>
      <c r="AC1809" s="10" t="n">
        <v>49217</v>
      </c>
      <c r="AD1809" s="7" t="n">
        <v>2461616</v>
      </c>
      <c r="AE1809" s="8" t="n">
        <v>79685</v>
      </c>
      <c r="AF1809" s="8" t="n">
        <v>29052</v>
      </c>
      <c r="AG1809" s="9" t="n">
        <v>2311655</v>
      </c>
      <c r="AH1809" s="10" t="n">
        <v>93584</v>
      </c>
      <c r="AI1809" s="10" t="n">
        <v>53074</v>
      </c>
      <c r="AJ1809" s="11" t="n">
        <v>2495285</v>
      </c>
      <c r="AK1809" s="12" t="n">
        <v>107018</v>
      </c>
      <c r="AL1809" s="12" t="n">
        <v>58783</v>
      </c>
      <c r="AM1809" s="13" t="n">
        <v>7.9</v>
      </c>
      <c r="AN1809" s="13" t="n">
        <v>3.9</v>
      </c>
      <c r="AO1809" s="13" t="n">
        <v>14.4</v>
      </c>
      <c r="AP1809" s="13" t="n">
        <v>2.8</v>
      </c>
    </row>
    <row r="1810">
      <c r="A1810" s="5" t="inlineStr">
        <is>
          <t>티쓰리</t>
        </is>
      </c>
      <c r="B1810" s="6" t="inlineStr">
        <is>
          <t>204610</t>
        </is>
      </c>
      <c r="C1810" s="6" t="inlineStr">
        <is>
          <t>연결</t>
        </is>
      </c>
      <c r="D1810" s="6" t="inlineStr">
        <is>
          <t>2026Q2</t>
        </is>
      </c>
      <c r="E1810" s="6" t="inlineStr"/>
      <c r="F1810" s="7" t="inlineStr"/>
      <c r="G1810" s="8" t="inlineStr"/>
      <c r="H1810" s="8" t="inlineStr"/>
      <c r="I1810" s="9" t="inlineStr"/>
      <c r="J1810" s="10" t="n">
        <v>2543</v>
      </c>
      <c r="K1810" s="10" t="n">
        <v>2419</v>
      </c>
      <c r="L1810" s="7" t="inlineStr"/>
      <c r="M1810" s="8" t="n">
        <v>2908</v>
      </c>
      <c r="N1810" s="8" t="n">
        <v>5213</v>
      </c>
      <c r="O1810" s="9" t="inlineStr"/>
      <c r="P1810" s="10" t="n">
        <v>3660</v>
      </c>
      <c r="Q1810" s="10" t="n">
        <v>2706</v>
      </c>
      <c r="R1810" s="7" t="inlineStr"/>
      <c r="S1810" s="8" t="n">
        <v>1412</v>
      </c>
      <c r="T1810" s="8" t="n">
        <v>2287</v>
      </c>
      <c r="U1810" s="9" t="n">
        <v>16030</v>
      </c>
      <c r="V1810" s="10" t="n">
        <v>3439</v>
      </c>
      <c r="W1810" s="10" t="n">
        <v>3796</v>
      </c>
      <c r="X1810" s="7" t="n">
        <v>19689</v>
      </c>
      <c r="Y1810" s="8" t="n">
        <v>5946</v>
      </c>
      <c r="Z1810" s="8" t="n">
        <v>5665</v>
      </c>
      <c r="AA1810" s="9" t="n">
        <v>16679</v>
      </c>
      <c r="AB1810" s="10" t="n">
        <v>2973</v>
      </c>
      <c r="AC1810" s="10" t="n">
        <v>3182</v>
      </c>
      <c r="AD1810" s="7" t="n">
        <v>17114</v>
      </c>
      <c r="AE1810" s="8" t="n">
        <v>4656</v>
      </c>
      <c r="AF1810" s="8" t="n">
        <v>7919</v>
      </c>
      <c r="AG1810" s="9" t="n">
        <v>22089</v>
      </c>
      <c r="AH1810" s="10" t="n">
        <v>5842</v>
      </c>
      <c r="AI1810" s="10" t="n">
        <v>6374</v>
      </c>
      <c r="AJ1810" s="11" t="n">
        <v>25803</v>
      </c>
      <c r="AK1810" s="12" t="n">
        <v>5174</v>
      </c>
      <c r="AL1810" s="12" t="n">
        <v>5594</v>
      </c>
      <c r="AM1810" s="13" t="n">
        <v>16.8</v>
      </c>
      <c r="AN1810" s="13" t="n">
        <v>31.1</v>
      </c>
      <c r="AO1810" s="13" t="n">
        <v>-11.4</v>
      </c>
      <c r="AP1810" s="13" t="n">
        <v>-13</v>
      </c>
    </row>
    <row r="1811">
      <c r="A1811" s="5" t="inlineStr">
        <is>
          <t>글로벌텍스프리</t>
        </is>
      </c>
      <c r="B1811" s="6" t="inlineStr">
        <is>
          <t>204620</t>
        </is>
      </c>
      <c r="C1811" s="6" t="inlineStr">
        <is>
          <t>연결</t>
        </is>
      </c>
      <c r="D1811" s="6" t="inlineStr">
        <is>
          <t>2026Q2</t>
        </is>
      </c>
      <c r="E1811" s="6" t="inlineStr"/>
      <c r="F1811" s="7" t="inlineStr"/>
      <c r="G1811" s="8" t="inlineStr"/>
      <c r="H1811" s="8" t="inlineStr"/>
      <c r="I1811" s="9" t="n">
        <v>31342</v>
      </c>
      <c r="J1811" s="10" t="n">
        <v>2434</v>
      </c>
      <c r="K1811" s="10" t="n">
        <v>-914</v>
      </c>
      <c r="L1811" s="7" t="n">
        <v>33901</v>
      </c>
      <c r="M1811" s="8" t="n">
        <v>6362</v>
      </c>
      <c r="N1811" s="8" t="n">
        <v>2229</v>
      </c>
      <c r="O1811" s="9" t="n">
        <v>33221</v>
      </c>
      <c r="P1811" s="10" t="n">
        <v>5839</v>
      </c>
      <c r="Q1811" s="10" t="n">
        <v>2632</v>
      </c>
      <c r="R1811" s="7" t="n">
        <v>31266</v>
      </c>
      <c r="S1811" s="8" t="n">
        <v>7136</v>
      </c>
      <c r="T1811" s="8" t="n">
        <v>2303</v>
      </c>
      <c r="U1811" s="9" t="n">
        <v>34286</v>
      </c>
      <c r="V1811" s="10" t="n">
        <v>5085</v>
      </c>
      <c r="W1811" s="10" t="n">
        <v>5638</v>
      </c>
      <c r="X1811" s="7" t="n">
        <v>44993</v>
      </c>
      <c r="Y1811" s="8" t="n">
        <v>8264</v>
      </c>
      <c r="Z1811" s="8" t="n">
        <v>9904</v>
      </c>
      <c r="AA1811" s="9" t="n">
        <v>45051</v>
      </c>
      <c r="AB1811" s="10" t="n">
        <v>8250</v>
      </c>
      <c r="AC1811" s="10" t="n">
        <v>6085</v>
      </c>
      <c r="AD1811" s="7" t="n">
        <v>29727</v>
      </c>
      <c r="AE1811" s="8" t="n">
        <v>7386</v>
      </c>
      <c r="AF1811" s="8" t="n">
        <v>13823</v>
      </c>
      <c r="AG1811" s="9" t="n">
        <v>35489</v>
      </c>
      <c r="AH1811" s="10" t="n">
        <v>5822</v>
      </c>
      <c r="AI1811" s="10" t="n">
        <v>4997</v>
      </c>
      <c r="AJ1811" s="11" t="n">
        <v>46904</v>
      </c>
      <c r="AK1811" s="12" t="n">
        <v>9039</v>
      </c>
      <c r="AL1811" s="12" t="n">
        <v>11935</v>
      </c>
      <c r="AM1811" s="13" t="n">
        <v>32.2</v>
      </c>
      <c r="AN1811" s="13" t="n">
        <v>4.2</v>
      </c>
      <c r="AO1811" s="13" t="n">
        <v>55.3</v>
      </c>
      <c r="AP1811" s="13" t="n">
        <v>9.4</v>
      </c>
    </row>
    <row r="1812">
      <c r="A1812" s="5" t="inlineStr">
        <is>
          <t>지엘팜텍</t>
        </is>
      </c>
      <c r="B1812" s="6" t="inlineStr">
        <is>
          <t>204840</t>
        </is>
      </c>
      <c r="C1812" s="6" t="inlineStr">
        <is>
          <t>연결</t>
        </is>
      </c>
      <c r="D1812" s="6" t="inlineStr">
        <is>
          <t>2026Q2</t>
        </is>
      </c>
      <c r="E1812" s="6" t="inlineStr"/>
      <c r="F1812" s="7" t="inlineStr"/>
      <c r="G1812" s="8" t="inlineStr"/>
      <c r="H1812" s="8" t="inlineStr"/>
      <c r="I1812" s="9" t="n">
        <v>5834</v>
      </c>
      <c r="J1812" s="10" t="n">
        <v>-1462</v>
      </c>
      <c r="K1812" s="10" t="n">
        <v>-1633</v>
      </c>
      <c r="L1812" s="7" t="n">
        <v>6967</v>
      </c>
      <c r="M1812" s="8" t="n">
        <v>-487</v>
      </c>
      <c r="N1812" s="8" t="n">
        <v>-681</v>
      </c>
      <c r="O1812" s="9" t="n">
        <v>4681</v>
      </c>
      <c r="P1812" s="10" t="n">
        <v>138</v>
      </c>
      <c r="Q1812" s="10" t="n">
        <v>-118</v>
      </c>
      <c r="R1812" s="7" t="n">
        <v>8566</v>
      </c>
      <c r="S1812" s="8" t="n">
        <v>43</v>
      </c>
      <c r="T1812" s="8" t="n">
        <v>95</v>
      </c>
      <c r="U1812" s="9" t="n">
        <v>7839</v>
      </c>
      <c r="V1812" s="10" t="n">
        <v>128</v>
      </c>
      <c r="W1812" s="10" t="n">
        <v>24</v>
      </c>
      <c r="X1812" s="7" t="n">
        <v>8359</v>
      </c>
      <c r="Y1812" s="8" t="n">
        <v>182</v>
      </c>
      <c r="Z1812" s="8" t="n">
        <v>57</v>
      </c>
      <c r="AA1812" s="9" t="n">
        <v>9535</v>
      </c>
      <c r="AB1812" s="10" t="n">
        <v>253</v>
      </c>
      <c r="AC1812" s="10" t="n">
        <v>133</v>
      </c>
      <c r="AD1812" s="7" t="n">
        <v>9535</v>
      </c>
      <c r="AE1812" s="8" t="n">
        <v>-295</v>
      </c>
      <c r="AF1812" s="8" t="n">
        <v>-202</v>
      </c>
      <c r="AG1812" s="9" t="n">
        <v>9434</v>
      </c>
      <c r="AH1812" s="10" t="n">
        <v>35</v>
      </c>
      <c r="AI1812" s="10" t="n">
        <v>-120</v>
      </c>
      <c r="AJ1812" s="11" t="n">
        <v>9702</v>
      </c>
      <c r="AK1812" s="12" t="n">
        <v>231</v>
      </c>
      <c r="AL1812" s="12" t="n">
        <v>82</v>
      </c>
      <c r="AM1812" s="13" t="n">
        <v>2.8</v>
      </c>
      <c r="AN1812" s="13" t="n">
        <v>16.1</v>
      </c>
      <c r="AO1812" s="13" t="n">
        <v>560</v>
      </c>
      <c r="AP1812" s="13" t="n">
        <v>26.9</v>
      </c>
    </row>
    <row r="1813">
      <c r="A1813" s="5" t="inlineStr">
        <is>
          <t>엑셈</t>
        </is>
      </c>
      <c r="B1813" s="6" t="inlineStr">
        <is>
          <t>205100</t>
        </is>
      </c>
      <c r="C1813" s="6" t="inlineStr">
        <is>
          <t>연결</t>
        </is>
      </c>
      <c r="D1813" s="6" t="inlineStr">
        <is>
          <t>2026Q2</t>
        </is>
      </c>
      <c r="E1813" s="6" t="inlineStr"/>
      <c r="F1813" s="7" t="inlineStr"/>
      <c r="G1813" s="8" t="inlineStr"/>
      <c r="H1813" s="8" t="inlineStr"/>
      <c r="I1813" s="9" t="n">
        <v>9143</v>
      </c>
      <c r="J1813" s="10" t="n">
        <v>-2857</v>
      </c>
      <c r="K1813" s="10" t="n">
        <v>-1766</v>
      </c>
      <c r="L1813" s="7" t="n">
        <v>13320</v>
      </c>
      <c r="M1813" s="8" t="n">
        <v>319</v>
      </c>
      <c r="N1813" s="8" t="n">
        <v>735</v>
      </c>
      <c r="O1813" s="9" t="n">
        <v>12330</v>
      </c>
      <c r="P1813" s="10" t="n">
        <v>505</v>
      </c>
      <c r="Q1813" s="10" t="n">
        <v>482</v>
      </c>
      <c r="R1813" s="7" t="n">
        <v>26444</v>
      </c>
      <c r="S1813" s="8" t="n">
        <v>10867</v>
      </c>
      <c r="T1813" s="8" t="n">
        <v>11317</v>
      </c>
      <c r="U1813" s="9" t="n">
        <v>11666</v>
      </c>
      <c r="V1813" s="10" t="n">
        <v>-2467</v>
      </c>
      <c r="W1813" s="10" t="n">
        <v>-2419</v>
      </c>
      <c r="X1813" s="7" t="n">
        <v>12560</v>
      </c>
      <c r="Y1813" s="8" t="n">
        <v>-96</v>
      </c>
      <c r="Z1813" s="8" t="n">
        <v>-38</v>
      </c>
      <c r="AA1813" s="9" t="n">
        <v>13536</v>
      </c>
      <c r="AB1813" s="10" t="n">
        <v>520</v>
      </c>
      <c r="AC1813" s="10" t="n">
        <v>1549</v>
      </c>
      <c r="AD1813" s="7" t="n">
        <v>10001</v>
      </c>
      <c r="AE1813" s="8" t="n">
        <v>5695</v>
      </c>
      <c r="AF1813" s="8" t="n">
        <v>9594</v>
      </c>
      <c r="AG1813" s="9" t="n">
        <v>11171</v>
      </c>
      <c r="AH1813" s="10" t="n">
        <v>-2230</v>
      </c>
      <c r="AI1813" s="10" t="n">
        <v>3265</v>
      </c>
      <c r="AJ1813" s="11" t="n">
        <v>12644</v>
      </c>
      <c r="AK1813" s="12" t="n">
        <v>2588</v>
      </c>
      <c r="AL1813" s="12" t="n">
        <v>15045</v>
      </c>
      <c r="AM1813" s="13" t="n">
        <v>13.2</v>
      </c>
      <c r="AN1813" s="13" t="n">
        <v>0.7</v>
      </c>
      <c r="AO1813" s="13" t="n">
        <v>216.1</v>
      </c>
      <c r="AP1813" s="13" t="n">
        <v>2795.8</v>
      </c>
    </row>
    <row r="1814">
      <c r="A1814" s="5" t="inlineStr">
        <is>
          <t>휴마시스</t>
        </is>
      </c>
      <c r="B1814" s="6" t="inlineStr">
        <is>
          <t>205470</t>
        </is>
      </c>
      <c r="C1814" s="6" t="inlineStr">
        <is>
          <t>연결</t>
        </is>
      </c>
      <c r="D1814" s="6" t="inlineStr">
        <is>
          <t>2026Q2</t>
        </is>
      </c>
      <c r="E1814" s="6" t="inlineStr"/>
      <c r="F1814" s="7" t="inlineStr"/>
      <c r="G1814" s="8" t="inlineStr"/>
      <c r="H1814" s="8" t="inlineStr"/>
      <c r="I1814" s="9" t="n">
        <v>1869</v>
      </c>
      <c r="J1814" s="10" t="n">
        <v>-3474</v>
      </c>
      <c r="K1814" s="10" t="n">
        <v>1614</v>
      </c>
      <c r="L1814" s="7" t="n">
        <v>1098</v>
      </c>
      <c r="M1814" s="8" t="n">
        <v>-3037</v>
      </c>
      <c r="N1814" s="8" t="n">
        <v>1151</v>
      </c>
      <c r="O1814" s="9" t="n">
        <v>10538</v>
      </c>
      <c r="P1814" s="10" t="n">
        <v>-1106</v>
      </c>
      <c r="Q1814" s="10" t="n">
        <v>-4722</v>
      </c>
      <c r="R1814" s="7" t="n">
        <v>11908</v>
      </c>
      <c r="S1814" s="8" t="n">
        <v>-2942</v>
      </c>
      <c r="T1814" s="8" t="n">
        <v>-33609</v>
      </c>
      <c r="U1814" s="9" t="n">
        <v>6165</v>
      </c>
      <c r="V1814" s="10" t="n">
        <v>-2731</v>
      </c>
      <c r="W1814" s="10" t="n">
        <v>-2969</v>
      </c>
      <c r="X1814" s="7" t="n">
        <v>8878</v>
      </c>
      <c r="Y1814" s="8" t="n">
        <v>-2048</v>
      </c>
      <c r="Z1814" s="8" t="n">
        <v>-5975</v>
      </c>
      <c r="AA1814" s="9" t="n">
        <v>8650</v>
      </c>
      <c r="AB1814" s="10" t="n">
        <v>-2452</v>
      </c>
      <c r="AC1814" s="10" t="n">
        <v>-335</v>
      </c>
      <c r="AD1814" s="7" t="n">
        <v>6420</v>
      </c>
      <c r="AE1814" s="8" t="n">
        <v>-3322</v>
      </c>
      <c r="AF1814" s="8" t="n">
        <v>-12451</v>
      </c>
      <c r="AG1814" s="9" t="n">
        <v>8924</v>
      </c>
      <c r="AH1814" s="10" t="n">
        <v>-1626</v>
      </c>
      <c r="AI1814" s="10" t="n">
        <v>3257</v>
      </c>
      <c r="AJ1814" s="11" t="n">
        <v>7738</v>
      </c>
      <c r="AK1814" s="12" t="n">
        <v>-3311</v>
      </c>
      <c r="AL1814" s="12" t="n">
        <v>-17103</v>
      </c>
      <c r="AM1814" s="13" t="n">
        <v>-13.3</v>
      </c>
      <c r="AN1814" s="13" t="n">
        <v>-12.8</v>
      </c>
      <c r="AO1814" s="13" t="n">
        <v>-103.6</v>
      </c>
      <c r="AP1814" s="13" t="n">
        <v>-61.7</v>
      </c>
    </row>
    <row r="1815">
      <c r="A1815" s="5" t="inlineStr">
        <is>
          <t>넥써쓰</t>
        </is>
      </c>
      <c r="B1815" s="6" t="inlineStr">
        <is>
          <t>205500</t>
        </is>
      </c>
      <c r="C1815" s="6" t="inlineStr">
        <is>
          <t>연결</t>
        </is>
      </c>
      <c r="D1815" s="6" t="inlineStr">
        <is>
          <t>2026Q2</t>
        </is>
      </c>
      <c r="E1815" s="6" t="inlineStr"/>
      <c r="F1815" s="7" t="inlineStr"/>
      <c r="G1815" s="8" t="inlineStr"/>
      <c r="H1815" s="8" t="inlineStr"/>
      <c r="I1815" s="9" t="n">
        <v>1330</v>
      </c>
      <c r="J1815" s="10" t="n">
        <v>-3743</v>
      </c>
      <c r="K1815" s="10" t="n">
        <v>-3569</v>
      </c>
      <c r="L1815" s="7" t="n">
        <v>529</v>
      </c>
      <c r="M1815" s="8" t="n">
        <v>-4048</v>
      </c>
      <c r="N1815" s="8" t="n">
        <v>-4482</v>
      </c>
      <c r="O1815" s="9" t="n">
        <v>4872</v>
      </c>
      <c r="P1815" s="10" t="n">
        <v>1044</v>
      </c>
      <c r="Q1815" s="10" t="n">
        <v>972</v>
      </c>
      <c r="R1815" s="7" t="n">
        <v>820</v>
      </c>
      <c r="S1815" s="8" t="n">
        <v>-2190</v>
      </c>
      <c r="T1815" s="8" t="n">
        <v>-1138</v>
      </c>
      <c r="U1815" s="9" t="n">
        <v>6600</v>
      </c>
      <c r="V1815" s="10" t="n">
        <v>252</v>
      </c>
      <c r="W1815" s="10" t="n">
        <v>793</v>
      </c>
      <c r="X1815" s="7" t="n">
        <v>9328</v>
      </c>
      <c r="Y1815" s="8" t="n">
        <v>281</v>
      </c>
      <c r="Z1815" s="8" t="n">
        <v>-1893</v>
      </c>
      <c r="AA1815" s="9" t="n">
        <v>9196</v>
      </c>
      <c r="AB1815" s="10" t="n">
        <v>311</v>
      </c>
      <c r="AC1815" s="10" t="n">
        <v>-148</v>
      </c>
      <c r="AD1815" s="7" t="n">
        <v>11598</v>
      </c>
      <c r="AE1815" s="8" t="n">
        <v>549</v>
      </c>
      <c r="AF1815" s="8" t="n">
        <v>-2078</v>
      </c>
      <c r="AG1815" s="9" t="n">
        <v>11616</v>
      </c>
      <c r="AH1815" s="10" t="n">
        <v>132</v>
      </c>
      <c r="AI1815" s="10" t="n">
        <v>-3040</v>
      </c>
      <c r="AJ1815" s="11" t="n">
        <v>5793</v>
      </c>
      <c r="AK1815" s="12" t="n">
        <v>-5152</v>
      </c>
      <c r="AL1815" s="12" t="n">
        <v>8591</v>
      </c>
      <c r="AM1815" s="13" t="n">
        <v>-50.1</v>
      </c>
      <c r="AN1815" s="13" t="n">
        <v>-37.9</v>
      </c>
      <c r="AO1815" s="13" t="n">
        <v>-4003</v>
      </c>
      <c r="AP1815" s="13" t="n">
        <v>-1933.5</v>
      </c>
    </row>
    <row r="1816">
      <c r="A1816" s="5" t="inlineStr">
        <is>
          <t>베노티앤알</t>
        </is>
      </c>
      <c r="B1816" s="6" t="inlineStr">
        <is>
          <t>206400</t>
        </is>
      </c>
      <c r="C1816" s="6" t="inlineStr">
        <is>
          <t>연결</t>
        </is>
      </c>
      <c r="D1816" s="6" t="inlineStr">
        <is>
          <t>2026Q2</t>
        </is>
      </c>
      <c r="E1816" s="6" t="inlineStr"/>
      <c r="F1816" s="7" t="inlineStr"/>
      <c r="G1816" s="8" t="inlineStr"/>
      <c r="H1816" s="8" t="inlineStr"/>
      <c r="I1816" s="9" t="n">
        <v>3993</v>
      </c>
      <c r="J1816" s="10" t="n">
        <v>-1856</v>
      </c>
      <c r="K1816" s="10" t="n">
        <v>-438</v>
      </c>
      <c r="L1816" s="7" t="n">
        <v>12647</v>
      </c>
      <c r="M1816" s="8" t="n">
        <v>-1134</v>
      </c>
      <c r="N1816" s="8" t="n">
        <v>-8414</v>
      </c>
      <c r="O1816" s="9" t="n">
        <v>5662</v>
      </c>
      <c r="P1816" s="10" t="n">
        <v>-1292</v>
      </c>
      <c r="Q1816" s="10" t="n">
        <v>8024</v>
      </c>
      <c r="R1816" s="7" t="n">
        <v>2993</v>
      </c>
      <c r="S1816" s="8" t="n">
        <v>-5422</v>
      </c>
      <c r="T1816" s="8" t="n">
        <v>-2765</v>
      </c>
      <c r="U1816" s="9" t="n">
        <v>1205</v>
      </c>
      <c r="V1816" s="10" t="n">
        <v>-2287</v>
      </c>
      <c r="W1816" s="10" t="n">
        <v>-15999</v>
      </c>
      <c r="X1816" s="7" t="n">
        <v>1721</v>
      </c>
      <c r="Y1816" s="8" t="n">
        <v>182</v>
      </c>
      <c r="Z1816" s="8" t="n">
        <v>620</v>
      </c>
      <c r="AA1816" s="9" t="n">
        <v>829</v>
      </c>
      <c r="AB1816" s="10" t="n">
        <v>-1708</v>
      </c>
      <c r="AC1816" s="10" t="n">
        <v>-2602</v>
      </c>
      <c r="AD1816" s="7" t="n">
        <v>1020</v>
      </c>
      <c r="AE1816" s="8" t="n">
        <v>-1548</v>
      </c>
      <c r="AF1816" s="8" t="n">
        <v>-6046</v>
      </c>
      <c r="AG1816" s="9" t="n">
        <v>735</v>
      </c>
      <c r="AH1816" s="10" t="n">
        <v>-1875</v>
      </c>
      <c r="AI1816" s="10" t="n">
        <v>-3847</v>
      </c>
      <c r="AJ1816" s="11" t="n">
        <v>921</v>
      </c>
      <c r="AK1816" s="12" t="n">
        <v>-1153</v>
      </c>
      <c r="AL1816" s="12" t="n">
        <v>-2450</v>
      </c>
      <c r="AM1816" s="13" t="n">
        <v>25.3</v>
      </c>
      <c r="AN1816" s="13" t="n">
        <v>-46.5</v>
      </c>
      <c r="AO1816" s="13" t="n">
        <v>38.5</v>
      </c>
      <c r="AP1816" s="13" t="n">
        <v>-733.5</v>
      </c>
    </row>
    <row r="1817">
      <c r="A1817" s="5" t="inlineStr">
        <is>
          <t>덱스터</t>
        </is>
      </c>
      <c r="B1817" s="6" t="inlineStr">
        <is>
          <t>206560</t>
        </is>
      </c>
      <c r="C1817" s="6" t="inlineStr">
        <is>
          <t>연결</t>
        </is>
      </c>
      <c r="D1817" s="6" t="inlineStr">
        <is>
          <t>2026Q2</t>
        </is>
      </c>
      <c r="E1817" s="6" t="inlineStr"/>
      <c r="F1817" s="7" t="inlineStr"/>
      <c r="G1817" s="8" t="inlineStr"/>
      <c r="H1817" s="8" t="inlineStr"/>
      <c r="I1817" s="9" t="inlineStr"/>
      <c r="J1817" s="10" t="n">
        <v>-2937</v>
      </c>
      <c r="K1817" s="10" t="n">
        <v>-2554</v>
      </c>
      <c r="L1817" s="7" t="inlineStr"/>
      <c r="M1817" s="8" t="n">
        <v>-625</v>
      </c>
      <c r="N1817" s="8" t="n">
        <v>321</v>
      </c>
      <c r="O1817" s="9" t="inlineStr"/>
      <c r="P1817" s="10" t="n">
        <v>-3335</v>
      </c>
      <c r="Q1817" s="10" t="n">
        <v>-3163</v>
      </c>
      <c r="R1817" s="7" t="inlineStr"/>
      <c r="S1817" s="8" t="n">
        <v>-1999</v>
      </c>
      <c r="T1817" s="8" t="n">
        <v>-5340</v>
      </c>
      <c r="U1817" s="9" t="n">
        <v>14968</v>
      </c>
      <c r="V1817" s="10" t="n">
        <v>-3573</v>
      </c>
      <c r="W1817" s="10" t="n">
        <v>-4183</v>
      </c>
      <c r="X1817" s="7" t="n">
        <v>11634</v>
      </c>
      <c r="Y1817" s="8" t="n">
        <v>-4255</v>
      </c>
      <c r="Z1817" s="8" t="n">
        <v>-4553</v>
      </c>
      <c r="AA1817" s="9" t="n">
        <v>13344</v>
      </c>
      <c r="AB1817" s="10" t="n">
        <v>998</v>
      </c>
      <c r="AC1817" s="10" t="n">
        <v>1390</v>
      </c>
      <c r="AD1817" s="7" t="n">
        <v>15471</v>
      </c>
      <c r="AE1817" s="8" t="n">
        <v>324</v>
      </c>
      <c r="AF1817" s="8" t="n">
        <v>552</v>
      </c>
      <c r="AG1817" s="9" t="n">
        <v>10563</v>
      </c>
      <c r="AH1817" s="10" t="n">
        <v>-3853</v>
      </c>
      <c r="AI1817" s="10" t="n">
        <v>-4352</v>
      </c>
      <c r="AJ1817" s="11" t="n">
        <v>9848</v>
      </c>
      <c r="AK1817" s="12" t="n">
        <v>-5073</v>
      </c>
      <c r="AL1817" s="12" t="n">
        <v>-4526</v>
      </c>
      <c r="AM1817" s="13" t="n">
        <v>-6.8</v>
      </c>
      <c r="AN1817" s="13" t="n">
        <v>-15.4</v>
      </c>
      <c r="AO1817" s="13" t="n">
        <v>-31.7</v>
      </c>
      <c r="AP1817" s="13" t="n">
        <v>-19.2</v>
      </c>
    </row>
    <row r="1818">
      <c r="A1818" s="5" t="inlineStr">
        <is>
          <t>바디텍메드</t>
        </is>
      </c>
      <c r="B1818" s="6" t="inlineStr">
        <is>
          <t>206640</t>
        </is>
      </c>
      <c r="C1818" s="6" t="inlineStr">
        <is>
          <t>연결</t>
        </is>
      </c>
      <c r="D1818" s="6" t="inlineStr">
        <is>
          <t>2026Q2</t>
        </is>
      </c>
      <c r="E1818" s="6" t="inlineStr">
        <is>
          <t>2023Q4</t>
        </is>
      </c>
      <c r="F1818" s="14" t="n">
        <v>35892</v>
      </c>
      <c r="G1818" s="15" t="n">
        <v>6903</v>
      </c>
      <c r="H1818" s="15" t="n">
        <v>6481</v>
      </c>
      <c r="I1818" s="9" t="n">
        <v>33096</v>
      </c>
      <c r="J1818" s="10" t="n">
        <v>5900</v>
      </c>
      <c r="K1818" s="10" t="n">
        <v>6541</v>
      </c>
      <c r="L1818" s="7" t="n">
        <v>36248</v>
      </c>
      <c r="M1818" s="8" t="n">
        <v>9263</v>
      </c>
      <c r="N1818" s="8" t="n">
        <v>9798</v>
      </c>
      <c r="O1818" s="9" t="n">
        <v>37592</v>
      </c>
      <c r="P1818" s="10" t="n">
        <v>8828</v>
      </c>
      <c r="Q1818" s="10" t="n">
        <v>6051</v>
      </c>
      <c r="R1818" s="7" t="n">
        <v>31224</v>
      </c>
      <c r="S1818" s="8" t="n">
        <v>2160</v>
      </c>
      <c r="T1818" s="8" t="n">
        <v>4830</v>
      </c>
      <c r="U1818" s="9" t="n">
        <v>39101</v>
      </c>
      <c r="V1818" s="10" t="n">
        <v>8080</v>
      </c>
      <c r="W1818" s="10" t="n">
        <v>7259</v>
      </c>
      <c r="X1818" s="7" t="n">
        <v>41481</v>
      </c>
      <c r="Y1818" s="8" t="n">
        <v>9201</v>
      </c>
      <c r="Z1818" s="8" t="n">
        <v>7457</v>
      </c>
      <c r="AA1818" s="9" t="n">
        <v>39946</v>
      </c>
      <c r="AB1818" s="10" t="n">
        <v>6605</v>
      </c>
      <c r="AC1818" s="10" t="n">
        <v>7807</v>
      </c>
      <c r="AD1818" s="7" t="n">
        <v>41565</v>
      </c>
      <c r="AE1818" s="8" t="n">
        <v>5054</v>
      </c>
      <c r="AF1818" s="8" t="n">
        <v>1357</v>
      </c>
      <c r="AG1818" s="9" t="n">
        <v>42848</v>
      </c>
      <c r="AH1818" s="10" t="n">
        <v>6804</v>
      </c>
      <c r="AI1818" s="10" t="n">
        <v>9498</v>
      </c>
      <c r="AJ1818" s="11" t="n">
        <v>50417</v>
      </c>
      <c r="AK1818" s="12" t="n">
        <v>8239</v>
      </c>
      <c r="AL1818" s="12" t="n">
        <v>7650</v>
      </c>
      <c r="AM1818" s="13" t="n">
        <v>17.7</v>
      </c>
      <c r="AN1818" s="13" t="n">
        <v>21.5</v>
      </c>
      <c r="AO1818" s="13" t="n">
        <v>21.1</v>
      </c>
      <c r="AP1818" s="13" t="n">
        <v>-10.5</v>
      </c>
    </row>
    <row r="1819">
      <c r="A1819" s="5" t="inlineStr">
        <is>
          <t>유바이오로직스</t>
        </is>
      </c>
      <c r="B1819" s="6" t="inlineStr">
        <is>
          <t>206650</t>
        </is>
      </c>
      <c r="C1819" s="6" t="inlineStr">
        <is>
          <t>별도</t>
        </is>
      </c>
      <c r="D1819" s="6" t="inlineStr">
        <is>
          <t>2026Q2</t>
        </is>
      </c>
      <c r="E1819" s="6" t="inlineStr"/>
      <c r="F1819" s="7" t="inlineStr"/>
      <c r="G1819" s="8" t="inlineStr"/>
      <c r="H1819" s="8" t="inlineStr"/>
      <c r="I1819" s="9" t="n">
        <v>15189</v>
      </c>
      <c r="J1819" s="10" t="n">
        <v>2376</v>
      </c>
      <c r="K1819" s="10" t="n">
        <v>-3740</v>
      </c>
      <c r="L1819" s="7" t="n">
        <v>7867</v>
      </c>
      <c r="M1819" s="8" t="n">
        <v>-1645</v>
      </c>
      <c r="N1819" s="8" t="n">
        <v>-1590</v>
      </c>
      <c r="O1819" s="9" t="n">
        <v>36152</v>
      </c>
      <c r="P1819" s="10" t="n">
        <v>16979</v>
      </c>
      <c r="Q1819" s="10" t="n">
        <v>16091</v>
      </c>
      <c r="R1819" s="7" t="n">
        <v>36827</v>
      </c>
      <c r="S1819" s="8" t="n">
        <v>16611</v>
      </c>
      <c r="T1819" s="8" t="n">
        <v>8231</v>
      </c>
      <c r="U1819" s="9" t="n">
        <v>39511</v>
      </c>
      <c r="V1819" s="10" t="n">
        <v>16910</v>
      </c>
      <c r="W1819" s="10" t="n">
        <v>15696</v>
      </c>
      <c r="X1819" s="7" t="n">
        <v>36234</v>
      </c>
      <c r="Y1819" s="8" t="n">
        <v>11240</v>
      </c>
      <c r="Z1819" s="8" t="n">
        <v>7729</v>
      </c>
      <c r="AA1819" s="9" t="n">
        <v>41115</v>
      </c>
      <c r="AB1819" s="10" t="n">
        <v>18907</v>
      </c>
      <c r="AC1819" s="10" t="n">
        <v>17425</v>
      </c>
      <c r="AD1819" s="7" t="n">
        <v>32335</v>
      </c>
      <c r="AE1819" s="8" t="n">
        <v>13606</v>
      </c>
      <c r="AF1819" s="8" t="n">
        <v>414</v>
      </c>
      <c r="AG1819" s="9" t="n">
        <v>15643</v>
      </c>
      <c r="AH1819" s="10" t="n">
        <v>2192</v>
      </c>
      <c r="AI1819" s="10" t="n">
        <v>3663</v>
      </c>
      <c r="AJ1819" s="11" t="n">
        <v>33220</v>
      </c>
      <c r="AK1819" s="12" t="n">
        <v>8577</v>
      </c>
      <c r="AL1819" s="12" t="n">
        <v>7502</v>
      </c>
      <c r="AM1819" s="13" t="n">
        <v>112.4</v>
      </c>
      <c r="AN1819" s="13" t="n">
        <v>-8.300000000000001</v>
      </c>
      <c r="AO1819" s="13" t="n">
        <v>291.3</v>
      </c>
      <c r="AP1819" s="13" t="n">
        <v>-23.7</v>
      </c>
    </row>
    <row r="1820">
      <c r="A1820" s="5" t="inlineStr">
        <is>
          <t>미스터블루</t>
        </is>
      </c>
      <c r="B1820" s="6" t="inlineStr">
        <is>
          <t>207760</t>
        </is>
      </c>
      <c r="C1820" s="6" t="inlineStr">
        <is>
          <t>연결</t>
        </is>
      </c>
      <c r="D1820" s="6" t="inlineStr">
        <is>
          <t>2026Q2</t>
        </is>
      </c>
      <c r="E1820" s="6" t="inlineStr"/>
      <c r="F1820" s="7" t="inlineStr"/>
      <c r="G1820" s="8" t="inlineStr"/>
      <c r="H1820" s="8" t="inlineStr"/>
      <c r="I1820" s="9" t="n">
        <v>15711</v>
      </c>
      <c r="J1820" s="10" t="n">
        <v>-3642</v>
      </c>
      <c r="K1820" s="10" t="n">
        <v>-1502</v>
      </c>
      <c r="L1820" s="7" t="n">
        <v>16160</v>
      </c>
      <c r="M1820" s="8" t="n">
        <v>-3009</v>
      </c>
      <c r="N1820" s="8" t="n">
        <v>-1173</v>
      </c>
      <c r="O1820" s="9" t="n">
        <v>19466</v>
      </c>
      <c r="P1820" s="10" t="n">
        <v>-4600</v>
      </c>
      <c r="Q1820" s="10" t="n">
        <v>-4889</v>
      </c>
      <c r="R1820" s="7" t="n">
        <v>19005</v>
      </c>
      <c r="S1820" s="8" t="n">
        <v>-2302</v>
      </c>
      <c r="T1820" s="8" t="n">
        <v>-9179</v>
      </c>
      <c r="U1820" s="9" t="n">
        <v>17054</v>
      </c>
      <c r="V1820" s="10" t="n">
        <v>-436</v>
      </c>
      <c r="W1820" s="10" t="n">
        <v>6152</v>
      </c>
      <c r="X1820" s="7" t="n">
        <v>16437</v>
      </c>
      <c r="Y1820" s="8" t="n">
        <v>-1773</v>
      </c>
      <c r="Z1820" s="8" t="n">
        <v>-8286</v>
      </c>
      <c r="AA1820" s="9" t="n">
        <v>17466</v>
      </c>
      <c r="AB1820" s="10" t="n">
        <v>-714</v>
      </c>
      <c r="AC1820" s="10" t="n">
        <v>77</v>
      </c>
      <c r="AD1820" s="7" t="n">
        <v>16506</v>
      </c>
      <c r="AE1820" s="8" t="n">
        <v>466</v>
      </c>
      <c r="AF1820" s="8" t="n">
        <v>-16502</v>
      </c>
      <c r="AG1820" s="9" t="n">
        <v>16421</v>
      </c>
      <c r="AH1820" s="10" t="n">
        <v>529</v>
      </c>
      <c r="AI1820" s="10" t="n">
        <v>1428</v>
      </c>
      <c r="AJ1820" s="11" t="n">
        <v>16298</v>
      </c>
      <c r="AK1820" s="12" t="n">
        <v>95</v>
      </c>
      <c r="AL1820" s="12" t="n">
        <v>2316</v>
      </c>
      <c r="AM1820" s="13" t="n">
        <v>-0.7</v>
      </c>
      <c r="AN1820" s="13" t="n">
        <v>-0.8</v>
      </c>
      <c r="AO1820" s="13" t="n">
        <v>-82</v>
      </c>
      <c r="AP1820" s="13" t="n">
        <v>105.4</v>
      </c>
    </row>
    <row r="1821">
      <c r="A1821" s="5" t="inlineStr">
        <is>
          <t>삼성바이오로직스</t>
        </is>
      </c>
      <c r="B1821" s="6" t="inlineStr">
        <is>
          <t>207940</t>
        </is>
      </c>
      <c r="C1821" s="6" t="inlineStr">
        <is>
          <t>연결</t>
        </is>
      </c>
      <c r="D1821" s="6" t="inlineStr">
        <is>
          <t>2026Q2</t>
        </is>
      </c>
      <c r="E1821" s="6" t="inlineStr">
        <is>
          <t>2023Q4</t>
        </is>
      </c>
      <c r="F1821" s="14" t="n">
        <v>1073509</v>
      </c>
      <c r="G1821" s="15" t="n">
        <v>349968</v>
      </c>
      <c r="H1821" s="15" t="n">
        <v>290684</v>
      </c>
      <c r="I1821" s="9" t="n">
        <v>946903</v>
      </c>
      <c r="J1821" s="10" t="n">
        <v>221299</v>
      </c>
      <c r="K1821" s="10" t="n">
        <v>179362</v>
      </c>
      <c r="L1821" s="7" t="n">
        <v>1156904</v>
      </c>
      <c r="M1821" s="8" t="n">
        <v>434511</v>
      </c>
      <c r="N1821" s="8" t="n">
        <v>317992</v>
      </c>
      <c r="O1821" s="9" t="n">
        <v>1187075</v>
      </c>
      <c r="P1821" s="10" t="n">
        <v>338578</v>
      </c>
      <c r="Q1821" s="10" t="n">
        <v>264468</v>
      </c>
      <c r="R1821" s="7" t="n">
        <v>1256440</v>
      </c>
      <c r="S1821" s="8" t="n">
        <v>325664</v>
      </c>
      <c r="T1821" s="8" t="n">
        <v>321494</v>
      </c>
      <c r="U1821" s="9" t="n">
        <v>1298273</v>
      </c>
      <c r="V1821" s="10" t="n">
        <v>486689</v>
      </c>
      <c r="W1821" s="10" t="n">
        <v>375554</v>
      </c>
      <c r="X1821" s="7" t="n">
        <v>1289905</v>
      </c>
      <c r="Y1821" s="8" t="n">
        <v>475600</v>
      </c>
      <c r="Z1821" s="8" t="n">
        <v>324386</v>
      </c>
      <c r="AA1821" s="9" t="n">
        <v>1660221</v>
      </c>
      <c r="AB1821" s="10" t="n">
        <v>728848</v>
      </c>
      <c r="AC1821" s="10" t="n">
        <v>574460</v>
      </c>
      <c r="AD1821" s="7" t="n">
        <v>308573</v>
      </c>
      <c r="AE1821" s="8" t="n">
        <v>378084</v>
      </c>
      <c r="AF1821" s="8" t="n">
        <v>509952</v>
      </c>
      <c r="AG1821" s="9" t="n">
        <v>1257119</v>
      </c>
      <c r="AH1821" s="10" t="n">
        <v>580753</v>
      </c>
      <c r="AI1821" s="10" t="n">
        <v>469245</v>
      </c>
      <c r="AJ1821" s="11" t="n">
        <v>1320911</v>
      </c>
      <c r="AK1821" s="12" t="n">
        <v>586444</v>
      </c>
      <c r="AL1821" s="12" t="n">
        <v>430654</v>
      </c>
      <c r="AM1821" s="13" t="n">
        <v>5.1</v>
      </c>
      <c r="AN1821" s="13" t="n">
        <v>2.4</v>
      </c>
      <c r="AO1821" s="13" t="n">
        <v>1</v>
      </c>
      <c r="AP1821" s="13" t="n">
        <v>23.3</v>
      </c>
    </row>
    <row r="1822">
      <c r="A1822" s="5" t="inlineStr">
        <is>
          <t>정다운</t>
        </is>
      </c>
      <c r="B1822" s="6" t="inlineStr">
        <is>
          <t>208140</t>
        </is>
      </c>
      <c r="C1822" s="6" t="inlineStr">
        <is>
          <t>연결</t>
        </is>
      </c>
      <c r="D1822" s="6" t="inlineStr">
        <is>
          <t>2026Q2</t>
        </is>
      </c>
      <c r="E1822" s="6" t="inlineStr"/>
      <c r="F1822" s="7" t="inlineStr"/>
      <c r="G1822" s="8" t="inlineStr"/>
      <c r="H1822" s="8" t="inlineStr"/>
      <c r="I1822" s="9" t="n">
        <v>43032</v>
      </c>
      <c r="J1822" s="10" t="n">
        <v>3380</v>
      </c>
      <c r="K1822" s="10" t="n">
        <v>3047</v>
      </c>
      <c r="L1822" s="7" t="n">
        <v>51323</v>
      </c>
      <c r="M1822" s="8" t="n">
        <v>5777</v>
      </c>
      <c r="N1822" s="8" t="n">
        <v>6001</v>
      </c>
      <c r="O1822" s="9" t="n">
        <v>47115</v>
      </c>
      <c r="P1822" s="10" t="n">
        <v>3334</v>
      </c>
      <c r="Q1822" s="10" t="n">
        <v>1725</v>
      </c>
      <c r="R1822" s="7" t="n">
        <v>40487</v>
      </c>
      <c r="S1822" s="8" t="n">
        <v>2205</v>
      </c>
      <c r="T1822" s="8" t="n">
        <v>1022</v>
      </c>
      <c r="U1822" s="9" t="n">
        <v>37883</v>
      </c>
      <c r="V1822" s="10" t="n">
        <v>1078</v>
      </c>
      <c r="W1822" s="10" t="n">
        <v>1325</v>
      </c>
      <c r="X1822" s="7" t="n">
        <v>46011</v>
      </c>
      <c r="Y1822" s="8" t="n">
        <v>2954</v>
      </c>
      <c r="Z1822" s="8" t="n">
        <v>2036</v>
      </c>
      <c r="AA1822" s="9" t="n">
        <v>42712</v>
      </c>
      <c r="AB1822" s="10" t="n">
        <v>2299</v>
      </c>
      <c r="AC1822" s="10" t="n">
        <v>2279</v>
      </c>
      <c r="AD1822" s="7" t="n">
        <v>34270</v>
      </c>
      <c r="AE1822" s="8" t="n">
        <v>421</v>
      </c>
      <c r="AF1822" s="8" t="n">
        <v>434</v>
      </c>
      <c r="AG1822" s="9" t="n">
        <v>32459</v>
      </c>
      <c r="AH1822" s="10" t="n">
        <v>1630</v>
      </c>
      <c r="AI1822" s="10" t="n">
        <v>1284</v>
      </c>
      <c r="AJ1822" s="11" t="n">
        <v>42055</v>
      </c>
      <c r="AK1822" s="12" t="n">
        <v>2880</v>
      </c>
      <c r="AL1822" s="12" t="n">
        <v>2854</v>
      </c>
      <c r="AM1822" s="13" t="n">
        <v>29.6</v>
      </c>
      <c r="AN1822" s="13" t="n">
        <v>-8.6</v>
      </c>
      <c r="AO1822" s="13" t="n">
        <v>76.7</v>
      </c>
      <c r="AP1822" s="13" t="n">
        <v>-2.5</v>
      </c>
    </row>
    <row r="1823">
      <c r="A1823" s="5" t="inlineStr">
        <is>
          <t>지란지교시큐리티</t>
        </is>
      </c>
      <c r="B1823" s="6" t="inlineStr">
        <is>
          <t>208350</t>
        </is>
      </c>
      <c r="C1823" s="6" t="inlineStr">
        <is>
          <t>연결</t>
        </is>
      </c>
      <c r="D1823" s="6" t="inlineStr">
        <is>
          <t>2026Q2</t>
        </is>
      </c>
      <c r="E1823" s="6" t="inlineStr"/>
      <c r="F1823" s="7" t="inlineStr"/>
      <c r="G1823" s="8" t="inlineStr"/>
      <c r="H1823" s="8" t="inlineStr"/>
      <c r="I1823" s="9" t="n">
        <v>6722</v>
      </c>
      <c r="J1823" s="10" t="n">
        <v>-1207</v>
      </c>
      <c r="K1823" s="10" t="n">
        <v>-639</v>
      </c>
      <c r="L1823" s="7" t="n">
        <v>7548</v>
      </c>
      <c r="M1823" s="8" t="n">
        <v>-827</v>
      </c>
      <c r="N1823" s="8" t="n">
        <v>-352</v>
      </c>
      <c r="O1823" s="9" t="n">
        <v>8548</v>
      </c>
      <c r="P1823" s="10" t="n">
        <v>582</v>
      </c>
      <c r="Q1823" s="10" t="n">
        <v>882</v>
      </c>
      <c r="R1823" s="7" t="n">
        <v>11305</v>
      </c>
      <c r="S1823" s="8" t="n">
        <v>2830</v>
      </c>
      <c r="T1823" s="8" t="n">
        <v>-1615</v>
      </c>
      <c r="U1823" s="9" t="n">
        <v>7350</v>
      </c>
      <c r="V1823" s="10" t="n">
        <v>-743</v>
      </c>
      <c r="W1823" s="10" t="n">
        <v>-294</v>
      </c>
      <c r="X1823" s="7" t="n">
        <v>8921</v>
      </c>
      <c r="Y1823" s="8" t="n">
        <v>132</v>
      </c>
      <c r="Z1823" s="8" t="n">
        <v>753</v>
      </c>
      <c r="AA1823" s="9" t="n">
        <v>8290</v>
      </c>
      <c r="AB1823" s="10" t="n">
        <v>-1209</v>
      </c>
      <c r="AC1823" s="10" t="n">
        <v>-678</v>
      </c>
      <c r="AD1823" s="7" t="n">
        <v>14367</v>
      </c>
      <c r="AE1823" s="8" t="n">
        <v>4303</v>
      </c>
      <c r="AF1823" s="8" t="n">
        <v>1103</v>
      </c>
      <c r="AG1823" s="9" t="n">
        <v>7181</v>
      </c>
      <c r="AH1823" s="10" t="n">
        <v>-1367</v>
      </c>
      <c r="AI1823" s="10" t="n">
        <v>-631</v>
      </c>
      <c r="AJ1823" s="11" t="n">
        <v>10046</v>
      </c>
      <c r="AK1823" s="12" t="n">
        <v>978</v>
      </c>
      <c r="AL1823" s="12" t="n">
        <v>1205</v>
      </c>
      <c r="AM1823" s="13" t="n">
        <v>39.9</v>
      </c>
      <c r="AN1823" s="13" t="n">
        <v>12.6</v>
      </c>
      <c r="AO1823" s="13" t="n">
        <v>171.5</v>
      </c>
      <c r="AP1823" s="13" t="n">
        <v>640.9</v>
      </c>
    </row>
    <row r="1824">
      <c r="A1824" s="5" t="inlineStr">
        <is>
          <t>셀바스헬스케어</t>
        </is>
      </c>
      <c r="B1824" s="6" t="inlineStr">
        <is>
          <t>208370</t>
        </is>
      </c>
      <c r="C1824" s="6" t="inlineStr">
        <is>
          <t>연결</t>
        </is>
      </c>
      <c r="D1824" s="6" t="inlineStr">
        <is>
          <t>2026Q2</t>
        </is>
      </c>
      <c r="E1824" s="6" t="inlineStr"/>
      <c r="F1824" s="7" t="inlineStr"/>
      <c r="G1824" s="8" t="inlineStr"/>
      <c r="H1824" s="8" t="inlineStr"/>
      <c r="I1824" s="9" t="n">
        <v>6769</v>
      </c>
      <c r="J1824" s="10" t="n">
        <v>237</v>
      </c>
      <c r="K1824" s="10" t="n">
        <v>665</v>
      </c>
      <c r="L1824" s="7" t="n">
        <v>7176</v>
      </c>
      <c r="M1824" s="8" t="n">
        <v>595</v>
      </c>
      <c r="N1824" s="8" t="n">
        <v>196</v>
      </c>
      <c r="O1824" s="9" t="n">
        <v>8595</v>
      </c>
      <c r="P1824" s="10" t="n">
        <v>1548</v>
      </c>
      <c r="Q1824" s="10" t="n">
        <v>214</v>
      </c>
      <c r="R1824" s="7" t="n">
        <v>9162</v>
      </c>
      <c r="S1824" s="8" t="n">
        <v>894</v>
      </c>
      <c r="T1824" s="8" t="n">
        <v>2077</v>
      </c>
      <c r="U1824" s="9" t="n">
        <v>7216</v>
      </c>
      <c r="V1824" s="10" t="n">
        <v>349</v>
      </c>
      <c r="W1824" s="10" t="n">
        <v>194</v>
      </c>
      <c r="X1824" s="7" t="n">
        <v>6704</v>
      </c>
      <c r="Y1824" s="8" t="n">
        <v>-1029</v>
      </c>
      <c r="Z1824" s="8" t="n">
        <v>-456</v>
      </c>
      <c r="AA1824" s="9" t="n">
        <v>6707</v>
      </c>
      <c r="AB1824" s="10" t="n">
        <v>541</v>
      </c>
      <c r="AC1824" s="10" t="n">
        <v>509</v>
      </c>
      <c r="AD1824" s="7" t="n">
        <v>10198</v>
      </c>
      <c r="AE1824" s="8" t="n">
        <v>-23</v>
      </c>
      <c r="AF1824" s="8" t="n">
        <v>3642</v>
      </c>
      <c r="AG1824" s="9" t="n">
        <v>6584</v>
      </c>
      <c r="AH1824" s="10" t="n">
        <v>669</v>
      </c>
      <c r="AI1824" s="10" t="n">
        <v>13223</v>
      </c>
      <c r="AJ1824" s="11" t="n">
        <v>8202</v>
      </c>
      <c r="AK1824" s="12" t="n">
        <v>372</v>
      </c>
      <c r="AL1824" s="12" t="n">
        <v>-8677</v>
      </c>
      <c r="AM1824" s="13" t="n">
        <v>24.6</v>
      </c>
      <c r="AN1824" s="13" t="n">
        <v>22.3</v>
      </c>
      <c r="AO1824" s="13" t="n">
        <v>-44.4</v>
      </c>
      <c r="AP1824" s="13" t="n">
        <v>136.2</v>
      </c>
    </row>
    <row r="1825">
      <c r="A1825" s="5" t="inlineStr">
        <is>
          <t>썸에이지</t>
        </is>
      </c>
      <c r="B1825" s="6" t="inlineStr">
        <is>
          <t>208640</t>
        </is>
      </c>
      <c r="C1825" s="6" t="inlineStr">
        <is>
          <t>연결</t>
        </is>
      </c>
      <c r="D1825" s="6" t="inlineStr">
        <is>
          <t>2026Q2</t>
        </is>
      </c>
      <c r="E1825" s="6" t="inlineStr"/>
      <c r="F1825" s="7" t="inlineStr"/>
      <c r="G1825" s="8" t="inlineStr"/>
      <c r="H1825" s="8" t="inlineStr"/>
      <c r="I1825" s="9" t="n">
        <v>5863</v>
      </c>
      <c r="J1825" s="10" t="n">
        <v>-2411</v>
      </c>
      <c r="K1825" s="10" t="n">
        <v>-1550</v>
      </c>
      <c r="L1825" s="7" t="n">
        <v>3680</v>
      </c>
      <c r="M1825" s="8" t="n">
        <v>-2177</v>
      </c>
      <c r="N1825" s="8" t="n">
        <v>-2341</v>
      </c>
      <c r="O1825" s="9" t="n">
        <v>2282</v>
      </c>
      <c r="P1825" s="10" t="n">
        <v>-2837</v>
      </c>
      <c r="Q1825" s="10" t="n">
        <v>-3429</v>
      </c>
      <c r="R1825" s="7" t="n">
        <v>2151</v>
      </c>
      <c r="S1825" s="8" t="n">
        <v>-2744</v>
      </c>
      <c r="T1825" s="8" t="n">
        <v>432</v>
      </c>
      <c r="U1825" s="9" t="n">
        <v>1967</v>
      </c>
      <c r="V1825" s="10" t="n">
        <v>-2378</v>
      </c>
      <c r="W1825" s="10" t="n">
        <v>-2211</v>
      </c>
      <c r="X1825" s="7" t="n">
        <v>1779</v>
      </c>
      <c r="Y1825" s="8" t="n">
        <v>-2777</v>
      </c>
      <c r="Z1825" s="8" t="n">
        <v>-2686</v>
      </c>
      <c r="AA1825" s="9" t="n">
        <v>1277</v>
      </c>
      <c r="AB1825" s="10" t="n">
        <v>-1531</v>
      </c>
      <c r="AC1825" s="10" t="n">
        <v>-965</v>
      </c>
      <c r="AD1825" s="7" t="n">
        <v>996</v>
      </c>
      <c r="AE1825" s="8" t="n">
        <v>-1190</v>
      </c>
      <c r="AF1825" s="8" t="n">
        <v>-3405</v>
      </c>
      <c r="AG1825" s="9" t="n">
        <v>1012</v>
      </c>
      <c r="AH1825" s="10" t="n">
        <v>-981</v>
      </c>
      <c r="AI1825" s="10" t="n">
        <v>-1092</v>
      </c>
      <c r="AJ1825" s="11" t="n">
        <v>1013</v>
      </c>
      <c r="AK1825" s="12" t="n">
        <v>-1202</v>
      </c>
      <c r="AL1825" s="12" t="n">
        <v>-1358</v>
      </c>
      <c r="AM1825" s="13" t="n">
        <v>0.1</v>
      </c>
      <c r="AN1825" s="13" t="n">
        <v>-43.1</v>
      </c>
      <c r="AO1825" s="13" t="n">
        <v>-22.5</v>
      </c>
      <c r="AP1825" s="13" t="n">
        <v>56.7</v>
      </c>
    </row>
    <row r="1826">
      <c r="A1826" s="5" t="inlineStr">
        <is>
          <t>포톤</t>
        </is>
      </c>
      <c r="B1826" s="6" t="inlineStr">
        <is>
          <t>208710</t>
        </is>
      </c>
      <c r="C1826" s="6" t="inlineStr">
        <is>
          <t>연결</t>
        </is>
      </c>
      <c r="D1826" s="6" t="inlineStr">
        <is>
          <t>2026Q2</t>
        </is>
      </c>
      <c r="E1826" s="6" t="inlineStr"/>
      <c r="F1826" s="7" t="inlineStr"/>
      <c r="G1826" s="8" t="inlineStr"/>
      <c r="H1826" s="8" t="inlineStr"/>
      <c r="I1826" s="9" t="n">
        <v>41586</v>
      </c>
      <c r="J1826" s="10" t="n">
        <v>-401</v>
      </c>
      <c r="K1826" s="10" t="n">
        <v>-882</v>
      </c>
      <c r="L1826" s="7" t="n">
        <v>25311</v>
      </c>
      <c r="M1826" s="8" t="n">
        <v>-1843</v>
      </c>
      <c r="N1826" s="8" t="n">
        <v>-3164</v>
      </c>
      <c r="O1826" s="9" t="n">
        <v>32899</v>
      </c>
      <c r="P1826" s="10" t="n">
        <v>-1650</v>
      </c>
      <c r="Q1826" s="10" t="n">
        <v>-2870</v>
      </c>
      <c r="R1826" s="7" t="n">
        <v>35910</v>
      </c>
      <c r="S1826" s="8" t="n">
        <v>479</v>
      </c>
      <c r="T1826" s="8" t="n">
        <v>-2695</v>
      </c>
      <c r="U1826" s="9" t="n">
        <v>26998</v>
      </c>
      <c r="V1826" s="10" t="n">
        <v>-1457</v>
      </c>
      <c r="W1826" s="10" t="n">
        <v>-2350</v>
      </c>
      <c r="X1826" s="7" t="n">
        <v>26862</v>
      </c>
      <c r="Y1826" s="8" t="n">
        <v>-1171</v>
      </c>
      <c r="Z1826" s="8" t="n">
        <v>-3994</v>
      </c>
      <c r="AA1826" s="9" t="n">
        <v>34271</v>
      </c>
      <c r="AB1826" s="10" t="n">
        <v>117</v>
      </c>
      <c r="AC1826" s="10" t="n">
        <v>161</v>
      </c>
      <c r="AD1826" s="7" t="n">
        <v>40604</v>
      </c>
      <c r="AE1826" s="8" t="n">
        <v>2465</v>
      </c>
      <c r="AF1826" s="8" t="n">
        <v>-177</v>
      </c>
      <c r="AG1826" s="9" t="n">
        <v>26737</v>
      </c>
      <c r="AH1826" s="10" t="n">
        <v>-268</v>
      </c>
      <c r="AI1826" s="10" t="n">
        <v>474</v>
      </c>
      <c r="AJ1826" s="11" t="n">
        <v>37906</v>
      </c>
      <c r="AK1826" s="12" t="n">
        <v>739</v>
      </c>
      <c r="AL1826" s="12" t="n">
        <v>826</v>
      </c>
      <c r="AM1826" s="13" t="n">
        <v>41.8</v>
      </c>
      <c r="AN1826" s="13" t="n">
        <v>41.1</v>
      </c>
      <c r="AO1826" s="13" t="n">
        <v>375.7</v>
      </c>
      <c r="AP1826" s="13" t="n">
        <v>163.1</v>
      </c>
    </row>
    <row r="1827">
      <c r="A1827" s="5" t="inlineStr">
        <is>
          <t>다산디엠씨</t>
        </is>
      </c>
      <c r="B1827" s="6" t="inlineStr">
        <is>
          <t>208860</t>
        </is>
      </c>
      <c r="C1827" s="6" t="inlineStr">
        <is>
          <t>연결</t>
        </is>
      </c>
      <c r="D1827" s="6" t="inlineStr">
        <is>
          <t>2026Q2</t>
        </is>
      </c>
      <c r="E1827" s="6" t="inlineStr"/>
      <c r="F1827" s="7" t="inlineStr"/>
      <c r="G1827" s="8" t="inlineStr"/>
      <c r="H1827" s="8" t="inlineStr"/>
      <c r="I1827" s="9" t="n">
        <v>1751</v>
      </c>
      <c r="J1827" s="10" t="n">
        <v>89</v>
      </c>
      <c r="K1827" s="10" t="n">
        <v>182</v>
      </c>
      <c r="L1827" s="7" t="n">
        <v>853</v>
      </c>
      <c r="M1827" s="8" t="n">
        <v>-1253</v>
      </c>
      <c r="N1827" s="8" t="n">
        <v>-608</v>
      </c>
      <c r="O1827" s="9" t="n">
        <v>2850</v>
      </c>
      <c r="P1827" s="10" t="n">
        <v>681</v>
      </c>
      <c r="Q1827" s="10" t="n">
        <v>723</v>
      </c>
      <c r="R1827" s="7" t="n">
        <v>5761</v>
      </c>
      <c r="S1827" s="8" t="n">
        <v>2272</v>
      </c>
      <c r="T1827" s="8" t="n">
        <v>2952</v>
      </c>
      <c r="U1827" s="9" t="n">
        <v>2217</v>
      </c>
      <c r="V1827" s="10" t="n">
        <v>-401</v>
      </c>
      <c r="W1827" s="10" t="n">
        <v>690</v>
      </c>
      <c r="X1827" s="7" t="n">
        <v>40581</v>
      </c>
      <c r="Y1827" s="8" t="n">
        <v>3778</v>
      </c>
      <c r="Z1827" s="8" t="n">
        <v>1229</v>
      </c>
      <c r="AA1827" s="9" t="n">
        <v>35507</v>
      </c>
      <c r="AB1827" s="10" t="n">
        <v>287</v>
      </c>
      <c r="AC1827" s="10" t="n">
        <v>1152</v>
      </c>
      <c r="AD1827" s="7" t="n">
        <v>35429</v>
      </c>
      <c r="AE1827" s="8" t="n">
        <v>-901</v>
      </c>
      <c r="AF1827" s="8" t="n">
        <v>-9808</v>
      </c>
      <c r="AG1827" s="9" t="n">
        <v>32952</v>
      </c>
      <c r="AH1827" s="10" t="n">
        <v>1222</v>
      </c>
      <c r="AI1827" s="10" t="n">
        <v>2162</v>
      </c>
      <c r="AJ1827" s="11" t="n">
        <v>36549</v>
      </c>
      <c r="AK1827" s="12" t="n">
        <v>2803</v>
      </c>
      <c r="AL1827" s="12" t="n">
        <v>3927</v>
      </c>
      <c r="AM1827" s="13" t="n">
        <v>10.9</v>
      </c>
      <c r="AN1827" s="13" t="n">
        <v>-9.9</v>
      </c>
      <c r="AO1827" s="13" t="n">
        <v>129.4</v>
      </c>
      <c r="AP1827" s="13" t="n">
        <v>-25.8</v>
      </c>
    </row>
    <row r="1828">
      <c r="A1828" s="5" t="inlineStr">
        <is>
          <t>와이제이링크</t>
        </is>
      </c>
      <c r="B1828" s="6" t="inlineStr">
        <is>
          <t>209640</t>
        </is>
      </c>
      <c r="C1828" s="6" t="inlineStr">
        <is>
          <t>연결</t>
        </is>
      </c>
      <c r="D1828" s="6" t="inlineStr">
        <is>
          <t>2026Q2</t>
        </is>
      </c>
      <c r="E1828" s="6" t="inlineStr"/>
      <c r="F1828" s="7" t="inlineStr"/>
      <c r="G1828" s="8" t="inlineStr"/>
      <c r="H1828" s="8" t="inlineStr"/>
      <c r="I1828" s="9" t="inlineStr"/>
      <c r="J1828" s="10" t="inlineStr"/>
      <c r="K1828" s="10" t="inlineStr"/>
      <c r="L1828" s="7" t="inlineStr"/>
      <c r="M1828" s="8" t="inlineStr"/>
      <c r="N1828" s="8" t="inlineStr"/>
      <c r="O1828" s="9" t="inlineStr"/>
      <c r="P1828" s="10" t="inlineStr"/>
      <c r="Q1828" s="10" t="inlineStr"/>
      <c r="R1828" s="7" t="inlineStr"/>
      <c r="S1828" s="8" t="inlineStr"/>
      <c r="T1828" s="8" t="inlineStr"/>
      <c r="U1828" s="9" t="n">
        <v>7559</v>
      </c>
      <c r="V1828" s="10" t="n">
        <v>-1281</v>
      </c>
      <c r="W1828" s="10" t="n">
        <v>-1791</v>
      </c>
      <c r="X1828" s="7" t="n">
        <v>10322</v>
      </c>
      <c r="Y1828" s="8" t="n">
        <v>-2069</v>
      </c>
      <c r="Z1828" s="8" t="n">
        <v>-3545</v>
      </c>
      <c r="AA1828" s="9" t="n">
        <v>10474</v>
      </c>
      <c r="AB1828" s="10" t="n">
        <v>-678</v>
      </c>
      <c r="AC1828" s="10" t="n">
        <v>190</v>
      </c>
      <c r="AD1828" s="7" t="n">
        <v>17718</v>
      </c>
      <c r="AE1828" s="8" t="n">
        <v>555</v>
      </c>
      <c r="AF1828" s="8" t="n">
        <v>2045</v>
      </c>
      <c r="AG1828" s="9" t="n">
        <v>14678</v>
      </c>
      <c r="AH1828" s="10" t="n">
        <v>1144</v>
      </c>
      <c r="AI1828" s="10" t="n">
        <v>2649</v>
      </c>
      <c r="AJ1828" s="11" t="n">
        <v>18495</v>
      </c>
      <c r="AK1828" s="12" t="n">
        <v>2472</v>
      </c>
      <c r="AL1828" s="12" t="n">
        <v>3192</v>
      </c>
      <c r="AM1828" s="13" t="n">
        <v>26</v>
      </c>
      <c r="AN1828" s="13" t="n">
        <v>79.2</v>
      </c>
      <c r="AO1828" s="13" t="n">
        <v>116.1</v>
      </c>
      <c r="AP1828" s="13" t="n">
        <v>219.5</v>
      </c>
    </row>
    <row r="1829">
      <c r="A1829" s="5" t="inlineStr">
        <is>
          <t>캔버스엔</t>
        </is>
      </c>
      <c r="B1829" s="6" t="inlineStr">
        <is>
          <t>210120</t>
        </is>
      </c>
      <c r="C1829" s="6" t="inlineStr">
        <is>
          <t>별도</t>
        </is>
      </c>
      <c r="D1829" s="6" t="inlineStr">
        <is>
          <t>2026Q2</t>
        </is>
      </c>
      <c r="E1829" s="6" t="inlineStr"/>
      <c r="F1829" s="7" t="inlineStr"/>
      <c r="G1829" s="8" t="inlineStr"/>
      <c r="H1829" s="8" t="inlineStr"/>
      <c r="I1829" s="9" t="n">
        <v>306</v>
      </c>
      <c r="J1829" s="10" t="n">
        <v>-97</v>
      </c>
      <c r="K1829" s="10" t="n">
        <v>138</v>
      </c>
      <c r="L1829" s="7" t="n">
        <v>594</v>
      </c>
      <c r="M1829" s="8" t="n">
        <v>-320</v>
      </c>
      <c r="N1829" s="8" t="n">
        <v>-829</v>
      </c>
      <c r="O1829" s="9" t="n">
        <v>8275</v>
      </c>
      <c r="P1829" s="10" t="n">
        <v>-4260</v>
      </c>
      <c r="Q1829" s="10" t="n">
        <v>-4698</v>
      </c>
      <c r="R1829" s="7" t="n">
        <v>449</v>
      </c>
      <c r="S1829" s="8" t="n">
        <v>-440</v>
      </c>
      <c r="T1829" s="8" t="n">
        <v>-1631</v>
      </c>
      <c r="U1829" s="9" t="n">
        <v>521</v>
      </c>
      <c r="V1829" s="10" t="n">
        <v>-463</v>
      </c>
      <c r="W1829" s="10" t="n">
        <v>-991</v>
      </c>
      <c r="X1829" s="7" t="n">
        <v>340</v>
      </c>
      <c r="Y1829" s="8" t="n">
        <v>-850</v>
      </c>
      <c r="Z1829" s="8" t="n">
        <v>-972</v>
      </c>
      <c r="AA1829" s="9" t="n">
        <v>371</v>
      </c>
      <c r="AB1829" s="10" t="n">
        <v>-385</v>
      </c>
      <c r="AC1829" s="10" t="n">
        <v>-959</v>
      </c>
      <c r="AD1829" s="7" t="n">
        <v>2767</v>
      </c>
      <c r="AE1829" s="8" t="n">
        <v>221</v>
      </c>
      <c r="AF1829" s="8" t="n">
        <v>-5734</v>
      </c>
      <c r="AG1829" s="9" t="n">
        <v>534</v>
      </c>
      <c r="AH1829" s="10" t="n">
        <v>-80</v>
      </c>
      <c r="AI1829" s="10" t="n">
        <v>-1055</v>
      </c>
      <c r="AJ1829" s="11" t="n">
        <v>659</v>
      </c>
      <c r="AK1829" s="12" t="n">
        <v>-826</v>
      </c>
      <c r="AL1829" s="12" t="n">
        <v>-1305</v>
      </c>
      <c r="AM1829" s="13" t="n">
        <v>23.4</v>
      </c>
      <c r="AN1829" s="13" t="n">
        <v>93.8</v>
      </c>
      <c r="AO1829" s="13" t="n">
        <v>-932.5</v>
      </c>
      <c r="AP1829" s="13" t="n">
        <v>2.8</v>
      </c>
    </row>
    <row r="1830">
      <c r="A1830" s="5" t="inlineStr">
        <is>
          <t>디와이파워</t>
        </is>
      </c>
      <c r="B1830" s="6" t="inlineStr">
        <is>
          <t>210540</t>
        </is>
      </c>
      <c r="C1830" s="6" t="inlineStr">
        <is>
          <t>연결</t>
        </is>
      </c>
      <c r="D1830" s="6" t="inlineStr">
        <is>
          <t>2026Q2</t>
        </is>
      </c>
      <c r="E1830" s="6" t="inlineStr"/>
      <c r="F1830" s="7" t="inlineStr"/>
      <c r="G1830" s="8" t="inlineStr"/>
      <c r="H1830" s="8" t="inlineStr"/>
      <c r="I1830" s="9" t="n">
        <v>103999</v>
      </c>
      <c r="J1830" s="10" t="n">
        <v>9526</v>
      </c>
      <c r="K1830" s="10" t="n">
        <v>7541</v>
      </c>
      <c r="L1830" s="7" t="n">
        <v>110535</v>
      </c>
      <c r="M1830" s="8" t="n">
        <v>9305</v>
      </c>
      <c r="N1830" s="8" t="n">
        <v>6696</v>
      </c>
      <c r="O1830" s="9" t="n">
        <v>88186</v>
      </c>
      <c r="P1830" s="10" t="n">
        <v>4049</v>
      </c>
      <c r="Q1830" s="10" t="n">
        <v>3153</v>
      </c>
      <c r="R1830" s="7" t="n">
        <v>81865</v>
      </c>
      <c r="S1830" s="8" t="n">
        <v>2649</v>
      </c>
      <c r="T1830" s="8" t="n">
        <v>4538</v>
      </c>
      <c r="U1830" s="9" t="n">
        <v>93631</v>
      </c>
      <c r="V1830" s="10" t="n">
        <v>9849</v>
      </c>
      <c r="W1830" s="10" t="n">
        <v>8853</v>
      </c>
      <c r="X1830" s="7" t="n">
        <v>107272</v>
      </c>
      <c r="Y1830" s="8" t="n">
        <v>7756</v>
      </c>
      <c r="Z1830" s="8" t="n">
        <v>4413</v>
      </c>
      <c r="AA1830" s="9" t="n">
        <v>95531</v>
      </c>
      <c r="AB1830" s="10" t="n">
        <v>8017</v>
      </c>
      <c r="AC1830" s="10" t="n">
        <v>8781</v>
      </c>
      <c r="AD1830" s="7" t="n">
        <v>86317</v>
      </c>
      <c r="AE1830" s="8" t="n">
        <v>4807</v>
      </c>
      <c r="AF1830" s="8" t="n">
        <v>3097</v>
      </c>
      <c r="AG1830" s="9" t="n">
        <v>102891</v>
      </c>
      <c r="AH1830" s="10" t="n">
        <v>11759</v>
      </c>
      <c r="AI1830" s="10" t="n">
        <v>9813</v>
      </c>
      <c r="AJ1830" s="11" t="n">
        <v>115861</v>
      </c>
      <c r="AK1830" s="12" t="n">
        <v>10531</v>
      </c>
      <c r="AL1830" s="12" t="n">
        <v>10303</v>
      </c>
      <c r="AM1830" s="13" t="n">
        <v>12.6</v>
      </c>
      <c r="AN1830" s="13" t="n">
        <v>8</v>
      </c>
      <c r="AO1830" s="13" t="n">
        <v>-10.4</v>
      </c>
      <c r="AP1830" s="13" t="n">
        <v>35.8</v>
      </c>
    </row>
    <row r="1831">
      <c r="A1831" s="5" t="inlineStr">
        <is>
          <t>SK디앤디</t>
        </is>
      </c>
      <c r="B1831" s="6" t="inlineStr">
        <is>
          <t>210980</t>
        </is>
      </c>
      <c r="C1831" s="6" t="inlineStr">
        <is>
          <t>연결</t>
        </is>
      </c>
      <c r="D1831" s="6" t="inlineStr">
        <is>
          <t>2026Q2</t>
        </is>
      </c>
      <c r="E1831" s="6" t="inlineStr"/>
      <c r="F1831" s="7" t="inlineStr"/>
      <c r="G1831" s="8" t="inlineStr"/>
      <c r="H1831" s="8" t="inlineStr"/>
      <c r="I1831" s="9" t="n">
        <v>50603</v>
      </c>
      <c r="J1831" s="10" t="n">
        <v>-983</v>
      </c>
      <c r="K1831" s="10" t="n">
        <v>2038</v>
      </c>
      <c r="L1831" s="7" t="n">
        <v>71872</v>
      </c>
      <c r="M1831" s="8" t="n">
        <v>2562</v>
      </c>
      <c r="N1831" s="8" t="n">
        <v>9758</v>
      </c>
      <c r="O1831" s="9" t="n">
        <v>62702</v>
      </c>
      <c r="P1831" s="10" t="n">
        <v>2742</v>
      </c>
      <c r="Q1831" s="10" t="n">
        <v>-518</v>
      </c>
      <c r="R1831" s="7" t="n">
        <v>685700</v>
      </c>
      <c r="S1831" s="8" t="n">
        <v>49349</v>
      </c>
      <c r="T1831" s="8" t="n">
        <v>32917</v>
      </c>
      <c r="U1831" s="9" t="n">
        <v>90681</v>
      </c>
      <c r="V1831" s="10" t="n">
        <v>7140</v>
      </c>
      <c r="W1831" s="10" t="n">
        <v>6254</v>
      </c>
      <c r="X1831" s="7" t="n">
        <v>137521</v>
      </c>
      <c r="Y1831" s="8" t="n">
        <v>33542</v>
      </c>
      <c r="Z1831" s="8" t="n">
        <v>18840</v>
      </c>
      <c r="AA1831" s="9" t="n">
        <v>102603</v>
      </c>
      <c r="AB1831" s="10" t="n">
        <v>8936</v>
      </c>
      <c r="AC1831" s="10" t="n">
        <v>3946</v>
      </c>
      <c r="AD1831" s="7" t="n">
        <v>115019</v>
      </c>
      <c r="AE1831" s="8" t="n">
        <v>-11823</v>
      </c>
      <c r="AF1831" s="8" t="n">
        <v>-23637</v>
      </c>
      <c r="AG1831" s="9" t="n">
        <v>70333</v>
      </c>
      <c r="AH1831" s="10" t="n">
        <v>-9347</v>
      </c>
      <c r="AI1831" s="10" t="n">
        <v>-20644</v>
      </c>
      <c r="AJ1831" s="11" t="n">
        <v>84026</v>
      </c>
      <c r="AK1831" s="12" t="n">
        <v>-42817</v>
      </c>
      <c r="AL1831" s="12" t="n">
        <v>-44863</v>
      </c>
      <c r="AM1831" s="13" t="n">
        <v>19.5</v>
      </c>
      <c r="AN1831" s="13" t="n">
        <v>-38.9</v>
      </c>
      <c r="AO1831" s="13" t="n">
        <v>-358.1</v>
      </c>
      <c r="AP1831" s="13" t="n">
        <v>-227.7</v>
      </c>
    </row>
    <row r="1832">
      <c r="A1832" s="5" t="inlineStr">
        <is>
          <t>인카금융서비스</t>
        </is>
      </c>
      <c r="B1832" s="6" t="inlineStr">
        <is>
          <t>211050</t>
        </is>
      </c>
      <c r="C1832" s="6" t="inlineStr">
        <is>
          <t>연결</t>
        </is>
      </c>
      <c r="D1832" s="6" t="inlineStr">
        <is>
          <t>2026Q2</t>
        </is>
      </c>
      <c r="E1832" s="6" t="inlineStr"/>
      <c r="F1832" s="7" t="inlineStr"/>
      <c r="G1832" s="8" t="inlineStr"/>
      <c r="H1832" s="8" t="inlineStr"/>
      <c r="I1832" s="9" t="n">
        <v>185959</v>
      </c>
      <c r="J1832" s="10" t="n">
        <v>18435</v>
      </c>
      <c r="K1832" s="10" t="n">
        <v>12727</v>
      </c>
      <c r="L1832" s="7" t="n">
        <v>210445</v>
      </c>
      <c r="M1832" s="8" t="n">
        <v>21012</v>
      </c>
      <c r="N1832" s="8" t="n">
        <v>14766</v>
      </c>
      <c r="O1832" s="9" t="n">
        <v>235138</v>
      </c>
      <c r="P1832" s="10" t="n">
        <v>28420</v>
      </c>
      <c r="Q1832" s="10" t="n">
        <v>20836</v>
      </c>
      <c r="R1832" s="7" t="n">
        <v>200717</v>
      </c>
      <c r="S1832" s="8" t="n">
        <v>18400</v>
      </c>
      <c r="T1832" s="8" t="n">
        <v>13697</v>
      </c>
      <c r="U1832" s="9" t="n">
        <v>230099</v>
      </c>
      <c r="V1832" s="10" t="n">
        <v>21100</v>
      </c>
      <c r="W1832" s="10" t="n">
        <v>15670</v>
      </c>
      <c r="X1832" s="7" t="n">
        <v>238768</v>
      </c>
      <c r="Y1832" s="8" t="n">
        <v>23749</v>
      </c>
      <c r="Z1832" s="8" t="n">
        <v>17333</v>
      </c>
      <c r="AA1832" s="9" t="n">
        <v>270810</v>
      </c>
      <c r="AB1832" s="10" t="n">
        <v>25968</v>
      </c>
      <c r="AC1832" s="10" t="n">
        <v>21242</v>
      </c>
      <c r="AD1832" s="7" t="n">
        <v>282091</v>
      </c>
      <c r="AE1832" s="8" t="n">
        <v>24027</v>
      </c>
      <c r="AF1832" s="8" t="n">
        <v>16708</v>
      </c>
      <c r="AG1832" s="9" t="n">
        <v>301224</v>
      </c>
      <c r="AH1832" s="10" t="n">
        <v>25951</v>
      </c>
      <c r="AI1832" s="10" t="n">
        <v>22519</v>
      </c>
      <c r="AJ1832" s="11" t="n">
        <v>338806</v>
      </c>
      <c r="AK1832" s="12" t="n">
        <v>32329</v>
      </c>
      <c r="AL1832" s="12" t="n">
        <v>21998</v>
      </c>
      <c r="AM1832" s="13" t="n">
        <v>12.5</v>
      </c>
      <c r="AN1832" s="13" t="n">
        <v>41.9</v>
      </c>
      <c r="AO1832" s="13" t="n">
        <v>24.6</v>
      </c>
      <c r="AP1832" s="13" t="n">
        <v>36.1</v>
      </c>
    </row>
    <row r="1833">
      <c r="A1833" s="5" t="inlineStr">
        <is>
          <t>AP위성</t>
        </is>
      </c>
      <c r="B1833" s="6" t="inlineStr">
        <is>
          <t>211270</t>
        </is>
      </c>
      <c r="C1833" s="6" t="inlineStr">
        <is>
          <t>별도</t>
        </is>
      </c>
      <c r="D1833" s="6" t="inlineStr">
        <is>
          <t>2026Q2</t>
        </is>
      </c>
      <c r="E1833" s="6" t="inlineStr"/>
      <c r="F1833" s="7" t="inlineStr"/>
      <c r="G1833" s="8" t="inlineStr"/>
      <c r="H1833" s="8" t="inlineStr"/>
      <c r="I1833" s="9" t="n">
        <v>14163</v>
      </c>
      <c r="J1833" s="10" t="n">
        <v>3571</v>
      </c>
      <c r="K1833" s="10" t="n">
        <v>4117</v>
      </c>
      <c r="L1833" s="7" t="n">
        <v>5021</v>
      </c>
      <c r="M1833" s="8" t="n">
        <v>-1194</v>
      </c>
      <c r="N1833" s="8" t="n">
        <v>89</v>
      </c>
      <c r="O1833" s="9" t="n">
        <v>12759</v>
      </c>
      <c r="P1833" s="10" t="n">
        <v>3253</v>
      </c>
      <c r="Q1833" s="10" t="n">
        <v>2464</v>
      </c>
      <c r="R1833" s="7" t="n">
        <v>26689</v>
      </c>
      <c r="S1833" s="8" t="n">
        <v>1670</v>
      </c>
      <c r="T1833" s="8" t="n">
        <v>3758</v>
      </c>
      <c r="U1833" s="9" t="n">
        <v>10215</v>
      </c>
      <c r="V1833" s="10" t="n">
        <v>-779</v>
      </c>
      <c r="W1833" s="10" t="n">
        <v>-138</v>
      </c>
      <c r="X1833" s="7" t="n">
        <v>16367</v>
      </c>
      <c r="Y1833" s="8" t="n">
        <v>-1880</v>
      </c>
      <c r="Z1833" s="8" t="n">
        <v>-2292</v>
      </c>
      <c r="AA1833" s="9" t="n">
        <v>5360</v>
      </c>
      <c r="AB1833" s="10" t="n">
        <v>-2381</v>
      </c>
      <c r="AC1833" s="10" t="n">
        <v>-1549</v>
      </c>
      <c r="AD1833" s="7" t="n">
        <v>15870</v>
      </c>
      <c r="AE1833" s="8" t="n">
        <v>739</v>
      </c>
      <c r="AF1833" s="8" t="n">
        <v>1209</v>
      </c>
      <c r="AG1833" s="9" t="n">
        <v>4067</v>
      </c>
      <c r="AH1833" s="10" t="n">
        <v>-2555</v>
      </c>
      <c r="AI1833" s="10" t="n">
        <v>-1290</v>
      </c>
      <c r="AJ1833" s="11" t="n">
        <v>6760</v>
      </c>
      <c r="AK1833" s="12" t="n">
        <v>-2317</v>
      </c>
      <c r="AL1833" s="12" t="n">
        <v>-1501</v>
      </c>
      <c r="AM1833" s="13" t="n">
        <v>66.2</v>
      </c>
      <c r="AN1833" s="13" t="n">
        <v>-58.7</v>
      </c>
      <c r="AO1833" s="13" t="n">
        <v>9.300000000000001</v>
      </c>
      <c r="AP1833" s="13" t="n">
        <v>-23.2</v>
      </c>
    </row>
    <row r="1834">
      <c r="A1834" s="5" t="inlineStr">
        <is>
          <t>네오오토</t>
        </is>
      </c>
      <c r="B1834" s="6" t="inlineStr">
        <is>
          <t>212560</t>
        </is>
      </c>
      <c r="C1834" s="6" t="inlineStr">
        <is>
          <t>별도</t>
        </is>
      </c>
      <c r="D1834" s="6" t="inlineStr">
        <is>
          <t>2026Q2</t>
        </is>
      </c>
      <c r="E1834" s="6" t="inlineStr"/>
      <c r="F1834" s="7" t="inlineStr"/>
      <c r="G1834" s="8" t="inlineStr"/>
      <c r="H1834" s="8" t="inlineStr"/>
      <c r="I1834" s="9" t="n">
        <v>53191</v>
      </c>
      <c r="J1834" s="10" t="n">
        <v>3105</v>
      </c>
      <c r="K1834" s="10" t="n">
        <v>3911</v>
      </c>
      <c r="L1834" s="7" t="n">
        <v>56387</v>
      </c>
      <c r="M1834" s="8" t="n">
        <v>4381</v>
      </c>
      <c r="N1834" s="8" t="n">
        <v>4942</v>
      </c>
      <c r="O1834" s="9" t="n">
        <v>53698</v>
      </c>
      <c r="P1834" s="10" t="n">
        <v>3679</v>
      </c>
      <c r="Q1834" s="10" t="n">
        <v>3721</v>
      </c>
      <c r="R1834" s="7" t="n">
        <v>55291</v>
      </c>
      <c r="S1834" s="8" t="n">
        <v>1476</v>
      </c>
      <c r="T1834" s="8" t="n">
        <v>5142</v>
      </c>
      <c r="U1834" s="9" t="n">
        <v>57263</v>
      </c>
      <c r="V1834" s="10" t="n">
        <v>3399</v>
      </c>
      <c r="W1834" s="10" t="n">
        <v>3684</v>
      </c>
      <c r="X1834" s="7" t="n">
        <v>62060</v>
      </c>
      <c r="Y1834" s="8" t="n">
        <v>4290</v>
      </c>
      <c r="Z1834" s="8" t="n">
        <v>5140</v>
      </c>
      <c r="AA1834" s="9" t="n">
        <v>57374</v>
      </c>
      <c r="AB1834" s="10" t="n">
        <v>3633</v>
      </c>
      <c r="AC1834" s="10" t="n">
        <v>3916</v>
      </c>
      <c r="AD1834" s="7" t="n">
        <v>55419</v>
      </c>
      <c r="AE1834" s="8" t="n">
        <v>2344</v>
      </c>
      <c r="AF1834" s="8" t="n">
        <v>2143</v>
      </c>
      <c r="AG1834" s="9" t="n">
        <v>60391</v>
      </c>
      <c r="AH1834" s="10" t="n">
        <v>3663</v>
      </c>
      <c r="AI1834" s="10" t="n">
        <v>4327</v>
      </c>
      <c r="AJ1834" s="11" t="n">
        <v>63399</v>
      </c>
      <c r="AK1834" s="12" t="n">
        <v>4110</v>
      </c>
      <c r="AL1834" s="12" t="n">
        <v>2337</v>
      </c>
      <c r="AM1834" s="13" t="n">
        <v>5</v>
      </c>
      <c r="AN1834" s="13" t="n">
        <v>2.2</v>
      </c>
      <c r="AO1834" s="13" t="n">
        <v>12.2</v>
      </c>
      <c r="AP1834" s="13" t="n">
        <v>-4.2</v>
      </c>
    </row>
    <row r="1835">
      <c r="A1835" s="5" t="inlineStr">
        <is>
          <t>아이에스티이</t>
        </is>
      </c>
      <c r="B1835" s="6" t="inlineStr">
        <is>
          <t>212710</t>
        </is>
      </c>
      <c r="C1835" s="6" t="inlineStr">
        <is>
          <t>연결</t>
        </is>
      </c>
      <c r="D1835" s="6" t="inlineStr">
        <is>
          <t>2026Q2</t>
        </is>
      </c>
      <c r="E1835" s="6" t="inlineStr">
        <is>
          <t>2024Q4</t>
        </is>
      </c>
      <c r="F1835" s="7" t="inlineStr"/>
      <c r="G1835" s="8" t="inlineStr"/>
      <c r="H1835" s="8" t="inlineStr"/>
      <c r="I1835" s="9" t="inlineStr"/>
      <c r="J1835" s="10" t="inlineStr"/>
      <c r="K1835" s="10" t="inlineStr"/>
      <c r="L1835" s="7" t="inlineStr"/>
      <c r="M1835" s="8" t="inlineStr"/>
      <c r="N1835" s="8" t="inlineStr"/>
      <c r="O1835" s="9" t="inlineStr"/>
      <c r="P1835" s="10" t="inlineStr"/>
      <c r="Q1835" s="10" t="inlineStr"/>
      <c r="R1835" s="14" t="n">
        <v>13270</v>
      </c>
      <c r="S1835" s="15" t="n">
        <v>153</v>
      </c>
      <c r="T1835" s="15" t="n">
        <v>118</v>
      </c>
      <c r="U1835" s="9" t="n">
        <v>10329</v>
      </c>
      <c r="V1835" s="10" t="n">
        <v>307</v>
      </c>
      <c r="W1835" s="10" t="n">
        <v>167</v>
      </c>
      <c r="X1835" s="7" t="n">
        <v>3361</v>
      </c>
      <c r="Y1835" s="8" t="n">
        <v>-902</v>
      </c>
      <c r="Z1835" s="8" t="n">
        <v>-957</v>
      </c>
      <c r="AA1835" s="9" t="n">
        <v>5258</v>
      </c>
      <c r="AB1835" s="10" t="n">
        <v>-1072</v>
      </c>
      <c r="AC1835" s="10" t="n">
        <v>-795</v>
      </c>
      <c r="AD1835" s="7" t="n">
        <v>13273</v>
      </c>
      <c r="AE1835" s="8" t="n">
        <v>-4174</v>
      </c>
      <c r="AF1835" s="8" t="n">
        <v>-2944</v>
      </c>
      <c r="AG1835" s="9" t="n">
        <v>6382</v>
      </c>
      <c r="AH1835" s="10" t="n">
        <v>535</v>
      </c>
      <c r="AI1835" s="10" t="n">
        <v>732</v>
      </c>
      <c r="AJ1835" s="11" t="n">
        <v>16850</v>
      </c>
      <c r="AK1835" s="12" t="n">
        <v>2073</v>
      </c>
      <c r="AL1835" s="12" t="n">
        <v>1771</v>
      </c>
      <c r="AM1835" s="13" t="n">
        <v>164</v>
      </c>
      <c r="AN1835" s="13" t="n">
        <v>401.3</v>
      </c>
      <c r="AO1835" s="13" t="n">
        <v>287.5</v>
      </c>
      <c r="AP1835" s="13" t="n">
        <v>329.8</v>
      </c>
    </row>
    <row r="1836">
      <c r="A1836" s="5" t="inlineStr">
        <is>
          <t>덕산네오룩스</t>
        </is>
      </c>
      <c r="B1836" s="6" t="inlineStr">
        <is>
          <t>213420</t>
        </is>
      </c>
      <c r="C1836" s="6" t="inlineStr">
        <is>
          <t>연결</t>
        </is>
      </c>
      <c r="D1836" s="6" t="inlineStr">
        <is>
          <t>2026Q2</t>
        </is>
      </c>
      <c r="E1836" s="6" t="inlineStr"/>
      <c r="F1836" s="7" t="inlineStr"/>
      <c r="G1836" s="8" t="inlineStr"/>
      <c r="H1836" s="8" t="inlineStr"/>
      <c r="I1836" s="9" t="n">
        <v>52483</v>
      </c>
      <c r="J1836" s="10" t="n">
        <v>10270</v>
      </c>
      <c r="K1836" s="10" t="n">
        <v>8619</v>
      </c>
      <c r="L1836" s="7" t="n">
        <v>52709</v>
      </c>
      <c r="M1836" s="8" t="n">
        <v>10045</v>
      </c>
      <c r="N1836" s="8" t="n">
        <v>9950</v>
      </c>
      <c r="O1836" s="9" t="n">
        <v>54880</v>
      </c>
      <c r="P1836" s="10" t="n">
        <v>12543</v>
      </c>
      <c r="Q1836" s="10" t="n">
        <v>10645</v>
      </c>
      <c r="R1836" s="7" t="n">
        <v>52180</v>
      </c>
      <c r="S1836" s="8" t="n">
        <v>19614</v>
      </c>
      <c r="T1836" s="8" t="n">
        <v>16547</v>
      </c>
      <c r="U1836" s="9" t="n">
        <v>37944</v>
      </c>
      <c r="V1836" s="10" t="n">
        <v>9898</v>
      </c>
      <c r="W1836" s="10" t="n">
        <v>8196</v>
      </c>
      <c r="X1836" s="7" t="n">
        <v>80927</v>
      </c>
      <c r="Y1836" s="8" t="n">
        <v>10280</v>
      </c>
      <c r="Z1836" s="8" t="n">
        <v>8966</v>
      </c>
      <c r="AA1836" s="9" t="n">
        <v>98331</v>
      </c>
      <c r="AB1836" s="10" t="n">
        <v>17501</v>
      </c>
      <c r="AC1836" s="10" t="n">
        <v>14092</v>
      </c>
      <c r="AD1836" s="7" t="n">
        <v>127108</v>
      </c>
      <c r="AE1836" s="8" t="n">
        <v>23063</v>
      </c>
      <c r="AF1836" s="8" t="n">
        <v>22703</v>
      </c>
      <c r="AG1836" s="9" t="n">
        <v>72874</v>
      </c>
      <c r="AH1836" s="10" t="n">
        <v>17090</v>
      </c>
      <c r="AI1836" s="10" t="n">
        <v>16807</v>
      </c>
      <c r="AJ1836" s="11" t="n">
        <v>94585</v>
      </c>
      <c r="AK1836" s="12" t="n">
        <v>18499</v>
      </c>
      <c r="AL1836" s="12" t="n">
        <v>19941</v>
      </c>
      <c r="AM1836" s="13" t="n">
        <v>29.8</v>
      </c>
      <c r="AN1836" s="13" t="n">
        <v>16.9</v>
      </c>
      <c r="AO1836" s="13" t="n">
        <v>8.199999999999999</v>
      </c>
      <c r="AP1836" s="13" t="n">
        <v>80</v>
      </c>
    </row>
    <row r="1837">
      <c r="A1837" s="5" t="inlineStr">
        <is>
          <t>한솔제지</t>
        </is>
      </c>
      <c r="B1837" s="6" t="inlineStr">
        <is>
          <t>213500</t>
        </is>
      </c>
      <c r="C1837" s="6" t="inlineStr">
        <is>
          <t>연결</t>
        </is>
      </c>
      <c r="D1837" s="6" t="inlineStr">
        <is>
          <t>2026Q2</t>
        </is>
      </c>
      <c r="E1837" s="6" t="inlineStr">
        <is>
          <t>2023Q4</t>
        </is>
      </c>
      <c r="F1837" s="14" t="n">
        <v>552292</v>
      </c>
      <c r="G1837" s="15" t="n">
        <v>5687</v>
      </c>
      <c r="H1837" s="15" t="n">
        <v>-5421</v>
      </c>
      <c r="I1837" s="9" t="n">
        <v>534109</v>
      </c>
      <c r="J1837" s="10" t="n">
        <v>33970</v>
      </c>
      <c r="K1837" s="10" t="n">
        <v>23694</v>
      </c>
      <c r="L1837" s="7" t="n">
        <v>562970</v>
      </c>
      <c r="M1837" s="8" t="n">
        <v>5072</v>
      </c>
      <c r="N1837" s="8" t="n">
        <v>-9540</v>
      </c>
      <c r="O1837" s="9" t="n">
        <v>556192</v>
      </c>
      <c r="P1837" s="10" t="n">
        <v>-4339</v>
      </c>
      <c r="Q1837" s="10" t="n">
        <v>-12133</v>
      </c>
      <c r="R1837" s="7" t="n">
        <v>562521</v>
      </c>
      <c r="S1837" s="8" t="n">
        <v>-12712</v>
      </c>
      <c r="T1837" s="8" t="n">
        <v>-32417</v>
      </c>
      <c r="U1837" s="9" t="n">
        <v>575596</v>
      </c>
      <c r="V1837" s="10" t="n">
        <v>20338</v>
      </c>
      <c r="W1837" s="10" t="n">
        <v>6712</v>
      </c>
      <c r="X1837" s="7" t="n">
        <v>565039</v>
      </c>
      <c r="Y1837" s="8" t="n">
        <v>19335</v>
      </c>
      <c r="Z1837" s="8" t="n">
        <v>8481</v>
      </c>
      <c r="AA1837" s="9" t="n">
        <v>554830</v>
      </c>
      <c r="AB1837" s="10" t="n">
        <v>2550</v>
      </c>
      <c r="AC1837" s="10" t="n">
        <v>-9090</v>
      </c>
      <c r="AD1837" s="7" t="n">
        <v>594575</v>
      </c>
      <c r="AE1837" s="8" t="n">
        <v>7709</v>
      </c>
      <c r="AF1837" s="8" t="n">
        <v>-2214</v>
      </c>
      <c r="AG1837" s="9" t="n">
        <v>559804</v>
      </c>
      <c r="AH1837" s="10" t="n">
        <v>11241</v>
      </c>
      <c r="AI1837" s="10" t="n">
        <v>3423</v>
      </c>
      <c r="AJ1837" s="11" t="n">
        <v>592743</v>
      </c>
      <c r="AK1837" s="12" t="n">
        <v>50804</v>
      </c>
      <c r="AL1837" s="12" t="n">
        <v>29964</v>
      </c>
      <c r="AM1837" s="13" t="n">
        <v>5.9</v>
      </c>
      <c r="AN1837" s="13" t="n">
        <v>4.9</v>
      </c>
      <c r="AO1837" s="13" t="n">
        <v>352</v>
      </c>
      <c r="AP1837" s="13" t="n">
        <v>162.8</v>
      </c>
    </row>
    <row r="1838">
      <c r="A1838" s="5" t="inlineStr">
        <is>
          <t>클래시스</t>
        </is>
      </c>
      <c r="B1838" s="6" t="inlineStr">
        <is>
          <t>214150</t>
        </is>
      </c>
      <c r="C1838" s="6" t="inlineStr">
        <is>
          <t>연결</t>
        </is>
      </c>
      <c r="D1838" s="6" t="inlineStr">
        <is>
          <t>2026Q2</t>
        </is>
      </c>
      <c r="E1838" s="6" t="inlineStr">
        <is>
          <t>2023Q4</t>
        </is>
      </c>
      <c r="F1838" s="14" t="n">
        <v>47005</v>
      </c>
      <c r="G1838" s="15" t="n">
        <v>21921</v>
      </c>
      <c r="H1838" s="15" t="n">
        <v>15698</v>
      </c>
      <c r="I1838" s="9" t="n">
        <v>50380</v>
      </c>
      <c r="J1838" s="10" t="n">
        <v>26509</v>
      </c>
      <c r="K1838" s="10" t="n">
        <v>26090</v>
      </c>
      <c r="L1838" s="7" t="n">
        <v>58742</v>
      </c>
      <c r="M1838" s="8" t="n">
        <v>31189</v>
      </c>
      <c r="N1838" s="8" t="n">
        <v>26581</v>
      </c>
      <c r="O1838" s="9" t="n">
        <v>59413</v>
      </c>
      <c r="P1838" s="10" t="n">
        <v>28951</v>
      </c>
      <c r="Q1838" s="10" t="n">
        <v>16489</v>
      </c>
      <c r="R1838" s="7" t="n">
        <v>74404</v>
      </c>
      <c r="S1838" s="8" t="n">
        <v>35794</v>
      </c>
      <c r="T1838" s="8" t="n">
        <v>28384</v>
      </c>
      <c r="U1838" s="9" t="n">
        <v>77113</v>
      </c>
      <c r="V1838" s="10" t="n">
        <v>38782</v>
      </c>
      <c r="W1838" s="10" t="n">
        <v>29724</v>
      </c>
      <c r="X1838" s="7" t="n">
        <v>83284</v>
      </c>
      <c r="Y1838" s="8" t="n">
        <v>43011</v>
      </c>
      <c r="Z1838" s="8" t="n">
        <v>26473</v>
      </c>
      <c r="AA1838" s="9" t="n">
        <v>82997</v>
      </c>
      <c r="AB1838" s="10" t="n">
        <v>37618</v>
      </c>
      <c r="AC1838" s="10" t="n">
        <v>33109</v>
      </c>
      <c r="AD1838" s="7" t="n">
        <v>93426</v>
      </c>
      <c r="AE1838" s="8" t="n">
        <v>51190</v>
      </c>
      <c r="AF1838" s="8" t="n">
        <v>42664</v>
      </c>
      <c r="AG1838" s="9" t="n">
        <v>87175</v>
      </c>
      <c r="AH1838" s="10" t="n">
        <v>37199</v>
      </c>
      <c r="AI1838" s="10" t="n">
        <v>33156</v>
      </c>
      <c r="AJ1838" s="11" t="n">
        <v>105515</v>
      </c>
      <c r="AK1838" s="12" t="n">
        <v>43941</v>
      </c>
      <c r="AL1838" s="12" t="n">
        <v>25521</v>
      </c>
      <c r="AM1838" s="13" t="n">
        <v>21</v>
      </c>
      <c r="AN1838" s="13" t="n">
        <v>26.7</v>
      </c>
      <c r="AO1838" s="13" t="n">
        <v>18.1</v>
      </c>
      <c r="AP1838" s="13" t="n">
        <v>2.2</v>
      </c>
    </row>
    <row r="1839">
      <c r="A1839" s="5" t="inlineStr">
        <is>
          <t>헥토이노베이션</t>
        </is>
      </c>
      <c r="B1839" s="6" t="inlineStr">
        <is>
          <t>214180</t>
        </is>
      </c>
      <c r="C1839" s="6" t="inlineStr">
        <is>
          <t>연결</t>
        </is>
      </c>
      <c r="D1839" s="6" t="inlineStr">
        <is>
          <t>2026Q2</t>
        </is>
      </c>
      <c r="E1839" s="6" t="inlineStr"/>
      <c r="F1839" s="7" t="inlineStr"/>
      <c r="G1839" s="8" t="inlineStr"/>
      <c r="H1839" s="8" t="inlineStr"/>
      <c r="I1839" s="9" t="n">
        <v>73823</v>
      </c>
      <c r="J1839" s="10" t="n">
        <v>9841</v>
      </c>
      <c r="K1839" s="10" t="n">
        <v>7863</v>
      </c>
      <c r="L1839" s="7" t="n">
        <v>77825</v>
      </c>
      <c r="M1839" s="8" t="n">
        <v>11227</v>
      </c>
      <c r="N1839" s="8" t="n">
        <v>10263</v>
      </c>
      <c r="O1839" s="9" t="n">
        <v>80219</v>
      </c>
      <c r="P1839" s="10" t="n">
        <v>13919</v>
      </c>
      <c r="Q1839" s="10" t="n">
        <v>12436</v>
      </c>
      <c r="R1839" s="7" t="n">
        <v>87605</v>
      </c>
      <c r="S1839" s="8" t="n">
        <v>13869</v>
      </c>
      <c r="T1839" s="8" t="n">
        <v>4212</v>
      </c>
      <c r="U1839" s="9" t="n">
        <v>89560</v>
      </c>
      <c r="V1839" s="10" t="n">
        <v>11729</v>
      </c>
      <c r="W1839" s="10" t="n">
        <v>9504</v>
      </c>
      <c r="X1839" s="7" t="n">
        <v>91791</v>
      </c>
      <c r="Y1839" s="8" t="n">
        <v>13422</v>
      </c>
      <c r="Z1839" s="8" t="n">
        <v>13314</v>
      </c>
      <c r="AA1839" s="9" t="n">
        <v>95626</v>
      </c>
      <c r="AB1839" s="10" t="n">
        <v>14677</v>
      </c>
      <c r="AC1839" s="10" t="n">
        <v>11761</v>
      </c>
      <c r="AD1839" s="7" t="n">
        <v>98846</v>
      </c>
      <c r="AE1839" s="8" t="n">
        <v>10353</v>
      </c>
      <c r="AF1839" s="8" t="n">
        <v>2214</v>
      </c>
      <c r="AG1839" s="9" t="n">
        <v>112315</v>
      </c>
      <c r="AH1839" s="10" t="n">
        <v>14561</v>
      </c>
      <c r="AI1839" s="10" t="n">
        <v>11272</v>
      </c>
      <c r="AJ1839" s="11" t="n">
        <v>102829</v>
      </c>
      <c r="AK1839" s="12" t="n">
        <v>12880</v>
      </c>
      <c r="AL1839" s="12" t="n">
        <v>8922</v>
      </c>
      <c r="AM1839" s="13" t="n">
        <v>-8.4</v>
      </c>
      <c r="AN1839" s="13" t="n">
        <v>12</v>
      </c>
      <c r="AO1839" s="13" t="n">
        <v>-11.5</v>
      </c>
      <c r="AP1839" s="13" t="n">
        <v>-4</v>
      </c>
    </row>
    <row r="1840">
      <c r="A1840" s="5" t="inlineStr">
        <is>
          <t>라파스</t>
        </is>
      </c>
      <c r="B1840" s="6" t="inlineStr">
        <is>
          <t>214260</t>
        </is>
      </c>
      <c r="C1840" s="6" t="inlineStr">
        <is>
          <t>연결</t>
        </is>
      </c>
      <c r="D1840" s="6" t="inlineStr">
        <is>
          <t>2026Q2</t>
        </is>
      </c>
      <c r="E1840" s="6" t="inlineStr"/>
      <c r="F1840" s="7" t="inlineStr"/>
      <c r="G1840" s="8" t="inlineStr"/>
      <c r="H1840" s="8" t="inlineStr"/>
      <c r="I1840" s="9" t="n">
        <v>6243</v>
      </c>
      <c r="J1840" s="10" t="n">
        <v>-1288</v>
      </c>
      <c r="K1840" s="10" t="n">
        <v>-1618</v>
      </c>
      <c r="L1840" s="7" t="n">
        <v>7307</v>
      </c>
      <c r="M1840" s="8" t="n">
        <v>-565</v>
      </c>
      <c r="N1840" s="8" t="n">
        <v>2352</v>
      </c>
      <c r="O1840" s="9" t="n">
        <v>6281</v>
      </c>
      <c r="P1840" s="10" t="n">
        <v>-1111</v>
      </c>
      <c r="Q1840" s="10" t="n">
        <v>-10065</v>
      </c>
      <c r="R1840" s="7" t="n">
        <v>7384</v>
      </c>
      <c r="S1840" s="8" t="n">
        <v>-499</v>
      </c>
      <c r="T1840" s="8" t="n">
        <v>3531</v>
      </c>
      <c r="U1840" s="9" t="n">
        <v>7064</v>
      </c>
      <c r="V1840" s="10" t="n">
        <v>-685</v>
      </c>
      <c r="W1840" s="10" t="n">
        <v>-1177</v>
      </c>
      <c r="X1840" s="7" t="n">
        <v>8115</v>
      </c>
      <c r="Y1840" s="8" t="n">
        <v>-722</v>
      </c>
      <c r="Z1840" s="8" t="n">
        <v>-529</v>
      </c>
      <c r="AA1840" s="9" t="n">
        <v>9600</v>
      </c>
      <c r="AB1840" s="10" t="n">
        <v>-645</v>
      </c>
      <c r="AC1840" s="10" t="n">
        <v>-1236</v>
      </c>
      <c r="AD1840" s="7" t="n">
        <v>6209</v>
      </c>
      <c r="AE1840" s="8" t="n">
        <v>-982</v>
      </c>
      <c r="AF1840" s="8" t="n">
        <v>-1800</v>
      </c>
      <c r="AG1840" s="9" t="n">
        <v>6767</v>
      </c>
      <c r="AH1840" s="10" t="n">
        <v>-517</v>
      </c>
      <c r="AI1840" s="10" t="n">
        <v>-759</v>
      </c>
      <c r="AJ1840" s="11" t="n">
        <v>7582</v>
      </c>
      <c r="AK1840" s="12" t="n">
        <v>-1770</v>
      </c>
      <c r="AL1840" s="12" t="n">
        <v>-2316</v>
      </c>
      <c r="AM1840" s="13" t="n">
        <v>12</v>
      </c>
      <c r="AN1840" s="13" t="n">
        <v>-6.6</v>
      </c>
      <c r="AO1840" s="13" t="n">
        <v>-242.4</v>
      </c>
      <c r="AP1840" s="13" t="n">
        <v>-145.2</v>
      </c>
    </row>
    <row r="1841">
      <c r="A1841" s="5" t="inlineStr">
        <is>
          <t>FSN</t>
        </is>
      </c>
      <c r="B1841" s="6" t="inlineStr">
        <is>
          <t>214270</t>
        </is>
      </c>
      <c r="C1841" s="6" t="inlineStr">
        <is>
          <t>연결</t>
        </is>
      </c>
      <c r="D1841" s="6" t="inlineStr">
        <is>
          <t>2026Q2</t>
        </is>
      </c>
      <c r="E1841" s="6" t="inlineStr"/>
      <c r="F1841" s="7" t="inlineStr"/>
      <c r="G1841" s="8" t="inlineStr"/>
      <c r="H1841" s="8" t="inlineStr"/>
      <c r="I1841" s="9" t="n">
        <v>38374</v>
      </c>
      <c r="J1841" s="10" t="n">
        <v>-2236</v>
      </c>
      <c r="K1841" s="10" t="n">
        <v>-2129</v>
      </c>
      <c r="L1841" s="7" t="n">
        <v>57377</v>
      </c>
      <c r="M1841" s="8" t="n">
        <v>-1190</v>
      </c>
      <c r="N1841" s="8" t="n">
        <v>-2305</v>
      </c>
      <c r="O1841" s="9" t="n">
        <v>86749</v>
      </c>
      <c r="P1841" s="10" t="n">
        <v>2876</v>
      </c>
      <c r="Q1841" s="10" t="n">
        <v>108</v>
      </c>
      <c r="R1841" s="7" t="n">
        <v>83143</v>
      </c>
      <c r="S1841" s="8" t="n">
        <v>1382</v>
      </c>
      <c r="T1841" s="8" t="n">
        <v>-56617</v>
      </c>
      <c r="U1841" s="9" t="n">
        <v>86282</v>
      </c>
      <c r="V1841" s="10" t="n">
        <v>4072</v>
      </c>
      <c r="W1841" s="10" t="n">
        <v>3729</v>
      </c>
      <c r="X1841" s="7" t="n">
        <v>72106</v>
      </c>
      <c r="Y1841" s="8" t="n">
        <v>9438</v>
      </c>
      <c r="Z1841" s="8" t="n">
        <v>4547</v>
      </c>
      <c r="AA1841" s="9" t="n">
        <v>73265</v>
      </c>
      <c r="AB1841" s="10" t="n">
        <v>9071</v>
      </c>
      <c r="AC1841" s="10" t="n">
        <v>7347</v>
      </c>
      <c r="AD1841" s="7" t="n">
        <v>40637</v>
      </c>
      <c r="AE1841" s="8" t="n">
        <v>7937</v>
      </c>
      <c r="AF1841" s="8" t="n">
        <v>-31486</v>
      </c>
      <c r="AG1841" s="9" t="n">
        <v>59268</v>
      </c>
      <c r="AH1841" s="10" t="n">
        <v>1888</v>
      </c>
      <c r="AI1841" s="10" t="n">
        <v>-132</v>
      </c>
      <c r="AJ1841" s="11" t="n">
        <v>76708</v>
      </c>
      <c r="AK1841" s="12" t="n">
        <v>11974</v>
      </c>
      <c r="AL1841" s="12" t="n">
        <v>4976</v>
      </c>
      <c r="AM1841" s="13" t="n">
        <v>29.4</v>
      </c>
      <c r="AN1841" s="13" t="n">
        <v>6.4</v>
      </c>
      <c r="AO1841" s="13" t="n">
        <v>534.2</v>
      </c>
      <c r="AP1841" s="13" t="n">
        <v>26.9</v>
      </c>
    </row>
    <row r="1842">
      <c r="A1842" s="5" t="inlineStr">
        <is>
          <t>이노션</t>
        </is>
      </c>
      <c r="B1842" s="6" t="inlineStr">
        <is>
          <t>214320</t>
        </is>
      </c>
      <c r="C1842" s="6" t="inlineStr">
        <is>
          <t>연결</t>
        </is>
      </c>
      <c r="D1842" s="6" t="inlineStr">
        <is>
          <t>2026Q2</t>
        </is>
      </c>
      <c r="E1842" s="6" t="inlineStr">
        <is>
          <t>2023Q4</t>
        </is>
      </c>
      <c r="F1842" s="14" t="n">
        <v>638959</v>
      </c>
      <c r="G1842" s="15" t="n">
        <v>47665</v>
      </c>
      <c r="H1842" s="15" t="n">
        <v>16270</v>
      </c>
      <c r="I1842" s="9" t="n">
        <v>487515</v>
      </c>
      <c r="J1842" s="10" t="n">
        <v>30476</v>
      </c>
      <c r="K1842" s="10" t="n">
        <v>29438</v>
      </c>
      <c r="L1842" s="7" t="n">
        <v>522074</v>
      </c>
      <c r="M1842" s="8" t="n">
        <v>36661</v>
      </c>
      <c r="N1842" s="8" t="n">
        <v>26782</v>
      </c>
      <c r="O1842" s="9" t="n">
        <v>512024</v>
      </c>
      <c r="P1842" s="10" t="n">
        <v>45896</v>
      </c>
      <c r="Q1842" s="10" t="n">
        <v>32655</v>
      </c>
      <c r="R1842" s="7" t="n">
        <v>598965</v>
      </c>
      <c r="S1842" s="8" t="n">
        <v>42630</v>
      </c>
      <c r="T1842" s="8" t="n">
        <v>27247</v>
      </c>
      <c r="U1842" s="9" t="n">
        <v>503391</v>
      </c>
      <c r="V1842" s="10" t="n">
        <v>29842</v>
      </c>
      <c r="W1842" s="10" t="n">
        <v>16890</v>
      </c>
      <c r="X1842" s="7" t="n">
        <v>519043</v>
      </c>
      <c r="Y1842" s="8" t="n">
        <v>36415</v>
      </c>
      <c r="Z1842" s="8" t="n">
        <v>23824</v>
      </c>
      <c r="AA1842" s="9" t="n">
        <v>491528</v>
      </c>
      <c r="AB1842" s="10" t="n">
        <v>51327</v>
      </c>
      <c r="AC1842" s="10" t="n">
        <v>33528</v>
      </c>
      <c r="AD1842" s="7" t="n">
        <v>632079</v>
      </c>
      <c r="AE1842" s="8" t="n">
        <v>45216</v>
      </c>
      <c r="AF1842" s="8" t="n">
        <v>34730</v>
      </c>
      <c r="AG1842" s="9" t="n">
        <v>523792</v>
      </c>
      <c r="AH1842" s="10" t="n">
        <v>39791</v>
      </c>
      <c r="AI1842" s="10" t="n">
        <v>39614</v>
      </c>
      <c r="AJ1842" s="11" t="n">
        <v>499051</v>
      </c>
      <c r="AK1842" s="12" t="n">
        <v>44586</v>
      </c>
      <c r="AL1842" s="12" t="n">
        <v>36477</v>
      </c>
      <c r="AM1842" s="13" t="n">
        <v>-4.7</v>
      </c>
      <c r="AN1842" s="13" t="n">
        <v>-3.9</v>
      </c>
      <c r="AO1842" s="13" t="n">
        <v>12.1</v>
      </c>
      <c r="AP1842" s="13" t="n">
        <v>22.4</v>
      </c>
    </row>
    <row r="1843">
      <c r="A1843" s="5" t="inlineStr">
        <is>
          <t>금호에이치티</t>
        </is>
      </c>
      <c r="B1843" s="6" t="inlineStr">
        <is>
          <t>214330</t>
        </is>
      </c>
      <c r="C1843" s="6" t="inlineStr">
        <is>
          <t>연결</t>
        </is>
      </c>
      <c r="D1843" s="6" t="inlineStr">
        <is>
          <t>2026Q2</t>
        </is>
      </c>
      <c r="E1843" s="6" t="inlineStr"/>
      <c r="F1843" s="7" t="inlineStr"/>
      <c r="G1843" s="8" t="inlineStr"/>
      <c r="H1843" s="8" t="inlineStr"/>
      <c r="I1843" s="9" t="n">
        <v>118231</v>
      </c>
      <c r="J1843" s="10" t="n">
        <v>3960</v>
      </c>
      <c r="K1843" s="10" t="n">
        <v>4439</v>
      </c>
      <c r="L1843" s="7" t="n">
        <v>104218</v>
      </c>
      <c r="M1843" s="8" t="n">
        <v>3470</v>
      </c>
      <c r="N1843" s="8" t="n">
        <v>-13328</v>
      </c>
      <c r="O1843" s="9" t="n">
        <v>114670</v>
      </c>
      <c r="P1843" s="10" t="n">
        <v>3797</v>
      </c>
      <c r="Q1843" s="10" t="n">
        <v>5203</v>
      </c>
      <c r="R1843" s="7" t="n">
        <v>107756</v>
      </c>
      <c r="S1843" s="8" t="n">
        <v>661</v>
      </c>
      <c r="T1843" s="8" t="n">
        <v>-11254</v>
      </c>
      <c r="U1843" s="9" t="n">
        <v>102885</v>
      </c>
      <c r="V1843" s="10" t="n">
        <v>2638</v>
      </c>
      <c r="W1843" s="10" t="n">
        <v>1563</v>
      </c>
      <c r="X1843" s="7" t="n">
        <v>97013</v>
      </c>
      <c r="Y1843" s="8" t="n">
        <v>748</v>
      </c>
      <c r="Z1843" s="8" t="n">
        <v>-1387</v>
      </c>
      <c r="AA1843" s="9" t="n">
        <v>90283</v>
      </c>
      <c r="AB1843" s="10" t="n">
        <v>806</v>
      </c>
      <c r="AC1843" s="10" t="n">
        <v>-2382</v>
      </c>
      <c r="AD1843" s="7" t="n">
        <v>95223</v>
      </c>
      <c r="AE1843" s="8" t="n">
        <v>2055</v>
      </c>
      <c r="AF1843" s="8" t="n">
        <v>-21059</v>
      </c>
      <c r="AG1843" s="9" t="n">
        <v>85312</v>
      </c>
      <c r="AH1843" s="10" t="n">
        <v>1629</v>
      </c>
      <c r="AI1843" s="10" t="n">
        <v>3785</v>
      </c>
      <c r="AJ1843" s="11" t="n">
        <v>93992</v>
      </c>
      <c r="AK1843" s="12" t="n">
        <v>2539</v>
      </c>
      <c r="AL1843" s="12" t="n">
        <v>2625</v>
      </c>
      <c r="AM1843" s="13" t="n">
        <v>10.2</v>
      </c>
      <c r="AN1843" s="13" t="n">
        <v>-3.1</v>
      </c>
      <c r="AO1843" s="13" t="n">
        <v>55.9</v>
      </c>
      <c r="AP1843" s="13" t="n">
        <v>239.4</v>
      </c>
    </row>
    <row r="1844">
      <c r="A1844" s="5" t="inlineStr">
        <is>
          <t>케어젠</t>
        </is>
      </c>
      <c r="B1844" s="6" t="inlineStr">
        <is>
          <t>214370</t>
        </is>
      </c>
      <c r="C1844" s="6" t="inlineStr">
        <is>
          <t>연결</t>
        </is>
      </c>
      <c r="D1844" s="6" t="inlineStr">
        <is>
          <t>2026Q2</t>
        </is>
      </c>
      <c r="E1844" s="6" t="inlineStr">
        <is>
          <t>2023Q4</t>
        </is>
      </c>
      <c r="F1844" s="14" t="n">
        <v>17440</v>
      </c>
      <c r="G1844" s="15" t="n">
        <v>10342</v>
      </c>
      <c r="H1844" s="15" t="n">
        <v>8544</v>
      </c>
      <c r="I1844" s="9" t="n">
        <v>20449</v>
      </c>
      <c r="J1844" s="10" t="n">
        <v>9251</v>
      </c>
      <c r="K1844" s="10" t="n">
        <v>9522</v>
      </c>
      <c r="L1844" s="7" t="n">
        <v>20462</v>
      </c>
      <c r="M1844" s="8" t="n">
        <v>6180</v>
      </c>
      <c r="N1844" s="8" t="n">
        <v>6028</v>
      </c>
      <c r="O1844" s="9" t="n">
        <v>20317</v>
      </c>
      <c r="P1844" s="10" t="n">
        <v>12686</v>
      </c>
      <c r="Q1844" s="10" t="n">
        <v>11697</v>
      </c>
      <c r="R1844" s="7" t="n">
        <v>21358</v>
      </c>
      <c r="S1844" s="8" t="n">
        <v>6133</v>
      </c>
      <c r="T1844" s="8" t="n">
        <v>5067</v>
      </c>
      <c r="U1844" s="9" t="n">
        <v>21292</v>
      </c>
      <c r="V1844" s="10" t="n">
        <v>10166</v>
      </c>
      <c r="W1844" s="10" t="n">
        <v>8430</v>
      </c>
      <c r="X1844" s="7" t="n">
        <v>18118</v>
      </c>
      <c r="Y1844" s="8" t="n">
        <v>7442</v>
      </c>
      <c r="Z1844" s="8" t="n">
        <v>4795</v>
      </c>
      <c r="AA1844" s="9" t="n">
        <v>17088</v>
      </c>
      <c r="AB1844" s="10" t="n">
        <v>9865</v>
      </c>
      <c r="AC1844" s="10" t="n">
        <v>10155</v>
      </c>
      <c r="AD1844" s="7" t="n">
        <v>16310</v>
      </c>
      <c r="AE1844" s="8" t="n">
        <v>-7073</v>
      </c>
      <c r="AF1844" s="8" t="n">
        <v>-3281</v>
      </c>
      <c r="AG1844" s="9" t="n">
        <v>22704</v>
      </c>
      <c r="AH1844" s="10" t="n">
        <v>10211</v>
      </c>
      <c r="AI1844" s="10" t="n">
        <v>11695</v>
      </c>
      <c r="AJ1844" s="11" t="n">
        <v>18795</v>
      </c>
      <c r="AK1844" s="12" t="n">
        <v>5237</v>
      </c>
      <c r="AL1844" s="12" t="n">
        <v>4305</v>
      </c>
      <c r="AM1844" s="13" t="n">
        <v>-17.2</v>
      </c>
      <c r="AN1844" s="13" t="n">
        <v>3.7</v>
      </c>
      <c r="AO1844" s="13" t="n">
        <v>-48.7</v>
      </c>
      <c r="AP1844" s="13" t="n">
        <v>-29.6</v>
      </c>
    </row>
    <row r="1845">
      <c r="A1845" s="5" t="inlineStr">
        <is>
          <t>경보제약</t>
        </is>
      </c>
      <c r="B1845" s="6" t="inlineStr">
        <is>
          <t>214390</t>
        </is>
      </c>
      <c r="C1845" s="6" t="inlineStr">
        <is>
          <t>별도</t>
        </is>
      </c>
      <c r="D1845" s="6" t="inlineStr">
        <is>
          <t>2026Q2</t>
        </is>
      </c>
      <c r="E1845" s="6" t="inlineStr"/>
      <c r="F1845" s="7" t="inlineStr"/>
      <c r="G1845" s="8" t="inlineStr"/>
      <c r="H1845" s="8" t="inlineStr"/>
      <c r="I1845" s="9" t="n">
        <v>62600</v>
      </c>
      <c r="J1845" s="10" t="n">
        <v>3056</v>
      </c>
      <c r="K1845" s="10" t="n">
        <v>1650</v>
      </c>
      <c r="L1845" s="7" t="n">
        <v>58411</v>
      </c>
      <c r="M1845" s="8" t="n">
        <v>1268</v>
      </c>
      <c r="N1845" s="8" t="n">
        <v>157</v>
      </c>
      <c r="O1845" s="9" t="n">
        <v>58231</v>
      </c>
      <c r="P1845" s="10" t="n">
        <v>3158</v>
      </c>
      <c r="Q1845" s="10" t="n">
        <v>1081</v>
      </c>
      <c r="R1845" s="7" t="n">
        <v>59314</v>
      </c>
      <c r="S1845" s="8" t="n">
        <v>2972</v>
      </c>
      <c r="T1845" s="8" t="n">
        <v>1751</v>
      </c>
      <c r="U1845" s="9" t="n">
        <v>60588</v>
      </c>
      <c r="V1845" s="10" t="n">
        <v>121</v>
      </c>
      <c r="W1845" s="10" t="n">
        <v>-695</v>
      </c>
      <c r="X1845" s="7" t="n">
        <v>65313</v>
      </c>
      <c r="Y1845" s="8" t="n">
        <v>2407</v>
      </c>
      <c r="Z1845" s="8" t="n">
        <v>-1734</v>
      </c>
      <c r="AA1845" s="9" t="n">
        <v>66987</v>
      </c>
      <c r="AB1845" s="10" t="n">
        <v>474</v>
      </c>
      <c r="AC1845" s="10" t="n">
        <v>3032</v>
      </c>
      <c r="AD1845" s="7" t="n">
        <v>71216</v>
      </c>
      <c r="AE1845" s="8" t="n">
        <v>517</v>
      </c>
      <c r="AF1845" s="8" t="n">
        <v>-421</v>
      </c>
      <c r="AG1845" s="9" t="n">
        <v>66127</v>
      </c>
      <c r="AH1845" s="10" t="n">
        <v>713</v>
      </c>
      <c r="AI1845" s="10" t="n">
        <v>-530</v>
      </c>
      <c r="AJ1845" s="11" t="n">
        <v>75222</v>
      </c>
      <c r="AK1845" s="12" t="n">
        <v>930</v>
      </c>
      <c r="AL1845" s="12" t="n">
        <v>2974</v>
      </c>
      <c r="AM1845" s="13" t="n">
        <v>13.8</v>
      </c>
      <c r="AN1845" s="13" t="n">
        <v>15.2</v>
      </c>
      <c r="AO1845" s="13" t="n">
        <v>30.4</v>
      </c>
      <c r="AP1845" s="13" t="n">
        <v>-61.4</v>
      </c>
    </row>
    <row r="1846">
      <c r="A1846" s="5" t="inlineStr">
        <is>
          <t>토니모리</t>
        </is>
      </c>
      <c r="B1846" s="6" t="inlineStr">
        <is>
          <t>214420</t>
        </is>
      </c>
      <c r="C1846" s="6" t="inlineStr">
        <is>
          <t>연결</t>
        </is>
      </c>
      <c r="D1846" s="6" t="inlineStr">
        <is>
          <t>2026Q2</t>
        </is>
      </c>
      <c r="E1846" s="6" t="inlineStr">
        <is>
          <t>2023Q4</t>
        </is>
      </c>
      <c r="F1846" s="14" t="n">
        <v>46802</v>
      </c>
      <c r="G1846" s="15" t="n">
        <v>4071</v>
      </c>
      <c r="H1846" s="15" t="n">
        <v>-356</v>
      </c>
      <c r="I1846" s="9" t="n">
        <v>41791</v>
      </c>
      <c r="J1846" s="10" t="n">
        <v>2302</v>
      </c>
      <c r="K1846" s="10" t="n">
        <v>1633</v>
      </c>
      <c r="L1846" s="7" t="n">
        <v>47097</v>
      </c>
      <c r="M1846" s="8" t="n">
        <v>5325</v>
      </c>
      <c r="N1846" s="8" t="n">
        <v>3932</v>
      </c>
      <c r="O1846" s="9" t="n">
        <v>44965</v>
      </c>
      <c r="P1846" s="10" t="n">
        <v>3848</v>
      </c>
      <c r="Q1846" s="10" t="n">
        <v>433</v>
      </c>
      <c r="R1846" s="7" t="n">
        <v>43143</v>
      </c>
      <c r="S1846" s="8" t="n">
        <v>627</v>
      </c>
      <c r="T1846" s="8" t="n">
        <v>10590</v>
      </c>
      <c r="U1846" s="9" t="n">
        <v>48937</v>
      </c>
      <c r="V1846" s="10" t="n">
        <v>3650</v>
      </c>
      <c r="W1846" s="10" t="n">
        <v>1746</v>
      </c>
      <c r="X1846" s="7" t="n">
        <v>62484</v>
      </c>
      <c r="Y1846" s="8" t="n">
        <v>5581</v>
      </c>
      <c r="Z1846" s="8" t="n">
        <v>2632</v>
      </c>
      <c r="AA1846" s="9" t="n">
        <v>56291</v>
      </c>
      <c r="AB1846" s="10" t="n">
        <v>4340</v>
      </c>
      <c r="AC1846" s="10" t="n">
        <v>3650</v>
      </c>
      <c r="AD1846" s="7" t="n">
        <v>52562</v>
      </c>
      <c r="AE1846" s="8" t="n">
        <v>794</v>
      </c>
      <c r="AF1846" s="8" t="n">
        <v>3377</v>
      </c>
      <c r="AG1846" s="9" t="n">
        <v>52028</v>
      </c>
      <c r="AH1846" s="10" t="n">
        <v>4169</v>
      </c>
      <c r="AI1846" s="10" t="n">
        <v>3678</v>
      </c>
      <c r="AJ1846" s="11" t="n">
        <v>53962</v>
      </c>
      <c r="AK1846" s="12" t="n">
        <v>2261</v>
      </c>
      <c r="AL1846" s="12" t="n">
        <v>1931</v>
      </c>
      <c r="AM1846" s="13" t="n">
        <v>3.7</v>
      </c>
      <c r="AN1846" s="13" t="n">
        <v>-13.6</v>
      </c>
      <c r="AO1846" s="13" t="n">
        <v>-45.8</v>
      </c>
      <c r="AP1846" s="13" t="n">
        <v>-59.5</v>
      </c>
    </row>
    <row r="1847">
      <c r="A1847" s="5" t="inlineStr">
        <is>
          <t>아이쓰리시스템</t>
        </is>
      </c>
      <c r="B1847" s="6" t="inlineStr">
        <is>
          <t>214430</t>
        </is>
      </c>
      <c r="C1847" s="6" t="inlineStr">
        <is>
          <t>별도</t>
        </is>
      </c>
      <c r="D1847" s="6" t="inlineStr">
        <is>
          <t>2026Q2</t>
        </is>
      </c>
      <c r="E1847" s="6" t="inlineStr"/>
      <c r="F1847" s="7" t="inlineStr"/>
      <c r="G1847" s="8" t="inlineStr"/>
      <c r="H1847" s="8" t="inlineStr"/>
      <c r="I1847" s="9" t="n">
        <v>31702</v>
      </c>
      <c r="J1847" s="10" t="n">
        <v>4072</v>
      </c>
      <c r="K1847" s="10" t="n">
        <v>4009</v>
      </c>
      <c r="L1847" s="7" t="n">
        <v>29927</v>
      </c>
      <c r="M1847" s="8" t="n">
        <v>4086</v>
      </c>
      <c r="N1847" s="8" t="n">
        <v>3913</v>
      </c>
      <c r="O1847" s="9" t="n">
        <v>29121</v>
      </c>
      <c r="P1847" s="10" t="n">
        <v>2865</v>
      </c>
      <c r="Q1847" s="10" t="n">
        <v>2705</v>
      </c>
      <c r="R1847" s="7" t="n">
        <v>29952</v>
      </c>
      <c r="S1847" s="8" t="n">
        <v>3737</v>
      </c>
      <c r="T1847" s="8" t="n">
        <v>4340</v>
      </c>
      <c r="U1847" s="9" t="n">
        <v>38107</v>
      </c>
      <c r="V1847" s="10" t="n">
        <v>5789</v>
      </c>
      <c r="W1847" s="10" t="n">
        <v>5013</v>
      </c>
      <c r="X1847" s="7" t="n">
        <v>25305</v>
      </c>
      <c r="Y1847" s="8" t="n">
        <v>2645</v>
      </c>
      <c r="Z1847" s="8" t="n">
        <v>4647</v>
      </c>
      <c r="AA1847" s="9" t="n">
        <v>32388</v>
      </c>
      <c r="AB1847" s="10" t="n">
        <v>4217</v>
      </c>
      <c r="AC1847" s="10" t="n">
        <v>3338</v>
      </c>
      <c r="AD1847" s="7" t="n">
        <v>28476</v>
      </c>
      <c r="AE1847" s="8" t="n">
        <v>3807</v>
      </c>
      <c r="AF1847" s="8" t="n">
        <v>5785</v>
      </c>
      <c r="AG1847" s="9" t="n">
        <v>32371</v>
      </c>
      <c r="AH1847" s="10" t="n">
        <v>4374</v>
      </c>
      <c r="AI1847" s="10" t="n">
        <v>4893</v>
      </c>
      <c r="AJ1847" s="11" t="n">
        <v>39476</v>
      </c>
      <c r="AK1847" s="12" t="n">
        <v>4759</v>
      </c>
      <c r="AL1847" s="12" t="n">
        <v>3831</v>
      </c>
      <c r="AM1847" s="13" t="n">
        <v>21.9</v>
      </c>
      <c r="AN1847" s="13" t="n">
        <v>56</v>
      </c>
      <c r="AO1847" s="13" t="n">
        <v>8.800000000000001</v>
      </c>
      <c r="AP1847" s="13" t="n">
        <v>79.90000000000001</v>
      </c>
    </row>
    <row r="1848">
      <c r="A1848" s="5" t="inlineStr">
        <is>
          <t>파마리서치</t>
        </is>
      </c>
      <c r="B1848" s="6" t="inlineStr">
        <is>
          <t>214450</t>
        </is>
      </c>
      <c r="C1848" s="6" t="inlineStr">
        <is>
          <t>연결</t>
        </is>
      </c>
      <c r="D1848" s="6" t="inlineStr">
        <is>
          <t>2026Q2</t>
        </is>
      </c>
      <c r="E1848" s="6" t="inlineStr"/>
      <c r="F1848" s="7" t="inlineStr"/>
      <c r="G1848" s="8" t="inlineStr"/>
      <c r="H1848" s="8" t="inlineStr"/>
      <c r="I1848" s="9" t="n">
        <v>74717</v>
      </c>
      <c r="J1848" s="10" t="n">
        <v>26668</v>
      </c>
      <c r="K1848" s="10" t="n">
        <v>18305</v>
      </c>
      <c r="L1848" s="7" t="n">
        <v>83107</v>
      </c>
      <c r="M1848" s="8" t="n">
        <v>30761</v>
      </c>
      <c r="N1848" s="8" t="n">
        <v>28718</v>
      </c>
      <c r="O1848" s="9" t="n">
        <v>89209</v>
      </c>
      <c r="P1848" s="10" t="n">
        <v>34923</v>
      </c>
      <c r="Q1848" s="10" t="n">
        <v>25512</v>
      </c>
      <c r="R1848" s="7" t="n">
        <v>103082</v>
      </c>
      <c r="S1848" s="8" t="n">
        <v>33699</v>
      </c>
      <c r="T1848" s="8" t="n">
        <v>16408</v>
      </c>
      <c r="U1848" s="9" t="n">
        <v>116910</v>
      </c>
      <c r="V1848" s="10" t="n">
        <v>44734</v>
      </c>
      <c r="W1848" s="10" t="n">
        <v>36027</v>
      </c>
      <c r="X1848" s="7" t="n">
        <v>140607</v>
      </c>
      <c r="Y1848" s="8" t="n">
        <v>55878</v>
      </c>
      <c r="Z1848" s="8" t="n">
        <v>42045</v>
      </c>
      <c r="AA1848" s="9" t="n">
        <v>135426</v>
      </c>
      <c r="AB1848" s="10" t="n">
        <v>61871</v>
      </c>
      <c r="AC1848" s="10" t="n">
        <v>50853</v>
      </c>
      <c r="AD1848" s="7" t="n">
        <v>143346</v>
      </c>
      <c r="AE1848" s="8" t="n">
        <v>51913</v>
      </c>
      <c r="AF1848" s="8" t="n">
        <v>39330</v>
      </c>
      <c r="AG1848" s="9" t="n">
        <v>146100</v>
      </c>
      <c r="AH1848" s="10" t="n">
        <v>57292</v>
      </c>
      <c r="AI1848" s="10" t="n">
        <v>48748</v>
      </c>
      <c r="AJ1848" s="11" t="n">
        <v>178705</v>
      </c>
      <c r="AK1848" s="12" t="n">
        <v>66470</v>
      </c>
      <c r="AL1848" s="12" t="n">
        <v>56229</v>
      </c>
      <c r="AM1848" s="13" t="n">
        <v>22.3</v>
      </c>
      <c r="AN1848" s="13" t="n">
        <v>27.1</v>
      </c>
      <c r="AO1848" s="13" t="n">
        <v>16</v>
      </c>
      <c r="AP1848" s="13" t="n">
        <v>19</v>
      </c>
    </row>
    <row r="1849">
      <c r="A1849" s="5" t="inlineStr">
        <is>
          <t>롤링스톤</t>
        </is>
      </c>
      <c r="B1849" s="6" t="inlineStr">
        <is>
          <t>214610</t>
        </is>
      </c>
      <c r="C1849" s="6" t="inlineStr">
        <is>
          <t>별도</t>
        </is>
      </c>
      <c r="D1849" s="6" t="inlineStr">
        <is>
          <t>2026Q2</t>
        </is>
      </c>
      <c r="E1849" s="6" t="inlineStr"/>
      <c r="F1849" s="7" t="inlineStr"/>
      <c r="G1849" s="8" t="inlineStr"/>
      <c r="H1849" s="8" t="inlineStr"/>
      <c r="I1849" s="9" t="n">
        <v>2473</v>
      </c>
      <c r="J1849" s="10" t="n">
        <v>-6546</v>
      </c>
      <c r="K1849" s="10" t="n">
        <v>-5823</v>
      </c>
      <c r="L1849" s="7" t="n">
        <v>2264</v>
      </c>
      <c r="M1849" s="8" t="n">
        <v>-5899</v>
      </c>
      <c r="N1849" s="8" t="n">
        <v>-7240</v>
      </c>
      <c r="O1849" s="9" t="n">
        <v>2478</v>
      </c>
      <c r="P1849" s="10" t="n">
        <v>-5757</v>
      </c>
      <c r="Q1849" s="10" t="n">
        <v>-6148</v>
      </c>
      <c r="R1849" s="7" t="n">
        <v>-2575</v>
      </c>
      <c r="S1849" s="8" t="n">
        <v>-1033</v>
      </c>
      <c r="T1849" s="8" t="n">
        <v>-14110</v>
      </c>
      <c r="U1849" s="9" t="n">
        <v>2426</v>
      </c>
      <c r="V1849" s="10" t="n">
        <v>-2188</v>
      </c>
      <c r="W1849" s="10" t="n">
        <v>-2683</v>
      </c>
      <c r="X1849" s="7" t="n">
        <v>494</v>
      </c>
      <c r="Y1849" s="8" t="n">
        <v>-1978</v>
      </c>
      <c r="Z1849" s="8" t="n">
        <v>-4386</v>
      </c>
      <c r="AA1849" s="9" t="n">
        <v>1041</v>
      </c>
      <c r="AB1849" s="10" t="n">
        <v>-4135</v>
      </c>
      <c r="AC1849" s="10" t="n">
        <v>-2768</v>
      </c>
      <c r="AD1849" s="7" t="n">
        <v>6924</v>
      </c>
      <c r="AE1849" s="8" t="n">
        <v>-1634</v>
      </c>
      <c r="AF1849" s="8" t="n">
        <v>-14262</v>
      </c>
      <c r="AG1849" s="9" t="n">
        <v>27876</v>
      </c>
      <c r="AH1849" s="10" t="n">
        <v>-2554</v>
      </c>
      <c r="AI1849" s="10" t="n">
        <v>-2706</v>
      </c>
      <c r="AJ1849" s="11" t="n">
        <v>33673</v>
      </c>
      <c r="AK1849" s="12" t="n">
        <v>-1679</v>
      </c>
      <c r="AL1849" s="12" t="n">
        <v>-1901</v>
      </c>
      <c r="AM1849" s="13" t="n">
        <v>20.8</v>
      </c>
      <c r="AN1849" s="13" t="n">
        <v>6716.4</v>
      </c>
      <c r="AO1849" s="13" t="n">
        <v>34.3</v>
      </c>
      <c r="AP1849" s="13" t="n">
        <v>15.1</v>
      </c>
    </row>
    <row r="1850">
      <c r="A1850" s="5" t="inlineStr">
        <is>
          <t>디알텍</t>
        </is>
      </c>
      <c r="B1850" s="6" t="inlineStr">
        <is>
          <t>214680</t>
        </is>
      </c>
      <c r="C1850" s="6" t="inlineStr">
        <is>
          <t>연결</t>
        </is>
      </c>
      <c r="D1850" s="6" t="inlineStr">
        <is>
          <t>2026Q2</t>
        </is>
      </c>
      <c r="E1850" s="6" t="inlineStr"/>
      <c r="F1850" s="7" t="inlineStr"/>
      <c r="G1850" s="8" t="inlineStr"/>
      <c r="H1850" s="8" t="inlineStr"/>
      <c r="I1850" s="9" t="n">
        <v>17277</v>
      </c>
      <c r="J1850" s="10" t="n">
        <v>-4596</v>
      </c>
      <c r="K1850" s="10" t="n">
        <v>-4038</v>
      </c>
      <c r="L1850" s="7" t="n">
        <v>26340</v>
      </c>
      <c r="M1850" s="8" t="n">
        <v>-2838</v>
      </c>
      <c r="N1850" s="8" t="n">
        <v>-5648</v>
      </c>
      <c r="O1850" s="9" t="n">
        <v>26602</v>
      </c>
      <c r="P1850" s="10" t="n">
        <v>-2465</v>
      </c>
      <c r="Q1850" s="10" t="n">
        <v>-4493</v>
      </c>
      <c r="R1850" s="7" t="n">
        <v>27340</v>
      </c>
      <c r="S1850" s="8" t="n">
        <v>-2206</v>
      </c>
      <c r="T1850" s="8" t="n">
        <v>-5112</v>
      </c>
      <c r="U1850" s="9" t="n">
        <v>25371</v>
      </c>
      <c r="V1850" s="10" t="n">
        <v>-3521</v>
      </c>
      <c r="W1850" s="10" t="n">
        <v>-4391</v>
      </c>
      <c r="X1850" s="7" t="n">
        <v>33551</v>
      </c>
      <c r="Y1850" s="8" t="n">
        <v>922</v>
      </c>
      <c r="Z1850" s="8" t="n">
        <v>-5924</v>
      </c>
      <c r="AA1850" s="9" t="n">
        <v>34036</v>
      </c>
      <c r="AB1850" s="10" t="n">
        <v>1670</v>
      </c>
      <c r="AC1850" s="10" t="n">
        <v>2841</v>
      </c>
      <c r="AD1850" s="7" t="n">
        <v>23346</v>
      </c>
      <c r="AE1850" s="8" t="n">
        <v>-12965</v>
      </c>
      <c r="AF1850" s="8" t="n">
        <v>-16555</v>
      </c>
      <c r="AG1850" s="9" t="n">
        <v>31847</v>
      </c>
      <c r="AH1850" s="10" t="n">
        <v>-596</v>
      </c>
      <c r="AI1850" s="10" t="n">
        <v>-885</v>
      </c>
      <c r="AJ1850" s="11" t="n">
        <v>37004</v>
      </c>
      <c r="AK1850" s="12" t="n">
        <v>1866</v>
      </c>
      <c r="AL1850" s="12" t="n">
        <v>2066</v>
      </c>
      <c r="AM1850" s="13" t="n">
        <v>16.2</v>
      </c>
      <c r="AN1850" s="13" t="n">
        <v>10.3</v>
      </c>
      <c r="AO1850" s="13" t="n">
        <v>413.1</v>
      </c>
      <c r="AP1850" s="13" t="n">
        <v>102.4</v>
      </c>
    </row>
    <row r="1851">
      <c r="A1851" s="5" t="inlineStr">
        <is>
          <t>골프존</t>
        </is>
      </c>
      <c r="B1851" s="6" t="inlineStr">
        <is>
          <t>215000</t>
        </is>
      </c>
      <c r="C1851" s="6" t="inlineStr">
        <is>
          <t>연결</t>
        </is>
      </c>
      <c r="D1851" s="6" t="inlineStr">
        <is>
          <t>2026Q2</t>
        </is>
      </c>
      <c r="E1851" s="6" t="inlineStr"/>
      <c r="F1851" s="7" t="inlineStr"/>
      <c r="G1851" s="8" t="inlineStr"/>
      <c r="H1851" s="8" t="inlineStr"/>
      <c r="I1851" s="9" t="n">
        <v>182117</v>
      </c>
      <c r="J1851" s="10" t="n">
        <v>31620</v>
      </c>
      <c r="K1851" s="10" t="n">
        <v>19038</v>
      </c>
      <c r="L1851" s="7" t="n">
        <v>160713</v>
      </c>
      <c r="M1851" s="8" t="n">
        <v>25627</v>
      </c>
      <c r="N1851" s="8" t="n">
        <v>16552</v>
      </c>
      <c r="O1851" s="9" t="n">
        <v>146166</v>
      </c>
      <c r="P1851" s="10" t="n">
        <v>27489</v>
      </c>
      <c r="Q1851" s="10" t="n">
        <v>18593</v>
      </c>
      <c r="R1851" s="7" t="n">
        <v>130985</v>
      </c>
      <c r="S1851" s="8" t="n">
        <v>11091</v>
      </c>
      <c r="T1851" s="8" t="n">
        <v>-12140</v>
      </c>
      <c r="U1851" s="9" t="n">
        <v>129837</v>
      </c>
      <c r="V1851" s="10" t="n">
        <v>26757</v>
      </c>
      <c r="W1851" s="10" t="n">
        <v>18902</v>
      </c>
      <c r="X1851" s="7" t="n">
        <v>121058</v>
      </c>
      <c r="Y1851" s="8" t="n">
        <v>19779</v>
      </c>
      <c r="Z1851" s="8" t="n">
        <v>9306</v>
      </c>
      <c r="AA1851" s="9" t="n">
        <v>120850</v>
      </c>
      <c r="AB1851" s="10" t="n">
        <v>15290</v>
      </c>
      <c r="AC1851" s="10" t="n">
        <v>14325</v>
      </c>
      <c r="AD1851" s="7" t="n">
        <v>111516</v>
      </c>
      <c r="AE1851" s="8" t="n">
        <v>6245</v>
      </c>
      <c r="AF1851" s="8" t="n">
        <v>-29671</v>
      </c>
      <c r="AG1851" s="9" t="n">
        <v>111832</v>
      </c>
      <c r="AH1851" s="10" t="n">
        <v>14061</v>
      </c>
      <c r="AI1851" s="10" t="n">
        <v>14095</v>
      </c>
      <c r="AJ1851" s="11" t="n">
        <v>101208</v>
      </c>
      <c r="AK1851" s="12" t="n">
        <v>6624</v>
      </c>
      <c r="AL1851" s="12" t="n">
        <v>8243</v>
      </c>
      <c r="AM1851" s="13" t="n">
        <v>-9.5</v>
      </c>
      <c r="AN1851" s="13" t="n">
        <v>-16.4</v>
      </c>
      <c r="AO1851" s="13" t="n">
        <v>-52.9</v>
      </c>
      <c r="AP1851" s="13" t="n">
        <v>-66.5</v>
      </c>
    </row>
    <row r="1852">
      <c r="A1852" s="5" t="inlineStr">
        <is>
          <t>솔디펜스</t>
        </is>
      </c>
      <c r="B1852" s="6" t="inlineStr">
        <is>
          <t>215090</t>
        </is>
      </c>
      <c r="C1852" s="6" t="inlineStr">
        <is>
          <t>연결</t>
        </is>
      </c>
      <c r="D1852" s="6" t="inlineStr">
        <is>
          <t>2026Q2</t>
        </is>
      </c>
      <c r="E1852" s="6" t="inlineStr"/>
      <c r="F1852" s="7" t="inlineStr"/>
      <c r="G1852" s="8" t="inlineStr"/>
      <c r="H1852" s="8" t="inlineStr"/>
      <c r="I1852" s="9" t="n">
        <v>4769</v>
      </c>
      <c r="J1852" s="10" t="n">
        <v>479</v>
      </c>
      <c r="K1852" s="10" t="n">
        <v>2272</v>
      </c>
      <c r="L1852" s="7" t="n">
        <v>6361</v>
      </c>
      <c r="M1852" s="8" t="n">
        <v>1006</v>
      </c>
      <c r="N1852" s="8" t="n">
        <v>2352</v>
      </c>
      <c r="O1852" s="9" t="n">
        <v>4329</v>
      </c>
      <c r="P1852" s="10" t="n">
        <v>323</v>
      </c>
      <c r="Q1852" s="10" t="n">
        <v>458</v>
      </c>
      <c r="R1852" s="7" t="n">
        <v>6298</v>
      </c>
      <c r="S1852" s="8" t="n">
        <v>1225</v>
      </c>
      <c r="T1852" s="8" t="n">
        <v>5903</v>
      </c>
      <c r="U1852" s="9" t="n">
        <v>5790</v>
      </c>
      <c r="V1852" s="10" t="n">
        <v>247</v>
      </c>
      <c r="W1852" s="10" t="n">
        <v>435</v>
      </c>
      <c r="X1852" s="7" t="n">
        <v>8684</v>
      </c>
      <c r="Y1852" s="8" t="n">
        <v>1165</v>
      </c>
      <c r="Z1852" s="8" t="n">
        <v>1806</v>
      </c>
      <c r="AA1852" s="9" t="n">
        <v>5872</v>
      </c>
      <c r="AB1852" s="10" t="n">
        <v>-194</v>
      </c>
      <c r="AC1852" s="10" t="n">
        <v>-249</v>
      </c>
      <c r="AD1852" s="7" t="n">
        <v>6415</v>
      </c>
      <c r="AE1852" s="8" t="n">
        <v>106</v>
      </c>
      <c r="AF1852" s="8" t="n">
        <v>1111</v>
      </c>
      <c r="AG1852" s="9" t="n">
        <v>8695</v>
      </c>
      <c r="AH1852" s="10" t="n">
        <v>-781</v>
      </c>
      <c r="AI1852" s="10" t="n">
        <v>-570</v>
      </c>
      <c r="AJ1852" s="11" t="n">
        <v>7498</v>
      </c>
      <c r="AK1852" s="12" t="n">
        <v>-446</v>
      </c>
      <c r="AL1852" s="12" t="n">
        <v>-1193</v>
      </c>
      <c r="AM1852" s="13" t="n">
        <v>-13.8</v>
      </c>
      <c r="AN1852" s="13" t="n">
        <v>-13.7</v>
      </c>
      <c r="AO1852" s="13" t="n">
        <v>42.9</v>
      </c>
      <c r="AP1852" s="13" t="n">
        <v>-138.3</v>
      </c>
    </row>
    <row r="1853">
      <c r="A1853" s="5" t="inlineStr">
        <is>
          <t>로보로보</t>
        </is>
      </c>
      <c r="B1853" s="6" t="inlineStr">
        <is>
          <t>215100</t>
        </is>
      </c>
      <c r="C1853" s="6" t="inlineStr">
        <is>
          <t>연결</t>
        </is>
      </c>
      <c r="D1853" s="6" t="inlineStr">
        <is>
          <t>2026Q2</t>
        </is>
      </c>
      <c r="E1853" s="6" t="inlineStr"/>
      <c r="F1853" s="7" t="inlineStr"/>
      <c r="G1853" s="8" t="inlineStr"/>
      <c r="H1853" s="8" t="inlineStr"/>
      <c r="I1853" s="9" t="n">
        <v>3245</v>
      </c>
      <c r="J1853" s="10" t="n">
        <v>-429</v>
      </c>
      <c r="K1853" s="10" t="n">
        <v>-68</v>
      </c>
      <c r="L1853" s="7" t="n">
        <v>3385</v>
      </c>
      <c r="M1853" s="8" t="n">
        <v>-294</v>
      </c>
      <c r="N1853" s="8" t="n">
        <v>45</v>
      </c>
      <c r="O1853" s="9" t="n">
        <v>3067</v>
      </c>
      <c r="P1853" s="10" t="n">
        <v>-438</v>
      </c>
      <c r="Q1853" s="10" t="n">
        <v>-42</v>
      </c>
      <c r="R1853" s="7" t="n">
        <v>3797</v>
      </c>
      <c r="S1853" s="8" t="n">
        <v>-375</v>
      </c>
      <c r="T1853" s="8" t="n">
        <v>-42</v>
      </c>
      <c r="U1853" s="9" t="n">
        <v>3149</v>
      </c>
      <c r="V1853" s="10" t="n">
        <v>-384</v>
      </c>
      <c r="W1853" s="10" t="n">
        <v>-164</v>
      </c>
      <c r="X1853" s="7" t="n">
        <v>3482</v>
      </c>
      <c r="Y1853" s="8" t="n">
        <v>-255</v>
      </c>
      <c r="Z1853" s="8" t="n">
        <v>-484</v>
      </c>
      <c r="AA1853" s="9" t="n">
        <v>3026</v>
      </c>
      <c r="AB1853" s="10" t="n">
        <v>-543</v>
      </c>
      <c r="AC1853" s="10" t="n">
        <v>-30</v>
      </c>
      <c r="AD1853" s="7" t="n">
        <v>3705</v>
      </c>
      <c r="AE1853" s="8" t="n">
        <v>-777</v>
      </c>
      <c r="AF1853" s="8" t="n">
        <v>-674</v>
      </c>
      <c r="AG1853" s="9" t="n">
        <v>2801</v>
      </c>
      <c r="AH1853" s="10" t="n">
        <v>-1017</v>
      </c>
      <c r="AI1853" s="10" t="n">
        <v>-1038</v>
      </c>
      <c r="AJ1853" s="11" t="n">
        <v>2218</v>
      </c>
      <c r="AK1853" s="12" t="n">
        <v>-1207</v>
      </c>
      <c r="AL1853" s="12" t="n">
        <v>-1319</v>
      </c>
      <c r="AM1853" s="13" t="n">
        <v>-20.8</v>
      </c>
      <c r="AN1853" s="13" t="n">
        <v>-36.3</v>
      </c>
      <c r="AO1853" s="13" t="n">
        <v>-18.7</v>
      </c>
      <c r="AP1853" s="13" t="n">
        <v>-373.3</v>
      </c>
    </row>
    <row r="1854">
      <c r="A1854" s="5" t="inlineStr">
        <is>
          <t>메가스터디교육</t>
        </is>
      </c>
      <c r="B1854" s="6" t="inlineStr">
        <is>
          <t>215200</t>
        </is>
      </c>
      <c r="C1854" s="6" t="inlineStr">
        <is>
          <t>연결</t>
        </is>
      </c>
      <c r="D1854" s="6" t="inlineStr">
        <is>
          <t>2026Q2</t>
        </is>
      </c>
      <c r="E1854" s="6" t="inlineStr">
        <is>
          <t>2023Q4</t>
        </is>
      </c>
      <c r="F1854" s="14" t="n">
        <v>209222</v>
      </c>
      <c r="G1854" s="15" t="n">
        <v>1507</v>
      </c>
      <c r="H1854" s="15" t="n">
        <v>491</v>
      </c>
      <c r="I1854" s="9" t="n">
        <v>249390</v>
      </c>
      <c r="J1854" s="10" t="n">
        <v>20266</v>
      </c>
      <c r="K1854" s="10" t="n">
        <v>16395</v>
      </c>
      <c r="L1854" s="7" t="n">
        <v>214424</v>
      </c>
      <c r="M1854" s="8" t="n">
        <v>32093</v>
      </c>
      <c r="N1854" s="8" t="n">
        <v>22980</v>
      </c>
      <c r="O1854" s="9" t="n">
        <v>256018</v>
      </c>
      <c r="P1854" s="10" t="n">
        <v>54347</v>
      </c>
      <c r="Q1854" s="10" t="n">
        <v>43880</v>
      </c>
      <c r="R1854" s="7" t="n">
        <v>222417</v>
      </c>
      <c r="S1854" s="8" t="n">
        <v>16918</v>
      </c>
      <c r="T1854" s="8" t="n">
        <v>-33100</v>
      </c>
      <c r="U1854" s="9" t="n">
        <v>237670</v>
      </c>
      <c r="V1854" s="10" t="n">
        <v>26201</v>
      </c>
      <c r="W1854" s="10" t="n">
        <v>20825</v>
      </c>
      <c r="X1854" s="7" t="n">
        <v>200993</v>
      </c>
      <c r="Y1854" s="8" t="n">
        <v>32658</v>
      </c>
      <c r="Z1854" s="8" t="n">
        <v>25731</v>
      </c>
      <c r="AA1854" s="9" t="n">
        <v>249706</v>
      </c>
      <c r="AB1854" s="10" t="n">
        <v>53185</v>
      </c>
      <c r="AC1854" s="10" t="n">
        <v>42117</v>
      </c>
      <c r="AD1854" s="7" t="n">
        <v>196576</v>
      </c>
      <c r="AE1854" s="8" t="n">
        <v>8976</v>
      </c>
      <c r="AF1854" s="8" t="n">
        <v>4262</v>
      </c>
      <c r="AG1854" s="9" t="n">
        <v>236531</v>
      </c>
      <c r="AH1854" s="10" t="n">
        <v>25984</v>
      </c>
      <c r="AI1854" s="10" t="n">
        <v>22512</v>
      </c>
      <c r="AJ1854" s="11" t="n">
        <v>204743</v>
      </c>
      <c r="AK1854" s="12" t="n">
        <v>28412</v>
      </c>
      <c r="AL1854" s="12" t="n">
        <v>21416</v>
      </c>
      <c r="AM1854" s="13" t="n">
        <v>-13.4</v>
      </c>
      <c r="AN1854" s="13" t="n">
        <v>1.9</v>
      </c>
      <c r="AO1854" s="13" t="n">
        <v>9.300000000000001</v>
      </c>
      <c r="AP1854" s="13" t="n">
        <v>-13</v>
      </c>
    </row>
    <row r="1855">
      <c r="A1855" s="5" t="inlineStr">
        <is>
          <t>우리산업</t>
        </is>
      </c>
      <c r="B1855" s="6" t="inlineStr">
        <is>
          <t>215360</t>
        </is>
      </c>
      <c r="C1855" s="6" t="inlineStr">
        <is>
          <t>연결</t>
        </is>
      </c>
      <c r="D1855" s="6" t="inlineStr">
        <is>
          <t>2026Q2</t>
        </is>
      </c>
      <c r="E1855" s="6" t="inlineStr"/>
      <c r="F1855" s="7" t="inlineStr"/>
      <c r="G1855" s="8" t="inlineStr"/>
      <c r="H1855" s="8" t="inlineStr"/>
      <c r="I1855" s="9" t="n">
        <v>122375</v>
      </c>
      <c r="J1855" s="10" t="n">
        <v>2636</v>
      </c>
      <c r="K1855" s="10" t="n">
        <v>3247</v>
      </c>
      <c r="L1855" s="7" t="n">
        <v>144442</v>
      </c>
      <c r="M1855" s="8" t="n">
        <v>4734</v>
      </c>
      <c r="N1855" s="8" t="n">
        <v>6216</v>
      </c>
      <c r="O1855" s="9" t="n">
        <v>113688</v>
      </c>
      <c r="P1855" s="10" t="n">
        <v>2971</v>
      </c>
      <c r="Q1855" s="10" t="n">
        <v>-756</v>
      </c>
      <c r="R1855" s="7" t="n">
        <v>130067</v>
      </c>
      <c r="S1855" s="8" t="n">
        <v>4622</v>
      </c>
      <c r="T1855" s="8" t="n">
        <v>4588</v>
      </c>
      <c r="U1855" s="9" t="n">
        <v>129721</v>
      </c>
      <c r="V1855" s="10" t="n">
        <v>3107</v>
      </c>
      <c r="W1855" s="10" t="n">
        <v>1754</v>
      </c>
      <c r="X1855" s="7" t="n">
        <v>140528</v>
      </c>
      <c r="Y1855" s="8" t="n">
        <v>5127</v>
      </c>
      <c r="Z1855" s="8" t="n">
        <v>977</v>
      </c>
      <c r="AA1855" s="9" t="n">
        <v>129342</v>
      </c>
      <c r="AB1855" s="10" t="n">
        <v>4781</v>
      </c>
      <c r="AC1855" s="10" t="n">
        <v>4742</v>
      </c>
      <c r="AD1855" s="7" t="n">
        <v>132447</v>
      </c>
      <c r="AE1855" s="8" t="n">
        <v>5659</v>
      </c>
      <c r="AF1855" s="8" t="n">
        <v>6737</v>
      </c>
      <c r="AG1855" s="9" t="n">
        <v>119854</v>
      </c>
      <c r="AH1855" s="10" t="n">
        <v>4280</v>
      </c>
      <c r="AI1855" s="10" t="n">
        <v>4395</v>
      </c>
      <c r="AJ1855" s="11" t="n">
        <v>127149</v>
      </c>
      <c r="AK1855" s="12" t="n">
        <v>4747</v>
      </c>
      <c r="AL1855" s="12" t="n">
        <v>5579</v>
      </c>
      <c r="AM1855" s="13" t="n">
        <v>6.1</v>
      </c>
      <c r="AN1855" s="13" t="n">
        <v>-9.5</v>
      </c>
      <c r="AO1855" s="13" t="n">
        <v>10.9</v>
      </c>
      <c r="AP1855" s="13" t="n">
        <v>-7.4</v>
      </c>
    </row>
    <row r="1856">
      <c r="A1856" s="5" t="inlineStr">
        <is>
          <t>우정바이오</t>
        </is>
      </c>
      <c r="B1856" s="6" t="inlineStr">
        <is>
          <t>215380</t>
        </is>
      </c>
      <c r="C1856" s="6" t="inlineStr">
        <is>
          <t>연결</t>
        </is>
      </c>
      <c r="D1856" s="6" t="inlineStr">
        <is>
          <t>2026Q2</t>
        </is>
      </c>
      <c r="E1856" s="6" t="inlineStr"/>
      <c r="F1856" s="7" t="inlineStr"/>
      <c r="G1856" s="8" t="inlineStr"/>
      <c r="H1856" s="8" t="inlineStr"/>
      <c r="I1856" s="9" t="n">
        <v>10157</v>
      </c>
      <c r="J1856" s="10" t="n">
        <v>-520</v>
      </c>
      <c r="K1856" s="10" t="n">
        <v>-1606</v>
      </c>
      <c r="L1856" s="7" t="n">
        <v>11847</v>
      </c>
      <c r="M1856" s="8" t="n">
        <v>669</v>
      </c>
      <c r="N1856" s="8" t="n">
        <v>2351</v>
      </c>
      <c r="O1856" s="9" t="n">
        <v>9228</v>
      </c>
      <c r="P1856" s="10" t="n">
        <v>622</v>
      </c>
      <c r="Q1856" s="10" t="n">
        <v>-1033</v>
      </c>
      <c r="R1856" s="7" t="n">
        <v>11968</v>
      </c>
      <c r="S1856" s="8" t="n">
        <v>1014</v>
      </c>
      <c r="T1856" s="8" t="n">
        <v>513</v>
      </c>
      <c r="U1856" s="9" t="n">
        <v>8312</v>
      </c>
      <c r="V1856" s="10" t="n">
        <v>-1405</v>
      </c>
      <c r="W1856" s="10" t="n">
        <v>-2080</v>
      </c>
      <c r="X1856" s="7" t="n">
        <v>7087</v>
      </c>
      <c r="Y1856" s="8" t="n">
        <v>-1612</v>
      </c>
      <c r="Z1856" s="8" t="n">
        <v>-1540</v>
      </c>
      <c r="AA1856" s="9" t="n">
        <v>9755</v>
      </c>
      <c r="AB1856" s="10" t="n">
        <v>-874</v>
      </c>
      <c r="AC1856" s="10" t="n">
        <v>-616</v>
      </c>
      <c r="AD1856" s="7" t="n">
        <v>12433</v>
      </c>
      <c r="AE1856" s="8" t="n">
        <v>-13</v>
      </c>
      <c r="AF1856" s="8" t="n">
        <v>-1311</v>
      </c>
      <c r="AG1856" s="9" t="n">
        <v>11030</v>
      </c>
      <c r="AH1856" s="10" t="n">
        <v>429</v>
      </c>
      <c r="AI1856" s="10" t="n">
        <v>-211</v>
      </c>
      <c r="AJ1856" s="11" t="n">
        <v>10985</v>
      </c>
      <c r="AK1856" s="12" t="n">
        <v>-19</v>
      </c>
      <c r="AL1856" s="12" t="n">
        <v>3373</v>
      </c>
      <c r="AM1856" s="13" t="n">
        <v>-0.4</v>
      </c>
      <c r="AN1856" s="13" t="n">
        <v>55</v>
      </c>
      <c r="AO1856" s="13" t="n">
        <v>-104.4</v>
      </c>
      <c r="AP1856" s="13" t="n">
        <v>98.8</v>
      </c>
    </row>
    <row r="1857">
      <c r="A1857" s="5" t="inlineStr">
        <is>
          <t>토박스코리아</t>
        </is>
      </c>
      <c r="B1857" s="6" t="inlineStr">
        <is>
          <t>215480</t>
        </is>
      </c>
      <c r="C1857" s="6" t="inlineStr">
        <is>
          <t>연결</t>
        </is>
      </c>
      <c r="D1857" s="6" t="inlineStr">
        <is>
          <t>2026Q2</t>
        </is>
      </c>
      <c r="E1857" s="6" t="inlineStr"/>
      <c r="F1857" s="7" t="inlineStr"/>
      <c r="G1857" s="8" t="inlineStr"/>
      <c r="H1857" s="8" t="inlineStr"/>
      <c r="I1857" s="9" t="n">
        <v>10206</v>
      </c>
      <c r="J1857" s="10" t="n">
        <v>353</v>
      </c>
      <c r="K1857" s="10" t="n">
        <v>252</v>
      </c>
      <c r="L1857" s="7" t="n">
        <v>13122</v>
      </c>
      <c r="M1857" s="8" t="n">
        <v>645</v>
      </c>
      <c r="N1857" s="8" t="n">
        <v>484</v>
      </c>
      <c r="O1857" s="9" t="n">
        <v>9517</v>
      </c>
      <c r="P1857" s="10" t="n">
        <v>-159</v>
      </c>
      <c r="Q1857" s="10" t="n">
        <v>-390</v>
      </c>
      <c r="R1857" s="7" t="n">
        <v>11831</v>
      </c>
      <c r="S1857" s="8" t="n">
        <v>332</v>
      </c>
      <c r="T1857" s="8" t="n">
        <v>-922</v>
      </c>
      <c r="U1857" s="9" t="n">
        <v>9267</v>
      </c>
      <c r="V1857" s="10" t="n">
        <v>-223</v>
      </c>
      <c r="W1857" s="10" t="n">
        <v>-462</v>
      </c>
      <c r="X1857" s="7" t="n">
        <v>12642</v>
      </c>
      <c r="Y1857" s="8" t="n">
        <v>850</v>
      </c>
      <c r="Z1857" s="8" t="n">
        <v>740</v>
      </c>
      <c r="AA1857" s="9" t="n">
        <v>7503</v>
      </c>
      <c r="AB1857" s="10" t="n">
        <v>-544</v>
      </c>
      <c r="AC1857" s="10" t="n">
        <v>-704</v>
      </c>
      <c r="AD1857" s="7" t="n">
        <v>10288</v>
      </c>
      <c r="AE1857" s="8" t="n">
        <v>-79</v>
      </c>
      <c r="AF1857" s="8" t="n">
        <v>-822</v>
      </c>
      <c r="AG1857" s="9" t="n">
        <v>9903</v>
      </c>
      <c r="AH1857" s="10" t="n">
        <v>834</v>
      </c>
      <c r="AI1857" s="10" t="n">
        <v>592</v>
      </c>
      <c r="AJ1857" s="11" t="n">
        <v>13220</v>
      </c>
      <c r="AK1857" s="12" t="n">
        <v>1169</v>
      </c>
      <c r="AL1857" s="12" t="n">
        <v>962</v>
      </c>
      <c r="AM1857" s="13" t="n">
        <v>33.5</v>
      </c>
      <c r="AN1857" s="13" t="n">
        <v>4.6</v>
      </c>
      <c r="AO1857" s="13" t="n">
        <v>40.2</v>
      </c>
      <c r="AP1857" s="13" t="n">
        <v>37.5</v>
      </c>
    </row>
    <row r="1858">
      <c r="A1858" s="5" t="inlineStr">
        <is>
          <t>신라젠</t>
        </is>
      </c>
      <c r="B1858" s="6" t="inlineStr">
        <is>
          <t>215600</t>
        </is>
      </c>
      <c r="C1858" s="6" t="inlineStr">
        <is>
          <t>연결</t>
        </is>
      </c>
      <c r="D1858" s="6" t="inlineStr">
        <is>
          <t>2026Q2</t>
        </is>
      </c>
      <c r="E1858" s="6" t="inlineStr"/>
      <c r="F1858" s="7" t="inlineStr"/>
      <c r="G1858" s="8" t="inlineStr"/>
      <c r="H1858" s="8" t="inlineStr"/>
      <c r="I1858" s="9" t="n">
        <v>302</v>
      </c>
      <c r="J1858" s="10" t="n">
        <v>-4985</v>
      </c>
      <c r="K1858" s="10" t="n">
        <v>-5063</v>
      </c>
      <c r="L1858" s="7" t="n">
        <v>807</v>
      </c>
      <c r="M1858" s="8" t="n">
        <v>-6697</v>
      </c>
      <c r="N1858" s="8" t="n">
        <v>-6708</v>
      </c>
      <c r="O1858" s="9" t="n">
        <v>1291</v>
      </c>
      <c r="P1858" s="10" t="n">
        <v>-7607</v>
      </c>
      <c r="Q1858" s="10" t="n">
        <v>-7867</v>
      </c>
      <c r="R1858" s="7" t="n">
        <v>1527</v>
      </c>
      <c r="S1858" s="8" t="n">
        <v>-7479</v>
      </c>
      <c r="T1858" s="8" t="n">
        <v>-6888</v>
      </c>
      <c r="U1858" s="9" t="n">
        <v>1157</v>
      </c>
      <c r="V1858" s="10" t="n">
        <v>-5104</v>
      </c>
      <c r="W1858" s="10" t="n">
        <v>-4969</v>
      </c>
      <c r="X1858" s="7" t="n">
        <v>2393</v>
      </c>
      <c r="Y1858" s="8" t="n">
        <v>-6189</v>
      </c>
      <c r="Z1858" s="8" t="n">
        <v>-5508</v>
      </c>
      <c r="AA1858" s="9" t="n">
        <v>2765</v>
      </c>
      <c r="AB1858" s="10" t="n">
        <v>-6136</v>
      </c>
      <c r="AC1858" s="10" t="n">
        <v>-5877</v>
      </c>
      <c r="AD1858" s="7" t="n">
        <v>2910</v>
      </c>
      <c r="AE1858" s="8" t="n">
        <v>-8159</v>
      </c>
      <c r="AF1858" s="8" t="n">
        <v>-7836</v>
      </c>
      <c r="AG1858" s="9" t="n">
        <v>2851</v>
      </c>
      <c r="AH1858" s="10" t="n">
        <v>-5649</v>
      </c>
      <c r="AI1858" s="10" t="n">
        <v>-4910</v>
      </c>
      <c r="AJ1858" s="11" t="n">
        <v>2244</v>
      </c>
      <c r="AK1858" s="12" t="n">
        <v>-6183</v>
      </c>
      <c r="AL1858" s="12" t="n">
        <v>-5487</v>
      </c>
      <c r="AM1858" s="13" t="n">
        <v>-21.3</v>
      </c>
      <c r="AN1858" s="13" t="n">
        <v>-6.2</v>
      </c>
      <c r="AO1858" s="13" t="n">
        <v>-9.5</v>
      </c>
      <c r="AP1858" s="13" t="n">
        <v>0.1</v>
      </c>
    </row>
    <row r="1859">
      <c r="A1859" s="5" t="inlineStr">
        <is>
          <t>이노인스트루먼트</t>
        </is>
      </c>
      <c r="B1859" s="6" t="inlineStr">
        <is>
          <t>215790</t>
        </is>
      </c>
      <c r="C1859" s="6" t="inlineStr">
        <is>
          <t>연결</t>
        </is>
      </c>
      <c r="D1859" s="6" t="inlineStr">
        <is>
          <t>2026Q2</t>
        </is>
      </c>
      <c r="E1859" s="6" t="inlineStr"/>
      <c r="F1859" s="7" t="inlineStr"/>
      <c r="G1859" s="8" t="inlineStr"/>
      <c r="H1859" s="8" t="inlineStr"/>
      <c r="I1859" s="9" t="n">
        <v>10289</v>
      </c>
      <c r="J1859" s="10" t="n">
        <v>-7269</v>
      </c>
      <c r="K1859" s="10" t="n">
        <v>-6497</v>
      </c>
      <c r="L1859" s="7" t="n">
        <v>9830</v>
      </c>
      <c r="M1859" s="8" t="n">
        <v>-6056</v>
      </c>
      <c r="N1859" s="8" t="n">
        <v>-8912</v>
      </c>
      <c r="O1859" s="9" t="n">
        <v>11717</v>
      </c>
      <c r="P1859" s="10" t="n">
        <v>-5533</v>
      </c>
      <c r="Q1859" s="10" t="n">
        <v>-5853</v>
      </c>
      <c r="R1859" s="7" t="n">
        <v>9339</v>
      </c>
      <c r="S1859" s="8" t="n">
        <v>-8596</v>
      </c>
      <c r="T1859" s="8" t="n">
        <v>-18170</v>
      </c>
      <c r="U1859" s="9" t="n">
        <v>10837</v>
      </c>
      <c r="V1859" s="10" t="n">
        <v>-5213</v>
      </c>
      <c r="W1859" s="10" t="n">
        <v>-4042</v>
      </c>
      <c r="X1859" s="7" t="n">
        <v>13273</v>
      </c>
      <c r="Y1859" s="8" t="n">
        <v>-1220</v>
      </c>
      <c r="Z1859" s="8" t="n">
        <v>-5003</v>
      </c>
      <c r="AA1859" s="9" t="n">
        <v>10115</v>
      </c>
      <c r="AB1859" s="10" t="n">
        <v>-411</v>
      </c>
      <c r="AC1859" s="10" t="n">
        <v>804</v>
      </c>
      <c r="AD1859" s="7" t="n">
        <v>9462</v>
      </c>
      <c r="AE1859" s="8" t="n">
        <v>-2345</v>
      </c>
      <c r="AF1859" s="8" t="n">
        <v>-2882</v>
      </c>
      <c r="AG1859" s="9" t="n">
        <v>7927</v>
      </c>
      <c r="AH1859" s="10" t="n">
        <v>-312</v>
      </c>
      <c r="AI1859" s="10" t="n">
        <v>-1004</v>
      </c>
      <c r="AJ1859" s="11" t="n">
        <v>9881</v>
      </c>
      <c r="AK1859" s="12" t="n">
        <v>3276</v>
      </c>
      <c r="AL1859" s="12" t="n">
        <v>3879</v>
      </c>
      <c r="AM1859" s="13" t="n">
        <v>24.6</v>
      </c>
      <c r="AN1859" s="13" t="n">
        <v>-25.6</v>
      </c>
      <c r="AO1859" s="13" t="n">
        <v>1150</v>
      </c>
      <c r="AP1859" s="13" t="n">
        <v>368.5</v>
      </c>
    </row>
    <row r="1860">
      <c r="A1860" s="5" t="inlineStr">
        <is>
          <t>인크로스</t>
        </is>
      </c>
      <c r="B1860" s="6" t="inlineStr">
        <is>
          <t>216050</t>
        </is>
      </c>
      <c r="C1860" s="6" t="inlineStr">
        <is>
          <t>연결</t>
        </is>
      </c>
      <c r="D1860" s="6" t="inlineStr">
        <is>
          <t>2026Q2</t>
        </is>
      </c>
      <c r="E1860" s="6" t="inlineStr">
        <is>
          <t>2023Q4</t>
        </is>
      </c>
      <c r="F1860" s="14" t="n">
        <v>12989</v>
      </c>
      <c r="G1860" s="15" t="n">
        <v>3107</v>
      </c>
      <c r="H1860" s="15" t="n">
        <v>2972</v>
      </c>
      <c r="I1860" s="9" t="n">
        <v>8463</v>
      </c>
      <c r="J1860" s="10" t="n">
        <v>785</v>
      </c>
      <c r="K1860" s="10" t="n">
        <v>1268</v>
      </c>
      <c r="L1860" s="7" t="n">
        <v>10006</v>
      </c>
      <c r="M1860" s="8" t="n">
        <v>582</v>
      </c>
      <c r="N1860" s="8" t="n">
        <v>936</v>
      </c>
      <c r="O1860" s="9" t="n">
        <v>13260</v>
      </c>
      <c r="P1860" s="10" t="n">
        <v>5364</v>
      </c>
      <c r="Q1860" s="10" t="n">
        <v>5043</v>
      </c>
      <c r="R1860" s="7" t="n">
        <v>17088</v>
      </c>
      <c r="S1860" s="8" t="n">
        <v>3299</v>
      </c>
      <c r="T1860" s="8" t="n">
        <v>2486</v>
      </c>
      <c r="U1860" s="9" t="n">
        <v>10170</v>
      </c>
      <c r="V1860" s="10" t="n">
        <v>2008</v>
      </c>
      <c r="W1860" s="10" t="n">
        <v>2366</v>
      </c>
      <c r="X1860" s="7" t="n">
        <v>10353</v>
      </c>
      <c r="Y1860" s="8" t="n">
        <v>2241</v>
      </c>
      <c r="Z1860" s="8" t="n">
        <v>2372</v>
      </c>
      <c r="AA1860" s="9" t="n">
        <v>13012</v>
      </c>
      <c r="AB1860" s="10" t="n">
        <v>3647</v>
      </c>
      <c r="AC1860" s="10" t="n">
        <v>3682</v>
      </c>
      <c r="AD1860" s="7" t="n">
        <v>16955</v>
      </c>
      <c r="AE1860" s="8" t="n">
        <v>3616</v>
      </c>
      <c r="AF1860" s="8" t="n">
        <v>3566</v>
      </c>
      <c r="AG1860" s="9" t="n">
        <v>10455</v>
      </c>
      <c r="AH1860" s="10" t="n">
        <v>1538</v>
      </c>
      <c r="AI1860" s="10" t="n">
        <v>2035</v>
      </c>
      <c r="AJ1860" s="11" t="n">
        <v>11712</v>
      </c>
      <c r="AK1860" s="12" t="n">
        <v>2825</v>
      </c>
      <c r="AL1860" s="12" t="n">
        <v>2648</v>
      </c>
      <c r="AM1860" s="13" t="n">
        <v>12</v>
      </c>
      <c r="AN1860" s="13" t="n">
        <v>13.1</v>
      </c>
      <c r="AO1860" s="13" t="n">
        <v>83.7</v>
      </c>
      <c r="AP1860" s="13" t="n">
        <v>26.1</v>
      </c>
    </row>
    <row r="1861">
      <c r="A1861" s="5" t="inlineStr">
        <is>
          <t>제테마</t>
        </is>
      </c>
      <c r="B1861" s="6" t="inlineStr">
        <is>
          <t>216080</t>
        </is>
      </c>
      <c r="C1861" s="6" t="inlineStr">
        <is>
          <t>연결</t>
        </is>
      </c>
      <c r="D1861" s="6" t="inlineStr">
        <is>
          <t>2026Q2</t>
        </is>
      </c>
      <c r="E1861" s="6" t="inlineStr"/>
      <c r="F1861" s="7" t="inlineStr"/>
      <c r="G1861" s="8" t="inlineStr"/>
      <c r="H1861" s="8" t="inlineStr"/>
      <c r="I1861" s="9" t="n">
        <v>17226</v>
      </c>
      <c r="J1861" s="10" t="n">
        <v>1729</v>
      </c>
      <c r="K1861" s="10" t="n">
        <v>-1839</v>
      </c>
      <c r="L1861" s="7" t="n">
        <v>17306</v>
      </c>
      <c r="M1861" s="8" t="n">
        <v>2151</v>
      </c>
      <c r="N1861" s="8" t="n">
        <v>-407</v>
      </c>
      <c r="O1861" s="9" t="n">
        <v>14962</v>
      </c>
      <c r="P1861" s="10" t="n">
        <v>244</v>
      </c>
      <c r="Q1861" s="10" t="n">
        <v>-3671</v>
      </c>
      <c r="R1861" s="7" t="n">
        <v>19026</v>
      </c>
      <c r="S1861" s="8" t="n">
        <v>-13</v>
      </c>
      <c r="T1861" s="8" t="n">
        <v>3312</v>
      </c>
      <c r="U1861" s="9" t="n">
        <v>15833</v>
      </c>
      <c r="V1861" s="10" t="n">
        <v>-144</v>
      </c>
      <c r="W1861" s="10" t="n">
        <v>-4088</v>
      </c>
      <c r="X1861" s="7" t="n">
        <v>20573</v>
      </c>
      <c r="Y1861" s="8" t="n">
        <v>1772</v>
      </c>
      <c r="Z1861" s="8" t="n">
        <v>-2471</v>
      </c>
      <c r="AA1861" s="9" t="n">
        <v>20119</v>
      </c>
      <c r="AB1861" s="10" t="n">
        <v>1018</v>
      </c>
      <c r="AC1861" s="10" t="n">
        <v>-2805</v>
      </c>
      <c r="AD1861" s="7" t="n">
        <v>20378</v>
      </c>
      <c r="AE1861" s="8" t="n">
        <v>1173</v>
      </c>
      <c r="AF1861" s="8" t="n">
        <v>1923</v>
      </c>
      <c r="AG1861" s="9" t="n">
        <v>16004</v>
      </c>
      <c r="AH1861" s="10" t="n">
        <v>-665</v>
      </c>
      <c r="AI1861" s="10" t="n">
        <v>-2403</v>
      </c>
      <c r="AJ1861" s="11" t="n">
        <v>20082</v>
      </c>
      <c r="AK1861" s="12" t="n">
        <v>2306</v>
      </c>
      <c r="AL1861" s="12" t="n">
        <v>1351</v>
      </c>
      <c r="AM1861" s="13" t="n">
        <v>25.5</v>
      </c>
      <c r="AN1861" s="13" t="n">
        <v>-2.4</v>
      </c>
      <c r="AO1861" s="13" t="n">
        <v>446.8</v>
      </c>
      <c r="AP1861" s="13" t="n">
        <v>30.1</v>
      </c>
    </row>
    <row r="1862">
      <c r="A1862" s="5" t="inlineStr">
        <is>
          <t>제너셈</t>
        </is>
      </c>
      <c r="B1862" s="6" t="inlineStr">
        <is>
          <t>217190</t>
        </is>
      </c>
      <c r="C1862" s="6" t="inlineStr">
        <is>
          <t>연결</t>
        </is>
      </c>
      <c r="D1862" s="6" t="inlineStr">
        <is>
          <t>2026Q2</t>
        </is>
      </c>
      <c r="E1862" s="6" t="inlineStr"/>
      <c r="F1862" s="7" t="inlineStr"/>
      <c r="G1862" s="8" t="inlineStr"/>
      <c r="H1862" s="8" t="inlineStr"/>
      <c r="I1862" s="9" t="n">
        <v>11976</v>
      </c>
      <c r="J1862" s="10" t="n">
        <v>636</v>
      </c>
      <c r="K1862" s="10" t="n">
        <v>588</v>
      </c>
      <c r="L1862" s="7" t="n">
        <v>27069</v>
      </c>
      <c r="M1862" s="8" t="n">
        <v>4537</v>
      </c>
      <c r="N1862" s="8" t="n">
        <v>3935</v>
      </c>
      <c r="O1862" s="9" t="n">
        <v>14711</v>
      </c>
      <c r="P1862" s="10" t="n">
        <v>164</v>
      </c>
      <c r="Q1862" s="10" t="n">
        <v>-487</v>
      </c>
      <c r="R1862" s="7" t="n">
        <v>14982</v>
      </c>
      <c r="S1862" s="8" t="n">
        <v>1204</v>
      </c>
      <c r="T1862" s="8" t="n">
        <v>2085</v>
      </c>
      <c r="U1862" s="9" t="n">
        <v>8433</v>
      </c>
      <c r="V1862" s="10" t="n">
        <v>-1316</v>
      </c>
      <c r="W1862" s="10" t="n">
        <v>-1256</v>
      </c>
      <c r="X1862" s="7" t="n">
        <v>18569</v>
      </c>
      <c r="Y1862" s="8" t="n">
        <v>2663</v>
      </c>
      <c r="Z1862" s="8" t="n">
        <v>1427</v>
      </c>
      <c r="AA1862" s="9" t="n">
        <v>15773</v>
      </c>
      <c r="AB1862" s="10" t="n">
        <v>-372</v>
      </c>
      <c r="AC1862" s="10" t="n">
        <v>-10</v>
      </c>
      <c r="AD1862" s="7" t="n">
        <v>13982</v>
      </c>
      <c r="AE1862" s="8" t="n">
        <v>54</v>
      </c>
      <c r="AF1862" s="8" t="n">
        <v>786</v>
      </c>
      <c r="AG1862" s="9" t="n">
        <v>6732</v>
      </c>
      <c r="AH1862" s="10" t="n">
        <v>-2472</v>
      </c>
      <c r="AI1862" s="10" t="n">
        <v>-1678</v>
      </c>
      <c r="AJ1862" s="11" t="n">
        <v>23289</v>
      </c>
      <c r="AK1862" s="12" t="n">
        <v>4174</v>
      </c>
      <c r="AL1862" s="12" t="n">
        <v>1102</v>
      </c>
      <c r="AM1862" s="13" t="n">
        <v>245.9</v>
      </c>
      <c r="AN1862" s="13" t="n">
        <v>25.4</v>
      </c>
      <c r="AO1862" s="13" t="n">
        <v>268.9</v>
      </c>
      <c r="AP1862" s="13" t="n">
        <v>56.7</v>
      </c>
    </row>
    <row r="1863">
      <c r="A1863" s="5" t="inlineStr">
        <is>
          <t>넵튠</t>
        </is>
      </c>
      <c r="B1863" s="6" t="inlineStr">
        <is>
          <t>217270</t>
        </is>
      </c>
      <c r="C1863" s="6" t="inlineStr">
        <is>
          <t>연결</t>
        </is>
      </c>
      <c r="D1863" s="6" t="inlineStr">
        <is>
          <t>2026Q2</t>
        </is>
      </c>
      <c r="E1863" s="6" t="inlineStr"/>
      <c r="F1863" s="7" t="inlineStr"/>
      <c r="G1863" s="8" t="inlineStr"/>
      <c r="H1863" s="8" t="inlineStr"/>
      <c r="I1863" s="9" t="n">
        <v>24567</v>
      </c>
      <c r="J1863" s="10" t="n">
        <v>723</v>
      </c>
      <c r="K1863" s="10" t="n">
        <v>22077</v>
      </c>
      <c r="L1863" s="7" t="n">
        <v>26832</v>
      </c>
      <c r="M1863" s="8" t="n">
        <v>754</v>
      </c>
      <c r="N1863" s="8" t="n">
        <v>10958</v>
      </c>
      <c r="O1863" s="9" t="n">
        <v>38279</v>
      </c>
      <c r="P1863" s="10" t="n">
        <v>5206</v>
      </c>
      <c r="Q1863" s="10" t="n">
        <v>25253</v>
      </c>
      <c r="R1863" s="7" t="n">
        <v>31923</v>
      </c>
      <c r="S1863" s="8" t="n">
        <v>2923</v>
      </c>
      <c r="T1863" s="8" t="n">
        <v>-53536</v>
      </c>
      <c r="U1863" s="9" t="n">
        <v>31587</v>
      </c>
      <c r="V1863" s="10" t="n">
        <v>2374</v>
      </c>
      <c r="W1863" s="10" t="n">
        <v>7259</v>
      </c>
      <c r="X1863" s="7" t="n">
        <v>34161</v>
      </c>
      <c r="Y1863" s="8" t="n">
        <v>1139</v>
      </c>
      <c r="Z1863" s="8" t="n">
        <v>8973</v>
      </c>
      <c r="AA1863" s="9" t="n">
        <v>29672</v>
      </c>
      <c r="AB1863" s="10" t="n">
        <v>569</v>
      </c>
      <c r="AC1863" s="10" t="n">
        <v>-23424</v>
      </c>
      <c r="AD1863" s="7" t="n">
        <v>27111</v>
      </c>
      <c r="AE1863" s="8" t="n">
        <v>-1590</v>
      </c>
      <c r="AF1863" s="8" t="n">
        <v>-33412</v>
      </c>
      <c r="AG1863" s="9" t="n">
        <v>31409</v>
      </c>
      <c r="AH1863" s="10" t="n">
        <v>1718</v>
      </c>
      <c r="AI1863" s="10" t="n">
        <v>5825</v>
      </c>
      <c r="AJ1863" s="11" t="n">
        <v>26601</v>
      </c>
      <c r="AK1863" s="12" t="n">
        <v>-946</v>
      </c>
      <c r="AL1863" s="12" t="n">
        <v>-6281</v>
      </c>
      <c r="AM1863" s="13" t="n">
        <v>-15.3</v>
      </c>
      <c r="AN1863" s="13" t="n">
        <v>-22.1</v>
      </c>
      <c r="AO1863" s="13" t="n">
        <v>-155.1</v>
      </c>
      <c r="AP1863" s="13" t="n">
        <v>-183.1</v>
      </c>
    </row>
    <row r="1864">
      <c r="A1864" s="5" t="inlineStr">
        <is>
          <t>싸이토젠</t>
        </is>
      </c>
      <c r="B1864" s="6" t="inlineStr">
        <is>
          <t>217330</t>
        </is>
      </c>
      <c r="C1864" s="6" t="inlineStr">
        <is>
          <t>연결</t>
        </is>
      </c>
      <c r="D1864" s="6" t="inlineStr">
        <is>
          <t>2026Q2</t>
        </is>
      </c>
      <c r="E1864" s="6" t="inlineStr"/>
      <c r="F1864" s="7" t="inlineStr"/>
      <c r="G1864" s="8" t="inlineStr"/>
      <c r="H1864" s="8" t="inlineStr"/>
      <c r="I1864" s="9" t="n">
        <v>793</v>
      </c>
      <c r="J1864" s="10" t="n">
        <v>-3348</v>
      </c>
      <c r="K1864" s="10" t="n">
        <v>-2936</v>
      </c>
      <c r="L1864" s="7" t="n">
        <v>1194</v>
      </c>
      <c r="M1864" s="8" t="n">
        <v>-3246</v>
      </c>
      <c r="N1864" s="8" t="n">
        <v>-2955</v>
      </c>
      <c r="O1864" s="9" t="n">
        <v>3337</v>
      </c>
      <c r="P1864" s="10" t="n">
        <v>-2186</v>
      </c>
      <c r="Q1864" s="10" t="n">
        <v>-2880</v>
      </c>
      <c r="R1864" s="7" t="n">
        <v>5587</v>
      </c>
      <c r="S1864" s="8" t="n">
        <v>-1886</v>
      </c>
      <c r="T1864" s="8" t="n">
        <v>-8345</v>
      </c>
      <c r="U1864" s="9" t="n">
        <v>5593</v>
      </c>
      <c r="V1864" s="10" t="n">
        <v>-2366</v>
      </c>
      <c r="W1864" s="10" t="n">
        <v>-2430</v>
      </c>
      <c r="X1864" s="7" t="n">
        <v>6286</v>
      </c>
      <c r="Y1864" s="8" t="n">
        <v>-1928</v>
      </c>
      <c r="Z1864" s="8" t="n">
        <v>-2833</v>
      </c>
      <c r="AA1864" s="9" t="n">
        <v>7627</v>
      </c>
      <c r="AB1864" s="10" t="n">
        <v>-1312</v>
      </c>
      <c r="AC1864" s="10" t="n">
        <v>-1621</v>
      </c>
      <c r="AD1864" s="7" t="n">
        <v>6549</v>
      </c>
      <c r="AE1864" s="8" t="n">
        <v>-2557</v>
      </c>
      <c r="AF1864" s="8" t="n">
        <v>-5456</v>
      </c>
      <c r="AG1864" s="9" t="n">
        <v>6375</v>
      </c>
      <c r="AH1864" s="10" t="n">
        <v>-1470</v>
      </c>
      <c r="AI1864" s="10" t="n">
        <v>-1271</v>
      </c>
      <c r="AJ1864" s="11" t="n">
        <v>6834</v>
      </c>
      <c r="AK1864" s="12" t="n">
        <v>-1216</v>
      </c>
      <c r="AL1864" s="12" t="n">
        <v>-2198</v>
      </c>
      <c r="AM1864" s="13" t="n">
        <v>7.2</v>
      </c>
      <c r="AN1864" s="13" t="n">
        <v>8.699999999999999</v>
      </c>
      <c r="AO1864" s="13" t="n">
        <v>17.3</v>
      </c>
      <c r="AP1864" s="13" t="n">
        <v>36.9</v>
      </c>
    </row>
    <row r="1865">
      <c r="A1865" s="5" t="inlineStr">
        <is>
          <t>에스디생명공학</t>
        </is>
      </c>
      <c r="B1865" s="6" t="inlineStr">
        <is>
          <t>217480</t>
        </is>
      </c>
      <c r="C1865" s="6" t="inlineStr">
        <is>
          <t>연결</t>
        </is>
      </c>
      <c r="D1865" s="6" t="inlineStr">
        <is>
          <t>2026Q2</t>
        </is>
      </c>
      <c r="E1865" s="6" t="inlineStr"/>
      <c r="F1865" s="7" t="inlineStr"/>
      <c r="G1865" s="8" t="inlineStr"/>
      <c r="H1865" s="8" t="inlineStr"/>
      <c r="I1865" s="9" t="n">
        <v>10189</v>
      </c>
      <c r="J1865" s="10" t="n">
        <v>-2078</v>
      </c>
      <c r="K1865" s="10" t="n">
        <v>-1661</v>
      </c>
      <c r="L1865" s="7" t="n">
        <v>9688</v>
      </c>
      <c r="M1865" s="8" t="n">
        <v>-1709</v>
      </c>
      <c r="N1865" s="8" t="n">
        <v>-3561</v>
      </c>
      <c r="O1865" s="9" t="n">
        <v>8126</v>
      </c>
      <c r="P1865" s="10" t="n">
        <v>-2167</v>
      </c>
      <c r="Q1865" s="10" t="n">
        <v>-3842</v>
      </c>
      <c r="R1865" s="7" t="n">
        <v>6468</v>
      </c>
      <c r="S1865" s="8" t="n">
        <v>-3284</v>
      </c>
      <c r="T1865" s="8" t="n">
        <v>-5698</v>
      </c>
      <c r="U1865" s="9" t="n">
        <v>9053</v>
      </c>
      <c r="V1865" s="10" t="n">
        <v>-1154</v>
      </c>
      <c r="W1865" s="10" t="n">
        <v>-1281</v>
      </c>
      <c r="X1865" s="7" t="n">
        <v>7802</v>
      </c>
      <c r="Y1865" s="8" t="n">
        <v>-1872</v>
      </c>
      <c r="Z1865" s="8" t="n">
        <v>-1259</v>
      </c>
      <c r="AA1865" s="9" t="n">
        <v>6872</v>
      </c>
      <c r="AB1865" s="10" t="n">
        <v>-1747</v>
      </c>
      <c r="AC1865" s="10" t="n">
        <v>-1946</v>
      </c>
      <c r="AD1865" s="7" t="n">
        <v>6342</v>
      </c>
      <c r="AE1865" s="8" t="n">
        <v>-1552</v>
      </c>
      <c r="AF1865" s="8" t="n">
        <v>-3004</v>
      </c>
      <c r="AG1865" s="9" t="n">
        <v>6068</v>
      </c>
      <c r="AH1865" s="10" t="n">
        <v>-1060</v>
      </c>
      <c r="AI1865" s="10" t="n">
        <v>-1172</v>
      </c>
      <c r="AJ1865" s="11" t="n">
        <v>6296</v>
      </c>
      <c r="AK1865" s="12" t="n">
        <v>-1390</v>
      </c>
      <c r="AL1865" s="12" t="n">
        <v>-875</v>
      </c>
      <c r="AM1865" s="13" t="n">
        <v>3.8</v>
      </c>
      <c r="AN1865" s="13" t="n">
        <v>-19.3</v>
      </c>
      <c r="AO1865" s="13" t="n">
        <v>-31.1</v>
      </c>
      <c r="AP1865" s="13" t="n">
        <v>25.7</v>
      </c>
    </row>
    <row r="1866">
      <c r="A1866" s="5" t="inlineStr">
        <is>
          <t>러셀</t>
        </is>
      </c>
      <c r="B1866" s="6" t="inlineStr">
        <is>
          <t>217500</t>
        </is>
      </c>
      <c r="C1866" s="6" t="inlineStr">
        <is>
          <t>연결</t>
        </is>
      </c>
      <c r="D1866" s="6" t="inlineStr">
        <is>
          <t>2026Q2</t>
        </is>
      </c>
      <c r="E1866" s="6" t="inlineStr"/>
      <c r="F1866" s="7" t="inlineStr"/>
      <c r="G1866" s="8" t="inlineStr"/>
      <c r="H1866" s="8" t="inlineStr"/>
      <c r="I1866" s="9" t="n">
        <v>4454</v>
      </c>
      <c r="J1866" s="10" t="n">
        <v>-327</v>
      </c>
      <c r="K1866" s="10" t="n">
        <v>389</v>
      </c>
      <c r="L1866" s="7" t="n">
        <v>7825</v>
      </c>
      <c r="M1866" s="8" t="n">
        <v>1055</v>
      </c>
      <c r="N1866" s="8" t="n">
        <v>1766</v>
      </c>
      <c r="O1866" s="9" t="n">
        <v>8881</v>
      </c>
      <c r="P1866" s="10" t="n">
        <v>690</v>
      </c>
      <c r="Q1866" s="10" t="n">
        <v>-393</v>
      </c>
      <c r="R1866" s="7" t="n">
        <v>16321</v>
      </c>
      <c r="S1866" s="8" t="n">
        <v>626</v>
      </c>
      <c r="T1866" s="8" t="n">
        <v>2435</v>
      </c>
      <c r="U1866" s="9" t="n">
        <v>1514</v>
      </c>
      <c r="V1866" s="10" t="n">
        <v>-1565</v>
      </c>
      <c r="W1866" s="10" t="n">
        <v>-1442</v>
      </c>
      <c r="X1866" s="7" t="n">
        <v>9295</v>
      </c>
      <c r="Y1866" s="8" t="n">
        <v>-386</v>
      </c>
      <c r="Z1866" s="8" t="n">
        <v>-1805</v>
      </c>
      <c r="AA1866" s="9" t="n">
        <v>3091</v>
      </c>
      <c r="AB1866" s="10" t="n">
        <v>-811</v>
      </c>
      <c r="AC1866" s="10" t="n">
        <v>-46</v>
      </c>
      <c r="AD1866" s="7" t="n">
        <v>13170</v>
      </c>
      <c r="AE1866" s="8" t="n">
        <v>-2411</v>
      </c>
      <c r="AF1866" s="8" t="n">
        <v>-1788</v>
      </c>
      <c r="AG1866" s="9" t="n">
        <v>4976</v>
      </c>
      <c r="AH1866" s="10" t="n">
        <v>-349</v>
      </c>
      <c r="AI1866" s="10" t="n">
        <v>-405</v>
      </c>
      <c r="AJ1866" s="11" t="n">
        <v>11212</v>
      </c>
      <c r="AK1866" s="12" t="n">
        <v>161</v>
      </c>
      <c r="AL1866" s="12" t="n">
        <v>197</v>
      </c>
      <c r="AM1866" s="13" t="n">
        <v>125.3</v>
      </c>
      <c r="AN1866" s="13" t="n">
        <v>20.6</v>
      </c>
      <c r="AO1866" s="13" t="n">
        <v>146.1</v>
      </c>
      <c r="AP1866" s="13" t="n">
        <v>141.7</v>
      </c>
    </row>
    <row r="1867">
      <c r="A1867" s="5" t="inlineStr">
        <is>
          <t>티엠씨</t>
        </is>
      </c>
      <c r="B1867" s="6" t="inlineStr">
        <is>
          <t>217590</t>
        </is>
      </c>
      <c r="C1867" s="6" t="inlineStr">
        <is>
          <t>연결</t>
        </is>
      </c>
      <c r="D1867" s="6" t="inlineStr">
        <is>
          <t>2026Q2</t>
        </is>
      </c>
      <c r="E1867" s="6" t="inlineStr">
        <is>
          <t>2025Q4</t>
        </is>
      </c>
      <c r="F1867" s="7" t="inlineStr"/>
      <c r="G1867" s="8" t="inlineStr"/>
      <c r="H1867" s="8" t="inlineStr"/>
      <c r="I1867" s="9" t="inlineStr"/>
      <c r="J1867" s="10" t="inlineStr"/>
      <c r="K1867" s="10" t="inlineStr"/>
      <c r="L1867" s="7" t="inlineStr"/>
      <c r="M1867" s="8" t="inlineStr"/>
      <c r="N1867" s="8" t="inlineStr"/>
      <c r="O1867" s="9" t="inlineStr"/>
      <c r="P1867" s="10" t="inlineStr"/>
      <c r="Q1867" s="10" t="inlineStr"/>
      <c r="R1867" s="7" t="inlineStr"/>
      <c r="S1867" s="8" t="inlineStr"/>
      <c r="T1867" s="8" t="inlineStr"/>
      <c r="U1867" s="9" t="inlineStr"/>
      <c r="V1867" s="10" t="inlineStr"/>
      <c r="W1867" s="10" t="inlineStr"/>
      <c r="X1867" s="7" t="inlineStr"/>
      <c r="Y1867" s="8" t="inlineStr"/>
      <c r="Z1867" s="8" t="inlineStr"/>
      <c r="AA1867" s="9" t="n">
        <v>79754</v>
      </c>
      <c r="AB1867" s="10" t="n">
        <v>1413</v>
      </c>
      <c r="AC1867" s="10" t="n">
        <v>1156</v>
      </c>
      <c r="AD1867" s="14" t="n">
        <v>75890</v>
      </c>
      <c r="AE1867" s="15" t="n">
        <v>-2104</v>
      </c>
      <c r="AF1867" s="15" t="n">
        <v>-3066</v>
      </c>
      <c r="AG1867" s="9" t="n">
        <v>93949</v>
      </c>
      <c r="AH1867" s="10" t="n">
        <v>975</v>
      </c>
      <c r="AI1867" s="10" t="n">
        <v>1836</v>
      </c>
      <c r="AJ1867" s="11" t="n">
        <v>106352</v>
      </c>
      <c r="AK1867" s="12" t="n">
        <v>1342</v>
      </c>
      <c r="AL1867" s="12" t="n">
        <v>1773</v>
      </c>
      <c r="AM1867" s="13" t="n">
        <v>13.2</v>
      </c>
      <c r="AN1867" s="13" t="inlineStr"/>
      <c r="AO1867" s="13" t="n">
        <v>37.6</v>
      </c>
      <c r="AP1867" s="13" t="inlineStr"/>
    </row>
    <row r="1868">
      <c r="A1868" s="5" t="inlineStr">
        <is>
          <t>강스템바이오텍</t>
        </is>
      </c>
      <c r="B1868" s="6" t="inlineStr">
        <is>
          <t>217730</t>
        </is>
      </c>
      <c r="C1868" s="6" t="inlineStr">
        <is>
          <t>연결</t>
        </is>
      </c>
      <c r="D1868" s="6" t="inlineStr">
        <is>
          <t>2026Q2</t>
        </is>
      </c>
      <c r="E1868" s="6" t="inlineStr"/>
      <c r="F1868" s="7" t="inlineStr"/>
      <c r="G1868" s="8" t="inlineStr"/>
      <c r="H1868" s="8" t="inlineStr"/>
      <c r="I1868" s="9" t="n">
        <v>2916</v>
      </c>
      <c r="J1868" s="10" t="n">
        <v>-4308</v>
      </c>
      <c r="K1868" s="10" t="n">
        <v>-4172</v>
      </c>
      <c r="L1868" s="7" t="n">
        <v>2276</v>
      </c>
      <c r="M1868" s="8" t="n">
        <v>-4498</v>
      </c>
      <c r="N1868" s="8" t="n">
        <v>4646</v>
      </c>
      <c r="O1868" s="9" t="n">
        <v>783</v>
      </c>
      <c r="P1868" s="10" t="n">
        <v>-3983</v>
      </c>
      <c r="Q1868" s="10" t="n">
        <v>-4030</v>
      </c>
      <c r="R1868" s="7" t="n">
        <v>1771</v>
      </c>
      <c r="S1868" s="8" t="n">
        <v>-2053</v>
      </c>
      <c r="T1868" s="8" t="n">
        <v>-4434</v>
      </c>
      <c r="U1868" s="9" t="n">
        <v>954</v>
      </c>
      <c r="V1868" s="10" t="n">
        <v>-4745</v>
      </c>
      <c r="W1868" s="10" t="n">
        <v>-4903</v>
      </c>
      <c r="X1868" s="7" t="n">
        <v>1030</v>
      </c>
      <c r="Y1868" s="8" t="n">
        <v>-4435</v>
      </c>
      <c r="Z1868" s="8" t="n">
        <v>-4817</v>
      </c>
      <c r="AA1868" s="9" t="n">
        <v>485</v>
      </c>
      <c r="AB1868" s="10" t="n">
        <v>-4194</v>
      </c>
      <c r="AC1868" s="10" t="n">
        <v>-4458</v>
      </c>
      <c r="AD1868" s="7" t="n">
        <v>1103</v>
      </c>
      <c r="AE1868" s="8" t="n">
        <v>-4294</v>
      </c>
      <c r="AF1868" s="8" t="n">
        <v>3711</v>
      </c>
      <c r="AG1868" s="9" t="n">
        <v>805</v>
      </c>
      <c r="AH1868" s="10" t="n">
        <v>-4570</v>
      </c>
      <c r="AI1868" s="10" t="n">
        <v>-4561</v>
      </c>
      <c r="AJ1868" s="11" t="n">
        <v>642</v>
      </c>
      <c r="AK1868" s="12" t="n">
        <v>-6062</v>
      </c>
      <c r="AL1868" s="12" t="n">
        <v>-6249</v>
      </c>
      <c r="AM1868" s="13" t="n">
        <v>-20.2</v>
      </c>
      <c r="AN1868" s="13" t="n">
        <v>-37.7</v>
      </c>
      <c r="AO1868" s="13" t="n">
        <v>-32.6</v>
      </c>
      <c r="AP1868" s="13" t="n">
        <v>-36.7</v>
      </c>
    </row>
    <row r="1869">
      <c r="A1869" s="5" t="inlineStr">
        <is>
          <t>원익피앤이</t>
        </is>
      </c>
      <c r="B1869" s="6" t="inlineStr">
        <is>
          <t>217820</t>
        </is>
      </c>
      <c r="C1869" s="6" t="inlineStr">
        <is>
          <t>연결</t>
        </is>
      </c>
      <c r="D1869" s="6" t="inlineStr">
        <is>
          <t>2026Q2</t>
        </is>
      </c>
      <c r="E1869" s="6" t="inlineStr"/>
      <c r="F1869" s="7" t="inlineStr"/>
      <c r="G1869" s="8" t="inlineStr"/>
      <c r="H1869" s="8" t="inlineStr"/>
      <c r="I1869" s="9" t="n">
        <v>73113</v>
      </c>
      <c r="J1869" s="10" t="n">
        <v>-23297</v>
      </c>
      <c r="K1869" s="10" t="n">
        <v>-24963</v>
      </c>
      <c r="L1869" s="7" t="n">
        <v>23434</v>
      </c>
      <c r="M1869" s="8" t="n">
        <v>-17909</v>
      </c>
      <c r="N1869" s="8" t="n">
        <v>-21071</v>
      </c>
      <c r="O1869" s="9" t="n">
        <v>26329</v>
      </c>
      <c r="P1869" s="10" t="n">
        <v>-16165</v>
      </c>
      <c r="Q1869" s="10" t="n">
        <v>-17563</v>
      </c>
      <c r="R1869" s="7" t="n">
        <v>171832</v>
      </c>
      <c r="S1869" s="8" t="n">
        <v>8623</v>
      </c>
      <c r="T1869" s="8" t="n">
        <v>-84</v>
      </c>
      <c r="U1869" s="9" t="n">
        <v>154723</v>
      </c>
      <c r="V1869" s="10" t="n">
        <v>9035</v>
      </c>
      <c r="W1869" s="10" t="n">
        <v>9278</v>
      </c>
      <c r="X1869" s="7" t="n">
        <v>66777</v>
      </c>
      <c r="Y1869" s="8" t="n">
        <v>-1737</v>
      </c>
      <c r="Z1869" s="8" t="n">
        <v>-5704</v>
      </c>
      <c r="AA1869" s="9" t="n">
        <v>95196</v>
      </c>
      <c r="AB1869" s="10" t="n">
        <v>3876</v>
      </c>
      <c r="AC1869" s="10" t="n">
        <v>5748</v>
      </c>
      <c r="AD1869" s="7" t="n">
        <v>73995</v>
      </c>
      <c r="AE1869" s="8" t="n">
        <v>-9776</v>
      </c>
      <c r="AF1869" s="8" t="n">
        <v>-8407</v>
      </c>
      <c r="AG1869" s="9" t="n">
        <v>27294</v>
      </c>
      <c r="AH1869" s="10" t="n">
        <v>-6080</v>
      </c>
      <c r="AI1869" s="10" t="n">
        <v>-5830</v>
      </c>
      <c r="AJ1869" s="11" t="n">
        <v>43186</v>
      </c>
      <c r="AK1869" s="12" t="n">
        <v>-938</v>
      </c>
      <c r="AL1869" s="12" t="n">
        <v>-1411</v>
      </c>
      <c r="AM1869" s="13" t="n">
        <v>58.2</v>
      </c>
      <c r="AN1869" s="13" t="n">
        <v>-35.3</v>
      </c>
      <c r="AO1869" s="13" t="n">
        <v>84.59999999999999</v>
      </c>
      <c r="AP1869" s="13" t="n">
        <v>46</v>
      </c>
    </row>
    <row r="1870">
      <c r="A1870" s="5" t="inlineStr">
        <is>
          <t>미래생명자원</t>
        </is>
      </c>
      <c r="B1870" s="6" t="inlineStr">
        <is>
          <t>218150</t>
        </is>
      </c>
      <c r="C1870" s="6" t="inlineStr">
        <is>
          <t>연결</t>
        </is>
      </c>
      <c r="D1870" s="6" t="inlineStr">
        <is>
          <t>2026Q2</t>
        </is>
      </c>
      <c r="E1870" s="6" t="inlineStr"/>
      <c r="F1870" s="7" t="inlineStr"/>
      <c r="G1870" s="8" t="inlineStr"/>
      <c r="H1870" s="8" t="inlineStr"/>
      <c r="I1870" s="9" t="n">
        <v>14449</v>
      </c>
      <c r="J1870" s="10" t="n">
        <v>-34</v>
      </c>
      <c r="K1870" s="10" t="n">
        <v>223</v>
      </c>
      <c r="L1870" s="7" t="n">
        <v>15585</v>
      </c>
      <c r="M1870" s="8" t="n">
        <v>-80</v>
      </c>
      <c r="N1870" s="8" t="n">
        <v>-250</v>
      </c>
      <c r="O1870" s="9" t="n">
        <v>18523</v>
      </c>
      <c r="P1870" s="10" t="n">
        <v>551</v>
      </c>
      <c r="Q1870" s="10" t="n">
        <v>603</v>
      </c>
      <c r="R1870" s="7" t="n">
        <v>13896</v>
      </c>
      <c r="S1870" s="8" t="n">
        <v>-253</v>
      </c>
      <c r="T1870" s="8" t="n">
        <v>-996</v>
      </c>
      <c r="U1870" s="9" t="n">
        <v>14704</v>
      </c>
      <c r="V1870" s="10" t="n">
        <v>155</v>
      </c>
      <c r="W1870" s="10" t="n">
        <v>570</v>
      </c>
      <c r="X1870" s="7" t="n">
        <v>16765</v>
      </c>
      <c r="Y1870" s="8" t="n">
        <v>503</v>
      </c>
      <c r="Z1870" s="8" t="n">
        <v>167</v>
      </c>
      <c r="AA1870" s="9" t="n">
        <v>18691</v>
      </c>
      <c r="AB1870" s="10" t="n">
        <v>1238</v>
      </c>
      <c r="AC1870" s="10" t="n">
        <v>946</v>
      </c>
      <c r="AD1870" s="7" t="n">
        <v>17395</v>
      </c>
      <c r="AE1870" s="8" t="n">
        <v>-3339</v>
      </c>
      <c r="AF1870" s="8" t="n">
        <v>-4673</v>
      </c>
      <c r="AG1870" s="9" t="n">
        <v>17038</v>
      </c>
      <c r="AH1870" s="10" t="n">
        <v>439</v>
      </c>
      <c r="AI1870" s="10" t="n">
        <v>537</v>
      </c>
      <c r="AJ1870" s="11" t="n">
        <v>19340</v>
      </c>
      <c r="AK1870" s="12" t="n">
        <v>698</v>
      </c>
      <c r="AL1870" s="12" t="n">
        <v>27</v>
      </c>
      <c r="AM1870" s="13" t="n">
        <v>13.5</v>
      </c>
      <c r="AN1870" s="13" t="n">
        <v>15.4</v>
      </c>
      <c r="AO1870" s="13" t="n">
        <v>59</v>
      </c>
      <c r="AP1870" s="13" t="n">
        <v>38.8</v>
      </c>
    </row>
    <row r="1871">
      <c r="A1871" s="5" t="inlineStr">
        <is>
          <t>RFHIC</t>
        </is>
      </c>
      <c r="B1871" s="6" t="inlineStr">
        <is>
          <t>218410</t>
        </is>
      </c>
      <c r="C1871" s="6" t="inlineStr">
        <is>
          <t>연결</t>
        </is>
      </c>
      <c r="D1871" s="6" t="inlineStr">
        <is>
          <t>2026Q2</t>
        </is>
      </c>
      <c r="E1871" s="6" t="inlineStr">
        <is>
          <t>2023Q4</t>
        </is>
      </c>
      <c r="F1871" s="14" t="n">
        <v>36335</v>
      </c>
      <c r="G1871" s="15" t="n">
        <v>8387</v>
      </c>
      <c r="H1871" s="15" t="n">
        <v>18505</v>
      </c>
      <c r="I1871" s="9" t="n">
        <v>25563</v>
      </c>
      <c r="J1871" s="10" t="n">
        <v>402</v>
      </c>
      <c r="K1871" s="10" t="n">
        <v>22044</v>
      </c>
      <c r="L1871" s="7" t="n">
        <v>26074</v>
      </c>
      <c r="M1871" s="8" t="n">
        <v>-211</v>
      </c>
      <c r="N1871" s="8" t="n">
        <v>2478</v>
      </c>
      <c r="O1871" s="9" t="n">
        <v>24585</v>
      </c>
      <c r="P1871" s="10" t="n">
        <v>-1124</v>
      </c>
      <c r="Q1871" s="10" t="n">
        <v>690</v>
      </c>
      <c r="R1871" s="7" t="n">
        <v>38654</v>
      </c>
      <c r="S1871" s="8" t="n">
        <v>2463</v>
      </c>
      <c r="T1871" s="8" t="n">
        <v>-5513</v>
      </c>
      <c r="U1871" s="9" t="n">
        <v>31874</v>
      </c>
      <c r="V1871" s="10" t="n">
        <v>3735</v>
      </c>
      <c r="W1871" s="10" t="n">
        <v>4325</v>
      </c>
      <c r="X1871" s="7" t="n">
        <v>44639</v>
      </c>
      <c r="Y1871" s="8" t="n">
        <v>8305</v>
      </c>
      <c r="Z1871" s="8" t="n">
        <v>8393</v>
      </c>
      <c r="AA1871" s="9" t="n">
        <v>40497</v>
      </c>
      <c r="AB1871" s="10" t="n">
        <v>7363</v>
      </c>
      <c r="AC1871" s="10" t="n">
        <v>7149</v>
      </c>
      <c r="AD1871" s="7" t="n">
        <v>68794</v>
      </c>
      <c r="AE1871" s="8" t="n">
        <v>11486</v>
      </c>
      <c r="AF1871" s="8" t="n">
        <v>15639</v>
      </c>
      <c r="AG1871" s="9" t="n">
        <v>43070</v>
      </c>
      <c r="AH1871" s="10" t="n">
        <v>7738</v>
      </c>
      <c r="AI1871" s="10" t="n">
        <v>8655</v>
      </c>
      <c r="AJ1871" s="11" t="n">
        <v>51501</v>
      </c>
      <c r="AK1871" s="12" t="n">
        <v>11186</v>
      </c>
      <c r="AL1871" s="12" t="n">
        <v>12063</v>
      </c>
      <c r="AM1871" s="13" t="n">
        <v>19.6</v>
      </c>
      <c r="AN1871" s="13" t="n">
        <v>15.4</v>
      </c>
      <c r="AO1871" s="13" t="n">
        <v>44.6</v>
      </c>
      <c r="AP1871" s="13" t="n">
        <v>34.7</v>
      </c>
    </row>
    <row r="1872">
      <c r="A1872" s="5" t="inlineStr">
        <is>
          <t>타이거일렉</t>
        </is>
      </c>
      <c r="B1872" s="6" t="inlineStr">
        <is>
          <t>219130</t>
        </is>
      </c>
      <c r="C1872" s="6" t="inlineStr">
        <is>
          <t>별도</t>
        </is>
      </c>
      <c r="D1872" s="6" t="inlineStr">
        <is>
          <t>2026Q2</t>
        </is>
      </c>
      <c r="E1872" s="6" t="inlineStr"/>
      <c r="F1872" s="7" t="inlineStr"/>
      <c r="G1872" s="8" t="inlineStr"/>
      <c r="H1872" s="8" t="inlineStr"/>
      <c r="I1872" s="9" t="n">
        <v>13181</v>
      </c>
      <c r="J1872" s="10" t="n">
        <v>40</v>
      </c>
      <c r="K1872" s="10" t="n">
        <v>617</v>
      </c>
      <c r="L1872" s="7" t="n">
        <v>15725</v>
      </c>
      <c r="M1872" s="8" t="n">
        <v>-293</v>
      </c>
      <c r="N1872" s="8" t="n">
        <v>175</v>
      </c>
      <c r="O1872" s="9" t="n">
        <v>17596</v>
      </c>
      <c r="P1872" s="10" t="n">
        <v>17</v>
      </c>
      <c r="Q1872" s="10" t="n">
        <v>-419</v>
      </c>
      <c r="R1872" s="7" t="n">
        <v>15320</v>
      </c>
      <c r="S1872" s="8" t="n">
        <v>-1681</v>
      </c>
      <c r="T1872" s="8" t="n">
        <v>-98</v>
      </c>
      <c r="U1872" s="9" t="n">
        <v>17016</v>
      </c>
      <c r="V1872" s="10" t="n">
        <v>1002</v>
      </c>
      <c r="W1872" s="10" t="n">
        <v>797</v>
      </c>
      <c r="X1872" s="7" t="n">
        <v>19236</v>
      </c>
      <c r="Y1872" s="8" t="n">
        <v>2899</v>
      </c>
      <c r="Z1872" s="8" t="n">
        <v>1268</v>
      </c>
      <c r="AA1872" s="9" t="n">
        <v>20375</v>
      </c>
      <c r="AB1872" s="10" t="n">
        <v>1035</v>
      </c>
      <c r="AC1872" s="10" t="n">
        <v>1309</v>
      </c>
      <c r="AD1872" s="7" t="n">
        <v>24052</v>
      </c>
      <c r="AE1872" s="8" t="n">
        <v>2283</v>
      </c>
      <c r="AF1872" s="8" t="n">
        <v>1898</v>
      </c>
      <c r="AG1872" s="9" t="n">
        <v>26835</v>
      </c>
      <c r="AH1872" s="10" t="n">
        <v>3515</v>
      </c>
      <c r="AI1872" s="10" t="n">
        <v>2841</v>
      </c>
      <c r="AJ1872" s="11" t="n">
        <v>33503</v>
      </c>
      <c r="AK1872" s="12" t="n">
        <v>6885</v>
      </c>
      <c r="AL1872" s="12" t="n">
        <v>4642</v>
      </c>
      <c r="AM1872" s="13" t="n">
        <v>24.8</v>
      </c>
      <c r="AN1872" s="13" t="n">
        <v>74.2</v>
      </c>
      <c r="AO1872" s="13" t="n">
        <v>95.90000000000001</v>
      </c>
      <c r="AP1872" s="13" t="n">
        <v>137.5</v>
      </c>
    </row>
    <row r="1873">
      <c r="A1873" s="5" t="inlineStr">
        <is>
          <t>링크제니시스</t>
        </is>
      </c>
      <c r="B1873" s="6" t="inlineStr">
        <is>
          <t>219420</t>
        </is>
      </c>
      <c r="C1873" s="6" t="inlineStr">
        <is>
          <t>연결</t>
        </is>
      </c>
      <c r="D1873" s="6" t="inlineStr">
        <is>
          <t>2026Q2</t>
        </is>
      </c>
      <c r="E1873" s="6" t="inlineStr"/>
      <c r="F1873" s="7" t="inlineStr"/>
      <c r="G1873" s="8" t="inlineStr"/>
      <c r="H1873" s="8" t="inlineStr"/>
      <c r="I1873" s="9" t="n">
        <v>4053</v>
      </c>
      <c r="J1873" s="10" t="n">
        <v>-486</v>
      </c>
      <c r="K1873" s="10" t="n">
        <v>6</v>
      </c>
      <c r="L1873" s="7" t="n">
        <v>3398</v>
      </c>
      <c r="M1873" s="8" t="n">
        <v>425</v>
      </c>
      <c r="N1873" s="8" t="n">
        <v>643</v>
      </c>
      <c r="O1873" s="9" t="n">
        <v>2390</v>
      </c>
      <c r="P1873" s="10" t="n">
        <v>-265</v>
      </c>
      <c r="Q1873" s="10" t="n">
        <v>254</v>
      </c>
      <c r="R1873" s="7" t="n">
        <v>3263</v>
      </c>
      <c r="S1873" s="8" t="n">
        <v>246</v>
      </c>
      <c r="T1873" s="8" t="n">
        <v>-1573</v>
      </c>
      <c r="U1873" s="9" t="n">
        <v>3052</v>
      </c>
      <c r="V1873" s="10" t="n">
        <v>-310</v>
      </c>
      <c r="W1873" s="10" t="n">
        <v>91</v>
      </c>
      <c r="X1873" s="7" t="n">
        <v>3449</v>
      </c>
      <c r="Y1873" s="8" t="n">
        <v>266</v>
      </c>
      <c r="Z1873" s="8" t="n">
        <v>554</v>
      </c>
      <c r="AA1873" s="9" t="n">
        <v>3929</v>
      </c>
      <c r="AB1873" s="10" t="n">
        <v>609</v>
      </c>
      <c r="AC1873" s="10" t="n">
        <v>1197</v>
      </c>
      <c r="AD1873" s="7" t="n">
        <v>6545</v>
      </c>
      <c r="AE1873" s="8" t="n">
        <v>654</v>
      </c>
      <c r="AF1873" s="8" t="n">
        <v>996</v>
      </c>
      <c r="AG1873" s="9" t="n">
        <v>3922</v>
      </c>
      <c r="AH1873" s="10" t="n">
        <v>1163</v>
      </c>
      <c r="AI1873" s="10" t="n">
        <v>1969</v>
      </c>
      <c r="AJ1873" s="11" t="n">
        <v>5290</v>
      </c>
      <c r="AK1873" s="12" t="n">
        <v>1080</v>
      </c>
      <c r="AL1873" s="12" t="n">
        <v>706</v>
      </c>
      <c r="AM1873" s="13" t="n">
        <v>34.9</v>
      </c>
      <c r="AN1873" s="13" t="n">
        <v>53.4</v>
      </c>
      <c r="AO1873" s="13" t="n">
        <v>-7.1</v>
      </c>
      <c r="AP1873" s="13" t="n">
        <v>306</v>
      </c>
    </row>
    <row r="1874">
      <c r="A1874" s="5" t="inlineStr">
        <is>
          <t>디와이디</t>
        </is>
      </c>
      <c r="B1874" s="6" t="inlineStr">
        <is>
          <t>219550</t>
        </is>
      </c>
      <c r="C1874" s="6" t="inlineStr">
        <is>
          <t>별도</t>
        </is>
      </c>
      <c r="D1874" s="6" t="inlineStr">
        <is>
          <t>2026Q2</t>
        </is>
      </c>
      <c r="E1874" s="6" t="inlineStr"/>
      <c r="F1874" s="7" t="inlineStr"/>
      <c r="G1874" s="8" t="inlineStr"/>
      <c r="H1874" s="8" t="inlineStr"/>
      <c r="I1874" s="9" t="n">
        <v>9400</v>
      </c>
      <c r="J1874" s="10" t="n">
        <v>171</v>
      </c>
      <c r="K1874" s="10" t="n">
        <v>-2394</v>
      </c>
      <c r="L1874" s="7" t="n">
        <v>9766</v>
      </c>
      <c r="M1874" s="8" t="n">
        <v>-310</v>
      </c>
      <c r="N1874" s="8" t="n">
        <v>-30721</v>
      </c>
      <c r="O1874" s="9" t="n">
        <v>9477</v>
      </c>
      <c r="P1874" s="10" t="n">
        <v>7</v>
      </c>
      <c r="Q1874" s="10" t="n">
        <v>-11420</v>
      </c>
      <c r="R1874" s="7" t="n">
        <v>8740</v>
      </c>
      <c r="S1874" s="8" t="n">
        <v>82</v>
      </c>
      <c r="T1874" s="8" t="n">
        <v>-14586</v>
      </c>
      <c r="U1874" s="9" t="n">
        <v>8900</v>
      </c>
      <c r="V1874" s="10" t="n">
        <v>-547</v>
      </c>
      <c r="W1874" s="10" t="n">
        <v>-6123</v>
      </c>
      <c r="X1874" s="7" t="n">
        <v>10717</v>
      </c>
      <c r="Y1874" s="8" t="n">
        <v>-406</v>
      </c>
      <c r="Z1874" s="8" t="n">
        <v>-8180</v>
      </c>
      <c r="AA1874" s="9" t="n">
        <v>12210</v>
      </c>
      <c r="AB1874" s="10" t="n">
        <v>16</v>
      </c>
      <c r="AC1874" s="10" t="n">
        <v>-732</v>
      </c>
      <c r="AD1874" s="7" t="n">
        <v>13076</v>
      </c>
      <c r="AE1874" s="8" t="n">
        <v>447</v>
      </c>
      <c r="AF1874" s="8" t="n">
        <v>1313</v>
      </c>
      <c r="AG1874" s="9" t="n">
        <v>15562</v>
      </c>
      <c r="AH1874" s="10" t="n">
        <v>1084</v>
      </c>
      <c r="AI1874" s="10" t="n">
        <v>277</v>
      </c>
      <c r="AJ1874" s="11" t="n">
        <v>13902</v>
      </c>
      <c r="AK1874" s="12" t="n">
        <v>215</v>
      </c>
      <c r="AL1874" s="12" t="n">
        <v>-170</v>
      </c>
      <c r="AM1874" s="13" t="n">
        <v>-10.7</v>
      </c>
      <c r="AN1874" s="13" t="n">
        <v>29.7</v>
      </c>
      <c r="AO1874" s="13" t="n">
        <v>-80.2</v>
      </c>
      <c r="AP1874" s="13" t="n">
        <v>153</v>
      </c>
    </row>
    <row r="1875">
      <c r="A1875" s="5" t="inlineStr">
        <is>
          <t>한국비티비</t>
        </is>
      </c>
      <c r="B1875" s="6" t="inlineStr">
        <is>
          <t>219750</t>
        </is>
      </c>
      <c r="C1875" s="6" t="inlineStr">
        <is>
          <t>별도</t>
        </is>
      </c>
      <c r="D1875" s="6" t="inlineStr">
        <is>
          <t>2026Q2</t>
        </is>
      </c>
      <c r="E1875" s="6" t="inlineStr"/>
      <c r="F1875" s="7" t="inlineStr"/>
      <c r="G1875" s="8" t="inlineStr"/>
      <c r="H1875" s="8" t="inlineStr"/>
      <c r="I1875" s="9" t="n">
        <v>6194</v>
      </c>
      <c r="J1875" s="10" t="n">
        <v>281</v>
      </c>
      <c r="K1875" s="10" t="n">
        <v>328</v>
      </c>
      <c r="L1875" s="7" t="n">
        <v>6779</v>
      </c>
      <c r="M1875" s="8" t="n">
        <v>-24</v>
      </c>
      <c r="N1875" s="8" t="n">
        <v>-1086</v>
      </c>
      <c r="O1875" s="9" t="n">
        <v>7122</v>
      </c>
      <c r="P1875" s="10" t="n">
        <v>-77</v>
      </c>
      <c r="Q1875" s="10" t="n">
        <v>-100</v>
      </c>
      <c r="R1875" s="7" t="n">
        <v>10040</v>
      </c>
      <c r="S1875" s="8" t="n">
        <v>808</v>
      </c>
      <c r="T1875" s="8" t="n">
        <v>697</v>
      </c>
      <c r="U1875" s="9" t="n">
        <v>10023</v>
      </c>
      <c r="V1875" s="10" t="n">
        <v>345</v>
      </c>
      <c r="W1875" s="10" t="n">
        <v>279</v>
      </c>
      <c r="X1875" s="7" t="n">
        <v>7307</v>
      </c>
      <c r="Y1875" s="8" t="n">
        <v>-973</v>
      </c>
      <c r="Z1875" s="8" t="n">
        <v>-774</v>
      </c>
      <c r="AA1875" s="9" t="n">
        <v>7699</v>
      </c>
      <c r="AB1875" s="10" t="n">
        <v>-1048</v>
      </c>
      <c r="AC1875" s="10" t="n">
        <v>-846</v>
      </c>
      <c r="AD1875" s="7" t="n">
        <v>7002</v>
      </c>
      <c r="AE1875" s="8" t="n">
        <v>-1176</v>
      </c>
      <c r="AF1875" s="8" t="n">
        <v>-2591</v>
      </c>
      <c r="AG1875" s="9" t="n">
        <v>5911</v>
      </c>
      <c r="AH1875" s="10" t="n">
        <v>-1730</v>
      </c>
      <c r="AI1875" s="10" t="n">
        <v>-1676</v>
      </c>
      <c r="AJ1875" s="11" t="n">
        <v>6309</v>
      </c>
      <c r="AK1875" s="12" t="n">
        <v>-1522</v>
      </c>
      <c r="AL1875" s="12" t="n">
        <v>-2860</v>
      </c>
      <c r="AM1875" s="13" t="n">
        <v>6.7</v>
      </c>
      <c r="AN1875" s="13" t="n">
        <v>-13.7</v>
      </c>
      <c r="AO1875" s="13" t="n">
        <v>12</v>
      </c>
      <c r="AP1875" s="13" t="n">
        <v>-56.4</v>
      </c>
    </row>
    <row r="1876">
      <c r="A1876" s="5" t="inlineStr">
        <is>
          <t>퓨쳐켐</t>
        </is>
      </c>
      <c r="B1876" s="6" t="inlineStr">
        <is>
          <t>220100</t>
        </is>
      </c>
      <c r="C1876" s="6" t="inlineStr">
        <is>
          <t>연결</t>
        </is>
      </c>
      <c r="D1876" s="6" t="inlineStr">
        <is>
          <t>2026Q2</t>
        </is>
      </c>
      <c r="E1876" s="6" t="inlineStr"/>
      <c r="F1876" s="7" t="inlineStr"/>
      <c r="G1876" s="8" t="inlineStr"/>
      <c r="H1876" s="8" t="inlineStr"/>
      <c r="I1876" s="9" t="n">
        <v>3437</v>
      </c>
      <c r="J1876" s="10" t="n">
        <v>-2069</v>
      </c>
      <c r="K1876" s="10" t="n">
        <v>-1874</v>
      </c>
      <c r="L1876" s="7" t="n">
        <v>3433</v>
      </c>
      <c r="M1876" s="8" t="n">
        <v>-2693</v>
      </c>
      <c r="N1876" s="8" t="n">
        <v>-3473</v>
      </c>
      <c r="O1876" s="9" t="n">
        <v>4185</v>
      </c>
      <c r="P1876" s="10" t="n">
        <v>-2343</v>
      </c>
      <c r="Q1876" s="10" t="n">
        <v>-3531</v>
      </c>
      <c r="R1876" s="7" t="n">
        <v>6238</v>
      </c>
      <c r="S1876" s="8" t="n">
        <v>-2362</v>
      </c>
      <c r="T1876" s="8" t="n">
        <v>-547</v>
      </c>
      <c r="U1876" s="9" t="n">
        <v>5078</v>
      </c>
      <c r="V1876" s="10" t="n">
        <v>-1900</v>
      </c>
      <c r="W1876" s="10" t="n">
        <v>-2440</v>
      </c>
      <c r="X1876" s="7" t="n">
        <v>3640</v>
      </c>
      <c r="Y1876" s="8" t="n">
        <v>-1915</v>
      </c>
      <c r="Z1876" s="8" t="n">
        <v>2237</v>
      </c>
      <c r="AA1876" s="9" t="n">
        <v>3792</v>
      </c>
      <c r="AB1876" s="10" t="n">
        <v>-2527</v>
      </c>
      <c r="AC1876" s="10" t="n">
        <v>-4163</v>
      </c>
      <c r="AD1876" s="7" t="n">
        <v>6161</v>
      </c>
      <c r="AE1876" s="8" t="n">
        <v>-1411</v>
      </c>
      <c r="AF1876" s="8" t="n">
        <v>-9447</v>
      </c>
      <c r="AG1876" s="9" t="n">
        <v>6362</v>
      </c>
      <c r="AH1876" s="10" t="n">
        <v>-2214</v>
      </c>
      <c r="AI1876" s="10" t="n">
        <v>-2044</v>
      </c>
      <c r="AJ1876" s="11" t="n">
        <v>4272</v>
      </c>
      <c r="AK1876" s="12" t="n">
        <v>-3219</v>
      </c>
      <c r="AL1876" s="12" t="n">
        <v>1805</v>
      </c>
      <c r="AM1876" s="13" t="n">
        <v>-32.9</v>
      </c>
      <c r="AN1876" s="13" t="n">
        <v>17.4</v>
      </c>
      <c r="AO1876" s="13" t="n">
        <v>-45.4</v>
      </c>
      <c r="AP1876" s="13" t="n">
        <v>-68.09999999999999</v>
      </c>
    </row>
    <row r="1877">
      <c r="A1877" s="5" t="inlineStr">
        <is>
          <t>핸디소프트</t>
        </is>
      </c>
      <c r="B1877" s="6" t="inlineStr">
        <is>
          <t>220180</t>
        </is>
      </c>
      <c r="C1877" s="6" t="inlineStr">
        <is>
          <t>연결</t>
        </is>
      </c>
      <c r="D1877" s="6" t="inlineStr">
        <is>
          <t>2026Q2</t>
        </is>
      </c>
      <c r="E1877" s="6" t="inlineStr"/>
      <c r="F1877" s="7" t="inlineStr"/>
      <c r="G1877" s="8" t="inlineStr"/>
      <c r="H1877" s="8" t="inlineStr"/>
      <c r="I1877" s="9" t="n">
        <v>4409</v>
      </c>
      <c r="J1877" s="10" t="n">
        <v>-1250</v>
      </c>
      <c r="K1877" s="10" t="n">
        <v>-773</v>
      </c>
      <c r="L1877" s="7" t="n">
        <v>4778</v>
      </c>
      <c r="M1877" s="8" t="n">
        <v>-1176</v>
      </c>
      <c r="N1877" s="8" t="n">
        <v>-850</v>
      </c>
      <c r="O1877" s="9" t="n">
        <v>5175</v>
      </c>
      <c r="P1877" s="10" t="n">
        <v>-755</v>
      </c>
      <c r="Q1877" s="10" t="n">
        <v>-314</v>
      </c>
      <c r="R1877" s="7" t="n">
        <v>14013</v>
      </c>
      <c r="S1877" s="8" t="n">
        <v>1191</v>
      </c>
      <c r="T1877" s="8" t="n">
        <v>2535</v>
      </c>
      <c r="U1877" s="9" t="n">
        <v>5205</v>
      </c>
      <c r="V1877" s="10" t="n">
        <v>-732</v>
      </c>
      <c r="W1877" s="10" t="n">
        <v>-460</v>
      </c>
      <c r="X1877" s="7" t="n">
        <v>5898</v>
      </c>
      <c r="Y1877" s="8" t="n">
        <v>-441</v>
      </c>
      <c r="Z1877" s="8" t="n">
        <v>-1383</v>
      </c>
      <c r="AA1877" s="9" t="n">
        <v>10216</v>
      </c>
      <c r="AB1877" s="10" t="n">
        <v>39</v>
      </c>
      <c r="AC1877" s="10" t="n">
        <v>2172</v>
      </c>
      <c r="AD1877" s="7" t="n">
        <v>10125</v>
      </c>
      <c r="AE1877" s="8" t="n">
        <v>653</v>
      </c>
      <c r="AF1877" s="8" t="n">
        <v>313</v>
      </c>
      <c r="AG1877" s="9" t="n">
        <v>5919</v>
      </c>
      <c r="AH1877" s="10" t="n">
        <v>-542</v>
      </c>
      <c r="AI1877" s="10" t="n">
        <v>469</v>
      </c>
      <c r="AJ1877" s="11" t="n">
        <v>6589</v>
      </c>
      <c r="AK1877" s="12" t="n">
        <v>-779</v>
      </c>
      <c r="AL1877" s="12" t="n">
        <v>-434</v>
      </c>
      <c r="AM1877" s="13" t="n">
        <v>11.3</v>
      </c>
      <c r="AN1877" s="13" t="n">
        <v>11.7</v>
      </c>
      <c r="AO1877" s="13" t="n">
        <v>-43.7</v>
      </c>
      <c r="AP1877" s="13" t="n">
        <v>-76.59999999999999</v>
      </c>
    </row>
    <row r="1878">
      <c r="A1878" s="5" t="inlineStr">
        <is>
          <t>켐트로스</t>
        </is>
      </c>
      <c r="B1878" s="6" t="inlineStr">
        <is>
          <t>220260</t>
        </is>
      </c>
      <c r="C1878" s="6" t="inlineStr">
        <is>
          <t>별도</t>
        </is>
      </c>
      <c r="D1878" s="6" t="inlineStr">
        <is>
          <t>2026Q2</t>
        </is>
      </c>
      <c r="E1878" s="6" t="inlineStr"/>
      <c r="F1878" s="7" t="inlineStr"/>
      <c r="G1878" s="8" t="inlineStr"/>
      <c r="H1878" s="8" t="inlineStr"/>
      <c r="I1878" s="9" t="n">
        <v>14686</v>
      </c>
      <c r="J1878" s="10" t="n">
        <v>2101</v>
      </c>
      <c r="K1878" s="10" t="n">
        <v>2250</v>
      </c>
      <c r="L1878" s="7" t="n">
        <v>11784</v>
      </c>
      <c r="M1878" s="8" t="n">
        <v>686</v>
      </c>
      <c r="N1878" s="8" t="n">
        <v>826</v>
      </c>
      <c r="O1878" s="9" t="n">
        <v>11749</v>
      </c>
      <c r="P1878" s="10" t="n">
        <v>506</v>
      </c>
      <c r="Q1878" s="10" t="n">
        <v>353</v>
      </c>
      <c r="R1878" s="7" t="n">
        <v>12090</v>
      </c>
      <c r="S1878" s="8" t="n">
        <v>494</v>
      </c>
      <c r="T1878" s="8" t="n">
        <v>1715</v>
      </c>
      <c r="U1878" s="9" t="n">
        <v>12212</v>
      </c>
      <c r="V1878" s="10" t="n">
        <v>248</v>
      </c>
      <c r="W1878" s="10" t="n">
        <v>446</v>
      </c>
      <c r="X1878" s="7" t="n">
        <v>14733</v>
      </c>
      <c r="Y1878" s="8" t="n">
        <v>-882</v>
      </c>
      <c r="Z1878" s="8" t="n">
        <v>-2210</v>
      </c>
      <c r="AA1878" s="9" t="n">
        <v>13071</v>
      </c>
      <c r="AB1878" s="10" t="n">
        <v>-645</v>
      </c>
      <c r="AC1878" s="10" t="n">
        <v>461</v>
      </c>
      <c r="AD1878" s="7" t="n">
        <v>16794</v>
      </c>
      <c r="AE1878" s="8" t="n">
        <v>2327</v>
      </c>
      <c r="AF1878" s="8" t="n">
        <v>-10538</v>
      </c>
      <c r="AG1878" s="9" t="n">
        <v>17355</v>
      </c>
      <c r="AH1878" s="10" t="n">
        <v>2194</v>
      </c>
      <c r="AI1878" s="10" t="n">
        <v>8457</v>
      </c>
      <c r="AJ1878" s="11" t="n">
        <v>23956</v>
      </c>
      <c r="AK1878" s="12" t="n">
        <v>3584</v>
      </c>
      <c r="AL1878" s="12" t="n">
        <v>3770</v>
      </c>
      <c r="AM1878" s="13" t="n">
        <v>38</v>
      </c>
      <c r="AN1878" s="13" t="n">
        <v>62.6</v>
      </c>
      <c r="AO1878" s="13" t="n">
        <v>63.4</v>
      </c>
      <c r="AP1878" s="13" t="n">
        <v>506.3</v>
      </c>
    </row>
    <row r="1879">
      <c r="A1879" s="5" t="inlineStr">
        <is>
          <t>지구홀딩스</t>
        </is>
      </c>
      <c r="B1879" s="6" t="inlineStr">
        <is>
          <t>221800</t>
        </is>
      </c>
      <c r="C1879" s="6" t="inlineStr">
        <is>
          <t>연결</t>
        </is>
      </c>
      <c r="D1879" s="6" t="inlineStr">
        <is>
          <t>2026Q2</t>
        </is>
      </c>
      <c r="E1879" s="6" t="inlineStr"/>
      <c r="F1879" s="7" t="inlineStr"/>
      <c r="G1879" s="8" t="inlineStr"/>
      <c r="H1879" s="8" t="inlineStr"/>
      <c r="I1879" s="9" t="n">
        <v>5583</v>
      </c>
      <c r="J1879" s="10" t="n">
        <v>-718</v>
      </c>
      <c r="K1879" s="10" t="n">
        <v>-343</v>
      </c>
      <c r="L1879" s="7" t="n">
        <v>6760</v>
      </c>
      <c r="M1879" s="8" t="n">
        <v>-440</v>
      </c>
      <c r="N1879" s="8" t="n">
        <v>-26</v>
      </c>
      <c r="O1879" s="9" t="n">
        <v>6434</v>
      </c>
      <c r="P1879" s="10" t="n">
        <v>-812</v>
      </c>
      <c r="Q1879" s="10" t="n">
        <v>-450</v>
      </c>
      <c r="R1879" s="7" t="n">
        <v>6263</v>
      </c>
      <c r="S1879" s="8" t="n">
        <v>-1157</v>
      </c>
      <c r="T1879" s="8" t="n">
        <v>-2021</v>
      </c>
      <c r="U1879" s="9" t="n">
        <v>5624</v>
      </c>
      <c r="V1879" s="10" t="n">
        <v>-710</v>
      </c>
      <c r="W1879" s="10" t="n">
        <v>-249</v>
      </c>
      <c r="X1879" s="7" t="n">
        <v>6826</v>
      </c>
      <c r="Y1879" s="8" t="n">
        <v>-205</v>
      </c>
      <c r="Z1879" s="8" t="n">
        <v>31</v>
      </c>
      <c r="AA1879" s="9" t="n">
        <v>6873</v>
      </c>
      <c r="AB1879" s="10" t="n">
        <v>-586</v>
      </c>
      <c r="AC1879" s="10" t="n">
        <v>-746</v>
      </c>
      <c r="AD1879" s="7" t="n">
        <v>6270</v>
      </c>
      <c r="AE1879" s="8" t="n">
        <v>-857</v>
      </c>
      <c r="AF1879" s="8" t="n">
        <v>-678</v>
      </c>
      <c r="AG1879" s="9" t="n">
        <v>6983</v>
      </c>
      <c r="AH1879" s="10" t="n">
        <v>-1595</v>
      </c>
      <c r="AI1879" s="10" t="n">
        <v>-398</v>
      </c>
      <c r="AJ1879" s="11" t="n">
        <v>12015</v>
      </c>
      <c r="AK1879" s="12" t="n">
        <v>-549</v>
      </c>
      <c r="AL1879" s="12" t="n">
        <v>-3894</v>
      </c>
      <c r="AM1879" s="13" t="n">
        <v>72.09999999999999</v>
      </c>
      <c r="AN1879" s="13" t="n">
        <v>76</v>
      </c>
      <c r="AO1879" s="13" t="n">
        <v>65.59999999999999</v>
      </c>
      <c r="AP1879" s="13" t="n">
        <v>-167.8</v>
      </c>
    </row>
    <row r="1880">
      <c r="A1880" s="5" t="inlineStr">
        <is>
          <t>하이즈항공</t>
        </is>
      </c>
      <c r="B1880" s="6" t="inlineStr">
        <is>
          <t>221840</t>
        </is>
      </c>
      <c r="C1880" s="6" t="inlineStr">
        <is>
          <t>연결</t>
        </is>
      </c>
      <c r="D1880" s="6" t="inlineStr">
        <is>
          <t>2026Q2</t>
        </is>
      </c>
      <c r="E1880" s="6" t="inlineStr"/>
      <c r="F1880" s="7" t="inlineStr"/>
      <c r="G1880" s="8" t="inlineStr"/>
      <c r="H1880" s="8" t="inlineStr"/>
      <c r="I1880" s="9" t="n">
        <v>22584</v>
      </c>
      <c r="J1880" s="10" t="n">
        <v>-73</v>
      </c>
      <c r="K1880" s="10" t="n">
        <v>-269</v>
      </c>
      <c r="L1880" s="7" t="n">
        <v>19141</v>
      </c>
      <c r="M1880" s="8" t="n">
        <v>-518</v>
      </c>
      <c r="N1880" s="8" t="n">
        <v>-680</v>
      </c>
      <c r="O1880" s="9" t="n">
        <v>20013</v>
      </c>
      <c r="P1880" s="10" t="n">
        <v>-881</v>
      </c>
      <c r="Q1880" s="10" t="n">
        <v>-1669</v>
      </c>
      <c r="R1880" s="7" t="n">
        <v>24808</v>
      </c>
      <c r="S1880" s="8" t="n">
        <v>-762</v>
      </c>
      <c r="T1880" s="8" t="n">
        <v>-6465</v>
      </c>
      <c r="U1880" s="9" t="n">
        <v>18866</v>
      </c>
      <c r="V1880" s="10" t="n">
        <v>1618</v>
      </c>
      <c r="W1880" s="10" t="n">
        <v>1013</v>
      </c>
      <c r="X1880" s="7" t="n">
        <v>17429</v>
      </c>
      <c r="Y1880" s="8" t="n">
        <v>802</v>
      </c>
      <c r="Z1880" s="8" t="n">
        <v>-74</v>
      </c>
      <c r="AA1880" s="9" t="n">
        <v>21471</v>
      </c>
      <c r="AB1880" s="10" t="n">
        <v>802</v>
      </c>
      <c r="AC1880" s="10" t="n">
        <v>529</v>
      </c>
      <c r="AD1880" s="7" t="n">
        <v>26855</v>
      </c>
      <c r="AE1880" s="8" t="n">
        <v>1379</v>
      </c>
      <c r="AF1880" s="8" t="n">
        <v>890</v>
      </c>
      <c r="AG1880" s="9" t="n">
        <v>20327</v>
      </c>
      <c r="AH1880" s="10" t="n">
        <v>1184</v>
      </c>
      <c r="AI1880" s="10" t="n">
        <v>1152</v>
      </c>
      <c r="AJ1880" s="11" t="n">
        <v>25166</v>
      </c>
      <c r="AK1880" s="12" t="n">
        <v>2293</v>
      </c>
      <c r="AL1880" s="12" t="n">
        <v>1925</v>
      </c>
      <c r="AM1880" s="13" t="n">
        <v>23.8</v>
      </c>
      <c r="AN1880" s="13" t="n">
        <v>44.4</v>
      </c>
      <c r="AO1880" s="13" t="n">
        <v>93.7</v>
      </c>
      <c r="AP1880" s="13" t="n">
        <v>185.9</v>
      </c>
    </row>
    <row r="1881">
      <c r="A1881" s="5" t="inlineStr">
        <is>
          <t>케이디켐</t>
        </is>
      </c>
      <c r="B1881" s="6" t="inlineStr">
        <is>
          <t>221980</t>
        </is>
      </c>
      <c r="C1881" s="6" t="inlineStr">
        <is>
          <t>연결</t>
        </is>
      </c>
      <c r="D1881" s="6" t="inlineStr">
        <is>
          <t>2026Q2</t>
        </is>
      </c>
      <c r="E1881" s="6" t="inlineStr"/>
      <c r="F1881" s="7" t="inlineStr"/>
      <c r="G1881" s="8" t="inlineStr"/>
      <c r="H1881" s="8" t="inlineStr"/>
      <c r="I1881" s="9" t="n">
        <v>15267</v>
      </c>
      <c r="J1881" s="10" t="n">
        <v>1881</v>
      </c>
      <c r="K1881" s="10" t="n">
        <v>1882</v>
      </c>
      <c r="L1881" s="7" t="n">
        <v>15853</v>
      </c>
      <c r="M1881" s="8" t="n">
        <v>2022</v>
      </c>
      <c r="N1881" s="8" t="n">
        <v>670</v>
      </c>
      <c r="O1881" s="9" t="n">
        <v>15355</v>
      </c>
      <c r="P1881" s="10" t="n">
        <v>1731</v>
      </c>
      <c r="Q1881" s="10" t="n">
        <v>791</v>
      </c>
      <c r="R1881" s="7" t="n">
        <v>15941</v>
      </c>
      <c r="S1881" s="8" t="n">
        <v>1835</v>
      </c>
      <c r="T1881" s="8" t="n">
        <v>2044</v>
      </c>
      <c r="U1881" s="9" t="n">
        <v>15040</v>
      </c>
      <c r="V1881" s="10" t="n">
        <v>1842</v>
      </c>
      <c r="W1881" s="10" t="n">
        <v>1573</v>
      </c>
      <c r="X1881" s="7" t="n">
        <v>16871</v>
      </c>
      <c r="Y1881" s="8" t="n">
        <v>1909</v>
      </c>
      <c r="Z1881" s="8" t="n">
        <v>-1121</v>
      </c>
      <c r="AA1881" s="9" t="n">
        <v>15839</v>
      </c>
      <c r="AB1881" s="10" t="n">
        <v>1983</v>
      </c>
      <c r="AC1881" s="10" t="n">
        <v>2300</v>
      </c>
      <c r="AD1881" s="7" t="n">
        <v>15147</v>
      </c>
      <c r="AE1881" s="8" t="n">
        <v>1234</v>
      </c>
      <c r="AF1881" s="8" t="n">
        <v>753</v>
      </c>
      <c r="AG1881" s="9" t="n">
        <v>16257</v>
      </c>
      <c r="AH1881" s="10" t="n">
        <v>1983</v>
      </c>
      <c r="AI1881" s="10" t="n">
        <v>934</v>
      </c>
      <c r="AJ1881" s="11" t="n">
        <v>16237</v>
      </c>
      <c r="AK1881" s="12" t="n">
        <v>1556</v>
      </c>
      <c r="AL1881" s="12" t="n">
        <v>4432</v>
      </c>
      <c r="AM1881" s="13" t="n">
        <v>-0.1</v>
      </c>
      <c r="AN1881" s="13" t="n">
        <v>-3.8</v>
      </c>
      <c r="AO1881" s="13" t="n">
        <v>-21.5</v>
      </c>
      <c r="AP1881" s="13" t="n">
        <v>-18.5</v>
      </c>
    </row>
    <row r="1882">
      <c r="A1882" s="5" t="inlineStr">
        <is>
          <t>코스맥스엔비티</t>
        </is>
      </c>
      <c r="B1882" s="6" t="inlineStr">
        <is>
          <t>222040</t>
        </is>
      </c>
      <c r="C1882" s="6" t="inlineStr">
        <is>
          <t>연결</t>
        </is>
      </c>
      <c r="D1882" s="6" t="inlineStr">
        <is>
          <t>2026Q2</t>
        </is>
      </c>
      <c r="E1882" s="6" t="inlineStr"/>
      <c r="F1882" s="7" t="inlineStr"/>
      <c r="G1882" s="8" t="inlineStr"/>
      <c r="H1882" s="8" t="inlineStr"/>
      <c r="I1882" s="9" t="n">
        <v>70992</v>
      </c>
      <c r="J1882" s="10" t="n">
        <v>584</v>
      </c>
      <c r="K1882" s="10" t="n">
        <v>-6442</v>
      </c>
      <c r="L1882" s="7" t="n">
        <v>80938</v>
      </c>
      <c r="M1882" s="8" t="n">
        <v>3327</v>
      </c>
      <c r="N1882" s="8" t="n">
        <v>-503</v>
      </c>
      <c r="O1882" s="9" t="n">
        <v>85805</v>
      </c>
      <c r="P1882" s="10" t="n">
        <v>2578</v>
      </c>
      <c r="Q1882" s="10" t="n">
        <v>-1390</v>
      </c>
      <c r="R1882" s="7" t="n">
        <v>80250</v>
      </c>
      <c r="S1882" s="8" t="n">
        <v>3416</v>
      </c>
      <c r="T1882" s="8" t="n">
        <v>2887</v>
      </c>
      <c r="U1882" s="9" t="n">
        <v>72177</v>
      </c>
      <c r="V1882" s="10" t="n">
        <v>871</v>
      </c>
      <c r="W1882" s="10" t="n">
        <v>-2287</v>
      </c>
      <c r="X1882" s="7" t="n">
        <v>75652</v>
      </c>
      <c r="Y1882" s="8" t="n">
        <v>2520</v>
      </c>
      <c r="Z1882" s="8" t="n">
        <v>-1130</v>
      </c>
      <c r="AA1882" s="9" t="n">
        <v>65669</v>
      </c>
      <c r="AB1882" s="10" t="n">
        <v>-1162</v>
      </c>
      <c r="AC1882" s="10" t="n">
        <v>-9142</v>
      </c>
      <c r="AD1882" s="7" t="n">
        <v>73981</v>
      </c>
      <c r="AE1882" s="8" t="n">
        <v>1774</v>
      </c>
      <c r="AF1882" s="8" t="n">
        <v>-2520</v>
      </c>
      <c r="AG1882" s="9" t="n">
        <v>93262</v>
      </c>
      <c r="AH1882" s="10" t="n">
        <v>10274</v>
      </c>
      <c r="AI1882" s="10" t="n">
        <v>9144</v>
      </c>
      <c r="AJ1882" s="11" t="n">
        <v>102264</v>
      </c>
      <c r="AK1882" s="12" t="n">
        <v>8473</v>
      </c>
      <c r="AL1882" s="12" t="n">
        <v>30311</v>
      </c>
      <c r="AM1882" s="13" t="n">
        <v>9.699999999999999</v>
      </c>
      <c r="AN1882" s="13" t="n">
        <v>35.2</v>
      </c>
      <c r="AO1882" s="13" t="n">
        <v>-17.5</v>
      </c>
      <c r="AP1882" s="13" t="n">
        <v>236.2</v>
      </c>
    </row>
    <row r="1883">
      <c r="A1883" s="5" t="inlineStr">
        <is>
          <t>SFA넥셀</t>
        </is>
      </c>
      <c r="B1883" s="6" t="inlineStr">
        <is>
          <t>222080</t>
        </is>
      </c>
      <c r="C1883" s="6" t="inlineStr">
        <is>
          <t>별도</t>
        </is>
      </c>
      <c r="D1883" s="6" t="inlineStr">
        <is>
          <t>2026Q2</t>
        </is>
      </c>
      <c r="E1883" s="6" t="inlineStr">
        <is>
          <t>2023Q4</t>
        </is>
      </c>
      <c r="F1883" s="14" t="n">
        <v>221360</v>
      </c>
      <c r="G1883" s="15" t="n">
        <v>30269</v>
      </c>
      <c r="H1883" s="15" t="n">
        <v>23335</v>
      </c>
      <c r="I1883" s="9" t="n">
        <v>94620</v>
      </c>
      <c r="J1883" s="10" t="n">
        <v>18350</v>
      </c>
      <c r="K1883" s="10" t="n">
        <v>13221</v>
      </c>
      <c r="L1883" s="7" t="n">
        <v>134317</v>
      </c>
      <c r="M1883" s="8" t="n">
        <v>24956</v>
      </c>
      <c r="N1883" s="8" t="n">
        <v>22027</v>
      </c>
      <c r="O1883" s="9" t="n">
        <v>149060</v>
      </c>
      <c r="P1883" s="10" t="n">
        <v>-8047</v>
      </c>
      <c r="Q1883" s="10" t="n">
        <v>-7796</v>
      </c>
      <c r="R1883" s="7" t="n">
        <v>130544</v>
      </c>
      <c r="S1883" s="8" t="n">
        <v>24087</v>
      </c>
      <c r="T1883" s="8" t="n">
        <v>28726</v>
      </c>
      <c r="U1883" s="9" t="n">
        <v>107822</v>
      </c>
      <c r="V1883" s="10" t="n">
        <v>17006</v>
      </c>
      <c r="W1883" s="10" t="n">
        <v>14665</v>
      </c>
      <c r="X1883" s="7" t="n">
        <v>129613</v>
      </c>
      <c r="Y1883" s="8" t="n">
        <v>1368</v>
      </c>
      <c r="Z1883" s="8" t="n">
        <v>-8721</v>
      </c>
      <c r="AA1883" s="9" t="n">
        <v>87653</v>
      </c>
      <c r="AB1883" s="10" t="n">
        <v>7549</v>
      </c>
      <c r="AC1883" s="10" t="n">
        <v>11885</v>
      </c>
      <c r="AD1883" s="7" t="n">
        <v>82093</v>
      </c>
      <c r="AE1883" s="8" t="n">
        <v>7587</v>
      </c>
      <c r="AF1883" s="8" t="n">
        <v>10903</v>
      </c>
      <c r="AG1883" s="9" t="n">
        <v>53415</v>
      </c>
      <c r="AH1883" s="10" t="n">
        <v>2163</v>
      </c>
      <c r="AI1883" s="10" t="n">
        <v>5906</v>
      </c>
      <c r="AJ1883" s="11" t="n">
        <v>69014</v>
      </c>
      <c r="AK1883" s="12" t="n">
        <v>13557</v>
      </c>
      <c r="AL1883" s="12" t="n">
        <v>13161</v>
      </c>
      <c r="AM1883" s="13" t="n">
        <v>29.2</v>
      </c>
      <c r="AN1883" s="13" t="n">
        <v>-46.8</v>
      </c>
      <c r="AO1883" s="13" t="n">
        <v>526.8</v>
      </c>
      <c r="AP1883" s="13" t="n">
        <v>891</v>
      </c>
    </row>
    <row r="1884">
      <c r="A1884" s="5" t="inlineStr">
        <is>
          <t>팬젠</t>
        </is>
      </c>
      <c r="B1884" s="6" t="inlineStr">
        <is>
          <t>222110</t>
        </is>
      </c>
      <c r="C1884" s="6" t="inlineStr">
        <is>
          <t>별도</t>
        </is>
      </c>
      <c r="D1884" s="6" t="inlineStr">
        <is>
          <t>2026Q2</t>
        </is>
      </c>
      <c r="E1884" s="6" t="inlineStr"/>
      <c r="F1884" s="7" t="inlineStr"/>
      <c r="G1884" s="8" t="inlineStr"/>
      <c r="H1884" s="8" t="inlineStr"/>
      <c r="I1884" s="9" t="n">
        <v>3475</v>
      </c>
      <c r="J1884" s="10" t="n">
        <v>80</v>
      </c>
      <c r="K1884" s="10" t="n">
        <v>67</v>
      </c>
      <c r="L1884" s="7" t="n">
        <v>2268</v>
      </c>
      <c r="M1884" s="8" t="n">
        <v>-116</v>
      </c>
      <c r="N1884" s="8" t="n">
        <v>201</v>
      </c>
      <c r="O1884" s="9" t="n">
        <v>4595</v>
      </c>
      <c r="P1884" s="10" t="n">
        <v>1334</v>
      </c>
      <c r="Q1884" s="10" t="n">
        <v>1188</v>
      </c>
      <c r="R1884" s="7" t="n">
        <v>4335</v>
      </c>
      <c r="S1884" s="8" t="n">
        <v>-278</v>
      </c>
      <c r="T1884" s="8" t="n">
        <v>-512</v>
      </c>
      <c r="U1884" s="9" t="n">
        <v>3441</v>
      </c>
      <c r="V1884" s="10" t="n">
        <v>701</v>
      </c>
      <c r="W1884" s="10" t="n">
        <v>736</v>
      </c>
      <c r="X1884" s="7" t="n">
        <v>3485</v>
      </c>
      <c r="Y1884" s="8" t="n">
        <v>833</v>
      </c>
      <c r="Z1884" s="8" t="n">
        <v>885</v>
      </c>
      <c r="AA1884" s="9" t="n">
        <v>4013</v>
      </c>
      <c r="AB1884" s="10" t="n">
        <v>377</v>
      </c>
      <c r="AC1884" s="10" t="n">
        <v>532</v>
      </c>
      <c r="AD1884" s="7" t="n">
        <v>2478</v>
      </c>
      <c r="AE1884" s="8" t="n">
        <v>-405</v>
      </c>
      <c r="AF1884" s="8" t="n">
        <v>-102</v>
      </c>
      <c r="AG1884" s="9" t="n">
        <v>3732</v>
      </c>
      <c r="AH1884" s="10" t="n">
        <v>482</v>
      </c>
      <c r="AI1884" s="10" t="n">
        <v>751</v>
      </c>
      <c r="AJ1884" s="11" t="n">
        <v>3956</v>
      </c>
      <c r="AK1884" s="12" t="n">
        <v>-220</v>
      </c>
      <c r="AL1884" s="12" t="n">
        <v>-48</v>
      </c>
      <c r="AM1884" s="13" t="n">
        <v>6</v>
      </c>
      <c r="AN1884" s="13" t="n">
        <v>13.5</v>
      </c>
      <c r="AO1884" s="13" t="n">
        <v>-145.6</v>
      </c>
      <c r="AP1884" s="13" t="n">
        <v>-126.4</v>
      </c>
    </row>
    <row r="1885">
      <c r="A1885" s="5" t="inlineStr">
        <is>
          <t>NPX</t>
        </is>
      </c>
      <c r="B1885" s="6" t="inlineStr">
        <is>
          <t>222160</t>
        </is>
      </c>
      <c r="C1885" s="6" t="inlineStr">
        <is>
          <t>연결</t>
        </is>
      </c>
      <c r="D1885" s="6" t="inlineStr">
        <is>
          <t>2026Q2</t>
        </is>
      </c>
      <c r="E1885" s="6" t="inlineStr"/>
      <c r="F1885" s="7" t="inlineStr"/>
      <c r="G1885" s="8" t="inlineStr"/>
      <c r="H1885" s="8" t="inlineStr"/>
      <c r="I1885" s="9" t="n">
        <v>3316</v>
      </c>
      <c r="J1885" s="10" t="n">
        <v>-903</v>
      </c>
      <c r="K1885" s="10" t="inlineStr"/>
      <c r="L1885" s="7" t="n">
        <v>4178</v>
      </c>
      <c r="M1885" s="8" t="n">
        <v>-37</v>
      </c>
      <c r="N1885" s="8" t="inlineStr"/>
      <c r="O1885" s="9" t="inlineStr"/>
      <c r="P1885" s="10" t="inlineStr"/>
      <c r="Q1885" s="10" t="inlineStr"/>
      <c r="R1885" s="7" t="inlineStr"/>
      <c r="S1885" s="8" t="inlineStr"/>
      <c r="T1885" s="8" t="inlineStr"/>
      <c r="U1885" s="9" t="n">
        <v>952</v>
      </c>
      <c r="V1885" s="10" t="n">
        <v>-1161</v>
      </c>
      <c r="W1885" s="10" t="inlineStr"/>
      <c r="X1885" s="7" t="n">
        <v>1578</v>
      </c>
      <c r="Y1885" s="8" t="n">
        <v>-3885</v>
      </c>
      <c r="Z1885" s="8" t="inlineStr"/>
      <c r="AA1885" s="9" t="n">
        <v>435</v>
      </c>
      <c r="AB1885" s="10" t="n">
        <v>-1066</v>
      </c>
      <c r="AC1885" s="10" t="inlineStr"/>
      <c r="AD1885" s="7" t="n">
        <v>683</v>
      </c>
      <c r="AE1885" s="8" t="n">
        <v>-8523</v>
      </c>
      <c r="AF1885" s="8" t="inlineStr"/>
      <c r="AG1885" s="9" t="n">
        <v>567</v>
      </c>
      <c r="AH1885" s="10" t="n">
        <v>-499</v>
      </c>
      <c r="AI1885" s="10" t="inlineStr"/>
      <c r="AJ1885" s="11" t="n">
        <v>1539</v>
      </c>
      <c r="AK1885" s="12" t="n">
        <v>769</v>
      </c>
      <c r="AL1885" s="12" t="inlineStr"/>
      <c r="AM1885" s="13" t="n">
        <v>171.4</v>
      </c>
      <c r="AN1885" s="13" t="n">
        <v>-2.5</v>
      </c>
      <c r="AO1885" s="13" t="n">
        <v>254.1</v>
      </c>
      <c r="AP1885" s="13" t="n">
        <v>119.8</v>
      </c>
    </row>
    <row r="1886">
      <c r="A1886" s="5" t="inlineStr">
        <is>
          <t>쎄노텍</t>
        </is>
      </c>
      <c r="B1886" s="6" t="inlineStr">
        <is>
          <t>222420</t>
        </is>
      </c>
      <c r="C1886" s="6" t="inlineStr">
        <is>
          <t>별도</t>
        </is>
      </c>
      <c r="D1886" s="6" t="inlineStr">
        <is>
          <t>2026Q2</t>
        </is>
      </c>
      <c r="E1886" s="6" t="inlineStr"/>
      <c r="F1886" s="7" t="inlineStr"/>
      <c r="G1886" s="8" t="inlineStr"/>
      <c r="H1886" s="8" t="inlineStr"/>
      <c r="I1886" s="9" t="n">
        <v>6611</v>
      </c>
      <c r="J1886" s="10" t="n">
        <v>-334</v>
      </c>
      <c r="K1886" s="10" t="n">
        <v>-879</v>
      </c>
      <c r="L1886" s="7" t="n">
        <v>9052</v>
      </c>
      <c r="M1886" s="8" t="n">
        <v>152</v>
      </c>
      <c r="N1886" s="8" t="n">
        <v>-352</v>
      </c>
      <c r="O1886" s="9" t="n">
        <v>8076</v>
      </c>
      <c r="P1886" s="10" t="n">
        <v>307</v>
      </c>
      <c r="Q1886" s="10" t="n">
        <v>-744</v>
      </c>
      <c r="R1886" s="7" t="n">
        <v>7810</v>
      </c>
      <c r="S1886" s="8" t="n">
        <v>830</v>
      </c>
      <c r="T1886" s="8" t="n">
        <v>-550</v>
      </c>
      <c r="U1886" s="9" t="n">
        <v>7474</v>
      </c>
      <c r="V1886" s="10" t="n">
        <v>157</v>
      </c>
      <c r="W1886" s="10" t="n">
        <v>-629</v>
      </c>
      <c r="X1886" s="7" t="n">
        <v>9086</v>
      </c>
      <c r="Y1886" s="8" t="n">
        <v>964</v>
      </c>
      <c r="Z1886" s="8" t="n">
        <v>-309</v>
      </c>
      <c r="AA1886" s="9" t="n">
        <v>10006</v>
      </c>
      <c r="AB1886" s="10" t="n">
        <v>730</v>
      </c>
      <c r="AC1886" s="10" t="n">
        <v>264</v>
      </c>
      <c r="AD1886" s="7" t="n">
        <v>9072</v>
      </c>
      <c r="AE1886" s="8" t="n">
        <v>1319</v>
      </c>
      <c r="AF1886" s="8" t="n">
        <v>2023</v>
      </c>
      <c r="AG1886" s="9" t="n">
        <v>10464</v>
      </c>
      <c r="AH1886" s="10" t="n">
        <v>554</v>
      </c>
      <c r="AI1886" s="10" t="n">
        <v>311</v>
      </c>
      <c r="AJ1886" s="11" t="n">
        <v>12830</v>
      </c>
      <c r="AK1886" s="12" t="n">
        <v>1568</v>
      </c>
      <c r="AL1886" s="12" t="n">
        <v>1162</v>
      </c>
      <c r="AM1886" s="13" t="n">
        <v>22.6</v>
      </c>
      <c r="AN1886" s="13" t="n">
        <v>41.2</v>
      </c>
      <c r="AO1886" s="13" t="n">
        <v>183</v>
      </c>
      <c r="AP1886" s="13" t="n">
        <v>62.7</v>
      </c>
    </row>
    <row r="1887">
      <c r="A1887" s="5" t="inlineStr">
        <is>
          <t>심텍</t>
        </is>
      </c>
      <c r="B1887" s="6" t="inlineStr">
        <is>
          <t>222800</t>
        </is>
      </c>
      <c r="C1887" s="6" t="inlineStr">
        <is>
          <t>연결</t>
        </is>
      </c>
      <c r="D1887" s="6" t="inlineStr">
        <is>
          <t>2026Q2</t>
        </is>
      </c>
      <c r="E1887" s="6" t="inlineStr"/>
      <c r="F1887" s="7" t="inlineStr"/>
      <c r="G1887" s="8" t="inlineStr"/>
      <c r="H1887" s="8" t="inlineStr"/>
      <c r="I1887" s="9" t="n">
        <v>293867</v>
      </c>
      <c r="J1887" s="10" t="n">
        <v>-14934</v>
      </c>
      <c r="K1887" s="10" t="n">
        <v>-15227</v>
      </c>
      <c r="L1887" s="7" t="n">
        <v>311661</v>
      </c>
      <c r="M1887" s="8" t="n">
        <v>3610</v>
      </c>
      <c r="N1887" s="8" t="n">
        <v>-15923</v>
      </c>
      <c r="O1887" s="9" t="n">
        <v>324781</v>
      </c>
      <c r="P1887" s="10" t="n">
        <v>510</v>
      </c>
      <c r="Q1887" s="10" t="n">
        <v>21366</v>
      </c>
      <c r="R1887" s="7" t="n">
        <v>301112</v>
      </c>
      <c r="S1887" s="8" t="n">
        <v>-36155</v>
      </c>
      <c r="T1887" s="8" t="n">
        <v>-21261</v>
      </c>
      <c r="U1887" s="9" t="n">
        <v>303597</v>
      </c>
      <c r="V1887" s="10" t="n">
        <v>-16324</v>
      </c>
      <c r="W1887" s="10" t="n">
        <v>-35800</v>
      </c>
      <c r="X1887" s="7" t="n">
        <v>340767</v>
      </c>
      <c r="Y1887" s="8" t="n">
        <v>5544</v>
      </c>
      <c r="Z1887" s="8" t="n">
        <v>-18719</v>
      </c>
      <c r="AA1887" s="9" t="n">
        <v>372839</v>
      </c>
      <c r="AB1887" s="10" t="n">
        <v>12389</v>
      </c>
      <c r="AC1887" s="10" t="n">
        <v>6702</v>
      </c>
      <c r="AD1887" s="7" t="n">
        <v>393357</v>
      </c>
      <c r="AE1887" s="8" t="n">
        <v>10260</v>
      </c>
      <c r="AF1887" s="8" t="n">
        <v>-116763</v>
      </c>
      <c r="AG1887" s="9" t="n">
        <v>422371</v>
      </c>
      <c r="AH1887" s="10" t="n">
        <v>13711</v>
      </c>
      <c r="AI1887" s="10" t="n">
        <v>14445</v>
      </c>
      <c r="AJ1887" s="11" t="n">
        <v>514565</v>
      </c>
      <c r="AK1887" s="12" t="n">
        <v>62890</v>
      </c>
      <c r="AL1887" s="12" t="n">
        <v>44945</v>
      </c>
      <c r="AM1887" s="13" t="n">
        <v>21.8</v>
      </c>
      <c r="AN1887" s="13" t="n">
        <v>51</v>
      </c>
      <c r="AO1887" s="13" t="n">
        <v>358.7</v>
      </c>
      <c r="AP1887" s="13" t="n">
        <v>1034.4</v>
      </c>
    </row>
    <row r="1888">
      <c r="A1888" s="5" t="inlineStr">
        <is>
          <t>한국맥널티</t>
        </is>
      </c>
      <c r="B1888" s="6" t="inlineStr">
        <is>
          <t>222980</t>
        </is>
      </c>
      <c r="C1888" s="6" t="inlineStr">
        <is>
          <t>연결</t>
        </is>
      </c>
      <c r="D1888" s="6" t="inlineStr">
        <is>
          <t>2026Q2</t>
        </is>
      </c>
      <c r="E1888" s="6" t="inlineStr"/>
      <c r="F1888" s="7" t="inlineStr"/>
      <c r="G1888" s="8" t="inlineStr"/>
      <c r="H1888" s="8" t="inlineStr"/>
      <c r="I1888" s="9" t="n">
        <v>22258</v>
      </c>
      <c r="J1888" s="10" t="n">
        <v>193</v>
      </c>
      <c r="K1888" s="10" t="n">
        <v>-38</v>
      </c>
      <c r="L1888" s="7" t="n">
        <v>22448</v>
      </c>
      <c r="M1888" s="8" t="n">
        <v>753</v>
      </c>
      <c r="N1888" s="8" t="n">
        <v>825</v>
      </c>
      <c r="O1888" s="9" t="n">
        <v>22191</v>
      </c>
      <c r="P1888" s="10" t="n">
        <v>365</v>
      </c>
      <c r="Q1888" s="10" t="n">
        <v>-196</v>
      </c>
      <c r="R1888" s="7" t="n">
        <v>21935</v>
      </c>
      <c r="S1888" s="8" t="n">
        <v>-740</v>
      </c>
      <c r="T1888" s="8" t="n">
        <v>-943</v>
      </c>
      <c r="U1888" s="9" t="n">
        <v>24551</v>
      </c>
      <c r="V1888" s="10" t="n">
        <v>456</v>
      </c>
      <c r="W1888" s="10" t="n">
        <v>-109</v>
      </c>
      <c r="X1888" s="7" t="n">
        <v>24946</v>
      </c>
      <c r="Y1888" s="8" t="n">
        <v>-3</v>
      </c>
      <c r="Z1888" s="8" t="n">
        <v>-68</v>
      </c>
      <c r="AA1888" s="9" t="n">
        <v>24767</v>
      </c>
      <c r="AB1888" s="10" t="n">
        <v>-938</v>
      </c>
      <c r="AC1888" s="10" t="n">
        <v>-859</v>
      </c>
      <c r="AD1888" s="7" t="n">
        <v>22046</v>
      </c>
      <c r="AE1888" s="8" t="n">
        <v>-620</v>
      </c>
      <c r="AF1888" s="8" t="n">
        <v>-242</v>
      </c>
      <c r="AG1888" s="9" t="n">
        <v>23504</v>
      </c>
      <c r="AH1888" s="10" t="n">
        <v>65</v>
      </c>
      <c r="AI1888" s="10" t="n">
        <v>576</v>
      </c>
      <c r="AJ1888" s="11" t="n">
        <v>26944</v>
      </c>
      <c r="AK1888" s="12" t="n">
        <v>276</v>
      </c>
      <c r="AL1888" s="12" t="n">
        <v>-261</v>
      </c>
      <c r="AM1888" s="13" t="n">
        <v>14.6</v>
      </c>
      <c r="AN1888" s="13" t="n">
        <v>8</v>
      </c>
      <c r="AO1888" s="13" t="n">
        <v>324.6</v>
      </c>
      <c r="AP1888" s="13" t="n">
        <v>9300</v>
      </c>
    </row>
    <row r="1889">
      <c r="A1889" s="5" t="inlineStr">
        <is>
          <t>드림씨아이에스</t>
        </is>
      </c>
      <c r="B1889" s="6" t="inlineStr">
        <is>
          <t>223250</t>
        </is>
      </c>
      <c r="C1889" s="6" t="inlineStr">
        <is>
          <t>연결</t>
        </is>
      </c>
      <c r="D1889" s="6" t="inlineStr">
        <is>
          <t>2026Q2</t>
        </is>
      </c>
      <c r="E1889" s="6" t="inlineStr"/>
      <c r="F1889" s="7" t="inlineStr"/>
      <c r="G1889" s="8" t="inlineStr"/>
      <c r="H1889" s="8" t="inlineStr"/>
      <c r="I1889" s="9" t="n">
        <v>11932</v>
      </c>
      <c r="J1889" s="10" t="n">
        <v>318</v>
      </c>
      <c r="K1889" s="10" t="inlineStr"/>
      <c r="L1889" s="7" t="n">
        <v>13750</v>
      </c>
      <c r="M1889" s="8" t="n">
        <v>567</v>
      </c>
      <c r="N1889" s="8" t="n">
        <v>748</v>
      </c>
      <c r="O1889" s="9" t="n">
        <v>18195</v>
      </c>
      <c r="P1889" s="10" t="n">
        <v>1457</v>
      </c>
      <c r="Q1889" s="10" t="n">
        <v>1213</v>
      </c>
      <c r="R1889" s="7" t="n">
        <v>14776</v>
      </c>
      <c r="S1889" s="8" t="n">
        <v>2715</v>
      </c>
      <c r="T1889" s="8" t="inlineStr"/>
      <c r="U1889" s="9" t="n">
        <v>14170</v>
      </c>
      <c r="V1889" s="10" t="n">
        <v>1327</v>
      </c>
      <c r="W1889" s="10" t="n">
        <v>966</v>
      </c>
      <c r="X1889" s="7" t="n">
        <v>16601</v>
      </c>
      <c r="Y1889" s="8" t="n">
        <v>1511</v>
      </c>
      <c r="Z1889" s="8" t="n">
        <v>1197</v>
      </c>
      <c r="AA1889" s="9" t="n">
        <v>16516</v>
      </c>
      <c r="AB1889" s="10" t="n">
        <v>2788</v>
      </c>
      <c r="AC1889" s="10" t="n">
        <v>13722</v>
      </c>
      <c r="AD1889" s="7" t="n">
        <v>19344</v>
      </c>
      <c r="AE1889" s="8" t="n">
        <v>-388</v>
      </c>
      <c r="AF1889" s="8" t="n">
        <v>-8377</v>
      </c>
      <c r="AG1889" s="9" t="n">
        <v>17411</v>
      </c>
      <c r="AH1889" s="10" t="n">
        <v>539</v>
      </c>
      <c r="AI1889" s="10" t="n">
        <v>-258</v>
      </c>
      <c r="AJ1889" s="11" t="n">
        <v>20011</v>
      </c>
      <c r="AK1889" s="12" t="n">
        <v>2267</v>
      </c>
      <c r="AL1889" s="12" t="n">
        <v>-4447</v>
      </c>
      <c r="AM1889" s="13" t="n">
        <v>14.9</v>
      </c>
      <c r="AN1889" s="13" t="n">
        <v>20.5</v>
      </c>
      <c r="AO1889" s="13" t="n">
        <v>320.6</v>
      </c>
      <c r="AP1889" s="13" t="n">
        <v>50</v>
      </c>
    </row>
    <row r="1890">
      <c r="A1890" s="5" t="inlineStr">
        <is>
          <t>사토시홀딩스</t>
        </is>
      </c>
      <c r="B1890" s="6" t="inlineStr">
        <is>
          <t>223310</t>
        </is>
      </c>
      <c r="C1890" s="6" t="inlineStr">
        <is>
          <t>연결</t>
        </is>
      </c>
      <c r="D1890" s="6" t="inlineStr">
        <is>
          <t>2026Q2</t>
        </is>
      </c>
      <c r="E1890" s="6" t="inlineStr"/>
      <c r="F1890" s="7" t="inlineStr"/>
      <c r="G1890" s="8" t="inlineStr"/>
      <c r="H1890" s="8" t="inlineStr"/>
      <c r="I1890" s="9" t="n">
        <v>5133</v>
      </c>
      <c r="J1890" s="10" t="n">
        <v>-634</v>
      </c>
      <c r="K1890" s="10" t="n">
        <v>-733</v>
      </c>
      <c r="L1890" s="7" t="n">
        <v>6496</v>
      </c>
      <c r="M1890" s="8" t="n">
        <v>-1157</v>
      </c>
      <c r="N1890" s="8" t="n">
        <v>-2447</v>
      </c>
      <c r="O1890" s="9" t="n">
        <v>7183</v>
      </c>
      <c r="P1890" s="10" t="n">
        <v>-1721</v>
      </c>
      <c r="Q1890" s="10" t="n">
        <v>-3784</v>
      </c>
      <c r="R1890" s="7" t="n">
        <v>2932</v>
      </c>
      <c r="S1890" s="8" t="n">
        <v>291</v>
      </c>
      <c r="T1890" s="8" t="n">
        <v>-3403</v>
      </c>
      <c r="U1890" s="9" t="n">
        <v>4335</v>
      </c>
      <c r="V1890" s="10" t="n">
        <v>-2125</v>
      </c>
      <c r="W1890" s="10" t="n">
        <v>-2793</v>
      </c>
      <c r="X1890" s="7" t="n">
        <v>5451</v>
      </c>
      <c r="Y1890" s="8" t="n">
        <v>-819</v>
      </c>
      <c r="Z1890" s="8" t="n">
        <v>669</v>
      </c>
      <c r="AA1890" s="9" t="n">
        <v>4473</v>
      </c>
      <c r="AB1890" s="10" t="n">
        <v>-2220</v>
      </c>
      <c r="AC1890" s="10" t="n">
        <v>-15248</v>
      </c>
      <c r="AD1890" s="7" t="n">
        <v>4637</v>
      </c>
      <c r="AE1890" s="8" t="n">
        <v>-2313</v>
      </c>
      <c r="AF1890" s="8" t="n">
        <v>-14152</v>
      </c>
      <c r="AG1890" s="9" t="n">
        <v>6241</v>
      </c>
      <c r="AH1890" s="10" t="n">
        <v>-1437</v>
      </c>
      <c r="AI1890" s="10" t="n">
        <v>-10362</v>
      </c>
      <c r="AJ1890" s="11" t="n">
        <v>3435</v>
      </c>
      <c r="AK1890" s="12" t="n">
        <v>-1641</v>
      </c>
      <c r="AL1890" s="12" t="n">
        <v>988</v>
      </c>
      <c r="AM1890" s="13" t="n">
        <v>-45</v>
      </c>
      <c r="AN1890" s="13" t="n">
        <v>-37</v>
      </c>
      <c r="AO1890" s="13" t="n">
        <v>-14.2</v>
      </c>
      <c r="AP1890" s="13" t="n">
        <v>-100.4</v>
      </c>
    </row>
    <row r="1891">
      <c r="A1891" s="5" t="inlineStr">
        <is>
          <t>더코디</t>
        </is>
      </c>
      <c r="B1891" s="6" t="inlineStr">
        <is>
          <t>224060</t>
        </is>
      </c>
      <c r="C1891" s="6" t="inlineStr">
        <is>
          <t>연결</t>
        </is>
      </c>
      <c r="D1891" s="6" t="inlineStr">
        <is>
          <t>2026Q2</t>
        </is>
      </c>
      <c r="E1891" s="6" t="inlineStr"/>
      <c r="F1891" s="7" t="inlineStr"/>
      <c r="G1891" s="8" t="inlineStr"/>
      <c r="H1891" s="8" t="inlineStr"/>
      <c r="I1891" s="9" t="n">
        <v>7432</v>
      </c>
      <c r="J1891" s="10" t="n">
        <v>-1214</v>
      </c>
      <c r="K1891" s="10" t="n">
        <v>-1640</v>
      </c>
      <c r="L1891" s="7" t="n">
        <v>8031</v>
      </c>
      <c r="M1891" s="8" t="n">
        <v>-936</v>
      </c>
      <c r="N1891" s="8" t="n">
        <v>-1630</v>
      </c>
      <c r="O1891" s="9" t="n">
        <v>7379</v>
      </c>
      <c r="P1891" s="10" t="n">
        <v>-227</v>
      </c>
      <c r="Q1891" s="10" t="n">
        <v>-782</v>
      </c>
      <c r="R1891" s="7" t="n">
        <v>10674</v>
      </c>
      <c r="S1891" s="8" t="n">
        <v>-1330</v>
      </c>
      <c r="T1891" s="8" t="n">
        <v>-3769</v>
      </c>
      <c r="U1891" s="9" t="n">
        <v>8775</v>
      </c>
      <c r="V1891" s="10" t="n">
        <v>-1833</v>
      </c>
      <c r="W1891" s="10" t="n">
        <v>-2815</v>
      </c>
      <c r="X1891" s="7" t="n">
        <v>6747</v>
      </c>
      <c r="Y1891" s="8" t="n">
        <v>154</v>
      </c>
      <c r="Z1891" s="8" t="n">
        <v>-2436</v>
      </c>
      <c r="AA1891" s="9" t="n">
        <v>6404</v>
      </c>
      <c r="AB1891" s="10" t="n">
        <v>-162</v>
      </c>
      <c r="AC1891" s="10" t="n">
        <v>-771</v>
      </c>
      <c r="AD1891" s="7" t="n">
        <v>3340</v>
      </c>
      <c r="AE1891" s="8" t="n">
        <v>1010</v>
      </c>
      <c r="AF1891" s="8" t="n">
        <v>-9702</v>
      </c>
      <c r="AG1891" s="9" t="n">
        <v>5209</v>
      </c>
      <c r="AH1891" s="10" t="n">
        <v>-3915</v>
      </c>
      <c r="AI1891" s="10" t="n">
        <v>-3972</v>
      </c>
      <c r="AJ1891" s="11" t="n">
        <v>5987</v>
      </c>
      <c r="AK1891" s="12" t="n">
        <v>-1065</v>
      </c>
      <c r="AL1891" s="12" t="n">
        <v>-1744</v>
      </c>
      <c r="AM1891" s="13" t="n">
        <v>14.9</v>
      </c>
      <c r="AN1891" s="13" t="n">
        <v>-11.3</v>
      </c>
      <c r="AO1891" s="13" t="n">
        <v>72.8</v>
      </c>
      <c r="AP1891" s="13" t="n">
        <v>-791.6</v>
      </c>
    </row>
    <row r="1892">
      <c r="A1892" s="5" t="inlineStr">
        <is>
          <t>에이텍모빌리티</t>
        </is>
      </c>
      <c r="B1892" s="6" t="inlineStr">
        <is>
          <t>224110</t>
        </is>
      </c>
      <c r="C1892" s="6" t="inlineStr">
        <is>
          <t>별도</t>
        </is>
      </c>
      <c r="D1892" s="6" t="inlineStr">
        <is>
          <t>2026Q2</t>
        </is>
      </c>
      <c r="E1892" s="6" t="inlineStr"/>
      <c r="F1892" s="7" t="inlineStr"/>
      <c r="G1892" s="8" t="inlineStr"/>
      <c r="H1892" s="8" t="inlineStr"/>
      <c r="I1892" s="9" t="n">
        <v>66512</v>
      </c>
      <c r="J1892" s="10" t="n">
        <v>7393</v>
      </c>
      <c r="K1892" s="10" t="n">
        <v>6389</v>
      </c>
      <c r="L1892" s="7" t="n">
        <v>27937</v>
      </c>
      <c r="M1892" s="8" t="n">
        <v>35</v>
      </c>
      <c r="N1892" s="8" t="n">
        <v>3305</v>
      </c>
      <c r="O1892" s="9" t="n">
        <v>16912</v>
      </c>
      <c r="P1892" s="10" t="n">
        <v>326</v>
      </c>
      <c r="Q1892" s="10" t="n">
        <v>6128</v>
      </c>
      <c r="R1892" s="7" t="n">
        <v>-7179</v>
      </c>
      <c r="S1892" s="8" t="n">
        <v>116</v>
      </c>
      <c r="T1892" s="8" t="n">
        <v>3855</v>
      </c>
      <c r="U1892" s="9" t="n">
        <v>12786</v>
      </c>
      <c r="V1892" s="10" t="n">
        <v>884</v>
      </c>
      <c r="W1892" s="10" t="n">
        <v>1292</v>
      </c>
      <c r="X1892" s="7" t="n">
        <v>16842</v>
      </c>
      <c r="Y1892" s="8" t="n">
        <v>1760</v>
      </c>
      <c r="Z1892" s="8" t="n">
        <v>-134</v>
      </c>
      <c r="AA1892" s="9" t="n">
        <v>23104</v>
      </c>
      <c r="AB1892" s="10" t="n">
        <v>4363</v>
      </c>
      <c r="AC1892" s="10" t="n">
        <v>3668</v>
      </c>
      <c r="AD1892" s="7" t="n">
        <v>11545</v>
      </c>
      <c r="AE1892" s="8" t="n">
        <v>-836</v>
      </c>
      <c r="AF1892" s="8" t="n">
        <v>-4141</v>
      </c>
      <c r="AG1892" s="9" t="n">
        <v>12004</v>
      </c>
      <c r="AH1892" s="10" t="n">
        <v>70</v>
      </c>
      <c r="AI1892" s="10" t="n">
        <v>182</v>
      </c>
      <c r="AJ1892" s="11" t="n">
        <v>11407</v>
      </c>
      <c r="AK1892" s="12" t="n">
        <v>500</v>
      </c>
      <c r="AL1892" s="12" t="n">
        <v>153</v>
      </c>
      <c r="AM1892" s="13" t="n">
        <v>-5</v>
      </c>
      <c r="AN1892" s="13" t="n">
        <v>-32.3</v>
      </c>
      <c r="AO1892" s="13" t="n">
        <v>614.3</v>
      </c>
      <c r="AP1892" s="13" t="n">
        <v>-71.59999999999999</v>
      </c>
    </row>
    <row r="1893">
      <c r="A1893" s="5" t="inlineStr">
        <is>
          <t>LK삼양</t>
        </is>
      </c>
      <c r="B1893" s="6" t="inlineStr">
        <is>
          <t>225190</t>
        </is>
      </c>
      <c r="C1893" s="6" t="inlineStr">
        <is>
          <t>연결</t>
        </is>
      </c>
      <c r="D1893" s="6" t="inlineStr">
        <is>
          <t>2026Q2</t>
        </is>
      </c>
      <c r="E1893" s="6" t="inlineStr"/>
      <c r="F1893" s="7" t="inlineStr"/>
      <c r="G1893" s="8" t="inlineStr"/>
      <c r="H1893" s="8" t="inlineStr"/>
      <c r="I1893" s="9" t="n">
        <v>9582</v>
      </c>
      <c r="J1893" s="10" t="n">
        <v>161</v>
      </c>
      <c r="K1893" s="10" t="n">
        <v>351</v>
      </c>
      <c r="L1893" s="7" t="n">
        <v>7551</v>
      </c>
      <c r="M1893" s="8" t="n">
        <v>225</v>
      </c>
      <c r="N1893" s="8" t="n">
        <v>620</v>
      </c>
      <c r="O1893" s="9" t="n">
        <v>9605</v>
      </c>
      <c r="P1893" s="10" t="n">
        <v>24</v>
      </c>
      <c r="Q1893" s="10" t="n">
        <v>-133</v>
      </c>
      <c r="R1893" s="7" t="n">
        <v>5277</v>
      </c>
      <c r="S1893" s="8" t="n">
        <v>-3637</v>
      </c>
      <c r="T1893" s="8" t="n">
        <v>-2291</v>
      </c>
      <c r="U1893" s="9" t="n">
        <v>4291</v>
      </c>
      <c r="V1893" s="10" t="n">
        <v>-3338</v>
      </c>
      <c r="W1893" s="10" t="n">
        <v>-3444</v>
      </c>
      <c r="X1893" s="7" t="n">
        <v>7306</v>
      </c>
      <c r="Y1893" s="8" t="n">
        <v>-1809</v>
      </c>
      <c r="Z1893" s="8" t="n">
        <v>-481</v>
      </c>
      <c r="AA1893" s="9" t="n">
        <v>4749</v>
      </c>
      <c r="AB1893" s="10" t="n">
        <v>-2954</v>
      </c>
      <c r="AC1893" s="10" t="n">
        <v>-2054</v>
      </c>
      <c r="AD1893" s="7" t="n">
        <v>5060</v>
      </c>
      <c r="AE1893" s="8" t="n">
        <v>-8750</v>
      </c>
      <c r="AF1893" s="8" t="n">
        <v>-12606</v>
      </c>
      <c r="AG1893" s="9" t="n">
        <v>3197</v>
      </c>
      <c r="AH1893" s="10" t="n">
        <v>-2948</v>
      </c>
      <c r="AI1893" s="10" t="n">
        <v>-2850</v>
      </c>
      <c r="AJ1893" s="11" t="n">
        <v>5782</v>
      </c>
      <c r="AK1893" s="12" t="n">
        <v>-1944</v>
      </c>
      <c r="AL1893" s="12" t="n">
        <v>-2571</v>
      </c>
      <c r="AM1893" s="13" t="n">
        <v>80.90000000000001</v>
      </c>
      <c r="AN1893" s="13" t="n">
        <v>-20.9</v>
      </c>
      <c r="AO1893" s="13" t="n">
        <v>34.1</v>
      </c>
      <c r="AP1893" s="13" t="n">
        <v>-7.5</v>
      </c>
    </row>
    <row r="1894">
      <c r="A1894" s="5" t="inlineStr">
        <is>
          <t>제놀루션</t>
        </is>
      </c>
      <c r="B1894" s="6" t="inlineStr">
        <is>
          <t>225220</t>
        </is>
      </c>
      <c r="C1894" s="6" t="inlineStr">
        <is>
          <t>연결</t>
        </is>
      </c>
      <c r="D1894" s="6" t="inlineStr">
        <is>
          <t>2026Q2</t>
        </is>
      </c>
      <c r="E1894" s="6" t="inlineStr"/>
      <c r="F1894" s="7" t="inlineStr"/>
      <c r="G1894" s="8" t="inlineStr"/>
      <c r="H1894" s="8" t="inlineStr"/>
      <c r="I1894" s="9" t="n">
        <v>1263</v>
      </c>
      <c r="J1894" s="10" t="n">
        <v>-2167</v>
      </c>
      <c r="K1894" s="10" t="n">
        <v>-40</v>
      </c>
      <c r="L1894" s="7" t="n">
        <v>2056</v>
      </c>
      <c r="M1894" s="8" t="n">
        <v>-2421</v>
      </c>
      <c r="N1894" s="8" t="n">
        <v>-2303</v>
      </c>
      <c r="O1894" s="9" t="n">
        <v>1691</v>
      </c>
      <c r="P1894" s="10" t="n">
        <v>-2499</v>
      </c>
      <c r="Q1894" s="10" t="n">
        <v>-3294</v>
      </c>
      <c r="R1894" s="7" t="n">
        <v>2126</v>
      </c>
      <c r="S1894" s="8" t="n">
        <v>-2077</v>
      </c>
      <c r="T1894" s="8" t="n">
        <v>-1572</v>
      </c>
      <c r="U1894" s="9" t="n">
        <v>2069</v>
      </c>
      <c r="V1894" s="10" t="n">
        <v>-2485</v>
      </c>
      <c r="W1894" s="10" t="n">
        <v>-2254</v>
      </c>
      <c r="X1894" s="7" t="n">
        <v>2882</v>
      </c>
      <c r="Y1894" s="8" t="n">
        <v>-1695</v>
      </c>
      <c r="Z1894" s="8" t="n">
        <v>-3743</v>
      </c>
      <c r="AA1894" s="9" t="n">
        <v>2069</v>
      </c>
      <c r="AB1894" s="10" t="n">
        <v>-2440</v>
      </c>
      <c r="AC1894" s="10" t="n">
        <v>-1256</v>
      </c>
      <c r="AD1894" s="7" t="n">
        <v>2384</v>
      </c>
      <c r="AE1894" s="8" t="n">
        <v>-2022</v>
      </c>
      <c r="AF1894" s="8" t="n">
        <v>-5337</v>
      </c>
      <c r="AG1894" s="9" t="n">
        <v>2486</v>
      </c>
      <c r="AH1894" s="10" t="n">
        <v>-1382</v>
      </c>
      <c r="AI1894" s="10" t="n">
        <v>440</v>
      </c>
      <c r="AJ1894" s="11" t="n">
        <v>3092</v>
      </c>
      <c r="AK1894" s="12" t="n">
        <v>-1594</v>
      </c>
      <c r="AL1894" s="12" t="n">
        <v>503</v>
      </c>
      <c r="AM1894" s="13" t="n">
        <v>24.4</v>
      </c>
      <c r="AN1894" s="13" t="n">
        <v>7.3</v>
      </c>
      <c r="AO1894" s="13" t="n">
        <v>-15.3</v>
      </c>
      <c r="AP1894" s="13" t="n">
        <v>6</v>
      </c>
    </row>
    <row r="1895">
      <c r="A1895" s="5" t="inlineStr">
        <is>
          <t>케이엠제약</t>
        </is>
      </c>
      <c r="B1895" s="6" t="inlineStr">
        <is>
          <t>225430</t>
        </is>
      </c>
      <c r="C1895" s="6" t="inlineStr">
        <is>
          <t>별도</t>
        </is>
      </c>
      <c r="D1895" s="6" t="inlineStr">
        <is>
          <t>2026Q2</t>
        </is>
      </c>
      <c r="E1895" s="6" t="inlineStr"/>
      <c r="F1895" s="7" t="inlineStr"/>
      <c r="G1895" s="8" t="inlineStr"/>
      <c r="H1895" s="8" t="inlineStr"/>
      <c r="I1895" s="9" t="n">
        <v>4465</v>
      </c>
      <c r="J1895" s="10" t="n">
        <v>-232</v>
      </c>
      <c r="K1895" s="10" t="n">
        <v>-516</v>
      </c>
      <c r="L1895" s="7" t="n">
        <v>3314</v>
      </c>
      <c r="M1895" s="8" t="n">
        <v>-1114</v>
      </c>
      <c r="N1895" s="8" t="n">
        <v>-1233</v>
      </c>
      <c r="O1895" s="9" t="n">
        <v>3299</v>
      </c>
      <c r="P1895" s="10" t="n">
        <v>-753</v>
      </c>
      <c r="Q1895" s="10" t="n">
        <v>-950</v>
      </c>
      <c r="R1895" s="7" t="n">
        <v>3397</v>
      </c>
      <c r="S1895" s="8" t="n">
        <v>-470</v>
      </c>
      <c r="T1895" s="8" t="n">
        <v>-1874</v>
      </c>
      <c r="U1895" s="9" t="n">
        <v>4078</v>
      </c>
      <c r="V1895" s="10" t="n">
        <v>-542</v>
      </c>
      <c r="W1895" s="10" t="n">
        <v>-824</v>
      </c>
      <c r="X1895" s="7" t="n">
        <v>3241</v>
      </c>
      <c r="Y1895" s="8" t="n">
        <v>-721</v>
      </c>
      <c r="Z1895" s="8" t="n">
        <v>-964</v>
      </c>
      <c r="AA1895" s="9" t="n">
        <v>4376</v>
      </c>
      <c r="AB1895" s="10" t="n">
        <v>-809</v>
      </c>
      <c r="AC1895" s="10" t="n">
        <v>-1015</v>
      </c>
      <c r="AD1895" s="7" t="n">
        <v>4295</v>
      </c>
      <c r="AE1895" s="8" t="n">
        <v>-851</v>
      </c>
      <c r="AF1895" s="8" t="n">
        <v>-1165</v>
      </c>
      <c r="AG1895" s="9" t="n">
        <v>4468</v>
      </c>
      <c r="AH1895" s="10" t="n">
        <v>-659</v>
      </c>
      <c r="AI1895" s="10" t="n">
        <v>-834</v>
      </c>
      <c r="AJ1895" s="11" t="n">
        <v>3837</v>
      </c>
      <c r="AK1895" s="12" t="n">
        <v>-585</v>
      </c>
      <c r="AL1895" s="12" t="n">
        <v>-757</v>
      </c>
      <c r="AM1895" s="13" t="n">
        <v>-14.1</v>
      </c>
      <c r="AN1895" s="13" t="n">
        <v>18.4</v>
      </c>
      <c r="AO1895" s="13" t="n">
        <v>11.2</v>
      </c>
      <c r="AP1895" s="13" t="n">
        <v>18.9</v>
      </c>
    </row>
    <row r="1896">
      <c r="A1896" s="5" t="inlineStr">
        <is>
          <t>HC보광산업</t>
        </is>
      </c>
      <c r="B1896" s="6" t="inlineStr">
        <is>
          <t>225530</t>
        </is>
      </c>
      <c r="C1896" s="6" t="inlineStr">
        <is>
          <t>연결</t>
        </is>
      </c>
      <c r="D1896" s="6" t="inlineStr">
        <is>
          <t>2026Q2</t>
        </is>
      </c>
      <c r="E1896" s="6" t="inlineStr"/>
      <c r="F1896" s="7" t="inlineStr"/>
      <c r="G1896" s="8" t="inlineStr"/>
      <c r="H1896" s="8" t="inlineStr"/>
      <c r="I1896" s="9" t="n">
        <v>15272</v>
      </c>
      <c r="J1896" s="10" t="n">
        <v>1926</v>
      </c>
      <c r="K1896" s="10" t="n">
        <v>2047</v>
      </c>
      <c r="L1896" s="7" t="n">
        <v>19939</v>
      </c>
      <c r="M1896" s="8" t="n">
        <v>3997</v>
      </c>
      <c r="N1896" s="8" t="n">
        <v>5651</v>
      </c>
      <c r="O1896" s="9" t="n">
        <v>13819</v>
      </c>
      <c r="P1896" s="10" t="n">
        <v>1568</v>
      </c>
      <c r="Q1896" s="10" t="n">
        <v>-610</v>
      </c>
      <c r="R1896" s="7" t="n">
        <v>14847</v>
      </c>
      <c r="S1896" s="8" t="n">
        <v>1372</v>
      </c>
      <c r="T1896" s="8" t="n">
        <v>-1849</v>
      </c>
      <c r="U1896" s="9" t="n">
        <v>8241</v>
      </c>
      <c r="V1896" s="10" t="n">
        <v>-1683</v>
      </c>
      <c r="W1896" s="10" t="n">
        <v>-1836</v>
      </c>
      <c r="X1896" s="7" t="n">
        <v>10188</v>
      </c>
      <c r="Y1896" s="8" t="n">
        <v>2</v>
      </c>
      <c r="Z1896" s="8" t="n">
        <v>294</v>
      </c>
      <c r="AA1896" s="9" t="n">
        <v>9029</v>
      </c>
      <c r="AB1896" s="10" t="n">
        <v>-478</v>
      </c>
      <c r="AC1896" s="10" t="n">
        <v>15</v>
      </c>
      <c r="AD1896" s="7" t="n">
        <v>11035</v>
      </c>
      <c r="AE1896" s="8" t="n">
        <v>-2713</v>
      </c>
      <c r="AF1896" s="8" t="n">
        <v>-965</v>
      </c>
      <c r="AG1896" s="9" t="n">
        <v>7861</v>
      </c>
      <c r="AH1896" s="10" t="n">
        <v>-1518</v>
      </c>
      <c r="AI1896" s="10" t="n">
        <v>-1520</v>
      </c>
      <c r="AJ1896" s="11" t="n">
        <v>14969</v>
      </c>
      <c r="AK1896" s="12" t="n">
        <v>2393</v>
      </c>
      <c r="AL1896" s="12" t="n">
        <v>2790</v>
      </c>
      <c r="AM1896" s="13" t="n">
        <v>90.40000000000001</v>
      </c>
      <c r="AN1896" s="13" t="n">
        <v>46.9</v>
      </c>
      <c r="AO1896" s="13" t="n">
        <v>257.6</v>
      </c>
      <c r="AP1896" s="13" t="n">
        <v>119550</v>
      </c>
    </row>
    <row r="1897">
      <c r="A1897" s="5" t="inlineStr">
        <is>
          <t>넥슨게임즈</t>
        </is>
      </c>
      <c r="B1897" s="6" t="inlineStr">
        <is>
          <t>225570</t>
        </is>
      </c>
      <c r="C1897" s="6" t="inlineStr">
        <is>
          <t>연결</t>
        </is>
      </c>
      <c r="D1897" s="6" t="inlineStr">
        <is>
          <t>2026Q2</t>
        </is>
      </c>
      <c r="E1897" s="6" t="inlineStr"/>
      <c r="F1897" s="7" t="inlineStr"/>
      <c r="G1897" s="8" t="inlineStr"/>
      <c r="H1897" s="8" t="inlineStr"/>
      <c r="I1897" s="9" t="n">
        <v>52631</v>
      </c>
      <c r="J1897" s="10" t="n">
        <v>2469</v>
      </c>
      <c r="K1897" s="10" t="n">
        <v>-220</v>
      </c>
      <c r="L1897" s="7" t="n">
        <v>43593</v>
      </c>
      <c r="M1897" s="8" t="n">
        <v>-8438</v>
      </c>
      <c r="N1897" s="8" t="n">
        <v>-10979</v>
      </c>
      <c r="O1897" s="9" t="n">
        <v>111499</v>
      </c>
      <c r="P1897" s="10" t="n">
        <v>46832</v>
      </c>
      <c r="Q1897" s="10" t="n">
        <v>39709</v>
      </c>
      <c r="R1897" s="7" t="n">
        <v>48348</v>
      </c>
      <c r="S1897" s="8" t="n">
        <v>-2129</v>
      </c>
      <c r="T1897" s="8" t="n">
        <v>2934</v>
      </c>
      <c r="U1897" s="9" t="n">
        <v>51306</v>
      </c>
      <c r="V1897" s="10" t="n">
        <v>-4893</v>
      </c>
      <c r="W1897" s="10" t="n">
        <v>-334</v>
      </c>
      <c r="X1897" s="7" t="n">
        <v>38572</v>
      </c>
      <c r="Y1897" s="8" t="n">
        <v>-21796</v>
      </c>
      <c r="Z1897" s="8" t="n">
        <v>-23232</v>
      </c>
      <c r="AA1897" s="9" t="n">
        <v>50150</v>
      </c>
      <c r="AB1897" s="10" t="n">
        <v>-10478</v>
      </c>
      <c r="AC1897" s="10" t="n">
        <v>-11132</v>
      </c>
      <c r="AD1897" s="7" t="n">
        <v>39289</v>
      </c>
      <c r="AE1897" s="8" t="n">
        <v>-23073</v>
      </c>
      <c r="AF1897" s="8" t="n">
        <v>-27122</v>
      </c>
      <c r="AG1897" s="9" t="n">
        <v>41514</v>
      </c>
      <c r="AH1897" s="10" t="n">
        <v>-21108</v>
      </c>
      <c r="AI1897" s="10" t="n">
        <v>-21810</v>
      </c>
      <c r="AJ1897" s="11" t="n">
        <v>41454</v>
      </c>
      <c r="AK1897" s="12" t="n">
        <v>10654</v>
      </c>
      <c r="AL1897" s="12" t="n">
        <v>8654</v>
      </c>
      <c r="AM1897" s="13" t="n">
        <v>-0.1</v>
      </c>
      <c r="AN1897" s="13" t="n">
        <v>7.5</v>
      </c>
      <c r="AO1897" s="13" t="n">
        <v>150.5</v>
      </c>
      <c r="AP1897" s="13" t="n">
        <v>148.9</v>
      </c>
    </row>
    <row r="1898">
      <c r="A1898" s="5" t="inlineStr">
        <is>
          <t>패션플랫폼</t>
        </is>
      </c>
      <c r="B1898" s="6" t="inlineStr">
        <is>
          <t>225590</t>
        </is>
      </c>
      <c r="C1898" s="6" t="inlineStr">
        <is>
          <t>연결</t>
        </is>
      </c>
      <c r="D1898" s="6" t="inlineStr">
        <is>
          <t>2026Q2</t>
        </is>
      </c>
      <c r="E1898" s="6" t="inlineStr"/>
      <c r="F1898" s="7" t="inlineStr"/>
      <c r="G1898" s="8" t="inlineStr"/>
      <c r="H1898" s="8" t="inlineStr"/>
      <c r="I1898" s="9" t="n">
        <v>24723</v>
      </c>
      <c r="J1898" s="10" t="n">
        <v>921</v>
      </c>
      <c r="K1898" s="10" t="n">
        <v>854</v>
      </c>
      <c r="L1898" s="7" t="n">
        <v>28008</v>
      </c>
      <c r="M1898" s="8" t="n">
        <v>2700</v>
      </c>
      <c r="N1898" s="8" t="n">
        <v>1884</v>
      </c>
      <c r="O1898" s="9" t="n">
        <v>20206</v>
      </c>
      <c r="P1898" s="10" t="n">
        <v>2480</v>
      </c>
      <c r="Q1898" s="10" t="n">
        <v>1637</v>
      </c>
      <c r="R1898" s="7" t="n">
        <v>31664</v>
      </c>
      <c r="S1898" s="8" t="n">
        <v>-4445</v>
      </c>
      <c r="T1898" s="8" t="n">
        <v>-3261</v>
      </c>
      <c r="U1898" s="9" t="n">
        <v>23175</v>
      </c>
      <c r="V1898" s="10" t="n">
        <v>1617</v>
      </c>
      <c r="W1898" s="10" t="n">
        <v>1159</v>
      </c>
      <c r="X1898" s="7" t="n">
        <v>26662</v>
      </c>
      <c r="Y1898" s="8" t="n">
        <v>921</v>
      </c>
      <c r="Z1898" s="8" t="n">
        <v>-3448</v>
      </c>
      <c r="AA1898" s="9" t="n">
        <v>21856</v>
      </c>
      <c r="AB1898" s="10" t="n">
        <v>1787</v>
      </c>
      <c r="AC1898" s="10" t="n">
        <v>850</v>
      </c>
      <c r="AD1898" s="7" t="n">
        <v>34608</v>
      </c>
      <c r="AE1898" s="8" t="n">
        <v>4038</v>
      </c>
      <c r="AF1898" s="8" t="n">
        <v>4123</v>
      </c>
      <c r="AG1898" s="9" t="n">
        <v>27055</v>
      </c>
      <c r="AH1898" s="10" t="n">
        <v>3164</v>
      </c>
      <c r="AI1898" s="10" t="n">
        <v>2713</v>
      </c>
      <c r="AJ1898" s="11" t="n">
        <v>30216</v>
      </c>
      <c r="AK1898" s="12" t="n">
        <v>4167</v>
      </c>
      <c r="AL1898" s="12" t="n">
        <v>3574</v>
      </c>
      <c r="AM1898" s="13" t="n">
        <v>11.7</v>
      </c>
      <c r="AN1898" s="13" t="n">
        <v>13.3</v>
      </c>
      <c r="AO1898" s="13" t="n">
        <v>31.7</v>
      </c>
      <c r="AP1898" s="13" t="n">
        <v>352.4</v>
      </c>
    </row>
    <row r="1899">
      <c r="A1899" s="5" t="inlineStr">
        <is>
          <t>잇츠한불</t>
        </is>
      </c>
      <c r="B1899" s="6" t="inlineStr">
        <is>
          <t>226320</t>
        </is>
      </c>
      <c r="C1899" s="6" t="inlineStr">
        <is>
          <t>연결</t>
        </is>
      </c>
      <c r="D1899" s="6" t="inlineStr">
        <is>
          <t>2026Q2</t>
        </is>
      </c>
      <c r="E1899" s="6" t="inlineStr">
        <is>
          <t>2023Q4</t>
        </is>
      </c>
      <c r="F1899" s="14" t="n">
        <v>35100</v>
      </c>
      <c r="G1899" s="15" t="n">
        <v>1000</v>
      </c>
      <c r="H1899" s="15" t="n">
        <v>200</v>
      </c>
      <c r="I1899" s="9" t="n">
        <v>35930</v>
      </c>
      <c r="J1899" s="10" t="n">
        <v>6589</v>
      </c>
      <c r="K1899" s="10" t="n">
        <v>12313</v>
      </c>
      <c r="L1899" s="7" t="n">
        <v>36116</v>
      </c>
      <c r="M1899" s="8" t="n">
        <v>3832</v>
      </c>
      <c r="N1899" s="8" t="n">
        <v>6866</v>
      </c>
      <c r="O1899" s="9" t="n">
        <v>29451</v>
      </c>
      <c r="P1899" s="10" t="n">
        <v>2688</v>
      </c>
      <c r="Q1899" s="10" t="n">
        <v>881</v>
      </c>
      <c r="R1899" s="7" t="n">
        <v>40934</v>
      </c>
      <c r="S1899" s="8" t="n">
        <v>4775</v>
      </c>
      <c r="T1899" s="8" t="n">
        <v>9673</v>
      </c>
      <c r="U1899" s="9" t="n">
        <v>36323</v>
      </c>
      <c r="V1899" s="10" t="n">
        <v>5581</v>
      </c>
      <c r="W1899" s="10" t="n">
        <v>6322</v>
      </c>
      <c r="X1899" s="7" t="n">
        <v>37252</v>
      </c>
      <c r="Y1899" s="8" t="n">
        <v>3944</v>
      </c>
      <c r="Z1899" s="8" t="n">
        <v>4272</v>
      </c>
      <c r="AA1899" s="9" t="n">
        <v>37779</v>
      </c>
      <c r="AB1899" s="10" t="n">
        <v>4818</v>
      </c>
      <c r="AC1899" s="10" t="n">
        <v>11731</v>
      </c>
      <c r="AD1899" s="7" t="n">
        <v>42033</v>
      </c>
      <c r="AE1899" s="8" t="n">
        <v>4872</v>
      </c>
      <c r="AF1899" s="8" t="n">
        <v>10278</v>
      </c>
      <c r="AG1899" s="9" t="n">
        <v>42683</v>
      </c>
      <c r="AH1899" s="10" t="n">
        <v>6831</v>
      </c>
      <c r="AI1899" s="10" t="n">
        <v>14070</v>
      </c>
      <c r="AJ1899" s="11" t="n">
        <v>49663</v>
      </c>
      <c r="AK1899" s="12" t="n">
        <v>7334</v>
      </c>
      <c r="AL1899" s="12" t="n">
        <v>14508</v>
      </c>
      <c r="AM1899" s="13" t="n">
        <v>16.4</v>
      </c>
      <c r="AN1899" s="13" t="n">
        <v>33.3</v>
      </c>
      <c r="AO1899" s="13" t="n">
        <v>7.4</v>
      </c>
      <c r="AP1899" s="13" t="n">
        <v>86</v>
      </c>
    </row>
    <row r="1900">
      <c r="A1900" s="5" t="inlineStr">
        <is>
          <t>신테카바이오</t>
        </is>
      </c>
      <c r="B1900" s="6" t="inlineStr">
        <is>
          <t>226330</t>
        </is>
      </c>
      <c r="C1900" s="6" t="inlineStr">
        <is>
          <t>연결</t>
        </is>
      </c>
      <c r="D1900" s="6" t="inlineStr">
        <is>
          <t>2026Q2</t>
        </is>
      </c>
      <c r="E1900" s="6" t="inlineStr"/>
      <c r="F1900" s="7" t="inlineStr"/>
      <c r="G1900" s="8" t="inlineStr"/>
      <c r="H1900" s="8" t="inlineStr"/>
      <c r="I1900" s="9" t="n">
        <v>6</v>
      </c>
      <c r="J1900" s="10" t="n">
        <v>-3210</v>
      </c>
      <c r="K1900" s="10" t="n">
        <v>-974</v>
      </c>
      <c r="L1900" s="7" t="n">
        <v>1</v>
      </c>
      <c r="M1900" s="8" t="n">
        <v>-3558</v>
      </c>
      <c r="N1900" s="8" t="n">
        <v>677</v>
      </c>
      <c r="O1900" s="9" t="n">
        <v>1</v>
      </c>
      <c r="P1900" s="10" t="n">
        <v>-3930</v>
      </c>
      <c r="Q1900" s="10" t="n">
        <v>-2657</v>
      </c>
      <c r="R1900" s="7" t="n">
        <v>113</v>
      </c>
      <c r="S1900" s="8" t="n">
        <v>-3572</v>
      </c>
      <c r="T1900" s="8" t="n">
        <v>-4259</v>
      </c>
      <c r="U1900" s="9" t="n">
        <v>869</v>
      </c>
      <c r="V1900" s="10" t="n">
        <v>-2958</v>
      </c>
      <c r="W1900" s="10" t="n">
        <v>-7293</v>
      </c>
      <c r="X1900" s="7" t="n">
        <v>346</v>
      </c>
      <c r="Y1900" s="8" t="n">
        <v>-3002</v>
      </c>
      <c r="Z1900" s="8" t="n">
        <v>-3774</v>
      </c>
      <c r="AA1900" s="9" t="n">
        <v>455</v>
      </c>
      <c r="AB1900" s="10" t="n">
        <v>-2315</v>
      </c>
      <c r="AC1900" s="10" t="n">
        <v>-2303</v>
      </c>
      <c r="AD1900" s="7" t="n">
        <v>1759</v>
      </c>
      <c r="AE1900" s="8" t="n">
        <v>-2490</v>
      </c>
      <c r="AF1900" s="8" t="n">
        <v>-4008</v>
      </c>
      <c r="AG1900" s="9" t="n">
        <v>422</v>
      </c>
      <c r="AH1900" s="10" t="n">
        <v>-3506</v>
      </c>
      <c r="AI1900" s="10" t="n">
        <v>-3492</v>
      </c>
      <c r="AJ1900" s="11" t="n">
        <v>449</v>
      </c>
      <c r="AK1900" s="12" t="n">
        <v>-2172</v>
      </c>
      <c r="AL1900" s="12" t="n">
        <v>-2153</v>
      </c>
      <c r="AM1900" s="13" t="n">
        <v>6.4</v>
      </c>
      <c r="AN1900" s="13" t="n">
        <v>29.8</v>
      </c>
      <c r="AO1900" s="13" t="n">
        <v>38</v>
      </c>
      <c r="AP1900" s="13" t="n">
        <v>27.6</v>
      </c>
    </row>
    <row r="1901">
      <c r="A1901" s="5" t="inlineStr">
        <is>
          <t>본느</t>
        </is>
      </c>
      <c r="B1901" s="6" t="inlineStr">
        <is>
          <t>226340</t>
        </is>
      </c>
      <c r="C1901" s="6" t="inlineStr">
        <is>
          <t>연결</t>
        </is>
      </c>
      <c r="D1901" s="6" t="inlineStr">
        <is>
          <t>2026Q2</t>
        </is>
      </c>
      <c r="E1901" s="6" t="inlineStr"/>
      <c r="F1901" s="7" t="inlineStr"/>
      <c r="G1901" s="8" t="inlineStr"/>
      <c r="H1901" s="8" t="inlineStr"/>
      <c r="I1901" s="9" t="n">
        <v>20773</v>
      </c>
      <c r="J1901" s="10" t="n">
        <v>3130</v>
      </c>
      <c r="K1901" s="10" t="n">
        <v>2460</v>
      </c>
      <c r="L1901" s="7" t="n">
        <v>19009</v>
      </c>
      <c r="M1901" s="8" t="n">
        <v>1298</v>
      </c>
      <c r="N1901" s="8" t="n">
        <v>-4441</v>
      </c>
      <c r="O1901" s="9" t="n">
        <v>15435</v>
      </c>
      <c r="P1901" s="10" t="n">
        <v>376</v>
      </c>
      <c r="Q1901" s="10" t="n">
        <v>-1024</v>
      </c>
      <c r="R1901" s="7" t="n">
        <v>13496</v>
      </c>
      <c r="S1901" s="8" t="n">
        <v>-3082</v>
      </c>
      <c r="T1901" s="8" t="n">
        <v>-6374</v>
      </c>
      <c r="U1901" s="9" t="n">
        <v>13087</v>
      </c>
      <c r="V1901" s="10" t="n">
        <v>-1458</v>
      </c>
      <c r="W1901" s="10" t="n">
        <v>-2758</v>
      </c>
      <c r="X1901" s="7" t="n">
        <v>12335</v>
      </c>
      <c r="Y1901" s="8" t="n">
        <v>-2603</v>
      </c>
      <c r="Z1901" s="8" t="n">
        <v>-1116</v>
      </c>
      <c r="AA1901" s="9" t="n">
        <v>12022</v>
      </c>
      <c r="AB1901" s="10" t="n">
        <v>-1693</v>
      </c>
      <c r="AC1901" s="10" t="n">
        <v>-2333</v>
      </c>
      <c r="AD1901" s="7" t="n">
        <v>8569</v>
      </c>
      <c r="AE1901" s="8" t="n">
        <v>-2576</v>
      </c>
      <c r="AF1901" s="8" t="n">
        <v>-9684</v>
      </c>
      <c r="AG1901" s="9" t="n">
        <v>9268</v>
      </c>
      <c r="AH1901" s="10" t="n">
        <v>-2093</v>
      </c>
      <c r="AI1901" s="10" t="n">
        <v>-1899</v>
      </c>
      <c r="AJ1901" s="11" t="n">
        <v>8543</v>
      </c>
      <c r="AK1901" s="12" t="n">
        <v>-2284</v>
      </c>
      <c r="AL1901" s="12" t="n">
        <v>-9427</v>
      </c>
      <c r="AM1901" s="13" t="n">
        <v>-7.8</v>
      </c>
      <c r="AN1901" s="13" t="n">
        <v>-30.7</v>
      </c>
      <c r="AO1901" s="13" t="n">
        <v>-9.1</v>
      </c>
      <c r="AP1901" s="13" t="n">
        <v>12.3</v>
      </c>
    </row>
    <row r="1902">
      <c r="A1902" s="5" t="inlineStr">
        <is>
          <t>오스테오닉</t>
        </is>
      </c>
      <c r="B1902" s="6" t="inlineStr">
        <is>
          <t>226400</t>
        </is>
      </c>
      <c r="C1902" s="6" t="inlineStr">
        <is>
          <t>연결</t>
        </is>
      </c>
      <c r="D1902" s="6" t="inlineStr">
        <is>
          <t>2026Q2</t>
        </is>
      </c>
      <c r="E1902" s="6" t="inlineStr"/>
      <c r="F1902" s="7" t="inlineStr"/>
      <c r="G1902" s="8" t="inlineStr"/>
      <c r="H1902" s="8" t="inlineStr"/>
      <c r="I1902" s="9" t="n">
        <v>7694</v>
      </c>
      <c r="J1902" s="10" t="n">
        <v>1164</v>
      </c>
      <c r="K1902" s="10" t="n">
        <v>41</v>
      </c>
      <c r="L1902" s="7" t="n">
        <v>8646</v>
      </c>
      <c r="M1902" s="8" t="n">
        <v>1756</v>
      </c>
      <c r="N1902" s="8" t="n">
        <v>1623</v>
      </c>
      <c r="O1902" s="9" t="n">
        <v>8164</v>
      </c>
      <c r="P1902" s="10" t="n">
        <v>1637</v>
      </c>
      <c r="Q1902" s="10" t="n">
        <v>1245</v>
      </c>
      <c r="R1902" s="7" t="n">
        <v>9731</v>
      </c>
      <c r="S1902" s="8" t="n">
        <v>2329</v>
      </c>
      <c r="T1902" s="8" t="n">
        <v>2741</v>
      </c>
      <c r="U1902" s="9" t="n">
        <v>9529</v>
      </c>
      <c r="V1902" s="10" t="n">
        <v>1496</v>
      </c>
      <c r="W1902" s="10" t="n">
        <v>762</v>
      </c>
      <c r="X1902" s="7" t="n">
        <v>10977</v>
      </c>
      <c r="Y1902" s="8" t="n">
        <v>2748</v>
      </c>
      <c r="Z1902" s="8" t="n">
        <v>1009</v>
      </c>
      <c r="AA1902" s="9" t="n">
        <v>11878</v>
      </c>
      <c r="AB1902" s="10" t="n">
        <v>2226</v>
      </c>
      <c r="AC1902" s="10" t="n">
        <v>1989</v>
      </c>
      <c r="AD1902" s="7" t="n">
        <v>13009</v>
      </c>
      <c r="AE1902" s="8" t="n">
        <v>2394</v>
      </c>
      <c r="AF1902" s="8" t="n">
        <v>3739</v>
      </c>
      <c r="AG1902" s="9" t="n">
        <v>12901</v>
      </c>
      <c r="AH1902" s="10" t="n">
        <v>2329</v>
      </c>
      <c r="AI1902" s="10" t="n">
        <v>2656</v>
      </c>
      <c r="AJ1902" s="11" t="n">
        <v>13183</v>
      </c>
      <c r="AK1902" s="12" t="n">
        <v>2422</v>
      </c>
      <c r="AL1902" s="12" t="n">
        <v>1818</v>
      </c>
      <c r="AM1902" s="13" t="n">
        <v>2.2</v>
      </c>
      <c r="AN1902" s="13" t="n">
        <v>20.1</v>
      </c>
      <c r="AO1902" s="13" t="n">
        <v>4</v>
      </c>
      <c r="AP1902" s="13" t="n">
        <v>-11.9</v>
      </c>
    </row>
    <row r="1903">
      <c r="A1903" s="5" t="inlineStr">
        <is>
          <t>엠디바이스</t>
        </is>
      </c>
      <c r="B1903" s="6" t="inlineStr">
        <is>
          <t>226590</t>
        </is>
      </c>
      <c r="C1903" s="6" t="inlineStr">
        <is>
          <t>연결</t>
        </is>
      </c>
      <c r="D1903" s="6" t="inlineStr">
        <is>
          <t>2026Q2</t>
        </is>
      </c>
      <c r="E1903" s="6" t="inlineStr"/>
      <c r="F1903" s="7" t="inlineStr"/>
      <c r="G1903" s="8" t="inlineStr"/>
      <c r="H1903" s="8" t="inlineStr"/>
      <c r="I1903" s="9" t="inlineStr"/>
      <c r="J1903" s="10" t="inlineStr"/>
      <c r="K1903" s="10" t="inlineStr"/>
      <c r="L1903" s="7" t="inlineStr"/>
      <c r="M1903" s="8" t="inlineStr"/>
      <c r="N1903" s="8" t="inlineStr"/>
      <c r="O1903" s="9" t="inlineStr"/>
      <c r="P1903" s="10" t="inlineStr"/>
      <c r="Q1903" s="10" t="inlineStr"/>
      <c r="R1903" s="7" t="inlineStr"/>
      <c r="S1903" s="8" t="inlineStr"/>
      <c r="T1903" s="8" t="inlineStr"/>
      <c r="U1903" s="9" t="n">
        <v>20084</v>
      </c>
      <c r="V1903" s="10" t="n">
        <v>2125</v>
      </c>
      <c r="W1903" s="10" t="n">
        <v>1600</v>
      </c>
      <c r="X1903" s="7" t="n">
        <v>25320</v>
      </c>
      <c r="Y1903" s="8" t="n">
        <v>3301</v>
      </c>
      <c r="Z1903" s="8" t="n">
        <v>1537</v>
      </c>
      <c r="AA1903" s="9" t="n">
        <v>18099</v>
      </c>
      <c r="AB1903" s="10" t="n">
        <v>2198</v>
      </c>
      <c r="AC1903" s="10" t="n">
        <v>990</v>
      </c>
      <c r="AD1903" s="7" t="n">
        <v>32988</v>
      </c>
      <c r="AE1903" s="8" t="n">
        <v>3918</v>
      </c>
      <c r="AF1903" s="8" t="n">
        <v>6551</v>
      </c>
      <c r="AG1903" s="9" t="n">
        <v>20461</v>
      </c>
      <c r="AH1903" s="10" t="n">
        <v>3151</v>
      </c>
      <c r="AI1903" s="10" t="n">
        <v>-8190</v>
      </c>
      <c r="AJ1903" s="11" t="n">
        <v>28106</v>
      </c>
      <c r="AK1903" s="12" t="n">
        <v>4835</v>
      </c>
      <c r="AL1903" s="12" t="n">
        <v>13498</v>
      </c>
      <c r="AM1903" s="13" t="n">
        <v>37.4</v>
      </c>
      <c r="AN1903" s="13" t="n">
        <v>11</v>
      </c>
      <c r="AO1903" s="13" t="n">
        <v>53.4</v>
      </c>
      <c r="AP1903" s="13" t="n">
        <v>46.5</v>
      </c>
    </row>
    <row r="1904">
      <c r="A1904" s="5" t="inlineStr">
        <is>
          <t>올릭스</t>
        </is>
      </c>
      <c r="B1904" s="6" t="inlineStr">
        <is>
          <t>226950</t>
        </is>
      </c>
      <c r="C1904" s="6" t="inlineStr">
        <is>
          <t>연결</t>
        </is>
      </c>
      <c r="D1904" s="6" t="inlineStr">
        <is>
          <t>2026Q2</t>
        </is>
      </c>
      <c r="E1904" s="6" t="inlineStr"/>
      <c r="F1904" s="7" t="inlineStr"/>
      <c r="G1904" s="8" t="inlineStr"/>
      <c r="H1904" s="8" t="inlineStr"/>
      <c r="I1904" s="9" t="inlineStr"/>
      <c r="J1904" s="10" t="n">
        <v>-10093</v>
      </c>
      <c r="K1904" s="10" t="n">
        <v>-8405</v>
      </c>
      <c r="L1904" s="7" t="inlineStr"/>
      <c r="M1904" s="8" t="n">
        <v>-3773</v>
      </c>
      <c r="N1904" s="8" t="n">
        <v>-9585</v>
      </c>
      <c r="O1904" s="9" t="inlineStr"/>
      <c r="P1904" s="10" t="n">
        <v>-9445</v>
      </c>
      <c r="Q1904" s="10" t="n">
        <v>-10507</v>
      </c>
      <c r="R1904" s="7" t="inlineStr"/>
      <c r="S1904" s="8" t="n">
        <v>-7608</v>
      </c>
      <c r="T1904" s="8" t="n">
        <v>-12162</v>
      </c>
      <c r="U1904" s="9" t="inlineStr"/>
      <c r="V1904" s="10" t="n">
        <v>-8243</v>
      </c>
      <c r="W1904" s="10" t="n">
        <v>-13265</v>
      </c>
      <c r="X1904" s="7" t="inlineStr"/>
      <c r="Y1904" s="8" t="n">
        <v>-4962</v>
      </c>
      <c r="Z1904" s="8" t="n">
        <v>-9205</v>
      </c>
      <c r="AA1904" s="9" t="inlineStr"/>
      <c r="AB1904" s="10" t="n">
        <v>-8311</v>
      </c>
      <c r="AC1904" s="10" t="n">
        <v>-8665</v>
      </c>
      <c r="AD1904" s="7" t="inlineStr"/>
      <c r="AE1904" s="8" t="n">
        <v>-8456</v>
      </c>
      <c r="AF1904" s="8" t="n">
        <v>15392</v>
      </c>
      <c r="AG1904" s="9" t="inlineStr"/>
      <c r="AH1904" s="10" t="n">
        <v>-10786</v>
      </c>
      <c r="AI1904" s="10" t="n">
        <v>-9770</v>
      </c>
      <c r="AJ1904" s="11" t="inlineStr"/>
      <c r="AK1904" s="12" t="n">
        <v>-13997</v>
      </c>
      <c r="AL1904" s="12" t="n">
        <v>-10988</v>
      </c>
      <c r="AM1904" s="13" t="inlineStr"/>
      <c r="AN1904" s="13" t="inlineStr"/>
      <c r="AO1904" s="13" t="n">
        <v>-29.8</v>
      </c>
      <c r="AP1904" s="13" t="n">
        <v>-182.1</v>
      </c>
    </row>
    <row r="1905">
      <c r="A1905" s="5" t="inlineStr">
        <is>
          <t>프로브잇</t>
        </is>
      </c>
      <c r="B1905" s="6" t="inlineStr">
        <is>
          <t>227100</t>
        </is>
      </c>
      <c r="C1905" s="6" t="inlineStr">
        <is>
          <t>연결</t>
        </is>
      </c>
      <c r="D1905" s="6" t="inlineStr">
        <is>
          <t>2025Q1</t>
        </is>
      </c>
      <c r="E1905" s="6" t="inlineStr"/>
      <c r="F1905" s="7" t="inlineStr"/>
      <c r="G1905" s="8" t="inlineStr"/>
      <c r="H1905" s="8" t="inlineStr"/>
      <c r="I1905" s="9" t="n">
        <v>31171</v>
      </c>
      <c r="J1905" s="10" t="n">
        <v>-1307</v>
      </c>
      <c r="K1905" s="10" t="n">
        <v>-4309</v>
      </c>
      <c r="L1905" s="7" t="n">
        <v>8687</v>
      </c>
      <c r="M1905" s="8" t="n">
        <v>-15693</v>
      </c>
      <c r="N1905" s="8" t="n">
        <v>-60429</v>
      </c>
      <c r="O1905" s="9" t="n">
        <v>7029</v>
      </c>
      <c r="P1905" s="10" t="n">
        <v>-7397</v>
      </c>
      <c r="Q1905" s="10" t="n">
        <v>-7976</v>
      </c>
      <c r="R1905" s="7" t="n">
        <v>20043</v>
      </c>
      <c r="S1905" s="8" t="n">
        <v>-10109</v>
      </c>
      <c r="T1905" s="8" t="n">
        <v>40517</v>
      </c>
      <c r="U1905" s="9" t="n">
        <v>3098</v>
      </c>
      <c r="V1905" s="10" t="n">
        <v>-4750</v>
      </c>
      <c r="W1905" s="10" t="n">
        <v>-5646</v>
      </c>
      <c r="X1905" s="7" t="inlineStr"/>
      <c r="Y1905" s="8" t="inlineStr"/>
      <c r="Z1905" s="8" t="inlineStr"/>
      <c r="AA1905" s="9" t="inlineStr"/>
      <c r="AB1905" s="10" t="inlineStr"/>
      <c r="AC1905" s="10" t="inlineStr"/>
      <c r="AD1905" s="7" t="inlineStr"/>
      <c r="AE1905" s="8" t="inlineStr"/>
      <c r="AF1905" s="8" t="inlineStr"/>
      <c r="AG1905" s="9" t="inlineStr"/>
      <c r="AH1905" s="10" t="inlineStr"/>
      <c r="AI1905" s="10" t="inlineStr"/>
      <c r="AJ1905" s="11" t="inlineStr"/>
      <c r="AK1905" s="12" t="inlineStr"/>
      <c r="AL1905" s="12" t="inlineStr"/>
      <c r="AM1905" s="13" t="inlineStr"/>
      <c r="AN1905" s="13" t="inlineStr"/>
      <c r="AO1905" s="13" t="inlineStr"/>
      <c r="AP1905" s="13" t="inlineStr"/>
    </row>
    <row r="1906">
      <c r="A1906" s="5" t="inlineStr">
        <is>
          <t>아우딘퓨쳐스</t>
        </is>
      </c>
      <c r="B1906" s="6" t="inlineStr">
        <is>
          <t>227610</t>
        </is>
      </c>
      <c r="C1906" s="6" t="inlineStr">
        <is>
          <t>연결</t>
        </is>
      </c>
      <c r="D1906" s="6" t="inlineStr">
        <is>
          <t>2026Q2</t>
        </is>
      </c>
      <c r="E1906" s="6" t="inlineStr"/>
      <c r="F1906" s="7" t="inlineStr"/>
      <c r="G1906" s="8" t="inlineStr"/>
      <c r="H1906" s="8" t="inlineStr"/>
      <c r="I1906" s="9" t="n">
        <v>7158</v>
      </c>
      <c r="J1906" s="10" t="n">
        <v>-1601</v>
      </c>
      <c r="K1906" s="10" t="n">
        <v>-884</v>
      </c>
      <c r="L1906" s="7" t="n">
        <v>7690</v>
      </c>
      <c r="M1906" s="8" t="n">
        <v>-1059</v>
      </c>
      <c r="N1906" s="8" t="n">
        <v>-2705</v>
      </c>
      <c r="O1906" s="9" t="n">
        <v>10611</v>
      </c>
      <c r="P1906" s="10" t="n">
        <v>219</v>
      </c>
      <c r="Q1906" s="10" t="n">
        <v>-1301</v>
      </c>
      <c r="R1906" s="7" t="n">
        <v>9227</v>
      </c>
      <c r="S1906" s="8" t="n">
        <v>-927</v>
      </c>
      <c r="T1906" s="8" t="n">
        <v>-2005</v>
      </c>
      <c r="U1906" s="9" t="n">
        <v>10423</v>
      </c>
      <c r="V1906" s="10" t="n">
        <v>38</v>
      </c>
      <c r="W1906" s="10" t="n">
        <v>-347</v>
      </c>
      <c r="X1906" s="7" t="n">
        <v>11238</v>
      </c>
      <c r="Y1906" s="8" t="n">
        <v>-945</v>
      </c>
      <c r="Z1906" s="8" t="n">
        <v>-2003</v>
      </c>
      <c r="AA1906" s="9" t="n">
        <v>10728</v>
      </c>
      <c r="AB1906" s="10" t="n">
        <v>335</v>
      </c>
      <c r="AC1906" s="10" t="n">
        <v>245</v>
      </c>
      <c r="AD1906" s="7" t="n">
        <v>9996</v>
      </c>
      <c r="AE1906" s="8" t="n">
        <v>-1239</v>
      </c>
      <c r="AF1906" s="8" t="n">
        <v>-1533</v>
      </c>
      <c r="AG1906" s="9" t="n">
        <v>9640</v>
      </c>
      <c r="AH1906" s="10" t="n">
        <v>-294</v>
      </c>
      <c r="AI1906" s="10" t="n">
        <v>-529</v>
      </c>
      <c r="AJ1906" s="11" t="n">
        <v>12359</v>
      </c>
      <c r="AK1906" s="12" t="n">
        <v>1019</v>
      </c>
      <c r="AL1906" s="12" t="n">
        <v>483</v>
      </c>
      <c r="AM1906" s="13" t="n">
        <v>28.2</v>
      </c>
      <c r="AN1906" s="13" t="n">
        <v>10</v>
      </c>
      <c r="AO1906" s="13" t="n">
        <v>446.6</v>
      </c>
      <c r="AP1906" s="13" t="n">
        <v>207.8</v>
      </c>
    </row>
    <row r="1907">
      <c r="A1907" s="5" t="inlineStr">
        <is>
          <t>현대코퍼레이션홀딩스</t>
        </is>
      </c>
      <c r="B1907" s="6" t="inlineStr">
        <is>
          <t>227840</t>
        </is>
      </c>
      <c r="C1907" s="6" t="inlineStr">
        <is>
          <t>연결</t>
        </is>
      </c>
      <c r="D1907" s="6" t="inlineStr">
        <is>
          <t>2026Q2</t>
        </is>
      </c>
      <c r="E1907" s="6" t="inlineStr"/>
      <c r="F1907" s="7" t="inlineStr"/>
      <c r="G1907" s="8" t="inlineStr"/>
      <c r="H1907" s="8" t="inlineStr"/>
      <c r="I1907" s="9" t="n">
        <v>51667</v>
      </c>
      <c r="J1907" s="10" t="n">
        <v>4448</v>
      </c>
      <c r="K1907" s="10" t="n">
        <v>11312</v>
      </c>
      <c r="L1907" s="7" t="n">
        <v>49472</v>
      </c>
      <c r="M1907" s="8" t="n">
        <v>4806</v>
      </c>
      <c r="N1907" s="8" t="n">
        <v>11190</v>
      </c>
      <c r="O1907" s="9" t="n">
        <v>56323</v>
      </c>
      <c r="P1907" s="10" t="n">
        <v>4813</v>
      </c>
      <c r="Q1907" s="10" t="n">
        <v>11898</v>
      </c>
      <c r="R1907" s="7" t="n">
        <v>58142</v>
      </c>
      <c r="S1907" s="8" t="n">
        <v>5438</v>
      </c>
      <c r="T1907" s="8" t="n">
        <v>7903</v>
      </c>
      <c r="U1907" s="9" t="n">
        <v>62081</v>
      </c>
      <c r="V1907" s="10" t="n">
        <v>4950</v>
      </c>
      <c r="W1907" s="10" t="n">
        <v>9861</v>
      </c>
      <c r="X1907" s="7" t="n">
        <v>61184</v>
      </c>
      <c r="Y1907" s="8" t="n">
        <v>5430</v>
      </c>
      <c r="Z1907" s="8" t="n">
        <v>7246</v>
      </c>
      <c r="AA1907" s="9" t="n">
        <v>65073</v>
      </c>
      <c r="AB1907" s="10" t="n">
        <v>4784</v>
      </c>
      <c r="AC1907" s="10" t="n">
        <v>9180</v>
      </c>
      <c r="AD1907" s="7" t="n">
        <v>61888</v>
      </c>
      <c r="AE1907" s="8" t="n">
        <v>6206</v>
      </c>
      <c r="AF1907" s="8" t="n">
        <v>9877</v>
      </c>
      <c r="AG1907" s="9" t="n">
        <v>80623</v>
      </c>
      <c r="AH1907" s="10" t="n">
        <v>6223</v>
      </c>
      <c r="AI1907" s="10" t="n">
        <v>9203</v>
      </c>
      <c r="AJ1907" s="11" t="n">
        <v>74648</v>
      </c>
      <c r="AK1907" s="12" t="n">
        <v>7534</v>
      </c>
      <c r="AL1907" s="12" t="n">
        <v>24323</v>
      </c>
      <c r="AM1907" s="13" t="n">
        <v>-7.4</v>
      </c>
      <c r="AN1907" s="13" t="n">
        <v>22</v>
      </c>
      <c r="AO1907" s="13" t="n">
        <v>21.1</v>
      </c>
      <c r="AP1907" s="13" t="n">
        <v>38.7</v>
      </c>
    </row>
    <row r="1908">
      <c r="A1908" s="5" t="inlineStr">
        <is>
          <t>엔투텍</t>
        </is>
      </c>
      <c r="B1908" s="6" t="inlineStr">
        <is>
          <t>227950</t>
        </is>
      </c>
      <c r="C1908" s="6" t="inlineStr">
        <is>
          <t>연결</t>
        </is>
      </c>
      <c r="D1908" s="6" t="inlineStr">
        <is>
          <t>2026Q2</t>
        </is>
      </c>
      <c r="E1908" s="6" t="inlineStr"/>
      <c r="F1908" s="7" t="inlineStr"/>
      <c r="G1908" s="8" t="inlineStr"/>
      <c r="H1908" s="8" t="inlineStr"/>
      <c r="I1908" s="9" t="n">
        <v>7066</v>
      </c>
      <c r="J1908" s="10" t="n">
        <v>-1055</v>
      </c>
      <c r="K1908" s="10" t="n">
        <v>-721</v>
      </c>
      <c r="L1908" s="7" t="n">
        <v>3575</v>
      </c>
      <c r="M1908" s="8" t="n">
        <v>-1159</v>
      </c>
      <c r="N1908" s="8" t="n">
        <v>-2118</v>
      </c>
      <c r="O1908" s="9" t="n">
        <v>3153</v>
      </c>
      <c r="P1908" s="10" t="n">
        <v>-739</v>
      </c>
      <c r="Q1908" s="10" t="n">
        <v>-6900</v>
      </c>
      <c r="R1908" s="7" t="n">
        <v>-180</v>
      </c>
      <c r="S1908" s="8" t="n">
        <v>-569</v>
      </c>
      <c r="T1908" s="8" t="n">
        <v>-15519</v>
      </c>
      <c r="U1908" s="9" t="n">
        <v>5680</v>
      </c>
      <c r="V1908" s="10" t="n">
        <v>190</v>
      </c>
      <c r="W1908" s="10" t="n">
        <v>11478</v>
      </c>
      <c r="X1908" s="7" t="n">
        <v>11807</v>
      </c>
      <c r="Y1908" s="8" t="n">
        <v>7451</v>
      </c>
      <c r="Z1908" s="8" t="n">
        <v>5818</v>
      </c>
      <c r="AA1908" s="9" t="n">
        <v>3987</v>
      </c>
      <c r="AB1908" s="10" t="n">
        <v>-530</v>
      </c>
      <c r="AC1908" s="10" t="n">
        <v>-712</v>
      </c>
      <c r="AD1908" s="7" t="n">
        <v>7290</v>
      </c>
      <c r="AE1908" s="8" t="n">
        <v>2328</v>
      </c>
      <c r="AF1908" s="8" t="n">
        <v>2379</v>
      </c>
      <c r="AG1908" s="9" t="n">
        <v>7833</v>
      </c>
      <c r="AH1908" s="10" t="n">
        <v>-1787</v>
      </c>
      <c r="AI1908" s="10" t="n">
        <v>-3295</v>
      </c>
      <c r="AJ1908" s="11" t="n">
        <v>19632</v>
      </c>
      <c r="AK1908" s="12" t="n">
        <v>12909</v>
      </c>
      <c r="AL1908" s="12" t="n">
        <v>12371</v>
      </c>
      <c r="AM1908" s="13" t="n">
        <v>150.6</v>
      </c>
      <c r="AN1908" s="13" t="n">
        <v>66.3</v>
      </c>
      <c r="AO1908" s="13" t="n">
        <v>822.4</v>
      </c>
      <c r="AP1908" s="13" t="n">
        <v>73.3</v>
      </c>
    </row>
    <row r="1909">
      <c r="A1909" s="5" t="inlineStr">
        <is>
          <t>동양파일</t>
        </is>
      </c>
      <c r="B1909" s="6" t="inlineStr">
        <is>
          <t>228340</t>
        </is>
      </c>
      <c r="C1909" s="6" t="inlineStr">
        <is>
          <t>별도</t>
        </is>
      </c>
      <c r="D1909" s="6" t="inlineStr">
        <is>
          <t>2026Q2</t>
        </is>
      </c>
      <c r="E1909" s="6" t="inlineStr"/>
      <c r="F1909" s="7" t="inlineStr"/>
      <c r="G1909" s="8" t="inlineStr"/>
      <c r="H1909" s="8" t="inlineStr"/>
      <c r="I1909" s="9" t="n">
        <v>15845</v>
      </c>
      <c r="J1909" s="10" t="n">
        <v>52</v>
      </c>
      <c r="K1909" s="10" t="n">
        <v>-80</v>
      </c>
      <c r="L1909" s="7" t="n">
        <v>17686</v>
      </c>
      <c r="M1909" s="8" t="n">
        <v>-497</v>
      </c>
      <c r="N1909" s="8" t="n">
        <v>44</v>
      </c>
      <c r="O1909" s="9" t="n">
        <v>11320</v>
      </c>
      <c r="P1909" s="10" t="n">
        <v>-1817</v>
      </c>
      <c r="Q1909" s="10" t="n">
        <v>-1053</v>
      </c>
      <c r="R1909" s="7" t="n">
        <v>11712</v>
      </c>
      <c r="S1909" s="8" t="n">
        <v>-2154</v>
      </c>
      <c r="T1909" s="8" t="n">
        <v>-4184</v>
      </c>
      <c r="U1909" s="9" t="n">
        <v>11941</v>
      </c>
      <c r="V1909" s="10" t="n">
        <v>-2632</v>
      </c>
      <c r="W1909" s="10" t="n">
        <v>-1494</v>
      </c>
      <c r="X1909" s="7" t="n">
        <v>16542</v>
      </c>
      <c r="Y1909" s="8" t="n">
        <v>-1670</v>
      </c>
      <c r="Z1909" s="8" t="n">
        <v>-1944</v>
      </c>
      <c r="AA1909" s="9" t="n">
        <v>12248</v>
      </c>
      <c r="AB1909" s="10" t="n">
        <v>-909</v>
      </c>
      <c r="AC1909" s="10" t="n">
        <v>-573</v>
      </c>
      <c r="AD1909" s="7" t="n">
        <v>15195</v>
      </c>
      <c r="AE1909" s="8" t="n">
        <v>463</v>
      </c>
      <c r="AF1909" s="8" t="n">
        <v>-3256</v>
      </c>
      <c r="AG1909" s="9" t="n">
        <v>15722</v>
      </c>
      <c r="AH1909" s="10" t="n">
        <v>1008</v>
      </c>
      <c r="AI1909" s="10" t="n">
        <v>1391</v>
      </c>
      <c r="AJ1909" s="11" t="n">
        <v>20676</v>
      </c>
      <c r="AK1909" s="12" t="n">
        <v>2344</v>
      </c>
      <c r="AL1909" s="12" t="n">
        <v>2430</v>
      </c>
      <c r="AM1909" s="13" t="n">
        <v>31.5</v>
      </c>
      <c r="AN1909" s="13" t="n">
        <v>25</v>
      </c>
      <c r="AO1909" s="13" t="n">
        <v>132.5</v>
      </c>
      <c r="AP1909" s="13" t="n">
        <v>240.4</v>
      </c>
    </row>
    <row r="1910">
      <c r="A1910" s="5" t="inlineStr">
        <is>
          <t>레이</t>
        </is>
      </c>
      <c r="B1910" s="6" t="inlineStr">
        <is>
          <t>228670</t>
        </is>
      </c>
      <c r="C1910" s="6" t="inlineStr">
        <is>
          <t>연결</t>
        </is>
      </c>
      <c r="D1910" s="6" t="inlineStr">
        <is>
          <t>2026Q2</t>
        </is>
      </c>
      <c r="E1910" s="6" t="inlineStr"/>
      <c r="F1910" s="7" t="inlineStr"/>
      <c r="G1910" s="8" t="inlineStr"/>
      <c r="H1910" s="8" t="inlineStr"/>
      <c r="I1910" s="9" t="n">
        <v>17368</v>
      </c>
      <c r="J1910" s="10" t="n">
        <v>-6719</v>
      </c>
      <c r="K1910" s="10" t="n">
        <v>-5437</v>
      </c>
      <c r="L1910" s="7" t="n">
        <v>24744</v>
      </c>
      <c r="M1910" s="8" t="n">
        <v>-18792</v>
      </c>
      <c r="N1910" s="8" t="n">
        <v>-18190</v>
      </c>
      <c r="O1910" s="9" t="n">
        <v>22470</v>
      </c>
      <c r="P1910" s="10" t="n">
        <v>341</v>
      </c>
      <c r="Q1910" s="10" t="n">
        <v>-2029</v>
      </c>
      <c r="R1910" s="7" t="n">
        <v>15261</v>
      </c>
      <c r="S1910" s="8" t="n">
        <v>-19084</v>
      </c>
      <c r="T1910" s="8" t="n">
        <v>-37671</v>
      </c>
      <c r="U1910" s="9" t="n">
        <v>24464</v>
      </c>
      <c r="V1910" s="10" t="n">
        <v>214</v>
      </c>
      <c r="W1910" s="10" t="n">
        <v>2450</v>
      </c>
      <c r="X1910" s="7" t="n">
        <v>27506</v>
      </c>
      <c r="Y1910" s="8" t="n">
        <v>-1847</v>
      </c>
      <c r="Z1910" s="8" t="n">
        <v>-3654</v>
      </c>
      <c r="AA1910" s="9" t="n">
        <v>30334</v>
      </c>
      <c r="AB1910" s="10" t="n">
        <v>184</v>
      </c>
      <c r="AC1910" s="10" t="n">
        <v>13755</v>
      </c>
      <c r="AD1910" s="7" t="n">
        <v>29019</v>
      </c>
      <c r="AE1910" s="8" t="n">
        <v>-8339</v>
      </c>
      <c r="AF1910" s="8" t="n">
        <v>-12084</v>
      </c>
      <c r="AG1910" s="9" t="n">
        <v>25671</v>
      </c>
      <c r="AH1910" s="10" t="n">
        <v>-3422</v>
      </c>
      <c r="AI1910" s="10" t="n">
        <v>2976</v>
      </c>
      <c r="AJ1910" s="11" t="n">
        <v>34147</v>
      </c>
      <c r="AK1910" s="12" t="n">
        <v>5654</v>
      </c>
      <c r="AL1910" s="12" t="n">
        <v>2544</v>
      </c>
      <c r="AM1910" s="13" t="n">
        <v>33</v>
      </c>
      <c r="AN1910" s="13" t="n">
        <v>24.1</v>
      </c>
      <c r="AO1910" s="13" t="n">
        <v>265.2</v>
      </c>
      <c r="AP1910" s="13" t="n">
        <v>406.1</v>
      </c>
    </row>
    <row r="1911">
      <c r="A1911" s="5" t="inlineStr">
        <is>
          <t>지노믹트리</t>
        </is>
      </c>
      <c r="B1911" s="6" t="inlineStr">
        <is>
          <t>228760</t>
        </is>
      </c>
      <c r="C1911" s="6" t="inlineStr">
        <is>
          <t>연결</t>
        </is>
      </c>
      <c r="D1911" s="6" t="inlineStr">
        <is>
          <t>2026Q2</t>
        </is>
      </c>
      <c r="E1911" s="6" t="inlineStr"/>
      <c r="F1911" s="7" t="inlineStr"/>
      <c r="G1911" s="8" t="inlineStr"/>
      <c r="H1911" s="8" t="inlineStr"/>
      <c r="I1911" s="9" t="n">
        <v>285</v>
      </c>
      <c r="J1911" s="10" t="n">
        <v>-3877</v>
      </c>
      <c r="K1911" s="10" t="n">
        <v>-2709</v>
      </c>
      <c r="L1911" s="7" t="n">
        <v>560</v>
      </c>
      <c r="M1911" s="8" t="n">
        <v>-3896</v>
      </c>
      <c r="N1911" s="8" t="n">
        <v>-2837</v>
      </c>
      <c r="O1911" s="9" t="n">
        <v>693</v>
      </c>
      <c r="P1911" s="10" t="n">
        <v>-3885</v>
      </c>
      <c r="Q1911" s="10" t="n">
        <v>-3089</v>
      </c>
      <c r="R1911" s="7" t="n">
        <v>824</v>
      </c>
      <c r="S1911" s="8" t="n">
        <v>-3655</v>
      </c>
      <c r="T1911" s="8" t="n">
        <v>-1755</v>
      </c>
      <c r="U1911" s="9" t="n">
        <v>316</v>
      </c>
      <c r="V1911" s="10" t="n">
        <v>-3728</v>
      </c>
      <c r="W1911" s="10" t="n">
        <v>-2950</v>
      </c>
      <c r="X1911" s="7" t="n">
        <v>1721</v>
      </c>
      <c r="Y1911" s="8" t="n">
        <v>-1505</v>
      </c>
      <c r="Z1911" s="8" t="n">
        <v>-1451</v>
      </c>
      <c r="AA1911" s="9" t="n">
        <v>897</v>
      </c>
      <c r="AB1911" s="10" t="n">
        <v>-3444</v>
      </c>
      <c r="AC1911" s="10" t="n">
        <v>-2752</v>
      </c>
      <c r="AD1911" s="7" t="n">
        <v>826</v>
      </c>
      <c r="AE1911" s="8" t="n">
        <v>-2621</v>
      </c>
      <c r="AF1911" s="8" t="n">
        <v>-1972</v>
      </c>
      <c r="AG1911" s="9" t="n">
        <v>382</v>
      </c>
      <c r="AH1911" s="10" t="n">
        <v>-3030</v>
      </c>
      <c r="AI1911" s="10" t="n">
        <v>-1995</v>
      </c>
      <c r="AJ1911" s="11" t="n">
        <v>842</v>
      </c>
      <c r="AK1911" s="12" t="n">
        <v>-2644</v>
      </c>
      <c r="AL1911" s="12" t="n">
        <v>-2476</v>
      </c>
      <c r="AM1911" s="13" t="n">
        <v>120.4</v>
      </c>
      <c r="AN1911" s="13" t="n">
        <v>-51.1</v>
      </c>
      <c r="AO1911" s="13" t="n">
        <v>12.7</v>
      </c>
      <c r="AP1911" s="13" t="n">
        <v>-75.7</v>
      </c>
    </row>
    <row r="1912">
      <c r="A1912" s="5" t="inlineStr">
        <is>
          <t>레이언스</t>
        </is>
      </c>
      <c r="B1912" s="6" t="inlineStr">
        <is>
          <t>228850</t>
        </is>
      </c>
      <c r="C1912" s="6" t="inlineStr">
        <is>
          <t>연결</t>
        </is>
      </c>
      <c r="D1912" s="6" t="inlineStr">
        <is>
          <t>2026Q2</t>
        </is>
      </c>
      <c r="E1912" s="6" t="inlineStr">
        <is>
          <t>2023Q4</t>
        </is>
      </c>
      <c r="F1912" s="14" t="n">
        <v>30510</v>
      </c>
      <c r="G1912" s="15" t="n">
        <v>2780</v>
      </c>
      <c r="H1912" s="15" t="n">
        <v>2569</v>
      </c>
      <c r="I1912" s="9" t="n">
        <v>35724</v>
      </c>
      <c r="J1912" s="10" t="n">
        <v>4104</v>
      </c>
      <c r="K1912" s="10" t="n">
        <v>4288</v>
      </c>
      <c r="L1912" s="7" t="n">
        <v>32939</v>
      </c>
      <c r="M1912" s="8" t="n">
        <v>2249</v>
      </c>
      <c r="N1912" s="8" t="n">
        <v>2750</v>
      </c>
      <c r="O1912" s="9" t="n">
        <v>31098</v>
      </c>
      <c r="P1912" s="10" t="n">
        <v>1595</v>
      </c>
      <c r="Q1912" s="10" t="n">
        <v>1718</v>
      </c>
      <c r="R1912" s="7" t="n">
        <v>25803</v>
      </c>
      <c r="S1912" s="8" t="n">
        <v>-1317</v>
      </c>
      <c r="T1912" s="8" t="n">
        <v>-1007</v>
      </c>
      <c r="U1912" s="9" t="n">
        <v>27247</v>
      </c>
      <c r="V1912" s="10" t="n">
        <v>-1731</v>
      </c>
      <c r="W1912" s="10" t="n">
        <v>224</v>
      </c>
      <c r="X1912" s="7" t="n">
        <v>28993</v>
      </c>
      <c r="Y1912" s="8" t="n">
        <v>-310</v>
      </c>
      <c r="Z1912" s="8" t="n">
        <v>-1259</v>
      </c>
      <c r="AA1912" s="9" t="n">
        <v>29349</v>
      </c>
      <c r="AB1912" s="10" t="n">
        <v>1015</v>
      </c>
      <c r="AC1912" s="10" t="n">
        <v>2476</v>
      </c>
      <c r="AD1912" s="7" t="n">
        <v>29134</v>
      </c>
      <c r="AE1912" s="8" t="n">
        <v>-2924</v>
      </c>
      <c r="AF1912" s="8" t="n">
        <v>-6762</v>
      </c>
      <c r="AG1912" s="9" t="n">
        <v>36751</v>
      </c>
      <c r="AH1912" s="10" t="n">
        <v>3584</v>
      </c>
      <c r="AI1912" s="10" t="n">
        <v>5855</v>
      </c>
      <c r="AJ1912" s="11" t="n">
        <v>36458</v>
      </c>
      <c r="AK1912" s="12" t="n">
        <v>2512</v>
      </c>
      <c r="AL1912" s="12" t="n">
        <v>2567</v>
      </c>
      <c r="AM1912" s="13" t="n">
        <v>-0.8</v>
      </c>
      <c r="AN1912" s="13" t="n">
        <v>25.7</v>
      </c>
      <c r="AO1912" s="13" t="n">
        <v>-29.9</v>
      </c>
      <c r="AP1912" s="13" t="n">
        <v>910.3</v>
      </c>
    </row>
    <row r="1913">
      <c r="A1913" s="5" t="inlineStr">
        <is>
          <t>젠큐릭스</t>
        </is>
      </c>
      <c r="B1913" s="6" t="inlineStr">
        <is>
          <t>229000</t>
        </is>
      </c>
      <c r="C1913" s="6" t="inlineStr">
        <is>
          <t>별도</t>
        </is>
      </c>
      <c r="D1913" s="6" t="inlineStr">
        <is>
          <t>2026Q2</t>
        </is>
      </c>
      <c r="E1913" s="6" t="inlineStr"/>
      <c r="F1913" s="7" t="inlineStr"/>
      <c r="G1913" s="8" t="inlineStr"/>
      <c r="H1913" s="8" t="inlineStr"/>
      <c r="I1913" s="9" t="n">
        <v>816</v>
      </c>
      <c r="J1913" s="10" t="n">
        <v>-2683</v>
      </c>
      <c r="K1913" s="10" t="n">
        <v>-3420</v>
      </c>
      <c r="L1913" s="7" t="n">
        <v>563</v>
      </c>
      <c r="M1913" s="8" t="n">
        <v>-2781</v>
      </c>
      <c r="N1913" s="8" t="n">
        <v>-4121</v>
      </c>
      <c r="O1913" s="9" t="n">
        <v>1437</v>
      </c>
      <c r="P1913" s="10" t="n">
        <v>-1794</v>
      </c>
      <c r="Q1913" s="10" t="n">
        <v>-2031</v>
      </c>
      <c r="R1913" s="7" t="n">
        <v>2318</v>
      </c>
      <c r="S1913" s="8" t="n">
        <v>-1271</v>
      </c>
      <c r="T1913" s="8" t="n">
        <v>5424</v>
      </c>
      <c r="U1913" s="9" t="n">
        <v>1706</v>
      </c>
      <c r="V1913" s="10" t="n">
        <v>-1571</v>
      </c>
      <c r="W1913" s="10" t="n">
        <v>-1998</v>
      </c>
      <c r="X1913" s="7" t="n">
        <v>2002</v>
      </c>
      <c r="Y1913" s="8" t="n">
        <v>-1310</v>
      </c>
      <c r="Z1913" s="8" t="n">
        <v>-1537</v>
      </c>
      <c r="AA1913" s="9" t="n">
        <v>1728</v>
      </c>
      <c r="AB1913" s="10" t="n">
        <v>-1632</v>
      </c>
      <c r="AC1913" s="10" t="n">
        <v>-2034</v>
      </c>
      <c r="AD1913" s="7" t="n">
        <v>2112</v>
      </c>
      <c r="AE1913" s="8" t="n">
        <v>-2055</v>
      </c>
      <c r="AF1913" s="8" t="n">
        <v>-1817</v>
      </c>
      <c r="AG1913" s="9" t="n">
        <v>2101</v>
      </c>
      <c r="AH1913" s="10" t="n">
        <v>-1009</v>
      </c>
      <c r="AI1913" s="10" t="n">
        <v>-2371</v>
      </c>
      <c r="AJ1913" s="11" t="n">
        <v>2989</v>
      </c>
      <c r="AK1913" s="12" t="n">
        <v>-702</v>
      </c>
      <c r="AL1913" s="12" t="n">
        <v>-1285</v>
      </c>
      <c r="AM1913" s="13" t="n">
        <v>42.3</v>
      </c>
      <c r="AN1913" s="13" t="n">
        <v>49.3</v>
      </c>
      <c r="AO1913" s="13" t="n">
        <v>30.4</v>
      </c>
      <c r="AP1913" s="13" t="n">
        <v>46.4</v>
      </c>
    </row>
    <row r="1914">
      <c r="A1914" s="5" t="inlineStr">
        <is>
          <t>LS에코에너지</t>
        </is>
      </c>
      <c r="B1914" s="6" t="inlineStr">
        <is>
          <t>229640</t>
        </is>
      </c>
      <c r="C1914" s="6" t="inlineStr">
        <is>
          <t>연결</t>
        </is>
      </c>
      <c r="D1914" s="6" t="inlineStr">
        <is>
          <t>2026Q2</t>
        </is>
      </c>
      <c r="E1914" s="6" t="inlineStr">
        <is>
          <t>2023Q4</t>
        </is>
      </c>
      <c r="F1914" s="14" t="n">
        <v>199847</v>
      </c>
      <c r="G1914" s="15" t="n">
        <v>7215</v>
      </c>
      <c r="H1914" s="15" t="n">
        <v>504</v>
      </c>
      <c r="I1914" s="9" t="n">
        <v>179887</v>
      </c>
      <c r="J1914" s="10" t="n">
        <v>9700</v>
      </c>
      <c r="K1914" s="10" t="n">
        <v>7969</v>
      </c>
      <c r="L1914" s="7" t="n">
        <v>232582</v>
      </c>
      <c r="M1914" s="8" t="n">
        <v>14730</v>
      </c>
      <c r="N1914" s="8" t="n">
        <v>12987</v>
      </c>
      <c r="O1914" s="9" t="n">
        <v>223390</v>
      </c>
      <c r="P1914" s="10" t="n">
        <v>12550</v>
      </c>
      <c r="Q1914" s="10" t="n">
        <v>8378</v>
      </c>
      <c r="R1914" s="7" t="n">
        <v>233107</v>
      </c>
      <c r="S1914" s="8" t="n">
        <v>7788</v>
      </c>
      <c r="T1914" s="8" t="n">
        <v>6013</v>
      </c>
      <c r="U1914" s="9" t="n">
        <v>228342</v>
      </c>
      <c r="V1914" s="10" t="n">
        <v>15337</v>
      </c>
      <c r="W1914" s="10" t="n">
        <v>12743</v>
      </c>
      <c r="X1914" s="7" t="n">
        <v>250236</v>
      </c>
      <c r="Y1914" s="8" t="n">
        <v>23594</v>
      </c>
      <c r="Z1914" s="8" t="n">
        <v>18175</v>
      </c>
      <c r="AA1914" s="9" t="n">
        <v>232780</v>
      </c>
      <c r="AB1914" s="10" t="n">
        <v>14767</v>
      </c>
      <c r="AC1914" s="10" t="n">
        <v>11231</v>
      </c>
      <c r="AD1914" s="7" t="n">
        <v>248698</v>
      </c>
      <c r="AE1914" s="8" t="n">
        <v>13080</v>
      </c>
      <c r="AF1914" s="8" t="n">
        <v>6327</v>
      </c>
      <c r="AG1914" s="9" t="n">
        <v>285479</v>
      </c>
      <c r="AH1914" s="10" t="n">
        <v>20103</v>
      </c>
      <c r="AI1914" s="10" t="n">
        <v>14234</v>
      </c>
      <c r="AJ1914" s="11" t="n">
        <v>350271</v>
      </c>
      <c r="AK1914" s="12" t="n">
        <v>25256</v>
      </c>
      <c r="AL1914" s="12" t="n">
        <v>19138</v>
      </c>
      <c r="AM1914" s="13" t="n">
        <v>22.7</v>
      </c>
      <c r="AN1914" s="13" t="n">
        <v>40</v>
      </c>
      <c r="AO1914" s="13" t="n">
        <v>25.6</v>
      </c>
      <c r="AP1914" s="13" t="n">
        <v>7</v>
      </c>
    </row>
    <row r="1915">
      <c r="A1915" s="5" t="inlineStr">
        <is>
          <t>에치에프알</t>
        </is>
      </c>
      <c r="B1915" s="6" t="inlineStr">
        <is>
          <t>230240</t>
        </is>
      </c>
      <c r="C1915" s="6" t="inlineStr">
        <is>
          <t>연결</t>
        </is>
      </c>
      <c r="D1915" s="6" t="inlineStr">
        <is>
          <t>2026Q2</t>
        </is>
      </c>
      <c r="E1915" s="6" t="inlineStr"/>
      <c r="F1915" s="7" t="inlineStr"/>
      <c r="G1915" s="8" t="inlineStr"/>
      <c r="H1915" s="8" t="inlineStr"/>
      <c r="I1915" s="9" t="n">
        <v>31315</v>
      </c>
      <c r="J1915" s="10" t="n">
        <v>-11720</v>
      </c>
      <c r="K1915" s="10" t="n">
        <v>-7640</v>
      </c>
      <c r="L1915" s="7" t="n">
        <v>35285</v>
      </c>
      <c r="M1915" s="8" t="n">
        <v>-5205</v>
      </c>
      <c r="N1915" s="8" t="n">
        <v>-10279</v>
      </c>
      <c r="O1915" s="9" t="n">
        <v>31883</v>
      </c>
      <c r="P1915" s="10" t="n">
        <v>-2826</v>
      </c>
      <c r="Q1915" s="10" t="n">
        <v>-453</v>
      </c>
      <c r="R1915" s="7" t="n">
        <v>58611</v>
      </c>
      <c r="S1915" s="8" t="n">
        <v>-486</v>
      </c>
      <c r="T1915" s="8" t="n">
        <v>-113</v>
      </c>
      <c r="U1915" s="9" t="n">
        <v>26804</v>
      </c>
      <c r="V1915" s="10" t="n">
        <v>-3004</v>
      </c>
      <c r="W1915" s="10" t="n">
        <v>262</v>
      </c>
      <c r="X1915" s="7" t="n">
        <v>41457</v>
      </c>
      <c r="Y1915" s="8" t="n">
        <v>4036</v>
      </c>
      <c r="Z1915" s="8" t="n">
        <v>4236</v>
      </c>
      <c r="AA1915" s="9" t="n">
        <v>25403</v>
      </c>
      <c r="AB1915" s="10" t="n">
        <v>-3121</v>
      </c>
      <c r="AC1915" s="10" t="n">
        <v>-4156</v>
      </c>
      <c r="AD1915" s="7" t="n">
        <v>48319</v>
      </c>
      <c r="AE1915" s="8" t="n">
        <v>507</v>
      </c>
      <c r="AF1915" s="8" t="n">
        <v>-391</v>
      </c>
      <c r="AG1915" s="9" t="n">
        <v>16258</v>
      </c>
      <c r="AH1915" s="10" t="n">
        <v>-5716</v>
      </c>
      <c r="AI1915" s="10" t="n">
        <v>-7829</v>
      </c>
      <c r="AJ1915" s="11" t="n">
        <v>24144</v>
      </c>
      <c r="AK1915" s="12" t="n">
        <v>-7673</v>
      </c>
      <c r="AL1915" s="12" t="n">
        <v>-4758</v>
      </c>
      <c r="AM1915" s="13" t="n">
        <v>48.5</v>
      </c>
      <c r="AN1915" s="13" t="n">
        <v>-41.8</v>
      </c>
      <c r="AO1915" s="13" t="n">
        <v>-34.2</v>
      </c>
      <c r="AP1915" s="13" t="n">
        <v>-290.1</v>
      </c>
    </row>
    <row r="1916">
      <c r="A1916" s="5" t="inlineStr">
        <is>
          <t>에코마케팅</t>
        </is>
      </c>
      <c r="B1916" s="6" t="inlineStr">
        <is>
          <t>230360</t>
        </is>
      </c>
      <c r="C1916" s="6" t="inlineStr">
        <is>
          <t>연결</t>
        </is>
      </c>
      <c r="D1916" s="6" t="inlineStr">
        <is>
          <t>2026Q2</t>
        </is>
      </c>
      <c r="E1916" s="6" t="inlineStr"/>
      <c r="F1916" s="7" t="inlineStr"/>
      <c r="G1916" s="8" t="inlineStr"/>
      <c r="H1916" s="8" t="inlineStr"/>
      <c r="I1916" s="9" t="n">
        <v>62252</v>
      </c>
      <c r="J1916" s="10" t="n">
        <v>5067</v>
      </c>
      <c r="K1916" s="10" t="n">
        <v>4935</v>
      </c>
      <c r="L1916" s="7" t="n">
        <v>98071</v>
      </c>
      <c r="M1916" s="8" t="n">
        <v>15759</v>
      </c>
      <c r="N1916" s="8" t="n">
        <v>17905</v>
      </c>
      <c r="O1916" s="9" t="n">
        <v>100395</v>
      </c>
      <c r="P1916" s="10" t="n">
        <v>15401</v>
      </c>
      <c r="Q1916" s="10" t="n">
        <v>10665</v>
      </c>
      <c r="R1916" s="7" t="n">
        <v>96483</v>
      </c>
      <c r="S1916" s="8" t="n">
        <v>10741</v>
      </c>
      <c r="T1916" s="8" t="n">
        <v>2730</v>
      </c>
      <c r="U1916" s="9" t="n">
        <v>72904</v>
      </c>
      <c r="V1916" s="10" t="n">
        <v>2382</v>
      </c>
      <c r="W1916" s="10" t="n">
        <v>1821</v>
      </c>
      <c r="X1916" s="7" t="n">
        <v>130300</v>
      </c>
      <c r="Y1916" s="8" t="n">
        <v>19427</v>
      </c>
      <c r="Z1916" s="8" t="n">
        <v>18947</v>
      </c>
      <c r="AA1916" s="9" t="n">
        <v>117767</v>
      </c>
      <c r="AB1916" s="10" t="n">
        <v>15510</v>
      </c>
      <c r="AC1916" s="10" t="n">
        <v>7154</v>
      </c>
      <c r="AD1916" s="7" t="n">
        <v>127842</v>
      </c>
      <c r="AE1916" s="8" t="n">
        <v>8128</v>
      </c>
      <c r="AF1916" s="8" t="n">
        <v>-10235</v>
      </c>
      <c r="AG1916" s="9" t="n">
        <v>89407</v>
      </c>
      <c r="AH1916" s="10" t="n">
        <v>5809</v>
      </c>
      <c r="AI1916" s="10" t="n">
        <v>5057</v>
      </c>
      <c r="AJ1916" s="11" t="n">
        <v>144131</v>
      </c>
      <c r="AK1916" s="12" t="n">
        <v>25008</v>
      </c>
      <c r="AL1916" s="12" t="n">
        <v>16919</v>
      </c>
      <c r="AM1916" s="13" t="n">
        <v>61.2</v>
      </c>
      <c r="AN1916" s="13" t="n">
        <v>10.6</v>
      </c>
      <c r="AO1916" s="13" t="n">
        <v>330.5</v>
      </c>
      <c r="AP1916" s="13" t="n">
        <v>28.7</v>
      </c>
    </row>
    <row r="1917">
      <c r="A1917" s="5" t="inlineStr">
        <is>
          <t>와이씨</t>
        </is>
      </c>
      <c r="B1917" s="6" t="inlineStr">
        <is>
          <t>232140</t>
        </is>
      </c>
      <c r="C1917" s="6" t="inlineStr">
        <is>
          <t>연결</t>
        </is>
      </c>
      <c r="D1917" s="6" t="inlineStr">
        <is>
          <t>2026Q2</t>
        </is>
      </c>
      <c r="E1917" s="6" t="inlineStr"/>
      <c r="F1917" s="7" t="inlineStr"/>
      <c r="G1917" s="8" t="inlineStr"/>
      <c r="H1917" s="8" t="inlineStr"/>
      <c r="I1917" s="9" t="n">
        <v>33954</v>
      </c>
      <c r="J1917" s="10" t="n">
        <v>53</v>
      </c>
      <c r="K1917" s="10" t="n">
        <v>1267</v>
      </c>
      <c r="L1917" s="7" t="n">
        <v>65028</v>
      </c>
      <c r="M1917" s="8" t="n">
        <v>9992</v>
      </c>
      <c r="N1917" s="8" t="n">
        <v>8867</v>
      </c>
      <c r="O1917" s="9" t="n">
        <v>48332</v>
      </c>
      <c r="P1917" s="10" t="n">
        <v>-550</v>
      </c>
      <c r="Q1917" s="10" t="n">
        <v>-1505</v>
      </c>
      <c r="R1917" s="7" t="n">
        <v>63927</v>
      </c>
      <c r="S1917" s="8" t="n">
        <v>1105</v>
      </c>
      <c r="T1917" s="8" t="n">
        <v>4297</v>
      </c>
      <c r="U1917" s="9" t="n">
        <v>38961</v>
      </c>
      <c r="V1917" s="10" t="n">
        <v>-1505</v>
      </c>
      <c r="W1917" s="10" t="n">
        <v>-707</v>
      </c>
      <c r="X1917" s="7" t="n">
        <v>80404</v>
      </c>
      <c r="Y1917" s="8" t="n">
        <v>4364</v>
      </c>
      <c r="Z1917" s="8" t="n">
        <v>3507</v>
      </c>
      <c r="AA1917" s="9" t="n">
        <v>66566</v>
      </c>
      <c r="AB1917" s="10" t="n">
        <v>4889</v>
      </c>
      <c r="AC1917" s="10" t="n">
        <v>5902</v>
      </c>
      <c r="AD1917" s="7" t="n">
        <v>86699</v>
      </c>
      <c r="AE1917" s="8" t="n">
        <v>9242</v>
      </c>
      <c r="AF1917" s="8" t="n">
        <v>20282</v>
      </c>
      <c r="AG1917" s="9" t="n">
        <v>33312</v>
      </c>
      <c r="AH1917" s="10" t="n">
        <v>3994</v>
      </c>
      <c r="AI1917" s="10" t="n">
        <v>6462</v>
      </c>
      <c r="AJ1917" s="11" t="n">
        <v>104992</v>
      </c>
      <c r="AK1917" s="12" t="n">
        <v>15052</v>
      </c>
      <c r="AL1917" s="12" t="n">
        <v>17853</v>
      </c>
      <c r="AM1917" s="13" t="n">
        <v>215.2</v>
      </c>
      <c r="AN1917" s="13" t="n">
        <v>30.6</v>
      </c>
      <c r="AO1917" s="13" t="n">
        <v>276.9</v>
      </c>
      <c r="AP1917" s="13" t="n">
        <v>244.9</v>
      </c>
    </row>
    <row r="1918">
      <c r="A1918" s="5" t="inlineStr">
        <is>
          <t>라온로보틱스</t>
        </is>
      </c>
      <c r="B1918" s="6" t="inlineStr">
        <is>
          <t>232680</t>
        </is>
      </c>
      <c r="C1918" s="6" t="inlineStr">
        <is>
          <t>연결</t>
        </is>
      </c>
      <c r="D1918" s="6" t="inlineStr">
        <is>
          <t>2026Q2</t>
        </is>
      </c>
      <c r="E1918" s="6" t="inlineStr">
        <is>
          <t>2023Q4</t>
        </is>
      </c>
      <c r="F1918" s="14" t="n">
        <v>10471</v>
      </c>
      <c r="G1918" s="15" t="n">
        <v>1746</v>
      </c>
      <c r="H1918" s="15" t="n">
        <v>1729</v>
      </c>
      <c r="I1918" s="9" t="n">
        <v>8494</v>
      </c>
      <c r="J1918" s="10" t="n">
        <v>64</v>
      </c>
      <c r="K1918" s="10" t="n">
        <v>272</v>
      </c>
      <c r="L1918" s="7" t="n">
        <v>10462</v>
      </c>
      <c r="M1918" s="8" t="n">
        <v>830</v>
      </c>
      <c r="N1918" s="8" t="n">
        <v>2129</v>
      </c>
      <c r="O1918" s="9" t="n">
        <v>15046</v>
      </c>
      <c r="P1918" s="10" t="n">
        <v>1149</v>
      </c>
      <c r="Q1918" s="10" t="n">
        <v>1066</v>
      </c>
      <c r="R1918" s="7" t="n">
        <v>15238</v>
      </c>
      <c r="S1918" s="8" t="n">
        <v>443</v>
      </c>
      <c r="T1918" s="8" t="n">
        <v>1764</v>
      </c>
      <c r="U1918" s="9" t="n">
        <v>12183</v>
      </c>
      <c r="V1918" s="10" t="n">
        <v>6</v>
      </c>
      <c r="W1918" s="10" t="n">
        <v>-78</v>
      </c>
      <c r="X1918" s="7" t="n">
        <v>13516</v>
      </c>
      <c r="Y1918" s="8" t="n">
        <v>1530</v>
      </c>
      <c r="Z1918" s="8" t="n">
        <v>693</v>
      </c>
      <c r="AA1918" s="9" t="n">
        <v>12981</v>
      </c>
      <c r="AB1918" s="10" t="n">
        <v>1027</v>
      </c>
      <c r="AC1918" s="10" t="n">
        <v>989</v>
      </c>
      <c r="AD1918" s="7" t="n">
        <v>15162</v>
      </c>
      <c r="AE1918" s="8" t="n">
        <v>1387</v>
      </c>
      <c r="AF1918" s="8" t="n">
        <v>2087</v>
      </c>
      <c r="AG1918" s="9" t="n">
        <v>14176</v>
      </c>
      <c r="AH1918" s="10" t="n">
        <v>865</v>
      </c>
      <c r="AI1918" s="10" t="n">
        <v>1344</v>
      </c>
      <c r="AJ1918" s="11" t="n">
        <v>18216</v>
      </c>
      <c r="AK1918" s="12" t="n">
        <v>450</v>
      </c>
      <c r="AL1918" s="12" t="n">
        <v>318</v>
      </c>
      <c r="AM1918" s="13" t="n">
        <v>28.5</v>
      </c>
      <c r="AN1918" s="13" t="n">
        <v>34.8</v>
      </c>
      <c r="AO1918" s="13" t="n">
        <v>-48</v>
      </c>
      <c r="AP1918" s="13" t="n">
        <v>-70.59999999999999</v>
      </c>
    </row>
    <row r="1919">
      <c r="A1919" s="5" t="inlineStr">
        <is>
          <t>아이티센피엔에스</t>
        </is>
      </c>
      <c r="B1919" s="6" t="inlineStr">
        <is>
          <t>232830</t>
        </is>
      </c>
      <c r="C1919" s="6" t="inlineStr">
        <is>
          <t>연결</t>
        </is>
      </c>
      <c r="D1919" s="6" t="inlineStr">
        <is>
          <t>2026Q2</t>
        </is>
      </c>
      <c r="E1919" s="6" t="inlineStr"/>
      <c r="F1919" s="7" t="inlineStr"/>
      <c r="G1919" s="8" t="inlineStr"/>
      <c r="H1919" s="8" t="inlineStr"/>
      <c r="I1919" s="9" t="n">
        <v>4060</v>
      </c>
      <c r="J1919" s="10" t="n">
        <v>-1280</v>
      </c>
      <c r="K1919" s="10" t="n">
        <v>-1186</v>
      </c>
      <c r="L1919" s="7" t="n">
        <v>4388</v>
      </c>
      <c r="M1919" s="8" t="n">
        <v>-632</v>
      </c>
      <c r="N1919" s="8" t="n">
        <v>-594</v>
      </c>
      <c r="O1919" s="9" t="n">
        <v>4891</v>
      </c>
      <c r="P1919" s="10" t="n">
        <v>-435</v>
      </c>
      <c r="Q1919" s="10" t="n">
        <v>-436</v>
      </c>
      <c r="R1919" s="7" t="n">
        <v>91084</v>
      </c>
      <c r="S1919" s="8" t="n">
        <v>777</v>
      </c>
      <c r="T1919" s="8" t="n">
        <v>-300</v>
      </c>
      <c r="U1919" s="9" t="n">
        <v>55867</v>
      </c>
      <c r="V1919" s="10" t="n">
        <v>-1128</v>
      </c>
      <c r="W1919" s="10" t="n">
        <v>-2084</v>
      </c>
      <c r="X1919" s="7" t="n">
        <v>76842</v>
      </c>
      <c r="Y1919" s="8" t="n">
        <v>1524</v>
      </c>
      <c r="Z1919" s="8" t="n">
        <v>892</v>
      </c>
      <c r="AA1919" s="9" t="n">
        <v>75628</v>
      </c>
      <c r="AB1919" s="10" t="n">
        <v>-310</v>
      </c>
      <c r="AC1919" s="10" t="n">
        <v>-1741</v>
      </c>
      <c r="AD1919" s="7" t="n">
        <v>61214</v>
      </c>
      <c r="AE1919" s="8" t="n">
        <v>-389</v>
      </c>
      <c r="AF1919" s="8" t="n">
        <v>-1661</v>
      </c>
      <c r="AG1919" s="9" t="n">
        <v>53878</v>
      </c>
      <c r="AH1919" s="10" t="n">
        <v>-836</v>
      </c>
      <c r="AI1919" s="10" t="n">
        <v>-2284</v>
      </c>
      <c r="AJ1919" s="11" t="n">
        <v>64650</v>
      </c>
      <c r="AK1919" s="12" t="n">
        <v>-918</v>
      </c>
      <c r="AL1919" s="12" t="n">
        <v>1781</v>
      </c>
      <c r="AM1919" s="13" t="n">
        <v>20</v>
      </c>
      <c r="AN1919" s="13" t="n">
        <v>-15.9</v>
      </c>
      <c r="AO1919" s="13" t="n">
        <v>-9.800000000000001</v>
      </c>
      <c r="AP1919" s="13" t="n">
        <v>-160.2</v>
      </c>
    </row>
    <row r="1920">
      <c r="A1920" s="5" t="inlineStr">
        <is>
          <t>싸이닉솔루션</t>
        </is>
      </c>
      <c r="B1920" s="6" t="inlineStr">
        <is>
          <t>234030</t>
        </is>
      </c>
      <c r="C1920" s="6" t="inlineStr">
        <is>
          <t>연결</t>
        </is>
      </c>
      <c r="D1920" s="6" t="inlineStr">
        <is>
          <t>2026Q2</t>
        </is>
      </c>
      <c r="E1920" s="6" t="inlineStr"/>
      <c r="F1920" s="7" t="inlineStr"/>
      <c r="G1920" s="8" t="inlineStr"/>
      <c r="H1920" s="8" t="inlineStr"/>
      <c r="I1920" s="9" t="inlineStr"/>
      <c r="J1920" s="10" t="inlineStr"/>
      <c r="K1920" s="10" t="inlineStr"/>
      <c r="L1920" s="7" t="inlineStr"/>
      <c r="M1920" s="8" t="inlineStr"/>
      <c r="N1920" s="8" t="inlineStr"/>
      <c r="O1920" s="9" t="inlineStr"/>
      <c r="P1920" s="10" t="inlineStr"/>
      <c r="Q1920" s="10" t="inlineStr"/>
      <c r="R1920" s="7" t="inlineStr"/>
      <c r="S1920" s="8" t="inlineStr"/>
      <c r="T1920" s="8" t="inlineStr"/>
      <c r="U1920" s="9" t="inlineStr"/>
      <c r="V1920" s="10" t="inlineStr"/>
      <c r="W1920" s="10" t="inlineStr"/>
      <c r="X1920" s="7" t="inlineStr"/>
      <c r="Y1920" s="8" t="inlineStr"/>
      <c r="Z1920" s="8" t="inlineStr"/>
      <c r="AA1920" s="9" t="n">
        <v>42857</v>
      </c>
      <c r="AB1920" s="10" t="n">
        <v>-167</v>
      </c>
      <c r="AC1920" s="10" t="n">
        <v>587</v>
      </c>
      <c r="AD1920" s="7" t="inlineStr"/>
      <c r="AE1920" s="8" t="inlineStr"/>
      <c r="AF1920" s="8" t="inlineStr"/>
      <c r="AG1920" s="9" t="n">
        <v>40387</v>
      </c>
      <c r="AH1920" s="10" t="n">
        <v>-32</v>
      </c>
      <c r="AI1920" s="10" t="n">
        <v>1561</v>
      </c>
      <c r="AJ1920" s="11" t="n">
        <v>49996</v>
      </c>
      <c r="AK1920" s="12" t="n">
        <v>753</v>
      </c>
      <c r="AL1920" s="12" t="n">
        <v>1046</v>
      </c>
      <c r="AM1920" s="13" t="n">
        <v>23.8</v>
      </c>
      <c r="AN1920" s="13" t="inlineStr"/>
      <c r="AO1920" s="13" t="n">
        <v>2453.1</v>
      </c>
      <c r="AP1920" s="13" t="inlineStr"/>
    </row>
    <row r="1921">
      <c r="A1921" s="5" t="inlineStr">
        <is>
          <t>JW생명과학</t>
        </is>
      </c>
      <c r="B1921" s="6" t="inlineStr">
        <is>
          <t>234080</t>
        </is>
      </c>
      <c r="C1921" s="6" t="inlineStr">
        <is>
          <t>연결</t>
        </is>
      </c>
      <c r="D1921" s="6" t="inlineStr">
        <is>
          <t>2026Q2</t>
        </is>
      </c>
      <c r="E1921" s="6" t="inlineStr"/>
      <c r="F1921" s="7" t="inlineStr"/>
      <c r="G1921" s="8" t="inlineStr"/>
      <c r="H1921" s="8" t="inlineStr"/>
      <c r="I1921" s="9" t="n">
        <v>55334</v>
      </c>
      <c r="J1921" s="10" t="n">
        <v>8601</v>
      </c>
      <c r="K1921" s="10" t="n">
        <v>5133</v>
      </c>
      <c r="L1921" s="7" t="n">
        <v>54397</v>
      </c>
      <c r="M1921" s="8" t="n">
        <v>8380</v>
      </c>
      <c r="N1921" s="8" t="n">
        <v>6657</v>
      </c>
      <c r="O1921" s="9" t="n">
        <v>57952</v>
      </c>
      <c r="P1921" s="10" t="n">
        <v>9285</v>
      </c>
      <c r="Q1921" s="10" t="n">
        <v>6762</v>
      </c>
      <c r="R1921" s="7" t="n">
        <v>54795</v>
      </c>
      <c r="S1921" s="8" t="n">
        <v>9592</v>
      </c>
      <c r="T1921" s="8" t="n">
        <v>25436</v>
      </c>
      <c r="U1921" s="9" t="n">
        <v>68631</v>
      </c>
      <c r="V1921" s="10" t="n">
        <v>9205</v>
      </c>
      <c r="W1921" s="10" t="n">
        <v>6107</v>
      </c>
      <c r="X1921" s="7" t="n">
        <v>62261</v>
      </c>
      <c r="Y1921" s="8" t="n">
        <v>9382</v>
      </c>
      <c r="Z1921" s="8" t="n">
        <v>11180</v>
      </c>
      <c r="AA1921" s="9" t="n">
        <v>62610</v>
      </c>
      <c r="AB1921" s="10" t="n">
        <v>7076</v>
      </c>
      <c r="AC1921" s="10" t="n">
        <v>4866</v>
      </c>
      <c r="AD1921" s="7" t="n">
        <v>64327</v>
      </c>
      <c r="AE1921" s="8" t="n">
        <v>7581</v>
      </c>
      <c r="AF1921" s="8" t="n">
        <v>6453</v>
      </c>
      <c r="AG1921" s="9" t="n">
        <v>63522</v>
      </c>
      <c r="AH1921" s="10" t="n">
        <v>9325</v>
      </c>
      <c r="AI1921" s="10" t="n">
        <v>6687</v>
      </c>
      <c r="AJ1921" s="11" t="n">
        <v>63246</v>
      </c>
      <c r="AK1921" s="12" t="n">
        <v>9346</v>
      </c>
      <c r="AL1921" s="12" t="n">
        <v>8014</v>
      </c>
      <c r="AM1921" s="13" t="n">
        <v>-0.4</v>
      </c>
      <c r="AN1921" s="13" t="n">
        <v>1.6</v>
      </c>
      <c r="AO1921" s="13" t="n">
        <v>0.2</v>
      </c>
      <c r="AP1921" s="13" t="n">
        <v>-0.4</v>
      </c>
    </row>
    <row r="1922">
      <c r="A1922" s="5" t="inlineStr">
        <is>
          <t>폴라리스세원</t>
        </is>
      </c>
      <c r="B1922" s="6" t="inlineStr">
        <is>
          <t>234100</t>
        </is>
      </c>
      <c r="C1922" s="6" t="inlineStr">
        <is>
          <t>연결</t>
        </is>
      </c>
      <c r="D1922" s="6" t="inlineStr">
        <is>
          <t>2026Q2</t>
        </is>
      </c>
      <c r="E1922" s="6" t="inlineStr"/>
      <c r="F1922" s="7" t="inlineStr"/>
      <c r="G1922" s="8" t="inlineStr"/>
      <c r="H1922" s="8" t="inlineStr"/>
      <c r="I1922" s="9" t="n">
        <v>39295</v>
      </c>
      <c r="J1922" s="10" t="n">
        <v>1225</v>
      </c>
      <c r="K1922" s="10" t="n">
        <v>3896</v>
      </c>
      <c r="L1922" s="7" t="n">
        <v>53524</v>
      </c>
      <c r="M1922" s="8" t="n">
        <v>2281</v>
      </c>
      <c r="N1922" s="8" t="n">
        <v>4249</v>
      </c>
      <c r="O1922" s="9" t="n">
        <v>55460</v>
      </c>
      <c r="P1922" s="10" t="n">
        <v>1420</v>
      </c>
      <c r="Q1922" s="10" t="n">
        <v>2423</v>
      </c>
      <c r="R1922" s="7" t="n">
        <v>56365</v>
      </c>
      <c r="S1922" s="8" t="n">
        <v>-3773</v>
      </c>
      <c r="T1922" s="8" t="n">
        <v>3256</v>
      </c>
      <c r="U1922" s="9" t="n">
        <v>55007</v>
      </c>
      <c r="V1922" s="10" t="n">
        <v>779</v>
      </c>
      <c r="W1922" s="10" t="n">
        <v>1001</v>
      </c>
      <c r="X1922" s="7" t="n">
        <v>59951</v>
      </c>
      <c r="Y1922" s="8" t="n">
        <v>1637</v>
      </c>
      <c r="Z1922" s="8" t="n">
        <v>1801</v>
      </c>
      <c r="AA1922" s="9" t="n">
        <v>63366</v>
      </c>
      <c r="AB1922" s="10" t="n">
        <v>2609</v>
      </c>
      <c r="AC1922" s="10" t="n">
        <v>3208</v>
      </c>
      <c r="AD1922" s="7" t="n">
        <v>64311</v>
      </c>
      <c r="AE1922" s="8" t="n">
        <v>-1675</v>
      </c>
      <c r="AF1922" s="8" t="n">
        <v>-3041</v>
      </c>
      <c r="AG1922" s="9" t="n">
        <v>54484</v>
      </c>
      <c r="AH1922" s="10" t="n">
        <v>1179</v>
      </c>
      <c r="AI1922" s="10" t="n">
        <v>3601</v>
      </c>
      <c r="AJ1922" s="11" t="n">
        <v>62369</v>
      </c>
      <c r="AK1922" s="12" t="n">
        <v>1012</v>
      </c>
      <c r="AL1922" s="12" t="n">
        <v>1179</v>
      </c>
      <c r="AM1922" s="13" t="n">
        <v>14.5</v>
      </c>
      <c r="AN1922" s="13" t="n">
        <v>4</v>
      </c>
      <c r="AO1922" s="13" t="n">
        <v>-14.2</v>
      </c>
      <c r="AP1922" s="13" t="n">
        <v>-38.2</v>
      </c>
    </row>
    <row r="1923">
      <c r="A1923" s="5" t="inlineStr">
        <is>
          <t>에스트래픽</t>
        </is>
      </c>
      <c r="B1923" s="6" t="inlineStr">
        <is>
          <t>234300</t>
        </is>
      </c>
      <c r="C1923" s="6" t="inlineStr">
        <is>
          <t>연결</t>
        </is>
      </c>
      <c r="D1923" s="6" t="inlineStr">
        <is>
          <t>2026Q2</t>
        </is>
      </c>
      <c r="E1923" s="6" t="inlineStr"/>
      <c r="F1923" s="7" t="inlineStr"/>
      <c r="G1923" s="8" t="inlineStr"/>
      <c r="H1923" s="8" t="inlineStr"/>
      <c r="I1923" s="9" t="n">
        <v>24133</v>
      </c>
      <c r="J1923" s="10" t="n">
        <v>-2643</v>
      </c>
      <c r="K1923" s="10" t="n">
        <v>-2061</v>
      </c>
      <c r="L1923" s="7" t="n">
        <v>34383</v>
      </c>
      <c r="M1923" s="8" t="n">
        <v>3306</v>
      </c>
      <c r="N1923" s="8" t="n">
        <v>2145</v>
      </c>
      <c r="O1923" s="9" t="n">
        <v>49926</v>
      </c>
      <c r="P1923" s="10" t="n">
        <v>2444</v>
      </c>
      <c r="Q1923" s="10" t="n">
        <v>178</v>
      </c>
      <c r="R1923" s="7" t="n">
        <v>80603</v>
      </c>
      <c r="S1923" s="8" t="n">
        <v>8205</v>
      </c>
      <c r="T1923" s="8" t="n">
        <v>5705</v>
      </c>
      <c r="U1923" s="9" t="n">
        <v>36729</v>
      </c>
      <c r="V1923" s="10" t="n">
        <v>2410</v>
      </c>
      <c r="W1923" s="10" t="n">
        <v>986</v>
      </c>
      <c r="X1923" s="7" t="n">
        <v>38779</v>
      </c>
      <c r="Y1923" s="8" t="n">
        <v>3915</v>
      </c>
      <c r="Z1923" s="8" t="n">
        <v>491</v>
      </c>
      <c r="AA1923" s="9" t="n">
        <v>33476</v>
      </c>
      <c r="AB1923" s="10" t="n">
        <v>-5159</v>
      </c>
      <c r="AC1923" s="10" t="n">
        <v>-3582</v>
      </c>
      <c r="AD1923" s="7" t="n">
        <v>59255</v>
      </c>
      <c r="AE1923" s="8" t="n">
        <v>7791</v>
      </c>
      <c r="AF1923" s="8" t="n">
        <v>7051</v>
      </c>
      <c r="AG1923" s="9" t="n">
        <v>15547</v>
      </c>
      <c r="AH1923" s="10" t="n">
        <v>-4266</v>
      </c>
      <c r="AI1923" s="10" t="n">
        <v>-2414</v>
      </c>
      <c r="AJ1923" s="11" t="n">
        <v>18800</v>
      </c>
      <c r="AK1923" s="12" t="n">
        <v>-2708</v>
      </c>
      <c r="AL1923" s="12" t="n">
        <v>-2522</v>
      </c>
      <c r="AM1923" s="13" t="n">
        <v>20.9</v>
      </c>
      <c r="AN1923" s="13" t="n">
        <v>-51.5</v>
      </c>
      <c r="AO1923" s="13" t="n">
        <v>36.5</v>
      </c>
      <c r="AP1923" s="13" t="n">
        <v>-169.2</v>
      </c>
    </row>
    <row r="1924">
      <c r="A1924" s="5" t="inlineStr">
        <is>
          <t>헥토파이낸셜</t>
        </is>
      </c>
      <c r="B1924" s="6" t="inlineStr">
        <is>
          <t>234340</t>
        </is>
      </c>
      <c r="C1924" s="6" t="inlineStr">
        <is>
          <t>연결</t>
        </is>
      </c>
      <c r="D1924" s="6" t="inlineStr">
        <is>
          <t>2026Q2</t>
        </is>
      </c>
      <c r="E1924" s="6" t="inlineStr"/>
      <c r="F1924" s="7" t="inlineStr"/>
      <c r="G1924" s="8" t="inlineStr"/>
      <c r="H1924" s="8" t="inlineStr"/>
      <c r="I1924" s="9" t="n">
        <v>37076</v>
      </c>
      <c r="J1924" s="10" t="n">
        <v>4038</v>
      </c>
      <c r="K1924" s="10" t="n">
        <v>3149</v>
      </c>
      <c r="L1924" s="7" t="n">
        <v>38053</v>
      </c>
      <c r="M1924" s="8" t="n">
        <v>3570</v>
      </c>
      <c r="N1924" s="8" t="n">
        <v>3992</v>
      </c>
      <c r="O1924" s="9" t="n">
        <v>39444</v>
      </c>
      <c r="P1924" s="10" t="n">
        <v>4143</v>
      </c>
      <c r="Q1924" s="10" t="n">
        <v>3950</v>
      </c>
      <c r="R1924" s="7" t="n">
        <v>44735</v>
      </c>
      <c r="S1924" s="8" t="n">
        <v>1542</v>
      </c>
      <c r="T1924" s="8" t="n">
        <v>-2117</v>
      </c>
      <c r="U1924" s="9" t="n">
        <v>45990</v>
      </c>
      <c r="V1924" s="10" t="n">
        <v>3657</v>
      </c>
      <c r="W1924" s="10" t="n">
        <v>3231</v>
      </c>
      <c r="X1924" s="7" t="n">
        <v>44526</v>
      </c>
      <c r="Y1924" s="8" t="n">
        <v>3836</v>
      </c>
      <c r="Z1924" s="8" t="n">
        <v>2749</v>
      </c>
      <c r="AA1924" s="9" t="n">
        <v>45759</v>
      </c>
      <c r="AB1924" s="10" t="n">
        <v>4519</v>
      </c>
      <c r="AC1924" s="10" t="n">
        <v>3865</v>
      </c>
      <c r="AD1924" s="7" t="n">
        <v>51161</v>
      </c>
      <c r="AE1924" s="8" t="n">
        <v>3566</v>
      </c>
      <c r="AF1924" s="8" t="n">
        <v>-1020</v>
      </c>
      <c r="AG1924" s="9" t="n">
        <v>57471</v>
      </c>
      <c r="AH1924" s="10" t="n">
        <v>9137</v>
      </c>
      <c r="AI1924" s="10" t="n">
        <v>6816</v>
      </c>
      <c r="AJ1924" s="11" t="n">
        <v>50137</v>
      </c>
      <c r="AK1924" s="12" t="n">
        <v>4609</v>
      </c>
      <c r="AL1924" s="12" t="n">
        <v>4220</v>
      </c>
      <c r="AM1924" s="13" t="n">
        <v>-12.8</v>
      </c>
      <c r="AN1924" s="13" t="n">
        <v>12.6</v>
      </c>
      <c r="AO1924" s="13" t="n">
        <v>-49.6</v>
      </c>
      <c r="AP1924" s="13" t="n">
        <v>20.2</v>
      </c>
    </row>
    <row r="1925">
      <c r="A1925" s="5" t="inlineStr">
        <is>
          <t>녹십자웰빙</t>
        </is>
      </c>
      <c r="B1925" s="6" t="inlineStr">
        <is>
          <t>234690</t>
        </is>
      </c>
      <c r="C1925" s="6" t="inlineStr">
        <is>
          <t>연결</t>
        </is>
      </c>
      <c r="D1925" s="6" t="inlineStr">
        <is>
          <t>2026Q2</t>
        </is>
      </c>
      <c r="E1925" s="6" t="inlineStr">
        <is>
          <t>2023Q4</t>
        </is>
      </c>
      <c r="F1925" s="14" t="n">
        <v>33904</v>
      </c>
      <c r="G1925" s="15" t="n">
        <v>2064</v>
      </c>
      <c r="H1925" s="15" t="n">
        <v>1091</v>
      </c>
      <c r="I1925" s="9" t="n">
        <v>33010</v>
      </c>
      <c r="J1925" s="10" t="n">
        <v>2747</v>
      </c>
      <c r="K1925" s="10" t="n">
        <v>1238</v>
      </c>
      <c r="L1925" s="7" t="n">
        <v>32648</v>
      </c>
      <c r="M1925" s="8" t="n">
        <v>4029</v>
      </c>
      <c r="N1925" s="8" t="n">
        <v>2913</v>
      </c>
      <c r="O1925" s="9" t="n">
        <v>33037</v>
      </c>
      <c r="P1925" s="10" t="n">
        <v>3924</v>
      </c>
      <c r="Q1925" s="10" t="n">
        <v>2330</v>
      </c>
      <c r="R1925" s="7" t="n">
        <v>35110</v>
      </c>
      <c r="S1925" s="8" t="n">
        <v>2264</v>
      </c>
      <c r="T1925" s="8" t="n">
        <v>588</v>
      </c>
      <c r="U1925" s="9" t="n">
        <v>34756</v>
      </c>
      <c r="V1925" s="10" t="n">
        <v>4987</v>
      </c>
      <c r="W1925" s="10" t="n">
        <v>5098</v>
      </c>
      <c r="X1925" s="7" t="n">
        <v>38921</v>
      </c>
      <c r="Y1925" s="8" t="n">
        <v>4222</v>
      </c>
      <c r="Z1925" s="8" t="n">
        <v>342</v>
      </c>
      <c r="AA1925" s="9" t="n">
        <v>42273</v>
      </c>
      <c r="AB1925" s="10" t="n">
        <v>5213</v>
      </c>
      <c r="AC1925" s="10" t="n">
        <v>3722</v>
      </c>
      <c r="AD1925" s="7" t="n">
        <v>48730</v>
      </c>
      <c r="AE1925" s="8" t="n">
        <v>2872</v>
      </c>
      <c r="AF1925" s="8" t="n">
        <v>849</v>
      </c>
      <c r="AG1925" s="9" t="n">
        <v>49125</v>
      </c>
      <c r="AH1925" s="10" t="n">
        <v>4823</v>
      </c>
      <c r="AI1925" s="10" t="n">
        <v>-3046</v>
      </c>
      <c r="AJ1925" s="11" t="n">
        <v>52082</v>
      </c>
      <c r="AK1925" s="12" t="n">
        <v>4629</v>
      </c>
      <c r="AL1925" s="12" t="n">
        <v>3965</v>
      </c>
      <c r="AM1925" s="13" t="n">
        <v>6</v>
      </c>
      <c r="AN1925" s="13" t="n">
        <v>33.8</v>
      </c>
      <c r="AO1925" s="13" t="n">
        <v>-4</v>
      </c>
      <c r="AP1925" s="13" t="n">
        <v>9.6</v>
      </c>
    </row>
    <row r="1926">
      <c r="A1926" s="5" t="inlineStr">
        <is>
          <t>자이글</t>
        </is>
      </c>
      <c r="B1926" s="6" t="inlineStr">
        <is>
          <t>234920</t>
        </is>
      </c>
      <c r="C1926" s="6" t="inlineStr">
        <is>
          <t>별도</t>
        </is>
      </c>
      <c r="D1926" s="6" t="inlineStr">
        <is>
          <t>2026Q2</t>
        </is>
      </c>
      <c r="E1926" s="6" t="inlineStr"/>
      <c r="F1926" s="7" t="inlineStr"/>
      <c r="G1926" s="8" t="inlineStr"/>
      <c r="H1926" s="8" t="inlineStr"/>
      <c r="I1926" s="9" t="n">
        <v>1895</v>
      </c>
      <c r="J1926" s="10" t="n">
        <v>-1356</v>
      </c>
      <c r="K1926" s="10" t="n">
        <v>-1669</v>
      </c>
      <c r="L1926" s="7" t="n">
        <v>3133</v>
      </c>
      <c r="M1926" s="8" t="n">
        <v>-1246</v>
      </c>
      <c r="N1926" s="8" t="n">
        <v>-1401</v>
      </c>
      <c r="O1926" s="9" t="n">
        <v>3731</v>
      </c>
      <c r="P1926" s="10" t="n">
        <v>-46</v>
      </c>
      <c r="Q1926" s="10" t="n">
        <v>-501</v>
      </c>
      <c r="R1926" s="7" t="n">
        <v>3312</v>
      </c>
      <c r="S1926" s="8" t="n">
        <v>-2246</v>
      </c>
      <c r="T1926" s="8" t="n">
        <v>-3196</v>
      </c>
      <c r="U1926" s="9" t="n">
        <v>2331</v>
      </c>
      <c r="V1926" s="10" t="n">
        <v>-1345</v>
      </c>
      <c r="W1926" s="10" t="n">
        <v>-1861</v>
      </c>
      <c r="X1926" s="7" t="n">
        <v>1945</v>
      </c>
      <c r="Y1926" s="8" t="n">
        <v>-798</v>
      </c>
      <c r="Z1926" s="8" t="n">
        <v>-929</v>
      </c>
      <c r="AA1926" s="9" t="n">
        <v>1734</v>
      </c>
      <c r="AB1926" s="10" t="n">
        <v>-1023</v>
      </c>
      <c r="AC1926" s="10" t="n">
        <v>-1452</v>
      </c>
      <c r="AD1926" s="7" t="n">
        <v>2220</v>
      </c>
      <c r="AE1926" s="8" t="n">
        <v>-490</v>
      </c>
      <c r="AF1926" s="8" t="n">
        <v>-1131</v>
      </c>
      <c r="AG1926" s="9" t="n">
        <v>2517</v>
      </c>
      <c r="AH1926" s="10" t="n">
        <v>-502</v>
      </c>
      <c r="AI1926" s="10" t="n">
        <v>167</v>
      </c>
      <c r="AJ1926" s="11" t="n">
        <v>2722</v>
      </c>
      <c r="AK1926" s="12" t="n">
        <v>721</v>
      </c>
      <c r="AL1926" s="12" t="n">
        <v>597</v>
      </c>
      <c r="AM1926" s="13" t="n">
        <v>8.1</v>
      </c>
      <c r="AN1926" s="13" t="n">
        <v>39.9</v>
      </c>
      <c r="AO1926" s="13" t="n">
        <v>243.6</v>
      </c>
      <c r="AP1926" s="13" t="n">
        <v>190.4</v>
      </c>
    </row>
    <row r="1927">
      <c r="A1927" s="5" t="inlineStr">
        <is>
          <t>메드팩토</t>
        </is>
      </c>
      <c r="B1927" s="6" t="inlineStr">
        <is>
          <t>235980</t>
        </is>
      </c>
      <c r="C1927" s="6" t="inlineStr">
        <is>
          <t>연결</t>
        </is>
      </c>
      <c r="D1927" s="6" t="inlineStr">
        <is>
          <t>2026Q2</t>
        </is>
      </c>
      <c r="E1927" s="6" t="inlineStr"/>
      <c r="F1927" s="7" t="inlineStr"/>
      <c r="G1927" s="8" t="inlineStr"/>
      <c r="H1927" s="8" t="inlineStr"/>
      <c r="I1927" s="9" t="n">
        <v>0</v>
      </c>
      <c r="J1927" s="10" t="n">
        <v>-9706</v>
      </c>
      <c r="K1927" s="10" t="n">
        <v>-9279</v>
      </c>
      <c r="L1927" s="7" t="n">
        <v>0</v>
      </c>
      <c r="M1927" s="8" t="n">
        <v>-5115</v>
      </c>
      <c r="N1927" s="8" t="n">
        <v>-4682</v>
      </c>
      <c r="O1927" s="9" t="n">
        <v>0</v>
      </c>
      <c r="P1927" s="10" t="n">
        <v>-2200</v>
      </c>
      <c r="Q1927" s="10" t="n">
        <v>-1754</v>
      </c>
      <c r="R1927" s="7" t="n">
        <v>0</v>
      </c>
      <c r="S1927" s="8" t="n">
        <v>-4795</v>
      </c>
      <c r="T1927" s="8" t="n">
        <v>-4425</v>
      </c>
      <c r="U1927" s="9" t="n">
        <v>430</v>
      </c>
      <c r="V1927" s="10" t="n">
        <v>-3795</v>
      </c>
      <c r="W1927" s="10" t="n">
        <v>-3359</v>
      </c>
      <c r="X1927" s="7" t="n">
        <v>840</v>
      </c>
      <c r="Y1927" s="8" t="n">
        <v>-2559</v>
      </c>
      <c r="Z1927" s="8" t="n">
        <v>-2267</v>
      </c>
      <c r="AA1927" s="9" t="n">
        <v>1199</v>
      </c>
      <c r="AB1927" s="10" t="n">
        <v>-4743</v>
      </c>
      <c r="AC1927" s="10" t="n">
        <v>-4520</v>
      </c>
      <c r="AD1927" s="7" t="n">
        <v>1429</v>
      </c>
      <c r="AE1927" s="8" t="n">
        <v>-2922</v>
      </c>
      <c r="AF1927" s="8" t="n">
        <v>-2665</v>
      </c>
      <c r="AG1927" s="9" t="n">
        <v>1316</v>
      </c>
      <c r="AH1927" s="10" t="n">
        <v>-4168</v>
      </c>
      <c r="AI1927" s="10" t="n">
        <v>-3760</v>
      </c>
      <c r="AJ1927" s="11" t="n">
        <v>1049</v>
      </c>
      <c r="AK1927" s="12" t="n">
        <v>-3632</v>
      </c>
      <c r="AL1927" s="12" t="n">
        <v>-3194</v>
      </c>
      <c r="AM1927" s="13" t="n">
        <v>-20.3</v>
      </c>
      <c r="AN1927" s="13" t="n">
        <v>24.9</v>
      </c>
      <c r="AO1927" s="13" t="n">
        <v>12.9</v>
      </c>
      <c r="AP1927" s="13" t="n">
        <v>-41.9</v>
      </c>
    </row>
    <row r="1928">
      <c r="A1928" s="5" t="inlineStr">
        <is>
          <t>슈프리마</t>
        </is>
      </c>
      <c r="B1928" s="6" t="inlineStr">
        <is>
          <t>236200</t>
        </is>
      </c>
      <c r="C1928" s="6" t="inlineStr">
        <is>
          <t>연결</t>
        </is>
      </c>
      <c r="D1928" s="6" t="inlineStr">
        <is>
          <t>2026Q2</t>
        </is>
      </c>
      <c r="E1928" s="6" t="inlineStr"/>
      <c r="F1928" s="7" t="inlineStr"/>
      <c r="G1928" s="8" t="inlineStr"/>
      <c r="H1928" s="8" t="inlineStr"/>
      <c r="I1928" s="9" t="n">
        <v>20463</v>
      </c>
      <c r="J1928" s="10" t="n">
        <v>2218</v>
      </c>
      <c r="K1928" s="10" t="n">
        <v>6424</v>
      </c>
      <c r="L1928" s="7" t="n">
        <v>28140</v>
      </c>
      <c r="M1928" s="8" t="n">
        <v>6728</v>
      </c>
      <c r="N1928" s="8" t="n">
        <v>8846</v>
      </c>
      <c r="O1928" s="9" t="n">
        <v>25107</v>
      </c>
      <c r="P1928" s="10" t="n">
        <v>5731</v>
      </c>
      <c r="Q1928" s="10" t="n">
        <v>4066</v>
      </c>
      <c r="R1928" s="7" t="n">
        <v>34522</v>
      </c>
      <c r="S1928" s="8" t="n">
        <v>8608</v>
      </c>
      <c r="T1928" s="8" t="n">
        <v>13151</v>
      </c>
      <c r="U1928" s="9" t="n">
        <v>28799</v>
      </c>
      <c r="V1928" s="10" t="n">
        <v>5688</v>
      </c>
      <c r="W1928" s="10" t="n">
        <v>8086</v>
      </c>
      <c r="X1928" s="7" t="n">
        <v>32530</v>
      </c>
      <c r="Y1928" s="8" t="n">
        <v>7570</v>
      </c>
      <c r="Z1928" s="8" t="n">
        <v>744</v>
      </c>
      <c r="AA1928" s="9" t="n">
        <v>30349</v>
      </c>
      <c r="AB1928" s="10" t="n">
        <v>6524</v>
      </c>
      <c r="AC1928" s="10" t="n">
        <v>10618</v>
      </c>
      <c r="AD1928" s="7" t="n">
        <v>45624</v>
      </c>
      <c r="AE1928" s="8" t="n">
        <v>12963</v>
      </c>
      <c r="AF1928" s="8" t="n">
        <v>12929</v>
      </c>
      <c r="AG1928" s="9" t="n">
        <v>31123</v>
      </c>
      <c r="AH1928" s="10" t="n">
        <v>5388</v>
      </c>
      <c r="AI1928" s="10" t="n">
        <v>9996</v>
      </c>
      <c r="AJ1928" s="11" t="n">
        <v>40339</v>
      </c>
      <c r="AK1928" s="12" t="n">
        <v>10159</v>
      </c>
      <c r="AL1928" s="12" t="n">
        <v>18868</v>
      </c>
      <c r="AM1928" s="13" t="n">
        <v>29.6</v>
      </c>
      <c r="AN1928" s="13" t="n">
        <v>24</v>
      </c>
      <c r="AO1928" s="13" t="n">
        <v>88.5</v>
      </c>
      <c r="AP1928" s="13" t="n">
        <v>34.2</v>
      </c>
    </row>
    <row r="1929">
      <c r="A1929" s="5" t="inlineStr">
        <is>
          <t>엔비티</t>
        </is>
      </c>
      <c r="B1929" s="6" t="inlineStr">
        <is>
          <t>236810</t>
        </is>
      </c>
      <c r="C1929" s="6" t="inlineStr">
        <is>
          <t>연결</t>
        </is>
      </c>
      <c r="D1929" s="6" t="inlineStr">
        <is>
          <t>2026Q2</t>
        </is>
      </c>
      <c r="E1929" s="6" t="inlineStr"/>
      <c r="F1929" s="7" t="inlineStr"/>
      <c r="G1929" s="8" t="inlineStr"/>
      <c r="H1929" s="8" t="inlineStr"/>
      <c r="I1929" s="9" t="inlineStr"/>
      <c r="J1929" s="10" t="n">
        <v>-1613</v>
      </c>
      <c r="K1929" s="10" t="n">
        <v>-1221</v>
      </c>
      <c r="L1929" s="7" t="inlineStr"/>
      <c r="M1929" s="8" t="n">
        <v>-747</v>
      </c>
      <c r="N1929" s="8" t="n">
        <v>-1181</v>
      </c>
      <c r="O1929" s="9" t="inlineStr"/>
      <c r="P1929" s="10" t="n">
        <v>25</v>
      </c>
      <c r="Q1929" s="10" t="n">
        <v>0</v>
      </c>
      <c r="R1929" s="7" t="inlineStr"/>
      <c r="S1929" s="8" t="n">
        <v>-1006</v>
      </c>
      <c r="T1929" s="8" t="n">
        <v>-4205</v>
      </c>
      <c r="U1929" s="9" t="inlineStr"/>
      <c r="V1929" s="10" t="n">
        <v>-1876</v>
      </c>
      <c r="W1929" s="10" t="n">
        <v>-2305</v>
      </c>
      <c r="X1929" s="7" t="inlineStr"/>
      <c r="Y1929" s="8" t="n">
        <v>-2188</v>
      </c>
      <c r="Z1929" s="8" t="n">
        <v>-2030</v>
      </c>
      <c r="AA1929" s="9" t="inlineStr"/>
      <c r="AB1929" s="10" t="n">
        <v>-1704</v>
      </c>
      <c r="AC1929" s="10" t="n">
        <v>-2099</v>
      </c>
      <c r="AD1929" s="7" t="inlineStr"/>
      <c r="AE1929" s="8" t="n">
        <v>-733</v>
      </c>
      <c r="AF1929" s="8" t="n">
        <v>1897</v>
      </c>
      <c r="AG1929" s="9" t="inlineStr"/>
      <c r="AH1929" s="10" t="n">
        <v>-1571</v>
      </c>
      <c r="AI1929" s="10" t="n">
        <v>-1541</v>
      </c>
      <c r="AJ1929" s="14" t="n">
        <v>25547</v>
      </c>
      <c r="AK1929" s="12" t="n">
        <v>486</v>
      </c>
      <c r="AL1929" s="12" t="n">
        <v>479</v>
      </c>
      <c r="AM1929" s="13" t="inlineStr"/>
      <c r="AN1929" s="13" t="inlineStr"/>
      <c r="AO1929" s="13" t="n">
        <v>130.9</v>
      </c>
      <c r="AP1929" s="13" t="n">
        <v>122.2</v>
      </c>
    </row>
    <row r="1930">
      <c r="A1930" s="5" t="inlineStr">
        <is>
          <t>에스티팜</t>
        </is>
      </c>
      <c r="B1930" s="6" t="inlineStr">
        <is>
          <t>237690</t>
        </is>
      </c>
      <c r="C1930" s="6" t="inlineStr">
        <is>
          <t>연결</t>
        </is>
      </c>
      <c r="D1930" s="6" t="inlineStr">
        <is>
          <t>2026Q2</t>
        </is>
      </c>
      <c r="E1930" s="6" t="inlineStr">
        <is>
          <t>2023Q4</t>
        </is>
      </c>
      <c r="F1930" s="14" t="n">
        <v>119739</v>
      </c>
      <c r="G1930" s="15" t="n">
        <v>21449</v>
      </c>
      <c r="H1930" s="15" t="n">
        <v>8918</v>
      </c>
      <c r="I1930" s="9" t="n">
        <v>51721</v>
      </c>
      <c r="J1930" s="10" t="n">
        <v>1879</v>
      </c>
      <c r="K1930" s="10" t="n">
        <v>5423</v>
      </c>
      <c r="L1930" s="7" t="n">
        <v>44592</v>
      </c>
      <c r="M1930" s="8" t="n">
        <v>-3059</v>
      </c>
      <c r="N1930" s="8" t="n">
        <v>907</v>
      </c>
      <c r="O1930" s="9" t="n">
        <v>61703</v>
      </c>
      <c r="P1930" s="10" t="n">
        <v>6096</v>
      </c>
      <c r="Q1930" s="10" t="n">
        <v>13692</v>
      </c>
      <c r="R1930" s="7" t="n">
        <v>115735</v>
      </c>
      <c r="S1930" s="8" t="n">
        <v>22777</v>
      </c>
      <c r="T1930" s="8" t="n">
        <v>12442</v>
      </c>
      <c r="U1930" s="9" t="n">
        <v>52420</v>
      </c>
      <c r="V1930" s="10" t="n">
        <v>1025</v>
      </c>
      <c r="W1930" s="10" t="n">
        <v>709</v>
      </c>
      <c r="X1930" s="7" t="n">
        <v>68251</v>
      </c>
      <c r="Y1930" s="8" t="n">
        <v>12919</v>
      </c>
      <c r="Z1930" s="8" t="n">
        <v>5367</v>
      </c>
      <c r="AA1930" s="9" t="n">
        <v>81910</v>
      </c>
      <c r="AB1930" s="10" t="n">
        <v>14725</v>
      </c>
      <c r="AC1930" s="10" t="n">
        <v>17461</v>
      </c>
      <c r="AD1930" s="7" t="n">
        <v>129100</v>
      </c>
      <c r="AE1930" s="8" t="n">
        <v>26264</v>
      </c>
      <c r="AF1930" s="8" t="n">
        <v>31025</v>
      </c>
      <c r="AG1930" s="9" t="n">
        <v>66961</v>
      </c>
      <c r="AH1930" s="10" t="n">
        <v>11529</v>
      </c>
      <c r="AI1930" s="10" t="n">
        <v>15201</v>
      </c>
      <c r="AJ1930" s="11" t="n">
        <v>108484</v>
      </c>
      <c r="AK1930" s="12" t="n">
        <v>18307</v>
      </c>
      <c r="AL1930" s="12" t="n">
        <v>13151</v>
      </c>
      <c r="AM1930" s="13" t="n">
        <v>62</v>
      </c>
      <c r="AN1930" s="13" t="n">
        <v>58.9</v>
      </c>
      <c r="AO1930" s="13" t="n">
        <v>58.8</v>
      </c>
      <c r="AP1930" s="13" t="n">
        <v>41.7</v>
      </c>
    </row>
    <row r="1931">
      <c r="A1931" s="5" t="inlineStr">
        <is>
          <t>피앤씨테크</t>
        </is>
      </c>
      <c r="B1931" s="6" t="inlineStr">
        <is>
          <t>237750</t>
        </is>
      </c>
      <c r="C1931" s="6" t="inlineStr">
        <is>
          <t>연결</t>
        </is>
      </c>
      <c r="D1931" s="6" t="inlineStr">
        <is>
          <t>2026Q2</t>
        </is>
      </c>
      <c r="E1931" s="6" t="inlineStr"/>
      <c r="F1931" s="7" t="inlineStr"/>
      <c r="G1931" s="8" t="inlineStr"/>
      <c r="H1931" s="8" t="inlineStr"/>
      <c r="I1931" s="9" t="n">
        <v>6960</v>
      </c>
      <c r="J1931" s="10" t="n">
        <v>858</v>
      </c>
      <c r="K1931" s="10" t="n">
        <v>822</v>
      </c>
      <c r="L1931" s="7" t="n">
        <v>10194</v>
      </c>
      <c r="M1931" s="8" t="n">
        <v>1244</v>
      </c>
      <c r="N1931" s="8" t="n">
        <v>504</v>
      </c>
      <c r="O1931" s="9" t="n">
        <v>9732</v>
      </c>
      <c r="P1931" s="10" t="n">
        <v>192</v>
      </c>
      <c r="Q1931" s="10" t="n">
        <v>340</v>
      </c>
      <c r="R1931" s="7" t="n">
        <v>7848</v>
      </c>
      <c r="S1931" s="8" t="n">
        <v>-502</v>
      </c>
      <c r="T1931" s="8" t="n">
        <v>571</v>
      </c>
      <c r="U1931" s="9" t="n">
        <v>6406</v>
      </c>
      <c r="V1931" s="10" t="n">
        <v>-518</v>
      </c>
      <c r="W1931" s="10" t="n">
        <v>-195</v>
      </c>
      <c r="X1931" s="7" t="n">
        <v>8175</v>
      </c>
      <c r="Y1931" s="8" t="n">
        <v>352</v>
      </c>
      <c r="Z1931" s="8" t="n">
        <v>30</v>
      </c>
      <c r="AA1931" s="9" t="n">
        <v>7346</v>
      </c>
      <c r="AB1931" s="10" t="n">
        <v>504</v>
      </c>
      <c r="AC1931" s="10" t="n">
        <v>652</v>
      </c>
      <c r="AD1931" s="7" t="n">
        <v>5682</v>
      </c>
      <c r="AE1931" s="8" t="n">
        <v>-318</v>
      </c>
      <c r="AF1931" s="8" t="n">
        <v>-18404</v>
      </c>
      <c r="AG1931" s="9" t="n">
        <v>14928</v>
      </c>
      <c r="AH1931" s="10" t="n">
        <v>648</v>
      </c>
      <c r="AI1931" s="10" t="n">
        <v>-90</v>
      </c>
      <c r="AJ1931" s="11" t="n">
        <v>7618</v>
      </c>
      <c r="AK1931" s="12" t="n">
        <v>-300</v>
      </c>
      <c r="AL1931" s="12" t="n">
        <v>-11860</v>
      </c>
      <c r="AM1931" s="13" t="n">
        <v>-49</v>
      </c>
      <c r="AN1931" s="13" t="n">
        <v>-6.8</v>
      </c>
      <c r="AO1931" s="13" t="n">
        <v>-146.3</v>
      </c>
      <c r="AP1931" s="13" t="n">
        <v>-185.2</v>
      </c>
    </row>
    <row r="1932">
      <c r="A1932" s="5" t="inlineStr">
        <is>
          <t>플레이디</t>
        </is>
      </c>
      <c r="B1932" s="6" t="inlineStr">
        <is>
          <t>237820</t>
        </is>
      </c>
      <c r="C1932" s="6" t="inlineStr">
        <is>
          <t>연결</t>
        </is>
      </c>
      <c r="D1932" s="6" t="inlineStr">
        <is>
          <t>2026Q2</t>
        </is>
      </c>
      <c r="E1932" s="6" t="inlineStr"/>
      <c r="F1932" s="7" t="inlineStr"/>
      <c r="G1932" s="8" t="inlineStr"/>
      <c r="H1932" s="8" t="inlineStr"/>
      <c r="I1932" s="9" t="n">
        <v>9312</v>
      </c>
      <c r="J1932" s="10" t="n">
        <v>642</v>
      </c>
      <c r="K1932" s="10" t="n">
        <v>768</v>
      </c>
      <c r="L1932" s="7" t="n">
        <v>9916</v>
      </c>
      <c r="M1932" s="8" t="n">
        <v>1102</v>
      </c>
      <c r="N1932" s="8" t="n">
        <v>1120</v>
      </c>
      <c r="O1932" s="9" t="n">
        <v>9537</v>
      </c>
      <c r="P1932" s="10" t="n">
        <v>1281</v>
      </c>
      <c r="Q1932" s="10" t="n">
        <v>1359</v>
      </c>
      <c r="R1932" s="7" t="n">
        <v>9849</v>
      </c>
      <c r="S1932" s="8" t="n">
        <v>977</v>
      </c>
      <c r="T1932" s="8" t="n">
        <v>1054</v>
      </c>
      <c r="U1932" s="9" t="n">
        <v>7656</v>
      </c>
      <c r="V1932" s="10" t="n">
        <v>46</v>
      </c>
      <c r="W1932" s="10" t="n">
        <v>368</v>
      </c>
      <c r="X1932" s="7" t="n">
        <v>9792</v>
      </c>
      <c r="Y1932" s="8" t="n">
        <v>1697</v>
      </c>
      <c r="Z1932" s="8" t="n">
        <v>1627</v>
      </c>
      <c r="AA1932" s="9" t="n">
        <v>9457</v>
      </c>
      <c r="AB1932" s="10" t="n">
        <v>1434</v>
      </c>
      <c r="AC1932" s="10" t="n">
        <v>1364</v>
      </c>
      <c r="AD1932" s="7" t="n">
        <v>13322</v>
      </c>
      <c r="AE1932" s="8" t="n">
        <v>3048</v>
      </c>
      <c r="AF1932" s="8" t="n">
        <v>2514</v>
      </c>
      <c r="AG1932" s="9" t="n">
        <v>8992</v>
      </c>
      <c r="AH1932" s="10" t="n">
        <v>-98</v>
      </c>
      <c r="AI1932" s="10" t="n">
        <v>87</v>
      </c>
      <c r="AJ1932" s="11" t="n">
        <v>11120</v>
      </c>
      <c r="AK1932" s="12" t="n">
        <v>89</v>
      </c>
      <c r="AL1932" s="12" t="n">
        <v>161</v>
      </c>
      <c r="AM1932" s="13" t="n">
        <v>23.7</v>
      </c>
      <c r="AN1932" s="13" t="n">
        <v>13.6</v>
      </c>
      <c r="AO1932" s="13" t="n">
        <v>190.8</v>
      </c>
      <c r="AP1932" s="13" t="n">
        <v>-94.8</v>
      </c>
    </row>
    <row r="1933">
      <c r="A1933" s="5" t="inlineStr">
        <is>
          <t>클리오</t>
        </is>
      </c>
      <c r="B1933" s="6" t="inlineStr">
        <is>
          <t>237880</t>
        </is>
      </c>
      <c r="C1933" s="6" t="inlineStr">
        <is>
          <t>연결</t>
        </is>
      </c>
      <c r="D1933" s="6" t="inlineStr">
        <is>
          <t>2026Q2</t>
        </is>
      </c>
      <c r="E1933" s="6" t="inlineStr">
        <is>
          <t>2023Q4</t>
        </is>
      </c>
      <c r="F1933" s="14" t="n">
        <v>89695</v>
      </c>
      <c r="G1933" s="15" t="n">
        <v>11588</v>
      </c>
      <c r="H1933" s="15" t="n">
        <v>6500</v>
      </c>
      <c r="I1933" s="9" t="n">
        <v>92976</v>
      </c>
      <c r="J1933" s="10" t="n">
        <v>8509</v>
      </c>
      <c r="K1933" s="10" t="n">
        <v>9896</v>
      </c>
      <c r="L1933" s="7" t="n">
        <v>92581</v>
      </c>
      <c r="M1933" s="8" t="n">
        <v>9576</v>
      </c>
      <c r="N1933" s="8" t="n">
        <v>8969</v>
      </c>
      <c r="O1933" s="9" t="n">
        <v>87559</v>
      </c>
      <c r="P1933" s="10" t="n">
        <v>6407</v>
      </c>
      <c r="Q1933" s="10" t="n">
        <v>6024</v>
      </c>
      <c r="R1933" s="7" t="n">
        <v>78250</v>
      </c>
      <c r="S1933" s="8" t="n">
        <v>111</v>
      </c>
      <c r="T1933" s="8" t="n">
        <v>2267</v>
      </c>
      <c r="U1933" s="9" t="n">
        <v>82336</v>
      </c>
      <c r="V1933" s="10" t="n">
        <v>1149</v>
      </c>
      <c r="W1933" s="10" t="n">
        <v>2658</v>
      </c>
      <c r="X1933" s="7" t="n">
        <v>82130</v>
      </c>
      <c r="Y1933" s="8" t="n">
        <v>3521</v>
      </c>
      <c r="Z1933" s="8" t="n">
        <v>1941</v>
      </c>
      <c r="AA1933" s="9" t="n">
        <v>83816</v>
      </c>
      <c r="AB1933" s="10" t="n">
        <v>4720</v>
      </c>
      <c r="AC1933" s="10" t="n">
        <v>5484</v>
      </c>
      <c r="AD1933" s="7" t="n">
        <v>80621</v>
      </c>
      <c r="AE1933" s="8" t="n">
        <v>7046</v>
      </c>
      <c r="AF1933" s="8" t="n">
        <v>3140</v>
      </c>
      <c r="AG1933" s="9" t="n">
        <v>78348</v>
      </c>
      <c r="AH1933" s="10" t="n">
        <v>5795</v>
      </c>
      <c r="AI1933" s="10" t="n">
        <v>6720</v>
      </c>
      <c r="AJ1933" s="11" t="n">
        <v>86805</v>
      </c>
      <c r="AK1933" s="12" t="n">
        <v>11617</v>
      </c>
      <c r="AL1933" s="12" t="n">
        <v>13721</v>
      </c>
      <c r="AM1933" s="13" t="n">
        <v>10.8</v>
      </c>
      <c r="AN1933" s="13" t="n">
        <v>5.7</v>
      </c>
      <c r="AO1933" s="13" t="n">
        <v>100.5</v>
      </c>
      <c r="AP1933" s="13" t="n">
        <v>229.9</v>
      </c>
    </row>
    <row r="1934">
      <c r="A1934" s="5" t="inlineStr">
        <is>
          <t>앤디포스</t>
        </is>
      </c>
      <c r="B1934" s="6" t="inlineStr">
        <is>
          <t>238090</t>
        </is>
      </c>
      <c r="C1934" s="6" t="inlineStr">
        <is>
          <t>연결</t>
        </is>
      </c>
      <c r="D1934" s="6" t="inlineStr">
        <is>
          <t>2026Q2</t>
        </is>
      </c>
      <c r="E1934" s="6" t="inlineStr">
        <is>
          <t>2023Q4</t>
        </is>
      </c>
      <c r="F1934" s="14" t="n">
        <v>44359</v>
      </c>
      <c r="G1934" s="15" t="n">
        <v>802</v>
      </c>
      <c r="H1934" s="15" t="n">
        <v>-10896</v>
      </c>
      <c r="I1934" s="9" t="n">
        <v>11764</v>
      </c>
      <c r="J1934" s="10" t="n">
        <v>-1593</v>
      </c>
      <c r="K1934" s="10" t="n">
        <v>-1004</v>
      </c>
      <c r="L1934" s="7" t="n">
        <v>13794</v>
      </c>
      <c r="M1934" s="8" t="n">
        <v>-520</v>
      </c>
      <c r="N1934" s="8" t="n">
        <v>-8935</v>
      </c>
      <c r="O1934" s="9" t="n">
        <v>11904</v>
      </c>
      <c r="P1934" s="10" t="n">
        <v>-302</v>
      </c>
      <c r="Q1934" s="10" t="n">
        <v>-601</v>
      </c>
      <c r="R1934" s="7" t="n">
        <v>14988</v>
      </c>
      <c r="S1934" s="8" t="n">
        <v>4366</v>
      </c>
      <c r="T1934" s="8" t="n">
        <v>-20521</v>
      </c>
      <c r="U1934" s="9" t="n">
        <v>14849</v>
      </c>
      <c r="V1934" s="10" t="n">
        <v>2585</v>
      </c>
      <c r="W1934" s="10" t="n">
        <v>3885</v>
      </c>
      <c r="X1934" s="7" t="n">
        <v>10821</v>
      </c>
      <c r="Y1934" s="8" t="n">
        <v>-1091</v>
      </c>
      <c r="Z1934" s="8" t="n">
        <v>-1280</v>
      </c>
      <c r="AA1934" s="9" t="n">
        <v>13197</v>
      </c>
      <c r="AB1934" s="10" t="n">
        <v>1741</v>
      </c>
      <c r="AC1934" s="10" t="n">
        <v>3893</v>
      </c>
      <c r="AD1934" s="7" t="n">
        <v>11547</v>
      </c>
      <c r="AE1934" s="8" t="n">
        <v>1579</v>
      </c>
      <c r="AF1934" s="8" t="n">
        <v>-1251</v>
      </c>
      <c r="AG1934" s="9" t="n">
        <v>12979</v>
      </c>
      <c r="AH1934" s="10" t="n">
        <v>1289</v>
      </c>
      <c r="AI1934" s="10" t="n">
        <v>2064</v>
      </c>
      <c r="AJ1934" s="11" t="n">
        <v>10691</v>
      </c>
      <c r="AK1934" s="12" t="n">
        <v>-1484</v>
      </c>
      <c r="AL1934" s="12" t="n">
        <v>-1383</v>
      </c>
      <c r="AM1934" s="13" t="n">
        <v>-17.6</v>
      </c>
      <c r="AN1934" s="13" t="n">
        <v>-1.2</v>
      </c>
      <c r="AO1934" s="13" t="n">
        <v>-215.1</v>
      </c>
      <c r="AP1934" s="13" t="n">
        <v>-36</v>
      </c>
    </row>
    <row r="1935">
      <c r="A1935" s="5" t="inlineStr">
        <is>
          <t>얼라인드</t>
        </is>
      </c>
      <c r="B1935" s="6" t="inlineStr">
        <is>
          <t>238120</t>
        </is>
      </c>
      <c r="C1935" s="6" t="inlineStr">
        <is>
          <t>연결</t>
        </is>
      </c>
      <c r="D1935" s="6" t="inlineStr">
        <is>
          <t>2026Q2</t>
        </is>
      </c>
      <c r="E1935" s="6" t="inlineStr"/>
      <c r="F1935" s="7" t="inlineStr"/>
      <c r="G1935" s="8" t="inlineStr"/>
      <c r="H1935" s="8" t="inlineStr"/>
      <c r="I1935" s="9" t="n">
        <v>3191</v>
      </c>
      <c r="J1935" s="10" t="n">
        <v>201</v>
      </c>
      <c r="K1935" s="10" t="n">
        <v>627</v>
      </c>
      <c r="L1935" s="7" t="n">
        <v>3260</v>
      </c>
      <c r="M1935" s="8" t="n">
        <v>256</v>
      </c>
      <c r="N1935" s="8" t="n">
        <v>621</v>
      </c>
      <c r="O1935" s="9" t="n">
        <v>3714</v>
      </c>
      <c r="P1935" s="10" t="n">
        <v>760</v>
      </c>
      <c r="Q1935" s="10" t="n">
        <v>507</v>
      </c>
      <c r="R1935" s="7" t="n">
        <v>5613</v>
      </c>
      <c r="S1935" s="8" t="n">
        <v>1563</v>
      </c>
      <c r="T1935" s="8" t="n">
        <v>2373</v>
      </c>
      <c r="U1935" s="9" t="n">
        <v>3923</v>
      </c>
      <c r="V1935" s="10" t="n">
        <v>531</v>
      </c>
      <c r="W1935" s="10" t="n">
        <v>554</v>
      </c>
      <c r="X1935" s="7" t="n">
        <v>3923</v>
      </c>
      <c r="Y1935" s="8" t="n">
        <v>260</v>
      </c>
      <c r="Z1935" s="8" t="n">
        <v>-117</v>
      </c>
      <c r="AA1935" s="9" t="n">
        <v>3892</v>
      </c>
      <c r="AB1935" s="10" t="n">
        <v>545</v>
      </c>
      <c r="AC1935" s="10" t="n">
        <v>933</v>
      </c>
      <c r="AD1935" s="7" t="n">
        <v>4278</v>
      </c>
      <c r="AE1935" s="8" t="n">
        <v>1107</v>
      </c>
      <c r="AF1935" s="8" t="n">
        <v>1541</v>
      </c>
      <c r="AG1935" s="9" t="n">
        <v>3642</v>
      </c>
      <c r="AH1935" s="10" t="n">
        <v>230</v>
      </c>
      <c r="AI1935" s="10" t="n">
        <v>418</v>
      </c>
      <c r="AJ1935" s="11" t="n">
        <v>4351</v>
      </c>
      <c r="AK1935" s="12" t="n">
        <v>644</v>
      </c>
      <c r="AL1935" s="12" t="n">
        <v>1750</v>
      </c>
      <c r="AM1935" s="13" t="n">
        <v>19.5</v>
      </c>
      <c r="AN1935" s="13" t="n">
        <v>10.9</v>
      </c>
      <c r="AO1935" s="13" t="n">
        <v>180</v>
      </c>
      <c r="AP1935" s="13" t="n">
        <v>147.7</v>
      </c>
    </row>
    <row r="1936">
      <c r="A1936" s="5" t="inlineStr">
        <is>
          <t>비피도</t>
        </is>
      </c>
      <c r="B1936" s="6" t="inlineStr">
        <is>
          <t>238200</t>
        </is>
      </c>
      <c r="C1936" s="6" t="inlineStr">
        <is>
          <t>연결</t>
        </is>
      </c>
      <c r="D1936" s="6" t="inlineStr">
        <is>
          <t>2026Q2</t>
        </is>
      </c>
      <c r="E1936" s="6" t="inlineStr"/>
      <c r="F1936" s="7" t="inlineStr"/>
      <c r="G1936" s="8" t="inlineStr"/>
      <c r="H1936" s="8" t="inlineStr"/>
      <c r="I1936" s="9" t="n">
        <v>3172</v>
      </c>
      <c r="J1936" s="10" t="n">
        <v>-901</v>
      </c>
      <c r="K1936" s="10" t="n">
        <v>-1083</v>
      </c>
      <c r="L1936" s="7" t="n">
        <v>3020</v>
      </c>
      <c r="M1936" s="8" t="n">
        <v>-1196</v>
      </c>
      <c r="N1936" s="8" t="n">
        <v>-1743</v>
      </c>
      <c r="O1936" s="9" t="n">
        <v>2355</v>
      </c>
      <c r="P1936" s="10" t="n">
        <v>-1564</v>
      </c>
      <c r="Q1936" s="10" t="n">
        <v>-1608</v>
      </c>
      <c r="R1936" s="7" t="n">
        <v>3803</v>
      </c>
      <c r="S1936" s="8" t="n">
        <v>-831</v>
      </c>
      <c r="T1936" s="8" t="n">
        <v>-961</v>
      </c>
      <c r="U1936" s="9" t="n">
        <v>4948</v>
      </c>
      <c r="V1936" s="10" t="n">
        <v>79</v>
      </c>
      <c r="W1936" s="10" t="n">
        <v>186</v>
      </c>
      <c r="X1936" s="7" t="n">
        <v>6197</v>
      </c>
      <c r="Y1936" s="8" t="n">
        <v>1339</v>
      </c>
      <c r="Z1936" s="8" t="n">
        <v>758</v>
      </c>
      <c r="AA1936" s="9" t="n">
        <v>3706</v>
      </c>
      <c r="AB1936" s="10" t="n">
        <v>-375</v>
      </c>
      <c r="AC1936" s="10" t="n">
        <v>-223</v>
      </c>
      <c r="AD1936" s="7" t="n">
        <v>4828</v>
      </c>
      <c r="AE1936" s="8" t="n">
        <v>360</v>
      </c>
      <c r="AF1936" s="8" t="n">
        <v>-914</v>
      </c>
      <c r="AG1936" s="9" t="n">
        <v>2496</v>
      </c>
      <c r="AH1936" s="10" t="n">
        <v>-597</v>
      </c>
      <c r="AI1936" s="10" t="n">
        <v>2668</v>
      </c>
      <c r="AJ1936" s="11" t="n">
        <v>3602</v>
      </c>
      <c r="AK1936" s="12" t="n">
        <v>-410</v>
      </c>
      <c r="AL1936" s="12" t="n">
        <v>318</v>
      </c>
      <c r="AM1936" s="13" t="n">
        <v>44.3</v>
      </c>
      <c r="AN1936" s="13" t="n">
        <v>-41.9</v>
      </c>
      <c r="AO1936" s="13" t="n">
        <v>31.3</v>
      </c>
      <c r="AP1936" s="13" t="n">
        <v>-130.6</v>
      </c>
    </row>
    <row r="1937">
      <c r="A1937" s="5" t="inlineStr">
        <is>
          <t>힘스</t>
        </is>
      </c>
      <c r="B1937" s="6" t="inlineStr">
        <is>
          <t>238490</t>
        </is>
      </c>
      <c r="C1937" s="6" t="inlineStr">
        <is>
          <t>별도</t>
        </is>
      </c>
      <c r="D1937" s="6" t="inlineStr">
        <is>
          <t>2026Q2</t>
        </is>
      </c>
      <c r="E1937" s="6" t="inlineStr"/>
      <c r="F1937" s="7" t="inlineStr"/>
      <c r="G1937" s="8" t="inlineStr"/>
      <c r="H1937" s="8" t="inlineStr"/>
      <c r="I1937" s="9" t="inlineStr"/>
      <c r="J1937" s="10" t="n">
        <v>2809</v>
      </c>
      <c r="K1937" s="10" t="n">
        <v>2942</v>
      </c>
      <c r="L1937" s="7" t="inlineStr"/>
      <c r="M1937" s="8" t="n">
        <v>-2487</v>
      </c>
      <c r="N1937" s="8" t="n">
        <v>-1275</v>
      </c>
      <c r="O1937" s="9" t="inlineStr"/>
      <c r="P1937" s="10" t="n">
        <v>3065</v>
      </c>
      <c r="Q1937" s="10" t="n">
        <v>1926</v>
      </c>
      <c r="R1937" s="7" t="inlineStr"/>
      <c r="S1937" s="8" t="n">
        <v>-3218</v>
      </c>
      <c r="T1937" s="8" t="n">
        <v>-882</v>
      </c>
      <c r="U1937" s="9" t="inlineStr"/>
      <c r="V1937" s="10" t="n">
        <v>-4014</v>
      </c>
      <c r="W1937" s="10" t="n">
        <v>-2954</v>
      </c>
      <c r="X1937" s="7" t="inlineStr"/>
      <c r="Y1937" s="8" t="n">
        <v>1422</v>
      </c>
      <c r="Z1937" s="8" t="n">
        <v>811</v>
      </c>
      <c r="AA1937" s="9" t="inlineStr"/>
      <c r="AB1937" s="10" t="n">
        <v>-249</v>
      </c>
      <c r="AC1937" s="10" t="n">
        <v>866</v>
      </c>
      <c r="AD1937" s="7" t="inlineStr"/>
      <c r="AE1937" s="8" t="n">
        <v>-4690</v>
      </c>
      <c r="AF1937" s="8" t="n">
        <v>-11244</v>
      </c>
      <c r="AG1937" s="9" t="inlineStr"/>
      <c r="AH1937" s="10" t="n">
        <v>-1849</v>
      </c>
      <c r="AI1937" s="10" t="n">
        <v>-1096</v>
      </c>
      <c r="AJ1937" s="11" t="inlineStr"/>
      <c r="AK1937" s="12" t="n">
        <v>-3358</v>
      </c>
      <c r="AL1937" s="12" t="n">
        <v>-2575</v>
      </c>
      <c r="AM1937" s="13" t="inlineStr"/>
      <c r="AN1937" s="13" t="inlineStr"/>
      <c r="AO1937" s="13" t="n">
        <v>-81.59999999999999</v>
      </c>
      <c r="AP1937" s="13" t="n">
        <v>-336.1</v>
      </c>
    </row>
    <row r="1938">
      <c r="A1938" s="5" t="inlineStr">
        <is>
          <t>이스트에이드</t>
        </is>
      </c>
      <c r="B1938" s="6" t="inlineStr">
        <is>
          <t>239340</t>
        </is>
      </c>
      <c r="C1938" s="6" t="inlineStr">
        <is>
          <t>연결</t>
        </is>
      </c>
      <c r="D1938" s="6" t="inlineStr">
        <is>
          <t>2026Q2</t>
        </is>
      </c>
      <c r="E1938" s="6" t="inlineStr"/>
      <c r="F1938" s="7" t="inlineStr"/>
      <c r="G1938" s="8" t="inlineStr"/>
      <c r="H1938" s="8" t="inlineStr"/>
      <c r="I1938" s="9" t="n">
        <v>4533</v>
      </c>
      <c r="J1938" s="10" t="n">
        <v>111</v>
      </c>
      <c r="K1938" s="10" t="n">
        <v>462</v>
      </c>
      <c r="L1938" s="7" t="n">
        <v>4079</v>
      </c>
      <c r="M1938" s="8" t="n">
        <v>-1378</v>
      </c>
      <c r="N1938" s="8" t="n">
        <v>-1270</v>
      </c>
      <c r="O1938" s="9" t="n">
        <v>4756</v>
      </c>
      <c r="P1938" s="10" t="n">
        <v>-1043</v>
      </c>
      <c r="Q1938" s="10" t="n">
        <v>-993</v>
      </c>
      <c r="R1938" s="7" t="n">
        <v>3031</v>
      </c>
      <c r="S1938" s="8" t="n">
        <v>-2495</v>
      </c>
      <c r="T1938" s="8" t="n">
        <v>-3191</v>
      </c>
      <c r="U1938" s="9" t="n">
        <v>4836</v>
      </c>
      <c r="V1938" s="10" t="n">
        <v>-1874</v>
      </c>
      <c r="W1938" s="10" t="n">
        <v>-1817</v>
      </c>
      <c r="X1938" s="7" t="n">
        <v>4265</v>
      </c>
      <c r="Y1938" s="8" t="n">
        <v>-951</v>
      </c>
      <c r="Z1938" s="8" t="n">
        <v>-1186</v>
      </c>
      <c r="AA1938" s="9" t="n">
        <v>3823</v>
      </c>
      <c r="AB1938" s="10" t="n">
        <v>-1060</v>
      </c>
      <c r="AC1938" s="10" t="n">
        <v>-920</v>
      </c>
      <c r="AD1938" s="7" t="n">
        <v>2660</v>
      </c>
      <c r="AE1938" s="8" t="n">
        <v>-1693</v>
      </c>
      <c r="AF1938" s="8" t="n">
        <v>-2446</v>
      </c>
      <c r="AG1938" s="9" t="n">
        <v>4107</v>
      </c>
      <c r="AH1938" s="10" t="n">
        <v>-1920</v>
      </c>
      <c r="AI1938" s="10" t="n">
        <v>-1856</v>
      </c>
      <c r="AJ1938" s="11" t="n">
        <v>4510</v>
      </c>
      <c r="AK1938" s="12" t="n">
        <v>-556</v>
      </c>
      <c r="AL1938" s="12" t="n">
        <v>-534</v>
      </c>
      <c r="AM1938" s="13" t="n">
        <v>9.800000000000001</v>
      </c>
      <c r="AN1938" s="13" t="n">
        <v>5.7</v>
      </c>
      <c r="AO1938" s="13" t="n">
        <v>71</v>
      </c>
      <c r="AP1938" s="13" t="n">
        <v>41.5</v>
      </c>
    </row>
    <row r="1939">
      <c r="A1939" s="5" t="inlineStr">
        <is>
          <t>에이치엘사이언스</t>
        </is>
      </c>
      <c r="B1939" s="6" t="inlineStr">
        <is>
          <t>239610</t>
        </is>
      </c>
      <c r="C1939" s="6" t="inlineStr">
        <is>
          <t>연결</t>
        </is>
      </c>
      <c r="D1939" s="6" t="inlineStr">
        <is>
          <t>2026Q2</t>
        </is>
      </c>
      <c r="E1939" s="6" t="inlineStr"/>
      <c r="F1939" s="7" t="inlineStr"/>
      <c r="G1939" s="8" t="inlineStr"/>
      <c r="H1939" s="8" t="inlineStr"/>
      <c r="I1939" s="9" t="n">
        <v>5132</v>
      </c>
      <c r="J1939" s="10" t="n">
        <v>-2228</v>
      </c>
      <c r="K1939" s="10" t="n">
        <v>-1718</v>
      </c>
      <c r="L1939" s="7" t="n">
        <v>5291</v>
      </c>
      <c r="M1939" s="8" t="n">
        <v>-2137</v>
      </c>
      <c r="N1939" s="8" t="n">
        <v>-1253</v>
      </c>
      <c r="O1939" s="9" t="n">
        <v>3495</v>
      </c>
      <c r="P1939" s="10" t="n">
        <v>-1656</v>
      </c>
      <c r="Q1939" s="10" t="n">
        <v>-1007</v>
      </c>
      <c r="R1939" s="7" t="n">
        <v>3746</v>
      </c>
      <c r="S1939" s="8" t="n">
        <v>-3838</v>
      </c>
      <c r="T1939" s="8" t="n">
        <v>-3988</v>
      </c>
      <c r="U1939" s="9" t="n">
        <v>5079</v>
      </c>
      <c r="V1939" s="10" t="n">
        <v>-2956</v>
      </c>
      <c r="W1939" s="10" t="n">
        <v>-2470</v>
      </c>
      <c r="X1939" s="7" t="n">
        <v>5821</v>
      </c>
      <c r="Y1939" s="8" t="n">
        <v>-3080</v>
      </c>
      <c r="Z1939" s="8" t="n">
        <v>-2647</v>
      </c>
      <c r="AA1939" s="9" t="n">
        <v>3452</v>
      </c>
      <c r="AB1939" s="10" t="n">
        <v>-2625</v>
      </c>
      <c r="AC1939" s="10" t="n">
        <v>-2242</v>
      </c>
      <c r="AD1939" s="7" t="n">
        <v>2354</v>
      </c>
      <c r="AE1939" s="8" t="n">
        <v>-2391</v>
      </c>
      <c r="AF1939" s="8" t="n">
        <v>-4590</v>
      </c>
      <c r="AG1939" s="9" t="n">
        <v>2135</v>
      </c>
      <c r="AH1939" s="10" t="n">
        <v>-2246</v>
      </c>
      <c r="AI1939" s="10" t="n">
        <v>-1878</v>
      </c>
      <c r="AJ1939" s="11" t="n">
        <v>2500</v>
      </c>
      <c r="AK1939" s="12" t="n">
        <v>-2790</v>
      </c>
      <c r="AL1939" s="12" t="n">
        <v>-2508</v>
      </c>
      <c r="AM1939" s="13" t="n">
        <v>17.1</v>
      </c>
      <c r="AN1939" s="13" t="n">
        <v>-57.1</v>
      </c>
      <c r="AO1939" s="13" t="n">
        <v>-24.2</v>
      </c>
      <c r="AP1939" s="13" t="n">
        <v>9.4</v>
      </c>
    </row>
    <row r="1940">
      <c r="A1940" s="5" t="inlineStr">
        <is>
          <t>피엔에이치테크</t>
        </is>
      </c>
      <c r="B1940" s="6" t="inlineStr">
        <is>
          <t>239890</t>
        </is>
      </c>
      <c r="C1940" s="6" t="inlineStr">
        <is>
          <t>별도</t>
        </is>
      </c>
      <c r="D1940" s="6" t="inlineStr">
        <is>
          <t>2026Q2</t>
        </is>
      </c>
      <c r="E1940" s="6" t="inlineStr"/>
      <c r="F1940" s="7" t="inlineStr"/>
      <c r="G1940" s="8" t="inlineStr"/>
      <c r="H1940" s="8" t="inlineStr"/>
      <c r="I1940" s="9" t="n">
        <v>10518</v>
      </c>
      <c r="J1940" s="10" t="n">
        <v>1814</v>
      </c>
      <c r="K1940" s="10" t="n">
        <v>1536</v>
      </c>
      <c r="L1940" s="7" t="n">
        <v>7917</v>
      </c>
      <c r="M1940" s="8" t="n">
        <v>315</v>
      </c>
      <c r="N1940" s="8" t="n">
        <v>732</v>
      </c>
      <c r="O1940" s="9" t="n">
        <v>8376</v>
      </c>
      <c r="P1940" s="10" t="n">
        <v>694</v>
      </c>
      <c r="Q1940" s="10" t="n">
        <v>748</v>
      </c>
      <c r="R1940" s="7" t="n">
        <v>6782</v>
      </c>
      <c r="S1940" s="8" t="n">
        <v>-287</v>
      </c>
      <c r="T1940" s="8" t="n">
        <v>371</v>
      </c>
      <c r="U1940" s="9" t="n">
        <v>7004</v>
      </c>
      <c r="V1940" s="10" t="n">
        <v>465</v>
      </c>
      <c r="W1940" s="10" t="n">
        <v>561</v>
      </c>
      <c r="X1940" s="7" t="n">
        <v>8944</v>
      </c>
      <c r="Y1940" s="8" t="n">
        <v>423</v>
      </c>
      <c r="Z1940" s="8" t="n">
        <v>826</v>
      </c>
      <c r="AA1940" s="9" t="n">
        <v>6846</v>
      </c>
      <c r="AB1940" s="10" t="n">
        <v>969</v>
      </c>
      <c r="AC1940" s="10" t="n">
        <v>914</v>
      </c>
      <c r="AD1940" s="7" t="inlineStr"/>
      <c r="AE1940" s="8" t="inlineStr"/>
      <c r="AF1940" s="8" t="n">
        <v>569</v>
      </c>
      <c r="AG1940" s="9" t="inlineStr"/>
      <c r="AH1940" s="10" t="inlineStr"/>
      <c r="AI1940" s="10" t="n">
        <v>161</v>
      </c>
      <c r="AJ1940" s="11" t="n">
        <v>6962</v>
      </c>
      <c r="AK1940" s="12" t="n">
        <v>157</v>
      </c>
      <c r="AL1940" s="12" t="n">
        <v>1266</v>
      </c>
      <c r="AM1940" s="13" t="inlineStr"/>
      <c r="AN1940" s="13" t="n">
        <v>-22.2</v>
      </c>
      <c r="AO1940" s="13" t="inlineStr"/>
      <c r="AP1940" s="13" t="n">
        <v>-62.9</v>
      </c>
    </row>
    <row r="1941">
      <c r="A1941" s="5" t="inlineStr">
        <is>
          <t>동방메디컬</t>
        </is>
      </c>
      <c r="B1941" s="6" t="inlineStr">
        <is>
          <t>240550</t>
        </is>
      </c>
      <c r="C1941" s="6" t="inlineStr">
        <is>
          <t>연결</t>
        </is>
      </c>
      <c r="D1941" s="6" t="inlineStr">
        <is>
          <t>2026Q2</t>
        </is>
      </c>
      <c r="E1941" s="6" t="inlineStr"/>
      <c r="F1941" s="7" t="inlineStr"/>
      <c r="G1941" s="8" t="inlineStr"/>
      <c r="H1941" s="8" t="inlineStr"/>
      <c r="I1941" s="9" t="inlineStr"/>
      <c r="J1941" s="10" t="inlineStr"/>
      <c r="K1941" s="10" t="inlineStr"/>
      <c r="L1941" s="7" t="inlineStr"/>
      <c r="M1941" s="8" t="inlineStr"/>
      <c r="N1941" s="8" t="inlineStr"/>
      <c r="O1941" s="9" t="inlineStr"/>
      <c r="P1941" s="10" t="inlineStr"/>
      <c r="Q1941" s="10" t="inlineStr"/>
      <c r="R1941" s="7" t="inlineStr"/>
      <c r="S1941" s="8" t="inlineStr"/>
      <c r="T1941" s="8" t="inlineStr"/>
      <c r="U1941" s="9" t="n">
        <v>27571</v>
      </c>
      <c r="V1941" s="10" t="n">
        <v>4277</v>
      </c>
      <c r="W1941" s="10" t="n">
        <v>3170</v>
      </c>
      <c r="X1941" s="7" t="n">
        <v>26193</v>
      </c>
      <c r="Y1941" s="8" t="n">
        <v>3136</v>
      </c>
      <c r="Z1941" s="8" t="n">
        <v>1927</v>
      </c>
      <c r="AA1941" s="9" t="n">
        <v>29988</v>
      </c>
      <c r="AB1941" s="10" t="n">
        <v>4064</v>
      </c>
      <c r="AC1941" s="10" t="n">
        <v>2847</v>
      </c>
      <c r="AD1941" s="7" t="n">
        <v>29785</v>
      </c>
      <c r="AE1941" s="8" t="n">
        <v>5528</v>
      </c>
      <c r="AF1941" s="8" t="n">
        <v>3498</v>
      </c>
      <c r="AG1941" s="9" t="n">
        <v>31404</v>
      </c>
      <c r="AH1941" s="10" t="n">
        <v>6052</v>
      </c>
      <c r="AI1941" s="10" t="n">
        <v>5274</v>
      </c>
      <c r="AJ1941" s="11" t="n">
        <v>33941</v>
      </c>
      <c r="AK1941" s="12" t="n">
        <v>6357</v>
      </c>
      <c r="AL1941" s="12" t="n">
        <v>3995</v>
      </c>
      <c r="AM1941" s="13" t="n">
        <v>8.1</v>
      </c>
      <c r="AN1941" s="13" t="n">
        <v>29.6</v>
      </c>
      <c r="AO1941" s="13" t="n">
        <v>5</v>
      </c>
      <c r="AP1941" s="13" t="n">
        <v>102.7</v>
      </c>
    </row>
    <row r="1942">
      <c r="A1942" s="5" t="inlineStr">
        <is>
          <t>유진테크놀로지</t>
        </is>
      </c>
      <c r="B1942" s="6" t="inlineStr">
        <is>
          <t>240600</t>
        </is>
      </c>
      <c r="C1942" s="6" t="inlineStr">
        <is>
          <t>연결</t>
        </is>
      </c>
      <c r="D1942" s="6" t="inlineStr">
        <is>
          <t>2026Q2</t>
        </is>
      </c>
      <c r="E1942" s="6" t="inlineStr"/>
      <c r="F1942" s="7" t="inlineStr"/>
      <c r="G1942" s="8" t="inlineStr"/>
      <c r="H1942" s="8" t="inlineStr"/>
      <c r="I1942" s="9" t="n">
        <v>11366</v>
      </c>
      <c r="J1942" s="10" t="n">
        <v>533</v>
      </c>
      <c r="K1942" s="10" t="n">
        <v>894</v>
      </c>
      <c r="L1942" s="7" t="n">
        <v>6969</v>
      </c>
      <c r="M1942" s="8" t="n">
        <v>-1989</v>
      </c>
      <c r="N1942" s="8" t="n">
        <v>-1625</v>
      </c>
      <c r="O1942" s="9" t="n">
        <v>4110</v>
      </c>
      <c r="P1942" s="10" t="n">
        <v>-1449</v>
      </c>
      <c r="Q1942" s="10" t="n">
        <v>-1546</v>
      </c>
      <c r="R1942" s="7" t="n">
        <v>8679</v>
      </c>
      <c r="S1942" s="8" t="n">
        <v>-1029</v>
      </c>
      <c r="T1942" s="8" t="n">
        <v>-897</v>
      </c>
      <c r="U1942" s="9" t="n">
        <v>4563</v>
      </c>
      <c r="V1942" s="10" t="n">
        <v>-2465</v>
      </c>
      <c r="W1942" s="10" t="n">
        <v>-2081</v>
      </c>
      <c r="X1942" s="7" t="n">
        <v>6958</v>
      </c>
      <c r="Y1942" s="8" t="n">
        <v>-1537</v>
      </c>
      <c r="Z1942" s="8" t="n">
        <v>-1890</v>
      </c>
      <c r="AA1942" s="9" t="n">
        <v>7618</v>
      </c>
      <c r="AB1942" s="10" t="n">
        <v>-1460</v>
      </c>
      <c r="AC1942" s="10" t="n">
        <v>-1056</v>
      </c>
      <c r="AD1942" s="7" t="n">
        <v>9541</v>
      </c>
      <c r="AE1942" s="8" t="n">
        <v>-2322</v>
      </c>
      <c r="AF1942" s="8" t="n">
        <v>-2738</v>
      </c>
      <c r="AG1942" s="9" t="n">
        <v>7760</v>
      </c>
      <c r="AH1942" s="10" t="n">
        <v>-1691</v>
      </c>
      <c r="AI1942" s="10" t="n">
        <v>-1148</v>
      </c>
      <c r="AJ1942" s="11" t="n">
        <v>9595</v>
      </c>
      <c r="AK1942" s="12" t="n">
        <v>-793</v>
      </c>
      <c r="AL1942" s="12" t="n">
        <v>-554</v>
      </c>
      <c r="AM1942" s="13" t="n">
        <v>23.6</v>
      </c>
      <c r="AN1942" s="13" t="n">
        <v>37.9</v>
      </c>
      <c r="AO1942" s="13" t="n">
        <v>53.1</v>
      </c>
      <c r="AP1942" s="13" t="n">
        <v>48.4</v>
      </c>
    </row>
    <row r="1943">
      <c r="A1943" s="5" t="inlineStr">
        <is>
          <t>원익IPS</t>
        </is>
      </c>
      <c r="B1943" s="6" t="inlineStr">
        <is>
          <t>240810</t>
        </is>
      </c>
      <c r="C1943" s="6" t="inlineStr">
        <is>
          <t>연결</t>
        </is>
      </c>
      <c r="D1943" s="6" t="inlineStr">
        <is>
          <t>2026Q2</t>
        </is>
      </c>
      <c r="E1943" s="6" t="inlineStr">
        <is>
          <t>2023Q4</t>
        </is>
      </c>
      <c r="F1943" s="14" t="n">
        <v>225418</v>
      </c>
      <c r="G1943" s="15" t="n">
        <v>12050</v>
      </c>
      <c r="H1943" s="15" t="n">
        <v>-3759</v>
      </c>
      <c r="I1943" s="9" t="n">
        <v>113833</v>
      </c>
      <c r="J1943" s="10" t="n">
        <v>-26718</v>
      </c>
      <c r="K1943" s="10" t="n">
        <v>-22465</v>
      </c>
      <c r="L1943" s="7" t="n">
        <v>154902</v>
      </c>
      <c r="M1943" s="8" t="n">
        <v>-3086</v>
      </c>
      <c r="N1943" s="8" t="n">
        <v>7026</v>
      </c>
      <c r="O1943" s="9" t="n">
        <v>184587</v>
      </c>
      <c r="P1943" s="10" t="n">
        <v>14466</v>
      </c>
      <c r="Q1943" s="10" t="n">
        <v>8450</v>
      </c>
      <c r="R1943" s="7" t="n">
        <v>294854</v>
      </c>
      <c r="S1943" s="8" t="n">
        <v>25980</v>
      </c>
      <c r="T1943" s="8" t="n">
        <v>27737</v>
      </c>
      <c r="U1943" s="9" t="n">
        <v>124198</v>
      </c>
      <c r="V1943" s="10" t="n">
        <v>-7381</v>
      </c>
      <c r="W1943" s="10" t="n">
        <v>-4715</v>
      </c>
      <c r="X1943" s="7" t="n">
        <v>242169</v>
      </c>
      <c r="Y1943" s="8" t="n">
        <v>36451</v>
      </c>
      <c r="Z1943" s="8" t="n">
        <v>27654</v>
      </c>
      <c r="AA1943" s="9" t="n">
        <v>268438</v>
      </c>
      <c r="AB1943" s="10" t="n">
        <v>27539</v>
      </c>
      <c r="AC1943" s="10" t="n">
        <v>28281</v>
      </c>
      <c r="AD1943" s="7" t="n">
        <v>274991</v>
      </c>
      <c r="AE1943" s="8" t="n">
        <v>17205</v>
      </c>
      <c r="AF1943" s="8" t="n">
        <v>32809</v>
      </c>
      <c r="AG1943" s="9" t="n">
        <v>164901</v>
      </c>
      <c r="AH1943" s="10" t="n">
        <v>10734</v>
      </c>
      <c r="AI1943" s="10" t="n">
        <v>22054</v>
      </c>
      <c r="AJ1943" s="11" t="n">
        <v>216472</v>
      </c>
      <c r="AK1943" s="12" t="n">
        <v>18383</v>
      </c>
      <c r="AL1943" s="12" t="n">
        <v>89935</v>
      </c>
      <c r="AM1943" s="13" t="n">
        <v>31.3</v>
      </c>
      <c r="AN1943" s="13" t="n">
        <v>-10.6</v>
      </c>
      <c r="AO1943" s="13" t="n">
        <v>71.3</v>
      </c>
      <c r="AP1943" s="13" t="n">
        <v>-49.6</v>
      </c>
    </row>
    <row r="1944">
      <c r="A1944" s="5" t="inlineStr">
        <is>
          <t>DSC인베스트먼트</t>
        </is>
      </c>
      <c r="B1944" s="6" t="inlineStr">
        <is>
          <t>241520</t>
        </is>
      </c>
      <c r="C1944" s="6" t="inlineStr">
        <is>
          <t>연결</t>
        </is>
      </c>
      <c r="D1944" s="6" t="inlineStr">
        <is>
          <t>2026Q2</t>
        </is>
      </c>
      <c r="E1944" s="6" t="inlineStr"/>
      <c r="F1944" s="7" t="inlineStr"/>
      <c r="G1944" s="8" t="inlineStr"/>
      <c r="H1944" s="8" t="inlineStr"/>
      <c r="I1944" s="9" t="n">
        <v>9311</v>
      </c>
      <c r="J1944" s="10" t="n">
        <v>3351</v>
      </c>
      <c r="K1944" s="10" t="n">
        <v>2969</v>
      </c>
      <c r="L1944" s="7" t="n">
        <v>10836</v>
      </c>
      <c r="M1944" s="8" t="n">
        <v>1935</v>
      </c>
      <c r="N1944" s="8" t="n">
        <v>1029</v>
      </c>
      <c r="O1944" s="9" t="n">
        <v>7861</v>
      </c>
      <c r="P1944" s="10" t="n">
        <v>3963</v>
      </c>
      <c r="Q1944" s="10" t="n">
        <v>2960</v>
      </c>
      <c r="R1944" s="7" t="n">
        <v>10619</v>
      </c>
      <c r="S1944" s="8" t="n">
        <v>5705</v>
      </c>
      <c r="T1944" s="8" t="n">
        <v>3615</v>
      </c>
      <c r="U1944" s="9" t="n">
        <v>6530</v>
      </c>
      <c r="V1944" s="10" t="n">
        <v>-364</v>
      </c>
      <c r="W1944" s="10" t="n">
        <v>-268</v>
      </c>
      <c r="X1944" s="7" t="n">
        <v>11474</v>
      </c>
      <c r="Y1944" s="8" t="n">
        <v>5566</v>
      </c>
      <c r="Z1944" s="8" t="n">
        <v>4368</v>
      </c>
      <c r="AA1944" s="9" t="n">
        <v>8166</v>
      </c>
      <c r="AB1944" s="10" t="n">
        <v>927</v>
      </c>
      <c r="AC1944" s="10" t="n">
        <v>513</v>
      </c>
      <c r="AD1944" s="7" t="n">
        <v>18968</v>
      </c>
      <c r="AE1944" s="8" t="n">
        <v>16210</v>
      </c>
      <c r="AF1944" s="8" t="n">
        <v>13158</v>
      </c>
      <c r="AG1944" s="9" t="n">
        <v>12401</v>
      </c>
      <c r="AH1944" s="10" t="n">
        <v>4587</v>
      </c>
      <c r="AI1944" s="10" t="n">
        <v>3527</v>
      </c>
      <c r="AJ1944" s="11" t="n">
        <v>16988</v>
      </c>
      <c r="AK1944" s="12" t="n">
        <v>12166</v>
      </c>
      <c r="AL1944" s="12" t="n">
        <v>9496</v>
      </c>
      <c r="AM1944" s="13" t="n">
        <v>37</v>
      </c>
      <c r="AN1944" s="13" t="n">
        <v>48.1</v>
      </c>
      <c r="AO1944" s="13" t="n">
        <v>165.2</v>
      </c>
      <c r="AP1944" s="13" t="n">
        <v>118.6</v>
      </c>
    </row>
    <row r="1945">
      <c r="A1945" s="5" t="inlineStr">
        <is>
          <t>두산밥캣</t>
        </is>
      </c>
      <c r="B1945" s="6" t="inlineStr">
        <is>
          <t>241560</t>
        </is>
      </c>
      <c r="C1945" s="6" t="inlineStr">
        <is>
          <t>연결</t>
        </is>
      </c>
      <c r="D1945" s="6" t="inlineStr">
        <is>
          <t>2026Q2</t>
        </is>
      </c>
      <c r="E1945" s="6" t="inlineStr"/>
      <c r="F1945" s="7" t="inlineStr"/>
      <c r="G1945" s="8" t="inlineStr"/>
      <c r="H1945" s="8" t="inlineStr"/>
      <c r="I1945" s="9" t="n">
        <v>1803</v>
      </c>
      <c r="J1945" s="10" t="n">
        <v>245</v>
      </c>
      <c r="K1945" s="10" t="n">
        <v>163</v>
      </c>
      <c r="L1945" s="7" t="n">
        <v>1629</v>
      </c>
      <c r="M1945" s="8" t="n">
        <v>174</v>
      </c>
      <c r="N1945" s="8" t="n">
        <v>114</v>
      </c>
      <c r="O1945" s="9" t="n">
        <v>1306</v>
      </c>
      <c r="P1945" s="10" t="n">
        <v>92</v>
      </c>
      <c r="Q1945" s="10" t="n">
        <v>47</v>
      </c>
      <c r="R1945" s="7" t="n">
        <v>1531</v>
      </c>
      <c r="S1945" s="8" t="n">
        <v>128</v>
      </c>
      <c r="T1945" s="8" t="n">
        <v>89</v>
      </c>
      <c r="U1945" s="9" t="n">
        <v>1444</v>
      </c>
      <c r="V1945" s="10" t="n">
        <v>138</v>
      </c>
      <c r="W1945" s="10" t="n">
        <v>78</v>
      </c>
      <c r="X1945" s="7" t="n">
        <v>1567</v>
      </c>
      <c r="Y1945" s="8" t="n">
        <v>145</v>
      </c>
      <c r="Z1945" s="8" t="n">
        <v>87</v>
      </c>
      <c r="AA1945" s="9" t="n">
        <v>1529</v>
      </c>
      <c r="AB1945" s="10" t="n">
        <v>98</v>
      </c>
      <c r="AC1945" s="10" t="n">
        <v>60</v>
      </c>
      <c r="AD1945" s="7" t="n">
        <v>1642</v>
      </c>
      <c r="AE1945" s="8" t="n">
        <v>101</v>
      </c>
      <c r="AF1945" s="8" t="n">
        <v>58</v>
      </c>
      <c r="AG1945" s="9" t="n">
        <v>1534</v>
      </c>
      <c r="AH1945" s="10" t="n">
        <v>141</v>
      </c>
      <c r="AI1945" s="10" t="n">
        <v>90</v>
      </c>
      <c r="AJ1945" s="11" t="n">
        <v>1630</v>
      </c>
      <c r="AK1945" s="12" t="n">
        <v>195</v>
      </c>
      <c r="AL1945" s="12" t="n">
        <v>133</v>
      </c>
      <c r="AM1945" s="13" t="n">
        <v>6.3</v>
      </c>
      <c r="AN1945" s="13" t="n">
        <v>4</v>
      </c>
      <c r="AO1945" s="13" t="n">
        <v>38.3</v>
      </c>
      <c r="AP1945" s="13" t="n">
        <v>34.5</v>
      </c>
    </row>
    <row r="1946">
      <c r="A1946" s="5" t="inlineStr">
        <is>
          <t>화승엔터프라이즈</t>
        </is>
      </c>
      <c r="B1946" s="6" t="inlineStr">
        <is>
          <t>241590</t>
        </is>
      </c>
      <c r="C1946" s="6" t="inlineStr">
        <is>
          <t>연결</t>
        </is>
      </c>
      <c r="D1946" s="6" t="inlineStr">
        <is>
          <t>2026Q2</t>
        </is>
      </c>
      <c r="E1946" s="6" t="inlineStr"/>
      <c r="F1946" s="7" t="inlineStr"/>
      <c r="G1946" s="8" t="inlineStr"/>
      <c r="H1946" s="8" t="inlineStr"/>
      <c r="I1946" s="9" t="n">
        <v>345369</v>
      </c>
      <c r="J1946" s="10" t="n">
        <v>5327</v>
      </c>
      <c r="K1946" s="10" t="n">
        <v>-1804</v>
      </c>
      <c r="L1946" s="7" t="n">
        <v>391678</v>
      </c>
      <c r="M1946" s="8" t="n">
        <v>18774</v>
      </c>
      <c r="N1946" s="8" t="n">
        <v>6925</v>
      </c>
      <c r="O1946" s="9" t="n">
        <v>386114</v>
      </c>
      <c r="P1946" s="10" t="n">
        <v>19114</v>
      </c>
      <c r="Q1946" s="10" t="n">
        <v>8241</v>
      </c>
      <c r="R1946" s="7" t="n">
        <v>486456</v>
      </c>
      <c r="S1946" s="8" t="n">
        <v>39351</v>
      </c>
      <c r="T1946" s="8" t="n">
        <v>20997</v>
      </c>
      <c r="U1946" s="9" t="n">
        <v>423428</v>
      </c>
      <c r="V1946" s="10" t="n">
        <v>13420</v>
      </c>
      <c r="W1946" s="10" t="n">
        <v>1020</v>
      </c>
      <c r="X1946" s="7" t="n">
        <v>386981</v>
      </c>
      <c r="Y1946" s="8" t="n">
        <v>9313</v>
      </c>
      <c r="Z1946" s="8" t="n">
        <v>-10181</v>
      </c>
      <c r="AA1946" s="9" t="n">
        <v>355775</v>
      </c>
      <c r="AB1946" s="10" t="n">
        <v>143</v>
      </c>
      <c r="AC1946" s="10" t="n">
        <v>-4831</v>
      </c>
      <c r="AD1946" s="7" t="n">
        <v>398195</v>
      </c>
      <c r="AE1946" s="8" t="n">
        <v>12816</v>
      </c>
      <c r="AF1946" s="8" t="n">
        <v>-13129</v>
      </c>
      <c r="AG1946" s="9" t="n">
        <v>350912</v>
      </c>
      <c r="AH1946" s="10" t="n">
        <v>-4849</v>
      </c>
      <c r="AI1946" s="10" t="n">
        <v>-9235</v>
      </c>
      <c r="AJ1946" s="11" t="n">
        <v>397514</v>
      </c>
      <c r="AK1946" s="12" t="n">
        <v>7290</v>
      </c>
      <c r="AL1946" s="12" t="n">
        <v>-1579</v>
      </c>
      <c r="AM1946" s="13" t="n">
        <v>13.3</v>
      </c>
      <c r="AN1946" s="13" t="n">
        <v>2.7</v>
      </c>
      <c r="AO1946" s="13" t="n">
        <v>250.3</v>
      </c>
      <c r="AP1946" s="13" t="n">
        <v>-21.7</v>
      </c>
    </row>
    <row r="1947">
      <c r="A1947" s="5" t="inlineStr">
        <is>
          <t>유니테크노</t>
        </is>
      </c>
      <c r="B1947" s="6" t="inlineStr">
        <is>
          <t>241690</t>
        </is>
      </c>
      <c r="C1947" s="6" t="inlineStr">
        <is>
          <t>연결</t>
        </is>
      </c>
      <c r="D1947" s="6" t="inlineStr">
        <is>
          <t>2026Q2</t>
        </is>
      </c>
      <c r="E1947" s="6" t="inlineStr"/>
      <c r="F1947" s="7" t="inlineStr"/>
      <c r="G1947" s="8" t="inlineStr"/>
      <c r="H1947" s="8" t="inlineStr"/>
      <c r="I1947" s="9" t="n">
        <v>22946</v>
      </c>
      <c r="J1947" s="10" t="n">
        <v>891</v>
      </c>
      <c r="K1947" s="10" t="n">
        <v>902</v>
      </c>
      <c r="L1947" s="7" t="n">
        <v>27772</v>
      </c>
      <c r="M1947" s="8" t="n">
        <v>3451</v>
      </c>
      <c r="N1947" s="8" t="n">
        <v>4300</v>
      </c>
      <c r="O1947" s="9" t="n">
        <v>26933</v>
      </c>
      <c r="P1947" s="10" t="n">
        <v>2793</v>
      </c>
      <c r="Q1947" s="10" t="n">
        <v>2037</v>
      </c>
      <c r="R1947" s="7" t="n">
        <v>27483</v>
      </c>
      <c r="S1947" s="8" t="n">
        <v>982</v>
      </c>
      <c r="T1947" s="8" t="n">
        <v>3392</v>
      </c>
      <c r="U1947" s="9" t="n">
        <v>25099</v>
      </c>
      <c r="V1947" s="10" t="n">
        <v>1084</v>
      </c>
      <c r="W1947" s="10" t="n">
        <v>453</v>
      </c>
      <c r="X1947" s="7" t="n">
        <v>28030</v>
      </c>
      <c r="Y1947" s="8" t="n">
        <v>1027</v>
      </c>
      <c r="Z1947" s="8" t="n">
        <v>512</v>
      </c>
      <c r="AA1947" s="9" t="n">
        <v>27531</v>
      </c>
      <c r="AB1947" s="10" t="n">
        <v>400</v>
      </c>
      <c r="AC1947" s="10" t="n">
        <v>-159</v>
      </c>
      <c r="AD1947" s="7" t="n">
        <v>26500</v>
      </c>
      <c r="AE1947" s="8" t="n">
        <v>-456</v>
      </c>
      <c r="AF1947" s="8" t="n">
        <v>-4023</v>
      </c>
      <c r="AG1947" s="9" t="n">
        <v>28408</v>
      </c>
      <c r="AH1947" s="10" t="n">
        <v>1474</v>
      </c>
      <c r="AI1947" s="10" t="n">
        <v>884</v>
      </c>
      <c r="AJ1947" s="11" t="n">
        <v>34213</v>
      </c>
      <c r="AK1947" s="12" t="n">
        <v>2818</v>
      </c>
      <c r="AL1947" s="12" t="n">
        <v>3184</v>
      </c>
      <c r="AM1947" s="13" t="n">
        <v>20.4</v>
      </c>
      <c r="AN1947" s="13" t="n">
        <v>22.1</v>
      </c>
      <c r="AO1947" s="13" t="n">
        <v>91.2</v>
      </c>
      <c r="AP1947" s="13" t="n">
        <v>174.4</v>
      </c>
    </row>
    <row r="1948">
      <c r="A1948" s="5" t="inlineStr">
        <is>
          <t>코스메카코리아</t>
        </is>
      </c>
      <c r="B1948" s="6" t="inlineStr">
        <is>
          <t>241710</t>
        </is>
      </c>
      <c r="C1948" s="6" t="inlineStr">
        <is>
          <t>연결</t>
        </is>
      </c>
      <c r="D1948" s="6" t="inlineStr">
        <is>
          <t>2026Q2</t>
        </is>
      </c>
      <c r="E1948" s="6" t="inlineStr">
        <is>
          <t>2023Q4</t>
        </is>
      </c>
      <c r="F1948" s="14" t="n">
        <v>122737</v>
      </c>
      <c r="G1948" s="15" t="n">
        <v>15044</v>
      </c>
      <c r="H1948" s="15" t="n">
        <v>5890</v>
      </c>
      <c r="I1948" s="9" t="n">
        <v>125588</v>
      </c>
      <c r="J1948" s="10" t="n">
        <v>13730</v>
      </c>
      <c r="K1948" s="10" t="n">
        <v>12553</v>
      </c>
      <c r="L1948" s="7" t="n">
        <v>143770</v>
      </c>
      <c r="M1948" s="8" t="n">
        <v>18094</v>
      </c>
      <c r="N1948" s="8" t="n">
        <v>16309</v>
      </c>
      <c r="O1948" s="9" t="n">
        <v>126627</v>
      </c>
      <c r="P1948" s="10" t="n">
        <v>15207</v>
      </c>
      <c r="Q1948" s="10" t="n">
        <v>8554</v>
      </c>
      <c r="R1948" s="7" t="n">
        <v>128344</v>
      </c>
      <c r="S1948" s="8" t="n">
        <v>13331</v>
      </c>
      <c r="T1948" s="8" t="n">
        <v>16272</v>
      </c>
      <c r="U1948" s="9" t="n">
        <v>74338</v>
      </c>
      <c r="V1948" s="10" t="n">
        <v>12290</v>
      </c>
      <c r="W1948" s="10" t="n">
        <v>9220</v>
      </c>
      <c r="X1948" s="7" t="n">
        <v>161734</v>
      </c>
      <c r="Y1948" s="8" t="n">
        <v>23017</v>
      </c>
      <c r="Z1948" s="8" t="n">
        <v>10796</v>
      </c>
      <c r="AA1948" s="9" t="n">
        <v>182371</v>
      </c>
      <c r="AB1948" s="10" t="n">
        <v>27193</v>
      </c>
      <c r="AC1948" s="10" t="n">
        <v>22338</v>
      </c>
      <c r="AD1948" s="7" t="n">
        <v>222486</v>
      </c>
      <c r="AE1948" s="8" t="n">
        <v>21037</v>
      </c>
      <c r="AF1948" s="8" t="n">
        <v>15484</v>
      </c>
      <c r="AG1948" s="9" t="n">
        <v>185143</v>
      </c>
      <c r="AH1948" s="10" t="n">
        <v>21880</v>
      </c>
      <c r="AI1948" s="10" t="n">
        <v>19620</v>
      </c>
      <c r="AJ1948" s="11" t="n">
        <v>226080</v>
      </c>
      <c r="AK1948" s="12" t="n">
        <v>32057</v>
      </c>
      <c r="AL1948" s="12" t="n">
        <v>20293</v>
      </c>
      <c r="AM1948" s="13" t="n">
        <v>22.1</v>
      </c>
      <c r="AN1948" s="13" t="n">
        <v>39.8</v>
      </c>
      <c r="AO1948" s="13" t="n">
        <v>46.5</v>
      </c>
      <c r="AP1948" s="13" t="n">
        <v>39.3</v>
      </c>
    </row>
    <row r="1949">
      <c r="A1949" s="5" t="inlineStr">
        <is>
          <t>메카로</t>
        </is>
      </c>
      <c r="B1949" s="6" t="inlineStr">
        <is>
          <t>241770</t>
        </is>
      </c>
      <c r="C1949" s="6" t="inlineStr">
        <is>
          <t>연결</t>
        </is>
      </c>
      <c r="D1949" s="6" t="inlineStr">
        <is>
          <t>2026Q2</t>
        </is>
      </c>
      <c r="E1949" s="6" t="inlineStr"/>
      <c r="F1949" s="7" t="inlineStr"/>
      <c r="G1949" s="8" t="inlineStr"/>
      <c r="H1949" s="8" t="inlineStr"/>
      <c r="I1949" s="9" t="n">
        <v>12887</v>
      </c>
      <c r="J1949" s="10" t="n">
        <v>-1205</v>
      </c>
      <c r="K1949" s="10" t="n">
        <v>-310</v>
      </c>
      <c r="L1949" s="7" t="n">
        <v>14122</v>
      </c>
      <c r="M1949" s="8" t="n">
        <v>181</v>
      </c>
      <c r="N1949" s="8" t="n">
        <v>358</v>
      </c>
      <c r="O1949" s="9" t="n">
        <v>16052</v>
      </c>
      <c r="P1949" s="10" t="n">
        <v>706</v>
      </c>
      <c r="Q1949" s="10" t="n">
        <v>1693</v>
      </c>
      <c r="R1949" s="7" t="n">
        <v>19797</v>
      </c>
      <c r="S1949" s="8" t="n">
        <v>4436</v>
      </c>
      <c r="T1949" s="8" t="n">
        <v>3774</v>
      </c>
      <c r="U1949" s="9" t="n">
        <v>21507</v>
      </c>
      <c r="V1949" s="10" t="n">
        <v>3311</v>
      </c>
      <c r="W1949" s="10" t="n">
        <v>4061</v>
      </c>
      <c r="X1949" s="7" t="n">
        <v>22898</v>
      </c>
      <c r="Y1949" s="8" t="n">
        <v>3397</v>
      </c>
      <c r="Z1949" s="8" t="n">
        <v>3148</v>
      </c>
      <c r="AA1949" s="9" t="n">
        <v>25756</v>
      </c>
      <c r="AB1949" s="10" t="n">
        <v>4706</v>
      </c>
      <c r="AC1949" s="10" t="n">
        <v>4586</v>
      </c>
      <c r="AD1949" s="7" t="n">
        <v>24453</v>
      </c>
      <c r="AE1949" s="8" t="n">
        <v>3946</v>
      </c>
      <c r="AF1949" s="8" t="n">
        <v>819</v>
      </c>
      <c r="AG1949" s="9" t="n">
        <v>25521</v>
      </c>
      <c r="AH1949" s="10" t="n">
        <v>4108</v>
      </c>
      <c r="AI1949" s="10" t="n">
        <v>4928</v>
      </c>
      <c r="AJ1949" s="11" t="n">
        <v>25346</v>
      </c>
      <c r="AK1949" s="12" t="n">
        <v>4485</v>
      </c>
      <c r="AL1949" s="12" t="n">
        <v>4691</v>
      </c>
      <c r="AM1949" s="13" t="n">
        <v>-0.7</v>
      </c>
      <c r="AN1949" s="13" t="n">
        <v>10.7</v>
      </c>
      <c r="AO1949" s="13" t="n">
        <v>9.199999999999999</v>
      </c>
      <c r="AP1949" s="13" t="n">
        <v>32</v>
      </c>
    </row>
    <row r="1950">
      <c r="A1950" s="5" t="inlineStr">
        <is>
          <t>티이엠씨씨엔에스</t>
        </is>
      </c>
      <c r="B1950" s="6" t="inlineStr">
        <is>
          <t>241790</t>
        </is>
      </c>
      <c r="C1950" s="6" t="inlineStr">
        <is>
          <t>연결</t>
        </is>
      </c>
      <c r="D1950" s="6" t="inlineStr">
        <is>
          <t>2026Q2</t>
        </is>
      </c>
      <c r="E1950" s="6" t="inlineStr"/>
      <c r="F1950" s="7" t="inlineStr"/>
      <c r="G1950" s="8" t="inlineStr"/>
      <c r="H1950" s="8" t="inlineStr"/>
      <c r="I1950" s="9" t="n">
        <v>77802</v>
      </c>
      <c r="J1950" s="10" t="n">
        <v>4972</v>
      </c>
      <c r="K1950" s="10" t="n">
        <v>5516</v>
      </c>
      <c r="L1950" s="7" t="n">
        <v>34279</v>
      </c>
      <c r="M1950" s="8" t="n">
        <v>-1929</v>
      </c>
      <c r="N1950" s="8" t="n">
        <v>-1614</v>
      </c>
      <c r="O1950" s="9" t="n">
        <v>22721</v>
      </c>
      <c r="P1950" s="10" t="n">
        <v>2560</v>
      </c>
      <c r="Q1950" s="10" t="n">
        <v>822</v>
      </c>
      <c r="R1950" s="7" t="n">
        <v>58730</v>
      </c>
      <c r="S1950" s="8" t="n">
        <v>322</v>
      </c>
      <c r="T1950" s="8" t="n">
        <v>4013</v>
      </c>
      <c r="U1950" s="9" t="n">
        <v>32761</v>
      </c>
      <c r="V1950" s="10" t="n">
        <v>2857</v>
      </c>
      <c r="W1950" s="10" t="n">
        <v>1873</v>
      </c>
      <c r="X1950" s="7" t="n">
        <v>52382</v>
      </c>
      <c r="Y1950" s="8" t="n">
        <v>4173</v>
      </c>
      <c r="Z1950" s="8" t="n">
        <v>342</v>
      </c>
      <c r="AA1950" s="9" t="n">
        <v>31087</v>
      </c>
      <c r="AB1950" s="10" t="n">
        <v>1119</v>
      </c>
      <c r="AC1950" s="10" t="n">
        <v>1260</v>
      </c>
      <c r="AD1950" s="7" t="n">
        <v>51811</v>
      </c>
      <c r="AE1950" s="8" t="n">
        <v>849</v>
      </c>
      <c r="AF1950" s="8" t="n">
        <v>786</v>
      </c>
      <c r="AG1950" s="9" t="n">
        <v>23295</v>
      </c>
      <c r="AH1950" s="10" t="n">
        <v>-3609</v>
      </c>
      <c r="AI1950" s="10" t="n">
        <v>-384</v>
      </c>
      <c r="AJ1950" s="11" t="n">
        <v>55926</v>
      </c>
      <c r="AK1950" s="12" t="n">
        <v>97</v>
      </c>
      <c r="AL1950" s="12" t="n">
        <v>393</v>
      </c>
      <c r="AM1950" s="13" t="n">
        <v>140.1</v>
      </c>
      <c r="AN1950" s="13" t="n">
        <v>6.8</v>
      </c>
      <c r="AO1950" s="13" t="n">
        <v>102.7</v>
      </c>
      <c r="AP1950" s="13" t="n">
        <v>-97.7</v>
      </c>
    </row>
    <row r="1951">
      <c r="A1951" s="5" t="inlineStr">
        <is>
          <t>피씨엘</t>
        </is>
      </c>
      <c r="B1951" s="6" t="inlineStr">
        <is>
          <t>241820</t>
        </is>
      </c>
      <c r="C1951" s="6" t="inlineStr">
        <is>
          <t>연결</t>
        </is>
      </c>
      <c r="D1951" s="6" t="inlineStr">
        <is>
          <t>2025Q3</t>
        </is>
      </c>
      <c r="E1951" s="6" t="inlineStr"/>
      <c r="F1951" s="7" t="inlineStr"/>
      <c r="G1951" s="8" t="inlineStr"/>
      <c r="H1951" s="8" t="inlineStr"/>
      <c r="I1951" s="9" t="n">
        <v>458</v>
      </c>
      <c r="J1951" s="10" t="n">
        <v>-4591</v>
      </c>
      <c r="K1951" s="10" t="n">
        <v>-4809</v>
      </c>
      <c r="L1951" s="7" t="n">
        <v>345</v>
      </c>
      <c r="M1951" s="8" t="n">
        <v>-2907</v>
      </c>
      <c r="N1951" s="8" t="n">
        <v>-3259</v>
      </c>
      <c r="O1951" s="9" t="n">
        <v>380</v>
      </c>
      <c r="P1951" s="10" t="n">
        <v>-2308</v>
      </c>
      <c r="Q1951" s="10" t="n">
        <v>-1574</v>
      </c>
      <c r="R1951" s="7" t="n">
        <v>63</v>
      </c>
      <c r="S1951" s="8" t="n">
        <v>-17303</v>
      </c>
      <c r="T1951" s="8" t="n">
        <v>-43202</v>
      </c>
      <c r="U1951" s="9" t="n">
        <v>2039</v>
      </c>
      <c r="V1951" s="10" t="n">
        <v>59</v>
      </c>
      <c r="W1951" s="10" t="n">
        <v>-146</v>
      </c>
      <c r="X1951" s="7" t="n">
        <v>1676</v>
      </c>
      <c r="Y1951" s="8" t="n">
        <v>-4147</v>
      </c>
      <c r="Z1951" s="8" t="n">
        <v>-4461</v>
      </c>
      <c r="AA1951" s="9" t="n">
        <v>1205</v>
      </c>
      <c r="AB1951" s="10" t="n">
        <v>127</v>
      </c>
      <c r="AC1951" s="10" t="n">
        <v>206</v>
      </c>
      <c r="AD1951" s="7" t="inlineStr"/>
      <c r="AE1951" s="8" t="inlineStr"/>
      <c r="AF1951" s="8" t="inlineStr"/>
      <c r="AG1951" s="9" t="inlineStr"/>
      <c r="AH1951" s="10" t="inlineStr"/>
      <c r="AI1951" s="10" t="inlineStr"/>
      <c r="AJ1951" s="11" t="inlineStr"/>
      <c r="AK1951" s="12" t="inlineStr"/>
      <c r="AL1951" s="12" t="inlineStr"/>
      <c r="AM1951" s="13" t="inlineStr"/>
      <c r="AN1951" s="13" t="inlineStr"/>
      <c r="AO1951" s="13" t="inlineStr"/>
      <c r="AP1951" s="13" t="inlineStr"/>
    </row>
    <row r="1952">
      <c r="A1952" s="5" t="inlineStr">
        <is>
          <t>에이스토리</t>
        </is>
      </c>
      <c r="B1952" s="6" t="inlineStr">
        <is>
          <t>241840</t>
        </is>
      </c>
      <c r="C1952" s="6" t="inlineStr">
        <is>
          <t>연결</t>
        </is>
      </c>
      <c r="D1952" s="6" t="inlineStr">
        <is>
          <t>2026Q2</t>
        </is>
      </c>
      <c r="E1952" s="6" t="inlineStr"/>
      <c r="F1952" s="7" t="inlineStr"/>
      <c r="G1952" s="8" t="inlineStr"/>
      <c r="H1952" s="8" t="inlineStr"/>
      <c r="I1952" s="9" t="n">
        <v>11643</v>
      </c>
      <c r="J1952" s="10" t="n">
        <v>1752</v>
      </c>
      <c r="K1952" s="10" t="n">
        <v>1505</v>
      </c>
      <c r="L1952" s="7" t="n">
        <v>1353</v>
      </c>
      <c r="M1952" s="8" t="n">
        <v>-908</v>
      </c>
      <c r="N1952" s="8" t="n">
        <v>-999</v>
      </c>
      <c r="O1952" s="9" t="n">
        <v>1340</v>
      </c>
      <c r="P1952" s="10" t="n">
        <v>-703</v>
      </c>
      <c r="Q1952" s="10" t="n">
        <v>-1751</v>
      </c>
      <c r="R1952" s="7" t="n">
        <v>456</v>
      </c>
      <c r="S1952" s="8" t="n">
        <v>-3646</v>
      </c>
      <c r="T1952" s="8" t="n">
        <v>-3574</v>
      </c>
      <c r="U1952" s="9" t="n">
        <v>1262</v>
      </c>
      <c r="V1952" s="10" t="n">
        <v>-645</v>
      </c>
      <c r="W1952" s="10" t="n">
        <v>-1030</v>
      </c>
      <c r="X1952" s="7" t="n">
        <v>3873</v>
      </c>
      <c r="Y1952" s="8" t="n">
        <v>-1241</v>
      </c>
      <c r="Z1952" s="8" t="n">
        <v>-1675</v>
      </c>
      <c r="AA1952" s="9" t="n">
        <v>3730</v>
      </c>
      <c r="AB1952" s="10" t="n">
        <v>-1209</v>
      </c>
      <c r="AC1952" s="10" t="n">
        <v>-582</v>
      </c>
      <c r="AD1952" s="7" t="n">
        <v>2925</v>
      </c>
      <c r="AE1952" s="8" t="n">
        <v>-4183</v>
      </c>
      <c r="AF1952" s="8" t="n">
        <v>-3827</v>
      </c>
      <c r="AG1952" s="9" t="n">
        <v>6710</v>
      </c>
      <c r="AH1952" s="10" t="n">
        <v>-1212</v>
      </c>
      <c r="AI1952" s="10" t="n">
        <v>-983</v>
      </c>
      <c r="AJ1952" s="11" t="n">
        <v>3457</v>
      </c>
      <c r="AK1952" s="12" t="n">
        <v>-2519</v>
      </c>
      <c r="AL1952" s="12" t="n">
        <v>695</v>
      </c>
      <c r="AM1952" s="13" t="n">
        <v>-48.5</v>
      </c>
      <c r="AN1952" s="13" t="n">
        <v>-10.7</v>
      </c>
      <c r="AO1952" s="13" t="n">
        <v>-107.8</v>
      </c>
      <c r="AP1952" s="13" t="n">
        <v>-103</v>
      </c>
    </row>
    <row r="1953">
      <c r="A1953" s="5" t="inlineStr">
        <is>
          <t>나무AX</t>
        </is>
      </c>
      <c r="B1953" s="6" t="inlineStr">
        <is>
          <t>242040</t>
        </is>
      </c>
      <c r="C1953" s="6" t="inlineStr">
        <is>
          <t>연결</t>
        </is>
      </c>
      <c r="D1953" s="6" t="inlineStr">
        <is>
          <t>2026Q2</t>
        </is>
      </c>
      <c r="E1953" s="6" t="inlineStr"/>
      <c r="F1953" s="7" t="inlineStr"/>
      <c r="G1953" s="8" t="inlineStr"/>
      <c r="H1953" s="8" t="inlineStr"/>
      <c r="I1953" s="9" t="n">
        <v>16018</v>
      </c>
      <c r="J1953" s="10" t="n">
        <v>-88</v>
      </c>
      <c r="K1953" s="10" t="n">
        <v>-765</v>
      </c>
      <c r="L1953" s="7" t="n">
        <v>22312</v>
      </c>
      <c r="M1953" s="8" t="n">
        <v>-1017</v>
      </c>
      <c r="N1953" s="8" t="n">
        <v>-1730</v>
      </c>
      <c r="O1953" s="9" t="n">
        <v>19130</v>
      </c>
      <c r="P1953" s="10" t="n">
        <v>-1568</v>
      </c>
      <c r="Q1953" s="10" t="n">
        <v>-2445</v>
      </c>
      <c r="R1953" s="7" t="n">
        <v>33959</v>
      </c>
      <c r="S1953" s="8" t="n">
        <v>446</v>
      </c>
      <c r="T1953" s="8" t="n">
        <v>-562</v>
      </c>
      <c r="U1953" s="9" t="n">
        <v>17016</v>
      </c>
      <c r="V1953" s="10" t="n">
        <v>-664</v>
      </c>
      <c r="W1953" s="10" t="n">
        <v>-1347</v>
      </c>
      <c r="X1953" s="7" t="n">
        <v>18047</v>
      </c>
      <c r="Y1953" s="8" t="n">
        <v>-1223</v>
      </c>
      <c r="Z1953" s="8" t="n">
        <v>-1866</v>
      </c>
      <c r="AA1953" s="9" t="n">
        <v>32227</v>
      </c>
      <c r="AB1953" s="10" t="n">
        <v>2962</v>
      </c>
      <c r="AC1953" s="10" t="n">
        <v>1698</v>
      </c>
      <c r="AD1953" s="7" t="n">
        <v>34983</v>
      </c>
      <c r="AE1953" s="8" t="n">
        <v>1176</v>
      </c>
      <c r="AF1953" s="8" t="n">
        <v>-364</v>
      </c>
      <c r="AG1953" s="9" t="n">
        <v>36956</v>
      </c>
      <c r="AH1953" s="10" t="n">
        <v>415</v>
      </c>
      <c r="AI1953" s="10" t="n">
        <v>808</v>
      </c>
      <c r="AJ1953" s="11" t="n">
        <v>35483</v>
      </c>
      <c r="AK1953" s="12" t="n">
        <v>343</v>
      </c>
      <c r="AL1953" s="12" t="n">
        <v>210</v>
      </c>
      <c r="AM1953" s="13" t="n">
        <v>-4</v>
      </c>
      <c r="AN1953" s="13" t="n">
        <v>96.59999999999999</v>
      </c>
      <c r="AO1953" s="13" t="n">
        <v>-17.3</v>
      </c>
      <c r="AP1953" s="13" t="n">
        <v>128</v>
      </c>
    </row>
    <row r="1954">
      <c r="A1954" s="5" t="inlineStr">
        <is>
          <t>휴온스</t>
        </is>
      </c>
      <c r="B1954" s="6" t="inlineStr">
        <is>
          <t>243070</t>
        </is>
      </c>
      <c r="C1954" s="6" t="inlineStr">
        <is>
          <t>연결</t>
        </is>
      </c>
      <c r="D1954" s="6" t="inlineStr">
        <is>
          <t>2026Q2</t>
        </is>
      </c>
      <c r="E1954" s="6" t="inlineStr">
        <is>
          <t>2023Q4</t>
        </is>
      </c>
      <c r="F1954" s="14" t="n">
        <v>145224</v>
      </c>
      <c r="G1954" s="15" t="n">
        <v>10978</v>
      </c>
      <c r="H1954" s="15" t="n">
        <v>9198</v>
      </c>
      <c r="I1954" s="9" t="n">
        <v>147760</v>
      </c>
      <c r="J1954" s="10" t="n">
        <v>10692</v>
      </c>
      <c r="K1954" s="10" t="n">
        <v>9804</v>
      </c>
      <c r="L1954" s="7" t="n">
        <v>148981</v>
      </c>
      <c r="M1954" s="8" t="n">
        <v>9309</v>
      </c>
      <c r="N1954" s="8" t="n">
        <v>8089</v>
      </c>
      <c r="O1954" s="9" t="n">
        <v>146867</v>
      </c>
      <c r="P1954" s="10" t="n">
        <v>8684</v>
      </c>
      <c r="Q1954" s="10" t="n">
        <v>7257</v>
      </c>
      <c r="R1954" s="7" t="n">
        <v>146623</v>
      </c>
      <c r="S1954" s="8" t="n">
        <v>11010</v>
      </c>
      <c r="T1954" s="8" t="n">
        <v>3923</v>
      </c>
      <c r="U1954" s="9" t="n">
        <v>145836</v>
      </c>
      <c r="V1954" s="10" t="n">
        <v>12845</v>
      </c>
      <c r="W1954" s="10" t="n">
        <v>12349</v>
      </c>
      <c r="X1954" s="7" t="n">
        <v>156030</v>
      </c>
      <c r="Y1954" s="8" t="n">
        <v>13057</v>
      </c>
      <c r="Z1954" s="8" t="n">
        <v>11848</v>
      </c>
      <c r="AA1954" s="9" t="n">
        <v>153717</v>
      </c>
      <c r="AB1954" s="10" t="n">
        <v>9873</v>
      </c>
      <c r="AC1954" s="10" t="n">
        <v>8226</v>
      </c>
      <c r="AD1954" s="7" t="n">
        <v>165185</v>
      </c>
      <c r="AE1954" s="8" t="n">
        <v>9825</v>
      </c>
      <c r="AF1954" s="8" t="n">
        <v>9821</v>
      </c>
      <c r="AG1954" s="9" t="n">
        <v>141871</v>
      </c>
      <c r="AH1954" s="10" t="n">
        <v>-649</v>
      </c>
      <c r="AI1954" s="10" t="n">
        <v>191</v>
      </c>
      <c r="AJ1954" s="11" t="n">
        <v>146981</v>
      </c>
      <c r="AK1954" s="12" t="n">
        <v>2927</v>
      </c>
      <c r="AL1954" s="12" t="n">
        <v>-1077</v>
      </c>
      <c r="AM1954" s="13" t="n">
        <v>3.6</v>
      </c>
      <c r="AN1954" s="13" t="n">
        <v>-5.8</v>
      </c>
      <c r="AO1954" s="13" t="n">
        <v>551</v>
      </c>
      <c r="AP1954" s="13" t="n">
        <v>-77.59999999999999</v>
      </c>
    </row>
    <row r="1955">
      <c r="A1955" s="5" t="inlineStr">
        <is>
          <t>신흥에스이씨</t>
        </is>
      </c>
      <c r="B1955" s="6" t="inlineStr">
        <is>
          <t>243840</t>
        </is>
      </c>
      <c r="C1955" s="6" t="inlineStr">
        <is>
          <t>연결</t>
        </is>
      </c>
      <c r="D1955" s="6" t="inlineStr">
        <is>
          <t>2026Q2</t>
        </is>
      </c>
      <c r="E1955" s="6" t="inlineStr"/>
      <c r="F1955" s="7" t="inlineStr"/>
      <c r="G1955" s="8" t="inlineStr"/>
      <c r="H1955" s="8" t="inlineStr"/>
      <c r="I1955" s="9" t="n">
        <v>147907</v>
      </c>
      <c r="J1955" s="10" t="n">
        <v>10234</v>
      </c>
      <c r="K1955" s="10" t="n">
        <v>7340</v>
      </c>
      <c r="L1955" s="7" t="n">
        <v>114070</v>
      </c>
      <c r="M1955" s="8" t="n">
        <v>6150</v>
      </c>
      <c r="N1955" s="8" t="n">
        <v>7821</v>
      </c>
      <c r="O1955" s="9" t="n">
        <v>91914</v>
      </c>
      <c r="P1955" s="10" t="n">
        <v>1339</v>
      </c>
      <c r="Q1955" s="10" t="n">
        <v>-2480</v>
      </c>
      <c r="R1955" s="7" t="n">
        <v>78940</v>
      </c>
      <c r="S1955" s="8" t="n">
        <v>-4550</v>
      </c>
      <c r="T1955" s="8" t="n">
        <v>9278</v>
      </c>
      <c r="U1955" s="9" t="n">
        <v>103500</v>
      </c>
      <c r="V1955" s="10" t="n">
        <v>-4294</v>
      </c>
      <c r="W1955" s="10" t="n">
        <v>-4823</v>
      </c>
      <c r="X1955" s="7" t="n">
        <v>102695</v>
      </c>
      <c r="Y1955" s="8" t="n">
        <v>2139</v>
      </c>
      <c r="Z1955" s="8" t="n">
        <v>-12177</v>
      </c>
      <c r="AA1955" s="9" t="n">
        <v>100169</v>
      </c>
      <c r="AB1955" s="10" t="n">
        <v>2704</v>
      </c>
      <c r="AC1955" s="10" t="n">
        <v>3329</v>
      </c>
      <c r="AD1955" s="7" t="n">
        <v>101870</v>
      </c>
      <c r="AE1955" s="8" t="n">
        <v>5378</v>
      </c>
      <c r="AF1955" s="8" t="n">
        <v>7858</v>
      </c>
      <c r="AG1955" s="9" t="n">
        <v>123686</v>
      </c>
      <c r="AH1955" s="10" t="n">
        <v>1592</v>
      </c>
      <c r="AI1955" s="10" t="n">
        <v>8492</v>
      </c>
      <c r="AJ1955" s="11" t="n">
        <v>131556</v>
      </c>
      <c r="AK1955" s="12" t="n">
        <v>5196</v>
      </c>
      <c r="AL1955" s="12" t="n">
        <v>-195</v>
      </c>
      <c r="AM1955" s="13" t="n">
        <v>6.4</v>
      </c>
      <c r="AN1955" s="13" t="n">
        <v>28.1</v>
      </c>
      <c r="AO1955" s="13" t="n">
        <v>226.4</v>
      </c>
      <c r="AP1955" s="13" t="n">
        <v>142.9</v>
      </c>
    </row>
    <row r="1956">
      <c r="A1956" s="5" t="inlineStr">
        <is>
          <t>올리패스</t>
        </is>
      </c>
      <c r="B1956" s="6" t="inlineStr">
        <is>
          <t>244460</t>
        </is>
      </c>
      <c r="C1956" s="6" t="inlineStr">
        <is>
          <t>연결</t>
        </is>
      </c>
      <c r="D1956" s="6" t="inlineStr">
        <is>
          <t>2026Q2</t>
        </is>
      </c>
      <c r="E1956" s="6" t="inlineStr"/>
      <c r="F1956" s="7" t="inlineStr"/>
      <c r="G1956" s="8" t="inlineStr"/>
      <c r="H1956" s="8" t="inlineStr"/>
      <c r="I1956" s="9" t="n">
        <v>420</v>
      </c>
      <c r="J1956" s="10" t="n">
        <v>-2953</v>
      </c>
      <c r="K1956" s="10" t="n">
        <v>-2983</v>
      </c>
      <c r="L1956" s="7" t="n">
        <v>475</v>
      </c>
      <c r="M1956" s="8" t="n">
        <v>-2706</v>
      </c>
      <c r="N1956" s="8" t="n">
        <v>-2872</v>
      </c>
      <c r="O1956" s="9" t="n">
        <v>701</v>
      </c>
      <c r="P1956" s="10" t="n">
        <v>-1766</v>
      </c>
      <c r="Q1956" s="10" t="n">
        <v>-2002</v>
      </c>
      <c r="R1956" s="7" t="n">
        <v>-840</v>
      </c>
      <c r="S1956" s="8" t="n">
        <v>-2694</v>
      </c>
      <c r="T1956" s="8" t="n">
        <v>2540</v>
      </c>
      <c r="U1956" s="9" t="n">
        <v>404</v>
      </c>
      <c r="V1956" s="10" t="n">
        <v>-1876</v>
      </c>
      <c r="W1956" s="10" t="n">
        <v>-1917</v>
      </c>
      <c r="X1956" s="7" t="n">
        <v>159</v>
      </c>
      <c r="Y1956" s="8" t="n">
        <v>-2308</v>
      </c>
      <c r="Z1956" s="8" t="n">
        <v>-9846</v>
      </c>
      <c r="AA1956" s="9" t="n">
        <v>124</v>
      </c>
      <c r="AB1956" s="10" t="n">
        <v>-1540</v>
      </c>
      <c r="AC1956" s="10" t="n">
        <v>-1983</v>
      </c>
      <c r="AD1956" s="7" t="n">
        <v>129</v>
      </c>
      <c r="AE1956" s="8" t="n">
        <v>-1666</v>
      </c>
      <c r="AF1956" s="8" t="n">
        <v>-1636</v>
      </c>
      <c r="AG1956" s="9" t="n">
        <v>91</v>
      </c>
      <c r="AH1956" s="10" t="n">
        <v>-1789</v>
      </c>
      <c r="AI1956" s="10" t="n">
        <v>-1925</v>
      </c>
      <c r="AJ1956" s="11" t="n">
        <v>1168</v>
      </c>
      <c r="AK1956" s="12" t="n">
        <v>-117</v>
      </c>
      <c r="AL1956" s="12" t="n">
        <v>-570</v>
      </c>
      <c r="AM1956" s="13" t="n">
        <v>1183.5</v>
      </c>
      <c r="AN1956" s="13" t="n">
        <v>634.6</v>
      </c>
      <c r="AO1956" s="13" t="n">
        <v>93.5</v>
      </c>
      <c r="AP1956" s="13" t="n">
        <v>94.90000000000001</v>
      </c>
    </row>
    <row r="1957">
      <c r="A1957" s="5" t="inlineStr">
        <is>
          <t>에이플러스에셋</t>
        </is>
      </c>
      <c r="B1957" s="6" t="inlineStr">
        <is>
          <t>244920</t>
        </is>
      </c>
      <c r="C1957" s="6" t="inlineStr">
        <is>
          <t>연결</t>
        </is>
      </c>
      <c r="D1957" s="6" t="inlineStr">
        <is>
          <t>2026Q2</t>
        </is>
      </c>
      <c r="E1957" s="6" t="inlineStr"/>
      <c r="F1957" s="7" t="inlineStr"/>
      <c r="G1957" s="8" t="inlineStr"/>
      <c r="H1957" s="8" t="inlineStr"/>
      <c r="I1957" s="9" t="n">
        <v>122931</v>
      </c>
      <c r="J1957" s="10" t="n">
        <v>5894</v>
      </c>
      <c r="K1957" s="10" t="n">
        <v>4862</v>
      </c>
      <c r="L1957" s="7" t="n">
        <v>113456</v>
      </c>
      <c r="M1957" s="8" t="n">
        <v>10217</v>
      </c>
      <c r="N1957" s="8" t="n">
        <v>9517</v>
      </c>
      <c r="O1957" s="9" t="n">
        <v>139911</v>
      </c>
      <c r="P1957" s="10" t="n">
        <v>10939</v>
      </c>
      <c r="Q1957" s="10" t="n">
        <v>-14012</v>
      </c>
      <c r="R1957" s="7" t="n">
        <v>139488</v>
      </c>
      <c r="S1957" s="8" t="n">
        <v>4501</v>
      </c>
      <c r="T1957" s="8" t="n">
        <v>9744</v>
      </c>
      <c r="U1957" s="9" t="n">
        <v>158287</v>
      </c>
      <c r="V1957" s="10" t="n">
        <v>7403</v>
      </c>
      <c r="W1957" s="10" t="n">
        <v>6612</v>
      </c>
      <c r="X1957" s="7" t="n">
        <v>167424</v>
      </c>
      <c r="Y1957" s="8" t="n">
        <v>8939</v>
      </c>
      <c r="Z1957" s="8" t="n">
        <v>5655</v>
      </c>
      <c r="AA1957" s="9" t="n">
        <v>176006</v>
      </c>
      <c r="AB1957" s="10" t="n">
        <v>6172</v>
      </c>
      <c r="AC1957" s="10" t="n">
        <v>5496</v>
      </c>
      <c r="AD1957" s="7" t="n">
        <v>180750</v>
      </c>
      <c r="AE1957" s="8" t="n">
        <v>6800</v>
      </c>
      <c r="AF1957" s="8" t="n">
        <v>6918</v>
      </c>
      <c r="AG1957" s="9" t="n">
        <v>186598</v>
      </c>
      <c r="AH1957" s="10" t="n">
        <v>15908</v>
      </c>
      <c r="AI1957" s="10" t="n">
        <v>13127</v>
      </c>
      <c r="AJ1957" s="11" t="n">
        <v>198959</v>
      </c>
      <c r="AK1957" s="12" t="n">
        <v>10118</v>
      </c>
      <c r="AL1957" s="12" t="n">
        <v>9060</v>
      </c>
      <c r="AM1957" s="13" t="n">
        <v>6.6</v>
      </c>
      <c r="AN1957" s="13" t="n">
        <v>18.8</v>
      </c>
      <c r="AO1957" s="13" t="n">
        <v>-36.4</v>
      </c>
      <c r="AP1957" s="13" t="n">
        <v>13.2</v>
      </c>
    </row>
    <row r="1958">
      <c r="A1958" s="5" t="inlineStr">
        <is>
          <t>EDGC</t>
        </is>
      </c>
      <c r="B1958" s="6" t="inlineStr">
        <is>
          <t>245620</t>
        </is>
      </c>
      <c r="C1958" s="6" t="inlineStr">
        <is>
          <t>연결</t>
        </is>
      </c>
      <c r="D1958" s="6" t="inlineStr">
        <is>
          <t>2026Q2</t>
        </is>
      </c>
      <c r="E1958" s="6" t="inlineStr"/>
      <c r="F1958" s="7" t="inlineStr"/>
      <c r="G1958" s="8" t="inlineStr"/>
      <c r="H1958" s="8" t="inlineStr"/>
      <c r="I1958" s="9" t="n">
        <v>9708</v>
      </c>
      <c r="J1958" s="10" t="n">
        <v>-3864</v>
      </c>
      <c r="K1958" s="10" t="n">
        <v>-6668</v>
      </c>
      <c r="L1958" s="7" t="n">
        <v>7683</v>
      </c>
      <c r="M1958" s="8" t="n">
        <v>-2644</v>
      </c>
      <c r="N1958" s="8" t="n">
        <v>-2275</v>
      </c>
      <c r="O1958" s="9" t="n">
        <v>7839</v>
      </c>
      <c r="P1958" s="10" t="n">
        <v>-1934</v>
      </c>
      <c r="Q1958" s="10" t="n">
        <v>-3463</v>
      </c>
      <c r="R1958" s="7" t="n">
        <v>5712</v>
      </c>
      <c r="S1958" s="8" t="n">
        <v>-4189</v>
      </c>
      <c r="T1958" s="8" t="n">
        <v>-82835</v>
      </c>
      <c r="U1958" s="9" t="n">
        <v>4906</v>
      </c>
      <c r="V1958" s="10" t="n">
        <v>-1522</v>
      </c>
      <c r="W1958" s="10" t="n">
        <v>-525</v>
      </c>
      <c r="X1958" s="7" t="n">
        <v>2170</v>
      </c>
      <c r="Y1958" s="8" t="n">
        <v>-564</v>
      </c>
      <c r="Z1958" s="8" t="n">
        <v>5469</v>
      </c>
      <c r="AA1958" s="9" t="n">
        <v>1794</v>
      </c>
      <c r="AB1958" s="10" t="n">
        <v>-415</v>
      </c>
      <c r="AC1958" s="10" t="n">
        <v>-436</v>
      </c>
      <c r="AD1958" s="7" t="n">
        <v>-984</v>
      </c>
      <c r="AE1958" s="8" t="n">
        <v>904</v>
      </c>
      <c r="AF1958" s="8" t="n">
        <v>23734</v>
      </c>
      <c r="AG1958" s="9" t="n">
        <v>1597</v>
      </c>
      <c r="AH1958" s="10" t="n">
        <v>-1301</v>
      </c>
      <c r="AI1958" s="10" t="n">
        <v>24689</v>
      </c>
      <c r="AJ1958" s="11" t="n">
        <v>1224</v>
      </c>
      <c r="AK1958" s="12" t="n">
        <v>-716</v>
      </c>
      <c r="AL1958" s="12" t="n">
        <v>-730</v>
      </c>
      <c r="AM1958" s="13" t="n">
        <v>-23.4</v>
      </c>
      <c r="AN1958" s="13" t="n">
        <v>-43.6</v>
      </c>
      <c r="AO1958" s="13" t="n">
        <v>45</v>
      </c>
      <c r="AP1958" s="13" t="n">
        <v>-27</v>
      </c>
    </row>
    <row r="1959">
      <c r="A1959" s="5" t="inlineStr">
        <is>
          <t>에스엘에스바이오</t>
        </is>
      </c>
      <c r="B1959" s="6" t="inlineStr">
        <is>
          <t>246250</t>
        </is>
      </c>
      <c r="C1959" s="6" t="inlineStr">
        <is>
          <t>별도</t>
        </is>
      </c>
      <c r="D1959" s="6" t="inlineStr">
        <is>
          <t>2026Q2</t>
        </is>
      </c>
      <c r="E1959" s="6" t="inlineStr"/>
      <c r="F1959" s="7" t="inlineStr"/>
      <c r="G1959" s="8" t="inlineStr"/>
      <c r="H1959" s="8" t="inlineStr"/>
      <c r="I1959" s="9" t="n">
        <v>2048</v>
      </c>
      <c r="J1959" s="10" t="n">
        <v>79</v>
      </c>
      <c r="K1959" s="10" t="n">
        <v>134</v>
      </c>
      <c r="L1959" s="7" t="n">
        <v>2375</v>
      </c>
      <c r="M1959" s="8" t="n">
        <v>297</v>
      </c>
      <c r="N1959" s="8" t="n">
        <v>352</v>
      </c>
      <c r="O1959" s="9" t="n">
        <v>2119</v>
      </c>
      <c r="P1959" s="10" t="n">
        <v>108</v>
      </c>
      <c r="Q1959" s="10" t="n">
        <v>161</v>
      </c>
      <c r="R1959" s="7" t="n">
        <v>1829</v>
      </c>
      <c r="S1959" s="8" t="n">
        <v>-196</v>
      </c>
      <c r="T1959" s="8" t="n">
        <v>-311</v>
      </c>
      <c r="U1959" s="9" t="n">
        <v>1755</v>
      </c>
      <c r="V1959" s="10" t="n">
        <v>-220</v>
      </c>
      <c r="W1959" s="10" t="n">
        <v>-199</v>
      </c>
      <c r="X1959" s="7" t="n">
        <v>1592</v>
      </c>
      <c r="Y1959" s="8" t="n">
        <v>-674</v>
      </c>
      <c r="Z1959" s="8" t="n">
        <v>-1189</v>
      </c>
      <c r="AA1959" s="9" t="n">
        <v>296</v>
      </c>
      <c r="AB1959" s="10" t="n">
        <v>-1801</v>
      </c>
      <c r="AC1959" s="10" t="n">
        <v>-1870</v>
      </c>
      <c r="AD1959" s="7" t="n">
        <v>341</v>
      </c>
      <c r="AE1959" s="8" t="n">
        <v>-1410</v>
      </c>
      <c r="AF1959" s="8" t="n">
        <v>-1646</v>
      </c>
      <c r="AG1959" s="9" t="n">
        <v>958</v>
      </c>
      <c r="AH1959" s="10" t="n">
        <v>-950</v>
      </c>
      <c r="AI1959" s="10" t="n">
        <v>-939</v>
      </c>
      <c r="AJ1959" s="11" t="n">
        <v>1295</v>
      </c>
      <c r="AK1959" s="12" t="n">
        <v>-898</v>
      </c>
      <c r="AL1959" s="12" t="n">
        <v>-973</v>
      </c>
      <c r="AM1959" s="13" t="n">
        <v>35.2</v>
      </c>
      <c r="AN1959" s="13" t="n">
        <v>-18.7</v>
      </c>
      <c r="AO1959" s="13" t="n">
        <v>5.5</v>
      </c>
      <c r="AP1959" s="13" t="n">
        <v>-33.2</v>
      </c>
    </row>
    <row r="1960">
      <c r="A1960" s="5" t="inlineStr">
        <is>
          <t>TS인베스트먼트</t>
        </is>
      </c>
      <c r="B1960" s="6" t="inlineStr">
        <is>
          <t>246690</t>
        </is>
      </c>
      <c r="C1960" s="6" t="inlineStr">
        <is>
          <t>연결</t>
        </is>
      </c>
      <c r="D1960" s="6" t="inlineStr">
        <is>
          <t>2026Q2</t>
        </is>
      </c>
      <c r="E1960" s="6" t="inlineStr"/>
      <c r="F1960" s="7" t="inlineStr"/>
      <c r="G1960" s="8" t="inlineStr"/>
      <c r="H1960" s="8" t="inlineStr"/>
      <c r="I1960" s="9" t="n">
        <v>4824</v>
      </c>
      <c r="J1960" s="10" t="n">
        <v>-2129</v>
      </c>
      <c r="K1960" s="10" t="n">
        <v>-2414</v>
      </c>
      <c r="L1960" s="7" t="n">
        <v>4085</v>
      </c>
      <c r="M1960" s="8" t="n">
        <v>-45</v>
      </c>
      <c r="N1960" s="8" t="n">
        <v>-147</v>
      </c>
      <c r="O1960" s="9" t="n">
        <v>3325</v>
      </c>
      <c r="P1960" s="10" t="n">
        <v>-1016</v>
      </c>
      <c r="Q1960" s="10" t="n">
        <v>-660</v>
      </c>
      <c r="R1960" s="7" t="n">
        <v>5363</v>
      </c>
      <c r="S1960" s="8" t="n">
        <v>188</v>
      </c>
      <c r="T1960" s="8" t="n">
        <v>800</v>
      </c>
      <c r="U1960" s="9" t="n">
        <v>3132</v>
      </c>
      <c r="V1960" s="10" t="n">
        <v>867</v>
      </c>
      <c r="W1960" s="10" t="n">
        <v>407</v>
      </c>
      <c r="X1960" s="7" t="n">
        <v>5918</v>
      </c>
      <c r="Y1960" s="8" t="n">
        <v>-107</v>
      </c>
      <c r="Z1960" s="8" t="n">
        <v>352</v>
      </c>
      <c r="AA1960" s="9" t="n">
        <v>4134</v>
      </c>
      <c r="AB1960" s="10" t="n">
        <v>1008</v>
      </c>
      <c r="AC1960" s="10" t="n">
        <v>1002</v>
      </c>
      <c r="AD1960" s="7" t="n">
        <v>6434</v>
      </c>
      <c r="AE1960" s="8" t="n">
        <v>7255</v>
      </c>
      <c r="AF1960" s="8" t="n">
        <v>5241</v>
      </c>
      <c r="AG1960" s="9" t="n">
        <v>4935</v>
      </c>
      <c r="AH1960" s="10" t="n">
        <v>-2701</v>
      </c>
      <c r="AI1960" s="10" t="n">
        <v>-2304</v>
      </c>
      <c r="AJ1960" s="11" t="n">
        <v>7094</v>
      </c>
      <c r="AK1960" s="12" t="n">
        <v>5416</v>
      </c>
      <c r="AL1960" s="12" t="n">
        <v>4356</v>
      </c>
      <c r="AM1960" s="13" t="n">
        <v>43.7</v>
      </c>
      <c r="AN1960" s="13" t="n">
        <v>19.9</v>
      </c>
      <c r="AO1960" s="13" t="n">
        <v>300.5</v>
      </c>
      <c r="AP1960" s="13" t="n">
        <v>5161.7</v>
      </c>
    </row>
    <row r="1961">
      <c r="A1961" s="5" t="inlineStr">
        <is>
          <t>티앤알바이오팹</t>
        </is>
      </c>
      <c r="B1961" s="6" t="inlineStr">
        <is>
          <t>246710</t>
        </is>
      </c>
      <c r="C1961" s="6" t="inlineStr">
        <is>
          <t>연결</t>
        </is>
      </c>
      <c r="D1961" s="6" t="inlineStr">
        <is>
          <t>2026Q2</t>
        </is>
      </c>
      <c r="E1961" s="6" t="inlineStr"/>
      <c r="F1961" s="7" t="inlineStr"/>
      <c r="G1961" s="8" t="inlineStr"/>
      <c r="H1961" s="8" t="inlineStr"/>
      <c r="I1961" s="9" t="n">
        <v>1187</v>
      </c>
      <c r="J1961" s="10" t="n">
        <v>-3434</v>
      </c>
      <c r="K1961" s="10" t="n">
        <v>-7747</v>
      </c>
      <c r="L1961" s="7" t="n">
        <v>1360</v>
      </c>
      <c r="M1961" s="8" t="n">
        <v>-4189</v>
      </c>
      <c r="N1961" s="8" t="n">
        <v>-956</v>
      </c>
      <c r="O1961" s="9" t="n">
        <v>1097</v>
      </c>
      <c r="P1961" s="10" t="n">
        <v>-3062</v>
      </c>
      <c r="Q1961" s="10" t="n">
        <v>-4766</v>
      </c>
      <c r="R1961" s="7" t="n">
        <v>1230</v>
      </c>
      <c r="S1961" s="8" t="n">
        <v>-2614</v>
      </c>
      <c r="T1961" s="8" t="n">
        <v>5790</v>
      </c>
      <c r="U1961" s="9" t="n">
        <v>5955</v>
      </c>
      <c r="V1961" s="10" t="n">
        <v>-3580</v>
      </c>
      <c r="W1961" s="10" t="n">
        <v>-5393</v>
      </c>
      <c r="X1961" s="7" t="n">
        <v>6536</v>
      </c>
      <c r="Y1961" s="8" t="n">
        <v>-1915</v>
      </c>
      <c r="Z1961" s="8" t="n">
        <v>-4290</v>
      </c>
      <c r="AA1961" s="9" t="n">
        <v>6954</v>
      </c>
      <c r="AB1961" s="10" t="n">
        <v>-1262</v>
      </c>
      <c r="AC1961" s="10" t="n">
        <v>-5713</v>
      </c>
      <c r="AD1961" s="7" t="n">
        <v>7522</v>
      </c>
      <c r="AE1961" s="8" t="n">
        <v>-2294</v>
      </c>
      <c r="AF1961" s="8" t="n">
        <v>-19548</v>
      </c>
      <c r="AG1961" s="9" t="n">
        <v>8721</v>
      </c>
      <c r="AH1961" s="10" t="n">
        <v>-931</v>
      </c>
      <c r="AI1961" s="10" t="n">
        <v>-1661</v>
      </c>
      <c r="AJ1961" s="11" t="n">
        <v>9535</v>
      </c>
      <c r="AK1961" s="12" t="n">
        <v>-928</v>
      </c>
      <c r="AL1961" s="12" t="n">
        <v>-3783</v>
      </c>
      <c r="AM1961" s="13" t="n">
        <v>9.300000000000001</v>
      </c>
      <c r="AN1961" s="13" t="n">
        <v>45.9</v>
      </c>
      <c r="AO1961" s="13" t="n">
        <v>0.3</v>
      </c>
      <c r="AP1961" s="13" t="n">
        <v>51.5</v>
      </c>
    </row>
    <row r="1962">
      <c r="A1962" s="5" t="inlineStr">
        <is>
          <t>아스타</t>
        </is>
      </c>
      <c r="B1962" s="6" t="inlineStr">
        <is>
          <t>246720</t>
        </is>
      </c>
      <c r="C1962" s="6" t="inlineStr">
        <is>
          <t>별도</t>
        </is>
      </c>
      <c r="D1962" s="6" t="inlineStr">
        <is>
          <t>2026Q2</t>
        </is>
      </c>
      <c r="E1962" s="6" t="inlineStr"/>
      <c r="F1962" s="7" t="inlineStr"/>
      <c r="G1962" s="8" t="inlineStr"/>
      <c r="H1962" s="8" t="inlineStr"/>
      <c r="I1962" s="9" t="n">
        <v>365</v>
      </c>
      <c r="J1962" s="10" t="n">
        <v>-1339</v>
      </c>
      <c r="K1962" s="10" t="n">
        <v>-1356</v>
      </c>
      <c r="L1962" s="7" t="n">
        <v>733</v>
      </c>
      <c r="M1962" s="8" t="n">
        <v>-1050</v>
      </c>
      <c r="N1962" s="8" t="n">
        <v>-1057</v>
      </c>
      <c r="O1962" s="9" t="n">
        <v>386</v>
      </c>
      <c r="P1962" s="10" t="n">
        <v>-821</v>
      </c>
      <c r="Q1962" s="10" t="n">
        <v>-844</v>
      </c>
      <c r="R1962" s="7" t="n">
        <v>1871</v>
      </c>
      <c r="S1962" s="8" t="n">
        <v>-809</v>
      </c>
      <c r="T1962" s="8" t="n">
        <v>-607</v>
      </c>
      <c r="U1962" s="9" t="n">
        <v>412</v>
      </c>
      <c r="V1962" s="10" t="n">
        <v>-1638</v>
      </c>
      <c r="W1962" s="10" t="n">
        <v>-1532</v>
      </c>
      <c r="X1962" s="7" t="n">
        <v>354</v>
      </c>
      <c r="Y1962" s="8" t="n">
        <v>36</v>
      </c>
      <c r="Z1962" s="8" t="n">
        <v>-73</v>
      </c>
      <c r="AA1962" s="9" t="n">
        <v>1061</v>
      </c>
      <c r="AB1962" s="10" t="n">
        <v>-504</v>
      </c>
      <c r="AC1962" s="10" t="n">
        <v>-620</v>
      </c>
      <c r="AD1962" s="7" t="n">
        <v>768</v>
      </c>
      <c r="AE1962" s="8" t="n">
        <v>-484</v>
      </c>
      <c r="AF1962" s="8" t="n">
        <v>-1078</v>
      </c>
      <c r="AG1962" s="9" t="n">
        <v>464</v>
      </c>
      <c r="AH1962" s="10" t="n">
        <v>-1118</v>
      </c>
      <c r="AI1962" s="10" t="n">
        <v>-1497</v>
      </c>
      <c r="AJ1962" s="11" t="n">
        <v>1169</v>
      </c>
      <c r="AK1962" s="12" t="n">
        <v>-839</v>
      </c>
      <c r="AL1962" s="12" t="n">
        <v>-811</v>
      </c>
      <c r="AM1962" s="13" t="n">
        <v>151.9</v>
      </c>
      <c r="AN1962" s="13" t="n">
        <v>230.2</v>
      </c>
      <c r="AO1962" s="13" t="n">
        <v>25</v>
      </c>
      <c r="AP1962" s="13" t="n">
        <v>-2430.6</v>
      </c>
    </row>
    <row r="1963">
      <c r="A1963" s="5" t="inlineStr">
        <is>
          <t>SCL사이언스</t>
        </is>
      </c>
      <c r="B1963" s="6" t="inlineStr">
        <is>
          <t>246960</t>
        </is>
      </c>
      <c r="C1963" s="6" t="inlineStr">
        <is>
          <t>연결</t>
        </is>
      </c>
      <c r="D1963" s="6" t="inlineStr">
        <is>
          <t>2026Q2</t>
        </is>
      </c>
      <c r="E1963" s="6" t="inlineStr"/>
      <c r="F1963" s="7" t="inlineStr"/>
      <c r="G1963" s="8" t="inlineStr"/>
      <c r="H1963" s="8" t="inlineStr"/>
      <c r="I1963" s="9" t="n">
        <v>1133</v>
      </c>
      <c r="J1963" s="10" t="n">
        <v>-543</v>
      </c>
      <c r="K1963" s="10" t="n">
        <v>-618</v>
      </c>
      <c r="L1963" s="7" t="n">
        <v>1005</v>
      </c>
      <c r="M1963" s="8" t="n">
        <v>-972</v>
      </c>
      <c r="N1963" s="8" t="n">
        <v>-984</v>
      </c>
      <c r="O1963" s="9" t="n">
        <v>1002</v>
      </c>
      <c r="P1963" s="10" t="n">
        <v>-780</v>
      </c>
      <c r="Q1963" s="10" t="n">
        <v>-822</v>
      </c>
      <c r="R1963" s="7" t="n">
        <v>1597</v>
      </c>
      <c r="S1963" s="8" t="n">
        <v>-1366</v>
      </c>
      <c r="T1963" s="8" t="n">
        <v>-1306</v>
      </c>
      <c r="U1963" s="9" t="n">
        <v>2267</v>
      </c>
      <c r="V1963" s="10" t="n">
        <v>-1348</v>
      </c>
      <c r="W1963" s="10" t="n">
        <v>-1618</v>
      </c>
      <c r="X1963" s="7" t="n">
        <v>4494</v>
      </c>
      <c r="Y1963" s="8" t="n">
        <v>-1371</v>
      </c>
      <c r="Z1963" s="8" t="n">
        <v>207</v>
      </c>
      <c r="AA1963" s="9" t="n">
        <v>6959</v>
      </c>
      <c r="AB1963" s="10" t="n">
        <v>169</v>
      </c>
      <c r="AC1963" s="10" t="n">
        <v>-122</v>
      </c>
      <c r="AD1963" s="7" t="n">
        <v>8291</v>
      </c>
      <c r="AE1963" s="8" t="n">
        <v>-848</v>
      </c>
      <c r="AF1963" s="8" t="n">
        <v>-2587</v>
      </c>
      <c r="AG1963" s="9" t="n">
        <v>7661</v>
      </c>
      <c r="AH1963" s="10" t="n">
        <v>-648</v>
      </c>
      <c r="AI1963" s="10" t="n">
        <v>-994</v>
      </c>
      <c r="AJ1963" s="11" t="n">
        <v>7590</v>
      </c>
      <c r="AK1963" s="12" t="n">
        <v>406</v>
      </c>
      <c r="AL1963" s="12" t="n">
        <v>-130</v>
      </c>
      <c r="AM1963" s="13" t="n">
        <v>-0.9</v>
      </c>
      <c r="AN1963" s="13" t="n">
        <v>68.90000000000001</v>
      </c>
      <c r="AO1963" s="13" t="n">
        <v>162.7</v>
      </c>
      <c r="AP1963" s="13" t="n">
        <v>129.6</v>
      </c>
    </row>
    <row r="1964">
      <c r="A1964" s="5" t="inlineStr">
        <is>
          <t>에코프로비엠</t>
        </is>
      </c>
      <c r="B1964" s="6" t="inlineStr">
        <is>
          <t>247540</t>
        </is>
      </c>
      <c r="C1964" s="6" t="inlineStr">
        <is>
          <t>연결</t>
        </is>
      </c>
      <c r="D1964" s="6" t="inlineStr">
        <is>
          <t>2026Q2</t>
        </is>
      </c>
      <c r="E1964" s="6" t="inlineStr">
        <is>
          <t>2023Q4</t>
        </is>
      </c>
      <c r="F1964" s="14" t="n">
        <v>1180397</v>
      </c>
      <c r="G1964" s="15" t="n">
        <v>-114661</v>
      </c>
      <c r="H1964" s="15" t="n">
        <v>-138036</v>
      </c>
      <c r="I1964" s="9" t="n">
        <v>970459</v>
      </c>
      <c r="J1964" s="10" t="n">
        <v>6684</v>
      </c>
      <c r="K1964" s="10" t="n">
        <v>-4946</v>
      </c>
      <c r="L1964" s="7" t="n">
        <v>809517</v>
      </c>
      <c r="M1964" s="8" t="n">
        <v>3892</v>
      </c>
      <c r="N1964" s="8" t="n">
        <v>6945</v>
      </c>
      <c r="O1964" s="9" t="n">
        <v>521936</v>
      </c>
      <c r="P1964" s="10" t="n">
        <v>-41229</v>
      </c>
      <c r="Q1964" s="10" t="n">
        <v>-49543</v>
      </c>
      <c r="R1964" s="7" t="n">
        <v>464926</v>
      </c>
      <c r="S1964" s="8" t="n">
        <v>-3456</v>
      </c>
      <c r="T1964" s="8" t="n">
        <v>-10965</v>
      </c>
      <c r="U1964" s="9" t="n">
        <v>629789</v>
      </c>
      <c r="V1964" s="10" t="n">
        <v>2270</v>
      </c>
      <c r="W1964" s="10" t="n">
        <v>-9969</v>
      </c>
      <c r="X1964" s="7" t="n">
        <v>779717</v>
      </c>
      <c r="Y1964" s="8" t="n">
        <v>49001</v>
      </c>
      <c r="Z1964" s="8" t="n">
        <v>34265</v>
      </c>
      <c r="AA1964" s="9" t="n">
        <v>625060</v>
      </c>
      <c r="AB1964" s="10" t="n">
        <v>50481</v>
      </c>
      <c r="AC1964" s="10" t="n">
        <v>49071</v>
      </c>
      <c r="AD1964" s="7" t="n">
        <v>497010</v>
      </c>
      <c r="AE1964" s="8" t="n">
        <v>41558</v>
      </c>
      <c r="AF1964" s="8" t="n">
        <v>18221</v>
      </c>
      <c r="AG1964" s="9" t="n">
        <v>605361</v>
      </c>
      <c r="AH1964" s="10" t="n">
        <v>20942</v>
      </c>
      <c r="AI1964" s="10" t="n">
        <v>12156</v>
      </c>
      <c r="AJ1964" s="11" t="n">
        <v>576712</v>
      </c>
      <c r="AK1964" s="12" t="n">
        <v>18011</v>
      </c>
      <c r="AL1964" s="12" t="n">
        <v>-455</v>
      </c>
      <c r="AM1964" s="13" t="n">
        <v>-4.7</v>
      </c>
      <c r="AN1964" s="13" t="n">
        <v>-26</v>
      </c>
      <c r="AO1964" s="13" t="n">
        <v>-14</v>
      </c>
      <c r="AP1964" s="13" t="n">
        <v>-63.2</v>
      </c>
    </row>
    <row r="1965">
      <c r="A1965" s="5" t="inlineStr">
        <is>
          <t>나노씨엠에스</t>
        </is>
      </c>
      <c r="B1965" s="6" t="inlineStr">
        <is>
          <t>247660</t>
        </is>
      </c>
      <c r="C1965" s="6" t="inlineStr">
        <is>
          <t>별도</t>
        </is>
      </c>
      <c r="D1965" s="6" t="inlineStr">
        <is>
          <t>2026Q2</t>
        </is>
      </c>
      <c r="E1965" s="6" t="inlineStr"/>
      <c r="F1965" s="7" t="inlineStr"/>
      <c r="G1965" s="8" t="inlineStr"/>
      <c r="H1965" s="8" t="inlineStr"/>
      <c r="I1965" s="9" t="n">
        <v>2231</v>
      </c>
      <c r="J1965" s="10" t="n">
        <v>241</v>
      </c>
      <c r="K1965" s="10" t="n">
        <v>103</v>
      </c>
      <c r="L1965" s="7" t="n">
        <v>598</v>
      </c>
      <c r="M1965" s="8" t="n">
        <v>-2584</v>
      </c>
      <c r="N1965" s="8" t="n">
        <v>-2680</v>
      </c>
      <c r="O1965" s="9" t="n">
        <v>1307</v>
      </c>
      <c r="P1965" s="10" t="n">
        <v>-2102</v>
      </c>
      <c r="Q1965" s="10" t="n">
        <v>-2295</v>
      </c>
      <c r="R1965" s="7" t="n">
        <v>514</v>
      </c>
      <c r="S1965" s="8" t="n">
        <v>-4413</v>
      </c>
      <c r="T1965" s="8" t="n">
        <v>-3971</v>
      </c>
      <c r="U1965" s="9" t="n">
        <v>1490</v>
      </c>
      <c r="V1965" s="10" t="n">
        <v>-408</v>
      </c>
      <c r="W1965" s="10" t="n">
        <v>-533</v>
      </c>
      <c r="X1965" s="7" t="n">
        <v>1057</v>
      </c>
      <c r="Y1965" s="8" t="n">
        <v>-713</v>
      </c>
      <c r="Z1965" s="8" t="n">
        <v>-1328</v>
      </c>
      <c r="AA1965" s="9" t="n">
        <v>1779</v>
      </c>
      <c r="AB1965" s="10" t="n">
        <v>-42</v>
      </c>
      <c r="AC1965" s="10" t="n">
        <v>-177</v>
      </c>
      <c r="AD1965" s="7" t="n">
        <v>963</v>
      </c>
      <c r="AE1965" s="8" t="n">
        <v>-830</v>
      </c>
      <c r="AF1965" s="8" t="n">
        <v>-159</v>
      </c>
      <c r="AG1965" s="9" t="n">
        <v>2328</v>
      </c>
      <c r="AH1965" s="10" t="n">
        <v>241</v>
      </c>
      <c r="AI1965" s="10" t="n">
        <v>217</v>
      </c>
      <c r="AJ1965" s="11" t="n">
        <v>2781</v>
      </c>
      <c r="AK1965" s="12" t="n">
        <v>869</v>
      </c>
      <c r="AL1965" s="12" t="n">
        <v>965</v>
      </c>
      <c r="AM1965" s="13" t="n">
        <v>19.5</v>
      </c>
      <c r="AN1965" s="13" t="n">
        <v>163.1</v>
      </c>
      <c r="AO1965" s="13" t="n">
        <v>260.6</v>
      </c>
      <c r="AP1965" s="13" t="n">
        <v>221.9</v>
      </c>
    </row>
    <row r="1966">
      <c r="A1966" s="5" t="inlineStr">
        <is>
          <t>솔루엠</t>
        </is>
      </c>
      <c r="B1966" s="6" t="inlineStr">
        <is>
          <t>248070</t>
        </is>
      </c>
      <c r="C1966" s="6" t="inlineStr">
        <is>
          <t>연결</t>
        </is>
      </c>
      <c r="D1966" s="6" t="inlineStr">
        <is>
          <t>2026Q2</t>
        </is>
      </c>
      <c r="E1966" s="6" t="inlineStr"/>
      <c r="F1966" s="7" t="inlineStr"/>
      <c r="G1966" s="8" t="inlineStr"/>
      <c r="H1966" s="8" t="inlineStr"/>
      <c r="I1966" s="9" t="n">
        <v>384845</v>
      </c>
      <c r="J1966" s="10" t="n">
        <v>20290</v>
      </c>
      <c r="K1966" s="10" t="n">
        <v>11626</v>
      </c>
      <c r="L1966" s="7" t="n">
        <v>393932</v>
      </c>
      <c r="M1966" s="8" t="n">
        <v>20566</v>
      </c>
      <c r="N1966" s="8" t="n">
        <v>15182</v>
      </c>
      <c r="O1966" s="9" t="n">
        <v>472209</v>
      </c>
      <c r="P1966" s="10" t="n">
        <v>26973</v>
      </c>
      <c r="Q1966" s="10" t="n">
        <v>11362</v>
      </c>
      <c r="R1966" s="7" t="n">
        <v>343456</v>
      </c>
      <c r="S1966" s="8" t="n">
        <v>1258</v>
      </c>
      <c r="T1966" s="8" t="n">
        <v>-482</v>
      </c>
      <c r="U1966" s="9" t="n">
        <v>397394</v>
      </c>
      <c r="V1966" s="10" t="n">
        <v>11471</v>
      </c>
      <c r="W1966" s="10" t="n">
        <v>2473</v>
      </c>
      <c r="X1966" s="7" t="n">
        <v>402577</v>
      </c>
      <c r="Y1966" s="8" t="n">
        <v>12219</v>
      </c>
      <c r="Z1966" s="8" t="n">
        <v>10159</v>
      </c>
      <c r="AA1966" s="9" t="n">
        <v>472602</v>
      </c>
      <c r="AB1966" s="10" t="n">
        <v>14753</v>
      </c>
      <c r="AC1966" s="10" t="n">
        <v>6442</v>
      </c>
      <c r="AD1966" s="7" t="n">
        <v>427673</v>
      </c>
      <c r="AE1966" s="8" t="n">
        <v>8057</v>
      </c>
      <c r="AF1966" s="8" t="n">
        <v>-4887</v>
      </c>
      <c r="AG1966" s="9" t="n">
        <v>478222</v>
      </c>
      <c r="AH1966" s="10" t="n">
        <v>21657</v>
      </c>
      <c r="AI1966" s="10" t="n">
        <v>4743</v>
      </c>
      <c r="AJ1966" s="11" t="n">
        <v>491847</v>
      </c>
      <c r="AK1966" s="12" t="n">
        <v>21826</v>
      </c>
      <c r="AL1966" s="12" t="n">
        <v>5393</v>
      </c>
      <c r="AM1966" s="13" t="n">
        <v>2.8</v>
      </c>
      <c r="AN1966" s="13" t="n">
        <v>22.2</v>
      </c>
      <c r="AO1966" s="13" t="n">
        <v>0.8</v>
      </c>
      <c r="AP1966" s="13" t="n">
        <v>78.59999999999999</v>
      </c>
    </row>
    <row r="1967">
      <c r="A1967" s="5" t="inlineStr">
        <is>
          <t>샘표식품</t>
        </is>
      </c>
      <c r="B1967" s="6" t="inlineStr">
        <is>
          <t>248170</t>
        </is>
      </c>
      <c r="C1967" s="6" t="inlineStr">
        <is>
          <t>연결</t>
        </is>
      </c>
      <c r="D1967" s="6" t="inlineStr">
        <is>
          <t>2026Q2</t>
        </is>
      </c>
      <c r="E1967" s="6" t="inlineStr"/>
      <c r="F1967" s="7" t="inlineStr"/>
      <c r="G1967" s="8" t="inlineStr"/>
      <c r="H1967" s="8" t="inlineStr"/>
      <c r="I1967" s="9" t="n">
        <v>98521</v>
      </c>
      <c r="J1967" s="10" t="n">
        <v>3612</v>
      </c>
      <c r="K1967" s="10" t="n">
        <v>4424</v>
      </c>
      <c r="L1967" s="7" t="n">
        <v>101925</v>
      </c>
      <c r="M1967" s="8" t="n">
        <v>-4052</v>
      </c>
      <c r="N1967" s="8" t="n">
        <v>-2011</v>
      </c>
      <c r="O1967" s="9" t="n">
        <v>104221</v>
      </c>
      <c r="P1967" s="10" t="n">
        <v>4717</v>
      </c>
      <c r="Q1967" s="10" t="n">
        <v>2529</v>
      </c>
      <c r="R1967" s="7" t="n">
        <v>100215</v>
      </c>
      <c r="S1967" s="8" t="n">
        <v>2184</v>
      </c>
      <c r="T1967" s="8" t="n">
        <v>5120</v>
      </c>
      <c r="U1967" s="9" t="n">
        <v>100373</v>
      </c>
      <c r="V1967" s="10" t="n">
        <v>1397</v>
      </c>
      <c r="W1967" s="10" t="n">
        <v>1631</v>
      </c>
      <c r="X1967" s="7" t="n">
        <v>99229</v>
      </c>
      <c r="Y1967" s="8" t="n">
        <v>7353</v>
      </c>
      <c r="Z1967" s="8" t="n">
        <v>3900</v>
      </c>
      <c r="AA1967" s="9" t="n">
        <v>108757</v>
      </c>
      <c r="AB1967" s="10" t="n">
        <v>12786</v>
      </c>
      <c r="AC1967" s="10" t="n">
        <v>12491</v>
      </c>
      <c r="AD1967" s="7" t="n">
        <v>100568</v>
      </c>
      <c r="AE1967" s="8" t="n">
        <v>2940</v>
      </c>
      <c r="AF1967" s="8" t="n">
        <v>1924</v>
      </c>
      <c r="AG1967" s="9" t="n">
        <v>103729</v>
      </c>
      <c r="AH1967" s="10" t="n">
        <v>6845</v>
      </c>
      <c r="AI1967" s="10" t="n">
        <v>9332</v>
      </c>
      <c r="AJ1967" s="11" t="n">
        <v>100574</v>
      </c>
      <c r="AK1967" s="12" t="n">
        <v>4662</v>
      </c>
      <c r="AL1967" s="12" t="n">
        <v>1781</v>
      </c>
      <c r="AM1967" s="13" t="n">
        <v>-3</v>
      </c>
      <c r="AN1967" s="13" t="n">
        <v>1.4</v>
      </c>
      <c r="AO1967" s="13" t="n">
        <v>-31.9</v>
      </c>
      <c r="AP1967" s="13" t="n">
        <v>-36.6</v>
      </c>
    </row>
    <row r="1968">
      <c r="A1968" s="5" t="inlineStr">
        <is>
          <t>일동제약</t>
        </is>
      </c>
      <c r="B1968" s="6" t="inlineStr">
        <is>
          <t>249420</t>
        </is>
      </c>
      <c r="C1968" s="6" t="inlineStr">
        <is>
          <t>연결</t>
        </is>
      </c>
      <c r="D1968" s="6" t="inlineStr">
        <is>
          <t>2026Q2</t>
        </is>
      </c>
      <c r="E1968" s="6" t="inlineStr">
        <is>
          <t>2023Q4</t>
        </is>
      </c>
      <c r="F1968" s="14" t="n">
        <v>149861</v>
      </c>
      <c r="G1968" s="15" t="n">
        <v>-3072</v>
      </c>
      <c r="H1968" s="15" t="n">
        <v>183</v>
      </c>
      <c r="I1968" s="9" t="n">
        <v>151100</v>
      </c>
      <c r="J1968" s="10" t="n">
        <v>96</v>
      </c>
      <c r="K1968" s="10" t="n">
        <v>-1907</v>
      </c>
      <c r="L1968" s="7" t="n">
        <v>152150</v>
      </c>
      <c r="M1968" s="8" t="n">
        <v>1017</v>
      </c>
      <c r="N1968" s="8" t="n">
        <v>-4174</v>
      </c>
      <c r="O1968" s="9" t="n">
        <v>155949</v>
      </c>
      <c r="P1968" s="10" t="n">
        <v>3604</v>
      </c>
      <c r="Q1968" s="10" t="n">
        <v>-9177</v>
      </c>
      <c r="R1968" s="7" t="n">
        <v>155742</v>
      </c>
      <c r="S1968" s="8" t="n">
        <v>8402</v>
      </c>
      <c r="T1968" s="8" t="n">
        <v>2856</v>
      </c>
      <c r="U1968" s="9" t="n">
        <v>135977</v>
      </c>
      <c r="V1968" s="10" t="n">
        <v>4195</v>
      </c>
      <c r="W1968" s="10" t="n">
        <v>500</v>
      </c>
      <c r="X1968" s="7" t="n">
        <v>138480</v>
      </c>
      <c r="Y1968" s="8" t="n">
        <v>596</v>
      </c>
      <c r="Z1968" s="8" t="n">
        <v>-3895</v>
      </c>
      <c r="AA1968" s="9" t="n">
        <v>145456</v>
      </c>
      <c r="AB1968" s="10" t="n">
        <v>6760</v>
      </c>
      <c r="AC1968" s="10" t="n">
        <v>21489</v>
      </c>
      <c r="AD1968" s="7" t="n">
        <v>147021</v>
      </c>
      <c r="AE1968" s="8" t="n">
        <v>7926</v>
      </c>
      <c r="AF1968" s="8" t="n">
        <v>5604</v>
      </c>
      <c r="AG1968" s="9" t="n">
        <v>141997</v>
      </c>
      <c r="AH1968" s="10" t="n">
        <v>9227</v>
      </c>
      <c r="AI1968" s="10" t="n">
        <v>7376</v>
      </c>
      <c r="AJ1968" s="11" t="n">
        <v>147861</v>
      </c>
      <c r="AK1968" s="12" t="n">
        <v>1980</v>
      </c>
      <c r="AL1968" s="12" t="n">
        <v>5102</v>
      </c>
      <c r="AM1968" s="13" t="n">
        <v>4.1</v>
      </c>
      <c r="AN1968" s="13" t="n">
        <v>6.8</v>
      </c>
      <c r="AO1968" s="13" t="n">
        <v>-78.5</v>
      </c>
      <c r="AP1968" s="13" t="n">
        <v>232.2</v>
      </c>
    </row>
    <row r="1969">
      <c r="A1969" s="5" t="inlineStr">
        <is>
          <t>보라티알</t>
        </is>
      </c>
      <c r="B1969" s="6" t="inlineStr">
        <is>
          <t>250000</t>
        </is>
      </c>
      <c r="C1969" s="6" t="inlineStr">
        <is>
          <t>연결</t>
        </is>
      </c>
      <c r="D1969" s="6" t="inlineStr">
        <is>
          <t>2026Q2</t>
        </is>
      </c>
      <c r="E1969" s="6" t="inlineStr"/>
      <c r="F1969" s="7" t="inlineStr"/>
      <c r="G1969" s="8" t="inlineStr"/>
      <c r="H1969" s="8" t="inlineStr"/>
      <c r="I1969" s="9" t="n">
        <v>19473</v>
      </c>
      <c r="J1969" s="10" t="n">
        <v>3197</v>
      </c>
      <c r="K1969" s="10" t="n">
        <v>2430</v>
      </c>
      <c r="L1969" s="7" t="n">
        <v>22306</v>
      </c>
      <c r="M1969" s="8" t="n">
        <v>3524</v>
      </c>
      <c r="N1969" s="8" t="n">
        <v>2316</v>
      </c>
      <c r="O1969" s="9" t="n">
        <v>23214</v>
      </c>
      <c r="P1969" s="10" t="n">
        <v>2980</v>
      </c>
      <c r="Q1969" s="10" t="n">
        <v>2788</v>
      </c>
      <c r="R1969" s="7" t="n">
        <v>26401</v>
      </c>
      <c r="S1969" s="8" t="n">
        <v>3102</v>
      </c>
      <c r="T1969" s="8" t="n">
        <v>1959</v>
      </c>
      <c r="U1969" s="9" t="n">
        <v>22924</v>
      </c>
      <c r="V1969" s="10" t="n">
        <v>2175</v>
      </c>
      <c r="W1969" s="10" t="n">
        <v>-509</v>
      </c>
      <c r="X1969" s="7" t="n">
        <v>26250</v>
      </c>
      <c r="Y1969" s="8" t="n">
        <v>2905</v>
      </c>
      <c r="Z1969" s="8" t="n">
        <v>2203</v>
      </c>
      <c r="AA1969" s="9" t="n">
        <v>27374</v>
      </c>
      <c r="AB1969" s="10" t="n">
        <v>2589</v>
      </c>
      <c r="AC1969" s="10" t="n">
        <v>-555</v>
      </c>
      <c r="AD1969" s="7" t="n">
        <v>25748</v>
      </c>
      <c r="AE1969" s="8" t="n">
        <v>1478</v>
      </c>
      <c r="AF1969" s="8" t="n">
        <v>-909</v>
      </c>
      <c r="AG1969" s="9" t="n">
        <v>25767</v>
      </c>
      <c r="AH1969" s="10" t="n">
        <v>1506</v>
      </c>
      <c r="AI1969" s="10" t="n">
        <v>-407</v>
      </c>
      <c r="AJ1969" s="11" t="n">
        <v>26660</v>
      </c>
      <c r="AK1969" s="12" t="n">
        <v>1908</v>
      </c>
      <c r="AL1969" s="12" t="n">
        <v>-107</v>
      </c>
      <c r="AM1969" s="13" t="n">
        <v>3.5</v>
      </c>
      <c r="AN1969" s="13" t="n">
        <v>1.6</v>
      </c>
      <c r="AO1969" s="13" t="n">
        <v>26.7</v>
      </c>
      <c r="AP1969" s="13" t="n">
        <v>-34.3</v>
      </c>
    </row>
    <row r="1970">
      <c r="A1970" s="5" t="inlineStr">
        <is>
          <t>진코스텍</t>
        </is>
      </c>
      <c r="B1970" s="6" t="inlineStr">
        <is>
          <t>250030</t>
        </is>
      </c>
      <c r="C1970" s="6" t="inlineStr">
        <is>
          <t>별도</t>
        </is>
      </c>
      <c r="D1970" s="6" t="inlineStr">
        <is>
          <t>2026Q2</t>
        </is>
      </c>
      <c r="E1970" s="6" t="inlineStr"/>
      <c r="F1970" s="7" t="inlineStr"/>
      <c r="G1970" s="8" t="inlineStr"/>
      <c r="H1970" s="8" t="inlineStr"/>
      <c r="I1970" s="9" t="n">
        <v>7165</v>
      </c>
      <c r="J1970" s="10" t="n">
        <v>146</v>
      </c>
      <c r="K1970" s="10" t="n">
        <v>-108</v>
      </c>
      <c r="L1970" s="7" t="n">
        <v>7670</v>
      </c>
      <c r="M1970" s="8" t="n">
        <v>407</v>
      </c>
      <c r="N1970" s="8" t="n">
        <v>-213</v>
      </c>
      <c r="O1970" s="9" t="n">
        <v>7285</v>
      </c>
      <c r="P1970" s="10" t="n">
        <v>105</v>
      </c>
      <c r="Q1970" s="10" t="n">
        <v>-192</v>
      </c>
      <c r="R1970" s="7" t="n">
        <v>7717</v>
      </c>
      <c r="S1970" s="8" t="n">
        <v>492</v>
      </c>
      <c r="T1970" s="8" t="n">
        <v>472</v>
      </c>
      <c r="U1970" s="9" t="n">
        <v>10879</v>
      </c>
      <c r="V1970" s="10" t="n">
        <v>1340</v>
      </c>
      <c r="W1970" s="10" t="n">
        <v>1061</v>
      </c>
      <c r="X1970" s="7" t="n">
        <v>12314</v>
      </c>
      <c r="Y1970" s="8" t="n">
        <v>1245</v>
      </c>
      <c r="Z1970" s="8" t="n">
        <v>2572</v>
      </c>
      <c r="AA1970" s="9" t="n">
        <v>15149</v>
      </c>
      <c r="AB1970" s="10" t="n">
        <v>2409</v>
      </c>
      <c r="AC1970" s="10" t="n">
        <v>2078</v>
      </c>
      <c r="AD1970" s="7" t="n">
        <v>10304</v>
      </c>
      <c r="AE1970" s="8" t="n">
        <v>-145</v>
      </c>
      <c r="AF1970" s="8" t="n">
        <v>306</v>
      </c>
      <c r="AG1970" s="9" t="n">
        <v>13484</v>
      </c>
      <c r="AH1970" s="10" t="n">
        <v>1192</v>
      </c>
      <c r="AI1970" s="10" t="n">
        <v>1023</v>
      </c>
      <c r="AJ1970" s="11" t="n">
        <v>17476099</v>
      </c>
      <c r="AK1970" s="12" t="n">
        <v>2268242</v>
      </c>
      <c r="AL1970" s="12" t="n">
        <v>1918475</v>
      </c>
      <c r="AM1970" s="13" t="n">
        <v>129506.2</v>
      </c>
      <c r="AN1970" s="13" t="n">
        <v>141820.6</v>
      </c>
      <c r="AO1970" s="13" t="n">
        <v>190188.8</v>
      </c>
      <c r="AP1970" s="13" t="n">
        <v>182088.1</v>
      </c>
    </row>
    <row r="1971">
      <c r="A1971" s="5" t="inlineStr">
        <is>
          <t>모비스</t>
        </is>
      </c>
      <c r="B1971" s="6" t="inlineStr">
        <is>
          <t>250060</t>
        </is>
      </c>
      <c r="C1971" s="6" t="inlineStr">
        <is>
          <t>별도</t>
        </is>
      </c>
      <c r="D1971" s="6" t="inlineStr">
        <is>
          <t>2026Q2</t>
        </is>
      </c>
      <c r="E1971" s="6" t="inlineStr"/>
      <c r="F1971" s="7" t="inlineStr"/>
      <c r="G1971" s="8" t="inlineStr"/>
      <c r="H1971" s="8" t="inlineStr"/>
      <c r="I1971" s="9" t="n">
        <v>3590</v>
      </c>
      <c r="J1971" s="10" t="n">
        <v>-2451</v>
      </c>
      <c r="K1971" s="10" t="n">
        <v>-1663</v>
      </c>
      <c r="L1971" s="7" t="n">
        <v>1099</v>
      </c>
      <c r="M1971" s="8" t="n">
        <v>-916</v>
      </c>
      <c r="N1971" s="8" t="n">
        <v>-868</v>
      </c>
      <c r="O1971" s="9" t="n">
        <v>1268</v>
      </c>
      <c r="P1971" s="10" t="n">
        <v>-706</v>
      </c>
      <c r="Q1971" s="10" t="n">
        <v>-1526</v>
      </c>
      <c r="R1971" s="7" t="n">
        <v>-931</v>
      </c>
      <c r="S1971" s="8" t="n">
        <v>1679</v>
      </c>
      <c r="T1971" s="8" t="n">
        <v>13278</v>
      </c>
      <c r="U1971" s="9" t="n">
        <v>1245</v>
      </c>
      <c r="V1971" s="10" t="n">
        <v>-601</v>
      </c>
      <c r="W1971" s="10" t="n">
        <v>-164</v>
      </c>
      <c r="X1971" s="7" t="n">
        <v>1692</v>
      </c>
      <c r="Y1971" s="8" t="n">
        <v>-549</v>
      </c>
      <c r="Z1971" s="8" t="n">
        <v>-231</v>
      </c>
      <c r="AA1971" s="9" t="n">
        <v>896</v>
      </c>
      <c r="AB1971" s="10" t="n">
        <v>-535</v>
      </c>
      <c r="AC1971" s="10" t="n">
        <v>1009</v>
      </c>
      <c r="AD1971" s="7" t="n">
        <v>1265</v>
      </c>
      <c r="AE1971" s="8" t="n">
        <v>-1250</v>
      </c>
      <c r="AF1971" s="8" t="n">
        <v>-1667</v>
      </c>
      <c r="AG1971" s="9" t="n">
        <v>1042</v>
      </c>
      <c r="AH1971" s="10" t="n">
        <v>-543</v>
      </c>
      <c r="AI1971" s="10" t="n">
        <v>-467</v>
      </c>
      <c r="AJ1971" s="11" t="n">
        <v>401</v>
      </c>
      <c r="AK1971" s="12" t="n">
        <v>-694</v>
      </c>
      <c r="AL1971" s="12" t="n">
        <v>-489</v>
      </c>
      <c r="AM1971" s="13" t="n">
        <v>-61.5</v>
      </c>
      <c r="AN1971" s="13" t="n">
        <v>-76.3</v>
      </c>
      <c r="AO1971" s="13" t="n">
        <v>-27.8</v>
      </c>
      <c r="AP1971" s="13" t="n">
        <v>-26.4</v>
      </c>
    </row>
    <row r="1972">
      <c r="A1972" s="5" t="inlineStr">
        <is>
          <t>예선테크</t>
        </is>
      </c>
      <c r="B1972" s="6" t="inlineStr">
        <is>
          <t>250930</t>
        </is>
      </c>
      <c r="C1972" s="6" t="inlineStr">
        <is>
          <t>연결</t>
        </is>
      </c>
      <c r="D1972" s="6" t="inlineStr">
        <is>
          <t>2026Q2</t>
        </is>
      </c>
      <c r="E1972" s="6" t="inlineStr"/>
      <c r="F1972" s="7" t="inlineStr"/>
      <c r="G1972" s="8" t="inlineStr"/>
      <c r="H1972" s="8" t="inlineStr"/>
      <c r="I1972" s="9" t="n">
        <v>10493</v>
      </c>
      <c r="J1972" s="10" t="n">
        <v>-1250</v>
      </c>
      <c r="K1972" s="10" t="n">
        <v>-1151</v>
      </c>
      <c r="L1972" s="7" t="n">
        <v>13780</v>
      </c>
      <c r="M1972" s="8" t="n">
        <v>-350</v>
      </c>
      <c r="N1972" s="8" t="n">
        <v>-431</v>
      </c>
      <c r="O1972" s="9" t="n">
        <v>11900</v>
      </c>
      <c r="P1972" s="10" t="n">
        <v>-718</v>
      </c>
      <c r="Q1972" s="10" t="n">
        <v>-1286</v>
      </c>
      <c r="R1972" s="7" t="n">
        <v>7440</v>
      </c>
      <c r="S1972" s="8" t="n">
        <v>-922</v>
      </c>
      <c r="T1972" s="8" t="n">
        <v>-3101</v>
      </c>
      <c r="U1972" s="9" t="n">
        <v>10131</v>
      </c>
      <c r="V1972" s="10" t="n">
        <v>-479</v>
      </c>
      <c r="W1972" s="10" t="n">
        <v>-801</v>
      </c>
      <c r="X1972" s="7" t="n">
        <v>9264</v>
      </c>
      <c r="Y1972" s="8" t="n">
        <v>-730</v>
      </c>
      <c r="Z1972" s="8" t="n">
        <v>-1411</v>
      </c>
      <c r="AA1972" s="9" t="n">
        <v>9580</v>
      </c>
      <c r="AB1972" s="10" t="n">
        <v>124</v>
      </c>
      <c r="AC1972" s="10" t="n">
        <v>174</v>
      </c>
      <c r="AD1972" s="7" t="n">
        <v>8901</v>
      </c>
      <c r="AE1972" s="8" t="n">
        <v>272</v>
      </c>
      <c r="AF1972" s="8" t="n">
        <v>1282</v>
      </c>
      <c r="AG1972" s="9" t="n">
        <v>10517</v>
      </c>
      <c r="AH1972" s="10" t="n">
        <v>830</v>
      </c>
      <c r="AI1972" s="10" t="n">
        <v>1143</v>
      </c>
      <c r="AJ1972" s="11" t="n">
        <v>11011</v>
      </c>
      <c r="AK1972" s="12" t="n">
        <v>10</v>
      </c>
      <c r="AL1972" s="12" t="n">
        <v>25</v>
      </c>
      <c r="AM1972" s="13" t="n">
        <v>4.7</v>
      </c>
      <c r="AN1972" s="13" t="n">
        <v>18.9</v>
      </c>
      <c r="AO1972" s="13" t="n">
        <v>-98.8</v>
      </c>
      <c r="AP1972" s="13" t="n">
        <v>101.4</v>
      </c>
    </row>
    <row r="1973">
      <c r="A1973" s="5" t="inlineStr">
        <is>
          <t>바이오에프디엔씨</t>
        </is>
      </c>
      <c r="B1973" s="6" t="inlineStr">
        <is>
          <t>251120</t>
        </is>
      </c>
      <c r="C1973" s="6" t="inlineStr">
        <is>
          <t>별도</t>
        </is>
      </c>
      <c r="D1973" s="6" t="inlineStr">
        <is>
          <t>2026Q2</t>
        </is>
      </c>
      <c r="E1973" s="6" t="inlineStr"/>
      <c r="F1973" s="7" t="inlineStr"/>
      <c r="G1973" s="8" t="inlineStr"/>
      <c r="H1973" s="8" t="inlineStr"/>
      <c r="I1973" s="9" t="n">
        <v>3800</v>
      </c>
      <c r="J1973" s="10" t="n">
        <v>965</v>
      </c>
      <c r="K1973" s="10" t="n">
        <v>1080</v>
      </c>
      <c r="L1973" s="7" t="n">
        <v>3929</v>
      </c>
      <c r="M1973" s="8" t="n">
        <v>1227</v>
      </c>
      <c r="N1973" s="8" t="n">
        <v>600</v>
      </c>
      <c r="O1973" s="9" t="n">
        <v>3597</v>
      </c>
      <c r="P1973" s="10" t="n">
        <v>1066</v>
      </c>
      <c r="Q1973" s="10" t="n">
        <v>1068</v>
      </c>
      <c r="R1973" s="7" t="n">
        <v>4740</v>
      </c>
      <c r="S1973" s="8" t="n">
        <v>1595</v>
      </c>
      <c r="T1973" s="8" t="n">
        <v>1753</v>
      </c>
      <c r="U1973" s="9" t="n">
        <v>4323</v>
      </c>
      <c r="V1973" s="10" t="n">
        <v>1440</v>
      </c>
      <c r="W1973" s="10" t="n">
        <v>1630</v>
      </c>
      <c r="X1973" s="7" t="n">
        <v>4681</v>
      </c>
      <c r="Y1973" s="8" t="n">
        <v>1843</v>
      </c>
      <c r="Z1973" s="8" t="n">
        <v>1774</v>
      </c>
      <c r="AA1973" s="9" t="n">
        <v>5071</v>
      </c>
      <c r="AB1973" s="10" t="n">
        <v>1695</v>
      </c>
      <c r="AC1973" s="10" t="n">
        <v>1939</v>
      </c>
      <c r="AD1973" s="7" t="n">
        <v>5104</v>
      </c>
      <c r="AE1973" s="8" t="n">
        <v>1275</v>
      </c>
      <c r="AF1973" s="8" t="n">
        <v>1323</v>
      </c>
      <c r="AG1973" s="9" t="n">
        <v>3998</v>
      </c>
      <c r="AH1973" s="10" t="n">
        <v>1026</v>
      </c>
      <c r="AI1973" s="10" t="n">
        <v>1161</v>
      </c>
      <c r="AJ1973" s="11" t="n">
        <v>5362</v>
      </c>
      <c r="AK1973" s="12" t="n">
        <v>2103</v>
      </c>
      <c r="AL1973" s="12" t="n">
        <v>1970</v>
      </c>
      <c r="AM1973" s="13" t="n">
        <v>34.1</v>
      </c>
      <c r="AN1973" s="13" t="n">
        <v>14.5</v>
      </c>
      <c r="AO1973" s="13" t="n">
        <v>105</v>
      </c>
      <c r="AP1973" s="13" t="n">
        <v>14.1</v>
      </c>
    </row>
    <row r="1974">
      <c r="A1974" s="5" t="inlineStr">
        <is>
          <t>넷마블</t>
        </is>
      </c>
      <c r="B1974" s="6" t="inlineStr">
        <is>
          <t>251270</t>
        </is>
      </c>
      <c r="C1974" s="6" t="inlineStr">
        <is>
          <t>연결</t>
        </is>
      </c>
      <c r="D1974" s="6" t="inlineStr">
        <is>
          <t>2026Q2</t>
        </is>
      </c>
      <c r="E1974" s="6" t="inlineStr">
        <is>
          <t>2023Q4</t>
        </is>
      </c>
      <c r="F1974" s="14" t="n">
        <v>664900</v>
      </c>
      <c r="G1974" s="15" t="n">
        <v>17700</v>
      </c>
      <c r="H1974" s="15" t="n">
        <v>-195000</v>
      </c>
      <c r="I1974" s="9" t="n">
        <v>585387</v>
      </c>
      <c r="J1974" s="10" t="n">
        <v>3693</v>
      </c>
      <c r="K1974" s="10" t="n">
        <v>-9865</v>
      </c>
      <c r="L1974" s="7" t="n">
        <v>782087</v>
      </c>
      <c r="M1974" s="8" t="n">
        <v>111211</v>
      </c>
      <c r="N1974" s="8" t="n">
        <v>162279</v>
      </c>
      <c r="O1974" s="9" t="n">
        <v>647311</v>
      </c>
      <c r="P1974" s="10" t="n">
        <v>65495</v>
      </c>
      <c r="Q1974" s="10" t="n">
        <v>20587</v>
      </c>
      <c r="R1974" s="7" t="n">
        <v>648998</v>
      </c>
      <c r="S1974" s="8" t="n">
        <v>35228</v>
      </c>
      <c r="T1974" s="8" t="n">
        <v>-169785</v>
      </c>
      <c r="U1974" s="9" t="n">
        <v>623877</v>
      </c>
      <c r="V1974" s="10" t="n">
        <v>49710</v>
      </c>
      <c r="W1974" s="10" t="n">
        <v>80248</v>
      </c>
      <c r="X1974" s="7" t="n">
        <v>717641</v>
      </c>
      <c r="Y1974" s="8" t="n">
        <v>101141</v>
      </c>
      <c r="Z1974" s="8" t="n">
        <v>160118</v>
      </c>
      <c r="AA1974" s="9" t="n">
        <v>695955</v>
      </c>
      <c r="AB1974" s="10" t="n">
        <v>90870</v>
      </c>
      <c r="AC1974" s="10" t="n">
        <v>40598</v>
      </c>
      <c r="AD1974" s="7" t="n">
        <v>797601</v>
      </c>
      <c r="AE1974" s="8" t="n">
        <v>110757</v>
      </c>
      <c r="AF1974" s="8" t="n">
        <v>-50145</v>
      </c>
      <c r="AG1974" s="9" t="n">
        <v>651727</v>
      </c>
      <c r="AH1974" s="10" t="n">
        <v>53054</v>
      </c>
      <c r="AI1974" s="10" t="n">
        <v>210938</v>
      </c>
      <c r="AJ1974" s="11" t="n">
        <v>749215</v>
      </c>
      <c r="AK1974" s="12" t="n">
        <v>80155</v>
      </c>
      <c r="AL1974" s="12" t="n">
        <v>203859</v>
      </c>
      <c r="AM1974" s="13" t="n">
        <v>15</v>
      </c>
      <c r="AN1974" s="13" t="n">
        <v>4.4</v>
      </c>
      <c r="AO1974" s="13" t="n">
        <v>51.1</v>
      </c>
      <c r="AP1974" s="13" t="n">
        <v>-20.7</v>
      </c>
    </row>
    <row r="1975">
      <c r="A1975" s="5" t="inlineStr">
        <is>
          <t>와이엠티</t>
        </is>
      </c>
      <c r="B1975" s="6" t="inlineStr">
        <is>
          <t>251370</t>
        </is>
      </c>
      <c r="C1975" s="6" t="inlineStr">
        <is>
          <t>연결</t>
        </is>
      </c>
      <c r="D1975" s="6" t="inlineStr">
        <is>
          <t>2026Q2</t>
        </is>
      </c>
      <c r="E1975" s="6" t="inlineStr"/>
      <c r="F1975" s="7" t="inlineStr"/>
      <c r="G1975" s="8" t="inlineStr"/>
      <c r="H1975" s="8" t="inlineStr"/>
      <c r="I1975" s="9" t="n">
        <v>29513</v>
      </c>
      <c r="J1975" s="10" t="n">
        <v>26</v>
      </c>
      <c r="K1975" s="10" t="n">
        <v>-552</v>
      </c>
      <c r="L1975" s="7" t="n">
        <v>34813</v>
      </c>
      <c r="M1975" s="8" t="n">
        <v>922</v>
      </c>
      <c r="N1975" s="8" t="n">
        <v>-4440</v>
      </c>
      <c r="O1975" s="9" t="n">
        <v>36374</v>
      </c>
      <c r="P1975" s="10" t="n">
        <v>2163</v>
      </c>
      <c r="Q1975" s="10" t="n">
        <v>2443</v>
      </c>
      <c r="R1975" s="7" t="n">
        <v>36531</v>
      </c>
      <c r="S1975" s="8" t="n">
        <v>483</v>
      </c>
      <c r="T1975" s="8" t="n">
        <v>215</v>
      </c>
      <c r="U1975" s="9" t="n">
        <v>34960</v>
      </c>
      <c r="V1975" s="10" t="n">
        <v>1541</v>
      </c>
      <c r="W1975" s="10" t="n">
        <v>1269</v>
      </c>
      <c r="X1975" s="7" t="n">
        <v>35101</v>
      </c>
      <c r="Y1975" s="8" t="n">
        <v>4022</v>
      </c>
      <c r="Z1975" s="8" t="n">
        <v>2058</v>
      </c>
      <c r="AA1975" s="9" t="n">
        <v>36139</v>
      </c>
      <c r="AB1975" s="10" t="n">
        <v>3211</v>
      </c>
      <c r="AC1975" s="10" t="n">
        <v>1693</v>
      </c>
      <c r="AD1975" s="7" t="n">
        <v>38404</v>
      </c>
      <c r="AE1975" s="8" t="n">
        <v>4151</v>
      </c>
      <c r="AF1975" s="8" t="n">
        <v>-3551</v>
      </c>
      <c r="AG1975" s="9" t="n">
        <v>34977</v>
      </c>
      <c r="AH1975" s="10" t="n">
        <v>2583</v>
      </c>
      <c r="AI1975" s="10" t="n">
        <v>2790</v>
      </c>
      <c r="AJ1975" s="11" t="n">
        <v>41213</v>
      </c>
      <c r="AK1975" s="12" t="n">
        <v>1578</v>
      </c>
      <c r="AL1975" s="12" t="n">
        <v>-2116</v>
      </c>
      <c r="AM1975" s="13" t="n">
        <v>17.8</v>
      </c>
      <c r="AN1975" s="13" t="n">
        <v>17.4</v>
      </c>
      <c r="AO1975" s="13" t="n">
        <v>-38.9</v>
      </c>
      <c r="AP1975" s="13" t="n">
        <v>-60.8</v>
      </c>
    </row>
    <row r="1976">
      <c r="A1976" s="5" t="inlineStr">
        <is>
          <t>브이원텍</t>
        </is>
      </c>
      <c r="B1976" s="6" t="inlineStr">
        <is>
          <t>251630</t>
        </is>
      </c>
      <c r="C1976" s="6" t="inlineStr">
        <is>
          <t>연결</t>
        </is>
      </c>
      <c r="D1976" s="6" t="inlineStr">
        <is>
          <t>2026Q2</t>
        </is>
      </c>
      <c r="E1976" s="6" t="inlineStr"/>
      <c r="F1976" s="7" t="inlineStr"/>
      <c r="G1976" s="8" t="inlineStr"/>
      <c r="H1976" s="8" t="inlineStr"/>
      <c r="I1976" s="9" t="n">
        <v>18157</v>
      </c>
      <c r="J1976" s="10" t="n">
        <v>-463</v>
      </c>
      <c r="K1976" s="10" t="n">
        <v>-1526</v>
      </c>
      <c r="L1976" s="7" t="n">
        <v>15303</v>
      </c>
      <c r="M1976" s="8" t="n">
        <v>-1528</v>
      </c>
      <c r="N1976" s="8" t="n">
        <v>-1202</v>
      </c>
      <c r="O1976" s="9" t="n">
        <v>20040</v>
      </c>
      <c r="P1976" s="10" t="n">
        <v>138</v>
      </c>
      <c r="Q1976" s="10" t="n">
        <v>-1119</v>
      </c>
      <c r="R1976" s="7" t="n">
        <v>19232</v>
      </c>
      <c r="S1976" s="8" t="n">
        <v>-2507</v>
      </c>
      <c r="T1976" s="8" t="n">
        <v>-3464</v>
      </c>
      <c r="U1976" s="9" t="n">
        <v>5249</v>
      </c>
      <c r="V1976" s="10" t="n">
        <v>-3572</v>
      </c>
      <c r="W1976" s="10" t="n">
        <v>-3476</v>
      </c>
      <c r="X1976" s="7" t="n">
        <v>13427</v>
      </c>
      <c r="Y1976" s="8" t="n">
        <v>-3675</v>
      </c>
      <c r="Z1976" s="8" t="n">
        <v>-4390</v>
      </c>
      <c r="AA1976" s="9" t="n">
        <v>10371</v>
      </c>
      <c r="AB1976" s="10" t="n">
        <v>-1616</v>
      </c>
      <c r="AC1976" s="10" t="n">
        <v>-810</v>
      </c>
      <c r="AD1976" s="7" t="n">
        <v>19955</v>
      </c>
      <c r="AE1976" s="8" t="n">
        <v>-3966</v>
      </c>
      <c r="AF1976" s="8" t="n">
        <v>-6185</v>
      </c>
      <c r="AG1976" s="9" t="n">
        <v>18918</v>
      </c>
      <c r="AH1976" s="10" t="n">
        <v>-4807</v>
      </c>
      <c r="AI1976" s="10" t="n">
        <v>-3283</v>
      </c>
      <c r="AJ1976" s="11" t="n">
        <v>13037</v>
      </c>
      <c r="AK1976" s="12" t="n">
        <v>-2389</v>
      </c>
      <c r="AL1976" s="12" t="n">
        <v>-2410</v>
      </c>
      <c r="AM1976" s="13" t="n">
        <v>-31.1</v>
      </c>
      <c r="AN1976" s="13" t="n">
        <v>-2.9</v>
      </c>
      <c r="AO1976" s="13" t="n">
        <v>50.3</v>
      </c>
      <c r="AP1976" s="13" t="n">
        <v>35</v>
      </c>
    </row>
    <row r="1977">
      <c r="A1977" s="5" t="inlineStr">
        <is>
          <t>펌텍코리아</t>
        </is>
      </c>
      <c r="B1977" s="6" t="inlineStr">
        <is>
          <t>251970</t>
        </is>
      </c>
      <c r="C1977" s="6" t="inlineStr">
        <is>
          <t>연결</t>
        </is>
      </c>
      <c r="D1977" s="6" t="inlineStr">
        <is>
          <t>2026Q2</t>
        </is>
      </c>
      <c r="E1977" s="6" t="inlineStr"/>
      <c r="F1977" s="7" t="inlineStr"/>
      <c r="G1977" s="8" t="inlineStr"/>
      <c r="H1977" s="8" t="inlineStr"/>
      <c r="I1977" s="9" t="n">
        <v>76885</v>
      </c>
      <c r="J1977" s="10" t="n">
        <v>10227</v>
      </c>
      <c r="K1977" s="10" t="n">
        <v>8385</v>
      </c>
      <c r="L1977" s="7" t="n">
        <v>85510</v>
      </c>
      <c r="M1977" s="8" t="n">
        <v>12734</v>
      </c>
      <c r="N1977" s="8" t="n">
        <v>7238</v>
      </c>
      <c r="O1977" s="9" t="n">
        <v>85219</v>
      </c>
      <c r="P1977" s="10" t="n">
        <v>12430</v>
      </c>
      <c r="Q1977" s="10" t="n">
        <v>10040</v>
      </c>
      <c r="R1977" s="7" t="n">
        <v>89869</v>
      </c>
      <c r="S1977" s="8" t="n">
        <v>13006</v>
      </c>
      <c r="T1977" s="8" t="n">
        <v>12663</v>
      </c>
      <c r="U1977" s="9" t="n">
        <v>91735</v>
      </c>
      <c r="V1977" s="10" t="n">
        <v>13433</v>
      </c>
      <c r="W1977" s="10" t="n">
        <v>11490</v>
      </c>
      <c r="X1977" s="7" t="n">
        <v>105421</v>
      </c>
      <c r="Y1977" s="8" t="n">
        <v>19428</v>
      </c>
      <c r="Z1977" s="8" t="n">
        <v>13058</v>
      </c>
      <c r="AA1977" s="9" t="n">
        <v>97672</v>
      </c>
      <c r="AB1977" s="10" t="n">
        <v>15325</v>
      </c>
      <c r="AC1977" s="10" t="n">
        <v>13172</v>
      </c>
      <c r="AD1977" s="7" t="n">
        <v>77133</v>
      </c>
      <c r="AE1977" s="8" t="n">
        <v>8329</v>
      </c>
      <c r="AF1977" s="8" t="n">
        <v>-8831</v>
      </c>
      <c r="AG1977" s="9" t="n">
        <v>91754</v>
      </c>
      <c r="AH1977" s="10" t="n">
        <v>12963</v>
      </c>
      <c r="AI1977" s="10" t="n">
        <v>6588</v>
      </c>
      <c r="AJ1977" s="11" t="n">
        <v>116844</v>
      </c>
      <c r="AK1977" s="12" t="n">
        <v>21651</v>
      </c>
      <c r="AL1977" s="12" t="n">
        <v>14542</v>
      </c>
      <c r="AM1977" s="13" t="n">
        <v>27.3</v>
      </c>
      <c r="AN1977" s="13" t="n">
        <v>10.8</v>
      </c>
      <c r="AO1977" s="13" t="n">
        <v>67</v>
      </c>
      <c r="AP1977" s="13" t="n">
        <v>11.4</v>
      </c>
    </row>
    <row r="1978">
      <c r="A1978" s="5" t="inlineStr">
        <is>
          <t>세화피앤씨</t>
        </is>
      </c>
      <c r="B1978" s="6" t="inlineStr">
        <is>
          <t>252500</t>
        </is>
      </c>
      <c r="C1978" s="6" t="inlineStr">
        <is>
          <t>연결</t>
        </is>
      </c>
      <c r="D1978" s="6" t="inlineStr">
        <is>
          <t>2026Q2</t>
        </is>
      </c>
      <c r="E1978" s="6" t="inlineStr"/>
      <c r="F1978" s="7" t="inlineStr"/>
      <c r="G1978" s="8" t="inlineStr"/>
      <c r="H1978" s="8" t="inlineStr"/>
      <c r="I1978" s="9" t="n">
        <v>9563</v>
      </c>
      <c r="J1978" s="10" t="n">
        <v>-117</v>
      </c>
      <c r="K1978" s="10" t="n">
        <v>109</v>
      </c>
      <c r="L1978" s="7" t="n">
        <v>12236</v>
      </c>
      <c r="M1978" s="8" t="n">
        <v>1797</v>
      </c>
      <c r="N1978" s="8" t="n">
        <v>1708</v>
      </c>
      <c r="O1978" s="9" t="n">
        <v>11891</v>
      </c>
      <c r="P1978" s="10" t="n">
        <v>1586</v>
      </c>
      <c r="Q1978" s="10" t="n">
        <v>1357</v>
      </c>
      <c r="R1978" s="7" t="n">
        <v>10178</v>
      </c>
      <c r="S1978" s="8" t="n">
        <v>-525</v>
      </c>
      <c r="T1978" s="8" t="n">
        <v>136</v>
      </c>
      <c r="U1978" s="9" t="n">
        <v>8690</v>
      </c>
      <c r="V1978" s="10" t="n">
        <v>-357</v>
      </c>
      <c r="W1978" s="10" t="n">
        <v>-171</v>
      </c>
      <c r="X1978" s="7" t="n">
        <v>10526</v>
      </c>
      <c r="Y1978" s="8" t="n">
        <v>265</v>
      </c>
      <c r="Z1978" s="8" t="n">
        <v>249</v>
      </c>
      <c r="AA1978" s="9" t="n">
        <v>11834</v>
      </c>
      <c r="AB1978" s="10" t="n">
        <v>443</v>
      </c>
      <c r="AC1978" s="10" t="n">
        <v>784</v>
      </c>
      <c r="AD1978" s="7" t="n">
        <v>6595</v>
      </c>
      <c r="AE1978" s="8" t="n">
        <v>276</v>
      </c>
      <c r="AF1978" s="8" t="n">
        <v>313</v>
      </c>
      <c r="AG1978" s="9" t="n">
        <v>8798</v>
      </c>
      <c r="AH1978" s="10" t="n">
        <v>-906</v>
      </c>
      <c r="AI1978" s="10" t="n">
        <v>-1225</v>
      </c>
      <c r="AJ1978" s="11" t="n">
        <v>10389</v>
      </c>
      <c r="AK1978" s="12" t="n">
        <v>-1228</v>
      </c>
      <c r="AL1978" s="12" t="n">
        <v>-1458</v>
      </c>
      <c r="AM1978" s="13" t="n">
        <v>18.1</v>
      </c>
      <c r="AN1978" s="13" t="n">
        <v>-1.3</v>
      </c>
      <c r="AO1978" s="13" t="n">
        <v>-35.5</v>
      </c>
      <c r="AP1978" s="13" t="n">
        <v>-563.4</v>
      </c>
    </row>
    <row r="1979">
      <c r="A1979" s="5" t="inlineStr">
        <is>
          <t>샘씨엔에스</t>
        </is>
      </c>
      <c r="B1979" s="6" t="inlineStr">
        <is>
          <t>252990</t>
        </is>
      </c>
      <c r="C1979" s="6" t="inlineStr">
        <is>
          <t>별도</t>
        </is>
      </c>
      <c r="D1979" s="6" t="inlineStr">
        <is>
          <t>2026Q2</t>
        </is>
      </c>
      <c r="E1979" s="6" t="inlineStr"/>
      <c r="F1979" s="7" t="inlineStr"/>
      <c r="G1979" s="8" t="inlineStr"/>
      <c r="H1979" s="8" t="inlineStr"/>
      <c r="I1979" s="9" t="n">
        <v>10903</v>
      </c>
      <c r="J1979" s="10" t="n">
        <v>601</v>
      </c>
      <c r="K1979" s="10" t="n">
        <v>722</v>
      </c>
      <c r="L1979" s="7" t="n">
        <v>13530</v>
      </c>
      <c r="M1979" s="8" t="n">
        <v>3044</v>
      </c>
      <c r="N1979" s="8" t="n">
        <v>2151</v>
      </c>
      <c r="O1979" s="9" t="n">
        <v>15741</v>
      </c>
      <c r="P1979" s="10" t="n">
        <v>3090</v>
      </c>
      <c r="Q1979" s="10" t="n">
        <v>2534</v>
      </c>
      <c r="R1979" s="7" t="n">
        <v>13142</v>
      </c>
      <c r="S1979" s="8" t="n">
        <v>-1534</v>
      </c>
      <c r="T1979" s="8" t="n">
        <v>-2089</v>
      </c>
      <c r="U1979" s="9" t="n">
        <v>15755</v>
      </c>
      <c r="V1979" s="10" t="n">
        <v>1430</v>
      </c>
      <c r="W1979" s="10" t="n">
        <v>1183</v>
      </c>
      <c r="X1979" s="7" t="n">
        <v>18716</v>
      </c>
      <c r="Y1979" s="8" t="n">
        <v>3454</v>
      </c>
      <c r="Z1979" s="8" t="n">
        <v>3215</v>
      </c>
      <c r="AA1979" s="9" t="n">
        <v>20830</v>
      </c>
      <c r="AB1979" s="10" t="n">
        <v>5427</v>
      </c>
      <c r="AC1979" s="10" t="n">
        <v>5341</v>
      </c>
      <c r="AD1979" s="7" t="n">
        <v>22684</v>
      </c>
      <c r="AE1979" s="8" t="n">
        <v>4355</v>
      </c>
      <c r="AF1979" s="8" t="n">
        <v>5324</v>
      </c>
      <c r="AG1979" s="9" t="n">
        <v>27175</v>
      </c>
      <c r="AH1979" s="10" t="n">
        <v>7679</v>
      </c>
      <c r="AI1979" s="10" t="n">
        <v>7820</v>
      </c>
      <c r="AJ1979" s="11" t="n">
        <v>31265</v>
      </c>
      <c r="AK1979" s="12" t="n">
        <v>9529</v>
      </c>
      <c r="AL1979" s="12" t="n">
        <v>11265</v>
      </c>
      <c r="AM1979" s="13" t="n">
        <v>15.1</v>
      </c>
      <c r="AN1979" s="13" t="n">
        <v>67</v>
      </c>
      <c r="AO1979" s="13" t="n">
        <v>24.1</v>
      </c>
      <c r="AP1979" s="13" t="n">
        <v>175.9</v>
      </c>
    </row>
    <row r="1980">
      <c r="A1980" s="5" t="inlineStr">
        <is>
          <t>스튜디오드래곤</t>
        </is>
      </c>
      <c r="B1980" s="6" t="inlineStr">
        <is>
          <t>253450</t>
        </is>
      </c>
      <c r="C1980" s="6" t="inlineStr">
        <is>
          <t>연결</t>
        </is>
      </c>
      <c r="D1980" s="6" t="inlineStr">
        <is>
          <t>2026Q2</t>
        </is>
      </c>
      <c r="E1980" s="6" t="inlineStr">
        <is>
          <t>2023Q4</t>
        </is>
      </c>
      <c r="F1980" s="14" t="n">
        <v>161098</v>
      </c>
      <c r="G1980" s="15" t="n">
        <v>-3849</v>
      </c>
      <c r="H1980" s="15" t="n">
        <v>-16676</v>
      </c>
      <c r="I1980" s="9" t="n">
        <v>192071</v>
      </c>
      <c r="J1980" s="10" t="n">
        <v>21525</v>
      </c>
      <c r="K1980" s="10" t="n">
        <v>20196</v>
      </c>
      <c r="L1980" s="7" t="n">
        <v>137120</v>
      </c>
      <c r="M1980" s="8" t="n">
        <v>10454</v>
      </c>
      <c r="N1980" s="8" t="n">
        <v>8152</v>
      </c>
      <c r="O1980" s="9" t="n">
        <v>90320</v>
      </c>
      <c r="P1980" s="10" t="n">
        <v>-937</v>
      </c>
      <c r="Q1980" s="10" t="n">
        <v>-6128</v>
      </c>
      <c r="R1980" s="7" t="n">
        <v>130570</v>
      </c>
      <c r="S1980" s="8" t="n">
        <v>5352</v>
      </c>
      <c r="T1980" s="8" t="n">
        <v>11268</v>
      </c>
      <c r="U1980" s="9" t="n">
        <v>133800</v>
      </c>
      <c r="V1980" s="10" t="n">
        <v>4274</v>
      </c>
      <c r="W1980" s="10" t="n">
        <v>2366</v>
      </c>
      <c r="X1980" s="7" t="n">
        <v>114491</v>
      </c>
      <c r="Y1980" s="8" t="n">
        <v>-2916</v>
      </c>
      <c r="Z1980" s="8" t="n">
        <v>-3729</v>
      </c>
      <c r="AA1980" s="9" t="n">
        <v>136510</v>
      </c>
      <c r="AB1980" s="10" t="n">
        <v>10469</v>
      </c>
      <c r="AC1980" s="10" t="n">
        <v>8901</v>
      </c>
      <c r="AD1980" s="7" t="n">
        <v>145884</v>
      </c>
      <c r="AE1980" s="8" t="n">
        <v>18532</v>
      </c>
      <c r="AF1980" s="8" t="n">
        <v>2782</v>
      </c>
      <c r="AG1980" s="9" t="n">
        <v>155269</v>
      </c>
      <c r="AH1980" s="10" t="n">
        <v>6415</v>
      </c>
      <c r="AI1980" s="10" t="n">
        <v>6554</v>
      </c>
      <c r="AJ1980" s="11" t="n">
        <v>145292</v>
      </c>
      <c r="AK1980" s="12" t="n">
        <v>15446</v>
      </c>
      <c r="AL1980" s="12" t="n">
        <v>13017</v>
      </c>
      <c r="AM1980" s="13" t="n">
        <v>-6.4</v>
      </c>
      <c r="AN1980" s="13" t="n">
        <v>26.9</v>
      </c>
      <c r="AO1980" s="13" t="n">
        <v>140.8</v>
      </c>
      <c r="AP1980" s="13" t="n">
        <v>629.7</v>
      </c>
    </row>
    <row r="1981">
      <c r="A1981" s="5" t="inlineStr">
        <is>
          <t>네오셈</t>
        </is>
      </c>
      <c r="B1981" s="6" t="inlineStr">
        <is>
          <t>253590</t>
        </is>
      </c>
      <c r="C1981" s="6" t="inlineStr">
        <is>
          <t>연결</t>
        </is>
      </c>
      <c r="D1981" s="6" t="inlineStr">
        <is>
          <t>2026Q2</t>
        </is>
      </c>
      <c r="E1981" s="6" t="inlineStr"/>
      <c r="F1981" s="7" t="inlineStr"/>
      <c r="G1981" s="8" t="inlineStr"/>
      <c r="H1981" s="8" t="inlineStr"/>
      <c r="I1981" s="9" t="n">
        <v>28454</v>
      </c>
      <c r="J1981" s="10" t="n">
        <v>2597</v>
      </c>
      <c r="K1981" s="10" t="n">
        <v>3555</v>
      </c>
      <c r="L1981" s="7" t="n">
        <v>9949</v>
      </c>
      <c r="M1981" s="8" t="n">
        <v>-1557</v>
      </c>
      <c r="N1981" s="8" t="n">
        <v>-316</v>
      </c>
      <c r="O1981" s="9" t="n">
        <v>33201</v>
      </c>
      <c r="P1981" s="10" t="n">
        <v>10463</v>
      </c>
      <c r="Q1981" s="10" t="n">
        <v>8233</v>
      </c>
      <c r="R1981" s="7" t="n">
        <v>33633</v>
      </c>
      <c r="S1981" s="8" t="n">
        <v>4964</v>
      </c>
      <c r="T1981" s="8" t="n">
        <v>7743</v>
      </c>
      <c r="U1981" s="9" t="n">
        <v>14875</v>
      </c>
      <c r="V1981" s="10" t="n">
        <v>1524</v>
      </c>
      <c r="W1981" s="10" t="n">
        <v>1760</v>
      </c>
      <c r="X1981" s="7" t="n">
        <v>16327</v>
      </c>
      <c r="Y1981" s="8" t="n">
        <v>495</v>
      </c>
      <c r="Z1981" s="8" t="n">
        <v>-1572</v>
      </c>
      <c r="AA1981" s="9" t="n">
        <v>10175</v>
      </c>
      <c r="AB1981" s="10" t="n">
        <v>-481</v>
      </c>
      <c r="AC1981" s="10" t="n">
        <v>720</v>
      </c>
      <c r="AD1981" s="7" t="n">
        <v>22560</v>
      </c>
      <c r="AE1981" s="8" t="n">
        <v>2517</v>
      </c>
      <c r="AF1981" s="8" t="n">
        <v>4434</v>
      </c>
      <c r="AG1981" s="9" t="n">
        <v>14517</v>
      </c>
      <c r="AH1981" s="10" t="n">
        <v>598</v>
      </c>
      <c r="AI1981" s="10" t="n">
        <v>2310</v>
      </c>
      <c r="AJ1981" s="11" t="n">
        <v>36000</v>
      </c>
      <c r="AK1981" s="12" t="n">
        <v>11417</v>
      </c>
      <c r="AL1981" s="12" t="n">
        <v>8800</v>
      </c>
      <c r="AM1981" s="13" t="n">
        <v>148</v>
      </c>
      <c r="AN1981" s="13" t="n">
        <v>120.5</v>
      </c>
      <c r="AO1981" s="13" t="n">
        <v>1809.2</v>
      </c>
      <c r="AP1981" s="13" t="n">
        <v>2206.5</v>
      </c>
    </row>
    <row r="1982">
      <c r="A1982" s="5" t="inlineStr">
        <is>
          <t>수젠텍</t>
        </is>
      </c>
      <c r="B1982" s="6" t="inlineStr">
        <is>
          <t>253840</t>
        </is>
      </c>
      <c r="C1982" s="6" t="inlineStr">
        <is>
          <t>연결</t>
        </is>
      </c>
      <c r="D1982" s="6" t="inlineStr">
        <is>
          <t>2026Q2</t>
        </is>
      </c>
      <c r="E1982" s="6" t="inlineStr"/>
      <c r="F1982" s="7" t="inlineStr"/>
      <c r="G1982" s="8" t="inlineStr"/>
      <c r="H1982" s="8" t="inlineStr"/>
      <c r="I1982" s="9" t="n">
        <v>1960</v>
      </c>
      <c r="J1982" s="10" t="n">
        <v>-5098</v>
      </c>
      <c r="K1982" s="10" t="n">
        <v>-3989</v>
      </c>
      <c r="L1982" s="7" t="n">
        <v>1557</v>
      </c>
      <c r="M1982" s="8" t="n">
        <v>-4835</v>
      </c>
      <c r="N1982" s="8" t="n">
        <v>1721</v>
      </c>
      <c r="O1982" s="9" t="n">
        <v>4113</v>
      </c>
      <c r="P1982" s="10" t="n">
        <v>-4426</v>
      </c>
      <c r="Q1982" s="10" t="n">
        <v>-4344</v>
      </c>
      <c r="R1982" s="7" t="n">
        <v>2467</v>
      </c>
      <c r="S1982" s="8" t="n">
        <v>-7663</v>
      </c>
      <c r="T1982" s="8" t="n">
        <v>-8758</v>
      </c>
      <c r="U1982" s="9" t="n">
        <v>1889</v>
      </c>
      <c r="V1982" s="10" t="n">
        <v>-3970</v>
      </c>
      <c r="W1982" s="10" t="n">
        <v>-3136</v>
      </c>
      <c r="X1982" s="7" t="n">
        <v>3173</v>
      </c>
      <c r="Y1982" s="8" t="n">
        <v>-4890</v>
      </c>
      <c r="Z1982" s="8" t="n">
        <v>-5273</v>
      </c>
      <c r="AA1982" s="9" t="n">
        <v>1483</v>
      </c>
      <c r="AB1982" s="10" t="n">
        <v>-4845</v>
      </c>
      <c r="AC1982" s="10" t="n">
        <v>-3806</v>
      </c>
      <c r="AD1982" s="7" t="n">
        <v>2872</v>
      </c>
      <c r="AE1982" s="8" t="n">
        <v>-5115</v>
      </c>
      <c r="AF1982" s="8" t="n">
        <v>-11277</v>
      </c>
      <c r="AG1982" s="9" t="n">
        <v>2346</v>
      </c>
      <c r="AH1982" s="10" t="n">
        <v>-4682</v>
      </c>
      <c r="AI1982" s="10" t="n">
        <v>-4298</v>
      </c>
      <c r="AJ1982" s="11" t="n">
        <v>3084</v>
      </c>
      <c r="AK1982" s="12" t="n">
        <v>-4225</v>
      </c>
      <c r="AL1982" s="12" t="n">
        <v>-3772</v>
      </c>
      <c r="AM1982" s="13" t="n">
        <v>31.5</v>
      </c>
      <c r="AN1982" s="13" t="n">
        <v>-2.8</v>
      </c>
      <c r="AO1982" s="13" t="n">
        <v>9.800000000000001</v>
      </c>
      <c r="AP1982" s="13" t="n">
        <v>13.6</v>
      </c>
    </row>
    <row r="1983">
      <c r="A1983" s="5" t="inlineStr">
        <is>
          <t>자비스</t>
        </is>
      </c>
      <c r="B1983" s="6" t="inlineStr">
        <is>
          <t>254120</t>
        </is>
      </c>
      <c r="C1983" s="6" t="inlineStr">
        <is>
          <t>연결</t>
        </is>
      </c>
      <c r="D1983" s="6" t="inlineStr">
        <is>
          <t>2026Q2</t>
        </is>
      </c>
      <c r="E1983" s="6" t="inlineStr"/>
      <c r="F1983" s="7" t="inlineStr"/>
      <c r="G1983" s="8" t="inlineStr"/>
      <c r="H1983" s="8" t="inlineStr"/>
      <c r="I1983" s="9" t="n">
        <v>11335</v>
      </c>
      <c r="J1983" s="10" t="n">
        <v>603</v>
      </c>
      <c r="K1983" s="10" t="n">
        <v>408</v>
      </c>
      <c r="L1983" s="7" t="n">
        <v>12084</v>
      </c>
      <c r="M1983" s="8" t="n">
        <v>1392</v>
      </c>
      <c r="N1983" s="8" t="n">
        <v>1179</v>
      </c>
      <c r="O1983" s="9" t="n">
        <v>5773</v>
      </c>
      <c r="P1983" s="10" t="n">
        <v>-544</v>
      </c>
      <c r="Q1983" s="10" t="n">
        <v>-694</v>
      </c>
      <c r="R1983" s="7" t="n">
        <v>8420</v>
      </c>
      <c r="S1983" s="8" t="n">
        <v>-245</v>
      </c>
      <c r="T1983" s="8" t="n">
        <v>303</v>
      </c>
      <c r="U1983" s="9" t="n">
        <v>4880</v>
      </c>
      <c r="V1983" s="10" t="n">
        <v>-483</v>
      </c>
      <c r="W1983" s="10" t="n">
        <v>-465</v>
      </c>
      <c r="X1983" s="7" t="n">
        <v>9008</v>
      </c>
      <c r="Y1983" s="8" t="n">
        <v>152</v>
      </c>
      <c r="Z1983" s="8" t="n">
        <v>-148</v>
      </c>
      <c r="AA1983" s="9" t="n">
        <v>7010</v>
      </c>
      <c r="AB1983" s="10" t="n">
        <v>-336</v>
      </c>
      <c r="AC1983" s="10" t="n">
        <v>-269</v>
      </c>
      <c r="AD1983" s="7" t="n">
        <v>6997</v>
      </c>
      <c r="AE1983" s="8" t="n">
        <v>-3253</v>
      </c>
      <c r="AF1983" s="8" t="n">
        <v>-3235</v>
      </c>
      <c r="AG1983" s="9" t="n">
        <v>5274</v>
      </c>
      <c r="AH1983" s="10" t="n">
        <v>-774</v>
      </c>
      <c r="AI1983" s="10" t="n">
        <v>-622</v>
      </c>
      <c r="AJ1983" s="11" t="n">
        <v>8076</v>
      </c>
      <c r="AK1983" s="12" t="n">
        <v>-675</v>
      </c>
      <c r="AL1983" s="12" t="n">
        <v>-527</v>
      </c>
      <c r="AM1983" s="13" t="n">
        <v>53.1</v>
      </c>
      <c r="AN1983" s="13" t="n">
        <v>-10.3</v>
      </c>
      <c r="AO1983" s="13" t="n">
        <v>12.8</v>
      </c>
      <c r="AP1983" s="13" t="n">
        <v>-544.1</v>
      </c>
    </row>
    <row r="1984">
      <c r="A1984" s="5" t="inlineStr">
        <is>
          <t>미래반도체</t>
        </is>
      </c>
      <c r="B1984" s="6" t="inlineStr">
        <is>
          <t>254490</t>
        </is>
      </c>
      <c r="C1984" s="6" t="inlineStr">
        <is>
          <t>별도</t>
        </is>
      </c>
      <c r="D1984" s="6" t="inlineStr">
        <is>
          <t>2026Q2</t>
        </is>
      </c>
      <c r="E1984" s="6" t="inlineStr"/>
      <c r="F1984" s="7" t="inlineStr"/>
      <c r="G1984" s="8" t="inlineStr"/>
      <c r="H1984" s="8" t="inlineStr"/>
      <c r="I1984" s="9" t="n">
        <v>118193</v>
      </c>
      <c r="J1984" s="10" t="n">
        <v>3228</v>
      </c>
      <c r="K1984" s="10" t="n">
        <v>2251</v>
      </c>
      <c r="L1984" s="7" t="n">
        <v>132270</v>
      </c>
      <c r="M1984" s="8" t="n">
        <v>3006</v>
      </c>
      <c r="N1984" s="8" t="n">
        <v>1673</v>
      </c>
      <c r="O1984" s="9" t="n">
        <v>123374</v>
      </c>
      <c r="P1984" s="10" t="n">
        <v>2758</v>
      </c>
      <c r="Q1984" s="10" t="n">
        <v>1324</v>
      </c>
      <c r="R1984" s="7" t="n">
        <v>113794</v>
      </c>
      <c r="S1984" s="8" t="n">
        <v>1242</v>
      </c>
      <c r="T1984" s="8" t="n">
        <v>801</v>
      </c>
      <c r="U1984" s="9" t="n">
        <v>159315</v>
      </c>
      <c r="V1984" s="10" t="n">
        <v>5392</v>
      </c>
      <c r="W1984" s="10" t="n">
        <v>4313</v>
      </c>
      <c r="X1984" s="7" t="n">
        <v>142751</v>
      </c>
      <c r="Y1984" s="8" t="n">
        <v>3777</v>
      </c>
      <c r="Z1984" s="8" t="n">
        <v>2927</v>
      </c>
      <c r="AA1984" s="9" t="n">
        <v>157752</v>
      </c>
      <c r="AB1984" s="10" t="n">
        <v>2812</v>
      </c>
      <c r="AC1984" s="10" t="n">
        <v>2065</v>
      </c>
      <c r="AD1984" s="7" t="n">
        <v>175764</v>
      </c>
      <c r="AE1984" s="8" t="n">
        <v>7095</v>
      </c>
      <c r="AF1984" s="8" t="n">
        <v>4824</v>
      </c>
      <c r="AG1984" s="9" t="n">
        <v>340542</v>
      </c>
      <c r="AH1984" s="10" t="n">
        <v>32177</v>
      </c>
      <c r="AI1984" s="10" t="n">
        <v>23381</v>
      </c>
      <c r="AJ1984" s="11" t="n">
        <v>340148</v>
      </c>
      <c r="AK1984" s="12" t="n">
        <v>28153</v>
      </c>
      <c r="AL1984" s="12" t="n">
        <v>18997</v>
      </c>
      <c r="AM1984" s="13" t="n">
        <v>-0.1</v>
      </c>
      <c r="AN1984" s="13" t="n">
        <v>138.3</v>
      </c>
      <c r="AO1984" s="13" t="n">
        <v>-12.5</v>
      </c>
      <c r="AP1984" s="13" t="n">
        <v>645.4</v>
      </c>
    </row>
    <row r="1985">
      <c r="A1985" s="5" t="inlineStr">
        <is>
          <t>SG</t>
        </is>
      </c>
      <c r="B1985" s="6" t="inlineStr">
        <is>
          <t>255220</t>
        </is>
      </c>
      <c r="C1985" s="6" t="inlineStr">
        <is>
          <t>연결</t>
        </is>
      </c>
      <c r="D1985" s="6" t="inlineStr">
        <is>
          <t>2026Q2</t>
        </is>
      </c>
      <c r="E1985" s="6" t="inlineStr"/>
      <c r="F1985" s="7" t="inlineStr"/>
      <c r="G1985" s="8" t="inlineStr"/>
      <c r="H1985" s="8" t="inlineStr"/>
      <c r="I1985" s="9" t="n">
        <v>15302</v>
      </c>
      <c r="J1985" s="10" t="n">
        <v>-5897</v>
      </c>
      <c r="K1985" s="10" t="n">
        <v>-12645</v>
      </c>
      <c r="L1985" s="7" t="n">
        <v>33356</v>
      </c>
      <c r="M1985" s="8" t="n">
        <v>-1077</v>
      </c>
      <c r="N1985" s="8" t="n">
        <v>-3956</v>
      </c>
      <c r="O1985" s="9" t="n">
        <v>29086</v>
      </c>
      <c r="P1985" s="10" t="n">
        <v>-1096</v>
      </c>
      <c r="Q1985" s="10" t="n">
        <v>-5625</v>
      </c>
      <c r="R1985" s="7" t="n">
        <v>41196</v>
      </c>
      <c r="S1985" s="8" t="n">
        <v>2002</v>
      </c>
      <c r="T1985" s="8" t="n">
        <v>-14016</v>
      </c>
      <c r="U1985" s="9" t="n">
        <v>14274</v>
      </c>
      <c r="V1985" s="10" t="n">
        <v>-2431</v>
      </c>
      <c r="W1985" s="10" t="n">
        <v>1624</v>
      </c>
      <c r="X1985" s="7" t="n">
        <v>35138</v>
      </c>
      <c r="Y1985" s="8" t="n">
        <v>2153</v>
      </c>
      <c r="Z1985" s="8" t="n">
        <v>3485</v>
      </c>
      <c r="AA1985" s="9" t="n">
        <v>21983</v>
      </c>
      <c r="AB1985" s="10" t="n">
        <v>-2332</v>
      </c>
      <c r="AC1985" s="10" t="n">
        <v>-1222</v>
      </c>
      <c r="AD1985" s="7" t="n">
        <v>30851</v>
      </c>
      <c r="AE1985" s="8" t="n">
        <v>3362</v>
      </c>
      <c r="AF1985" s="8" t="n">
        <v>-6341</v>
      </c>
      <c r="AG1985" s="9" t="n">
        <v>8953</v>
      </c>
      <c r="AH1985" s="10" t="n">
        <v>-6035</v>
      </c>
      <c r="AI1985" s="10" t="n">
        <v>-10020</v>
      </c>
      <c r="AJ1985" s="11" t="n">
        <v>23027</v>
      </c>
      <c r="AK1985" s="12" t="n">
        <v>687</v>
      </c>
      <c r="AL1985" s="12" t="n">
        <v>1245</v>
      </c>
      <c r="AM1985" s="13" t="n">
        <v>157.2</v>
      </c>
      <c r="AN1985" s="13" t="n">
        <v>-34.5</v>
      </c>
      <c r="AO1985" s="13" t="n">
        <v>111.4</v>
      </c>
      <c r="AP1985" s="13" t="n">
        <v>-68.09999999999999</v>
      </c>
    </row>
    <row r="1986">
      <c r="A1986" s="5" t="inlineStr">
        <is>
          <t>야스</t>
        </is>
      </c>
      <c r="B1986" s="6" t="inlineStr">
        <is>
          <t>255440</t>
        </is>
      </c>
      <c r="C1986" s="6" t="inlineStr">
        <is>
          <t>연결</t>
        </is>
      </c>
      <c r="D1986" s="6" t="inlineStr">
        <is>
          <t>2026Q2</t>
        </is>
      </c>
      <c r="E1986" s="6" t="inlineStr"/>
      <c r="F1986" s="7" t="inlineStr"/>
      <c r="G1986" s="8" t="inlineStr"/>
      <c r="H1986" s="8" t="inlineStr"/>
      <c r="I1986" s="9" t="n">
        <v>6811</v>
      </c>
      <c r="J1986" s="10" t="n">
        <v>-3472</v>
      </c>
      <c r="K1986" s="10" t="n">
        <v>-2726</v>
      </c>
      <c r="L1986" s="7" t="n">
        <v>7472</v>
      </c>
      <c r="M1986" s="8" t="n">
        <v>-4008</v>
      </c>
      <c r="N1986" s="8" t="n">
        <v>-2632</v>
      </c>
      <c r="O1986" s="9" t="n">
        <v>7189</v>
      </c>
      <c r="P1986" s="10" t="n">
        <v>-1500</v>
      </c>
      <c r="Q1986" s="10" t="n">
        <v>1331</v>
      </c>
      <c r="R1986" s="7" t="n">
        <v>7160</v>
      </c>
      <c r="S1986" s="8" t="n">
        <v>-679</v>
      </c>
      <c r="T1986" s="8" t="n">
        <v>-6513</v>
      </c>
      <c r="U1986" s="9" t="n">
        <v>4031</v>
      </c>
      <c r="V1986" s="10" t="n">
        <v>-4708</v>
      </c>
      <c r="W1986" s="10" t="n">
        <v>-5069</v>
      </c>
      <c r="X1986" s="7" t="n">
        <v>6148</v>
      </c>
      <c r="Y1986" s="8" t="n">
        <v>-4168</v>
      </c>
      <c r="Z1986" s="8" t="n">
        <v>-3693</v>
      </c>
      <c r="AA1986" s="9" t="n">
        <v>10638</v>
      </c>
      <c r="AB1986" s="10" t="n">
        <v>-25</v>
      </c>
      <c r="AC1986" s="10" t="n">
        <v>820</v>
      </c>
      <c r="AD1986" s="7" t="n">
        <v>13947</v>
      </c>
      <c r="AE1986" s="8" t="n">
        <v>2436</v>
      </c>
      <c r="AF1986" s="8" t="n">
        <v>2432</v>
      </c>
      <c r="AG1986" s="9" t="n">
        <v>32649</v>
      </c>
      <c r="AH1986" s="10" t="n">
        <v>5179</v>
      </c>
      <c r="AI1986" s="10" t="n">
        <v>5605</v>
      </c>
      <c r="AJ1986" s="11" t="n">
        <v>87220</v>
      </c>
      <c r="AK1986" s="12" t="n">
        <v>28016</v>
      </c>
      <c r="AL1986" s="12" t="n">
        <v>28398</v>
      </c>
      <c r="AM1986" s="13" t="n">
        <v>167.1</v>
      </c>
      <c r="AN1986" s="13" t="n">
        <v>1318.7</v>
      </c>
      <c r="AO1986" s="13" t="n">
        <v>441</v>
      </c>
      <c r="AP1986" s="13" t="n">
        <v>772.2</v>
      </c>
    </row>
    <row r="1987">
      <c r="A1987" s="5" t="inlineStr">
        <is>
          <t>한독크린텍</t>
        </is>
      </c>
      <c r="B1987" s="6" t="inlineStr">
        <is>
          <t>256150</t>
        </is>
      </c>
      <c r="C1987" s="6" t="inlineStr">
        <is>
          <t>별도</t>
        </is>
      </c>
      <c r="D1987" s="6" t="inlineStr">
        <is>
          <t>2026Q2</t>
        </is>
      </c>
      <c r="E1987" s="6" t="inlineStr"/>
      <c r="F1987" s="7" t="inlineStr"/>
      <c r="G1987" s="8" t="inlineStr"/>
      <c r="H1987" s="8" t="inlineStr"/>
      <c r="I1987" s="9" t="n">
        <v>17927</v>
      </c>
      <c r="J1987" s="10" t="n">
        <v>898</v>
      </c>
      <c r="K1987" s="10" t="n">
        <v>1026</v>
      </c>
      <c r="L1987" s="7" t="n">
        <v>17681</v>
      </c>
      <c r="M1987" s="8" t="n">
        <v>1063</v>
      </c>
      <c r="N1987" s="8" t="n">
        <v>1156</v>
      </c>
      <c r="O1987" s="9" t="n">
        <v>17950</v>
      </c>
      <c r="P1987" s="10" t="n">
        <v>1068</v>
      </c>
      <c r="Q1987" s="10" t="n">
        <v>906</v>
      </c>
      <c r="R1987" s="7" t="n">
        <v>14685</v>
      </c>
      <c r="S1987" s="8" t="n">
        <v>467</v>
      </c>
      <c r="T1987" s="8" t="n">
        <v>533</v>
      </c>
      <c r="U1987" s="9" t="n">
        <v>16392</v>
      </c>
      <c r="V1987" s="10" t="n">
        <v>849</v>
      </c>
      <c r="W1987" s="10" t="n">
        <v>797</v>
      </c>
      <c r="X1987" s="7" t="n">
        <v>17932</v>
      </c>
      <c r="Y1987" s="8" t="n">
        <v>1110</v>
      </c>
      <c r="Z1987" s="8" t="n">
        <v>897</v>
      </c>
      <c r="AA1987" s="9" t="n">
        <v>18438</v>
      </c>
      <c r="AB1987" s="10" t="n">
        <v>787</v>
      </c>
      <c r="AC1987" s="10" t="n">
        <v>747</v>
      </c>
      <c r="AD1987" s="7" t="n">
        <v>16682</v>
      </c>
      <c r="AE1987" s="8" t="n">
        <v>71</v>
      </c>
      <c r="AF1987" s="8" t="n">
        <v>289</v>
      </c>
      <c r="AG1987" s="9" t="n">
        <v>19254</v>
      </c>
      <c r="AH1987" s="10" t="n">
        <v>910</v>
      </c>
      <c r="AI1987" s="10" t="n">
        <v>1068</v>
      </c>
      <c r="AJ1987" s="11" t="n">
        <v>21104</v>
      </c>
      <c r="AK1987" s="12" t="n">
        <v>2429</v>
      </c>
      <c r="AL1987" s="12" t="n">
        <v>2521</v>
      </c>
      <c r="AM1987" s="13" t="n">
        <v>9.6</v>
      </c>
      <c r="AN1987" s="13" t="n">
        <v>17.7</v>
      </c>
      <c r="AO1987" s="13" t="n">
        <v>166.9</v>
      </c>
      <c r="AP1987" s="13" t="n">
        <v>118.8</v>
      </c>
    </row>
    <row r="1988">
      <c r="A1988" s="5" t="inlineStr">
        <is>
          <t>포인트엔지니어링</t>
        </is>
      </c>
      <c r="B1988" s="6" t="inlineStr">
        <is>
          <t>256630</t>
        </is>
      </c>
      <c r="C1988" s="6" t="inlineStr">
        <is>
          <t>연결</t>
        </is>
      </c>
      <c r="D1988" s="6" t="inlineStr">
        <is>
          <t>2026Q2</t>
        </is>
      </c>
      <c r="E1988" s="6" t="inlineStr"/>
      <c r="F1988" s="7" t="inlineStr"/>
      <c r="G1988" s="8" t="inlineStr"/>
      <c r="H1988" s="8" t="inlineStr"/>
      <c r="I1988" s="9" t="n">
        <v>5805</v>
      </c>
      <c r="J1988" s="10" t="n">
        <v>-1142</v>
      </c>
      <c r="K1988" s="10" t="n">
        <v>-395</v>
      </c>
      <c r="L1988" s="7" t="n">
        <v>7721</v>
      </c>
      <c r="M1988" s="8" t="n">
        <v>-123</v>
      </c>
      <c r="N1988" s="8" t="n">
        <v>423</v>
      </c>
      <c r="O1988" s="9" t="n">
        <v>9374</v>
      </c>
      <c r="P1988" s="10" t="n">
        <v>54</v>
      </c>
      <c r="Q1988" s="10" t="n">
        <v>-262</v>
      </c>
      <c r="R1988" s="7" t="n">
        <v>8112</v>
      </c>
      <c r="S1988" s="8" t="n">
        <v>-96</v>
      </c>
      <c r="T1988" s="8" t="n">
        <v>1588</v>
      </c>
      <c r="U1988" s="9" t="n">
        <v>8399</v>
      </c>
      <c r="V1988" s="10" t="n">
        <v>88</v>
      </c>
      <c r="W1988" s="10" t="n">
        <v>196</v>
      </c>
      <c r="X1988" s="7" t="n">
        <v>9209</v>
      </c>
      <c r="Y1988" s="8" t="n">
        <v>119</v>
      </c>
      <c r="Z1988" s="8" t="n">
        <v>-610</v>
      </c>
      <c r="AA1988" s="9" t="n">
        <v>8921</v>
      </c>
      <c r="AB1988" s="10" t="n">
        <v>18</v>
      </c>
      <c r="AC1988" s="10" t="n">
        <v>777</v>
      </c>
      <c r="AD1988" s="7" t="n">
        <v>9436</v>
      </c>
      <c r="AE1988" s="8" t="n">
        <v>607</v>
      </c>
      <c r="AF1988" s="8" t="n">
        <v>-6286</v>
      </c>
      <c r="AG1988" s="9" t="n">
        <v>5801</v>
      </c>
      <c r="AH1988" s="10" t="n">
        <v>-2064</v>
      </c>
      <c r="AI1988" s="10" t="n">
        <v>-1241</v>
      </c>
      <c r="AJ1988" s="11" t="n">
        <v>10383</v>
      </c>
      <c r="AK1988" s="12" t="n">
        <v>1250</v>
      </c>
      <c r="AL1988" s="12" t="n">
        <v>1626</v>
      </c>
      <c r="AM1988" s="13" t="n">
        <v>79</v>
      </c>
      <c r="AN1988" s="13" t="n">
        <v>12.7</v>
      </c>
      <c r="AO1988" s="13" t="n">
        <v>160.6</v>
      </c>
      <c r="AP1988" s="13" t="n">
        <v>950.4</v>
      </c>
    </row>
    <row r="1989">
      <c r="A1989" s="5" t="inlineStr">
        <is>
          <t>한국비엔씨</t>
        </is>
      </c>
      <c r="B1989" s="6" t="inlineStr">
        <is>
          <t>256840</t>
        </is>
      </c>
      <c r="C1989" s="6" t="inlineStr">
        <is>
          <t>연결</t>
        </is>
      </c>
      <c r="D1989" s="6" t="inlineStr">
        <is>
          <t>2026Q2</t>
        </is>
      </c>
      <c r="E1989" s="6" t="inlineStr">
        <is>
          <t>2023Q4</t>
        </is>
      </c>
      <c r="F1989" s="14" t="n">
        <v>14129</v>
      </c>
      <c r="G1989" s="15" t="n">
        <v>1958</v>
      </c>
      <c r="H1989" s="15" t="n">
        <v>11242</v>
      </c>
      <c r="I1989" s="9" t="n">
        <v>17221</v>
      </c>
      <c r="J1989" s="10" t="n">
        <v>1133</v>
      </c>
      <c r="K1989" s="10" t="n">
        <v>2693</v>
      </c>
      <c r="L1989" s="7" t="n">
        <v>22718</v>
      </c>
      <c r="M1989" s="8" t="n">
        <v>4444</v>
      </c>
      <c r="N1989" s="8" t="n">
        <v>148</v>
      </c>
      <c r="O1989" s="9" t="n">
        <v>23508</v>
      </c>
      <c r="P1989" s="10" t="n">
        <v>3410</v>
      </c>
      <c r="Q1989" s="10" t="n">
        <v>1810</v>
      </c>
      <c r="R1989" s="7" t="n">
        <v>25783</v>
      </c>
      <c r="S1989" s="8" t="n">
        <v>1719</v>
      </c>
      <c r="T1989" s="8" t="n">
        <v>8614</v>
      </c>
      <c r="U1989" s="9" t="n">
        <v>25420</v>
      </c>
      <c r="V1989" s="10" t="n">
        <v>3795</v>
      </c>
      <c r="W1989" s="10" t="n">
        <v>5089</v>
      </c>
      <c r="X1989" s="7" t="n">
        <v>24631</v>
      </c>
      <c r="Y1989" s="8" t="n">
        <v>1593</v>
      </c>
      <c r="Z1989" s="8" t="n">
        <v>281</v>
      </c>
      <c r="AA1989" s="9" t="n">
        <v>22276</v>
      </c>
      <c r="AB1989" s="10" t="n">
        <v>-1403</v>
      </c>
      <c r="AC1989" s="10" t="n">
        <v>-366</v>
      </c>
      <c r="AD1989" s="7" t="n">
        <v>23572</v>
      </c>
      <c r="AE1989" s="8" t="n">
        <v>-2355</v>
      </c>
      <c r="AF1989" s="8" t="n">
        <v>-2957</v>
      </c>
      <c r="AG1989" s="9" t="n">
        <v>20731</v>
      </c>
      <c r="AH1989" s="10" t="n">
        <v>-1480</v>
      </c>
      <c r="AI1989" s="10" t="n">
        <v>-1326</v>
      </c>
      <c r="AJ1989" s="11" t="n">
        <v>24607</v>
      </c>
      <c r="AK1989" s="12" t="n">
        <v>-366</v>
      </c>
      <c r="AL1989" s="12" t="n">
        <v>-1738</v>
      </c>
      <c r="AM1989" s="13" t="n">
        <v>18.7</v>
      </c>
      <c r="AN1989" s="13" t="n">
        <v>-0.1</v>
      </c>
      <c r="AO1989" s="13" t="n">
        <v>75.3</v>
      </c>
      <c r="AP1989" s="13" t="n">
        <v>-123</v>
      </c>
    </row>
    <row r="1990">
      <c r="A1990" s="5" t="inlineStr">
        <is>
          <t>킵스파마</t>
        </is>
      </c>
      <c r="B1990" s="6" t="inlineStr">
        <is>
          <t>256940</t>
        </is>
      </c>
      <c r="C1990" s="6" t="inlineStr">
        <is>
          <t>연결</t>
        </is>
      </c>
      <c r="D1990" s="6" t="inlineStr">
        <is>
          <t>2026Q2</t>
        </is>
      </c>
      <c r="E1990" s="6" t="inlineStr"/>
      <c r="F1990" s="7" t="inlineStr"/>
      <c r="G1990" s="8" t="inlineStr"/>
      <c r="H1990" s="8" t="inlineStr"/>
      <c r="I1990" s="9" t="n">
        <v>31708</v>
      </c>
      <c r="J1990" s="10" t="n">
        <v>3432</v>
      </c>
      <c r="K1990" s="10" t="n">
        <v>3035</v>
      </c>
      <c r="L1990" s="7" t="n">
        <v>31508</v>
      </c>
      <c r="M1990" s="8" t="n">
        <v>3083</v>
      </c>
      <c r="N1990" s="8" t="n">
        <v>-1362</v>
      </c>
      <c r="O1990" s="9" t="n">
        <v>31527</v>
      </c>
      <c r="P1990" s="10" t="n">
        <v>1020</v>
      </c>
      <c r="Q1990" s="10" t="n">
        <v>-1426</v>
      </c>
      <c r="R1990" s="7" t="n">
        <v>32840</v>
      </c>
      <c r="S1990" s="8" t="n">
        <v>-1318</v>
      </c>
      <c r="T1990" s="8" t="n">
        <v>1365</v>
      </c>
      <c r="U1990" s="9" t="n">
        <v>40646</v>
      </c>
      <c r="V1990" s="10" t="n">
        <v>89</v>
      </c>
      <c r="W1990" s="10" t="n">
        <v>-1406</v>
      </c>
      <c r="X1990" s="7" t="n">
        <v>43343</v>
      </c>
      <c r="Y1990" s="8" t="n">
        <v>-976</v>
      </c>
      <c r="Z1990" s="8" t="n">
        <v>718</v>
      </c>
      <c r="AA1990" s="9" t="n">
        <v>40926</v>
      </c>
      <c r="AB1990" s="10" t="n">
        <v>1448</v>
      </c>
      <c r="AC1990" s="10" t="n">
        <v>-446</v>
      </c>
      <c r="AD1990" s="7" t="n">
        <v>45232</v>
      </c>
      <c r="AE1990" s="8" t="n">
        <v>1014</v>
      </c>
      <c r="AF1990" s="8" t="n">
        <v>-9249</v>
      </c>
      <c r="AG1990" s="9" t="n">
        <v>59435</v>
      </c>
      <c r="AH1990" s="10" t="n">
        <v>-664</v>
      </c>
      <c r="AI1990" s="10" t="n">
        <v>5726</v>
      </c>
      <c r="AJ1990" s="11" t="n">
        <v>74884</v>
      </c>
      <c r="AK1990" s="12" t="n">
        <v>-2397</v>
      </c>
      <c r="AL1990" s="12" t="n">
        <v>-9047</v>
      </c>
      <c r="AM1990" s="13" t="n">
        <v>26</v>
      </c>
      <c r="AN1990" s="13" t="n">
        <v>72.8</v>
      </c>
      <c r="AO1990" s="13" t="n">
        <v>-261</v>
      </c>
      <c r="AP1990" s="13" t="n">
        <v>-145.6</v>
      </c>
    </row>
    <row r="1991">
      <c r="A1991" s="5" t="inlineStr">
        <is>
          <t>피엔티엠에스</t>
        </is>
      </c>
      <c r="B1991" s="6" t="inlineStr">
        <is>
          <t>257370</t>
        </is>
      </c>
      <c r="C1991" s="6" t="inlineStr">
        <is>
          <t>별도</t>
        </is>
      </c>
      <c r="D1991" s="6" t="inlineStr">
        <is>
          <t>2026Q2</t>
        </is>
      </c>
      <c r="E1991" s="6" t="inlineStr"/>
      <c r="F1991" s="7" t="inlineStr"/>
      <c r="G1991" s="8" t="inlineStr"/>
      <c r="H1991" s="8" t="inlineStr"/>
      <c r="I1991" s="9" t="n">
        <v>4632</v>
      </c>
      <c r="J1991" s="10" t="n">
        <v>42</v>
      </c>
      <c r="K1991" s="10" t="n">
        <v>121</v>
      </c>
      <c r="L1991" s="7" t="n">
        <v>5932</v>
      </c>
      <c r="M1991" s="8" t="n">
        <v>585</v>
      </c>
      <c r="N1991" s="8" t="n">
        <v>514</v>
      </c>
      <c r="O1991" s="9" t="n">
        <v>9171</v>
      </c>
      <c r="P1991" s="10" t="n">
        <v>65</v>
      </c>
      <c r="Q1991" s="10" t="n">
        <v>69</v>
      </c>
      <c r="R1991" s="7" t="n">
        <v>6483</v>
      </c>
      <c r="S1991" s="8" t="n">
        <v>488</v>
      </c>
      <c r="T1991" s="8" t="n">
        <v>737</v>
      </c>
      <c r="U1991" s="9" t="n">
        <v>4175</v>
      </c>
      <c r="V1991" s="10" t="n">
        <v>123</v>
      </c>
      <c r="W1991" s="10" t="n">
        <v>139</v>
      </c>
      <c r="X1991" s="7" t="n">
        <v>3638</v>
      </c>
      <c r="Y1991" s="8" t="n">
        <v>-772</v>
      </c>
      <c r="Z1991" s="8" t="n">
        <v>-968</v>
      </c>
      <c r="AA1991" s="9" t="n">
        <v>361</v>
      </c>
      <c r="AB1991" s="10" t="n">
        <v>-482</v>
      </c>
      <c r="AC1991" s="10" t="n">
        <v>-2916</v>
      </c>
      <c r="AD1991" s="7" t="n">
        <v>2908</v>
      </c>
      <c r="AE1991" s="8" t="n">
        <v>-994</v>
      </c>
      <c r="AF1991" s="8" t="n">
        <v>-3586</v>
      </c>
      <c r="AG1991" s="9" t="n">
        <v>764</v>
      </c>
      <c r="AH1991" s="10" t="n">
        <v>-1488</v>
      </c>
      <c r="AI1991" s="10" t="n">
        <v>-1454</v>
      </c>
      <c r="AJ1991" s="11" t="n">
        <v>7195</v>
      </c>
      <c r="AK1991" s="12" t="n">
        <v>707</v>
      </c>
      <c r="AL1991" s="12" t="n">
        <v>917</v>
      </c>
      <c r="AM1991" s="13" t="n">
        <v>841.8</v>
      </c>
      <c r="AN1991" s="13" t="n">
        <v>97.8</v>
      </c>
      <c r="AO1991" s="13" t="n">
        <v>147.5</v>
      </c>
      <c r="AP1991" s="13" t="n">
        <v>191.6</v>
      </c>
    </row>
    <row r="1992">
      <c r="A1992" s="5" t="inlineStr">
        <is>
          <t>실리콘투</t>
        </is>
      </c>
      <c r="B1992" s="6" t="inlineStr">
        <is>
          <t>257720</t>
        </is>
      </c>
      <c r="C1992" s="6" t="inlineStr">
        <is>
          <t>연결</t>
        </is>
      </c>
      <c r="D1992" s="6" t="inlineStr">
        <is>
          <t>2026Q2</t>
        </is>
      </c>
      <c r="E1992" s="6" t="inlineStr"/>
      <c r="F1992" s="7" t="inlineStr"/>
      <c r="G1992" s="8" t="inlineStr"/>
      <c r="H1992" s="8" t="inlineStr"/>
      <c r="I1992" s="9" t="n">
        <v>149927</v>
      </c>
      <c r="J1992" s="10" t="n">
        <v>29449</v>
      </c>
      <c r="K1992" s="10" t="n">
        <v>25536</v>
      </c>
      <c r="L1992" s="7" t="n">
        <v>181360</v>
      </c>
      <c r="M1992" s="8" t="n">
        <v>38941</v>
      </c>
      <c r="N1992" s="8" t="n">
        <v>33349</v>
      </c>
      <c r="O1992" s="9" t="n">
        <v>186674</v>
      </c>
      <c r="P1992" s="10" t="n">
        <v>42596</v>
      </c>
      <c r="Q1992" s="10" t="n">
        <v>29852</v>
      </c>
      <c r="R1992" s="7" t="n">
        <v>173561</v>
      </c>
      <c r="S1992" s="8" t="n">
        <v>26589</v>
      </c>
      <c r="T1992" s="8" t="n">
        <v>32001</v>
      </c>
      <c r="U1992" s="9" t="n">
        <v>245677</v>
      </c>
      <c r="V1992" s="10" t="n">
        <v>47729</v>
      </c>
      <c r="W1992" s="10" t="n">
        <v>38785</v>
      </c>
      <c r="X1992" s="7" t="n">
        <v>265286</v>
      </c>
      <c r="Y1992" s="8" t="n">
        <v>52182</v>
      </c>
      <c r="Z1992" s="8" t="n">
        <v>35599</v>
      </c>
      <c r="AA1992" s="9" t="n">
        <v>299375</v>
      </c>
      <c r="AB1992" s="10" t="n">
        <v>63073</v>
      </c>
      <c r="AC1992" s="10" t="n">
        <v>58404</v>
      </c>
      <c r="AD1992" s="7" t="n">
        <v>305949</v>
      </c>
      <c r="AE1992" s="8" t="n">
        <v>42378</v>
      </c>
      <c r="AF1992" s="8" t="n">
        <v>35797</v>
      </c>
      <c r="AG1992" s="9" t="n">
        <v>346556</v>
      </c>
      <c r="AH1992" s="10" t="n">
        <v>64540</v>
      </c>
      <c r="AI1992" s="10" t="n">
        <v>54346</v>
      </c>
      <c r="AJ1992" s="11" t="n">
        <v>402597</v>
      </c>
      <c r="AK1992" s="12" t="n">
        <v>82970</v>
      </c>
      <c r="AL1992" s="12" t="n">
        <v>72331</v>
      </c>
      <c r="AM1992" s="13" t="n">
        <v>16.2</v>
      </c>
      <c r="AN1992" s="13" t="n">
        <v>51.8</v>
      </c>
      <c r="AO1992" s="13" t="n">
        <v>28.6</v>
      </c>
      <c r="AP1992" s="13" t="n">
        <v>59</v>
      </c>
    </row>
    <row r="1993">
      <c r="A1993" s="5" t="inlineStr">
        <is>
          <t>케일럼</t>
        </is>
      </c>
      <c r="B1993" s="6" t="inlineStr">
        <is>
          <t>258610</t>
        </is>
      </c>
      <c r="C1993" s="6" t="inlineStr">
        <is>
          <t>연결</t>
        </is>
      </c>
      <c r="D1993" s="6" t="inlineStr">
        <is>
          <t>2026Q2</t>
        </is>
      </c>
      <c r="E1993" s="6" t="inlineStr"/>
      <c r="F1993" s="7" t="inlineStr"/>
      <c r="G1993" s="8" t="inlineStr"/>
      <c r="H1993" s="8" t="inlineStr"/>
      <c r="I1993" s="9" t="n">
        <v>33802</v>
      </c>
      <c r="J1993" s="10" t="n">
        <v>-86</v>
      </c>
      <c r="K1993" s="10" t="n">
        <v>-538</v>
      </c>
      <c r="L1993" s="7" t="n">
        <v>17869</v>
      </c>
      <c r="M1993" s="8" t="n">
        <v>276</v>
      </c>
      <c r="N1993" s="8" t="n">
        <v>7755</v>
      </c>
      <c r="O1993" s="9" t="n">
        <v>27086</v>
      </c>
      <c r="P1993" s="10" t="n">
        <v>1110</v>
      </c>
      <c r="Q1993" s="10" t="n">
        <v>-331</v>
      </c>
      <c r="R1993" s="7" t="n">
        <v>18574</v>
      </c>
      <c r="S1993" s="8" t="n">
        <v>1475</v>
      </c>
      <c r="T1993" s="8" t="n">
        <v>-4645</v>
      </c>
      <c r="U1993" s="9" t="n">
        <v>31203</v>
      </c>
      <c r="V1993" s="10" t="n">
        <v>1299</v>
      </c>
      <c r="W1993" s="10" t="n">
        <v>749</v>
      </c>
      <c r="X1993" s="7" t="n">
        <v>17121</v>
      </c>
      <c r="Y1993" s="8" t="n">
        <v>1124</v>
      </c>
      <c r="Z1993" s="8" t="n">
        <v>-310</v>
      </c>
      <c r="AA1993" s="9" t="n">
        <v>21793</v>
      </c>
      <c r="AB1993" s="10" t="n">
        <v>-1260</v>
      </c>
      <c r="AC1993" s="10" t="n">
        <v>-904</v>
      </c>
      <c r="AD1993" s="7" t="n">
        <v>11581</v>
      </c>
      <c r="AE1993" s="8" t="n">
        <v>-1976</v>
      </c>
      <c r="AF1993" s="8" t="n">
        <v>-2283</v>
      </c>
      <c r="AG1993" s="9" t="n">
        <v>26636</v>
      </c>
      <c r="AH1993" s="10" t="n">
        <v>871</v>
      </c>
      <c r="AI1993" s="10" t="n">
        <v>1552</v>
      </c>
      <c r="AJ1993" s="11" t="n">
        <v>13658</v>
      </c>
      <c r="AK1993" s="12" t="n">
        <v>1869</v>
      </c>
      <c r="AL1993" s="12" t="n">
        <v>1924</v>
      </c>
      <c r="AM1993" s="13" t="n">
        <v>-48.7</v>
      </c>
      <c r="AN1993" s="13" t="n">
        <v>-20.2</v>
      </c>
      <c r="AO1993" s="13" t="n">
        <v>114.6</v>
      </c>
      <c r="AP1993" s="13" t="n">
        <v>66.3</v>
      </c>
    </row>
    <row r="1994">
      <c r="A1994" s="5" t="inlineStr">
        <is>
          <t>소프트캠프</t>
        </is>
      </c>
      <c r="B1994" s="6" t="inlineStr">
        <is>
          <t>258790</t>
        </is>
      </c>
      <c r="C1994" s="6" t="inlineStr">
        <is>
          <t>연결</t>
        </is>
      </c>
      <c r="D1994" s="6" t="inlineStr">
        <is>
          <t>2026Q2</t>
        </is>
      </c>
      <c r="E1994" s="6" t="inlineStr"/>
      <c r="F1994" s="7" t="inlineStr"/>
      <c r="G1994" s="8" t="inlineStr"/>
      <c r="H1994" s="8" t="inlineStr"/>
      <c r="I1994" s="9" t="n">
        <v>3120</v>
      </c>
      <c r="J1994" s="10" t="n">
        <v>-1319</v>
      </c>
      <c r="K1994" s="10" t="n">
        <v>-1361</v>
      </c>
      <c r="L1994" s="7" t="n">
        <v>3882</v>
      </c>
      <c r="M1994" s="8" t="n">
        <v>-1255</v>
      </c>
      <c r="N1994" s="8" t="n">
        <v>-1966</v>
      </c>
      <c r="O1994" s="9" t="n">
        <v>3923</v>
      </c>
      <c r="P1994" s="10" t="n">
        <v>-542</v>
      </c>
      <c r="Q1994" s="10" t="n">
        <v>2512</v>
      </c>
      <c r="R1994" s="7" t="n">
        <v>5962</v>
      </c>
      <c r="S1994" s="8" t="n">
        <v>1285</v>
      </c>
      <c r="T1994" s="8" t="n">
        <v>848</v>
      </c>
      <c r="U1994" s="9" t="n">
        <v>4011</v>
      </c>
      <c r="V1994" s="10" t="n">
        <v>-603</v>
      </c>
      <c r="W1994" s="10" t="n">
        <v>-231</v>
      </c>
      <c r="X1994" s="7" t="n">
        <v>5090</v>
      </c>
      <c r="Y1994" s="8" t="n">
        <v>154</v>
      </c>
      <c r="Z1994" s="8" t="n">
        <v>-305</v>
      </c>
      <c r="AA1994" s="9" t="n">
        <v>6639</v>
      </c>
      <c r="AB1994" s="10" t="n">
        <v>774</v>
      </c>
      <c r="AC1994" s="10" t="n">
        <v>627</v>
      </c>
      <c r="AD1994" s="7" t="n">
        <v>9982</v>
      </c>
      <c r="AE1994" s="8" t="n">
        <v>2657</v>
      </c>
      <c r="AF1994" s="8" t="n">
        <v>3599</v>
      </c>
      <c r="AG1994" s="9" t="n">
        <v>4577</v>
      </c>
      <c r="AH1994" s="10" t="n">
        <v>-1134</v>
      </c>
      <c r="AI1994" s="10" t="n">
        <v>-1271</v>
      </c>
      <c r="AJ1994" s="11" t="n">
        <v>6999</v>
      </c>
      <c r="AK1994" s="12" t="n">
        <v>502</v>
      </c>
      <c r="AL1994" s="12" t="n">
        <v>3096</v>
      </c>
      <c r="AM1994" s="13" t="n">
        <v>52.9</v>
      </c>
      <c r="AN1994" s="13" t="n">
        <v>37.5</v>
      </c>
      <c r="AO1994" s="13" t="n">
        <v>144.3</v>
      </c>
      <c r="AP1994" s="13" t="n">
        <v>226</v>
      </c>
    </row>
    <row r="1995">
      <c r="A1995" s="5" t="inlineStr">
        <is>
          <t>세종메디칼</t>
        </is>
      </c>
      <c r="B1995" s="6" t="inlineStr">
        <is>
          <t>258830</t>
        </is>
      </c>
      <c r="C1995" s="6" t="inlineStr">
        <is>
          <t>별도</t>
        </is>
      </c>
      <c r="D1995" s="6" t="inlineStr">
        <is>
          <t>2026Q2</t>
        </is>
      </c>
      <c r="E1995" s="6" t="inlineStr"/>
      <c r="F1995" s="7" t="inlineStr"/>
      <c r="G1995" s="8" t="inlineStr"/>
      <c r="H1995" s="8" t="inlineStr"/>
      <c r="I1995" s="9" t="n">
        <v>5061</v>
      </c>
      <c r="J1995" s="10" t="n">
        <v>-632</v>
      </c>
      <c r="K1995" s="10" t="n">
        <v>-51419</v>
      </c>
      <c r="L1995" s="7" t="n">
        <v>4436</v>
      </c>
      <c r="M1995" s="8" t="n">
        <v>-338</v>
      </c>
      <c r="N1995" s="8" t="n">
        <v>-12950</v>
      </c>
      <c r="O1995" s="9" t="n">
        <v>4952</v>
      </c>
      <c r="P1995" s="10" t="n">
        <v>249</v>
      </c>
      <c r="Q1995" s="10" t="n">
        <v>-365</v>
      </c>
      <c r="R1995" s="7" t="n">
        <v>4503</v>
      </c>
      <c r="S1995" s="8" t="n">
        <v>249</v>
      </c>
      <c r="T1995" s="8" t="n">
        <v>-358</v>
      </c>
      <c r="U1995" s="9" t="n">
        <v>4442</v>
      </c>
      <c r="V1995" s="10" t="n">
        <v>-293</v>
      </c>
      <c r="W1995" s="10" t="n">
        <v>2146</v>
      </c>
      <c r="X1995" s="7" t="n">
        <v>4623</v>
      </c>
      <c r="Y1995" s="8" t="n">
        <v>740</v>
      </c>
      <c r="Z1995" s="8" t="n">
        <v>-140</v>
      </c>
      <c r="AA1995" s="9" t="n">
        <v>4924</v>
      </c>
      <c r="AB1995" s="10" t="n">
        <v>1145</v>
      </c>
      <c r="AC1995" s="10" t="n">
        <v>1170</v>
      </c>
      <c r="AD1995" s="7" t="n">
        <v>4546</v>
      </c>
      <c r="AE1995" s="8" t="n">
        <v>673</v>
      </c>
      <c r="AF1995" s="8" t="n">
        <v>-3201</v>
      </c>
      <c r="AG1995" s="9" t="n">
        <v>4865</v>
      </c>
      <c r="AH1995" s="10" t="n">
        <v>927</v>
      </c>
      <c r="AI1995" s="10" t="n">
        <v>978</v>
      </c>
      <c r="AJ1995" s="11" t="n">
        <v>4950</v>
      </c>
      <c r="AK1995" s="12" t="n">
        <v>1423</v>
      </c>
      <c r="AL1995" s="12" t="n">
        <v>1851</v>
      </c>
      <c r="AM1995" s="13" t="n">
        <v>1.7</v>
      </c>
      <c r="AN1995" s="13" t="n">
        <v>7.1</v>
      </c>
      <c r="AO1995" s="13" t="n">
        <v>53.5</v>
      </c>
      <c r="AP1995" s="13" t="n">
        <v>92.3</v>
      </c>
    </row>
    <row r="1996">
      <c r="A1996" s="5" t="inlineStr">
        <is>
          <t>엠플러스</t>
        </is>
      </c>
      <c r="B1996" s="6" t="inlineStr">
        <is>
          <t>259630</t>
        </is>
      </c>
      <c r="C1996" s="6" t="inlineStr">
        <is>
          <t>연결</t>
        </is>
      </c>
      <c r="D1996" s="6" t="inlineStr">
        <is>
          <t>2026Q2</t>
        </is>
      </c>
      <c r="E1996" s="6" t="inlineStr"/>
      <c r="F1996" s="7" t="inlineStr"/>
      <c r="G1996" s="8" t="inlineStr"/>
      <c r="H1996" s="8" t="inlineStr"/>
      <c r="I1996" s="9" t="n">
        <v>21571</v>
      </c>
      <c r="J1996" s="10" t="n">
        <v>2889</v>
      </c>
      <c r="K1996" s="10" t="n">
        <v>3697</v>
      </c>
      <c r="L1996" s="7" t="n">
        <v>18843</v>
      </c>
      <c r="M1996" s="8" t="n">
        <v>-1507</v>
      </c>
      <c r="N1996" s="8" t="n">
        <v>160</v>
      </c>
      <c r="O1996" s="9" t="n">
        <v>26621</v>
      </c>
      <c r="P1996" s="10" t="n">
        <v>4269</v>
      </c>
      <c r="Q1996" s="10" t="n">
        <v>2353</v>
      </c>
      <c r="R1996" s="7" t="n">
        <v>61709</v>
      </c>
      <c r="S1996" s="8" t="n">
        <v>4440</v>
      </c>
      <c r="T1996" s="8" t="n">
        <v>4772</v>
      </c>
      <c r="U1996" s="9" t="n">
        <v>23214</v>
      </c>
      <c r="V1996" s="10" t="n">
        <v>2380</v>
      </c>
      <c r="W1996" s="10" t="n">
        <v>3585</v>
      </c>
      <c r="X1996" s="7" t="n">
        <v>59597</v>
      </c>
      <c r="Y1996" s="8" t="n">
        <v>12238</v>
      </c>
      <c r="Z1996" s="8" t="n">
        <v>6556</v>
      </c>
      <c r="AA1996" s="9" t="n">
        <v>88009</v>
      </c>
      <c r="AB1996" s="10" t="n">
        <v>7030</v>
      </c>
      <c r="AC1996" s="10" t="n">
        <v>7182</v>
      </c>
      <c r="AD1996" s="7" t="n">
        <v>13391</v>
      </c>
      <c r="AE1996" s="8" t="n">
        <v>2917</v>
      </c>
      <c r="AF1996" s="8" t="n">
        <v>3311</v>
      </c>
      <c r="AG1996" s="9" t="n">
        <v>50978</v>
      </c>
      <c r="AH1996" s="10" t="n">
        <v>10191</v>
      </c>
      <c r="AI1996" s="10" t="n">
        <v>11770</v>
      </c>
      <c r="AJ1996" s="11" t="n">
        <v>32030</v>
      </c>
      <c r="AK1996" s="12" t="n">
        <v>4037</v>
      </c>
      <c r="AL1996" s="12" t="n">
        <v>3634</v>
      </c>
      <c r="AM1996" s="13" t="n">
        <v>-37.2</v>
      </c>
      <c r="AN1996" s="13" t="n">
        <v>-46.3</v>
      </c>
      <c r="AO1996" s="13" t="n">
        <v>-60.4</v>
      </c>
      <c r="AP1996" s="13" t="n">
        <v>-67</v>
      </c>
    </row>
    <row r="1997">
      <c r="A1997" s="5" t="inlineStr">
        <is>
          <t>크래프톤</t>
        </is>
      </c>
      <c r="B1997" s="6" t="inlineStr">
        <is>
          <t>259960</t>
        </is>
      </c>
      <c r="C1997" s="6" t="inlineStr">
        <is>
          <t>연결</t>
        </is>
      </c>
      <c r="D1997" s="6" t="inlineStr">
        <is>
          <t>2026Q2</t>
        </is>
      </c>
      <c r="E1997" s="6" t="inlineStr">
        <is>
          <t>2023Q4</t>
        </is>
      </c>
      <c r="F1997" s="14" t="n">
        <v>534600</v>
      </c>
      <c r="G1997" s="15" t="n">
        <v>164300</v>
      </c>
      <c r="H1997" s="15" t="n">
        <v>-13200</v>
      </c>
      <c r="I1997" s="9" t="n">
        <v>665909</v>
      </c>
      <c r="J1997" s="10" t="n">
        <v>310501</v>
      </c>
      <c r="K1997" s="10" t="n">
        <v>348624</v>
      </c>
      <c r="L1997" s="7" t="n">
        <v>707023</v>
      </c>
      <c r="M1997" s="8" t="n">
        <v>332109</v>
      </c>
      <c r="N1997" s="8" t="n">
        <v>341406</v>
      </c>
      <c r="O1997" s="9" t="n">
        <v>719275</v>
      </c>
      <c r="P1997" s="10" t="n">
        <v>324420</v>
      </c>
      <c r="Q1997" s="10" t="n">
        <v>121361</v>
      </c>
      <c r="R1997" s="7" t="n">
        <v>617567</v>
      </c>
      <c r="S1997" s="8" t="n">
        <v>215458</v>
      </c>
      <c r="T1997" s="8" t="n">
        <v>491202</v>
      </c>
      <c r="U1997" s="9" t="n">
        <v>874184</v>
      </c>
      <c r="V1997" s="10" t="n">
        <v>457276</v>
      </c>
      <c r="W1997" s="10" t="n">
        <v>371460</v>
      </c>
      <c r="X1997" s="7" t="n">
        <v>662048</v>
      </c>
      <c r="Y1997" s="8" t="n">
        <v>246063</v>
      </c>
      <c r="Z1997" s="8" t="n">
        <v>15535</v>
      </c>
      <c r="AA1997" s="9" t="n">
        <v>870624</v>
      </c>
      <c r="AB1997" s="10" t="n">
        <v>348608</v>
      </c>
      <c r="AC1997" s="10" t="n">
        <v>369450</v>
      </c>
      <c r="AD1997" s="7" t="n">
        <v>919698</v>
      </c>
      <c r="AE1997" s="8" t="n">
        <v>2434</v>
      </c>
      <c r="AF1997" s="8" t="n">
        <v>-22741</v>
      </c>
      <c r="AG1997" s="9" t="n">
        <v>1371415</v>
      </c>
      <c r="AH1997" s="10" t="n">
        <v>561563</v>
      </c>
      <c r="AI1997" s="10" t="n">
        <v>514095</v>
      </c>
      <c r="AJ1997" s="11" t="n">
        <v>1290231</v>
      </c>
      <c r="AK1997" s="12" t="n">
        <v>410922</v>
      </c>
      <c r="AL1997" s="12" t="n">
        <v>-29901</v>
      </c>
      <c r="AM1997" s="13" t="n">
        <v>-5.9</v>
      </c>
      <c r="AN1997" s="13" t="n">
        <v>94.90000000000001</v>
      </c>
      <c r="AO1997" s="13" t="n">
        <v>-26.8</v>
      </c>
      <c r="AP1997" s="13" t="n">
        <v>67</v>
      </c>
    </row>
    <row r="1998">
      <c r="A1998" s="5" t="inlineStr">
        <is>
          <t>알리코제약</t>
        </is>
      </c>
      <c r="B1998" s="6" t="inlineStr">
        <is>
          <t>260660</t>
        </is>
      </c>
      <c r="C1998" s="6" t="inlineStr">
        <is>
          <t>별도</t>
        </is>
      </c>
      <c r="D1998" s="6" t="inlineStr">
        <is>
          <t>2026Q2</t>
        </is>
      </c>
      <c r="E1998" s="6" t="inlineStr"/>
      <c r="F1998" s="7" t="inlineStr"/>
      <c r="G1998" s="8" t="inlineStr"/>
      <c r="H1998" s="8" t="inlineStr"/>
      <c r="I1998" s="9" t="n">
        <v>44355</v>
      </c>
      <c r="J1998" s="10" t="n">
        <v>-1538</v>
      </c>
      <c r="K1998" s="10" t="n">
        <v>-1874</v>
      </c>
      <c r="L1998" s="7" t="n">
        <v>44928</v>
      </c>
      <c r="M1998" s="8" t="n">
        <v>-4243</v>
      </c>
      <c r="N1998" s="8" t="n">
        <v>-2815</v>
      </c>
      <c r="O1998" s="9" t="n">
        <v>48821</v>
      </c>
      <c r="P1998" s="10" t="n">
        <v>1264</v>
      </c>
      <c r="Q1998" s="10" t="n">
        <v>1080</v>
      </c>
      <c r="R1998" s="7" t="n">
        <v>52332</v>
      </c>
      <c r="S1998" s="8" t="n">
        <v>-642</v>
      </c>
      <c r="T1998" s="8" t="n">
        <v>-1749</v>
      </c>
      <c r="U1998" s="9" t="n">
        <v>50380</v>
      </c>
      <c r="V1998" s="10" t="n">
        <v>1008</v>
      </c>
      <c r="W1998" s="10" t="n">
        <v>399</v>
      </c>
      <c r="X1998" s="7" t="n">
        <v>50295</v>
      </c>
      <c r="Y1998" s="8" t="n">
        <v>1664</v>
      </c>
      <c r="Z1998" s="8" t="n">
        <v>533</v>
      </c>
      <c r="AA1998" s="9" t="n">
        <v>102498</v>
      </c>
      <c r="AB1998" s="10" t="n">
        <v>1668</v>
      </c>
      <c r="AC1998" s="10" t="n">
        <v>-21</v>
      </c>
      <c r="AD1998" s="7" t="n">
        <v>-1969</v>
      </c>
      <c r="AE1998" s="8" t="n">
        <v>-3351</v>
      </c>
      <c r="AF1998" s="8" t="n">
        <v>-1516</v>
      </c>
      <c r="AG1998" s="9" t="n">
        <v>48321</v>
      </c>
      <c r="AH1998" s="10" t="n">
        <v>-1762</v>
      </c>
      <c r="AI1998" s="10" t="n">
        <v>-621</v>
      </c>
      <c r="AJ1998" s="11" t="n">
        <v>46855</v>
      </c>
      <c r="AK1998" s="12" t="n">
        <v>-4571</v>
      </c>
      <c r="AL1998" s="12" t="n">
        <v>-694</v>
      </c>
      <c r="AM1998" s="13" t="n">
        <v>-3</v>
      </c>
      <c r="AN1998" s="13" t="n">
        <v>-6.8</v>
      </c>
      <c r="AO1998" s="13" t="n">
        <v>-159.4</v>
      </c>
      <c r="AP1998" s="13" t="n">
        <v>-374.7</v>
      </c>
    </row>
    <row r="1999">
      <c r="A1999" s="5" t="inlineStr">
        <is>
          <t>씨티케이</t>
        </is>
      </c>
      <c r="B1999" s="6" t="inlineStr">
        <is>
          <t>260930</t>
        </is>
      </c>
      <c r="C1999" s="6" t="inlineStr">
        <is>
          <t>연결</t>
        </is>
      </c>
      <c r="D1999" s="6" t="inlineStr">
        <is>
          <t>2026Q2</t>
        </is>
      </c>
      <c r="E1999" s="6" t="inlineStr"/>
      <c r="F1999" s="7" t="inlineStr"/>
      <c r="G1999" s="8" t="inlineStr"/>
      <c r="H1999" s="8" t="inlineStr"/>
      <c r="I1999" s="9" t="n">
        <v>18374</v>
      </c>
      <c r="J1999" s="10" t="n">
        <v>-811</v>
      </c>
      <c r="K1999" s="10" t="n">
        <v>-687</v>
      </c>
      <c r="L1999" s="7" t="n">
        <v>23124</v>
      </c>
      <c r="M1999" s="8" t="n">
        <v>720</v>
      </c>
      <c r="N1999" s="8" t="n">
        <v>353</v>
      </c>
      <c r="O1999" s="9" t="n">
        <v>24216</v>
      </c>
      <c r="P1999" s="10" t="n">
        <v>462</v>
      </c>
      <c r="Q1999" s="10" t="n">
        <v>733</v>
      </c>
      <c r="R1999" s="7" t="n">
        <v>17885</v>
      </c>
      <c r="S1999" s="8" t="n">
        <v>-236</v>
      </c>
      <c r="T1999" s="8" t="n">
        <v>-4145</v>
      </c>
      <c r="U1999" s="9" t="n">
        <v>19664</v>
      </c>
      <c r="V1999" s="10" t="n">
        <v>369</v>
      </c>
      <c r="W1999" s="10" t="n">
        <v>-177</v>
      </c>
      <c r="X1999" s="7" t="n">
        <v>22470</v>
      </c>
      <c r="Y1999" s="8" t="n">
        <v>231</v>
      </c>
      <c r="Z1999" s="8" t="inlineStr"/>
      <c r="AA1999" s="9" t="n">
        <v>31133</v>
      </c>
      <c r="AB1999" s="10" t="n">
        <v>-4057</v>
      </c>
      <c r="AC1999" s="10" t="n">
        <v>-4742</v>
      </c>
      <c r="AD1999" s="7" t="n">
        <v>15963</v>
      </c>
      <c r="AE1999" s="8" t="n">
        <v>-2209</v>
      </c>
      <c r="AF1999" s="8" t="inlineStr"/>
      <c r="AG1999" s="9" t="n">
        <v>24453</v>
      </c>
      <c r="AH1999" s="10" t="n">
        <v>-1740</v>
      </c>
      <c r="AI1999" s="10" t="n">
        <v>-4623</v>
      </c>
      <c r="AJ1999" s="11" t="n">
        <v>28963</v>
      </c>
      <c r="AK1999" s="12" t="n">
        <v>469</v>
      </c>
      <c r="AL1999" s="12" t="n">
        <v>-1927</v>
      </c>
      <c r="AM1999" s="13" t="n">
        <v>18.4</v>
      </c>
      <c r="AN1999" s="13" t="n">
        <v>28.9</v>
      </c>
      <c r="AO1999" s="13" t="n">
        <v>127</v>
      </c>
      <c r="AP1999" s="13" t="n">
        <v>103</v>
      </c>
    </row>
    <row r="2000">
      <c r="A2000" s="5" t="inlineStr">
        <is>
          <t>에스앤디</t>
        </is>
      </c>
      <c r="B2000" s="6" t="inlineStr">
        <is>
          <t>260970</t>
        </is>
      </c>
      <c r="C2000" s="6" t="inlineStr">
        <is>
          <t>별도</t>
        </is>
      </c>
      <c r="D2000" s="6" t="inlineStr">
        <is>
          <t>2026Q2</t>
        </is>
      </c>
      <c r="E2000" s="6" t="inlineStr"/>
      <c r="F2000" s="7" t="inlineStr"/>
      <c r="G2000" s="8" t="inlineStr"/>
      <c r="H2000" s="8" t="inlineStr"/>
      <c r="I2000" s="9" t="n">
        <v>23821</v>
      </c>
      <c r="J2000" s="10" t="n">
        <v>3514</v>
      </c>
      <c r="K2000" s="10" t="n">
        <v>2835</v>
      </c>
      <c r="L2000" s="7" t="n">
        <v>28820</v>
      </c>
      <c r="M2000" s="8" t="n">
        <v>5161</v>
      </c>
      <c r="N2000" s="8" t="n">
        <v>4228</v>
      </c>
      <c r="O2000" s="9" t="n">
        <v>28859</v>
      </c>
      <c r="P2000" s="10" t="n">
        <v>5026</v>
      </c>
      <c r="Q2000" s="10" t="n">
        <v>4128</v>
      </c>
      <c r="R2000" s="7" t="n">
        <v>34639</v>
      </c>
      <c r="S2000" s="8" t="n">
        <v>6415</v>
      </c>
      <c r="T2000" s="8" t="n">
        <v>5840</v>
      </c>
      <c r="U2000" s="9" t="n">
        <v>35714</v>
      </c>
      <c r="V2000" s="10" t="n">
        <v>5379</v>
      </c>
      <c r="W2000" s="10" t="n">
        <v>4391</v>
      </c>
      <c r="X2000" s="7" t="n">
        <v>38134</v>
      </c>
      <c r="Y2000" s="8" t="n">
        <v>5994</v>
      </c>
      <c r="Z2000" s="8" t="n">
        <v>4929</v>
      </c>
      <c r="AA2000" s="9" t="n">
        <v>39023</v>
      </c>
      <c r="AB2000" s="10" t="n">
        <v>6100</v>
      </c>
      <c r="AC2000" s="10" t="n">
        <v>4935</v>
      </c>
      <c r="AD2000" s="7" t="n">
        <v>38066</v>
      </c>
      <c r="AE2000" s="8" t="n">
        <v>5533</v>
      </c>
      <c r="AF2000" s="8" t="n">
        <v>6353</v>
      </c>
      <c r="AG2000" s="9" t="n">
        <v>45471</v>
      </c>
      <c r="AH2000" s="10" t="n">
        <v>8131</v>
      </c>
      <c r="AI2000" s="10" t="n">
        <v>6376</v>
      </c>
      <c r="AJ2000" s="11" t="n">
        <v>49923</v>
      </c>
      <c r="AK2000" s="12" t="n">
        <v>8303</v>
      </c>
      <c r="AL2000" s="12" t="n">
        <v>6577</v>
      </c>
      <c r="AM2000" s="13" t="n">
        <v>9.800000000000001</v>
      </c>
      <c r="AN2000" s="13" t="n">
        <v>30.9</v>
      </c>
      <c r="AO2000" s="13" t="n">
        <v>2.1</v>
      </c>
      <c r="AP2000" s="13" t="n">
        <v>38.5</v>
      </c>
    </row>
    <row r="2001">
      <c r="A2001" s="5" t="inlineStr">
        <is>
          <t>덴티스</t>
        </is>
      </c>
      <c r="B2001" s="6" t="inlineStr">
        <is>
          <t>261200</t>
        </is>
      </c>
      <c r="C2001" s="6" t="inlineStr">
        <is>
          <t>연결</t>
        </is>
      </c>
      <c r="D2001" s="6" t="inlineStr">
        <is>
          <t>2026Q2</t>
        </is>
      </c>
      <c r="E2001" s="6" t="inlineStr"/>
      <c r="F2001" s="7" t="inlineStr"/>
      <c r="G2001" s="8" t="inlineStr"/>
      <c r="H2001" s="8" t="inlineStr"/>
      <c r="I2001" s="9" t="n">
        <v>28572</v>
      </c>
      <c r="J2001" s="10" t="n">
        <v>1425</v>
      </c>
      <c r="K2001" s="10" t="n">
        <v>2852</v>
      </c>
      <c r="L2001" s="7" t="n">
        <v>30378</v>
      </c>
      <c r="M2001" s="8" t="n">
        <v>2006</v>
      </c>
      <c r="N2001" s="8" t="n">
        <v>3828</v>
      </c>
      <c r="O2001" s="9" t="n">
        <v>29694</v>
      </c>
      <c r="P2001" s="10" t="n">
        <v>1501</v>
      </c>
      <c r="Q2001" s="10" t="n">
        <v>-3030</v>
      </c>
      <c r="R2001" s="7" t="n">
        <v>25639</v>
      </c>
      <c r="S2001" s="8" t="n">
        <v>-5378</v>
      </c>
      <c r="T2001" s="8" t="n">
        <v>-1379</v>
      </c>
      <c r="U2001" s="9" t="n">
        <v>32481</v>
      </c>
      <c r="V2001" s="10" t="n">
        <v>1024</v>
      </c>
      <c r="W2001" s="10" t="n">
        <v>-528</v>
      </c>
      <c r="X2001" s="7" t="n">
        <v>32403</v>
      </c>
      <c r="Y2001" s="8" t="n">
        <v>-308</v>
      </c>
      <c r="Z2001" s="8" t="n">
        <v>-5907</v>
      </c>
      <c r="AA2001" s="9" t="n">
        <v>26590</v>
      </c>
      <c r="AB2001" s="10" t="n">
        <v>-1571</v>
      </c>
      <c r="AC2001" s="10" t="n">
        <v>-1311</v>
      </c>
      <c r="AD2001" s="7" t="n">
        <v>22771</v>
      </c>
      <c r="AE2001" s="8" t="n">
        <v>-9559</v>
      </c>
      <c r="AF2001" s="8" t="n">
        <v>-8727</v>
      </c>
      <c r="AG2001" s="9" t="n">
        <v>30193</v>
      </c>
      <c r="AH2001" s="10" t="n">
        <v>3056</v>
      </c>
      <c r="AI2001" s="10" t="n">
        <v>5929</v>
      </c>
      <c r="AJ2001" s="11" t="n">
        <v>32136</v>
      </c>
      <c r="AK2001" s="12" t="n">
        <v>2649</v>
      </c>
      <c r="AL2001" s="12" t="n">
        <v>3819</v>
      </c>
      <c r="AM2001" s="13" t="n">
        <v>6.4</v>
      </c>
      <c r="AN2001" s="13" t="n">
        <v>-0.8</v>
      </c>
      <c r="AO2001" s="13" t="n">
        <v>-13.3</v>
      </c>
      <c r="AP2001" s="13" t="n">
        <v>960.1</v>
      </c>
    </row>
    <row r="2002">
      <c r="A2002" s="5" t="inlineStr">
        <is>
          <t>이지스</t>
        </is>
      </c>
      <c r="B2002" s="6" t="inlineStr">
        <is>
          <t>261520</t>
        </is>
      </c>
      <c r="C2002" s="6" t="inlineStr">
        <is>
          <t>별도</t>
        </is>
      </c>
      <c r="D2002" s="6" t="inlineStr">
        <is>
          <t>2026Q2</t>
        </is>
      </c>
      <c r="E2002" s="6" t="inlineStr"/>
      <c r="F2002" s="7" t="inlineStr"/>
      <c r="G2002" s="8" t="inlineStr"/>
      <c r="H2002" s="8" t="inlineStr"/>
      <c r="I2002" s="9" t="inlineStr"/>
      <c r="J2002" s="10" t="inlineStr"/>
      <c r="K2002" s="10" t="inlineStr"/>
      <c r="L2002" s="7" t="inlineStr"/>
      <c r="M2002" s="8" t="inlineStr"/>
      <c r="N2002" s="8" t="inlineStr"/>
      <c r="O2002" s="9" t="inlineStr"/>
      <c r="P2002" s="10" t="inlineStr"/>
      <c r="Q2002" s="10" t="inlineStr"/>
      <c r="R2002" s="7" t="inlineStr"/>
      <c r="S2002" s="8" t="inlineStr"/>
      <c r="T2002" s="8" t="inlineStr"/>
      <c r="U2002" s="9" t="inlineStr"/>
      <c r="V2002" s="10" t="inlineStr"/>
      <c r="W2002" s="10" t="inlineStr"/>
      <c r="X2002" s="7" t="inlineStr"/>
      <c r="Y2002" s="8" t="inlineStr"/>
      <c r="Z2002" s="8" t="inlineStr"/>
      <c r="AA2002" s="9" t="inlineStr"/>
      <c r="AB2002" s="10" t="inlineStr"/>
      <c r="AC2002" s="10" t="inlineStr"/>
      <c r="AD2002" s="7" t="inlineStr"/>
      <c r="AE2002" s="8" t="inlineStr"/>
      <c r="AF2002" s="8" t="inlineStr"/>
      <c r="AG2002" s="9" t="n">
        <v>5797</v>
      </c>
      <c r="AH2002" s="10" t="n">
        <v>-2223</v>
      </c>
      <c r="AI2002" s="10" t="n">
        <v>-1703</v>
      </c>
      <c r="AJ2002" s="11" t="n">
        <v>5586</v>
      </c>
      <c r="AK2002" s="12" t="n">
        <v>-2423</v>
      </c>
      <c r="AL2002" s="12" t="n">
        <v>-2930</v>
      </c>
      <c r="AM2002" s="13" t="n">
        <v>-3.6</v>
      </c>
      <c r="AN2002" s="13" t="inlineStr"/>
      <c r="AO2002" s="13" t="n">
        <v>-9</v>
      </c>
      <c r="AP2002" s="13" t="inlineStr"/>
    </row>
    <row r="2003">
      <c r="A2003" s="5" t="inlineStr">
        <is>
          <t>아리바이오LAB</t>
        </is>
      </c>
      <c r="B2003" s="6" t="inlineStr">
        <is>
          <t>261780</t>
        </is>
      </c>
      <c r="C2003" s="6" t="inlineStr">
        <is>
          <t>별도</t>
        </is>
      </c>
      <c r="D2003" s="6" t="inlineStr">
        <is>
          <t>2026Q2</t>
        </is>
      </c>
      <c r="E2003" s="6" t="inlineStr"/>
      <c r="F2003" s="7" t="inlineStr"/>
      <c r="G2003" s="8" t="inlineStr"/>
      <c r="H2003" s="8" t="inlineStr"/>
      <c r="I2003" s="9" t="n">
        <v>371</v>
      </c>
      <c r="J2003" s="10" t="n">
        <v>-1551</v>
      </c>
      <c r="K2003" s="10" t="n">
        <v>-1417</v>
      </c>
      <c r="L2003" s="7" t="inlineStr"/>
      <c r="M2003" s="8" t="n">
        <v>-2062</v>
      </c>
      <c r="N2003" s="8" t="n">
        <v>-2713</v>
      </c>
      <c r="O2003" s="9" t="inlineStr"/>
      <c r="P2003" s="10" t="n">
        <v>-1905</v>
      </c>
      <c r="Q2003" s="10" t="n">
        <v>-1874</v>
      </c>
      <c r="R2003" s="7" t="inlineStr"/>
      <c r="S2003" s="8" t="n">
        <v>-2178</v>
      </c>
      <c r="T2003" s="8" t="n">
        <v>-4134</v>
      </c>
      <c r="U2003" s="9" t="inlineStr"/>
      <c r="V2003" s="10" t="n">
        <v>-2401</v>
      </c>
      <c r="W2003" s="10" t="n">
        <v>-2574</v>
      </c>
      <c r="X2003" s="7" t="n">
        <v>159</v>
      </c>
      <c r="Y2003" s="8" t="n">
        <v>-3061</v>
      </c>
      <c r="Z2003" s="8" t="n">
        <v>-3787</v>
      </c>
      <c r="AA2003" s="9" t="inlineStr"/>
      <c r="AB2003" s="10" t="n">
        <v>-3421</v>
      </c>
      <c r="AC2003" s="10" t="n">
        <v>-3756</v>
      </c>
      <c r="AD2003" s="7" t="inlineStr"/>
      <c r="AE2003" s="8" t="n">
        <v>-5388</v>
      </c>
      <c r="AF2003" s="8" t="n">
        <v>-5927</v>
      </c>
      <c r="AG2003" s="9" t="n">
        <v>173</v>
      </c>
      <c r="AH2003" s="10" t="n">
        <v>-1706</v>
      </c>
      <c r="AI2003" s="10" t="n">
        <v>-2073</v>
      </c>
      <c r="AJ2003" s="11" t="n">
        <v>0</v>
      </c>
      <c r="AK2003" s="12" t="n">
        <v>-2459</v>
      </c>
      <c r="AL2003" s="12" t="n">
        <v>-2662</v>
      </c>
      <c r="AM2003" s="13" t="n">
        <v>-100</v>
      </c>
      <c r="AN2003" s="13" t="n">
        <v>-100</v>
      </c>
      <c r="AO2003" s="13" t="n">
        <v>-44.1</v>
      </c>
      <c r="AP2003" s="13" t="n">
        <v>19.7</v>
      </c>
    </row>
    <row r="2004">
      <c r="A2004" s="5" t="inlineStr">
        <is>
          <t>에이프로</t>
        </is>
      </c>
      <c r="B2004" s="6" t="inlineStr">
        <is>
          <t>262260</t>
        </is>
      </c>
      <c r="C2004" s="6" t="inlineStr">
        <is>
          <t>연결</t>
        </is>
      </c>
      <c r="D2004" s="6" t="inlineStr">
        <is>
          <t>2026Q2</t>
        </is>
      </c>
      <c r="E2004" s="6" t="inlineStr"/>
      <c r="F2004" s="7" t="inlineStr"/>
      <c r="G2004" s="8" t="inlineStr"/>
      <c r="H2004" s="8" t="inlineStr"/>
      <c r="I2004" s="9" t="n">
        <v>55216</v>
      </c>
      <c r="J2004" s="10" t="n">
        <v>3377</v>
      </c>
      <c r="K2004" s="10" t="n">
        <v>3070</v>
      </c>
      <c r="L2004" s="7" t="n">
        <v>32465</v>
      </c>
      <c r="M2004" s="8" t="n">
        <v>-2117</v>
      </c>
      <c r="N2004" s="8" t="n">
        <v>-1754</v>
      </c>
      <c r="O2004" s="9" t="n">
        <v>36117</v>
      </c>
      <c r="P2004" s="10" t="n">
        <v>-555</v>
      </c>
      <c r="Q2004" s="10" t="n">
        <v>-1773</v>
      </c>
      <c r="R2004" s="7" t="n">
        <v>76358</v>
      </c>
      <c r="S2004" s="8" t="n">
        <v>2656</v>
      </c>
      <c r="T2004" s="8" t="n">
        <v>3214</v>
      </c>
      <c r="U2004" s="9" t="n">
        <v>68144</v>
      </c>
      <c r="V2004" s="10" t="n">
        <v>3997</v>
      </c>
      <c r="W2004" s="10" t="n">
        <v>1650</v>
      </c>
      <c r="X2004" s="7" t="n">
        <v>33828</v>
      </c>
      <c r="Y2004" s="8" t="n">
        <v>-5424</v>
      </c>
      <c r="Z2004" s="8" t="n">
        <v>-6611</v>
      </c>
      <c r="AA2004" s="9" t="n">
        <v>31003</v>
      </c>
      <c r="AB2004" s="10" t="n">
        <v>-2440</v>
      </c>
      <c r="AC2004" s="10" t="n">
        <v>-2884</v>
      </c>
      <c r="AD2004" s="7" t="n">
        <v>14105</v>
      </c>
      <c r="AE2004" s="8" t="n">
        <v>-1968</v>
      </c>
      <c r="AF2004" s="8" t="n">
        <v>-2908</v>
      </c>
      <c r="AG2004" s="9" t="n">
        <v>43868</v>
      </c>
      <c r="AH2004" s="10" t="n">
        <v>-973</v>
      </c>
      <c r="AI2004" s="10" t="n">
        <v>-869</v>
      </c>
      <c r="AJ2004" s="11" t="n">
        <v>16051</v>
      </c>
      <c r="AK2004" s="12" t="n">
        <v>-5621</v>
      </c>
      <c r="AL2004" s="12" t="n">
        <v>-5250</v>
      </c>
      <c r="AM2004" s="13" t="n">
        <v>-63.4</v>
      </c>
      <c r="AN2004" s="13" t="n">
        <v>-52.6</v>
      </c>
      <c r="AO2004" s="13" t="n">
        <v>-477.7</v>
      </c>
      <c r="AP2004" s="13" t="n">
        <v>-3.6</v>
      </c>
    </row>
    <row r="2005">
      <c r="A2005" s="5" t="inlineStr">
        <is>
          <t>아이퀘스트</t>
        </is>
      </c>
      <c r="B2005" s="6" t="inlineStr">
        <is>
          <t>262840</t>
        </is>
      </c>
      <c r="C2005" s="6" t="inlineStr">
        <is>
          <t>연결</t>
        </is>
      </c>
      <c r="D2005" s="6" t="inlineStr">
        <is>
          <t>2026Q2</t>
        </is>
      </c>
      <c r="E2005" s="6" t="inlineStr"/>
      <c r="F2005" s="7" t="inlineStr"/>
      <c r="G2005" s="8" t="inlineStr"/>
      <c r="H2005" s="8" t="inlineStr"/>
      <c r="I2005" s="9" t="n">
        <v>9346</v>
      </c>
      <c r="J2005" s="10" t="n">
        <v>-256</v>
      </c>
      <c r="K2005" s="10" t="n">
        <v>194</v>
      </c>
      <c r="L2005" s="7" t="n">
        <v>8705</v>
      </c>
      <c r="M2005" s="8" t="n">
        <v>265</v>
      </c>
      <c r="N2005" s="8" t="n">
        <v>-616</v>
      </c>
      <c r="O2005" s="9" t="n">
        <v>11337</v>
      </c>
      <c r="P2005" s="10" t="n">
        <v>1522</v>
      </c>
      <c r="Q2005" s="10" t="n">
        <v>2486</v>
      </c>
      <c r="R2005" s="7" t="n">
        <v>11251</v>
      </c>
      <c r="S2005" s="8" t="n">
        <v>1888</v>
      </c>
      <c r="T2005" s="8" t="n">
        <v>2221</v>
      </c>
      <c r="U2005" s="9" t="n">
        <v>9782</v>
      </c>
      <c r="V2005" s="10" t="n">
        <v>1027</v>
      </c>
      <c r="W2005" s="10" t="n">
        <v>2408</v>
      </c>
      <c r="X2005" s="7" t="n">
        <v>10562</v>
      </c>
      <c r="Y2005" s="8" t="n">
        <v>1039</v>
      </c>
      <c r="Z2005" s="8" t="n">
        <v>799</v>
      </c>
      <c r="AA2005" s="9" t="n">
        <v>11784</v>
      </c>
      <c r="AB2005" s="10" t="n">
        <v>926</v>
      </c>
      <c r="AC2005" s="10" t="n">
        <v>776</v>
      </c>
      <c r="AD2005" s="7" t="n">
        <v>11436</v>
      </c>
      <c r="AE2005" s="8" t="n">
        <v>1283</v>
      </c>
      <c r="AF2005" s="8" t="n">
        <v>1978</v>
      </c>
      <c r="AG2005" s="9" t="n">
        <v>10521</v>
      </c>
      <c r="AH2005" s="10" t="n">
        <v>634</v>
      </c>
      <c r="AI2005" s="10" t="n">
        <v>5813</v>
      </c>
      <c r="AJ2005" s="11" t="n">
        <v>10346</v>
      </c>
      <c r="AK2005" s="12" t="n">
        <v>870</v>
      </c>
      <c r="AL2005" s="12" t="n">
        <v>1072</v>
      </c>
      <c r="AM2005" s="13" t="n">
        <v>-1.7</v>
      </c>
      <c r="AN2005" s="13" t="n">
        <v>-2</v>
      </c>
      <c r="AO2005" s="13" t="n">
        <v>37.2</v>
      </c>
      <c r="AP2005" s="13" t="n">
        <v>-16.3</v>
      </c>
    </row>
    <row r="2006">
      <c r="A2006" s="5" t="inlineStr">
        <is>
          <t>디케이앤디</t>
        </is>
      </c>
      <c r="B2006" s="6" t="inlineStr">
        <is>
          <t>263020</t>
        </is>
      </c>
      <c r="C2006" s="6" t="inlineStr">
        <is>
          <t>연결</t>
        </is>
      </c>
      <c r="D2006" s="6" t="inlineStr">
        <is>
          <t>2026Q2</t>
        </is>
      </c>
      <c r="E2006" s="6" t="inlineStr"/>
      <c r="F2006" s="7" t="inlineStr"/>
      <c r="G2006" s="8" t="inlineStr"/>
      <c r="H2006" s="8" t="inlineStr"/>
      <c r="I2006" s="9" t="n">
        <v>25390</v>
      </c>
      <c r="J2006" s="10" t="n">
        <v>2596</v>
      </c>
      <c r="K2006" s="10" t="n">
        <v>2566</v>
      </c>
      <c r="L2006" s="7" t="n">
        <v>26775</v>
      </c>
      <c r="M2006" s="8" t="n">
        <v>2272</v>
      </c>
      <c r="N2006" s="8" t="n">
        <v>1977</v>
      </c>
      <c r="O2006" s="9" t="n">
        <v>26679</v>
      </c>
      <c r="P2006" s="10" t="n">
        <v>2087</v>
      </c>
      <c r="Q2006" s="10" t="n">
        <v>1212</v>
      </c>
      <c r="R2006" s="7" t="n">
        <v>33698</v>
      </c>
      <c r="S2006" s="8" t="n">
        <v>1515</v>
      </c>
      <c r="T2006" s="8" t="n">
        <v>1685</v>
      </c>
      <c r="U2006" s="9" t="n">
        <v>33494</v>
      </c>
      <c r="V2006" s="10" t="n">
        <v>1768</v>
      </c>
      <c r="W2006" s="10" t="n">
        <v>1414</v>
      </c>
      <c r="X2006" s="7" t="n">
        <v>34015</v>
      </c>
      <c r="Y2006" s="8" t="n">
        <v>3382</v>
      </c>
      <c r="Z2006" s="8" t="n">
        <v>2060</v>
      </c>
      <c r="AA2006" s="9" t="n">
        <v>36311</v>
      </c>
      <c r="AB2006" s="10" t="n">
        <v>3233</v>
      </c>
      <c r="AC2006" s="10" t="n">
        <v>2899</v>
      </c>
      <c r="AD2006" s="7" t="n">
        <v>38767</v>
      </c>
      <c r="AE2006" s="8" t="n">
        <v>3844</v>
      </c>
      <c r="AF2006" s="8" t="n">
        <v>2278</v>
      </c>
      <c r="AG2006" s="9" t="n">
        <v>39677</v>
      </c>
      <c r="AH2006" s="10" t="n">
        <v>2168</v>
      </c>
      <c r="AI2006" s="10" t="n">
        <v>2281</v>
      </c>
      <c r="AJ2006" s="11" t="n">
        <v>48051</v>
      </c>
      <c r="AK2006" s="12" t="n">
        <v>5189</v>
      </c>
      <c r="AL2006" s="12" t="n">
        <v>4692</v>
      </c>
      <c r="AM2006" s="13" t="n">
        <v>21.1</v>
      </c>
      <c r="AN2006" s="13" t="n">
        <v>41.3</v>
      </c>
      <c r="AO2006" s="13" t="n">
        <v>139.3</v>
      </c>
      <c r="AP2006" s="13" t="n">
        <v>53.4</v>
      </c>
    </row>
    <row r="2007">
      <c r="A2007" s="5" t="inlineStr">
        <is>
          <t>유틸렉스</t>
        </is>
      </c>
      <c r="B2007" s="6" t="inlineStr">
        <is>
          <t>263050</t>
        </is>
      </c>
      <c r="C2007" s="6" t="inlineStr">
        <is>
          <t>연결</t>
        </is>
      </c>
      <c r="D2007" s="6" t="inlineStr">
        <is>
          <t>2026Q2</t>
        </is>
      </c>
      <c r="E2007" s="6" t="inlineStr"/>
      <c r="F2007" s="7" t="inlineStr"/>
      <c r="G2007" s="8" t="inlineStr"/>
      <c r="H2007" s="8" t="inlineStr"/>
      <c r="I2007" s="9" t="inlineStr"/>
      <c r="J2007" s="10" t="n">
        <v>-6499</v>
      </c>
      <c r="K2007" s="10" t="n">
        <v>-6262</v>
      </c>
      <c r="L2007" s="7" t="n">
        <v>2672</v>
      </c>
      <c r="M2007" s="8" t="n">
        <v>-5429</v>
      </c>
      <c r="N2007" s="8" t="n">
        <v>-5277</v>
      </c>
      <c r="O2007" s="9" t="n">
        <v>3899</v>
      </c>
      <c r="P2007" s="10" t="n">
        <v>-6956</v>
      </c>
      <c r="Q2007" s="10" t="n">
        <v>-6842</v>
      </c>
      <c r="R2007" s="7" t="inlineStr"/>
      <c r="S2007" s="8" t="n">
        <v>-7624</v>
      </c>
      <c r="T2007" s="8" t="n">
        <v>-11118</v>
      </c>
      <c r="U2007" s="9" t="n">
        <v>2040</v>
      </c>
      <c r="V2007" s="10" t="n">
        <v>-4821</v>
      </c>
      <c r="W2007" s="10" t="n">
        <v>-4823</v>
      </c>
      <c r="X2007" s="7" t="n">
        <v>2329</v>
      </c>
      <c r="Y2007" s="8" t="n">
        <v>-5227</v>
      </c>
      <c r="Z2007" s="8" t="n">
        <v>-3921</v>
      </c>
      <c r="AA2007" s="9" t="n">
        <v>3534</v>
      </c>
      <c r="AB2007" s="10" t="n">
        <v>-3836</v>
      </c>
      <c r="AC2007" s="10" t="n">
        <v>-3944</v>
      </c>
      <c r="AD2007" s="7" t="n">
        <v>2392</v>
      </c>
      <c r="AE2007" s="8" t="n">
        <v>-5035</v>
      </c>
      <c r="AF2007" s="8" t="n">
        <v>-13103</v>
      </c>
      <c r="AG2007" s="9" t="n">
        <v>1253</v>
      </c>
      <c r="AH2007" s="10" t="n">
        <v>-2589</v>
      </c>
      <c r="AI2007" s="10" t="n">
        <v>-2653</v>
      </c>
      <c r="AJ2007" s="11" t="n">
        <v>535</v>
      </c>
      <c r="AK2007" s="12" t="n">
        <v>-2152</v>
      </c>
      <c r="AL2007" s="12" t="n">
        <v>-2517</v>
      </c>
      <c r="AM2007" s="13" t="n">
        <v>-57.3</v>
      </c>
      <c r="AN2007" s="13" t="n">
        <v>-77</v>
      </c>
      <c r="AO2007" s="13" t="n">
        <v>16.9</v>
      </c>
      <c r="AP2007" s="13" t="n">
        <v>58.8</v>
      </c>
    </row>
    <row r="2008">
      <c r="A2008" s="5" t="inlineStr">
        <is>
          <t>덕우전자</t>
        </is>
      </c>
      <c r="B2008" s="6" t="inlineStr">
        <is>
          <t>263600</t>
        </is>
      </c>
      <c r="C2008" s="6" t="inlineStr">
        <is>
          <t>연결</t>
        </is>
      </c>
      <c r="D2008" s="6" t="inlineStr">
        <is>
          <t>2026Q2</t>
        </is>
      </c>
      <c r="E2008" s="6" t="inlineStr"/>
      <c r="F2008" s="7" t="inlineStr"/>
      <c r="G2008" s="8" t="inlineStr"/>
      <c r="H2008" s="8" t="inlineStr"/>
      <c r="I2008" s="9" t="n">
        <v>30541</v>
      </c>
      <c r="J2008" s="10" t="n">
        <v>-5544</v>
      </c>
      <c r="K2008" s="10" t="n">
        <v>-4103</v>
      </c>
      <c r="L2008" s="7" t="n">
        <v>29360</v>
      </c>
      <c r="M2008" s="8" t="n">
        <v>197</v>
      </c>
      <c r="N2008" s="8" t="n">
        <v>1560</v>
      </c>
      <c r="O2008" s="9" t="n">
        <v>58443</v>
      </c>
      <c r="P2008" s="10" t="n">
        <v>2918</v>
      </c>
      <c r="Q2008" s="10" t="n">
        <v>1021</v>
      </c>
      <c r="R2008" s="7" t="n">
        <v>42606</v>
      </c>
      <c r="S2008" s="8" t="n">
        <v>1437</v>
      </c>
      <c r="T2008" s="8" t="n">
        <v>1117</v>
      </c>
      <c r="U2008" s="9" t="n">
        <v>39618</v>
      </c>
      <c r="V2008" s="10" t="n">
        <v>1361</v>
      </c>
      <c r="W2008" s="10" t="n">
        <v>853</v>
      </c>
      <c r="X2008" s="7" t="n">
        <v>31556</v>
      </c>
      <c r="Y2008" s="8" t="n">
        <v>-3609</v>
      </c>
      <c r="Z2008" s="8" t="n">
        <v>-3757</v>
      </c>
      <c r="AA2008" s="9" t="n">
        <v>53656</v>
      </c>
      <c r="AB2008" s="10" t="n">
        <v>2529</v>
      </c>
      <c r="AC2008" s="10" t="n">
        <v>964</v>
      </c>
      <c r="AD2008" s="7" t="n">
        <v>52117</v>
      </c>
      <c r="AE2008" s="8" t="n">
        <v>1297</v>
      </c>
      <c r="AF2008" s="8" t="n">
        <v>8434</v>
      </c>
      <c r="AG2008" s="9" t="n">
        <v>51867</v>
      </c>
      <c r="AH2008" s="10" t="n">
        <v>1474</v>
      </c>
      <c r="AI2008" s="10" t="n">
        <v>17106</v>
      </c>
      <c r="AJ2008" s="11" t="n">
        <v>42813</v>
      </c>
      <c r="AK2008" s="12" t="n">
        <v>-555</v>
      </c>
      <c r="AL2008" s="12" t="n">
        <v>-1978</v>
      </c>
      <c r="AM2008" s="13" t="n">
        <v>-17.5</v>
      </c>
      <c r="AN2008" s="13" t="n">
        <v>35.7</v>
      </c>
      <c r="AO2008" s="13" t="n">
        <v>-137.7</v>
      </c>
      <c r="AP2008" s="13" t="n">
        <v>84.59999999999999</v>
      </c>
    </row>
    <row r="2009">
      <c r="A2009" s="5" t="inlineStr">
        <is>
          <t>디알젬</t>
        </is>
      </c>
      <c r="B2009" s="6" t="inlineStr">
        <is>
          <t>263690</t>
        </is>
      </c>
      <c r="C2009" s="6" t="inlineStr">
        <is>
          <t>연결</t>
        </is>
      </c>
      <c r="D2009" s="6" t="inlineStr">
        <is>
          <t>2026Q2</t>
        </is>
      </c>
      <c r="E2009" s="6" t="inlineStr"/>
      <c r="F2009" s="7" t="inlineStr"/>
      <c r="G2009" s="8" t="inlineStr"/>
      <c r="H2009" s="8" t="inlineStr"/>
      <c r="I2009" s="9" t="n">
        <v>28846</v>
      </c>
      <c r="J2009" s="10" t="n">
        <v>3249</v>
      </c>
      <c r="K2009" s="10" t="n">
        <v>4592</v>
      </c>
      <c r="L2009" s="7" t="n">
        <v>27375</v>
      </c>
      <c r="M2009" s="8" t="n">
        <v>2506</v>
      </c>
      <c r="N2009" s="8" t="n">
        <v>3080</v>
      </c>
      <c r="O2009" s="9" t="n">
        <v>24309</v>
      </c>
      <c r="P2009" s="10" t="n">
        <v>655</v>
      </c>
      <c r="Q2009" s="10" t="n">
        <v>-1004</v>
      </c>
      <c r="R2009" s="7" t="n">
        <v>23476</v>
      </c>
      <c r="S2009" s="8" t="n">
        <v>2440</v>
      </c>
      <c r="T2009" s="8" t="n">
        <v>3479</v>
      </c>
      <c r="U2009" s="9" t="n">
        <v>23338</v>
      </c>
      <c r="V2009" s="10" t="n">
        <v>1821</v>
      </c>
      <c r="W2009" s="10" t="n">
        <v>1152</v>
      </c>
      <c r="X2009" s="7" t="n">
        <v>27170</v>
      </c>
      <c r="Y2009" s="8" t="n">
        <v>2833</v>
      </c>
      <c r="Z2009" s="8" t="n">
        <v>906</v>
      </c>
      <c r="AA2009" s="9" t="n">
        <v>24356</v>
      </c>
      <c r="AB2009" s="10" t="n">
        <v>2211</v>
      </c>
      <c r="AC2009" s="10" t="n">
        <v>1995</v>
      </c>
      <c r="AD2009" s="7" t="n">
        <v>27882</v>
      </c>
      <c r="AE2009" s="8" t="n">
        <v>2160</v>
      </c>
      <c r="AF2009" s="8" t="n">
        <v>2726</v>
      </c>
      <c r="AG2009" s="9" t="n">
        <v>27328</v>
      </c>
      <c r="AH2009" s="10" t="n">
        <v>2738</v>
      </c>
      <c r="AI2009" s="10" t="n">
        <v>3982</v>
      </c>
      <c r="AJ2009" s="11" t="n">
        <v>29887</v>
      </c>
      <c r="AK2009" s="12" t="n">
        <v>3496</v>
      </c>
      <c r="AL2009" s="12" t="n">
        <v>3576</v>
      </c>
      <c r="AM2009" s="13" t="n">
        <v>9.4</v>
      </c>
      <c r="AN2009" s="13" t="n">
        <v>10</v>
      </c>
      <c r="AO2009" s="13" t="n">
        <v>27.7</v>
      </c>
      <c r="AP2009" s="13" t="n">
        <v>23.4</v>
      </c>
    </row>
    <row r="2010">
      <c r="A2010" s="5" t="inlineStr">
        <is>
          <t>케어랩스</t>
        </is>
      </c>
      <c r="B2010" s="6" t="inlineStr">
        <is>
          <t>263700</t>
        </is>
      </c>
      <c r="C2010" s="6" t="inlineStr">
        <is>
          <t>연결</t>
        </is>
      </c>
      <c r="D2010" s="6" t="inlineStr">
        <is>
          <t>2026Q2</t>
        </is>
      </c>
      <c r="E2010" s="6" t="inlineStr"/>
      <c r="F2010" s="7" t="inlineStr"/>
      <c r="G2010" s="8" t="inlineStr"/>
      <c r="H2010" s="8" t="inlineStr"/>
      <c r="I2010" s="9" t="inlineStr"/>
      <c r="J2010" s="10" t="n">
        <v>319</v>
      </c>
      <c r="K2010" s="10" t="n">
        <v>2672</v>
      </c>
      <c r="L2010" s="7" t="inlineStr"/>
      <c r="M2010" s="8" t="n">
        <v>-760</v>
      </c>
      <c r="N2010" s="8" t="n">
        <v>-4755</v>
      </c>
      <c r="O2010" s="9" t="inlineStr"/>
      <c r="P2010" s="10" t="n">
        <v>-746</v>
      </c>
      <c r="Q2010" s="10" t="n">
        <v>-2891</v>
      </c>
      <c r="R2010" s="7" t="inlineStr"/>
      <c r="S2010" s="8" t="n">
        <v>-3275</v>
      </c>
      <c r="T2010" s="8" t="n">
        <v>-14696</v>
      </c>
      <c r="U2010" s="9" t="inlineStr"/>
      <c r="V2010" s="10" t="n">
        <v>841</v>
      </c>
      <c r="W2010" s="10" t="n">
        <v>25454</v>
      </c>
      <c r="X2010" s="7" t="inlineStr"/>
      <c r="Y2010" s="8" t="n">
        <v>2575</v>
      </c>
      <c r="Z2010" s="8" t="n">
        <v>-733</v>
      </c>
      <c r="AA2010" s="9" t="inlineStr"/>
      <c r="AB2010" s="10" t="n">
        <v>-587</v>
      </c>
      <c r="AC2010" s="10" t="n">
        <v>-1136</v>
      </c>
      <c r="AD2010" s="7" t="inlineStr"/>
      <c r="AE2010" s="8" t="n">
        <v>-5706</v>
      </c>
      <c r="AF2010" s="8" t="n">
        <v>-4073</v>
      </c>
      <c r="AG2010" s="9" t="inlineStr"/>
      <c r="AH2010" s="10" t="n">
        <v>675</v>
      </c>
      <c r="AI2010" s="10" t="n">
        <v>-196</v>
      </c>
      <c r="AJ2010" s="11" t="inlineStr"/>
      <c r="AK2010" s="12" t="n">
        <v>-723</v>
      </c>
      <c r="AL2010" s="12" t="n">
        <v>-1259</v>
      </c>
      <c r="AM2010" s="13" t="inlineStr"/>
      <c r="AN2010" s="13" t="inlineStr"/>
      <c r="AO2010" s="13" t="n">
        <v>-207.1</v>
      </c>
      <c r="AP2010" s="13" t="n">
        <v>-128.1</v>
      </c>
    </row>
    <row r="2011">
      <c r="A2011" s="5" t="inlineStr">
        <is>
          <t>디앤씨미디어</t>
        </is>
      </c>
      <c r="B2011" s="6" t="inlineStr">
        <is>
          <t>263720</t>
        </is>
      </c>
      <c r="C2011" s="6" t="inlineStr">
        <is>
          <t>연결</t>
        </is>
      </c>
      <c r="D2011" s="6" t="inlineStr">
        <is>
          <t>2026Q2</t>
        </is>
      </c>
      <c r="E2011" s="6" t="inlineStr"/>
      <c r="F2011" s="7" t="inlineStr"/>
      <c r="G2011" s="8" t="inlineStr"/>
      <c r="H2011" s="8" t="inlineStr"/>
      <c r="I2011" s="9" t="n">
        <v>19925</v>
      </c>
      <c r="J2011" s="10" t="n">
        <v>2516</v>
      </c>
      <c r="K2011" s="10" t="n">
        <v>2114</v>
      </c>
      <c r="L2011" s="7" t="n">
        <v>24141</v>
      </c>
      <c r="M2011" s="8" t="n">
        <v>3973</v>
      </c>
      <c r="N2011" s="8" t="n">
        <v>3375</v>
      </c>
      <c r="O2011" s="9" t="n">
        <v>23014</v>
      </c>
      <c r="P2011" s="10" t="n">
        <v>4508</v>
      </c>
      <c r="Q2011" s="10" t="n">
        <v>3880</v>
      </c>
      <c r="R2011" s="7" t="n">
        <v>16435</v>
      </c>
      <c r="S2011" s="8" t="n">
        <v>-718</v>
      </c>
      <c r="T2011" s="8" t="n">
        <v>1428</v>
      </c>
      <c r="U2011" s="9" t="n">
        <v>18108</v>
      </c>
      <c r="V2011" s="10" t="n">
        <v>1408</v>
      </c>
      <c r="W2011" s="10" t="n">
        <v>1826</v>
      </c>
      <c r="X2011" s="7" t="n">
        <v>24568</v>
      </c>
      <c r="Y2011" s="8" t="n">
        <v>4472</v>
      </c>
      <c r="Z2011" s="8" t="n">
        <v>448</v>
      </c>
      <c r="AA2011" s="9" t="n">
        <v>27670</v>
      </c>
      <c r="AB2011" s="10" t="n">
        <v>6504</v>
      </c>
      <c r="AC2011" s="10" t="n">
        <v>6443</v>
      </c>
      <c r="AD2011" s="7" t="n">
        <v>15126</v>
      </c>
      <c r="AE2011" s="8" t="n">
        <v>4952</v>
      </c>
      <c r="AF2011" s="8" t="n">
        <v>-733</v>
      </c>
      <c r="AG2011" s="9" t="n">
        <v>17359</v>
      </c>
      <c r="AH2011" s="10" t="n">
        <v>3490</v>
      </c>
      <c r="AI2011" s="10" t="n">
        <v>2139</v>
      </c>
      <c r="AJ2011" s="11" t="n">
        <v>15935</v>
      </c>
      <c r="AK2011" s="12" t="n">
        <v>2250</v>
      </c>
      <c r="AL2011" s="12" t="n">
        <v>2165</v>
      </c>
      <c r="AM2011" s="13" t="n">
        <v>-8.199999999999999</v>
      </c>
      <c r="AN2011" s="13" t="n">
        <v>-35.1</v>
      </c>
      <c r="AO2011" s="13" t="n">
        <v>-35.5</v>
      </c>
      <c r="AP2011" s="13" t="n">
        <v>-49.7</v>
      </c>
    </row>
    <row r="2012">
      <c r="A2012" s="5" t="inlineStr">
        <is>
          <t>펄어비스</t>
        </is>
      </c>
      <c r="B2012" s="6" t="inlineStr">
        <is>
          <t>263750</t>
        </is>
      </c>
      <c r="C2012" s="6" t="inlineStr">
        <is>
          <t>연결</t>
        </is>
      </c>
      <c r="D2012" s="6" t="inlineStr">
        <is>
          <t>2026Q2</t>
        </is>
      </c>
      <c r="E2012" s="6" t="inlineStr">
        <is>
          <t>2023Q4</t>
        </is>
      </c>
      <c r="F2012" s="14" t="n">
        <v>84445</v>
      </c>
      <c r="G2012" s="15" t="n">
        <v>-5474</v>
      </c>
      <c r="H2012" s="15" t="n">
        <v>-4418</v>
      </c>
      <c r="I2012" s="14" t="n">
        <v>85440</v>
      </c>
      <c r="J2012" s="10" t="n">
        <v>588</v>
      </c>
      <c r="K2012" s="10" t="n">
        <v>12802</v>
      </c>
      <c r="L2012" s="14" t="n">
        <v>81761</v>
      </c>
      <c r="M2012" s="8" t="n">
        <v>-5834</v>
      </c>
      <c r="N2012" s="8" t="n">
        <v>9131</v>
      </c>
      <c r="O2012" s="9" t="n">
        <v>79453</v>
      </c>
      <c r="P2012" s="10" t="n">
        <v>-9236</v>
      </c>
      <c r="Q2012" s="10" t="n">
        <v>-7810</v>
      </c>
      <c r="R2012" s="14" t="n">
        <v>95730</v>
      </c>
      <c r="S2012" s="8" t="n">
        <v>2189</v>
      </c>
      <c r="T2012" s="8" t="n">
        <v>46221</v>
      </c>
      <c r="U2012" s="9" t="n">
        <v>83685</v>
      </c>
      <c r="V2012" s="10" t="n">
        <v>-5242</v>
      </c>
      <c r="W2012" s="10" t="n">
        <v>499</v>
      </c>
      <c r="X2012" s="7" t="n">
        <v>79562</v>
      </c>
      <c r="Y2012" s="8" t="n">
        <v>-11779</v>
      </c>
      <c r="Z2012" s="8" t="n">
        <v>-22700</v>
      </c>
      <c r="AA2012" s="9" t="n">
        <v>106818</v>
      </c>
      <c r="AB2012" s="10" t="n">
        <v>10618</v>
      </c>
      <c r="AC2012" s="10" t="n">
        <v>28995</v>
      </c>
      <c r="AD2012" s="7" t="n">
        <v>95500</v>
      </c>
      <c r="AE2012" s="8" t="n">
        <v>-8405</v>
      </c>
      <c r="AF2012" s="8" t="n">
        <v>-15209</v>
      </c>
      <c r="AG2012" s="9" t="n">
        <v>328499</v>
      </c>
      <c r="AH2012" s="10" t="n">
        <v>212096</v>
      </c>
      <c r="AI2012" s="10" t="n">
        <v>157969</v>
      </c>
      <c r="AJ2012" s="11" t="n">
        <v>192611</v>
      </c>
      <c r="AK2012" s="12" t="n">
        <v>67625</v>
      </c>
      <c r="AL2012" s="12" t="n">
        <v>99542</v>
      </c>
      <c r="AM2012" s="13" t="n">
        <v>-41.4</v>
      </c>
      <c r="AN2012" s="13" t="n">
        <v>142.1</v>
      </c>
      <c r="AO2012" s="13" t="n">
        <v>-68.09999999999999</v>
      </c>
      <c r="AP2012" s="13" t="n">
        <v>674.1</v>
      </c>
    </row>
    <row r="2013">
      <c r="A2013" s="5" t="inlineStr">
        <is>
          <t>유에스티</t>
        </is>
      </c>
      <c r="B2013" s="6" t="inlineStr">
        <is>
          <t>263770</t>
        </is>
      </c>
      <c r="C2013" s="6" t="inlineStr">
        <is>
          <t>별도</t>
        </is>
      </c>
      <c r="D2013" s="6" t="inlineStr">
        <is>
          <t>2026Q2</t>
        </is>
      </c>
      <c r="E2013" s="6" t="inlineStr"/>
      <c r="F2013" s="7" t="inlineStr"/>
      <c r="G2013" s="8" t="inlineStr"/>
      <c r="H2013" s="8" t="inlineStr"/>
      <c r="I2013" s="9" t="n">
        <v>20056</v>
      </c>
      <c r="J2013" s="10" t="n">
        <v>1444</v>
      </c>
      <c r="K2013" s="10" t="n">
        <v>1212</v>
      </c>
      <c r="L2013" s="7" t="n">
        <v>18624</v>
      </c>
      <c r="M2013" s="8" t="n">
        <v>2805</v>
      </c>
      <c r="N2013" s="8" t="n">
        <v>2031</v>
      </c>
      <c r="O2013" s="9" t="n">
        <v>16506</v>
      </c>
      <c r="P2013" s="10" t="n">
        <v>1379</v>
      </c>
      <c r="Q2013" s="10" t="n">
        <v>1871</v>
      </c>
      <c r="R2013" s="7" t="n">
        <v>19594</v>
      </c>
      <c r="S2013" s="8" t="n">
        <v>1274</v>
      </c>
      <c r="T2013" s="8" t="n">
        <v>404</v>
      </c>
      <c r="U2013" s="9" t="n">
        <v>14199</v>
      </c>
      <c r="V2013" s="10" t="n">
        <v>830</v>
      </c>
      <c r="W2013" s="10" t="n">
        <v>855</v>
      </c>
      <c r="X2013" s="7" t="n">
        <v>13867</v>
      </c>
      <c r="Y2013" s="8" t="n">
        <v>240</v>
      </c>
      <c r="Z2013" s="8" t="n">
        <v>431</v>
      </c>
      <c r="AA2013" s="9" t="n">
        <v>15372</v>
      </c>
      <c r="AB2013" s="10" t="n">
        <v>1295</v>
      </c>
      <c r="AC2013" s="10" t="n">
        <v>1119</v>
      </c>
      <c r="AD2013" s="7" t="n">
        <v>14529</v>
      </c>
      <c r="AE2013" s="8" t="n">
        <v>-33</v>
      </c>
      <c r="AF2013" s="8" t="n">
        <v>39</v>
      </c>
      <c r="AG2013" s="9" t="n">
        <v>15983</v>
      </c>
      <c r="AH2013" s="10" t="n">
        <v>1047</v>
      </c>
      <c r="AI2013" s="10" t="n">
        <v>952</v>
      </c>
      <c r="AJ2013" s="11" t="n">
        <v>18303</v>
      </c>
      <c r="AK2013" s="12" t="n">
        <v>1766</v>
      </c>
      <c r="AL2013" s="12" t="n">
        <v>1662</v>
      </c>
      <c r="AM2013" s="13" t="n">
        <v>14.5</v>
      </c>
      <c r="AN2013" s="13" t="n">
        <v>32</v>
      </c>
      <c r="AO2013" s="13" t="n">
        <v>68.7</v>
      </c>
      <c r="AP2013" s="13" t="n">
        <v>635.8</v>
      </c>
    </row>
    <row r="2014">
      <c r="A2014" s="5" t="inlineStr">
        <is>
          <t>데이타솔루션</t>
        </is>
      </c>
      <c r="B2014" s="6" t="inlineStr">
        <is>
          <t>263800</t>
        </is>
      </c>
      <c r="C2014" s="6" t="inlineStr">
        <is>
          <t>별도</t>
        </is>
      </c>
      <c r="D2014" s="6" t="inlineStr">
        <is>
          <t>2026Q2</t>
        </is>
      </c>
      <c r="E2014" s="6" t="inlineStr"/>
      <c r="F2014" s="7" t="inlineStr"/>
      <c r="G2014" s="8" t="inlineStr"/>
      <c r="H2014" s="8" t="inlineStr"/>
      <c r="I2014" s="9" t="n">
        <v>17275</v>
      </c>
      <c r="J2014" s="10" t="n">
        <v>-1133</v>
      </c>
      <c r="K2014" s="10" t="n">
        <v>-1049</v>
      </c>
      <c r="L2014" s="7" t="n">
        <v>14686</v>
      </c>
      <c r="M2014" s="8" t="n">
        <v>-1176</v>
      </c>
      <c r="N2014" s="8" t="n">
        <v>-1051</v>
      </c>
      <c r="O2014" s="9" t="n">
        <v>26840</v>
      </c>
      <c r="P2014" s="10" t="n">
        <v>-200</v>
      </c>
      <c r="Q2014" s="10" t="n">
        <v>-90</v>
      </c>
      <c r="R2014" s="7" t="n">
        <v>51282</v>
      </c>
      <c r="S2014" s="8" t="n">
        <v>2567</v>
      </c>
      <c r="T2014" s="8" t="n">
        <v>2426</v>
      </c>
      <c r="U2014" s="9" t="n">
        <v>15775</v>
      </c>
      <c r="V2014" s="10" t="n">
        <v>-3094</v>
      </c>
      <c r="W2014" s="10" t="n">
        <v>-2900</v>
      </c>
      <c r="X2014" s="7" t="n">
        <v>22638</v>
      </c>
      <c r="Y2014" s="8" t="n">
        <v>341</v>
      </c>
      <c r="Z2014" s="8" t="n">
        <v>580</v>
      </c>
      <c r="AA2014" s="9" t="n">
        <v>23257</v>
      </c>
      <c r="AB2014" s="10" t="n">
        <v>-386</v>
      </c>
      <c r="AC2014" s="10" t="n">
        <v>-207</v>
      </c>
      <c r="AD2014" s="7" t="n">
        <v>42146</v>
      </c>
      <c r="AE2014" s="8" t="n">
        <v>4356</v>
      </c>
      <c r="AF2014" s="8" t="n">
        <v>3574</v>
      </c>
      <c r="AG2014" s="9" t="n">
        <v>31524</v>
      </c>
      <c r="AH2014" s="10" t="n">
        <v>-1068</v>
      </c>
      <c r="AI2014" s="10" t="n">
        <v>-944</v>
      </c>
      <c r="AJ2014" s="11" t="n">
        <v>30119</v>
      </c>
      <c r="AK2014" s="12" t="n">
        <v>1247</v>
      </c>
      <c r="AL2014" s="12" t="n">
        <v>1423</v>
      </c>
      <c r="AM2014" s="13" t="n">
        <v>-4.5</v>
      </c>
      <c r="AN2014" s="13" t="n">
        <v>33</v>
      </c>
      <c r="AO2014" s="13" t="n">
        <v>216.8</v>
      </c>
      <c r="AP2014" s="13" t="n">
        <v>265.7</v>
      </c>
    </row>
    <row r="2015">
      <c r="A2015" s="5" t="inlineStr">
        <is>
          <t>상신전자</t>
        </is>
      </c>
      <c r="B2015" s="6" t="inlineStr">
        <is>
          <t>263810</t>
        </is>
      </c>
      <c r="C2015" s="6" t="inlineStr">
        <is>
          <t>연결</t>
        </is>
      </c>
      <c r="D2015" s="6" t="inlineStr">
        <is>
          <t>2026Q2</t>
        </is>
      </c>
      <c r="E2015" s="6" t="inlineStr"/>
      <c r="F2015" s="7" t="inlineStr"/>
      <c r="G2015" s="8" t="inlineStr"/>
      <c r="H2015" s="8" t="inlineStr"/>
      <c r="I2015" s="9" t="n">
        <v>30750</v>
      </c>
      <c r="J2015" s="10" t="n">
        <v>635</v>
      </c>
      <c r="K2015" s="10" t="n">
        <v>785</v>
      </c>
      <c r="L2015" s="7" t="n">
        <v>34193</v>
      </c>
      <c r="M2015" s="8" t="n">
        <v>513</v>
      </c>
      <c r="N2015" s="8" t="n">
        <v>569</v>
      </c>
      <c r="O2015" s="9" t="n">
        <v>28271</v>
      </c>
      <c r="P2015" s="10" t="n">
        <v>47</v>
      </c>
      <c r="Q2015" s="10" t="n">
        <v>-387</v>
      </c>
      <c r="R2015" s="7" t="n">
        <v>31758</v>
      </c>
      <c r="S2015" s="8" t="n">
        <v>933</v>
      </c>
      <c r="T2015" s="8" t="n">
        <v>1438</v>
      </c>
      <c r="U2015" s="9" t="n">
        <v>34492</v>
      </c>
      <c r="V2015" s="10" t="n">
        <v>900</v>
      </c>
      <c r="W2015" s="10" t="n">
        <v>642</v>
      </c>
      <c r="X2015" s="7" t="n">
        <v>31663</v>
      </c>
      <c r="Y2015" s="8" t="n">
        <v>999</v>
      </c>
      <c r="Z2015" s="8" t="n">
        <v>-424</v>
      </c>
      <c r="AA2015" s="9" t="n">
        <v>32351</v>
      </c>
      <c r="AB2015" s="10" t="n">
        <v>1025</v>
      </c>
      <c r="AC2015" s="10" t="n">
        <v>1283</v>
      </c>
      <c r="AD2015" s="7" t="n">
        <v>30634</v>
      </c>
      <c r="AE2015" s="8" t="n">
        <v>-361</v>
      </c>
      <c r="AF2015" s="8" t="n">
        <v>233</v>
      </c>
      <c r="AG2015" s="9" t="n">
        <v>35456</v>
      </c>
      <c r="AH2015" s="10" t="n">
        <v>-615</v>
      </c>
      <c r="AI2015" s="10" t="n">
        <v>230</v>
      </c>
      <c r="AJ2015" s="11" t="n">
        <v>34861</v>
      </c>
      <c r="AK2015" s="12" t="n">
        <v>199</v>
      </c>
      <c r="AL2015" s="12" t="n">
        <v>304</v>
      </c>
      <c r="AM2015" s="13" t="n">
        <v>-1.7</v>
      </c>
      <c r="AN2015" s="13" t="n">
        <v>10.1</v>
      </c>
      <c r="AO2015" s="13" t="n">
        <v>132.4</v>
      </c>
      <c r="AP2015" s="13" t="n">
        <v>-80.09999999999999</v>
      </c>
    </row>
    <row r="2016">
      <c r="A2016" s="5" t="inlineStr">
        <is>
          <t>지니언스</t>
        </is>
      </c>
      <c r="B2016" s="6" t="inlineStr">
        <is>
          <t>263860</t>
        </is>
      </c>
      <c r="C2016" s="6" t="inlineStr">
        <is>
          <t>연결</t>
        </is>
      </c>
      <c r="D2016" s="6" t="inlineStr">
        <is>
          <t>2026Q2</t>
        </is>
      </c>
      <c r="E2016" s="6" t="inlineStr"/>
      <c r="F2016" s="7" t="inlineStr"/>
      <c r="G2016" s="8" t="inlineStr"/>
      <c r="H2016" s="8" t="inlineStr"/>
      <c r="I2016" s="9" t="n">
        <v>6986</v>
      </c>
      <c r="J2016" s="10" t="n">
        <v>-452</v>
      </c>
      <c r="K2016" s="10" t="n">
        <v>333</v>
      </c>
      <c r="L2016" s="7" t="n">
        <v>11889</v>
      </c>
      <c r="M2016" s="8" t="n">
        <v>1864</v>
      </c>
      <c r="N2016" s="8" t="n">
        <v>2163</v>
      </c>
      <c r="O2016" s="9" t="n">
        <v>10392</v>
      </c>
      <c r="P2016" s="10" t="n">
        <v>2241</v>
      </c>
      <c r="Q2016" s="10" t="n">
        <v>2217</v>
      </c>
      <c r="R2016" s="7" t="n">
        <v>20338</v>
      </c>
      <c r="S2016" s="8" t="n">
        <v>6187</v>
      </c>
      <c r="T2016" s="8" t="n">
        <v>6196</v>
      </c>
      <c r="U2016" s="9" t="n">
        <v>9354</v>
      </c>
      <c r="V2016" s="10" t="n">
        <v>37</v>
      </c>
      <c r="W2016" s="10" t="n">
        <v>808</v>
      </c>
      <c r="X2016" s="7" t="n">
        <v>11426</v>
      </c>
      <c r="Y2016" s="8" t="n">
        <v>1057</v>
      </c>
      <c r="Z2016" s="8" t="n">
        <v>996</v>
      </c>
      <c r="AA2016" s="9" t="n">
        <v>10425</v>
      </c>
      <c r="AB2016" s="10" t="n">
        <v>1070</v>
      </c>
      <c r="AC2016" s="10" t="n">
        <v>1410</v>
      </c>
      <c r="AD2016" s="7" t="n">
        <v>17176</v>
      </c>
      <c r="AE2016" s="8" t="n">
        <v>4843</v>
      </c>
      <c r="AF2016" s="8" t="n">
        <v>4283</v>
      </c>
      <c r="AG2016" s="9" t="n">
        <v>11740</v>
      </c>
      <c r="AH2016" s="10" t="n">
        <v>1742</v>
      </c>
      <c r="AI2016" s="10" t="n">
        <v>1968</v>
      </c>
      <c r="AJ2016" s="11" t="n">
        <v>13184</v>
      </c>
      <c r="AK2016" s="12" t="n">
        <v>2570</v>
      </c>
      <c r="AL2016" s="12" t="n">
        <v>2688</v>
      </c>
      <c r="AM2016" s="13" t="n">
        <v>12.3</v>
      </c>
      <c r="AN2016" s="13" t="n">
        <v>15.4</v>
      </c>
      <c r="AO2016" s="13" t="n">
        <v>47.5</v>
      </c>
      <c r="AP2016" s="13" t="n">
        <v>143.1</v>
      </c>
    </row>
    <row r="2017">
      <c r="A2017" s="5" t="inlineStr">
        <is>
          <t>휴엠앤씨</t>
        </is>
      </c>
      <c r="B2017" s="6" t="inlineStr">
        <is>
          <t>263920</t>
        </is>
      </c>
      <c r="C2017" s="6" t="inlineStr">
        <is>
          <t>연결</t>
        </is>
      </c>
      <c r="D2017" s="6" t="inlineStr">
        <is>
          <t>2026Q2</t>
        </is>
      </c>
      <c r="E2017" s="6" t="inlineStr"/>
      <c r="F2017" s="7" t="inlineStr"/>
      <c r="G2017" s="8" t="inlineStr"/>
      <c r="H2017" s="8" t="inlineStr"/>
      <c r="I2017" s="9" t="n">
        <v>12011</v>
      </c>
      <c r="J2017" s="10" t="n">
        <v>1016</v>
      </c>
      <c r="K2017" s="10" t="n">
        <v>1277</v>
      </c>
      <c r="L2017" s="7" t="n">
        <v>11003</v>
      </c>
      <c r="M2017" s="8" t="n">
        <v>1300</v>
      </c>
      <c r="N2017" s="8" t="n">
        <v>1071</v>
      </c>
      <c r="O2017" s="9" t="n">
        <v>11533</v>
      </c>
      <c r="P2017" s="10" t="n">
        <v>1535</v>
      </c>
      <c r="Q2017" s="10" t="n">
        <v>1083</v>
      </c>
      <c r="R2017" s="7" t="n">
        <v>12682</v>
      </c>
      <c r="S2017" s="8" t="n">
        <v>1096</v>
      </c>
      <c r="T2017" s="8" t="n">
        <v>-30</v>
      </c>
      <c r="U2017" s="9" t="n">
        <v>12545</v>
      </c>
      <c r="V2017" s="10" t="n">
        <v>512</v>
      </c>
      <c r="W2017" s="10" t="n">
        <v>302</v>
      </c>
      <c r="X2017" s="7" t="n">
        <v>13406</v>
      </c>
      <c r="Y2017" s="8" t="n">
        <v>777</v>
      </c>
      <c r="Z2017" s="8" t="n">
        <v>-34</v>
      </c>
      <c r="AA2017" s="9" t="n">
        <v>13371</v>
      </c>
      <c r="AB2017" s="10" t="n">
        <v>730</v>
      </c>
      <c r="AC2017" s="10" t="n">
        <v>664</v>
      </c>
      <c r="AD2017" s="7" t="n">
        <v>12985</v>
      </c>
      <c r="AE2017" s="8" t="n">
        <v>464</v>
      </c>
      <c r="AF2017" s="8" t="n">
        <v>639</v>
      </c>
      <c r="AG2017" s="9" t="n">
        <v>14530</v>
      </c>
      <c r="AH2017" s="10" t="n">
        <v>823</v>
      </c>
      <c r="AI2017" s="10" t="n">
        <v>905</v>
      </c>
      <c r="AJ2017" s="11" t="n">
        <v>15661</v>
      </c>
      <c r="AK2017" s="12" t="n">
        <v>1244</v>
      </c>
      <c r="AL2017" s="12" t="n">
        <v>976</v>
      </c>
      <c r="AM2017" s="13" t="n">
        <v>7.8</v>
      </c>
      <c r="AN2017" s="13" t="n">
        <v>16.8</v>
      </c>
      <c r="AO2017" s="13" t="n">
        <v>51.2</v>
      </c>
      <c r="AP2017" s="13" t="n">
        <v>60.1</v>
      </c>
    </row>
    <row r="2018">
      <c r="A2018" s="5" t="inlineStr">
        <is>
          <t>유비쿼스</t>
        </is>
      </c>
      <c r="B2018" s="6" t="inlineStr">
        <is>
          <t>264450</t>
        </is>
      </c>
      <c r="C2018" s="6" t="inlineStr">
        <is>
          <t>연결</t>
        </is>
      </c>
      <c r="D2018" s="6" t="inlineStr">
        <is>
          <t>2026Q2</t>
        </is>
      </c>
      <c r="E2018" s="6" t="inlineStr"/>
      <c r="F2018" s="7" t="inlineStr"/>
      <c r="G2018" s="8" t="inlineStr"/>
      <c r="H2018" s="8" t="inlineStr"/>
      <c r="I2018" s="9" t="n">
        <v>27133</v>
      </c>
      <c r="J2018" s="10" t="n">
        <v>2733</v>
      </c>
      <c r="K2018" s="10" t="n">
        <v>6718</v>
      </c>
      <c r="L2018" s="7" t="n">
        <v>22791</v>
      </c>
      <c r="M2018" s="8" t="n">
        <v>1975</v>
      </c>
      <c r="N2018" s="8" t="n">
        <v>3142</v>
      </c>
      <c r="O2018" s="9" t="n">
        <v>23924</v>
      </c>
      <c r="P2018" s="10" t="n">
        <v>2830</v>
      </c>
      <c r="Q2018" s="10" t="n">
        <v>2611</v>
      </c>
      <c r="R2018" s="7" t="n">
        <v>29945</v>
      </c>
      <c r="S2018" s="8" t="n">
        <v>4833</v>
      </c>
      <c r="T2018" s="8" t="n">
        <v>8809</v>
      </c>
      <c r="U2018" s="9" t="n">
        <v>21478</v>
      </c>
      <c r="V2018" s="10" t="n">
        <v>2883</v>
      </c>
      <c r="W2018" s="10" t="n">
        <v>3369</v>
      </c>
      <c r="X2018" s="7" t="n">
        <v>31784</v>
      </c>
      <c r="Y2018" s="8" t="n">
        <v>5552</v>
      </c>
      <c r="Z2018" s="8" t="n">
        <v>5396</v>
      </c>
      <c r="AA2018" s="9" t="n">
        <v>28199</v>
      </c>
      <c r="AB2018" s="10" t="n">
        <v>5571</v>
      </c>
      <c r="AC2018" s="10" t="n">
        <v>5960</v>
      </c>
      <c r="AD2018" s="7" t="n">
        <v>34977</v>
      </c>
      <c r="AE2018" s="8" t="n">
        <v>9098</v>
      </c>
      <c r="AF2018" s="8" t="n">
        <v>9328</v>
      </c>
      <c r="AG2018" s="9" t="n">
        <v>22921</v>
      </c>
      <c r="AH2018" s="10" t="n">
        <v>3661</v>
      </c>
      <c r="AI2018" s="10" t="n">
        <v>7249</v>
      </c>
      <c r="AJ2018" s="11" t="n">
        <v>35698</v>
      </c>
      <c r="AK2018" s="12" t="n">
        <v>9006</v>
      </c>
      <c r="AL2018" s="12" t="n">
        <v>10013</v>
      </c>
      <c r="AM2018" s="13" t="n">
        <v>55.7</v>
      </c>
      <c r="AN2018" s="13" t="n">
        <v>12.3</v>
      </c>
      <c r="AO2018" s="13" t="n">
        <v>146</v>
      </c>
      <c r="AP2018" s="13" t="n">
        <v>62.2</v>
      </c>
    </row>
    <row r="2019">
      <c r="A2019" s="5" t="inlineStr">
        <is>
          <t>씨앤지하이테크</t>
        </is>
      </c>
      <c r="B2019" s="6" t="inlineStr">
        <is>
          <t>264660</t>
        </is>
      </c>
      <c r="C2019" s="6" t="inlineStr">
        <is>
          <t>연결</t>
        </is>
      </c>
      <c r="D2019" s="6" t="inlineStr">
        <is>
          <t>2026Q2</t>
        </is>
      </c>
      <c r="E2019" s="6" t="inlineStr"/>
      <c r="F2019" s="7" t="inlineStr"/>
      <c r="G2019" s="8" t="inlineStr"/>
      <c r="H2019" s="8" t="inlineStr"/>
      <c r="I2019" s="9" t="n">
        <v>35273</v>
      </c>
      <c r="J2019" s="10" t="n">
        <v>97</v>
      </c>
      <c r="K2019" s="10" t="n">
        <v>1454</v>
      </c>
      <c r="L2019" s="7" t="n">
        <v>49392</v>
      </c>
      <c r="M2019" s="8" t="n">
        <v>6380</v>
      </c>
      <c r="N2019" s="8" t="n">
        <v>3924</v>
      </c>
      <c r="O2019" s="9" t="n">
        <v>23113</v>
      </c>
      <c r="P2019" s="10" t="n">
        <v>-1173</v>
      </c>
      <c r="Q2019" s="10" t="n">
        <v>-2846</v>
      </c>
      <c r="R2019" s="7" t="n">
        <v>43410</v>
      </c>
      <c r="S2019" s="8" t="n">
        <v>7636</v>
      </c>
      <c r="T2019" s="8" t="n">
        <v>4352</v>
      </c>
      <c r="U2019" s="9" t="n">
        <v>80890</v>
      </c>
      <c r="V2019" s="10" t="n">
        <v>4456</v>
      </c>
      <c r="W2019" s="10" t="n">
        <v>4429</v>
      </c>
      <c r="X2019" s="7" t="n">
        <v>39141</v>
      </c>
      <c r="Y2019" s="8" t="n">
        <v>3135</v>
      </c>
      <c r="Z2019" s="8" t="n">
        <v>1868</v>
      </c>
      <c r="AA2019" s="9" t="n">
        <v>20454</v>
      </c>
      <c r="AB2019" s="10" t="n">
        <v>6797</v>
      </c>
      <c r="AC2019" s="10" t="n">
        <v>6142</v>
      </c>
      <c r="AD2019" s="7" t="n">
        <v>55709</v>
      </c>
      <c r="AE2019" s="8" t="n">
        <v>10354</v>
      </c>
      <c r="AF2019" s="8" t="n">
        <v>7093</v>
      </c>
      <c r="AG2019" s="9" t="n">
        <v>17106</v>
      </c>
      <c r="AH2019" s="10" t="n">
        <v>-2167</v>
      </c>
      <c r="AI2019" s="10" t="n">
        <v>956</v>
      </c>
      <c r="AJ2019" s="11" t="n">
        <v>72301</v>
      </c>
      <c r="AK2019" s="12" t="n">
        <v>9328</v>
      </c>
      <c r="AL2019" s="12" t="n">
        <v>5689</v>
      </c>
      <c r="AM2019" s="13" t="n">
        <v>322.7</v>
      </c>
      <c r="AN2019" s="13" t="n">
        <v>84.7</v>
      </c>
      <c r="AO2019" s="13" t="n">
        <v>530.5</v>
      </c>
      <c r="AP2019" s="13" t="n">
        <v>197.5</v>
      </c>
    </row>
    <row r="2020">
      <c r="A2020" s="5" t="inlineStr">
        <is>
          <t>이랜시스</t>
        </is>
      </c>
      <c r="B2020" s="6" t="inlineStr">
        <is>
          <t>264850</t>
        </is>
      </c>
      <c r="C2020" s="6" t="inlineStr">
        <is>
          <t>연결</t>
        </is>
      </c>
      <c r="D2020" s="6" t="inlineStr">
        <is>
          <t>2026Q2</t>
        </is>
      </c>
      <c r="E2020" s="6" t="inlineStr"/>
      <c r="F2020" s="7" t="inlineStr"/>
      <c r="G2020" s="8" t="inlineStr"/>
      <c r="H2020" s="8" t="inlineStr"/>
      <c r="I2020" s="9" t="n">
        <v>17777</v>
      </c>
      <c r="J2020" s="10" t="n">
        <v>1704</v>
      </c>
      <c r="K2020" s="10" t="n">
        <v>1298</v>
      </c>
      <c r="L2020" s="7" t="n">
        <v>17826</v>
      </c>
      <c r="M2020" s="8" t="n">
        <v>1597</v>
      </c>
      <c r="N2020" s="8" t="n">
        <v>1327</v>
      </c>
      <c r="O2020" s="9" t="n">
        <v>16714</v>
      </c>
      <c r="P2020" s="10" t="n">
        <v>1572</v>
      </c>
      <c r="Q2020" s="10" t="n">
        <v>1449</v>
      </c>
      <c r="R2020" s="7" t="n">
        <v>19241</v>
      </c>
      <c r="S2020" s="8" t="n">
        <v>982</v>
      </c>
      <c r="T2020" s="8" t="n">
        <v>912</v>
      </c>
      <c r="U2020" s="9" t="n">
        <v>18702</v>
      </c>
      <c r="V2020" s="10" t="n">
        <v>1392</v>
      </c>
      <c r="W2020" s="10" t="n">
        <v>1452</v>
      </c>
      <c r="X2020" s="7" t="n">
        <v>16333</v>
      </c>
      <c r="Y2020" s="8" t="n">
        <v>678</v>
      </c>
      <c r="Z2020" s="8" t="n">
        <v>631</v>
      </c>
      <c r="AA2020" s="9" t="n">
        <v>16948</v>
      </c>
      <c r="AB2020" s="10" t="n">
        <v>1146</v>
      </c>
      <c r="AC2020" s="10" t="n">
        <v>1201</v>
      </c>
      <c r="AD2020" s="7" t="n">
        <v>17592</v>
      </c>
      <c r="AE2020" s="8" t="n">
        <v>670</v>
      </c>
      <c r="AF2020" s="8" t="n">
        <v>957</v>
      </c>
      <c r="AG2020" s="9" t="n">
        <v>19150</v>
      </c>
      <c r="AH2020" s="10" t="n">
        <v>1178</v>
      </c>
      <c r="AI2020" s="10" t="n">
        <v>1760</v>
      </c>
      <c r="AJ2020" s="11" t="n">
        <v>20734</v>
      </c>
      <c r="AK2020" s="12" t="n">
        <v>1368</v>
      </c>
      <c r="AL2020" s="12" t="n">
        <v>184</v>
      </c>
      <c r="AM2020" s="13" t="n">
        <v>8.300000000000001</v>
      </c>
      <c r="AN2020" s="13" t="n">
        <v>26.9</v>
      </c>
      <c r="AO2020" s="13" t="n">
        <v>16.1</v>
      </c>
      <c r="AP2020" s="13" t="n">
        <v>101.8</v>
      </c>
    </row>
    <row r="2021">
      <c r="A2021" s="5" t="inlineStr">
        <is>
          <t>크라운제과</t>
        </is>
      </c>
      <c r="B2021" s="6" t="inlineStr">
        <is>
          <t>264900</t>
        </is>
      </c>
      <c r="C2021" s="6" t="inlineStr">
        <is>
          <t>별도</t>
        </is>
      </c>
      <c r="D2021" s="6" t="inlineStr">
        <is>
          <t>2026Q2</t>
        </is>
      </c>
      <c r="E2021" s="6" t="inlineStr"/>
      <c r="F2021" s="7" t="inlineStr"/>
      <c r="G2021" s="8" t="inlineStr"/>
      <c r="H2021" s="8" t="inlineStr"/>
      <c r="I2021" s="9" t="n">
        <v>108946</v>
      </c>
      <c r="J2021" s="10" t="n">
        <v>7917</v>
      </c>
      <c r="K2021" s="10" t="n">
        <v>6503</v>
      </c>
      <c r="L2021" s="7" t="n">
        <v>109770</v>
      </c>
      <c r="M2021" s="8" t="n">
        <v>7538</v>
      </c>
      <c r="N2021" s="8" t="n">
        <v>5559</v>
      </c>
      <c r="O2021" s="9" t="n">
        <v>106291</v>
      </c>
      <c r="P2021" s="10" t="n">
        <v>5056</v>
      </c>
      <c r="Q2021" s="10" t="n">
        <v>3747</v>
      </c>
      <c r="R2021" s="7" t="n">
        <v>113095</v>
      </c>
      <c r="S2021" s="8" t="n">
        <v>536</v>
      </c>
      <c r="T2021" s="8" t="n">
        <v>967</v>
      </c>
      <c r="U2021" s="9" t="n">
        <v>109527</v>
      </c>
      <c r="V2021" s="10" t="n">
        <v>6272</v>
      </c>
      <c r="W2021" s="10" t="n">
        <v>4989</v>
      </c>
      <c r="X2021" s="7" t="n">
        <v>114396</v>
      </c>
      <c r="Y2021" s="8" t="n">
        <v>4566</v>
      </c>
      <c r="Z2021" s="8" t="n">
        <v>3553</v>
      </c>
      <c r="AA2021" s="9" t="n">
        <v>108458</v>
      </c>
      <c r="AB2021" s="10" t="n">
        <v>2714</v>
      </c>
      <c r="AC2021" s="10" t="n">
        <v>1946</v>
      </c>
      <c r="AD2021" s="7" t="n">
        <v>112457</v>
      </c>
      <c r="AE2021" s="8" t="n">
        <v>1713</v>
      </c>
      <c r="AF2021" s="8" t="n">
        <v>1838</v>
      </c>
      <c r="AG2021" s="9" t="n">
        <v>108355</v>
      </c>
      <c r="AH2021" s="10" t="n">
        <v>4041</v>
      </c>
      <c r="AI2021" s="10" t="n">
        <v>3415</v>
      </c>
      <c r="AJ2021" s="11" t="n">
        <v>110669</v>
      </c>
      <c r="AK2021" s="12" t="n">
        <v>3527</v>
      </c>
      <c r="AL2021" s="12" t="n">
        <v>3028</v>
      </c>
      <c r="AM2021" s="13" t="n">
        <v>2.1</v>
      </c>
      <c r="AN2021" s="13" t="n">
        <v>-3.3</v>
      </c>
      <c r="AO2021" s="13" t="n">
        <v>-12.7</v>
      </c>
      <c r="AP2021" s="13" t="n">
        <v>-22.8</v>
      </c>
    </row>
    <row r="2022">
      <c r="A2022" s="5" t="inlineStr">
        <is>
          <t>AP시스템</t>
        </is>
      </c>
      <c r="B2022" s="6" t="inlineStr">
        <is>
          <t>265520</t>
        </is>
      </c>
      <c r="C2022" s="6" t="inlineStr">
        <is>
          <t>연결</t>
        </is>
      </c>
      <c r="D2022" s="6" t="inlineStr">
        <is>
          <t>2026Q2</t>
        </is>
      </c>
      <c r="E2022" s="6" t="inlineStr">
        <is>
          <t>2023Q4</t>
        </is>
      </c>
      <c r="F2022" s="14" t="n">
        <v>159336</v>
      </c>
      <c r="G2022" s="15" t="n">
        <v>20684</v>
      </c>
      <c r="H2022" s="15" t="n">
        <v>20447</v>
      </c>
      <c r="I2022" s="9" t="n">
        <v>91787</v>
      </c>
      <c r="J2022" s="10" t="n">
        <v>7238</v>
      </c>
      <c r="K2022" s="10" t="n">
        <v>11683</v>
      </c>
      <c r="L2022" s="7" t="n">
        <v>129289</v>
      </c>
      <c r="M2022" s="8" t="n">
        <v>12649</v>
      </c>
      <c r="N2022" s="8" t="n">
        <v>15023</v>
      </c>
      <c r="O2022" s="9" t="n">
        <v>131858</v>
      </c>
      <c r="P2022" s="10" t="n">
        <v>14322</v>
      </c>
      <c r="Q2022" s="10" t="n">
        <v>5801</v>
      </c>
      <c r="R2022" s="7" t="n">
        <v>163764</v>
      </c>
      <c r="S2022" s="8" t="n">
        <v>12981</v>
      </c>
      <c r="T2022" s="8" t="n">
        <v>19277</v>
      </c>
      <c r="U2022" s="9" t="n">
        <v>121923</v>
      </c>
      <c r="V2022" s="10" t="n">
        <v>7641</v>
      </c>
      <c r="W2022" s="10" t="n">
        <v>5767</v>
      </c>
      <c r="X2022" s="7" t="n">
        <v>110262</v>
      </c>
      <c r="Y2022" s="8" t="n">
        <v>2709</v>
      </c>
      <c r="Z2022" s="8" t="n">
        <v>-4512</v>
      </c>
      <c r="AA2022" s="9" t="n">
        <v>96315</v>
      </c>
      <c r="AB2022" s="10" t="n">
        <v>13364</v>
      </c>
      <c r="AC2022" s="10" t="n">
        <v>12434</v>
      </c>
      <c r="AD2022" s="7" t="n">
        <v>131645</v>
      </c>
      <c r="AE2022" s="8" t="n">
        <v>9614</v>
      </c>
      <c r="AF2022" s="8" t="n">
        <v>10096</v>
      </c>
      <c r="AG2022" s="9" t="n">
        <v>196133</v>
      </c>
      <c r="AH2022" s="10" t="n">
        <v>17988</v>
      </c>
      <c r="AI2022" s="10" t="n">
        <v>19739</v>
      </c>
      <c r="AJ2022" s="11" t="n">
        <v>162844</v>
      </c>
      <c r="AK2022" s="12" t="n">
        <v>9595</v>
      </c>
      <c r="AL2022" s="12" t="n">
        <v>9495</v>
      </c>
      <c r="AM2022" s="13" t="n">
        <v>-17</v>
      </c>
      <c r="AN2022" s="13" t="n">
        <v>47.7</v>
      </c>
      <c r="AO2022" s="13" t="n">
        <v>-46.7</v>
      </c>
      <c r="AP2022" s="13" t="n">
        <v>254.2</v>
      </c>
    </row>
    <row r="2023">
      <c r="A2023" s="5" t="inlineStr">
        <is>
          <t>영화테크</t>
        </is>
      </c>
      <c r="B2023" s="6" t="inlineStr">
        <is>
          <t>265560</t>
        </is>
      </c>
      <c r="C2023" s="6" t="inlineStr">
        <is>
          <t>연결</t>
        </is>
      </c>
      <c r="D2023" s="6" t="inlineStr">
        <is>
          <t>2026Q2</t>
        </is>
      </c>
      <c r="E2023" s="6" t="inlineStr"/>
      <c r="F2023" s="7" t="inlineStr"/>
      <c r="G2023" s="8" t="inlineStr"/>
      <c r="H2023" s="8" t="inlineStr"/>
      <c r="I2023" s="9" t="n">
        <v>18570</v>
      </c>
      <c r="J2023" s="10" t="n">
        <v>2593</v>
      </c>
      <c r="K2023" s="10" t="n">
        <v>2924</v>
      </c>
      <c r="L2023" s="7" t="n">
        <v>26168</v>
      </c>
      <c r="M2023" s="8" t="n">
        <v>4086</v>
      </c>
      <c r="N2023" s="8" t="n">
        <v>4317</v>
      </c>
      <c r="O2023" s="9" t="n">
        <v>22216</v>
      </c>
      <c r="P2023" s="10" t="n">
        <v>3160</v>
      </c>
      <c r="Q2023" s="10" t="n">
        <v>2637</v>
      </c>
      <c r="R2023" s="7" t="n">
        <v>27873</v>
      </c>
      <c r="S2023" s="8" t="n">
        <v>5549</v>
      </c>
      <c r="T2023" s="8" t="n">
        <v>4145</v>
      </c>
      <c r="U2023" s="9" t="n">
        <v>26770</v>
      </c>
      <c r="V2023" s="10" t="n">
        <v>3583</v>
      </c>
      <c r="W2023" s="10" t="n">
        <v>2883</v>
      </c>
      <c r="X2023" s="7" t="n">
        <v>27540</v>
      </c>
      <c r="Y2023" s="8" t="n">
        <v>4795</v>
      </c>
      <c r="Z2023" s="8" t="n">
        <v>1071</v>
      </c>
      <c r="AA2023" s="9" t="n">
        <v>25608</v>
      </c>
      <c r="AB2023" s="10" t="n">
        <v>3631</v>
      </c>
      <c r="AC2023" s="10" t="n">
        <v>4853</v>
      </c>
      <c r="AD2023" s="7" t="n">
        <v>28696</v>
      </c>
      <c r="AE2023" s="8" t="n">
        <v>6033</v>
      </c>
      <c r="AF2023" s="8" t="n">
        <v>10234</v>
      </c>
      <c r="AG2023" s="9" t="n">
        <v>24416</v>
      </c>
      <c r="AH2023" s="10" t="n">
        <v>3067</v>
      </c>
      <c r="AI2023" s="10" t="n">
        <v>7741</v>
      </c>
      <c r="AJ2023" s="11" t="n">
        <v>28072</v>
      </c>
      <c r="AK2023" s="12" t="n">
        <v>3989</v>
      </c>
      <c r="AL2023" s="12" t="n">
        <v>6404</v>
      </c>
      <c r="AM2023" s="13" t="n">
        <v>15</v>
      </c>
      <c r="AN2023" s="13" t="n">
        <v>1.9</v>
      </c>
      <c r="AO2023" s="13" t="n">
        <v>30.1</v>
      </c>
      <c r="AP2023" s="13" t="n">
        <v>-16.8</v>
      </c>
    </row>
    <row r="2024">
      <c r="A2024" s="5" t="inlineStr">
        <is>
          <t>엔에프씨</t>
        </is>
      </c>
      <c r="B2024" s="6" t="inlineStr">
        <is>
          <t>265740</t>
        </is>
      </c>
      <c r="C2024" s="6" t="inlineStr">
        <is>
          <t>별도</t>
        </is>
      </c>
      <c r="D2024" s="6" t="inlineStr">
        <is>
          <t>2026Q2</t>
        </is>
      </c>
      <c r="E2024" s="6" t="inlineStr"/>
      <c r="F2024" s="7" t="inlineStr"/>
      <c r="G2024" s="8" t="inlineStr"/>
      <c r="H2024" s="8" t="inlineStr"/>
      <c r="I2024" s="9" t="n">
        <v>11283</v>
      </c>
      <c r="J2024" s="10" t="n">
        <v>-1703</v>
      </c>
      <c r="K2024" s="10" t="n">
        <v>-1238</v>
      </c>
      <c r="L2024" s="7" t="n">
        <v>11307</v>
      </c>
      <c r="M2024" s="8" t="n">
        <v>-5896</v>
      </c>
      <c r="N2024" s="8" t="n">
        <v>-4593</v>
      </c>
      <c r="O2024" s="9" t="n">
        <v>9825</v>
      </c>
      <c r="P2024" s="10" t="n">
        <v>1187</v>
      </c>
      <c r="Q2024" s="10" t="n">
        <v>906</v>
      </c>
      <c r="R2024" s="7" t="n">
        <v>7811</v>
      </c>
      <c r="S2024" s="8" t="n">
        <v>-676</v>
      </c>
      <c r="T2024" s="8" t="n">
        <v>-315</v>
      </c>
      <c r="U2024" s="9" t="n">
        <v>11310</v>
      </c>
      <c r="V2024" s="10" t="n">
        <v>1408</v>
      </c>
      <c r="W2024" s="10" t="n">
        <v>1089</v>
      </c>
      <c r="X2024" s="7" t="n">
        <v>16781</v>
      </c>
      <c r="Y2024" s="8" t="n">
        <v>3078</v>
      </c>
      <c r="Z2024" s="8" t="n">
        <v>2530</v>
      </c>
      <c r="AA2024" s="9" t="n">
        <v>18200</v>
      </c>
      <c r="AB2024" s="10" t="n">
        <v>2949</v>
      </c>
      <c r="AC2024" s="10" t="n">
        <v>2496</v>
      </c>
      <c r="AD2024" s="7" t="n">
        <v>25331</v>
      </c>
      <c r="AE2024" s="8" t="n">
        <v>5083</v>
      </c>
      <c r="AF2024" s="8" t="n">
        <v>3945</v>
      </c>
      <c r="AG2024" s="9" t="n">
        <v>22200</v>
      </c>
      <c r="AH2024" s="10" t="n">
        <v>4027</v>
      </c>
      <c r="AI2024" s="10" t="n">
        <v>3468</v>
      </c>
      <c r="AJ2024" s="11" t="n">
        <v>26884</v>
      </c>
      <c r="AK2024" s="12" t="n">
        <v>4998</v>
      </c>
      <c r="AL2024" s="12" t="n">
        <v>3540</v>
      </c>
      <c r="AM2024" s="13" t="n">
        <v>21.1</v>
      </c>
      <c r="AN2024" s="13" t="n">
        <v>60.2</v>
      </c>
      <c r="AO2024" s="13" t="n">
        <v>24.1</v>
      </c>
      <c r="AP2024" s="13" t="n">
        <v>62.4</v>
      </c>
    </row>
    <row r="2025">
      <c r="A2025" s="5" t="inlineStr">
        <is>
          <t>팡스카이</t>
        </is>
      </c>
      <c r="B2025" s="6" t="inlineStr">
        <is>
          <t>266350</t>
        </is>
      </c>
      <c r="C2025" s="6" t="inlineStr">
        <is>
          <t>연결</t>
        </is>
      </c>
      <c r="D2025" s="6" t="inlineStr">
        <is>
          <t>2024Q1</t>
        </is>
      </c>
      <c r="E2025" s="6" t="inlineStr"/>
      <c r="F2025" s="7" t="inlineStr"/>
      <c r="G2025" s="8" t="inlineStr"/>
      <c r="H2025" s="8" t="inlineStr"/>
      <c r="I2025" s="9" t="n">
        <v>2919</v>
      </c>
      <c r="J2025" s="10" t="n">
        <v>114</v>
      </c>
      <c r="K2025" s="10" t="n">
        <v>-77</v>
      </c>
      <c r="L2025" s="7" t="inlineStr"/>
      <c r="M2025" s="8" t="inlineStr"/>
      <c r="N2025" s="8" t="inlineStr"/>
      <c r="O2025" s="9" t="inlineStr"/>
      <c r="P2025" s="10" t="inlineStr"/>
      <c r="Q2025" s="10" t="inlineStr"/>
      <c r="R2025" s="7" t="inlineStr"/>
      <c r="S2025" s="8" t="inlineStr"/>
      <c r="T2025" s="8" t="inlineStr"/>
      <c r="U2025" s="9" t="inlineStr"/>
      <c r="V2025" s="10" t="inlineStr"/>
      <c r="W2025" s="10" t="inlineStr"/>
      <c r="X2025" s="7" t="inlineStr"/>
      <c r="Y2025" s="8" t="inlineStr"/>
      <c r="Z2025" s="8" t="inlineStr"/>
      <c r="AA2025" s="9" t="inlineStr"/>
      <c r="AB2025" s="10" t="inlineStr"/>
      <c r="AC2025" s="10" t="inlineStr"/>
      <c r="AD2025" s="7" t="inlineStr"/>
      <c r="AE2025" s="8" t="inlineStr"/>
      <c r="AF2025" s="8" t="inlineStr"/>
      <c r="AG2025" s="9" t="inlineStr"/>
      <c r="AH2025" s="10" t="inlineStr"/>
      <c r="AI2025" s="10" t="inlineStr"/>
      <c r="AJ2025" s="11" t="inlineStr"/>
      <c r="AK2025" s="12" t="inlineStr"/>
      <c r="AL2025" s="12" t="inlineStr"/>
      <c r="AM2025" s="13" t="inlineStr"/>
      <c r="AN2025" s="13" t="inlineStr"/>
      <c r="AO2025" s="13" t="inlineStr"/>
      <c r="AP2025" s="13" t="inlineStr"/>
    </row>
    <row r="2026">
      <c r="A2026" s="5" t="inlineStr">
        <is>
          <t>덕산넵코어스</t>
        </is>
      </c>
      <c r="B2026" s="6" t="inlineStr">
        <is>
          <t>266690</t>
        </is>
      </c>
      <c r="C2026" s="6" t="inlineStr">
        <is>
          <t>별도</t>
        </is>
      </c>
      <c r="D2026" s="6" t="inlineStr">
        <is>
          <t>2026Q2</t>
        </is>
      </c>
      <c r="E2026" s="6" t="inlineStr"/>
      <c r="F2026" s="7" t="inlineStr"/>
      <c r="G2026" s="8" t="inlineStr"/>
      <c r="H2026" s="8" t="inlineStr"/>
      <c r="I2026" s="9" t="inlineStr"/>
      <c r="J2026" s="10" t="inlineStr"/>
      <c r="K2026" s="10" t="inlineStr"/>
      <c r="L2026" s="7" t="inlineStr"/>
      <c r="M2026" s="8" t="inlineStr"/>
      <c r="N2026" s="8" t="inlineStr"/>
      <c r="O2026" s="9" t="inlineStr"/>
      <c r="P2026" s="10" t="inlineStr"/>
      <c r="Q2026" s="10" t="inlineStr"/>
      <c r="R2026" s="7" t="inlineStr"/>
      <c r="S2026" s="8" t="inlineStr"/>
      <c r="T2026" s="8" t="inlineStr"/>
      <c r="U2026" s="9" t="inlineStr"/>
      <c r="V2026" s="10" t="inlineStr"/>
      <c r="W2026" s="10" t="inlineStr"/>
      <c r="X2026" s="7" t="inlineStr"/>
      <c r="Y2026" s="8" t="inlineStr"/>
      <c r="Z2026" s="8" t="inlineStr"/>
      <c r="AA2026" s="9" t="inlineStr"/>
      <c r="AB2026" s="10" t="inlineStr"/>
      <c r="AC2026" s="10" t="inlineStr"/>
      <c r="AD2026" s="7" t="inlineStr"/>
      <c r="AE2026" s="8" t="inlineStr"/>
      <c r="AF2026" s="8" t="inlineStr"/>
      <c r="AG2026" s="9" t="n">
        <v>11974</v>
      </c>
      <c r="AH2026" s="10" t="n">
        <v>227</v>
      </c>
      <c r="AI2026" s="10" t="n">
        <v>242</v>
      </c>
      <c r="AJ2026" s="11" t="n">
        <v>11796</v>
      </c>
      <c r="AK2026" s="12" t="n">
        <v>524</v>
      </c>
      <c r="AL2026" s="12" t="n">
        <v>483</v>
      </c>
      <c r="AM2026" s="13" t="n">
        <v>-1.5</v>
      </c>
      <c r="AN2026" s="13" t="inlineStr"/>
      <c r="AO2026" s="13" t="n">
        <v>130.8</v>
      </c>
      <c r="AP2026" s="13" t="inlineStr"/>
    </row>
    <row r="2027">
      <c r="A2027" s="5" t="inlineStr">
        <is>
          <t>HD현대</t>
        </is>
      </c>
      <c r="B2027" s="6" t="inlineStr">
        <is>
          <t>267250</t>
        </is>
      </c>
      <c r="C2027" s="6" t="inlineStr">
        <is>
          <t>연결</t>
        </is>
      </c>
      <c r="D2027" s="6" t="inlineStr">
        <is>
          <t>2026Q2</t>
        </is>
      </c>
      <c r="E2027" s="6" t="inlineStr">
        <is>
          <t>2023Q4</t>
        </is>
      </c>
      <c r="F2027" s="14" t="n">
        <v>16712800</v>
      </c>
      <c r="G2027" s="15" t="n">
        <v>357900</v>
      </c>
      <c r="H2027" s="15" t="n">
        <v>-117000</v>
      </c>
      <c r="I2027" s="9" t="n">
        <v>16514418</v>
      </c>
      <c r="J2027" s="10" t="n">
        <v>793640</v>
      </c>
      <c r="K2027" s="10" t="n">
        <v>508304</v>
      </c>
      <c r="L2027" s="7" t="n">
        <v>17554834</v>
      </c>
      <c r="M2027" s="8" t="n">
        <v>879817</v>
      </c>
      <c r="N2027" s="8" t="n">
        <v>544087</v>
      </c>
      <c r="O2027" s="9" t="n">
        <v>16599170</v>
      </c>
      <c r="P2027" s="10" t="n">
        <v>431557</v>
      </c>
      <c r="Q2027" s="10" t="n">
        <v>101699</v>
      </c>
      <c r="R2027" s="7" t="n">
        <v>17097204</v>
      </c>
      <c r="S2027" s="8" t="n">
        <v>878149</v>
      </c>
      <c r="T2027" s="8" t="n">
        <v>776089</v>
      </c>
      <c r="U2027" s="9" t="n">
        <v>17086949</v>
      </c>
      <c r="V2027" s="10" t="n">
        <v>1286397</v>
      </c>
      <c r="W2027" s="10" t="n">
        <v>777405</v>
      </c>
      <c r="X2027" s="7" t="n">
        <v>17211008</v>
      </c>
      <c r="Y2027" s="8" t="n">
        <v>1138887</v>
      </c>
      <c r="Z2027" s="8" t="n">
        <v>487975</v>
      </c>
      <c r="AA2027" s="9" t="n">
        <v>18224353</v>
      </c>
      <c r="AB2027" s="10" t="n">
        <v>1702387</v>
      </c>
      <c r="AC2027" s="10" t="n">
        <v>986906</v>
      </c>
      <c r="AD2027" s="7" t="n">
        <v>18737128</v>
      </c>
      <c r="AE2027" s="8" t="n">
        <v>1971965</v>
      </c>
      <c r="AF2027" s="8" t="n">
        <v>1423197</v>
      </c>
      <c r="AG2027" s="9" t="n">
        <v>19601950</v>
      </c>
      <c r="AH2027" s="10" t="n">
        <v>2834761</v>
      </c>
      <c r="AI2027" s="10" t="n">
        <v>2023048</v>
      </c>
      <c r="AJ2027" s="11" t="n">
        <v>22409333</v>
      </c>
      <c r="AK2027" s="12" t="n">
        <v>4124621</v>
      </c>
      <c r="AL2027" s="12" t="n">
        <v>3173128</v>
      </c>
      <c r="AM2027" s="13" t="n">
        <v>14.3</v>
      </c>
      <c r="AN2027" s="13" t="n">
        <v>30.2</v>
      </c>
      <c r="AO2027" s="13" t="n">
        <v>45.5</v>
      </c>
      <c r="AP2027" s="13" t="n">
        <v>262.2</v>
      </c>
    </row>
    <row r="2028">
      <c r="A2028" s="5" t="inlineStr">
        <is>
          <t>HD현대일렉트릭</t>
        </is>
      </c>
      <c r="B2028" s="6" t="inlineStr">
        <is>
          <t>267260</t>
        </is>
      </c>
      <c r="C2028" s="6" t="inlineStr">
        <is>
          <t>연결</t>
        </is>
      </c>
      <c r="D2028" s="6" t="inlineStr">
        <is>
          <t>2026Q2</t>
        </is>
      </c>
      <c r="E2028" s="6" t="inlineStr">
        <is>
          <t>2023Q4</t>
        </is>
      </c>
      <c r="F2028" s="14" t="n">
        <v>797300</v>
      </c>
      <c r="G2028" s="15" t="n">
        <v>124700</v>
      </c>
      <c r="H2028" s="15" t="n">
        <v>139000</v>
      </c>
      <c r="I2028" s="9" t="n">
        <v>800978</v>
      </c>
      <c r="J2028" s="10" t="n">
        <v>128779</v>
      </c>
      <c r="K2028" s="10" t="n">
        <v>93417</v>
      </c>
      <c r="L2028" s="7" t="n">
        <v>916909</v>
      </c>
      <c r="M2028" s="8" t="n">
        <v>210056</v>
      </c>
      <c r="N2028" s="8" t="n">
        <v>161209</v>
      </c>
      <c r="O2028" s="9" t="n">
        <v>788749</v>
      </c>
      <c r="P2028" s="10" t="n">
        <v>163817</v>
      </c>
      <c r="Q2028" s="10" t="n">
        <v>116609</v>
      </c>
      <c r="R2028" s="7" t="n">
        <v>815713</v>
      </c>
      <c r="S2028" s="8" t="n">
        <v>166319</v>
      </c>
      <c r="T2028" s="8" t="n">
        <v>127175</v>
      </c>
      <c r="U2028" s="9" t="n">
        <v>1014668</v>
      </c>
      <c r="V2028" s="10" t="n">
        <v>218178</v>
      </c>
      <c r="W2028" s="10" t="n">
        <v>153417</v>
      </c>
      <c r="X2028" s="7" t="n">
        <v>906219</v>
      </c>
      <c r="Y2028" s="8" t="n">
        <v>209142</v>
      </c>
      <c r="Z2028" s="8" t="n">
        <v>141909</v>
      </c>
      <c r="AA2028" s="9" t="n">
        <v>995432</v>
      </c>
      <c r="AB2028" s="10" t="n">
        <v>247076</v>
      </c>
      <c r="AC2028" s="10" t="n">
        <v>191138</v>
      </c>
      <c r="AD2028" s="7" t="n">
        <v>1163179</v>
      </c>
      <c r="AE2028" s="8" t="n">
        <v>320917</v>
      </c>
      <c r="AF2028" s="8" t="n">
        <v>245352</v>
      </c>
      <c r="AG2028" s="9" t="n">
        <v>1036500</v>
      </c>
      <c r="AH2028" s="10" t="n">
        <v>258269</v>
      </c>
      <c r="AI2028" s="10" t="n">
        <v>207689</v>
      </c>
      <c r="AJ2028" s="11" t="n">
        <v>1141813</v>
      </c>
      <c r="AK2028" s="12" t="n">
        <v>287035</v>
      </c>
      <c r="AL2028" s="12" t="n">
        <v>206139</v>
      </c>
      <c r="AM2028" s="13" t="n">
        <v>10.2</v>
      </c>
      <c r="AN2028" s="13" t="n">
        <v>26</v>
      </c>
      <c r="AO2028" s="13" t="n">
        <v>11.1</v>
      </c>
      <c r="AP2028" s="13" t="n">
        <v>37.2</v>
      </c>
    </row>
    <row r="2029">
      <c r="A2029" s="5" t="inlineStr">
        <is>
          <t>HD건설기계</t>
        </is>
      </c>
      <c r="B2029" s="6" t="inlineStr">
        <is>
          <t>267270</t>
        </is>
      </c>
      <c r="C2029" s="6" t="inlineStr">
        <is>
          <t>연결</t>
        </is>
      </c>
      <c r="D2029" s="6" t="inlineStr">
        <is>
          <t>2026Q2</t>
        </is>
      </c>
      <c r="E2029" s="6" t="inlineStr">
        <is>
          <t>2023Q4</t>
        </is>
      </c>
      <c r="F2029" s="14" t="n">
        <v>845900</v>
      </c>
      <c r="G2029" s="15" t="n">
        <v>26800</v>
      </c>
      <c r="H2029" s="15" t="n">
        <v>-42800</v>
      </c>
      <c r="I2029" s="9" t="n">
        <v>979111</v>
      </c>
      <c r="J2029" s="10" t="n">
        <v>53621</v>
      </c>
      <c r="K2029" s="10" t="n">
        <v>45812</v>
      </c>
      <c r="L2029" s="7" t="n">
        <v>852993</v>
      </c>
      <c r="M2029" s="8" t="n">
        <v>58557</v>
      </c>
      <c r="N2029" s="8" t="n">
        <v>30626</v>
      </c>
      <c r="O2029" s="9" t="n">
        <v>816812</v>
      </c>
      <c r="P2029" s="10" t="n">
        <v>42990</v>
      </c>
      <c r="Q2029" s="10" t="n">
        <v>11450</v>
      </c>
      <c r="R2029" s="7" t="n">
        <v>789146</v>
      </c>
      <c r="S2029" s="8" t="n">
        <v>35254</v>
      </c>
      <c r="T2029" s="8" t="n">
        <v>-1921</v>
      </c>
      <c r="U2029" s="9" t="n">
        <v>906840</v>
      </c>
      <c r="V2029" s="10" t="n">
        <v>41651</v>
      </c>
      <c r="W2029" s="10" t="n">
        <v>25652</v>
      </c>
      <c r="X2029" s="7" t="n">
        <v>967708</v>
      </c>
      <c r="Y2029" s="8" t="n">
        <v>40044</v>
      </c>
      <c r="Z2029" s="8" t="n">
        <v>621</v>
      </c>
      <c r="AA2029" s="9" t="n">
        <v>954714</v>
      </c>
      <c r="AB2029" s="10" t="n">
        <v>55814</v>
      </c>
      <c r="AC2029" s="10" t="n">
        <v>42253</v>
      </c>
      <c r="AD2029" s="7" t="n">
        <v>947262</v>
      </c>
      <c r="AE2029" s="8" t="n">
        <v>33374</v>
      </c>
      <c r="AF2029" s="8" t="n">
        <v>18509</v>
      </c>
      <c r="AG2029" s="9" t="n">
        <v>2304866</v>
      </c>
      <c r="AH2029" s="10" t="n">
        <v>190699</v>
      </c>
      <c r="AI2029" s="10" t="n">
        <v>173871</v>
      </c>
      <c r="AJ2029" s="11" t="n">
        <v>2434171</v>
      </c>
      <c r="AK2029" s="12" t="n">
        <v>248884</v>
      </c>
      <c r="AL2029" s="12" t="n">
        <v>180695</v>
      </c>
      <c r="AM2029" s="13" t="n">
        <v>5.6</v>
      </c>
      <c r="AN2029" s="13" t="n">
        <v>151.5</v>
      </c>
      <c r="AO2029" s="13" t="n">
        <v>30.5</v>
      </c>
      <c r="AP2029" s="13" t="n">
        <v>521.5</v>
      </c>
    </row>
    <row r="2030">
      <c r="A2030" s="5" t="inlineStr">
        <is>
          <t>경동도시가스</t>
        </is>
      </c>
      <c r="B2030" s="6" t="inlineStr">
        <is>
          <t>267290</t>
        </is>
      </c>
      <c r="C2030" s="6" t="inlineStr">
        <is>
          <t>연결</t>
        </is>
      </c>
      <c r="D2030" s="6" t="inlineStr">
        <is>
          <t>2026Q2</t>
        </is>
      </c>
      <c r="E2030" s="6" t="inlineStr"/>
      <c r="F2030" s="7" t="inlineStr"/>
      <c r="G2030" s="8" t="inlineStr"/>
      <c r="H2030" s="8" t="inlineStr"/>
      <c r="I2030" s="9" t="n">
        <v>624119</v>
      </c>
      <c r="J2030" s="10" t="n">
        <v>16608</v>
      </c>
      <c r="K2030" s="10" t="n">
        <v>15494</v>
      </c>
      <c r="L2030" s="7" t="n">
        <v>374758</v>
      </c>
      <c r="M2030" s="8" t="n">
        <v>3695</v>
      </c>
      <c r="N2030" s="8" t="n">
        <v>4410</v>
      </c>
      <c r="O2030" s="9" t="n">
        <v>302521</v>
      </c>
      <c r="P2030" s="10" t="n">
        <v>1525</v>
      </c>
      <c r="Q2030" s="10" t="n">
        <v>2611</v>
      </c>
      <c r="R2030" s="7" t="n">
        <v>490510</v>
      </c>
      <c r="S2030" s="8" t="n">
        <v>5146</v>
      </c>
      <c r="T2030" s="8" t="n">
        <v>6124</v>
      </c>
      <c r="U2030" s="9" t="n">
        <v>687461</v>
      </c>
      <c r="V2030" s="10" t="n">
        <v>17888</v>
      </c>
      <c r="W2030" s="10" t="n">
        <v>15705</v>
      </c>
      <c r="X2030" s="7" t="n">
        <v>336737</v>
      </c>
      <c r="Y2030" s="8" t="n">
        <v>2892</v>
      </c>
      <c r="Z2030" s="8" t="n">
        <v>4577</v>
      </c>
      <c r="AA2030" s="9" t="n">
        <v>288824</v>
      </c>
      <c r="AB2030" s="10" t="n">
        <v>3565</v>
      </c>
      <c r="AC2030" s="10" t="n">
        <v>4499</v>
      </c>
      <c r="AD2030" s="7" t="n">
        <v>446443</v>
      </c>
      <c r="AE2030" s="8" t="n">
        <v>8701</v>
      </c>
      <c r="AF2030" s="8" t="n">
        <v>8066</v>
      </c>
      <c r="AG2030" s="9" t="n">
        <v>541759</v>
      </c>
      <c r="AH2030" s="10" t="n">
        <v>19578</v>
      </c>
      <c r="AI2030" s="10" t="n">
        <v>17284</v>
      </c>
      <c r="AJ2030" s="11" t="n">
        <v>447475</v>
      </c>
      <c r="AK2030" s="12" t="n">
        <v>7090</v>
      </c>
      <c r="AL2030" s="12" t="n">
        <v>7232</v>
      </c>
      <c r="AM2030" s="13" t="n">
        <v>-17.4</v>
      </c>
      <c r="AN2030" s="13" t="n">
        <v>32.9</v>
      </c>
      <c r="AO2030" s="13" t="n">
        <v>-63.8</v>
      </c>
      <c r="AP2030" s="13" t="n">
        <v>145.2</v>
      </c>
    </row>
    <row r="2031">
      <c r="A2031" s="5" t="inlineStr">
        <is>
          <t>나인테크</t>
        </is>
      </c>
      <c r="B2031" s="6" t="inlineStr">
        <is>
          <t>267320</t>
        </is>
      </c>
      <c r="C2031" s="6" t="inlineStr">
        <is>
          <t>연결</t>
        </is>
      </c>
      <c r="D2031" s="6" t="inlineStr">
        <is>
          <t>2026Q2</t>
        </is>
      </c>
      <c r="E2031" s="6" t="inlineStr"/>
      <c r="F2031" s="7" t="inlineStr"/>
      <c r="G2031" s="8" t="inlineStr"/>
      <c r="H2031" s="8" t="inlineStr"/>
      <c r="I2031" s="9" t="n">
        <v>44716</v>
      </c>
      <c r="J2031" s="10" t="n">
        <v>1412</v>
      </c>
      <c r="K2031" s="10" t="n">
        <v>714</v>
      </c>
      <c r="L2031" s="7" t="n">
        <v>22463</v>
      </c>
      <c r="M2031" s="8" t="n">
        <v>-932</v>
      </c>
      <c r="N2031" s="8" t="n">
        <v>16</v>
      </c>
      <c r="O2031" s="9" t="n">
        <v>34716</v>
      </c>
      <c r="P2031" s="10" t="n">
        <v>1570</v>
      </c>
      <c r="Q2031" s="10" t="n">
        <v>340</v>
      </c>
      <c r="R2031" s="7" t="n">
        <v>95325</v>
      </c>
      <c r="S2031" s="8" t="n">
        <v>2579</v>
      </c>
      <c r="T2031" s="8" t="n">
        <v>-6434</v>
      </c>
      <c r="U2031" s="9" t="n">
        <v>15892</v>
      </c>
      <c r="V2031" s="10" t="n">
        <v>-1405</v>
      </c>
      <c r="W2031" s="10" t="n">
        <v>-2493</v>
      </c>
      <c r="X2031" s="7" t="n">
        <v>27751</v>
      </c>
      <c r="Y2031" s="8" t="n">
        <v>845</v>
      </c>
      <c r="Z2031" s="8" t="n">
        <v>-8218</v>
      </c>
      <c r="AA2031" s="9" t="n">
        <v>22112</v>
      </c>
      <c r="AB2031" s="10" t="n">
        <v>-1355</v>
      </c>
      <c r="AC2031" s="10" t="n">
        <v>2631</v>
      </c>
      <c r="AD2031" s="7" t="n">
        <v>16614</v>
      </c>
      <c r="AE2031" s="8" t="n">
        <v>-7009</v>
      </c>
      <c r="AF2031" s="8" t="n">
        <v>-9343</v>
      </c>
      <c r="AG2031" s="9" t="n">
        <v>19785</v>
      </c>
      <c r="AH2031" s="10" t="n">
        <v>1468</v>
      </c>
      <c r="AI2031" s="10" t="n">
        <v>810</v>
      </c>
      <c r="AJ2031" s="11" t="n">
        <v>12723</v>
      </c>
      <c r="AK2031" s="12" t="n">
        <v>-470</v>
      </c>
      <c r="AL2031" s="12" t="n">
        <v>581</v>
      </c>
      <c r="AM2031" s="13" t="n">
        <v>-35.7</v>
      </c>
      <c r="AN2031" s="13" t="n">
        <v>-54.2</v>
      </c>
      <c r="AO2031" s="13" t="n">
        <v>-132</v>
      </c>
      <c r="AP2031" s="13" t="n">
        <v>-155.6</v>
      </c>
    </row>
    <row r="2032">
      <c r="A2032" s="5" t="inlineStr">
        <is>
          <t>배럴</t>
        </is>
      </c>
      <c r="B2032" s="6" t="inlineStr">
        <is>
          <t>267790</t>
        </is>
      </c>
      <c r="C2032" s="6" t="inlineStr">
        <is>
          <t>연결</t>
        </is>
      </c>
      <c r="D2032" s="6" t="inlineStr">
        <is>
          <t>2026Q2</t>
        </is>
      </c>
      <c r="E2032" s="6" t="inlineStr"/>
      <c r="F2032" s="7" t="inlineStr"/>
      <c r="G2032" s="8" t="inlineStr"/>
      <c r="H2032" s="8" t="inlineStr"/>
      <c r="I2032" s="9" t="n">
        <v>11628</v>
      </c>
      <c r="J2032" s="10" t="n">
        <v>1181</v>
      </c>
      <c r="K2032" s="10" t="n">
        <v>557</v>
      </c>
      <c r="L2032" s="7" t="n">
        <v>17262</v>
      </c>
      <c r="M2032" s="8" t="n">
        <v>2658</v>
      </c>
      <c r="N2032" s="8" t="n">
        <v>1424</v>
      </c>
      <c r="O2032" s="9" t="n">
        <v>25309</v>
      </c>
      <c r="P2032" s="10" t="n">
        <v>5319</v>
      </c>
      <c r="Q2032" s="10" t="n">
        <v>3807</v>
      </c>
      <c r="R2032" s="7" t="n">
        <v>10247</v>
      </c>
      <c r="S2032" s="8" t="n">
        <v>-78</v>
      </c>
      <c r="T2032" s="8" t="n">
        <v>-793</v>
      </c>
      <c r="U2032" s="9" t="n">
        <v>11340</v>
      </c>
      <c r="V2032" s="10" t="n">
        <v>1214</v>
      </c>
      <c r="W2032" s="10" t="n">
        <v>381</v>
      </c>
      <c r="X2032" s="7" t="n">
        <v>15524</v>
      </c>
      <c r="Y2032" s="8" t="n">
        <v>1400</v>
      </c>
      <c r="Z2032" s="8" t="n">
        <v>899</v>
      </c>
      <c r="AA2032" s="9" t="n">
        <v>23788</v>
      </c>
      <c r="AB2032" s="10" t="n">
        <v>4553</v>
      </c>
      <c r="AC2032" s="10" t="n">
        <v>3897</v>
      </c>
      <c r="AD2032" s="7" t="n">
        <v>8541</v>
      </c>
      <c r="AE2032" s="8" t="n">
        <v>-522</v>
      </c>
      <c r="AF2032" s="8" t="n">
        <v>-867</v>
      </c>
      <c r="AG2032" s="9" t="n">
        <v>10089</v>
      </c>
      <c r="AH2032" s="10" t="n">
        <v>424</v>
      </c>
      <c r="AI2032" s="10" t="n">
        <v>-32</v>
      </c>
      <c r="AJ2032" s="11" t="n">
        <v>15120</v>
      </c>
      <c r="AK2032" s="12" t="n">
        <v>1495</v>
      </c>
      <c r="AL2032" s="12" t="n">
        <v>6313</v>
      </c>
      <c r="AM2032" s="13" t="n">
        <v>49.9</v>
      </c>
      <c r="AN2032" s="13" t="n">
        <v>-2.6</v>
      </c>
      <c r="AO2032" s="13" t="n">
        <v>252.6</v>
      </c>
      <c r="AP2032" s="13" t="n">
        <v>6.8</v>
      </c>
    </row>
    <row r="2033">
      <c r="A2033" s="5" t="inlineStr">
        <is>
          <t>아시아나IDT</t>
        </is>
      </c>
      <c r="B2033" s="6" t="inlineStr">
        <is>
          <t>267850</t>
        </is>
      </c>
      <c r="C2033" s="6" t="inlineStr">
        <is>
          <t>별도</t>
        </is>
      </c>
      <c r="D2033" s="6" t="inlineStr">
        <is>
          <t>2026Q2</t>
        </is>
      </c>
      <c r="E2033" s="6" t="inlineStr"/>
      <c r="F2033" s="7" t="inlineStr"/>
      <c r="G2033" s="8" t="inlineStr"/>
      <c r="H2033" s="8" t="inlineStr"/>
      <c r="I2033" s="9" t="n">
        <v>46734</v>
      </c>
      <c r="J2033" s="10" t="n">
        <v>1781</v>
      </c>
      <c r="K2033" s="10" t="n">
        <v>3921</v>
      </c>
      <c r="L2033" s="7" t="n">
        <v>48828</v>
      </c>
      <c r="M2033" s="8" t="n">
        <v>265</v>
      </c>
      <c r="N2033" s="8" t="n">
        <v>1356</v>
      </c>
      <c r="O2033" s="9" t="n">
        <v>47842</v>
      </c>
      <c r="P2033" s="10" t="n">
        <v>2409</v>
      </c>
      <c r="Q2033" s="10" t="n">
        <v>2939</v>
      </c>
      <c r="R2033" s="7" t="n">
        <v>50620</v>
      </c>
      <c r="S2033" s="8" t="n">
        <v>4771</v>
      </c>
      <c r="T2033" s="8" t="n">
        <v>3551</v>
      </c>
      <c r="U2033" s="9" t="n">
        <v>57174</v>
      </c>
      <c r="V2033" s="10" t="n">
        <v>3045</v>
      </c>
      <c r="W2033" s="10" t="n">
        <v>2586</v>
      </c>
      <c r="X2033" s="7" t="n">
        <v>49006</v>
      </c>
      <c r="Y2033" s="8" t="n">
        <v>3456</v>
      </c>
      <c r="Z2033" s="8" t="n">
        <v>3735</v>
      </c>
      <c r="AA2033" s="9" t="n">
        <v>44445</v>
      </c>
      <c r="AB2033" s="10" t="n">
        <v>2767</v>
      </c>
      <c r="AC2033" s="10" t="n">
        <v>2052</v>
      </c>
      <c r="AD2033" s="7" t="n">
        <v>43434</v>
      </c>
      <c r="AE2033" s="8" t="n">
        <v>2860</v>
      </c>
      <c r="AF2033" s="8" t="n">
        <v>4261</v>
      </c>
      <c r="AG2033" s="9" t="n">
        <v>45815</v>
      </c>
      <c r="AH2033" s="10" t="n">
        <v>2027</v>
      </c>
      <c r="AI2033" s="10" t="n">
        <v>2739</v>
      </c>
      <c r="AJ2033" s="11" t="n">
        <v>45048</v>
      </c>
      <c r="AK2033" s="12" t="n">
        <v>2257</v>
      </c>
      <c r="AL2033" s="12" t="n">
        <v>4958</v>
      </c>
      <c r="AM2033" s="13" t="n">
        <v>-1.7</v>
      </c>
      <c r="AN2033" s="13" t="n">
        <v>-8.1</v>
      </c>
      <c r="AO2033" s="13" t="n">
        <v>11.3</v>
      </c>
      <c r="AP2033" s="13" t="n">
        <v>-34.7</v>
      </c>
    </row>
    <row r="2034">
      <c r="A2034" s="5" t="inlineStr">
        <is>
          <t>매일유업</t>
        </is>
      </c>
      <c r="B2034" s="6" t="inlineStr">
        <is>
          <t>267980</t>
        </is>
      </c>
      <c r="C2034" s="6" t="inlineStr">
        <is>
          <t>연결</t>
        </is>
      </c>
      <c r="D2034" s="6" t="inlineStr">
        <is>
          <t>2026Q2</t>
        </is>
      </c>
      <c r="E2034" s="6" t="inlineStr"/>
      <c r="F2034" s="7" t="inlineStr"/>
      <c r="G2034" s="8" t="inlineStr"/>
      <c r="H2034" s="8" t="inlineStr"/>
      <c r="I2034" s="9" t="n">
        <v>444285</v>
      </c>
      <c r="J2034" s="10" t="n">
        <v>19487</v>
      </c>
      <c r="K2034" s="10" t="n">
        <v>15748</v>
      </c>
      <c r="L2034" s="7" t="n">
        <v>445198</v>
      </c>
      <c r="M2034" s="8" t="n">
        <v>18369</v>
      </c>
      <c r="N2034" s="8" t="n">
        <v>10253</v>
      </c>
      <c r="O2034" s="9" t="n">
        <v>461135</v>
      </c>
      <c r="P2034" s="10" t="n">
        <v>16053</v>
      </c>
      <c r="Q2034" s="10" t="n">
        <v>10189</v>
      </c>
      <c r="R2034" s="7" t="n">
        <v>460818</v>
      </c>
      <c r="S2034" s="8" t="n">
        <v>16427</v>
      </c>
      <c r="T2034" s="8" t="n">
        <v>9348</v>
      </c>
      <c r="U2034" s="9" t="n">
        <v>458806</v>
      </c>
      <c r="V2034" s="10" t="n">
        <v>12998</v>
      </c>
      <c r="W2034" s="10" t="n">
        <v>10450</v>
      </c>
      <c r="X2034" s="7" t="n">
        <v>458010</v>
      </c>
      <c r="Y2034" s="8" t="n">
        <v>12410</v>
      </c>
      <c r="Z2034" s="8" t="n">
        <v>14379</v>
      </c>
      <c r="AA2034" s="9" t="n">
        <v>471575</v>
      </c>
      <c r="AB2034" s="10" t="n">
        <v>19894</v>
      </c>
      <c r="AC2034" s="10" t="n">
        <v>16008</v>
      </c>
      <c r="AD2034" s="7" t="n">
        <v>455148</v>
      </c>
      <c r="AE2034" s="8" t="n">
        <v>14727</v>
      </c>
      <c r="AF2034" s="8" t="n">
        <v>15407</v>
      </c>
      <c r="AG2034" s="9" t="n">
        <v>469878</v>
      </c>
      <c r="AH2034" s="10" t="n">
        <v>18794</v>
      </c>
      <c r="AI2034" s="10" t="n">
        <v>18901</v>
      </c>
      <c r="AJ2034" s="11" t="n">
        <v>480005</v>
      </c>
      <c r="AK2034" s="12" t="n">
        <v>20405</v>
      </c>
      <c r="AL2034" s="12" t="n">
        <v>16279</v>
      </c>
      <c r="AM2034" s="13" t="n">
        <v>2.2</v>
      </c>
      <c r="AN2034" s="13" t="n">
        <v>4.8</v>
      </c>
      <c r="AO2034" s="13" t="n">
        <v>8.6</v>
      </c>
      <c r="AP2034" s="13" t="n">
        <v>64.40000000000001</v>
      </c>
    </row>
    <row r="2035">
      <c r="A2035" s="5" t="inlineStr">
        <is>
          <t>미원에스씨</t>
        </is>
      </c>
      <c r="B2035" s="6" t="inlineStr">
        <is>
          <t>268280</t>
        </is>
      </c>
      <c r="C2035" s="6" t="inlineStr">
        <is>
          <t>연결</t>
        </is>
      </c>
      <c r="D2035" s="6" t="inlineStr">
        <is>
          <t>2026Q2</t>
        </is>
      </c>
      <c r="E2035" s="6" t="inlineStr"/>
      <c r="F2035" s="7" t="inlineStr"/>
      <c r="G2035" s="8" t="inlineStr"/>
      <c r="H2035" s="8" t="inlineStr"/>
      <c r="I2035" s="9" t="n">
        <v>124460</v>
      </c>
      <c r="J2035" s="10" t="n">
        <v>12560</v>
      </c>
      <c r="K2035" s="10" t="n">
        <v>13730</v>
      </c>
      <c r="L2035" s="7" t="n">
        <v>129807</v>
      </c>
      <c r="M2035" s="8" t="n">
        <v>16742</v>
      </c>
      <c r="N2035" s="8" t="n">
        <v>15093</v>
      </c>
      <c r="O2035" s="9" t="n">
        <v>128577</v>
      </c>
      <c r="P2035" s="10" t="n">
        <v>16272</v>
      </c>
      <c r="Q2035" s="10" t="n">
        <v>12106</v>
      </c>
      <c r="R2035" s="7" t="n">
        <v>126423</v>
      </c>
      <c r="S2035" s="8" t="n">
        <v>13193</v>
      </c>
      <c r="T2035" s="8" t="n">
        <v>13638</v>
      </c>
      <c r="U2035" s="9" t="n">
        <v>137866</v>
      </c>
      <c r="V2035" s="10" t="n">
        <v>17991</v>
      </c>
      <c r="W2035" s="10" t="n">
        <v>16400</v>
      </c>
      <c r="X2035" s="7" t="n">
        <v>134806</v>
      </c>
      <c r="Y2035" s="8" t="n">
        <v>19206</v>
      </c>
      <c r="Z2035" s="8" t="n">
        <v>11901</v>
      </c>
      <c r="AA2035" s="9" t="n">
        <v>133317</v>
      </c>
      <c r="AB2035" s="10" t="n">
        <v>18186</v>
      </c>
      <c r="AC2035" s="10" t="n">
        <v>17769</v>
      </c>
      <c r="AD2035" s="7" t="n">
        <v>126134</v>
      </c>
      <c r="AE2035" s="8" t="n">
        <v>10099</v>
      </c>
      <c r="AF2035" s="8" t="n">
        <v>15233</v>
      </c>
      <c r="AG2035" s="9" t="n">
        <v>141274</v>
      </c>
      <c r="AH2035" s="10" t="n">
        <v>19283</v>
      </c>
      <c r="AI2035" s="10" t="n">
        <v>21518</v>
      </c>
      <c r="AJ2035" s="11" t="n">
        <v>162829</v>
      </c>
      <c r="AK2035" s="12" t="n">
        <v>37110</v>
      </c>
      <c r="AL2035" s="12" t="n">
        <v>32975</v>
      </c>
      <c r="AM2035" s="13" t="n">
        <v>15.3</v>
      </c>
      <c r="AN2035" s="13" t="n">
        <v>20.8</v>
      </c>
      <c r="AO2035" s="13" t="n">
        <v>92.40000000000001</v>
      </c>
      <c r="AP2035" s="13" t="n">
        <v>93.2</v>
      </c>
    </row>
    <row r="2036">
      <c r="A2036" s="5" t="inlineStr">
        <is>
          <t>시스웍</t>
        </is>
      </c>
      <c r="B2036" s="6" t="inlineStr">
        <is>
          <t>269620</t>
        </is>
      </c>
      <c r="C2036" s="6" t="inlineStr">
        <is>
          <t>연결</t>
        </is>
      </c>
      <c r="D2036" s="6" t="inlineStr">
        <is>
          <t>2026Q2</t>
        </is>
      </c>
      <c r="E2036" s="6" t="inlineStr"/>
      <c r="F2036" s="7" t="inlineStr"/>
      <c r="G2036" s="8" t="inlineStr"/>
      <c r="H2036" s="8" t="inlineStr"/>
      <c r="I2036" s="9" t="n">
        <v>5387</v>
      </c>
      <c r="J2036" s="10" t="n">
        <v>79</v>
      </c>
      <c r="K2036" s="10" t="n">
        <v>-889</v>
      </c>
      <c r="L2036" s="7" t="n">
        <v>2914</v>
      </c>
      <c r="M2036" s="8" t="n">
        <v>362</v>
      </c>
      <c r="N2036" s="8" t="n">
        <v>-3272</v>
      </c>
      <c r="O2036" s="9" t="n">
        <v>1694</v>
      </c>
      <c r="P2036" s="10" t="n">
        <v>-2254</v>
      </c>
      <c r="Q2036" s="10" t="n">
        <v>-3219</v>
      </c>
      <c r="R2036" s="7" t="n">
        <v>2868</v>
      </c>
      <c r="S2036" s="8" t="n">
        <v>-28</v>
      </c>
      <c r="T2036" s="8" t="n">
        <v>-1991</v>
      </c>
      <c r="U2036" s="9" t="n">
        <v>3178</v>
      </c>
      <c r="V2036" s="10" t="n">
        <v>-748</v>
      </c>
      <c r="W2036" s="10" t="n">
        <v>-2016</v>
      </c>
      <c r="X2036" s="7" t="n">
        <v>3015</v>
      </c>
      <c r="Y2036" s="8" t="n">
        <v>-296</v>
      </c>
      <c r="Z2036" s="8" t="n">
        <v>-1323</v>
      </c>
      <c r="AA2036" s="9" t="n">
        <v>2853</v>
      </c>
      <c r="AB2036" s="10" t="n">
        <v>-480</v>
      </c>
      <c r="AC2036" s="10" t="n">
        <v>-267</v>
      </c>
      <c r="AD2036" s="7" t="n">
        <v>1988</v>
      </c>
      <c r="AE2036" s="8" t="n">
        <v>-1046</v>
      </c>
      <c r="AF2036" s="8" t="n">
        <v>-1515</v>
      </c>
      <c r="AG2036" s="9" t="n">
        <v>2389</v>
      </c>
      <c r="AH2036" s="10" t="n">
        <v>215</v>
      </c>
      <c r="AI2036" s="10" t="n">
        <v>529</v>
      </c>
      <c r="AJ2036" s="11" t="n">
        <v>3731</v>
      </c>
      <c r="AK2036" s="12" t="n">
        <v>106</v>
      </c>
      <c r="AL2036" s="12" t="n">
        <v>695</v>
      </c>
      <c r="AM2036" s="13" t="n">
        <v>56.2</v>
      </c>
      <c r="AN2036" s="13" t="n">
        <v>23.7</v>
      </c>
      <c r="AO2036" s="13" t="n">
        <v>-50.7</v>
      </c>
      <c r="AP2036" s="13" t="n">
        <v>135.8</v>
      </c>
    </row>
    <row r="2037">
      <c r="A2037" s="5" t="inlineStr">
        <is>
          <t>앱튼</t>
        </is>
      </c>
      <c r="B2037" s="6" t="inlineStr">
        <is>
          <t>270520</t>
        </is>
      </c>
      <c r="C2037" s="6" t="inlineStr">
        <is>
          <t>연결</t>
        </is>
      </c>
      <c r="D2037" s="6" t="inlineStr">
        <is>
          <t>2026Q2</t>
        </is>
      </c>
      <c r="E2037" s="6" t="inlineStr"/>
      <c r="F2037" s="7" t="inlineStr"/>
      <c r="G2037" s="8" t="inlineStr"/>
      <c r="H2037" s="8" t="inlineStr"/>
      <c r="I2037" s="9" t="n">
        <v>4870</v>
      </c>
      <c r="J2037" s="10" t="n">
        <v>-1783</v>
      </c>
      <c r="K2037" s="10" t="n">
        <v>-1344</v>
      </c>
      <c r="L2037" s="7" t="n">
        <v>5270</v>
      </c>
      <c r="M2037" s="8" t="n">
        <v>-1705</v>
      </c>
      <c r="N2037" s="8" t="n">
        <v>-2738</v>
      </c>
      <c r="O2037" s="9" t="n">
        <v>4404</v>
      </c>
      <c r="P2037" s="10" t="n">
        <v>-1904</v>
      </c>
      <c r="Q2037" s="10" t="n">
        <v>-2677</v>
      </c>
      <c r="R2037" s="7" t="n">
        <v>3834</v>
      </c>
      <c r="S2037" s="8" t="n">
        <v>-7360</v>
      </c>
      <c r="T2037" s="8" t="n">
        <v>-12408</v>
      </c>
      <c r="U2037" s="9" t="n">
        <v>6568</v>
      </c>
      <c r="V2037" s="10" t="n">
        <v>-2495</v>
      </c>
      <c r="W2037" s="10" t="n">
        <v>9373</v>
      </c>
      <c r="X2037" s="7" t="n">
        <v>2834</v>
      </c>
      <c r="Y2037" s="8" t="n">
        <v>-3989</v>
      </c>
      <c r="Z2037" s="8" t="n">
        <v>-22220</v>
      </c>
      <c r="AA2037" s="9" t="n">
        <v>5172</v>
      </c>
      <c r="AB2037" s="10" t="n">
        <v>-1040</v>
      </c>
      <c r="AC2037" s="10" t="n">
        <v>-4269</v>
      </c>
      <c r="AD2037" s="7" t="n">
        <v>2321</v>
      </c>
      <c r="AE2037" s="8" t="n">
        <v>-3633</v>
      </c>
      <c r="AF2037" s="8" t="n">
        <v>-6315</v>
      </c>
      <c r="AG2037" s="9" t="n">
        <v>4541</v>
      </c>
      <c r="AH2037" s="10" t="n">
        <v>-1774</v>
      </c>
      <c r="AI2037" s="10" t="n">
        <v>-13216</v>
      </c>
      <c r="AJ2037" s="11" t="n">
        <v>3368</v>
      </c>
      <c r="AK2037" s="12" t="n">
        <v>-1325</v>
      </c>
      <c r="AL2037" s="12" t="n">
        <v>-3871</v>
      </c>
      <c r="AM2037" s="13" t="n">
        <v>-25.8</v>
      </c>
      <c r="AN2037" s="13" t="n">
        <v>18.8</v>
      </c>
      <c r="AO2037" s="13" t="n">
        <v>25.3</v>
      </c>
      <c r="AP2037" s="13" t="n">
        <v>66.8</v>
      </c>
    </row>
    <row r="2038">
      <c r="A2038" s="5" t="inlineStr">
        <is>
          <t>에브리봇</t>
        </is>
      </c>
      <c r="B2038" s="6" t="inlineStr">
        <is>
          <t>270660</t>
        </is>
      </c>
      <c r="C2038" s="6" t="inlineStr">
        <is>
          <t>연결</t>
        </is>
      </c>
      <c r="D2038" s="6" t="inlineStr">
        <is>
          <t>2026Q2</t>
        </is>
      </c>
      <c r="E2038" s="6" t="inlineStr"/>
      <c r="F2038" s="7" t="inlineStr"/>
      <c r="G2038" s="8" t="inlineStr"/>
      <c r="H2038" s="8" t="inlineStr"/>
      <c r="I2038" s="9" t="n">
        <v>6650</v>
      </c>
      <c r="J2038" s="10" t="n">
        <v>-780</v>
      </c>
      <c r="K2038" s="10" t="n">
        <v>-621</v>
      </c>
      <c r="L2038" s="7" t="n">
        <v>8978</v>
      </c>
      <c r="M2038" s="8" t="n">
        <v>-412</v>
      </c>
      <c r="N2038" s="8" t="n">
        <v>746</v>
      </c>
      <c r="O2038" s="9" t="n">
        <v>7235</v>
      </c>
      <c r="P2038" s="10" t="n">
        <v>-220</v>
      </c>
      <c r="Q2038" s="10" t="n">
        <v>168</v>
      </c>
      <c r="R2038" s="7" t="n">
        <v>6888</v>
      </c>
      <c r="S2038" s="8" t="n">
        <v>-823</v>
      </c>
      <c r="T2038" s="8" t="n">
        <v>19</v>
      </c>
      <c r="U2038" s="9" t="n">
        <v>4001</v>
      </c>
      <c r="V2038" s="10" t="n">
        <v>-2088</v>
      </c>
      <c r="W2038" s="10" t="n">
        <v>-896</v>
      </c>
      <c r="X2038" s="7" t="n">
        <v>8550</v>
      </c>
      <c r="Y2038" s="8" t="n">
        <v>97</v>
      </c>
      <c r="Z2038" s="8" t="n">
        <v>-3088</v>
      </c>
      <c r="AA2038" s="9" t="n">
        <v>8732</v>
      </c>
      <c r="AB2038" s="10" t="n">
        <v>-448</v>
      </c>
      <c r="AC2038" s="10" t="n">
        <v>-154</v>
      </c>
      <c r="AD2038" s="7" t="n">
        <v>13074</v>
      </c>
      <c r="AE2038" s="8" t="n">
        <v>-758</v>
      </c>
      <c r="AF2038" s="8" t="n">
        <v>-8608</v>
      </c>
      <c r="AG2038" s="9" t="n">
        <v>7972</v>
      </c>
      <c r="AH2038" s="10" t="n">
        <v>-1775</v>
      </c>
      <c r="AI2038" s="10" t="n">
        <v>-1203</v>
      </c>
      <c r="AJ2038" s="11" t="n">
        <v>9838</v>
      </c>
      <c r="AK2038" s="12" t="n">
        <v>-1227</v>
      </c>
      <c r="AL2038" s="12" t="n">
        <v>7609</v>
      </c>
      <c r="AM2038" s="13" t="n">
        <v>23.4</v>
      </c>
      <c r="AN2038" s="13" t="n">
        <v>15.1</v>
      </c>
      <c r="AO2038" s="13" t="n">
        <v>30.9</v>
      </c>
      <c r="AP2038" s="13" t="n">
        <v>-1364.9</v>
      </c>
    </row>
    <row r="2039">
      <c r="A2039" s="5" t="inlineStr">
        <is>
          <t>뉴트리</t>
        </is>
      </c>
      <c r="B2039" s="6" t="inlineStr">
        <is>
          <t>270870</t>
        </is>
      </c>
      <c r="C2039" s="6" t="inlineStr">
        <is>
          <t>연결</t>
        </is>
      </c>
      <c r="D2039" s="6" t="inlineStr">
        <is>
          <t>2026Q2</t>
        </is>
      </c>
      <c r="E2039" s="6" t="inlineStr"/>
      <c r="F2039" s="7" t="inlineStr"/>
      <c r="G2039" s="8" t="inlineStr"/>
      <c r="H2039" s="8" t="inlineStr"/>
      <c r="I2039" s="9" t="n">
        <v>36721</v>
      </c>
      <c r="J2039" s="10" t="n">
        <v>6757</v>
      </c>
      <c r="K2039" s="10" t="n">
        <v>4018</v>
      </c>
      <c r="L2039" s="7" t="n">
        <v>36187</v>
      </c>
      <c r="M2039" s="8" t="n">
        <v>8914</v>
      </c>
      <c r="N2039" s="8" t="n">
        <v>6485</v>
      </c>
      <c r="O2039" s="9" t="n">
        <v>26730</v>
      </c>
      <c r="P2039" s="10" t="n">
        <v>-8465</v>
      </c>
      <c r="Q2039" s="10" t="n">
        <v>-4017</v>
      </c>
      <c r="R2039" s="7" t="n">
        <v>22335</v>
      </c>
      <c r="S2039" s="8" t="n">
        <v>-2273</v>
      </c>
      <c r="T2039" s="8" t="n">
        <v>-1790</v>
      </c>
      <c r="U2039" s="9" t="n">
        <v>25584</v>
      </c>
      <c r="V2039" s="10" t="n">
        <v>787</v>
      </c>
      <c r="W2039" s="10" t="n">
        <v>611</v>
      </c>
      <c r="X2039" s="7" t="n">
        <v>25538</v>
      </c>
      <c r="Y2039" s="8" t="n">
        <v>207</v>
      </c>
      <c r="Z2039" s="8" t="n">
        <v>127</v>
      </c>
      <c r="AA2039" s="9" t="n">
        <v>25449</v>
      </c>
      <c r="AB2039" s="10" t="n">
        <v>514</v>
      </c>
      <c r="AC2039" s="10" t="n">
        <v>1210</v>
      </c>
      <c r="AD2039" s="7" t="n">
        <v>24517</v>
      </c>
      <c r="AE2039" s="8" t="n">
        <v>-3776</v>
      </c>
      <c r="AF2039" s="8" t="n">
        <v>-4511</v>
      </c>
      <c r="AG2039" s="9" t="n">
        <v>25865</v>
      </c>
      <c r="AH2039" s="10" t="n">
        <v>-26</v>
      </c>
      <c r="AI2039" s="10" t="n">
        <v>219</v>
      </c>
      <c r="AJ2039" s="11" t="n">
        <v>28362</v>
      </c>
      <c r="AK2039" s="12" t="n">
        <v>7</v>
      </c>
      <c r="AL2039" s="12" t="n">
        <v>7765</v>
      </c>
      <c r="AM2039" s="13" t="n">
        <v>9.699999999999999</v>
      </c>
      <c r="AN2039" s="13" t="n">
        <v>11.1</v>
      </c>
      <c r="AO2039" s="13" t="n">
        <v>126.9</v>
      </c>
      <c r="AP2039" s="13" t="n">
        <v>-96.59999999999999</v>
      </c>
    </row>
    <row r="2040">
      <c r="A2040" s="5" t="inlineStr">
        <is>
          <t>오리온</t>
        </is>
      </c>
      <c r="B2040" s="6" t="inlineStr">
        <is>
          <t>271560</t>
        </is>
      </c>
      <c r="C2040" s="6" t="inlineStr">
        <is>
          <t>연결</t>
        </is>
      </c>
      <c r="D2040" s="6" t="inlineStr">
        <is>
          <t>2026Q2</t>
        </is>
      </c>
      <c r="E2040" s="6" t="inlineStr"/>
      <c r="F2040" s="7" t="inlineStr"/>
      <c r="G2040" s="8" t="inlineStr"/>
      <c r="H2040" s="8" t="inlineStr"/>
      <c r="I2040" s="9" t="n">
        <v>748391</v>
      </c>
      <c r="J2040" s="10" t="n">
        <v>125135</v>
      </c>
      <c r="K2040" s="10" t="n">
        <v>99779</v>
      </c>
      <c r="L2040" s="7" t="n">
        <v>719264</v>
      </c>
      <c r="M2040" s="8" t="n">
        <v>121710</v>
      </c>
      <c r="N2040" s="8" t="n">
        <v>76153</v>
      </c>
      <c r="O2040" s="9" t="n">
        <v>774870</v>
      </c>
      <c r="P2040" s="10" t="n">
        <v>137067</v>
      </c>
      <c r="Q2040" s="10" t="n">
        <v>102635</v>
      </c>
      <c r="R2040" s="7" t="n">
        <v>861814</v>
      </c>
      <c r="S2040" s="8" t="n">
        <v>159676</v>
      </c>
      <c r="T2040" s="8" t="n">
        <v>254663</v>
      </c>
      <c r="U2040" s="9" t="n">
        <v>801773</v>
      </c>
      <c r="V2040" s="10" t="n">
        <v>131376</v>
      </c>
      <c r="W2040" s="10" t="n">
        <v>106132</v>
      </c>
      <c r="X2040" s="7" t="n">
        <v>777166</v>
      </c>
      <c r="Y2040" s="8" t="n">
        <v>121451</v>
      </c>
      <c r="Z2040" s="8" t="n">
        <v>71662</v>
      </c>
      <c r="AA2040" s="9" t="n">
        <v>828922</v>
      </c>
      <c r="AB2040" s="10" t="n">
        <v>137872</v>
      </c>
      <c r="AC2040" s="10" t="n">
        <v>104994</v>
      </c>
      <c r="AD2040" s="7" t="n">
        <v>924582</v>
      </c>
      <c r="AE2040" s="8" t="n">
        <v>167559</v>
      </c>
      <c r="AF2040" s="8" t="n">
        <v>107810</v>
      </c>
      <c r="AG2040" s="9" t="n">
        <v>930355</v>
      </c>
      <c r="AH2040" s="10" t="n">
        <v>165471</v>
      </c>
      <c r="AI2040" s="10" t="n">
        <v>126812</v>
      </c>
      <c r="AJ2040" s="11" t="n">
        <v>893586</v>
      </c>
      <c r="AK2040" s="12" t="n">
        <v>132572</v>
      </c>
      <c r="AL2040" s="12" t="n">
        <v>86595</v>
      </c>
      <c r="AM2040" s="13" t="n">
        <v>-4</v>
      </c>
      <c r="AN2040" s="13" t="n">
        <v>15</v>
      </c>
      <c r="AO2040" s="13" t="n">
        <v>-19.9</v>
      </c>
      <c r="AP2040" s="13" t="n">
        <v>9.199999999999999</v>
      </c>
    </row>
    <row r="2041">
      <c r="A2041" s="5" t="inlineStr">
        <is>
          <t>팸텍</t>
        </is>
      </c>
      <c r="B2041" s="6" t="inlineStr">
        <is>
          <t>271830</t>
        </is>
      </c>
      <c r="C2041" s="6" t="inlineStr">
        <is>
          <t>연결</t>
        </is>
      </c>
      <c r="D2041" s="6" t="inlineStr">
        <is>
          <t>2026Q2</t>
        </is>
      </c>
      <c r="E2041" s="6" t="inlineStr"/>
      <c r="F2041" s="7" t="inlineStr"/>
      <c r="G2041" s="8" t="inlineStr"/>
      <c r="H2041" s="8" t="inlineStr"/>
      <c r="I2041" s="9" t="n">
        <v>7878</v>
      </c>
      <c r="J2041" s="10" t="n">
        <v>-1725</v>
      </c>
      <c r="K2041" s="10" t="n">
        <v>-1149</v>
      </c>
      <c r="L2041" s="7" t="n">
        <v>11142</v>
      </c>
      <c r="M2041" s="8" t="n">
        <v>-607</v>
      </c>
      <c r="N2041" s="8" t="n">
        <v>420</v>
      </c>
      <c r="O2041" s="9" t="n">
        <v>7844</v>
      </c>
      <c r="P2041" s="10" t="n">
        <v>-1843</v>
      </c>
      <c r="Q2041" s="10" t="n">
        <v>-1798</v>
      </c>
      <c r="R2041" s="7" t="n">
        <v>17492</v>
      </c>
      <c r="S2041" s="8" t="n">
        <v>448</v>
      </c>
      <c r="T2041" s="8" t="n">
        <v>2437</v>
      </c>
      <c r="U2041" s="9" t="n">
        <v>3127</v>
      </c>
      <c r="V2041" s="10" t="n">
        <v>-3227</v>
      </c>
      <c r="W2041" s="10" t="n">
        <v>-3306</v>
      </c>
      <c r="X2041" s="7" t="n">
        <v>5257</v>
      </c>
      <c r="Y2041" s="8" t="n">
        <v>-2029</v>
      </c>
      <c r="Z2041" s="8" t="n">
        <v>-2217</v>
      </c>
      <c r="AA2041" s="9" t="n">
        <v>7701</v>
      </c>
      <c r="AB2041" s="10" t="n">
        <v>-635</v>
      </c>
      <c r="AC2041" s="10" t="n">
        <v>-532</v>
      </c>
      <c r="AD2041" s="7" t="n">
        <v>22657</v>
      </c>
      <c r="AE2041" s="8" t="n">
        <v>1764</v>
      </c>
      <c r="AF2041" s="8" t="n">
        <v>646</v>
      </c>
      <c r="AG2041" s="9" t="n">
        <v>5144</v>
      </c>
      <c r="AH2041" s="10" t="n">
        <v>-3014</v>
      </c>
      <c r="AI2041" s="10" t="n">
        <v>-2753</v>
      </c>
      <c r="AJ2041" s="11" t="n">
        <v>9464</v>
      </c>
      <c r="AK2041" s="12" t="n">
        <v>-2680</v>
      </c>
      <c r="AL2041" s="12" t="n">
        <v>-2402</v>
      </c>
      <c r="AM2041" s="13" t="n">
        <v>84</v>
      </c>
      <c r="AN2041" s="13" t="n">
        <v>80</v>
      </c>
      <c r="AO2041" s="13" t="n">
        <v>11.1</v>
      </c>
      <c r="AP2041" s="13" t="n">
        <v>-32.1</v>
      </c>
    </row>
    <row r="2042">
      <c r="A2042" s="5" t="inlineStr">
        <is>
          <t>일진하이솔루스</t>
        </is>
      </c>
      <c r="B2042" s="6" t="inlineStr">
        <is>
          <t>271940</t>
        </is>
      </c>
      <c r="C2042" s="6" t="inlineStr">
        <is>
          <t>연결</t>
        </is>
      </c>
      <c r="D2042" s="6" t="inlineStr">
        <is>
          <t>2026Q2</t>
        </is>
      </c>
      <c r="E2042" s="6" t="inlineStr"/>
      <c r="F2042" s="7" t="inlineStr"/>
      <c r="G2042" s="8" t="inlineStr"/>
      <c r="H2042" s="8" t="inlineStr"/>
      <c r="I2042" s="9" t="n">
        <v>9543</v>
      </c>
      <c r="J2042" s="10" t="n">
        <v>-1890</v>
      </c>
      <c r="K2042" s="10" t="n">
        <v>521</v>
      </c>
      <c r="L2042" s="7" t="n">
        <v>20951</v>
      </c>
      <c r="M2042" s="8" t="n">
        <v>-1361</v>
      </c>
      <c r="N2042" s="8" t="n">
        <v>936</v>
      </c>
      <c r="O2042" s="9" t="n">
        <v>21832</v>
      </c>
      <c r="P2042" s="10" t="n">
        <v>-2681</v>
      </c>
      <c r="Q2042" s="10" t="n">
        <v>-250</v>
      </c>
      <c r="R2042" s="7" t="n">
        <v>26972</v>
      </c>
      <c r="S2042" s="8" t="n">
        <v>-3584</v>
      </c>
      <c r="T2042" s="8" t="n">
        <v>610</v>
      </c>
      <c r="U2042" s="9" t="n">
        <v>10907</v>
      </c>
      <c r="V2042" s="10" t="n">
        <v>-3017</v>
      </c>
      <c r="W2042" s="10" t="n">
        <v>-487</v>
      </c>
      <c r="X2042" s="7" t="n">
        <v>18328</v>
      </c>
      <c r="Y2042" s="8" t="n">
        <v>-2770</v>
      </c>
      <c r="Z2042" s="8" t="n">
        <v>-466</v>
      </c>
      <c r="AA2042" s="9" t="n">
        <v>28156</v>
      </c>
      <c r="AB2042" s="10" t="n">
        <v>-4448</v>
      </c>
      <c r="AC2042" s="10" t="n">
        <v>-2050</v>
      </c>
      <c r="AD2042" s="7" t="n">
        <v>24195</v>
      </c>
      <c r="AE2042" s="8" t="n">
        <v>-969</v>
      </c>
      <c r="AF2042" s="8" t="n">
        <v>1004</v>
      </c>
      <c r="AG2042" s="9" t="n">
        <v>27121</v>
      </c>
      <c r="AH2042" s="10" t="n">
        <v>-2031</v>
      </c>
      <c r="AI2042" s="10" t="n">
        <v>-50</v>
      </c>
      <c r="AJ2042" s="11" t="n">
        <v>25882</v>
      </c>
      <c r="AK2042" s="12" t="n">
        <v>-646</v>
      </c>
      <c r="AL2042" s="12" t="n">
        <v>966</v>
      </c>
      <c r="AM2042" s="13" t="n">
        <v>-4.6</v>
      </c>
      <c r="AN2042" s="13" t="n">
        <v>41.2</v>
      </c>
      <c r="AO2042" s="13" t="n">
        <v>68.2</v>
      </c>
      <c r="AP2042" s="13" t="n">
        <v>76.7</v>
      </c>
    </row>
    <row r="2043">
      <c r="A2043" s="5" t="inlineStr">
        <is>
          <t>제일약품</t>
        </is>
      </c>
      <c r="B2043" s="6" t="inlineStr">
        <is>
          <t>271980</t>
        </is>
      </c>
      <c r="C2043" s="6" t="inlineStr">
        <is>
          <t>연결</t>
        </is>
      </c>
      <c r="D2043" s="6" t="inlineStr">
        <is>
          <t>2026Q2</t>
        </is>
      </c>
      <c r="E2043" s="6" t="inlineStr"/>
      <c r="F2043" s="7" t="inlineStr"/>
      <c r="G2043" s="8" t="inlineStr"/>
      <c r="H2043" s="8" t="inlineStr"/>
      <c r="I2043" s="9" t="n">
        <v>170416</v>
      </c>
      <c r="J2043" s="10" t="n">
        <v>-2215</v>
      </c>
      <c r="K2043" s="10" t="n">
        <v>-3290</v>
      </c>
      <c r="L2043" s="7" t="n">
        <v>173179</v>
      </c>
      <c r="M2043" s="8" t="n">
        <v>-15043</v>
      </c>
      <c r="N2043" s="8" t="n">
        <v>-27577</v>
      </c>
      <c r="O2043" s="9" t="n">
        <v>174381</v>
      </c>
      <c r="P2043" s="10" t="n">
        <v>-4056</v>
      </c>
      <c r="Q2043" s="10" t="n">
        <v>-5498</v>
      </c>
      <c r="R2043" s="7" t="n">
        <v>186566</v>
      </c>
      <c r="S2043" s="8" t="n">
        <v>2387</v>
      </c>
      <c r="T2043" s="8" t="n">
        <v>6222</v>
      </c>
      <c r="U2043" s="9" t="n">
        <v>163024</v>
      </c>
      <c r="V2043" s="10" t="n">
        <v>5656</v>
      </c>
      <c r="W2043" s="10" t="n">
        <v>3629</v>
      </c>
      <c r="X2043" s="7" t="n">
        <v>137628</v>
      </c>
      <c r="Y2043" s="8" t="n">
        <v>4684</v>
      </c>
      <c r="Z2043" s="8" t="n">
        <v>3036</v>
      </c>
      <c r="AA2043" s="9" t="n">
        <v>134761</v>
      </c>
      <c r="AB2043" s="10" t="n">
        <v>9821</v>
      </c>
      <c r="AC2043" s="10" t="n">
        <v>15872</v>
      </c>
      <c r="AD2043" s="7" t="n">
        <v>131831</v>
      </c>
      <c r="AE2043" s="8" t="n">
        <v>534</v>
      </c>
      <c r="AF2043" s="8" t="n">
        <v>9464</v>
      </c>
      <c r="AG2043" s="9" t="n">
        <v>130298</v>
      </c>
      <c r="AH2043" s="10" t="n">
        <v>418</v>
      </c>
      <c r="AI2043" s="10" t="n">
        <v>3225</v>
      </c>
      <c r="AJ2043" s="11" t="n">
        <v>146604</v>
      </c>
      <c r="AK2043" s="12" t="n">
        <v>-7044</v>
      </c>
      <c r="AL2043" s="12" t="n">
        <v>-6675</v>
      </c>
      <c r="AM2043" s="13" t="n">
        <v>12.5</v>
      </c>
      <c r="AN2043" s="13" t="n">
        <v>6.5</v>
      </c>
      <c r="AO2043" s="13" t="n">
        <v>-1785.2</v>
      </c>
      <c r="AP2043" s="13" t="n">
        <v>-250.4</v>
      </c>
    </row>
    <row r="2044">
      <c r="A2044" s="5" t="inlineStr">
        <is>
          <t>케이엔제이</t>
        </is>
      </c>
      <c r="B2044" s="6" t="inlineStr">
        <is>
          <t>272110</t>
        </is>
      </c>
      <c r="C2044" s="6" t="inlineStr">
        <is>
          <t>연결</t>
        </is>
      </c>
      <c r="D2044" s="6" t="inlineStr">
        <is>
          <t>2026Q2</t>
        </is>
      </c>
      <c r="E2044" s="6" t="inlineStr"/>
      <c r="F2044" s="7" t="inlineStr"/>
      <c r="G2044" s="8" t="inlineStr"/>
      <c r="H2044" s="8" t="inlineStr"/>
      <c r="I2044" s="9" t="n">
        <v>12533</v>
      </c>
      <c r="J2044" s="10" t="n">
        <v>2072</v>
      </c>
      <c r="K2044" s="10" t="n">
        <v>3079</v>
      </c>
      <c r="L2044" s="7" t="n">
        <v>16619</v>
      </c>
      <c r="M2044" s="8" t="n">
        <v>3776</v>
      </c>
      <c r="N2044" s="8" t="n">
        <v>3755</v>
      </c>
      <c r="O2044" s="9" t="n">
        <v>16434</v>
      </c>
      <c r="P2044" s="10" t="n">
        <v>4435</v>
      </c>
      <c r="Q2044" s="10" t="n">
        <v>2538</v>
      </c>
      <c r="R2044" s="7" t="n">
        <v>16631</v>
      </c>
      <c r="S2044" s="8" t="n">
        <v>3866</v>
      </c>
      <c r="T2044" s="8" t="n">
        <v>1398</v>
      </c>
      <c r="U2044" s="9" t="n">
        <v>19290</v>
      </c>
      <c r="V2044" s="10" t="n">
        <v>5539</v>
      </c>
      <c r="W2044" s="10" t="n">
        <v>4558</v>
      </c>
      <c r="X2044" s="7" t="n">
        <v>19950</v>
      </c>
      <c r="Y2044" s="8" t="n">
        <v>5181</v>
      </c>
      <c r="Z2044" s="8" t="n">
        <v>3582</v>
      </c>
      <c r="AA2044" s="9" t="n">
        <v>21856</v>
      </c>
      <c r="AB2044" s="10" t="n">
        <v>5643</v>
      </c>
      <c r="AC2044" s="10" t="n">
        <v>7475</v>
      </c>
      <c r="AD2044" s="7" t="n">
        <v>23349</v>
      </c>
      <c r="AE2044" s="8" t="n">
        <v>5880</v>
      </c>
      <c r="AF2044" s="8" t="n">
        <v>9945</v>
      </c>
      <c r="AG2044" s="9" t="n">
        <v>34871</v>
      </c>
      <c r="AH2044" s="10" t="n">
        <v>7503</v>
      </c>
      <c r="AI2044" s="10" t="n">
        <v>6340</v>
      </c>
      <c r="AJ2044" s="11" t="n">
        <v>34351</v>
      </c>
      <c r="AK2044" s="12" t="n">
        <v>6262</v>
      </c>
      <c r="AL2044" s="12" t="n">
        <v>360</v>
      </c>
      <c r="AM2044" s="13" t="n">
        <v>-1.5</v>
      </c>
      <c r="AN2044" s="13" t="n">
        <v>72.2</v>
      </c>
      <c r="AO2044" s="13" t="n">
        <v>-16.5</v>
      </c>
      <c r="AP2044" s="13" t="n">
        <v>20.9</v>
      </c>
    </row>
    <row r="2045">
      <c r="A2045" s="5" t="inlineStr">
        <is>
          <t>한화시스템</t>
        </is>
      </c>
      <c r="B2045" s="6" t="inlineStr">
        <is>
          <t>272210</t>
        </is>
      </c>
      <c r="C2045" s="6" t="inlineStr">
        <is>
          <t>연결</t>
        </is>
      </c>
      <c r="D2045" s="6" t="inlineStr">
        <is>
          <t>2026Q2</t>
        </is>
      </c>
      <c r="E2045" s="6" t="inlineStr">
        <is>
          <t>2023Q4</t>
        </is>
      </c>
      <c r="F2045" s="14" t="n">
        <v>782100</v>
      </c>
      <c r="G2045" s="15" t="n">
        <v>10966</v>
      </c>
      <c r="H2045" s="15" t="n">
        <v>42246</v>
      </c>
      <c r="I2045" s="9" t="n">
        <v>544364</v>
      </c>
      <c r="J2045" s="10" t="n">
        <v>39264</v>
      </c>
      <c r="K2045" s="10" t="n">
        <v>50323</v>
      </c>
      <c r="L2045" s="7" t="n">
        <v>687319</v>
      </c>
      <c r="M2045" s="8" t="n">
        <v>79837</v>
      </c>
      <c r="N2045" s="8" t="n">
        <v>27036</v>
      </c>
      <c r="O2045" s="9" t="n">
        <v>639172</v>
      </c>
      <c r="P2045" s="10" t="n">
        <v>56999</v>
      </c>
      <c r="Q2045" s="10" t="n">
        <v>8145</v>
      </c>
      <c r="R2045" s="7" t="n">
        <v>932831</v>
      </c>
      <c r="S2045" s="8" t="n">
        <v>43245</v>
      </c>
      <c r="T2045" s="8" t="n">
        <v>359875</v>
      </c>
      <c r="U2045" s="9" t="n">
        <v>690101</v>
      </c>
      <c r="V2045" s="10" t="n">
        <v>58164</v>
      </c>
      <c r="W2045" s="10" t="n">
        <v>40970</v>
      </c>
      <c r="X2045" s="7" t="n">
        <v>768191</v>
      </c>
      <c r="Y2045" s="8" t="n">
        <v>33451</v>
      </c>
      <c r="Z2045" s="8" t="n">
        <v>47009</v>
      </c>
      <c r="AA2045" s="9" t="n">
        <v>807737</v>
      </c>
      <c r="AB2045" s="10" t="n">
        <v>22521</v>
      </c>
      <c r="AC2045" s="10" t="n">
        <v>151796</v>
      </c>
      <c r="AD2045" s="7" t="n">
        <v>1398122</v>
      </c>
      <c r="AE2045" s="8" t="n">
        <v>5763</v>
      </c>
      <c r="AF2045" s="8" t="n">
        <v>-30630</v>
      </c>
      <c r="AG2045" s="9" t="n">
        <v>807099</v>
      </c>
      <c r="AH2045" s="10" t="n">
        <v>34284</v>
      </c>
      <c r="AI2045" s="10" t="n">
        <v>-95752</v>
      </c>
      <c r="AJ2045" s="11" t="n">
        <v>1117552</v>
      </c>
      <c r="AK2045" s="12" t="n">
        <v>103652</v>
      </c>
      <c r="AL2045" s="12" t="n">
        <v>52743</v>
      </c>
      <c r="AM2045" s="13" t="n">
        <v>38.5</v>
      </c>
      <c r="AN2045" s="13" t="n">
        <v>45.5</v>
      </c>
      <c r="AO2045" s="13" t="n">
        <v>202.3</v>
      </c>
      <c r="AP2045" s="13" t="n">
        <v>209.9</v>
      </c>
    </row>
    <row r="2046">
      <c r="A2046" s="5" t="inlineStr">
        <is>
          <t>이녹스첨단소재</t>
        </is>
      </c>
      <c r="B2046" s="6" t="inlineStr">
        <is>
          <t>272290</t>
        </is>
      </c>
      <c r="C2046" s="6" t="inlineStr">
        <is>
          <t>연결</t>
        </is>
      </c>
      <c r="D2046" s="6" t="inlineStr">
        <is>
          <t>2026Q2</t>
        </is>
      </c>
      <c r="E2046" s="6" t="inlineStr"/>
      <c r="F2046" s="7" t="inlineStr"/>
      <c r="G2046" s="8" t="inlineStr"/>
      <c r="H2046" s="8" t="inlineStr"/>
      <c r="I2046" s="9" t="n">
        <v>102199</v>
      </c>
      <c r="J2046" s="10" t="n">
        <v>15760</v>
      </c>
      <c r="K2046" s="10" t="n">
        <v>14914</v>
      </c>
      <c r="L2046" s="7" t="n">
        <v>115731</v>
      </c>
      <c r="M2046" s="8" t="n">
        <v>27614</v>
      </c>
      <c r="N2046" s="8" t="n">
        <v>18605</v>
      </c>
      <c r="O2046" s="9" t="n">
        <v>100721</v>
      </c>
      <c r="P2046" s="10" t="n">
        <v>18433</v>
      </c>
      <c r="Q2046" s="10" t="n">
        <v>8189</v>
      </c>
      <c r="R2046" s="7" t="n">
        <v>104158</v>
      </c>
      <c r="S2046" s="8" t="n">
        <v>24997</v>
      </c>
      <c r="T2046" s="8" t="n">
        <v>28349</v>
      </c>
      <c r="U2046" s="9" t="n">
        <v>113116</v>
      </c>
      <c r="V2046" s="10" t="n">
        <v>26371</v>
      </c>
      <c r="W2046" s="10" t="n">
        <v>20021</v>
      </c>
      <c r="X2046" s="7" t="n">
        <v>111420</v>
      </c>
      <c r="Y2046" s="8" t="n">
        <v>22243</v>
      </c>
      <c r="Z2046" s="8" t="n">
        <v>12726</v>
      </c>
      <c r="AA2046" s="9" t="n">
        <v>112715</v>
      </c>
      <c r="AB2046" s="10" t="n">
        <v>20627</v>
      </c>
      <c r="AC2046" s="10" t="n">
        <v>17635</v>
      </c>
      <c r="AD2046" s="7" t="n">
        <v>102383</v>
      </c>
      <c r="AE2046" s="8" t="n">
        <v>12680</v>
      </c>
      <c r="AF2046" s="8" t="n">
        <v>5564</v>
      </c>
      <c r="AG2046" s="9" t="n">
        <v>95123</v>
      </c>
      <c r="AH2046" s="10" t="n">
        <v>16889</v>
      </c>
      <c r="AI2046" s="10" t="n">
        <v>14389</v>
      </c>
      <c r="AJ2046" s="11" t="n">
        <v>108667</v>
      </c>
      <c r="AK2046" s="12" t="n">
        <v>10449</v>
      </c>
      <c r="AL2046" s="12" t="n">
        <v>18022</v>
      </c>
      <c r="AM2046" s="13" t="n">
        <v>14.2</v>
      </c>
      <c r="AN2046" s="13" t="n">
        <v>-2.5</v>
      </c>
      <c r="AO2046" s="13" t="n">
        <v>-38.1</v>
      </c>
      <c r="AP2046" s="13" t="n">
        <v>-53</v>
      </c>
    </row>
    <row r="2047">
      <c r="A2047" s="5" t="inlineStr">
        <is>
          <t>진에어</t>
        </is>
      </c>
      <c r="B2047" s="6" t="inlineStr">
        <is>
          <t>272450</t>
        </is>
      </c>
      <c r="C2047" s="6" t="inlineStr">
        <is>
          <t>별도</t>
        </is>
      </c>
      <c r="D2047" s="6" t="inlineStr">
        <is>
          <t>2026Q2</t>
        </is>
      </c>
      <c r="E2047" s="6" t="inlineStr"/>
      <c r="F2047" s="7" t="inlineStr"/>
      <c r="G2047" s="8" t="inlineStr"/>
      <c r="H2047" s="8" t="inlineStr"/>
      <c r="I2047" s="9" t="n">
        <v>430306</v>
      </c>
      <c r="J2047" s="10" t="n">
        <v>98494</v>
      </c>
      <c r="K2047" s="10" t="n">
        <v>68278</v>
      </c>
      <c r="L2047" s="7" t="n">
        <v>308157</v>
      </c>
      <c r="M2047" s="8" t="n">
        <v>904</v>
      </c>
      <c r="N2047" s="8" t="n">
        <v>-5866</v>
      </c>
      <c r="O2047" s="9" t="n">
        <v>364576</v>
      </c>
      <c r="P2047" s="10" t="n">
        <v>40159</v>
      </c>
      <c r="Q2047" s="10" t="n">
        <v>42010</v>
      </c>
      <c r="R2047" s="7" t="n">
        <v>358224</v>
      </c>
      <c r="S2047" s="8" t="n">
        <v>23557</v>
      </c>
      <c r="T2047" s="8" t="n">
        <v>-8709</v>
      </c>
      <c r="U2047" s="9" t="n">
        <v>417845</v>
      </c>
      <c r="V2047" s="10" t="n">
        <v>58273</v>
      </c>
      <c r="W2047" s="10" t="n">
        <v>45704</v>
      </c>
      <c r="X2047" s="7" t="n">
        <v>306073</v>
      </c>
      <c r="Y2047" s="8" t="n">
        <v>-42286</v>
      </c>
      <c r="Z2047" s="8" t="n">
        <v>-15718</v>
      </c>
      <c r="AA2047" s="9" t="n">
        <v>304336</v>
      </c>
      <c r="AB2047" s="10" t="n">
        <v>-22514</v>
      </c>
      <c r="AC2047" s="10" t="n">
        <v>-27538</v>
      </c>
      <c r="AD2047" s="7" t="n">
        <v>352827</v>
      </c>
      <c r="AE2047" s="8" t="n">
        <v>-12631</v>
      </c>
      <c r="AF2047" s="8" t="n">
        <v>-12203</v>
      </c>
      <c r="AG2047" s="9" t="n">
        <v>422976</v>
      </c>
      <c r="AH2047" s="10" t="n">
        <v>57613</v>
      </c>
      <c r="AI2047" s="10" t="n">
        <v>21672</v>
      </c>
      <c r="AJ2047" s="11" t="n">
        <v>360298</v>
      </c>
      <c r="AK2047" s="12" t="n">
        <v>-73103</v>
      </c>
      <c r="AL2047" s="12" t="n">
        <v>-67544</v>
      </c>
      <c r="AM2047" s="13" t="n">
        <v>-14.8</v>
      </c>
      <c r="AN2047" s="13" t="n">
        <v>17.7</v>
      </c>
      <c r="AO2047" s="13" t="n">
        <v>-226.9</v>
      </c>
      <c r="AP2047" s="13" t="n">
        <v>-72.90000000000001</v>
      </c>
    </row>
    <row r="2048">
      <c r="A2048" s="5" t="inlineStr">
        <is>
          <t>삼양패키징</t>
        </is>
      </c>
      <c r="B2048" s="6" t="inlineStr">
        <is>
          <t>272550</t>
        </is>
      </c>
      <c r="C2048" s="6" t="inlineStr">
        <is>
          <t>연결</t>
        </is>
      </c>
      <c r="D2048" s="6" t="inlineStr">
        <is>
          <t>2026Q2</t>
        </is>
      </c>
      <c r="E2048" s="6" t="inlineStr"/>
      <c r="F2048" s="7" t="inlineStr"/>
      <c r="G2048" s="8" t="inlineStr"/>
      <c r="H2048" s="8" t="inlineStr"/>
      <c r="I2048" s="9" t="n">
        <v>104158</v>
      </c>
      <c r="J2048" s="10" t="n">
        <v>3206</v>
      </c>
      <c r="K2048" s="10" t="n">
        <v>567</v>
      </c>
      <c r="L2048" s="7" t="n">
        <v>125580</v>
      </c>
      <c r="M2048" s="8" t="n">
        <v>18660</v>
      </c>
      <c r="N2048" s="8" t="n">
        <v>15057</v>
      </c>
      <c r="O2048" s="9" t="n">
        <v>121673</v>
      </c>
      <c r="P2048" s="10" t="n">
        <v>13375</v>
      </c>
      <c r="Q2048" s="10" t="n">
        <v>10175</v>
      </c>
      <c r="R2048" s="7" t="n">
        <v>96701</v>
      </c>
      <c r="S2048" s="8" t="n">
        <v>-1484</v>
      </c>
      <c r="T2048" s="8" t="n">
        <v>-5359</v>
      </c>
      <c r="U2048" s="9" t="n">
        <v>92029</v>
      </c>
      <c r="V2048" s="10" t="n">
        <v>-1553</v>
      </c>
      <c r="W2048" s="10" t="n">
        <v>-3742</v>
      </c>
      <c r="X2048" s="7" t="n">
        <v>120110</v>
      </c>
      <c r="Y2048" s="8" t="n">
        <v>13976</v>
      </c>
      <c r="Z2048" s="8" t="n">
        <v>13590</v>
      </c>
      <c r="AA2048" s="9" t="n">
        <v>125270</v>
      </c>
      <c r="AB2048" s="10" t="n">
        <v>15822</v>
      </c>
      <c r="AC2048" s="10" t="n">
        <v>12868</v>
      </c>
      <c r="AD2048" s="7" t="n">
        <v>82809</v>
      </c>
      <c r="AE2048" s="8" t="n">
        <v>-3598</v>
      </c>
      <c r="AF2048" s="8" t="n">
        <v>-5059</v>
      </c>
      <c r="AG2048" s="9" t="n">
        <v>93300</v>
      </c>
      <c r="AH2048" s="10" t="n">
        <v>454</v>
      </c>
      <c r="AI2048" s="10" t="n">
        <v>-1328</v>
      </c>
      <c r="AJ2048" s="11" t="n">
        <v>131481</v>
      </c>
      <c r="AK2048" s="12" t="n">
        <v>17047</v>
      </c>
      <c r="AL2048" s="12" t="n">
        <v>13566</v>
      </c>
      <c r="AM2048" s="13" t="n">
        <v>40.9</v>
      </c>
      <c r="AN2048" s="13" t="n">
        <v>9.5</v>
      </c>
      <c r="AO2048" s="13" t="n">
        <v>3654.8</v>
      </c>
      <c r="AP2048" s="13" t="n">
        <v>22</v>
      </c>
    </row>
    <row r="2049">
      <c r="A2049" s="5" t="inlineStr">
        <is>
          <t>와이즈버즈</t>
        </is>
      </c>
      <c r="B2049" s="6" t="inlineStr">
        <is>
          <t>273060</t>
        </is>
      </c>
      <c r="C2049" s="6" t="inlineStr">
        <is>
          <t>연결</t>
        </is>
      </c>
      <c r="D2049" s="6" t="inlineStr">
        <is>
          <t>2026Q2</t>
        </is>
      </c>
      <c r="E2049" s="6" t="inlineStr"/>
      <c r="F2049" s="7" t="inlineStr"/>
      <c r="G2049" s="8" t="inlineStr"/>
      <c r="H2049" s="8" t="inlineStr"/>
      <c r="I2049" s="9" t="n">
        <v>3997</v>
      </c>
      <c r="J2049" s="10" t="n">
        <v>-409</v>
      </c>
      <c r="K2049" s="10" t="n">
        <v>-982</v>
      </c>
      <c r="L2049" s="7" t="n">
        <v>7772</v>
      </c>
      <c r="M2049" s="8" t="n">
        <v>-228</v>
      </c>
      <c r="N2049" s="8" t="n">
        <v>-1576</v>
      </c>
      <c r="O2049" s="9" t="n">
        <v>8338</v>
      </c>
      <c r="P2049" s="10" t="n">
        <v>1291</v>
      </c>
      <c r="Q2049" s="10" t="n">
        <v>-313</v>
      </c>
      <c r="R2049" s="7" t="n">
        <v>10681</v>
      </c>
      <c r="S2049" s="8" t="n">
        <v>1651</v>
      </c>
      <c r="T2049" s="8" t="n">
        <v>5000</v>
      </c>
      <c r="U2049" s="9" t="n">
        <v>8461</v>
      </c>
      <c r="V2049" s="10" t="n">
        <v>642</v>
      </c>
      <c r="W2049" s="10" t="n">
        <v>-698</v>
      </c>
      <c r="X2049" s="7" t="n">
        <v>11132</v>
      </c>
      <c r="Y2049" s="8" t="n">
        <v>1919</v>
      </c>
      <c r="Z2049" s="8" t="n">
        <v>-1514</v>
      </c>
      <c r="AA2049" s="9" t="n">
        <v>10439</v>
      </c>
      <c r="AB2049" s="10" t="n">
        <v>2095</v>
      </c>
      <c r="AC2049" s="10" t="n">
        <v>384</v>
      </c>
      <c r="AD2049" s="7" t="n">
        <v>15489</v>
      </c>
      <c r="AE2049" s="8" t="n">
        <v>2919</v>
      </c>
      <c r="AF2049" s="8" t="n">
        <v>3690</v>
      </c>
      <c r="AG2049" s="9" t="n">
        <v>11822</v>
      </c>
      <c r="AH2049" s="10" t="n">
        <v>2909</v>
      </c>
      <c r="AI2049" s="10" t="n">
        <v>1221</v>
      </c>
      <c r="AJ2049" s="11" t="n">
        <v>12716</v>
      </c>
      <c r="AK2049" s="12" t="n">
        <v>2861</v>
      </c>
      <c r="AL2049" s="12" t="n">
        <v>991</v>
      </c>
      <c r="AM2049" s="13" t="n">
        <v>7.6</v>
      </c>
      <c r="AN2049" s="13" t="n">
        <v>14.2</v>
      </c>
      <c r="AO2049" s="13" t="n">
        <v>-1.7</v>
      </c>
      <c r="AP2049" s="13" t="n">
        <v>49.1</v>
      </c>
    </row>
    <row r="2050">
      <c r="A2050" s="5" t="inlineStr">
        <is>
          <t>와이엠텍</t>
        </is>
      </c>
      <c r="B2050" s="6" t="inlineStr">
        <is>
          <t>273640</t>
        </is>
      </c>
      <c r="C2050" s="6" t="inlineStr">
        <is>
          <t>연결</t>
        </is>
      </c>
      <c r="D2050" s="6" t="inlineStr">
        <is>
          <t>2026Q2</t>
        </is>
      </c>
      <c r="E2050" s="6" t="inlineStr"/>
      <c r="F2050" s="7" t="inlineStr"/>
      <c r="G2050" s="8" t="inlineStr"/>
      <c r="H2050" s="8" t="inlineStr"/>
      <c r="I2050" s="9" t="n">
        <v>7309</v>
      </c>
      <c r="J2050" s="10" t="n">
        <v>547</v>
      </c>
      <c r="K2050" s="10" t="n">
        <v>826</v>
      </c>
      <c r="L2050" s="7" t="n">
        <v>7749</v>
      </c>
      <c r="M2050" s="8" t="n">
        <v>1320</v>
      </c>
      <c r="N2050" s="8" t="n">
        <v>1648</v>
      </c>
      <c r="O2050" s="9" t="n">
        <v>7220</v>
      </c>
      <c r="P2050" s="10" t="n">
        <v>1248</v>
      </c>
      <c r="Q2050" s="10" t="n">
        <v>1028</v>
      </c>
      <c r="R2050" s="7" t="n">
        <v>8634</v>
      </c>
      <c r="S2050" s="8" t="n">
        <v>1200</v>
      </c>
      <c r="T2050" s="8" t="n">
        <v>1376</v>
      </c>
      <c r="U2050" s="9" t="n">
        <v>8181</v>
      </c>
      <c r="V2050" s="10" t="n">
        <v>1452</v>
      </c>
      <c r="W2050" s="10" t="n">
        <v>1369</v>
      </c>
      <c r="X2050" s="7" t="n">
        <v>8874</v>
      </c>
      <c r="Y2050" s="8" t="n">
        <v>938</v>
      </c>
      <c r="Z2050" s="8" t="n">
        <v>1136</v>
      </c>
      <c r="AA2050" s="9" t="n">
        <v>6386</v>
      </c>
      <c r="AB2050" s="10" t="n">
        <v>712</v>
      </c>
      <c r="AC2050" s="10" t="n">
        <v>1045</v>
      </c>
      <c r="AD2050" s="7" t="n">
        <v>5668</v>
      </c>
      <c r="AE2050" s="8" t="n">
        <v>-1359</v>
      </c>
      <c r="AF2050" s="8" t="n">
        <v>-377</v>
      </c>
      <c r="AG2050" s="9" t="n">
        <v>13968</v>
      </c>
      <c r="AH2050" s="10" t="n">
        <v>473</v>
      </c>
      <c r="AI2050" s="10" t="n">
        <v>268</v>
      </c>
      <c r="AJ2050" s="11" t="n">
        <v>17652</v>
      </c>
      <c r="AK2050" s="12" t="n">
        <v>1844</v>
      </c>
      <c r="AL2050" s="12" t="n">
        <v>1340</v>
      </c>
      <c r="AM2050" s="13" t="n">
        <v>26.4</v>
      </c>
      <c r="AN2050" s="13" t="n">
        <v>98.90000000000001</v>
      </c>
      <c r="AO2050" s="13" t="n">
        <v>289.9</v>
      </c>
      <c r="AP2050" s="13" t="n">
        <v>96.59999999999999</v>
      </c>
    </row>
    <row r="2051">
      <c r="A2051" s="5" t="inlineStr">
        <is>
          <t>켄코아에어로스페이스</t>
        </is>
      </c>
      <c r="B2051" s="6" t="inlineStr">
        <is>
          <t>274090</t>
        </is>
      </c>
      <c r="C2051" s="6" t="inlineStr">
        <is>
          <t>연결</t>
        </is>
      </c>
      <c r="D2051" s="6" t="inlineStr">
        <is>
          <t>2026Q2</t>
        </is>
      </c>
      <c r="E2051" s="6" t="inlineStr"/>
      <c r="F2051" s="7" t="inlineStr"/>
      <c r="G2051" s="8" t="inlineStr"/>
      <c r="H2051" s="8" t="inlineStr"/>
      <c r="I2051" s="9" t="n">
        <v>20452</v>
      </c>
      <c r="J2051" s="10" t="n">
        <v>-1203</v>
      </c>
      <c r="K2051" s="10" t="n">
        <v>-1915</v>
      </c>
      <c r="L2051" s="7" t="n">
        <v>23143</v>
      </c>
      <c r="M2051" s="8" t="n">
        <v>-242</v>
      </c>
      <c r="N2051" s="8" t="n">
        <v>414</v>
      </c>
      <c r="O2051" s="9" t="n">
        <v>23372</v>
      </c>
      <c r="P2051" s="10" t="n">
        <v>266</v>
      </c>
      <c r="Q2051" s="10" t="n">
        <v>-267</v>
      </c>
      <c r="R2051" s="7" t="n">
        <v>19187</v>
      </c>
      <c r="S2051" s="8" t="n">
        <v>-4173</v>
      </c>
      <c r="T2051" s="8" t="n">
        <v>-5941</v>
      </c>
      <c r="U2051" s="9" t="n">
        <v>16884</v>
      </c>
      <c r="V2051" s="10" t="n">
        <v>106</v>
      </c>
      <c r="W2051" s="10" t="n">
        <v>-382</v>
      </c>
      <c r="X2051" s="7" t="n">
        <v>21590</v>
      </c>
      <c r="Y2051" s="8" t="n">
        <v>-1801</v>
      </c>
      <c r="Z2051" s="8" t="n">
        <v>-2556</v>
      </c>
      <c r="AA2051" s="9" t="n">
        <v>17763</v>
      </c>
      <c r="AB2051" s="10" t="n">
        <v>-4307</v>
      </c>
      <c r="AC2051" s="10" t="n">
        <v>-2822</v>
      </c>
      <c r="AD2051" s="7" t="n">
        <v>20157</v>
      </c>
      <c r="AE2051" s="8" t="n">
        <v>-3229</v>
      </c>
      <c r="AF2051" s="8" t="n">
        <v>-9715</v>
      </c>
      <c r="AG2051" s="9" t="n">
        <v>29224</v>
      </c>
      <c r="AH2051" s="10" t="n">
        <v>218</v>
      </c>
      <c r="AI2051" s="10" t="n">
        <v>939</v>
      </c>
      <c r="AJ2051" s="11" t="n">
        <v>28474</v>
      </c>
      <c r="AK2051" s="12" t="n">
        <v>1184</v>
      </c>
      <c r="AL2051" s="12" t="n">
        <v>334</v>
      </c>
      <c r="AM2051" s="13" t="n">
        <v>-2.6</v>
      </c>
      <c r="AN2051" s="13" t="n">
        <v>31.9</v>
      </c>
      <c r="AO2051" s="13" t="n">
        <v>443.1</v>
      </c>
      <c r="AP2051" s="13" t="n">
        <v>165.7</v>
      </c>
    </row>
    <row r="2052">
      <c r="A2052" s="5" t="inlineStr">
        <is>
          <t>이노시뮬레이션</t>
        </is>
      </c>
      <c r="B2052" s="6" t="inlineStr">
        <is>
          <t>274400</t>
        </is>
      </c>
      <c r="C2052" s="6" t="inlineStr">
        <is>
          <t>별도</t>
        </is>
      </c>
      <c r="D2052" s="6" t="inlineStr">
        <is>
          <t>2026Q2</t>
        </is>
      </c>
      <c r="E2052" s="6" t="inlineStr"/>
      <c r="F2052" s="7" t="inlineStr"/>
      <c r="G2052" s="8" t="inlineStr"/>
      <c r="H2052" s="8" t="inlineStr"/>
      <c r="I2052" s="9" t="n">
        <v>1946</v>
      </c>
      <c r="J2052" s="10" t="n">
        <v>-774</v>
      </c>
      <c r="K2052" s="10" t="n">
        <v>-874</v>
      </c>
      <c r="L2052" s="7" t="n">
        <v>1631</v>
      </c>
      <c r="M2052" s="8" t="n">
        <v>-1853</v>
      </c>
      <c r="N2052" s="8" t="n">
        <v>-2226</v>
      </c>
      <c r="O2052" s="9" t="n">
        <v>2627</v>
      </c>
      <c r="P2052" s="10" t="n">
        <v>-539</v>
      </c>
      <c r="Q2052" s="10" t="n">
        <v>-720</v>
      </c>
      <c r="R2052" s="7" t="n">
        <v>3132</v>
      </c>
      <c r="S2052" s="8" t="n">
        <v>-1647</v>
      </c>
      <c r="T2052" s="8" t="n">
        <v>-2761</v>
      </c>
      <c r="U2052" s="9" t="n">
        <v>2210</v>
      </c>
      <c r="V2052" s="10" t="n">
        <v>-1200</v>
      </c>
      <c r="W2052" s="10" t="n">
        <v>-1333</v>
      </c>
      <c r="X2052" s="7" t="n">
        <v>4645</v>
      </c>
      <c r="Y2052" s="8" t="n">
        <v>-173</v>
      </c>
      <c r="Z2052" s="8" t="n">
        <v>-402</v>
      </c>
      <c r="AA2052" s="9" t="n">
        <v>2509</v>
      </c>
      <c r="AB2052" s="10" t="n">
        <v>-759</v>
      </c>
      <c r="AC2052" s="10" t="n">
        <v>-882</v>
      </c>
      <c r="AD2052" s="7" t="n">
        <v>4888</v>
      </c>
      <c r="AE2052" s="8" t="n">
        <v>143</v>
      </c>
      <c r="AF2052" s="8" t="n">
        <v>526</v>
      </c>
      <c r="AG2052" s="9" t="n">
        <v>2446</v>
      </c>
      <c r="AH2052" s="10" t="n">
        <v>-460</v>
      </c>
      <c r="AI2052" s="10" t="n">
        <v>-524</v>
      </c>
      <c r="AJ2052" s="11" t="n">
        <v>2164</v>
      </c>
      <c r="AK2052" s="12" t="n">
        <v>-844</v>
      </c>
      <c r="AL2052" s="12" t="n">
        <v>-963</v>
      </c>
      <c r="AM2052" s="13" t="n">
        <v>-11.5</v>
      </c>
      <c r="AN2052" s="13" t="n">
        <v>-53.4</v>
      </c>
      <c r="AO2052" s="13" t="n">
        <v>-83.5</v>
      </c>
      <c r="AP2052" s="13" t="n">
        <v>-387.9</v>
      </c>
    </row>
    <row r="2053">
      <c r="A2053" s="5" t="inlineStr">
        <is>
          <t>에스에스알</t>
        </is>
      </c>
      <c r="B2053" s="6" t="inlineStr">
        <is>
          <t>275630</t>
        </is>
      </c>
      <c r="C2053" s="6" t="inlineStr">
        <is>
          <t>별도</t>
        </is>
      </c>
      <c r="D2053" s="6" t="inlineStr">
        <is>
          <t>2026Q2</t>
        </is>
      </c>
      <c r="E2053" s="6" t="inlineStr"/>
      <c r="F2053" s="7" t="inlineStr"/>
      <c r="G2053" s="8" t="inlineStr"/>
      <c r="H2053" s="8" t="inlineStr"/>
      <c r="I2053" s="9" t="n">
        <v>2229</v>
      </c>
      <c r="J2053" s="10" t="n">
        <v>-299</v>
      </c>
      <c r="K2053" s="10" t="n">
        <v>7</v>
      </c>
      <c r="L2053" s="7" t="n">
        <v>2417</v>
      </c>
      <c r="M2053" s="8" t="n">
        <v>-578</v>
      </c>
      <c r="N2053" s="8" t="n">
        <v>-275</v>
      </c>
      <c r="O2053" s="9" t="n">
        <v>3004</v>
      </c>
      <c r="P2053" s="10" t="n">
        <v>55</v>
      </c>
      <c r="Q2053" s="10" t="n">
        <v>225</v>
      </c>
      <c r="R2053" s="7" t="n">
        <v>3958</v>
      </c>
      <c r="S2053" s="8" t="n">
        <v>510</v>
      </c>
      <c r="T2053" s="8" t="n">
        <v>-211</v>
      </c>
      <c r="U2053" s="9" t="n">
        <v>2358</v>
      </c>
      <c r="V2053" s="10" t="n">
        <v>-728</v>
      </c>
      <c r="W2053" s="10" t="n">
        <v>-526</v>
      </c>
      <c r="X2053" s="7" t="n">
        <v>3135</v>
      </c>
      <c r="Y2053" s="8" t="n">
        <v>3</v>
      </c>
      <c r="Z2053" s="8" t="n">
        <v>182</v>
      </c>
      <c r="AA2053" s="9" t="n">
        <v>2431</v>
      </c>
      <c r="AB2053" s="10" t="n">
        <v>-417</v>
      </c>
      <c r="AC2053" s="10" t="n">
        <v>-196</v>
      </c>
      <c r="AD2053" s="7" t="n">
        <v>5125</v>
      </c>
      <c r="AE2053" s="8" t="n">
        <v>1463</v>
      </c>
      <c r="AF2053" s="8" t="n">
        <v>-1124</v>
      </c>
      <c r="AG2053" s="9" t="n">
        <v>1753</v>
      </c>
      <c r="AH2053" s="10" t="n">
        <v>-1274</v>
      </c>
      <c r="AI2053" s="10" t="n">
        <v>-734</v>
      </c>
      <c r="AJ2053" s="11" t="n">
        <v>2315</v>
      </c>
      <c r="AK2053" s="12" t="n">
        <v>-606</v>
      </c>
      <c r="AL2053" s="12" t="n">
        <v>-779</v>
      </c>
      <c r="AM2053" s="13" t="n">
        <v>32.1</v>
      </c>
      <c r="AN2053" s="13" t="n">
        <v>-26.2</v>
      </c>
      <c r="AO2053" s="13" t="n">
        <v>52.4</v>
      </c>
      <c r="AP2053" s="13" t="n">
        <v>-20300</v>
      </c>
    </row>
    <row r="2054">
      <c r="A2054" s="5" t="inlineStr">
        <is>
          <t>스코넥</t>
        </is>
      </c>
      <c r="B2054" s="6" t="inlineStr">
        <is>
          <t>276040</t>
        </is>
      </c>
      <c r="C2054" s="6" t="inlineStr">
        <is>
          <t>연결</t>
        </is>
      </c>
      <c r="D2054" s="6" t="inlineStr">
        <is>
          <t>2026Q2</t>
        </is>
      </c>
      <c r="E2054" s="6" t="inlineStr"/>
      <c r="F2054" s="7" t="inlineStr"/>
      <c r="G2054" s="8" t="inlineStr"/>
      <c r="H2054" s="8" t="inlineStr"/>
      <c r="I2054" s="9" t="inlineStr"/>
      <c r="J2054" s="10" t="n">
        <v>-1859</v>
      </c>
      <c r="K2054" s="10" t="n">
        <v>-1652</v>
      </c>
      <c r="L2054" s="7" t="inlineStr"/>
      <c r="M2054" s="8" t="n">
        <v>-2213</v>
      </c>
      <c r="N2054" s="8" t="n">
        <v>-1938</v>
      </c>
      <c r="O2054" s="9" t="inlineStr"/>
      <c r="P2054" s="10" t="n">
        <v>-1846</v>
      </c>
      <c r="Q2054" s="10" t="n">
        <v>-1676</v>
      </c>
      <c r="R2054" s="7" t="inlineStr"/>
      <c r="S2054" s="8" t="n">
        <v>-1543</v>
      </c>
      <c r="T2054" s="8" t="n">
        <v>-1380</v>
      </c>
      <c r="U2054" s="9" t="inlineStr"/>
      <c r="V2054" s="10" t="n">
        <v>-2266</v>
      </c>
      <c r="W2054" s="10" t="n">
        <v>-2161</v>
      </c>
      <c r="X2054" s="7" t="inlineStr"/>
      <c r="Y2054" s="8" t="n">
        <v>-2460</v>
      </c>
      <c r="Z2054" s="8" t="n">
        <v>-2214</v>
      </c>
      <c r="AA2054" s="9" t="inlineStr"/>
      <c r="AB2054" s="10" t="n">
        <v>-1972</v>
      </c>
      <c r="AC2054" s="10" t="n">
        <v>-1770</v>
      </c>
      <c r="AD2054" s="7" t="inlineStr"/>
      <c r="AE2054" s="8" t="n">
        <v>-5535</v>
      </c>
      <c r="AF2054" s="8" t="n">
        <v>-15711</v>
      </c>
      <c r="AG2054" s="9" t="inlineStr"/>
      <c r="AH2054" s="10" t="n">
        <v>-1745</v>
      </c>
      <c r="AI2054" s="10" t="n">
        <v>-744</v>
      </c>
      <c r="AJ2054" s="11" t="inlineStr"/>
      <c r="AK2054" s="12" t="n">
        <v>-868</v>
      </c>
      <c r="AL2054" s="12" t="n">
        <v>-2147</v>
      </c>
      <c r="AM2054" s="13" t="inlineStr"/>
      <c r="AN2054" s="13" t="inlineStr"/>
      <c r="AO2054" s="13" t="n">
        <v>50.3</v>
      </c>
      <c r="AP2054" s="13" t="n">
        <v>64.7</v>
      </c>
    </row>
    <row r="2055">
      <c r="A2055" s="5" t="inlineStr">
        <is>
          <t>한울앤제주</t>
        </is>
      </c>
      <c r="B2055" s="6" t="inlineStr">
        <is>
          <t>276730</t>
        </is>
      </c>
      <c r="C2055" s="6" t="inlineStr">
        <is>
          <t>연결</t>
        </is>
      </c>
      <c r="D2055" s="6" t="inlineStr">
        <is>
          <t>2026Q2</t>
        </is>
      </c>
      <c r="E2055" s="6" t="inlineStr"/>
      <c r="F2055" s="7" t="inlineStr"/>
      <c r="G2055" s="8" t="inlineStr"/>
      <c r="H2055" s="8" t="inlineStr"/>
      <c r="I2055" s="9" t="n">
        <v>5030</v>
      </c>
      <c r="J2055" s="10" t="n">
        <v>-1055</v>
      </c>
      <c r="K2055" s="10" t="n">
        <v>-1016</v>
      </c>
      <c r="L2055" s="7" t="n">
        <v>5167</v>
      </c>
      <c r="M2055" s="8" t="n">
        <v>-1581</v>
      </c>
      <c r="N2055" s="8" t="n">
        <v>-1918</v>
      </c>
      <c r="O2055" s="9" t="n">
        <v>4478</v>
      </c>
      <c r="P2055" s="10" t="n">
        <v>-502</v>
      </c>
      <c r="Q2055" s="10" t="n">
        <v>-716</v>
      </c>
      <c r="R2055" s="7" t="n">
        <v>3601</v>
      </c>
      <c r="S2055" s="8" t="n">
        <v>-1689</v>
      </c>
      <c r="T2055" s="8" t="n">
        <v>-17295</v>
      </c>
      <c r="U2055" s="9" t="n">
        <v>3401</v>
      </c>
      <c r="V2055" s="10" t="n">
        <v>-532</v>
      </c>
      <c r="W2055" s="10" t="n">
        <v>-969</v>
      </c>
      <c r="X2055" s="7" t="n">
        <v>3300</v>
      </c>
      <c r="Y2055" s="8" t="n">
        <v>-1458</v>
      </c>
      <c r="Z2055" s="8" t="n">
        <v>-423</v>
      </c>
      <c r="AA2055" s="9" t="n">
        <v>3370</v>
      </c>
      <c r="AB2055" s="10" t="n">
        <v>-963</v>
      </c>
      <c r="AC2055" s="10" t="n">
        <v>-2197</v>
      </c>
      <c r="AD2055" s="7" t="n">
        <v>3822</v>
      </c>
      <c r="AE2055" s="8" t="n">
        <v>-1948</v>
      </c>
      <c r="AF2055" s="8" t="n">
        <v>-7925</v>
      </c>
      <c r="AG2055" s="9" t="n">
        <v>3328</v>
      </c>
      <c r="AH2055" s="10" t="n">
        <v>-1909</v>
      </c>
      <c r="AI2055" s="10" t="n">
        <v>-3112</v>
      </c>
      <c r="AJ2055" s="11" t="n">
        <v>3798</v>
      </c>
      <c r="AK2055" s="12" t="n">
        <v>-1793</v>
      </c>
      <c r="AL2055" s="12" t="n">
        <v>-3179</v>
      </c>
      <c r="AM2055" s="13" t="n">
        <v>14.1</v>
      </c>
      <c r="AN2055" s="13" t="n">
        <v>15.1</v>
      </c>
      <c r="AO2055" s="13" t="n">
        <v>6.1</v>
      </c>
      <c r="AP2055" s="13" t="n">
        <v>-23</v>
      </c>
    </row>
    <row r="2056">
      <c r="A2056" s="5" t="inlineStr">
        <is>
          <t>린드먼아시아</t>
        </is>
      </c>
      <c r="B2056" s="6" t="inlineStr">
        <is>
          <t>277070</t>
        </is>
      </c>
      <c r="C2056" s="6" t="inlineStr">
        <is>
          <t>연결</t>
        </is>
      </c>
      <c r="D2056" s="6" t="inlineStr">
        <is>
          <t>2026Q2</t>
        </is>
      </c>
      <c r="E2056" s="6" t="inlineStr"/>
      <c r="F2056" s="7" t="inlineStr"/>
      <c r="G2056" s="8" t="inlineStr"/>
      <c r="H2056" s="8" t="inlineStr"/>
      <c r="I2056" s="9" t="n">
        <v>1268</v>
      </c>
      <c r="J2056" s="10" t="n">
        <v>330</v>
      </c>
      <c r="K2056" s="10" t="n">
        <v>304</v>
      </c>
      <c r="L2056" s="7" t="n">
        <v>1289</v>
      </c>
      <c r="M2056" s="8" t="n">
        <v>294</v>
      </c>
      <c r="N2056" s="8" t="n">
        <v>265</v>
      </c>
      <c r="O2056" s="9" t="n">
        <v>1273</v>
      </c>
      <c r="P2056" s="10" t="n">
        <v>540</v>
      </c>
      <c r="Q2056" s="10" t="n">
        <v>423</v>
      </c>
      <c r="R2056" s="7" t="n">
        <v>5264</v>
      </c>
      <c r="S2056" s="8" t="n">
        <v>3046</v>
      </c>
      <c r="T2056" s="8" t="n">
        <v>2369</v>
      </c>
      <c r="U2056" s="9" t="n">
        <v>1577</v>
      </c>
      <c r="V2056" s="10" t="n">
        <v>215</v>
      </c>
      <c r="W2056" s="10" t="n">
        <v>505</v>
      </c>
      <c r="X2056" s="7" t="n">
        <v>1873</v>
      </c>
      <c r="Y2056" s="8" t="n">
        <v>1384</v>
      </c>
      <c r="Z2056" s="8" t="n">
        <v>1027</v>
      </c>
      <c r="AA2056" s="9" t="n">
        <v>1201</v>
      </c>
      <c r="AB2056" s="10" t="n">
        <v>617</v>
      </c>
      <c r="AC2056" s="10" t="n">
        <v>482</v>
      </c>
      <c r="AD2056" s="7" t="n">
        <v>2781</v>
      </c>
      <c r="AE2056" s="8" t="n">
        <v>1387</v>
      </c>
      <c r="AF2056" s="8" t="n">
        <v>975</v>
      </c>
      <c r="AG2056" s="9" t="n">
        <v>2338</v>
      </c>
      <c r="AH2056" s="10" t="n">
        <v>1068</v>
      </c>
      <c r="AI2056" s="10" t="n">
        <v>960</v>
      </c>
      <c r="AJ2056" s="11" t="n">
        <v>1629</v>
      </c>
      <c r="AK2056" s="12" t="n">
        <v>-2060</v>
      </c>
      <c r="AL2056" s="12" t="n">
        <v>-1726</v>
      </c>
      <c r="AM2056" s="13" t="n">
        <v>-30.3</v>
      </c>
      <c r="AN2056" s="13" t="n">
        <v>-13</v>
      </c>
      <c r="AO2056" s="13" t="n">
        <v>-292.9</v>
      </c>
      <c r="AP2056" s="13" t="n">
        <v>-248.8</v>
      </c>
    </row>
    <row r="2057">
      <c r="A2057" s="5" t="inlineStr">
        <is>
          <t>인산가</t>
        </is>
      </c>
      <c r="B2057" s="6" t="inlineStr">
        <is>
          <t>277410</t>
        </is>
      </c>
      <c r="C2057" s="6" t="inlineStr">
        <is>
          <t>연결</t>
        </is>
      </c>
      <c r="D2057" s="6" t="inlineStr">
        <is>
          <t>2026Q2</t>
        </is>
      </c>
      <c r="E2057" s="6" t="inlineStr"/>
      <c r="F2057" s="7" t="inlineStr"/>
      <c r="G2057" s="8" t="inlineStr"/>
      <c r="H2057" s="8" t="inlineStr"/>
      <c r="I2057" s="9" t="n">
        <v>7340</v>
      </c>
      <c r="J2057" s="10" t="n">
        <v>-572</v>
      </c>
      <c r="K2057" s="10" t="n">
        <v>-441</v>
      </c>
      <c r="L2057" s="7" t="n">
        <v>7817</v>
      </c>
      <c r="M2057" s="8" t="n">
        <v>21</v>
      </c>
      <c r="N2057" s="8" t="n">
        <v>76</v>
      </c>
      <c r="O2057" s="9" t="n">
        <v>9355</v>
      </c>
      <c r="P2057" s="10" t="n">
        <v>806</v>
      </c>
      <c r="Q2057" s="10" t="n">
        <v>9</v>
      </c>
      <c r="R2057" s="7" t="n">
        <v>7972</v>
      </c>
      <c r="S2057" s="8" t="n">
        <v>559</v>
      </c>
      <c r="T2057" s="8" t="n">
        <v>1242</v>
      </c>
      <c r="U2057" s="9" t="n">
        <v>7582</v>
      </c>
      <c r="V2057" s="10" t="n">
        <v>-251</v>
      </c>
      <c r="W2057" s="10" t="n">
        <v>-265</v>
      </c>
      <c r="X2057" s="7" t="n">
        <v>8535</v>
      </c>
      <c r="Y2057" s="8" t="n">
        <v>558</v>
      </c>
      <c r="Z2057" s="8" t="n">
        <v>-510</v>
      </c>
      <c r="AA2057" s="9" t="n">
        <v>10937</v>
      </c>
      <c r="AB2057" s="10" t="n">
        <v>1658</v>
      </c>
      <c r="AC2057" s="10" t="n">
        <v>1234</v>
      </c>
      <c r="AD2057" s="7" t="n">
        <v>8750</v>
      </c>
      <c r="AE2057" s="8" t="n">
        <v>341</v>
      </c>
      <c r="AF2057" s="8" t="n">
        <v>178</v>
      </c>
      <c r="AG2057" s="9" t="n">
        <v>9990</v>
      </c>
      <c r="AH2057" s="10" t="n">
        <v>-328</v>
      </c>
      <c r="AI2057" s="10" t="n">
        <v>-338</v>
      </c>
      <c r="AJ2057" s="11" t="n">
        <v>9918</v>
      </c>
      <c r="AK2057" s="12" t="n">
        <v>323</v>
      </c>
      <c r="AL2057" s="12" t="n">
        <v>863</v>
      </c>
      <c r="AM2057" s="13" t="n">
        <v>-0.7</v>
      </c>
      <c r="AN2057" s="13" t="n">
        <v>16.2</v>
      </c>
      <c r="AO2057" s="13" t="n">
        <v>198.5</v>
      </c>
      <c r="AP2057" s="13" t="n">
        <v>-42.1</v>
      </c>
    </row>
    <row r="2058">
      <c r="A2058" s="5" t="inlineStr">
        <is>
          <t>레인보우로보틱스</t>
        </is>
      </c>
      <c r="B2058" s="6" t="inlineStr">
        <is>
          <t>277810</t>
        </is>
      </c>
      <c r="C2058" s="6" t="inlineStr">
        <is>
          <t>연결</t>
        </is>
      </c>
      <c r="D2058" s="6" t="inlineStr">
        <is>
          <t>2026Q2</t>
        </is>
      </c>
      <c r="E2058" s="6" t="inlineStr"/>
      <c r="F2058" s="7" t="inlineStr"/>
      <c r="G2058" s="8" t="inlineStr"/>
      <c r="H2058" s="8" t="inlineStr"/>
      <c r="I2058" s="9" t="n">
        <v>3048</v>
      </c>
      <c r="J2058" s="10" t="n">
        <v>-450</v>
      </c>
      <c r="K2058" s="10" t="n">
        <v>611</v>
      </c>
      <c r="L2058" s="7" t="n">
        <v>3177</v>
      </c>
      <c r="M2058" s="8" t="n">
        <v>-2549</v>
      </c>
      <c r="N2058" s="8" t="n">
        <v>-1174</v>
      </c>
      <c r="O2058" s="9" t="n">
        <v>3470</v>
      </c>
      <c r="P2058" s="10" t="n">
        <v>-1021</v>
      </c>
      <c r="Q2058" s="10" t="n">
        <v>-119</v>
      </c>
      <c r="R2058" s="7" t="n">
        <v>9652</v>
      </c>
      <c r="S2058" s="8" t="n">
        <v>1041</v>
      </c>
      <c r="T2058" s="8" t="n">
        <v>3504</v>
      </c>
      <c r="U2058" s="9" t="n">
        <v>4185</v>
      </c>
      <c r="V2058" s="10" t="n">
        <v>-1403</v>
      </c>
      <c r="W2058" s="10" t="n">
        <v>-901</v>
      </c>
      <c r="X2058" s="7" t="n">
        <v>6223</v>
      </c>
      <c r="Y2058" s="8" t="n">
        <v>-2057</v>
      </c>
      <c r="Z2058" s="8" t="n">
        <v>-1193</v>
      </c>
      <c r="AA2058" s="9" t="n">
        <v>10695</v>
      </c>
      <c r="AB2058" s="10" t="n">
        <v>-720</v>
      </c>
      <c r="AC2058" s="10" t="n">
        <v>291</v>
      </c>
      <c r="AD2058" s="7" t="n">
        <v>13020</v>
      </c>
      <c r="AE2058" s="8" t="n">
        <v>1700</v>
      </c>
      <c r="AF2058" s="8" t="n">
        <v>2837</v>
      </c>
      <c r="AG2058" s="9" t="n">
        <v>9063</v>
      </c>
      <c r="AH2058" s="10" t="n">
        <v>-1567</v>
      </c>
      <c r="AI2058" s="10" t="n">
        <v>-1265</v>
      </c>
      <c r="AJ2058" s="11" t="n">
        <v>12314</v>
      </c>
      <c r="AK2058" s="12" t="n">
        <v>-2028</v>
      </c>
      <c r="AL2058" s="12" t="n">
        <v>-597</v>
      </c>
      <c r="AM2058" s="13" t="n">
        <v>35.9</v>
      </c>
      <c r="AN2058" s="13" t="n">
        <v>97.90000000000001</v>
      </c>
      <c r="AO2058" s="13" t="n">
        <v>-29.4</v>
      </c>
      <c r="AP2058" s="13" t="n">
        <v>1.4</v>
      </c>
    </row>
    <row r="2059">
      <c r="A2059" s="5" t="inlineStr">
        <is>
          <t>티에스아이</t>
        </is>
      </c>
      <c r="B2059" s="6" t="inlineStr">
        <is>
          <t>277880</t>
        </is>
      </c>
      <c r="C2059" s="6" t="inlineStr">
        <is>
          <t>연결</t>
        </is>
      </c>
      <c r="D2059" s="6" t="inlineStr">
        <is>
          <t>2026Q2</t>
        </is>
      </c>
      <c r="E2059" s="6" t="inlineStr"/>
      <c r="F2059" s="7" t="inlineStr"/>
      <c r="G2059" s="8" t="inlineStr"/>
      <c r="H2059" s="8" t="inlineStr"/>
      <c r="I2059" s="9" t="n">
        <v>64891</v>
      </c>
      <c r="J2059" s="10" t="n">
        <v>2430</v>
      </c>
      <c r="K2059" s="10" t="n">
        <v>6241</v>
      </c>
      <c r="L2059" s="7" t="n">
        <v>77025</v>
      </c>
      <c r="M2059" s="8" t="n">
        <v>6916</v>
      </c>
      <c r="N2059" s="8" t="n">
        <v>10027</v>
      </c>
      <c r="O2059" s="9" t="n">
        <v>43729</v>
      </c>
      <c r="P2059" s="10" t="n">
        <v>2917</v>
      </c>
      <c r="Q2059" s="10" t="n">
        <v>2432</v>
      </c>
      <c r="R2059" s="7" t="n">
        <v>86342</v>
      </c>
      <c r="S2059" s="8" t="n">
        <v>3367</v>
      </c>
      <c r="T2059" s="8" t="n">
        <v>10640</v>
      </c>
      <c r="U2059" s="9" t="n">
        <v>64478</v>
      </c>
      <c r="V2059" s="10" t="n">
        <v>2023</v>
      </c>
      <c r="W2059" s="10" t="n">
        <v>1704</v>
      </c>
      <c r="X2059" s="7" t="n">
        <v>55704</v>
      </c>
      <c r="Y2059" s="8" t="n">
        <v>2259</v>
      </c>
      <c r="Z2059" s="8" t="n">
        <v>-1540</v>
      </c>
      <c r="AA2059" s="9" t="n">
        <v>76568</v>
      </c>
      <c r="AB2059" s="10" t="n">
        <v>2604</v>
      </c>
      <c r="AC2059" s="10" t="n">
        <v>2989</v>
      </c>
      <c r="AD2059" s="7" t="n">
        <v>67903</v>
      </c>
      <c r="AE2059" s="8" t="n">
        <v>1359</v>
      </c>
      <c r="AF2059" s="8" t="n">
        <v>712</v>
      </c>
      <c r="AG2059" s="9" t="n">
        <v>50880</v>
      </c>
      <c r="AH2059" s="10" t="n">
        <v>3802</v>
      </c>
      <c r="AI2059" s="10" t="n">
        <v>9076</v>
      </c>
      <c r="AJ2059" s="11" t="n">
        <v>116646</v>
      </c>
      <c r="AK2059" s="12" t="n">
        <v>7093</v>
      </c>
      <c r="AL2059" s="12" t="n">
        <v>5190</v>
      </c>
      <c r="AM2059" s="13" t="n">
        <v>129.3</v>
      </c>
      <c r="AN2059" s="13" t="n">
        <v>109.4</v>
      </c>
      <c r="AO2059" s="13" t="n">
        <v>86.59999999999999</v>
      </c>
      <c r="AP2059" s="13" t="n">
        <v>214</v>
      </c>
    </row>
    <row r="2060">
      <c r="A2060" s="5" t="inlineStr">
        <is>
          <t>천보</t>
        </is>
      </c>
      <c r="B2060" s="6" t="inlineStr">
        <is>
          <t>278280</t>
        </is>
      </c>
      <c r="C2060" s="6" t="inlineStr">
        <is>
          <t>연결</t>
        </is>
      </c>
      <c r="D2060" s="6" t="inlineStr">
        <is>
          <t>2026Q2</t>
        </is>
      </c>
      <c r="E2060" s="6" t="inlineStr"/>
      <c r="F2060" s="7" t="inlineStr"/>
      <c r="G2060" s="8" t="inlineStr"/>
      <c r="H2060" s="8" t="inlineStr"/>
      <c r="I2060" s="9" t="n">
        <v>39750</v>
      </c>
      <c r="J2060" s="10" t="n">
        <v>-27636</v>
      </c>
      <c r="K2060" s="10" t="n">
        <v>-26559</v>
      </c>
      <c r="L2060" s="7" t="n">
        <v>35929</v>
      </c>
      <c r="M2060" s="8" t="n">
        <v>1400</v>
      </c>
      <c r="N2060" s="8" t="n">
        <v>-22350</v>
      </c>
      <c r="O2060" s="9" t="n">
        <v>37544</v>
      </c>
      <c r="P2060" s="10" t="n">
        <v>932</v>
      </c>
      <c r="Q2060" s="10" t="n">
        <v>-5344</v>
      </c>
      <c r="R2060" s="7" t="n">
        <v>31690</v>
      </c>
      <c r="S2060" s="8" t="n">
        <v>2552</v>
      </c>
      <c r="T2060" s="8" t="n">
        <v>21934</v>
      </c>
      <c r="U2060" s="9" t="n">
        <v>35556</v>
      </c>
      <c r="V2060" s="10" t="n">
        <v>2816</v>
      </c>
      <c r="W2060" s="10" t="n">
        <v>489</v>
      </c>
      <c r="X2060" s="7" t="n">
        <v>33088</v>
      </c>
      <c r="Y2060" s="8" t="n">
        <v>2891</v>
      </c>
      <c r="Z2060" s="8" t="n">
        <v>-5850</v>
      </c>
      <c r="AA2060" s="9" t="n">
        <v>30625</v>
      </c>
      <c r="AB2060" s="10" t="n">
        <v>553</v>
      </c>
      <c r="AC2060" s="10" t="n">
        <v>-3474</v>
      </c>
      <c r="AD2060" s="7" t="n">
        <v>34581</v>
      </c>
      <c r="AE2060" s="8" t="n">
        <v>-2549</v>
      </c>
      <c r="AF2060" s="8" t="n">
        <v>-51180</v>
      </c>
      <c r="AG2060" s="9" t="n">
        <v>40771</v>
      </c>
      <c r="AH2060" s="10" t="n">
        <v>-3411</v>
      </c>
      <c r="AI2060" s="10" t="n">
        <v>-9541</v>
      </c>
      <c r="AJ2060" s="11" t="n">
        <v>51003</v>
      </c>
      <c r="AK2060" s="12" t="n">
        <v>-3813</v>
      </c>
      <c r="AL2060" s="12" t="n">
        <v>-2808</v>
      </c>
      <c r="AM2060" s="13" t="n">
        <v>25.1</v>
      </c>
      <c r="AN2060" s="13" t="n">
        <v>54.1</v>
      </c>
      <c r="AO2060" s="13" t="n">
        <v>-11.8</v>
      </c>
      <c r="AP2060" s="13" t="n">
        <v>-231.9</v>
      </c>
    </row>
    <row r="2061">
      <c r="A2061" s="5" t="inlineStr">
        <is>
          <t>에이피알</t>
        </is>
      </c>
      <c r="B2061" s="6" t="inlineStr">
        <is>
          <t>278470</t>
        </is>
      </c>
      <c r="C2061" s="6" t="inlineStr">
        <is>
          <t>연결</t>
        </is>
      </c>
      <c r="D2061" s="6" t="inlineStr">
        <is>
          <t>2026Q2</t>
        </is>
      </c>
      <c r="E2061" s="6" t="inlineStr"/>
      <c r="F2061" s="7" t="inlineStr"/>
      <c r="G2061" s="8" t="inlineStr"/>
      <c r="H2061" s="8" t="inlineStr"/>
      <c r="I2061" s="9" t="n">
        <v>148928</v>
      </c>
      <c r="J2061" s="10" t="n">
        <v>27765</v>
      </c>
      <c r="K2061" s="10" t="n">
        <v>24093</v>
      </c>
      <c r="L2061" s="7" t="n">
        <v>155494</v>
      </c>
      <c r="M2061" s="8" t="n">
        <v>28011</v>
      </c>
      <c r="N2061" s="8" t="n">
        <v>24099</v>
      </c>
      <c r="O2061" s="9" t="n">
        <v>174117</v>
      </c>
      <c r="P2061" s="10" t="n">
        <v>27243</v>
      </c>
      <c r="Q2061" s="10" t="n">
        <v>16007</v>
      </c>
      <c r="R2061" s="7" t="n">
        <v>244215</v>
      </c>
      <c r="S2061" s="8" t="n">
        <v>39687</v>
      </c>
      <c r="T2061" s="8" t="n">
        <v>43391</v>
      </c>
      <c r="U2061" s="9" t="n">
        <v>266033</v>
      </c>
      <c r="V2061" s="10" t="n">
        <v>54568</v>
      </c>
      <c r="W2061" s="10" t="n">
        <v>49941</v>
      </c>
      <c r="X2061" s="7" t="n">
        <v>327735</v>
      </c>
      <c r="Y2061" s="8" t="n">
        <v>84552</v>
      </c>
      <c r="Z2061" s="8" t="n">
        <v>66309</v>
      </c>
      <c r="AA2061" s="9" t="n">
        <v>385943</v>
      </c>
      <c r="AB2061" s="10" t="n">
        <v>96128</v>
      </c>
      <c r="AC2061" s="10" t="n">
        <v>74634</v>
      </c>
      <c r="AD2061" s="7" t="n">
        <v>547634</v>
      </c>
      <c r="AE2061" s="8" t="n">
        <v>130273</v>
      </c>
      <c r="AF2061" s="8" t="n">
        <v>98771</v>
      </c>
      <c r="AG2061" s="9" t="n">
        <v>593356</v>
      </c>
      <c r="AH2061" s="10" t="n">
        <v>152272</v>
      </c>
      <c r="AI2061" s="10" t="n">
        <v>117264</v>
      </c>
      <c r="AJ2061" s="11" t="n">
        <v>767533</v>
      </c>
      <c r="AK2061" s="12" t="n">
        <v>190553</v>
      </c>
      <c r="AL2061" s="12" t="n">
        <v>141530</v>
      </c>
      <c r="AM2061" s="13" t="n">
        <v>29.4</v>
      </c>
      <c r="AN2061" s="13" t="n">
        <v>134.2</v>
      </c>
      <c r="AO2061" s="13" t="n">
        <v>25.1</v>
      </c>
      <c r="AP2061" s="13" t="n">
        <v>125.4</v>
      </c>
    </row>
    <row r="2062">
      <c r="A2062" s="5" t="inlineStr">
        <is>
          <t>HLB바이오스텝</t>
        </is>
      </c>
      <c r="B2062" s="6" t="inlineStr">
        <is>
          <t>278650</t>
        </is>
      </c>
      <c r="C2062" s="6" t="inlineStr">
        <is>
          <t>연결</t>
        </is>
      </c>
      <c r="D2062" s="6" t="inlineStr">
        <is>
          <t>2026Q2</t>
        </is>
      </c>
      <c r="E2062" s="6" t="inlineStr"/>
      <c r="F2062" s="7" t="inlineStr"/>
      <c r="G2062" s="8" t="inlineStr"/>
      <c r="H2062" s="8" t="inlineStr"/>
      <c r="I2062" s="9" t="n">
        <v>11566</v>
      </c>
      <c r="J2062" s="10" t="n">
        <v>-2360</v>
      </c>
      <c r="K2062" s="10" t="n">
        <v>-2126</v>
      </c>
      <c r="L2062" s="7" t="n">
        <v>11925</v>
      </c>
      <c r="M2062" s="8" t="n">
        <v>-3264</v>
      </c>
      <c r="N2062" s="8" t="n">
        <v>-3339</v>
      </c>
      <c r="O2062" s="9" t="n">
        <v>18537</v>
      </c>
      <c r="P2062" s="10" t="n">
        <v>-2661</v>
      </c>
      <c r="Q2062" s="10" t="n">
        <v>-830</v>
      </c>
      <c r="R2062" s="7" t="n">
        <v>16141</v>
      </c>
      <c r="S2062" s="8" t="n">
        <v>-4680</v>
      </c>
      <c r="T2062" s="8" t="n">
        <v>-3398</v>
      </c>
      <c r="U2062" s="9" t="n">
        <v>13578</v>
      </c>
      <c r="V2062" s="10" t="n">
        <v>-2547</v>
      </c>
      <c r="W2062" s="10" t="n">
        <v>-1835</v>
      </c>
      <c r="X2062" s="7" t="n">
        <v>17773</v>
      </c>
      <c r="Y2062" s="8" t="n">
        <v>-4308</v>
      </c>
      <c r="Z2062" s="8" t="n">
        <v>-4570</v>
      </c>
      <c r="AA2062" s="9" t="n">
        <v>23974</v>
      </c>
      <c r="AB2062" s="10" t="n">
        <v>455</v>
      </c>
      <c r="AC2062" s="10" t="n">
        <v>770</v>
      </c>
      <c r="AD2062" s="7" t="n">
        <v>18725</v>
      </c>
      <c r="AE2062" s="8" t="n">
        <v>-2217</v>
      </c>
      <c r="AF2062" s="8" t="n">
        <v>-14620</v>
      </c>
      <c r="AG2062" s="9" t="n">
        <v>13485</v>
      </c>
      <c r="AH2062" s="10" t="n">
        <v>-2611</v>
      </c>
      <c r="AI2062" s="10" t="n">
        <v>-2116</v>
      </c>
      <c r="AJ2062" s="11" t="n">
        <v>15966</v>
      </c>
      <c r="AK2062" s="12" t="n">
        <v>-1893</v>
      </c>
      <c r="AL2062" s="12" t="n">
        <v>-3516</v>
      </c>
      <c r="AM2062" s="13" t="n">
        <v>18.4</v>
      </c>
      <c r="AN2062" s="13" t="n">
        <v>-10.2</v>
      </c>
      <c r="AO2062" s="13" t="n">
        <v>27.5</v>
      </c>
      <c r="AP2062" s="13" t="n">
        <v>56.1</v>
      </c>
    </row>
    <row r="2063">
      <c r="A2063" s="5" t="inlineStr">
        <is>
          <t>케이뱅크</t>
        </is>
      </c>
      <c r="B2063" s="6" t="inlineStr">
        <is>
          <t>279570</t>
        </is>
      </c>
      <c r="C2063" s="6" t="inlineStr">
        <is>
          <t>별도</t>
        </is>
      </c>
      <c r="D2063" s="6" t="inlineStr">
        <is>
          <t>2026Q2</t>
        </is>
      </c>
      <c r="E2063" s="6" t="inlineStr"/>
      <c r="F2063" s="7" t="inlineStr"/>
      <c r="G2063" s="8" t="inlineStr"/>
      <c r="H2063" s="8" t="inlineStr"/>
      <c r="I2063" s="9" t="inlineStr"/>
      <c r="J2063" s="10" t="n">
        <v>51521</v>
      </c>
      <c r="K2063" s="10" t="n">
        <v>50694</v>
      </c>
      <c r="L2063" s="7" t="inlineStr"/>
      <c r="M2063" s="8" t="n">
        <v>35208</v>
      </c>
      <c r="N2063" s="8" t="n">
        <v>34738</v>
      </c>
      <c r="O2063" s="9" t="inlineStr"/>
      <c r="P2063" s="10" t="n">
        <v>36042</v>
      </c>
      <c r="Q2063" s="10" t="n">
        <v>36984</v>
      </c>
      <c r="R2063" s="7" t="inlineStr"/>
      <c r="S2063" s="8" t="n">
        <v>10196</v>
      </c>
      <c r="T2063" s="8" t="n">
        <v>5637</v>
      </c>
      <c r="U2063" s="9" t="inlineStr"/>
      <c r="V2063" s="10" t="n">
        <v>15575</v>
      </c>
      <c r="W2063" s="10" t="n">
        <v>16058</v>
      </c>
      <c r="X2063" s="7" t="inlineStr"/>
      <c r="Y2063" s="8" t="n">
        <v>69799</v>
      </c>
      <c r="Z2063" s="8" t="n">
        <v>68189</v>
      </c>
      <c r="AA2063" s="9" t="inlineStr"/>
      <c r="AB2063" s="10" t="n">
        <v>20713</v>
      </c>
      <c r="AC2063" s="10" t="n">
        <v>19183</v>
      </c>
      <c r="AD2063" s="7" t="inlineStr"/>
      <c r="AE2063" s="8" t="n">
        <v>10998</v>
      </c>
      <c r="AF2063" s="8" t="n">
        <v>9179</v>
      </c>
      <c r="AG2063" s="14" t="n">
        <v>323924</v>
      </c>
      <c r="AH2063" s="10" t="n">
        <v>32402</v>
      </c>
      <c r="AI2063" s="10" t="n">
        <v>33206</v>
      </c>
      <c r="AJ2063" s="14" t="n">
        <v>327014</v>
      </c>
      <c r="AK2063" s="12" t="n">
        <v>26970</v>
      </c>
      <c r="AL2063" s="12" t="n">
        <v>26870</v>
      </c>
      <c r="AM2063" s="13" t="n">
        <v>1</v>
      </c>
      <c r="AN2063" s="13" t="inlineStr"/>
      <c r="AO2063" s="13" t="n">
        <v>-16.8</v>
      </c>
      <c r="AP2063" s="13" t="n">
        <v>-61.4</v>
      </c>
    </row>
    <row r="2064">
      <c r="A2064" s="5" t="inlineStr">
        <is>
          <t>미디어젠</t>
        </is>
      </c>
      <c r="B2064" s="6" t="inlineStr">
        <is>
          <t>279600</t>
        </is>
      </c>
      <c r="C2064" s="6" t="inlineStr">
        <is>
          <t>별도</t>
        </is>
      </c>
      <c r="D2064" s="6" t="inlineStr">
        <is>
          <t>2026Q2</t>
        </is>
      </c>
      <c r="E2064" s="6" t="inlineStr"/>
      <c r="F2064" s="7" t="inlineStr"/>
      <c r="G2064" s="8" t="inlineStr"/>
      <c r="H2064" s="8" t="inlineStr"/>
      <c r="I2064" s="9" t="n">
        <v>2327</v>
      </c>
      <c r="J2064" s="10" t="n">
        <v>-1607</v>
      </c>
      <c r="K2064" s="10" t="n">
        <v>-1590</v>
      </c>
      <c r="L2064" s="7" t="n">
        <v>3197</v>
      </c>
      <c r="M2064" s="8" t="n">
        <v>-1059</v>
      </c>
      <c r="N2064" s="8" t="n">
        <v>-988</v>
      </c>
      <c r="O2064" s="9" t="n">
        <v>3262</v>
      </c>
      <c r="P2064" s="10" t="n">
        <v>-1022</v>
      </c>
      <c r="Q2064" s="10" t="n">
        <v>-1074</v>
      </c>
      <c r="R2064" s="7" t="n">
        <v>3231</v>
      </c>
      <c r="S2064" s="8" t="n">
        <v>-986</v>
      </c>
      <c r="T2064" s="8" t="n">
        <v>-525</v>
      </c>
      <c r="U2064" s="9" t="n">
        <v>8088</v>
      </c>
      <c r="V2064" s="10" t="n">
        <v>-719</v>
      </c>
      <c r="W2064" s="10" t="n">
        <v>-749</v>
      </c>
      <c r="X2064" s="7" t="n">
        <v>4858</v>
      </c>
      <c r="Y2064" s="8" t="n">
        <v>-1146</v>
      </c>
      <c r="Z2064" s="8" t="n">
        <v>-1121</v>
      </c>
      <c r="AA2064" s="9" t="n">
        <v>2085</v>
      </c>
      <c r="AB2064" s="10" t="n">
        <v>-735</v>
      </c>
      <c r="AC2064" s="10" t="n">
        <v>-894</v>
      </c>
      <c r="AD2064" s="7" t="n">
        <v>7750</v>
      </c>
      <c r="AE2064" s="8" t="n">
        <v>368</v>
      </c>
      <c r="AF2064" s="8" t="n">
        <v>49</v>
      </c>
      <c r="AG2064" s="9" t="n">
        <v>3364</v>
      </c>
      <c r="AH2064" s="10" t="n">
        <v>-1954</v>
      </c>
      <c r="AI2064" s="10" t="n">
        <v>-2048</v>
      </c>
      <c r="AJ2064" s="11" t="n">
        <v>2794</v>
      </c>
      <c r="AK2064" s="12" t="n">
        <v>-2061</v>
      </c>
      <c r="AL2064" s="12" t="n">
        <v>-2132</v>
      </c>
      <c r="AM2064" s="13" t="n">
        <v>-16.9</v>
      </c>
      <c r="AN2064" s="13" t="n">
        <v>-42.5</v>
      </c>
      <c r="AO2064" s="13" t="n">
        <v>-5.5</v>
      </c>
      <c r="AP2064" s="13" t="n">
        <v>-79.8</v>
      </c>
    </row>
    <row r="2065">
      <c r="A2065" s="5" t="inlineStr">
        <is>
          <t>롯데웰푸드</t>
        </is>
      </c>
      <c r="B2065" s="6" t="inlineStr">
        <is>
          <t>280360</t>
        </is>
      </c>
      <c r="C2065" s="6" t="inlineStr">
        <is>
          <t>연결</t>
        </is>
      </c>
      <c r="D2065" s="6" t="inlineStr">
        <is>
          <t>2026Q2</t>
        </is>
      </c>
      <c r="E2065" s="6" t="inlineStr">
        <is>
          <t>2023Q4</t>
        </is>
      </c>
      <c r="F2065" s="14" t="n">
        <v>3300752</v>
      </c>
      <c r="G2065" s="15" t="n">
        <v>130507</v>
      </c>
      <c r="H2065" s="15" t="n">
        <v>59492</v>
      </c>
      <c r="I2065" s="9" t="n">
        <v>951054</v>
      </c>
      <c r="J2065" s="10" t="n">
        <v>37335</v>
      </c>
      <c r="K2065" s="10" t="n">
        <v>20074</v>
      </c>
      <c r="L2065" s="7" t="n">
        <v>1044196</v>
      </c>
      <c r="M2065" s="8" t="n">
        <v>63290</v>
      </c>
      <c r="N2065" s="8" t="n">
        <v>40710</v>
      </c>
      <c r="O2065" s="9" t="n">
        <v>1078471</v>
      </c>
      <c r="P2065" s="10" t="n">
        <v>76044</v>
      </c>
      <c r="Q2065" s="10" t="n">
        <v>46170</v>
      </c>
      <c r="R2065" s="7" t="n">
        <v>970531</v>
      </c>
      <c r="S2065" s="8" t="n">
        <v>-19568</v>
      </c>
      <c r="T2065" s="8" t="n">
        <v>-24974</v>
      </c>
      <c r="U2065" s="9" t="n">
        <v>975126</v>
      </c>
      <c r="V2065" s="10" t="n">
        <v>16386</v>
      </c>
      <c r="W2065" s="10" t="n">
        <v>22747</v>
      </c>
      <c r="X2065" s="7" t="n">
        <v>1064281</v>
      </c>
      <c r="Y2065" s="8" t="n">
        <v>34334</v>
      </c>
      <c r="Z2065" s="8" t="n">
        <v>15678</v>
      </c>
      <c r="AA2065" s="9" t="n">
        <v>1156782</v>
      </c>
      <c r="AB2065" s="10" t="n">
        <v>69263</v>
      </c>
      <c r="AC2065" s="10" t="n">
        <v>49943</v>
      </c>
      <c r="AD2065" s="7" t="n">
        <v>1019764</v>
      </c>
      <c r="AE2065" s="8" t="n">
        <v>-10464</v>
      </c>
      <c r="AF2065" s="8" t="n">
        <v>-16978</v>
      </c>
      <c r="AG2065" s="9" t="n">
        <v>1027305</v>
      </c>
      <c r="AH2065" s="10" t="n">
        <v>35789</v>
      </c>
      <c r="AI2065" s="10" t="n">
        <v>16690</v>
      </c>
      <c r="AJ2065" s="11" t="n">
        <v>1155748</v>
      </c>
      <c r="AK2065" s="12" t="n">
        <v>64709</v>
      </c>
      <c r="AL2065" s="12" t="n">
        <v>36082</v>
      </c>
      <c r="AM2065" s="13" t="n">
        <v>12.5</v>
      </c>
      <c r="AN2065" s="13" t="n">
        <v>8.6</v>
      </c>
      <c r="AO2065" s="13" t="n">
        <v>80.8</v>
      </c>
      <c r="AP2065" s="13" t="n">
        <v>88.5</v>
      </c>
    </row>
    <row r="2066">
      <c r="A2066" s="5" t="inlineStr">
        <is>
          <t>레이크머티리얼즈</t>
        </is>
      </c>
      <c r="B2066" s="6" t="inlineStr">
        <is>
          <t>281740</t>
        </is>
      </c>
      <c r="C2066" s="6" t="inlineStr">
        <is>
          <t>연결</t>
        </is>
      </c>
      <c r="D2066" s="6" t="inlineStr">
        <is>
          <t>2026Q2</t>
        </is>
      </c>
      <c r="E2066" s="6" t="inlineStr">
        <is>
          <t>2023Q4</t>
        </is>
      </c>
      <c r="F2066" s="14" t="n">
        <v>31619</v>
      </c>
      <c r="G2066" s="15" t="n">
        <v>9192</v>
      </c>
      <c r="H2066" s="15" t="n">
        <v>6440</v>
      </c>
      <c r="I2066" s="9" t="n">
        <v>30832</v>
      </c>
      <c r="J2066" s="10" t="n">
        <v>4925</v>
      </c>
      <c r="K2066" s="10" t="n">
        <v>4171</v>
      </c>
      <c r="L2066" s="7" t="n">
        <v>30725</v>
      </c>
      <c r="M2066" s="8" t="n">
        <v>5058</v>
      </c>
      <c r="N2066" s="8" t="n">
        <v>4364</v>
      </c>
      <c r="O2066" s="9" t="n">
        <v>32444</v>
      </c>
      <c r="P2066" s="10" t="n">
        <v>3955</v>
      </c>
      <c r="Q2066" s="10" t="n">
        <v>2945</v>
      </c>
      <c r="R2066" s="7" t="n">
        <v>44725</v>
      </c>
      <c r="S2066" s="8" t="n">
        <v>8228</v>
      </c>
      <c r="T2066" s="8" t="n">
        <v>9541</v>
      </c>
      <c r="U2066" s="9" t="n">
        <v>31982</v>
      </c>
      <c r="V2066" s="10" t="n">
        <v>2763</v>
      </c>
      <c r="W2066" s="10" t="n">
        <v>1692</v>
      </c>
      <c r="X2066" s="7" t="n">
        <v>31245</v>
      </c>
      <c r="Y2066" s="8" t="n">
        <v>4344</v>
      </c>
      <c r="Z2066" s="8" t="n">
        <v>1138</v>
      </c>
      <c r="AA2066" s="9" t="n">
        <v>36168</v>
      </c>
      <c r="AB2066" s="10" t="n">
        <v>1380</v>
      </c>
      <c r="AC2066" s="10" t="n">
        <v>470</v>
      </c>
      <c r="AD2066" s="7" t="n">
        <v>41839</v>
      </c>
      <c r="AE2066" s="8" t="n">
        <v>4784</v>
      </c>
      <c r="AF2066" s="8" t="n">
        <v>4503</v>
      </c>
      <c r="AG2066" s="9" t="n">
        <v>33181</v>
      </c>
      <c r="AH2066" s="10" t="n">
        <v>4248</v>
      </c>
      <c r="AI2066" s="10" t="n">
        <v>6447</v>
      </c>
      <c r="AJ2066" s="11" t="n">
        <v>37206</v>
      </c>
      <c r="AK2066" s="12" t="n">
        <v>6080</v>
      </c>
      <c r="AL2066" s="12" t="n">
        <v>2630</v>
      </c>
      <c r="AM2066" s="13" t="n">
        <v>12.1</v>
      </c>
      <c r="AN2066" s="13" t="n">
        <v>19.1</v>
      </c>
      <c r="AO2066" s="13" t="n">
        <v>43.1</v>
      </c>
      <c r="AP2066" s="13" t="n">
        <v>40</v>
      </c>
    </row>
    <row r="2067">
      <c r="A2067" s="5" t="inlineStr">
        <is>
          <t>케이씨텍</t>
        </is>
      </c>
      <c r="B2067" s="6" t="inlineStr">
        <is>
          <t>281820</t>
        </is>
      </c>
      <c r="C2067" s="6" t="inlineStr">
        <is>
          <t>연결</t>
        </is>
      </c>
      <c r="D2067" s="6" t="inlineStr">
        <is>
          <t>2026Q2</t>
        </is>
      </c>
      <c r="E2067" s="6" t="inlineStr"/>
      <c r="F2067" s="7" t="inlineStr"/>
      <c r="G2067" s="8" t="inlineStr"/>
      <c r="H2067" s="8" t="inlineStr"/>
      <c r="I2067" s="9" t="n">
        <v>91602</v>
      </c>
      <c r="J2067" s="10" t="n">
        <v>10016</v>
      </c>
      <c r="K2067" s="10" t="n">
        <v>11729</v>
      </c>
      <c r="L2067" s="7" t="n">
        <v>71987</v>
      </c>
      <c r="M2067" s="8" t="n">
        <v>5330</v>
      </c>
      <c r="N2067" s="8" t="n">
        <v>7442</v>
      </c>
      <c r="O2067" s="9" t="n">
        <v>76916</v>
      </c>
      <c r="P2067" s="10" t="n">
        <v>9024</v>
      </c>
      <c r="Q2067" s="10" t="n">
        <v>7117</v>
      </c>
      <c r="R2067" s="7" t="n">
        <v>144929</v>
      </c>
      <c r="S2067" s="8" t="n">
        <v>25413</v>
      </c>
      <c r="T2067" s="8" t="n">
        <v>26398</v>
      </c>
      <c r="U2067" s="9" t="n">
        <v>77663</v>
      </c>
      <c r="V2067" s="10" t="n">
        <v>7835</v>
      </c>
      <c r="W2067" s="10" t="n">
        <v>7828</v>
      </c>
      <c r="X2067" s="7" t="n">
        <v>97530</v>
      </c>
      <c r="Y2067" s="8" t="n">
        <v>15558</v>
      </c>
      <c r="Z2067" s="8" t="n">
        <v>11008</v>
      </c>
      <c r="AA2067" s="9" t="n">
        <v>95964</v>
      </c>
      <c r="AB2067" s="10" t="n">
        <v>14868</v>
      </c>
      <c r="AC2067" s="10" t="n">
        <v>14999</v>
      </c>
      <c r="AD2067" s="7" t="n">
        <v>111700</v>
      </c>
      <c r="AE2067" s="8" t="n">
        <v>21705</v>
      </c>
      <c r="AF2067" s="8" t="n">
        <v>19557</v>
      </c>
      <c r="AG2067" s="9" t="n">
        <v>156115</v>
      </c>
      <c r="AH2067" s="10" t="n">
        <v>34811</v>
      </c>
      <c r="AI2067" s="10" t="n">
        <v>31610</v>
      </c>
      <c r="AJ2067" s="11" t="n">
        <v>112689</v>
      </c>
      <c r="AK2067" s="12" t="n">
        <v>23522</v>
      </c>
      <c r="AL2067" s="12" t="n">
        <v>21111</v>
      </c>
      <c r="AM2067" s="13" t="n">
        <v>-27.8</v>
      </c>
      <c r="AN2067" s="13" t="n">
        <v>15.5</v>
      </c>
      <c r="AO2067" s="13" t="n">
        <v>-32.4</v>
      </c>
      <c r="AP2067" s="13" t="n">
        <v>51.2</v>
      </c>
    </row>
    <row r="2068">
      <c r="A2068" s="5" t="inlineStr">
        <is>
          <t>BGF리테일</t>
        </is>
      </c>
      <c r="B2068" s="6" t="inlineStr">
        <is>
          <t>282330</t>
        </is>
      </c>
      <c r="C2068" s="6" t="inlineStr">
        <is>
          <t>연결</t>
        </is>
      </c>
      <c r="D2068" s="6" t="inlineStr">
        <is>
          <t>2026Q2</t>
        </is>
      </c>
      <c r="E2068" s="6" t="inlineStr">
        <is>
          <t>2023Q4</t>
        </is>
      </c>
      <c r="F2068" s="14" t="n">
        <v>2040200</v>
      </c>
      <c r="G2068" s="15" t="n">
        <v>51100</v>
      </c>
      <c r="H2068" s="15" t="n">
        <v>38600</v>
      </c>
      <c r="I2068" s="9" t="n">
        <v>1953820</v>
      </c>
      <c r="J2068" s="10" t="n">
        <v>32626</v>
      </c>
      <c r="K2068" s="10" t="n">
        <v>23402</v>
      </c>
      <c r="L2068" s="7" t="n">
        <v>2202881</v>
      </c>
      <c r="M2068" s="8" t="n">
        <v>76215</v>
      </c>
      <c r="N2068" s="8" t="n">
        <v>58486</v>
      </c>
      <c r="O2068" s="9" t="n">
        <v>2325582</v>
      </c>
      <c r="P2068" s="10" t="n">
        <v>91156</v>
      </c>
      <c r="Q2068" s="10" t="n">
        <v>69865</v>
      </c>
      <c r="R2068" s="7" t="n">
        <v>2216474</v>
      </c>
      <c r="S2068" s="8" t="n">
        <v>51644</v>
      </c>
      <c r="T2068" s="8" t="n">
        <v>43465</v>
      </c>
      <c r="U2068" s="9" t="n">
        <v>2016470</v>
      </c>
      <c r="V2068" s="10" t="n">
        <v>22626</v>
      </c>
      <c r="W2068" s="10" t="n">
        <v>13361</v>
      </c>
      <c r="X2068" s="7" t="n">
        <v>2290150</v>
      </c>
      <c r="Y2068" s="8" t="n">
        <v>69424</v>
      </c>
      <c r="Z2068" s="8" t="n">
        <v>52806</v>
      </c>
      <c r="AA2068" s="9" t="n">
        <v>2462231</v>
      </c>
      <c r="AB2068" s="10" t="n">
        <v>97631</v>
      </c>
      <c r="AC2068" s="10" t="n">
        <v>79308</v>
      </c>
      <c r="AD2068" s="7" t="n">
        <v>2292365</v>
      </c>
      <c r="AE2068" s="8" t="n">
        <v>64266</v>
      </c>
      <c r="AF2068" s="8" t="n">
        <v>49788</v>
      </c>
      <c r="AG2068" s="9" t="n">
        <v>2120359</v>
      </c>
      <c r="AH2068" s="10" t="n">
        <v>38110</v>
      </c>
      <c r="AI2068" s="10" t="n">
        <v>29293</v>
      </c>
      <c r="AJ2068" s="11" t="n">
        <v>2426816</v>
      </c>
      <c r="AK2068" s="12" t="n">
        <v>84852</v>
      </c>
      <c r="AL2068" s="12" t="n">
        <v>56830</v>
      </c>
      <c r="AM2068" s="13" t="n">
        <v>14.5</v>
      </c>
      <c r="AN2068" s="13" t="n">
        <v>6</v>
      </c>
      <c r="AO2068" s="13" t="n">
        <v>122.7</v>
      </c>
      <c r="AP2068" s="13" t="n">
        <v>22.2</v>
      </c>
    </row>
    <row r="2069">
      <c r="A2069" s="5" t="inlineStr">
        <is>
          <t>기도산업</t>
        </is>
      </c>
      <c r="B2069" s="6" t="inlineStr">
        <is>
          <t>282620</t>
        </is>
      </c>
      <c r="C2069" s="6" t="inlineStr">
        <is>
          <t>연결</t>
        </is>
      </c>
      <c r="D2069" s="6" t="inlineStr">
        <is>
          <t>2026Q2</t>
        </is>
      </c>
      <c r="E2069" s="6" t="inlineStr"/>
      <c r="F2069" s="7" t="inlineStr"/>
      <c r="G2069" s="8" t="inlineStr"/>
      <c r="H2069" s="8" t="inlineStr"/>
      <c r="I2069" s="9" t="inlineStr"/>
      <c r="J2069" s="10" t="inlineStr"/>
      <c r="K2069" s="10" t="inlineStr"/>
      <c r="L2069" s="7" t="inlineStr"/>
      <c r="M2069" s="8" t="inlineStr"/>
      <c r="N2069" s="8" t="inlineStr"/>
      <c r="O2069" s="9" t="inlineStr"/>
      <c r="P2069" s="10" t="inlineStr"/>
      <c r="Q2069" s="10" t="inlineStr"/>
      <c r="R2069" s="7" t="inlineStr"/>
      <c r="S2069" s="8" t="inlineStr"/>
      <c r="T2069" s="8" t="inlineStr"/>
      <c r="U2069" s="9" t="inlineStr"/>
      <c r="V2069" s="10" t="inlineStr"/>
      <c r="W2069" s="10" t="inlineStr"/>
      <c r="X2069" s="7" t="inlineStr"/>
      <c r="Y2069" s="8" t="inlineStr"/>
      <c r="Z2069" s="8" t="inlineStr"/>
      <c r="AA2069" s="9" t="inlineStr"/>
      <c r="AB2069" s="10" t="inlineStr"/>
      <c r="AC2069" s="10" t="inlineStr"/>
      <c r="AD2069" s="7" t="inlineStr"/>
      <c r="AE2069" s="8" t="inlineStr"/>
      <c r="AF2069" s="8" t="inlineStr"/>
      <c r="AG2069" s="9" t="inlineStr"/>
      <c r="AH2069" s="10" t="inlineStr"/>
      <c r="AI2069" s="10" t="inlineStr"/>
      <c r="AJ2069" s="11" t="n">
        <v>71102</v>
      </c>
      <c r="AK2069" s="12" t="n">
        <v>5908</v>
      </c>
      <c r="AL2069" s="12" t="n">
        <v>4185</v>
      </c>
      <c r="AM2069" s="13" t="inlineStr"/>
      <c r="AN2069" s="13" t="inlineStr"/>
      <c r="AO2069" s="13" t="inlineStr"/>
      <c r="AP2069" s="13" t="inlineStr"/>
    </row>
    <row r="2070">
      <c r="A2070" s="5" t="inlineStr">
        <is>
          <t>금양그린파워</t>
        </is>
      </c>
      <c r="B2070" s="6" t="inlineStr">
        <is>
          <t>282720</t>
        </is>
      </c>
      <c r="C2070" s="6" t="inlineStr">
        <is>
          <t>연결</t>
        </is>
      </c>
      <c r="D2070" s="6" t="inlineStr">
        <is>
          <t>2026Q2</t>
        </is>
      </c>
      <c r="E2070" s="6" t="inlineStr"/>
      <c r="F2070" s="7" t="inlineStr"/>
      <c r="G2070" s="8" t="inlineStr"/>
      <c r="H2070" s="8" t="inlineStr"/>
      <c r="I2070" s="9" t="n">
        <v>72824</v>
      </c>
      <c r="J2070" s="10" t="n">
        <v>-7339</v>
      </c>
      <c r="K2070" s="10" t="n">
        <v>-5611</v>
      </c>
      <c r="L2070" s="7" t="n">
        <v>68792</v>
      </c>
      <c r="M2070" s="8" t="n">
        <v>904</v>
      </c>
      <c r="N2070" s="8" t="n">
        <v>1471</v>
      </c>
      <c r="O2070" s="9" t="n">
        <v>46782</v>
      </c>
      <c r="P2070" s="10" t="n">
        <v>-8857</v>
      </c>
      <c r="Q2070" s="10" t="n">
        <v>-9461</v>
      </c>
      <c r="R2070" s="7" t="n">
        <v>54772</v>
      </c>
      <c r="S2070" s="8" t="n">
        <v>-1836</v>
      </c>
      <c r="T2070" s="8" t="n">
        <v>2439</v>
      </c>
      <c r="U2070" s="9" t="n">
        <v>46798</v>
      </c>
      <c r="V2070" s="10" t="n">
        <v>-8456</v>
      </c>
      <c r="W2070" s="10" t="n">
        <v>-8329</v>
      </c>
      <c r="X2070" s="7" t="n">
        <v>56382</v>
      </c>
      <c r="Y2070" s="8" t="n">
        <v>195</v>
      </c>
      <c r="Z2070" s="8" t="n">
        <v>1563</v>
      </c>
      <c r="AA2070" s="9" t="n">
        <v>73934</v>
      </c>
      <c r="AB2070" s="10" t="n">
        <v>4312</v>
      </c>
      <c r="AC2070" s="10" t="n">
        <v>5383</v>
      </c>
      <c r="AD2070" s="7" t="n">
        <v>87665</v>
      </c>
      <c r="AE2070" s="8" t="n">
        <v>4376</v>
      </c>
      <c r="AF2070" s="8" t="n">
        <v>1401</v>
      </c>
      <c r="AG2070" s="9" t="n">
        <v>72778</v>
      </c>
      <c r="AH2070" s="10" t="n">
        <v>-8020</v>
      </c>
      <c r="AI2070" s="10" t="n">
        <v>-8897</v>
      </c>
      <c r="AJ2070" s="11" t="n">
        <v>84211</v>
      </c>
      <c r="AK2070" s="12" t="n">
        <v>1799</v>
      </c>
      <c r="AL2070" s="12" t="n">
        <v>1171</v>
      </c>
      <c r="AM2070" s="13" t="n">
        <v>15.7</v>
      </c>
      <c r="AN2070" s="13" t="n">
        <v>49.4</v>
      </c>
      <c r="AO2070" s="13" t="n">
        <v>122.4</v>
      </c>
      <c r="AP2070" s="13" t="n">
        <v>822.6</v>
      </c>
    </row>
    <row r="2071">
      <c r="A2071" s="5" t="inlineStr">
        <is>
          <t>코윈테크</t>
        </is>
      </c>
      <c r="B2071" s="6" t="inlineStr">
        <is>
          <t>282880</t>
        </is>
      </c>
      <c r="C2071" s="6" t="inlineStr">
        <is>
          <t>연결</t>
        </is>
      </c>
      <c r="D2071" s="6" t="inlineStr">
        <is>
          <t>2026Q2</t>
        </is>
      </c>
      <c r="E2071" s="6" t="inlineStr"/>
      <c r="F2071" s="7" t="inlineStr"/>
      <c r="G2071" s="8" t="inlineStr"/>
      <c r="H2071" s="8" t="inlineStr"/>
      <c r="I2071" s="9" t="n">
        <v>53450</v>
      </c>
      <c r="J2071" s="10" t="n">
        <v>-519</v>
      </c>
      <c r="K2071" s="10" t="n">
        <v>2847</v>
      </c>
      <c r="L2071" s="7" t="n">
        <v>69420</v>
      </c>
      <c r="M2071" s="8" t="n">
        <v>9238</v>
      </c>
      <c r="N2071" s="8" t="n">
        <v>9151</v>
      </c>
      <c r="O2071" s="9" t="n">
        <v>87690</v>
      </c>
      <c r="P2071" s="10" t="n">
        <v>8004</v>
      </c>
      <c r="Q2071" s="10" t="n">
        <v>3986</v>
      </c>
      <c r="R2071" s="7" t="n">
        <v>33830</v>
      </c>
      <c r="S2071" s="8" t="n">
        <v>-13120</v>
      </c>
      <c r="T2071" s="8" t="n">
        <v>-4983</v>
      </c>
      <c r="U2071" s="9" t="n">
        <v>26385</v>
      </c>
      <c r="V2071" s="10" t="n">
        <v>-2535</v>
      </c>
      <c r="W2071" s="10" t="n">
        <v>240</v>
      </c>
      <c r="X2071" s="7" t="n">
        <v>48099</v>
      </c>
      <c r="Y2071" s="8" t="n">
        <v>-197</v>
      </c>
      <c r="Z2071" s="8" t="n">
        <v>-4462</v>
      </c>
      <c r="AA2071" s="9" t="n">
        <v>39290</v>
      </c>
      <c r="AB2071" s="10" t="n">
        <v>-2464</v>
      </c>
      <c r="AC2071" s="10" t="n">
        <v>1296</v>
      </c>
      <c r="AD2071" s="7" t="n">
        <v>40927</v>
      </c>
      <c r="AE2071" s="8" t="n">
        <v>-20251</v>
      </c>
      <c r="AF2071" s="8" t="n">
        <v>-14692</v>
      </c>
      <c r="AG2071" s="9" t="n">
        <v>39795</v>
      </c>
      <c r="AH2071" s="10" t="n">
        <v>-1040</v>
      </c>
      <c r="AI2071" s="10" t="n">
        <v>4214</v>
      </c>
      <c r="AJ2071" s="11" t="n">
        <v>58382</v>
      </c>
      <c r="AK2071" s="12" t="n">
        <v>-7405</v>
      </c>
      <c r="AL2071" s="12" t="n">
        <v>-7745</v>
      </c>
      <c r="AM2071" s="13" t="n">
        <v>46.7</v>
      </c>
      <c r="AN2071" s="13" t="n">
        <v>21.4</v>
      </c>
      <c r="AO2071" s="13" t="n">
        <v>-612</v>
      </c>
      <c r="AP2071" s="13" t="n">
        <v>-3658.9</v>
      </c>
    </row>
    <row r="2072">
      <c r="A2072" s="5" t="inlineStr">
        <is>
          <t>카이노스메드</t>
        </is>
      </c>
      <c r="B2072" s="6" t="inlineStr">
        <is>
          <t>284620</t>
        </is>
      </c>
      <c r="C2072" s="6" t="inlineStr">
        <is>
          <t>연결</t>
        </is>
      </c>
      <c r="D2072" s="6" t="inlineStr">
        <is>
          <t>2026Q2</t>
        </is>
      </c>
      <c r="E2072" s="6" t="inlineStr"/>
      <c r="F2072" s="7" t="inlineStr"/>
      <c r="G2072" s="8" t="inlineStr"/>
      <c r="H2072" s="8" t="inlineStr"/>
      <c r="I2072" s="9" t="n">
        <v>139</v>
      </c>
      <c r="J2072" s="10" t="n">
        <v>-2609</v>
      </c>
      <c r="K2072" s="10" t="n">
        <v>-2530</v>
      </c>
      <c r="L2072" s="7" t="n">
        <v>177</v>
      </c>
      <c r="M2072" s="8" t="n">
        <v>-3142</v>
      </c>
      <c r="N2072" s="8" t="n">
        <v>-3024</v>
      </c>
      <c r="O2072" s="9" t="n">
        <v>204</v>
      </c>
      <c r="P2072" s="10" t="n">
        <v>-2399</v>
      </c>
      <c r="Q2072" s="10" t="n">
        <v>-2418</v>
      </c>
      <c r="R2072" s="7" t="n">
        <v>70</v>
      </c>
      <c r="S2072" s="8" t="n">
        <v>-4178</v>
      </c>
      <c r="T2072" s="8" t="n">
        <v>-4218</v>
      </c>
      <c r="U2072" s="9" t="n">
        <v>369</v>
      </c>
      <c r="V2072" s="10" t="n">
        <v>-1690</v>
      </c>
      <c r="W2072" s="10" t="n">
        <v>-2168</v>
      </c>
      <c r="X2072" s="7" t="n">
        <v>176</v>
      </c>
      <c r="Y2072" s="8" t="n">
        <v>-945</v>
      </c>
      <c r="Z2072" s="8" t="n">
        <v>-1917</v>
      </c>
      <c r="AA2072" s="9" t="n">
        <v>322</v>
      </c>
      <c r="AB2072" s="10" t="n">
        <v>-1506</v>
      </c>
      <c r="AC2072" s="10" t="n">
        <v>-1844</v>
      </c>
      <c r="AD2072" s="7" t="n">
        <v>305</v>
      </c>
      <c r="AE2072" s="8" t="n">
        <v>-2298</v>
      </c>
      <c r="AF2072" s="8" t="n">
        <v>-1856</v>
      </c>
      <c r="AG2072" s="9" t="n">
        <v>370</v>
      </c>
      <c r="AH2072" s="10" t="n">
        <v>-1012</v>
      </c>
      <c r="AI2072" s="10" t="n">
        <v>-1308</v>
      </c>
      <c r="AJ2072" s="11" t="n">
        <v>408</v>
      </c>
      <c r="AK2072" s="12" t="n">
        <v>-1053</v>
      </c>
      <c r="AL2072" s="12" t="n">
        <v>-1324</v>
      </c>
      <c r="AM2072" s="13" t="n">
        <v>10.3</v>
      </c>
      <c r="AN2072" s="13" t="n">
        <v>131.8</v>
      </c>
      <c r="AO2072" s="13" t="n">
        <v>-4.1</v>
      </c>
      <c r="AP2072" s="13" t="n">
        <v>-11.4</v>
      </c>
    </row>
    <row r="2073">
      <c r="A2073" s="5" t="inlineStr">
        <is>
          <t>쿠쿠홈시스</t>
        </is>
      </c>
      <c r="B2073" s="6" t="inlineStr">
        <is>
          <t>284740</t>
        </is>
      </c>
      <c r="C2073" s="6" t="inlineStr">
        <is>
          <t>연결</t>
        </is>
      </c>
      <c r="D2073" s="6" t="inlineStr">
        <is>
          <t>2026Q2</t>
        </is>
      </c>
      <c r="E2073" s="6" t="inlineStr"/>
      <c r="F2073" s="7" t="inlineStr"/>
      <c r="G2073" s="8" t="inlineStr"/>
      <c r="H2073" s="8" t="inlineStr"/>
      <c r="I2073" s="9" t="n">
        <v>244597</v>
      </c>
      <c r="J2073" s="10" t="n">
        <v>34425</v>
      </c>
      <c r="K2073" s="10" t="n">
        <v>33500</v>
      </c>
      <c r="L2073" s="7" t="n">
        <v>261489</v>
      </c>
      <c r="M2073" s="8" t="n">
        <v>32292</v>
      </c>
      <c r="N2073" s="8" t="n">
        <v>43530</v>
      </c>
      <c r="O2073" s="9" t="n">
        <v>253840</v>
      </c>
      <c r="P2073" s="10" t="n">
        <v>19507</v>
      </c>
      <c r="Q2073" s="10" t="n">
        <v>23595</v>
      </c>
      <c r="R2073" s="7" t="n">
        <v>297283</v>
      </c>
      <c r="S2073" s="8" t="n">
        <v>78592</v>
      </c>
      <c r="T2073" s="8" t="n">
        <v>35508</v>
      </c>
      <c r="U2073" s="9" t="n">
        <v>271109</v>
      </c>
      <c r="V2073" s="10" t="n">
        <v>42548</v>
      </c>
      <c r="W2073" s="10" t="n">
        <v>31665</v>
      </c>
      <c r="X2073" s="7" t="n">
        <v>294040</v>
      </c>
      <c r="Y2073" s="8" t="n">
        <v>41704</v>
      </c>
      <c r="Z2073" s="8" t="n">
        <v>24931</v>
      </c>
      <c r="AA2073" s="9" t="n">
        <v>291642</v>
      </c>
      <c r="AB2073" s="10" t="n">
        <v>40799</v>
      </c>
      <c r="AC2073" s="10" t="n">
        <v>33670</v>
      </c>
      <c r="AD2073" s="7" t="n">
        <v>264552</v>
      </c>
      <c r="AE2073" s="8" t="n">
        <v>44312</v>
      </c>
      <c r="AF2073" s="8" t="n">
        <v>44054</v>
      </c>
      <c r="AG2073" s="9" t="n">
        <v>273041</v>
      </c>
      <c r="AH2073" s="10" t="n">
        <v>41252</v>
      </c>
      <c r="AI2073" s="10" t="n">
        <v>37986</v>
      </c>
      <c r="AJ2073" s="11" t="n">
        <v>318272</v>
      </c>
      <c r="AK2073" s="12" t="n">
        <v>54024</v>
      </c>
      <c r="AL2073" s="12" t="n">
        <v>42771</v>
      </c>
      <c r="AM2073" s="13" t="n">
        <v>16.6</v>
      </c>
      <c r="AN2073" s="13" t="n">
        <v>8.199999999999999</v>
      </c>
      <c r="AO2073" s="13" t="n">
        <v>31</v>
      </c>
      <c r="AP2073" s="13" t="n">
        <v>29.5</v>
      </c>
    </row>
    <row r="2074">
      <c r="A2074" s="5" t="inlineStr">
        <is>
          <t>SK케미칼</t>
        </is>
      </c>
      <c r="B2074" s="6" t="inlineStr">
        <is>
          <t>285130</t>
        </is>
      </c>
      <c r="C2074" s="6" t="inlineStr">
        <is>
          <t>연결</t>
        </is>
      </c>
      <c r="D2074" s="6" t="inlineStr">
        <is>
          <t>2026Q2</t>
        </is>
      </c>
      <c r="E2074" s="6" t="inlineStr">
        <is>
          <t>2023Q4</t>
        </is>
      </c>
      <c r="F2074" s="14" t="n">
        <v>431560</v>
      </c>
      <c r="G2074" s="15" t="n">
        <v>6429</v>
      </c>
      <c r="H2074" s="15" t="n">
        <v>-10571</v>
      </c>
      <c r="I2074" s="9" t="n">
        <v>380960</v>
      </c>
      <c r="J2074" s="10" t="n">
        <v>-12658</v>
      </c>
      <c r="K2074" s="10" t="n">
        <v>-8389</v>
      </c>
      <c r="L2074" s="7" t="n">
        <v>413898</v>
      </c>
      <c r="M2074" s="8" t="n">
        <v>8867</v>
      </c>
      <c r="N2074" s="8" t="n">
        <v>5117</v>
      </c>
      <c r="O2074" s="9" t="n">
        <v>426348</v>
      </c>
      <c r="P2074" s="10" t="n">
        <v>-12453</v>
      </c>
      <c r="Q2074" s="10" t="n">
        <v>-10951</v>
      </c>
      <c r="R2074" s="7" t="n">
        <v>515573</v>
      </c>
      <c r="S2074" s="8" t="n">
        <v>-28932</v>
      </c>
      <c r="T2074" s="8" t="n">
        <v>9858</v>
      </c>
      <c r="U2074" s="9" t="n">
        <v>536624</v>
      </c>
      <c r="V2074" s="10" t="n">
        <v>24282</v>
      </c>
      <c r="W2074" s="10" t="n">
        <v>21137</v>
      </c>
      <c r="X2074" s="7" t="n">
        <v>596865</v>
      </c>
      <c r="Y2074" s="8" t="n">
        <v>-963</v>
      </c>
      <c r="Z2074" s="8" t="n">
        <v>8189</v>
      </c>
      <c r="AA2074" s="9" t="n">
        <v>609916</v>
      </c>
      <c r="AB2074" s="10" t="n">
        <v>15572</v>
      </c>
      <c r="AC2074" s="10" t="n">
        <v>47877</v>
      </c>
      <c r="AD2074" s="7" t="n">
        <v>621759</v>
      </c>
      <c r="AE2074" s="8" t="n">
        <v>-39098</v>
      </c>
      <c r="AF2074" s="8" t="n">
        <v>-49906</v>
      </c>
      <c r="AG2074" s="9" t="n">
        <v>655889</v>
      </c>
      <c r="AH2074" s="10" t="n">
        <v>-18889</v>
      </c>
      <c r="AI2074" s="10" t="n">
        <v>-26111</v>
      </c>
      <c r="AJ2074" s="11" t="n">
        <v>745120</v>
      </c>
      <c r="AK2074" s="12" t="n">
        <v>32349</v>
      </c>
      <c r="AL2074" s="12" t="n">
        <v>6806</v>
      </c>
      <c r="AM2074" s="13" t="n">
        <v>13.6</v>
      </c>
      <c r="AN2074" s="13" t="n">
        <v>24.8</v>
      </c>
      <c r="AO2074" s="13" t="n">
        <v>271.3</v>
      </c>
      <c r="AP2074" s="13" t="n">
        <v>3459.2</v>
      </c>
    </row>
    <row r="2075">
      <c r="A2075" s="5" t="inlineStr">
        <is>
          <t>노바텍</t>
        </is>
      </c>
      <c r="B2075" s="6" t="inlineStr">
        <is>
          <t>285490</t>
        </is>
      </c>
      <c r="C2075" s="6" t="inlineStr">
        <is>
          <t>연결</t>
        </is>
      </c>
      <c r="D2075" s="6" t="inlineStr">
        <is>
          <t>2026Q2</t>
        </is>
      </c>
      <c r="E2075" s="6" t="inlineStr"/>
      <c r="F2075" s="7" t="inlineStr"/>
      <c r="G2075" s="8" t="inlineStr"/>
      <c r="H2075" s="8" t="inlineStr"/>
      <c r="I2075" s="9" t="n">
        <v>15616</v>
      </c>
      <c r="J2075" s="10" t="n">
        <v>4018</v>
      </c>
      <c r="K2075" s="10" t="n">
        <v>6245</v>
      </c>
      <c r="L2075" s="7" t="n">
        <v>15220</v>
      </c>
      <c r="M2075" s="8" t="n">
        <v>3048</v>
      </c>
      <c r="N2075" s="8" t="n">
        <v>5049</v>
      </c>
      <c r="O2075" s="9" t="n">
        <v>20615</v>
      </c>
      <c r="P2075" s="10" t="n">
        <v>4276</v>
      </c>
      <c r="Q2075" s="10" t="n">
        <v>3164</v>
      </c>
      <c r="R2075" s="7" t="n">
        <v>14361</v>
      </c>
      <c r="S2075" s="8" t="n">
        <v>1269</v>
      </c>
      <c r="T2075" s="8" t="n">
        <v>2777</v>
      </c>
      <c r="U2075" s="9" t="n">
        <v>17118</v>
      </c>
      <c r="V2075" s="10" t="n">
        <v>3461</v>
      </c>
      <c r="W2075" s="10" t="n">
        <v>3806</v>
      </c>
      <c r="X2075" s="7" t="n">
        <v>12100</v>
      </c>
      <c r="Y2075" s="8" t="n">
        <v>2171</v>
      </c>
      <c r="Z2075" s="8" t="n">
        <v>7365</v>
      </c>
      <c r="AA2075" s="9" t="n">
        <v>13949</v>
      </c>
      <c r="AB2075" s="10" t="n">
        <v>2216</v>
      </c>
      <c r="AC2075" s="10" t="n">
        <v>3961</v>
      </c>
      <c r="AD2075" s="7" t="n">
        <v>12423</v>
      </c>
      <c r="AE2075" s="8" t="n">
        <v>-1148</v>
      </c>
      <c r="AF2075" s="8" t="n">
        <v>2576</v>
      </c>
      <c r="AG2075" s="9" t="n">
        <v>11161</v>
      </c>
      <c r="AH2075" s="10" t="n">
        <v>-22</v>
      </c>
      <c r="AI2075" s="10" t="n">
        <v>4038</v>
      </c>
      <c r="AJ2075" s="11" t="n">
        <v>9526</v>
      </c>
      <c r="AK2075" s="12" t="n">
        <v>-151</v>
      </c>
      <c r="AL2075" s="12" t="n">
        <v>23205</v>
      </c>
      <c r="AM2075" s="13" t="n">
        <v>-14.6</v>
      </c>
      <c r="AN2075" s="13" t="n">
        <v>-21.3</v>
      </c>
      <c r="AO2075" s="13" t="n">
        <v>-586.4</v>
      </c>
      <c r="AP2075" s="13" t="n">
        <v>-107</v>
      </c>
    </row>
    <row r="2076">
      <c r="A2076" s="5" t="inlineStr">
        <is>
          <t>진영</t>
        </is>
      </c>
      <c r="B2076" s="6" t="inlineStr">
        <is>
          <t>285800</t>
        </is>
      </c>
      <c r="C2076" s="6" t="inlineStr">
        <is>
          <t>연결</t>
        </is>
      </c>
      <c r="D2076" s="6" t="inlineStr">
        <is>
          <t>2026Q2</t>
        </is>
      </c>
      <c r="E2076" s="6" t="inlineStr"/>
      <c r="F2076" s="7" t="inlineStr"/>
      <c r="G2076" s="8" t="inlineStr"/>
      <c r="H2076" s="8" t="inlineStr"/>
      <c r="I2076" s="9" t="n">
        <v>9080</v>
      </c>
      <c r="J2076" s="10" t="n">
        <v>28</v>
      </c>
      <c r="K2076" s="10" t="n">
        <v>-34</v>
      </c>
      <c r="L2076" s="7" t="n">
        <v>7999</v>
      </c>
      <c r="M2076" s="8" t="n">
        <v>-526</v>
      </c>
      <c r="N2076" s="8" t="n">
        <v>-94</v>
      </c>
      <c r="O2076" s="9" t="n">
        <v>7798</v>
      </c>
      <c r="P2076" s="10" t="n">
        <v>-737</v>
      </c>
      <c r="Q2076" s="10" t="n">
        <v>-650</v>
      </c>
      <c r="R2076" s="7" t="n">
        <v>9344</v>
      </c>
      <c r="S2076" s="8" t="n">
        <v>-1704</v>
      </c>
      <c r="T2076" s="8" t="n">
        <v>-2770</v>
      </c>
      <c r="U2076" s="9" t="n">
        <v>7359</v>
      </c>
      <c r="V2076" s="10" t="n">
        <v>-1039</v>
      </c>
      <c r="W2076" s="10" t="n">
        <v>-1395</v>
      </c>
      <c r="X2076" s="7" t="n">
        <v>8017</v>
      </c>
      <c r="Y2076" s="8" t="n">
        <v>-250</v>
      </c>
      <c r="Z2076" s="8" t="n">
        <v>-1872</v>
      </c>
      <c r="AA2076" s="9" t="n">
        <v>8576</v>
      </c>
      <c r="AB2076" s="10" t="n">
        <v>-127</v>
      </c>
      <c r="AC2076" s="10" t="n">
        <v>-311</v>
      </c>
      <c r="AD2076" s="7" t="n">
        <v>8471</v>
      </c>
      <c r="AE2076" s="8" t="n">
        <v>-1240</v>
      </c>
      <c r="AF2076" s="8" t="n">
        <v>382</v>
      </c>
      <c r="AG2076" s="9" t="n">
        <v>8522</v>
      </c>
      <c r="AH2076" s="10" t="n">
        <v>-90</v>
      </c>
      <c r="AI2076" s="10" t="n">
        <v>-1065</v>
      </c>
      <c r="AJ2076" s="11" t="n">
        <v>8593</v>
      </c>
      <c r="AK2076" s="12" t="n">
        <v>79</v>
      </c>
      <c r="AL2076" s="12" t="n">
        <v>2599</v>
      </c>
      <c r="AM2076" s="13" t="n">
        <v>0.8</v>
      </c>
      <c r="AN2076" s="13" t="n">
        <v>7.2</v>
      </c>
      <c r="AO2076" s="13" t="n">
        <v>187.8</v>
      </c>
      <c r="AP2076" s="13" t="n">
        <v>131.6</v>
      </c>
    </row>
    <row r="2077">
      <c r="A2077" s="5" t="inlineStr">
        <is>
          <t>나노실리칸첨단소재</t>
        </is>
      </c>
      <c r="B2077" s="6" t="inlineStr">
        <is>
          <t>286750</t>
        </is>
      </c>
      <c r="C2077" s="6" t="inlineStr">
        <is>
          <t>연결</t>
        </is>
      </c>
      <c r="D2077" s="6" t="inlineStr">
        <is>
          <t>2026Q2</t>
        </is>
      </c>
      <c r="E2077" s="6" t="inlineStr"/>
      <c r="F2077" s="7" t="inlineStr"/>
      <c r="G2077" s="8" t="inlineStr"/>
      <c r="H2077" s="8" t="inlineStr"/>
      <c r="I2077" s="9" t="n">
        <v>3775</v>
      </c>
      <c r="J2077" s="10" t="n">
        <v>329</v>
      </c>
      <c r="K2077" s="10" t="n">
        <v>2777</v>
      </c>
      <c r="L2077" s="7" t="n">
        <v>393</v>
      </c>
      <c r="M2077" s="8" t="n">
        <v>-1574</v>
      </c>
      <c r="N2077" s="8" t="n">
        <v>-921</v>
      </c>
      <c r="O2077" s="9" t="n">
        <v>357</v>
      </c>
      <c r="P2077" s="10" t="n">
        <v>-974</v>
      </c>
      <c r="Q2077" s="10" t="n">
        <v>-480</v>
      </c>
      <c r="R2077" s="7" t="n">
        <v>754</v>
      </c>
      <c r="S2077" s="8" t="n">
        <v>-1221</v>
      </c>
      <c r="T2077" s="8" t="n">
        <v>-1138</v>
      </c>
      <c r="U2077" s="9" t="n">
        <v>1022</v>
      </c>
      <c r="V2077" s="10" t="n">
        <v>-796</v>
      </c>
      <c r="W2077" s="10" t="n">
        <v>-1306</v>
      </c>
      <c r="X2077" s="7" t="n">
        <v>396</v>
      </c>
      <c r="Y2077" s="8" t="n">
        <v>-1321</v>
      </c>
      <c r="Z2077" s="8" t="n">
        <v>-1485</v>
      </c>
      <c r="AA2077" s="9" t="n">
        <v>2447</v>
      </c>
      <c r="AB2077" s="10" t="n">
        <v>-2001</v>
      </c>
      <c r="AC2077" s="10" t="n">
        <v>-2368</v>
      </c>
      <c r="AD2077" s="7" t="n">
        <v>2112</v>
      </c>
      <c r="AE2077" s="8" t="n">
        <v>-2463</v>
      </c>
      <c r="AF2077" s="8" t="n">
        <v>-404</v>
      </c>
      <c r="AG2077" s="9" t="n">
        <v>1977</v>
      </c>
      <c r="AH2077" s="10" t="n">
        <v>-1350</v>
      </c>
      <c r="AI2077" s="10" t="n">
        <v>-1413</v>
      </c>
      <c r="AJ2077" s="11" t="n">
        <v>2305</v>
      </c>
      <c r="AK2077" s="12" t="n">
        <v>-1041</v>
      </c>
      <c r="AL2077" s="12" t="n">
        <v>-3501</v>
      </c>
      <c r="AM2077" s="13" t="n">
        <v>16.6</v>
      </c>
      <c r="AN2077" s="13" t="n">
        <v>482.1</v>
      </c>
      <c r="AO2077" s="13" t="n">
        <v>22.9</v>
      </c>
      <c r="AP2077" s="13" t="n">
        <v>21.2</v>
      </c>
    </row>
    <row r="2078">
      <c r="A2078" s="5" t="inlineStr">
        <is>
          <t>롯데이노베이트</t>
        </is>
      </c>
      <c r="B2078" s="6" t="inlineStr">
        <is>
          <t>286940</t>
        </is>
      </c>
      <c r="C2078" s="6" t="inlineStr">
        <is>
          <t>연결</t>
        </is>
      </c>
      <c r="D2078" s="6" t="inlineStr">
        <is>
          <t>2026Q2</t>
        </is>
      </c>
      <c r="E2078" s="6" t="inlineStr">
        <is>
          <t>2023Q4</t>
        </is>
      </c>
      <c r="F2078" s="14" t="n">
        <v>346369</v>
      </c>
      <c r="G2078" s="15" t="n">
        <v>18038</v>
      </c>
      <c r="H2078" s="15" t="n">
        <v>13290</v>
      </c>
      <c r="I2078" s="9" t="n">
        <v>276525</v>
      </c>
      <c r="J2078" s="10" t="n">
        <v>8950</v>
      </c>
      <c r="K2078" s="10" t="n">
        <v>5354</v>
      </c>
      <c r="L2078" s="7" t="n">
        <v>286541</v>
      </c>
      <c r="M2078" s="8" t="n">
        <v>5843</v>
      </c>
      <c r="N2078" s="8" t="n">
        <v>2382</v>
      </c>
      <c r="O2078" s="9" t="n">
        <v>288049</v>
      </c>
      <c r="P2078" s="10" t="n">
        <v>8296</v>
      </c>
      <c r="Q2078" s="10" t="n">
        <v>3769</v>
      </c>
      <c r="R2078" s="7" t="n">
        <v>329257</v>
      </c>
      <c r="S2078" s="8" t="n">
        <v>2635</v>
      </c>
      <c r="T2078" s="8" t="n">
        <v>-4274</v>
      </c>
      <c r="U2078" s="9" t="n">
        <v>284811</v>
      </c>
      <c r="V2078" s="10" t="n">
        <v>6958</v>
      </c>
      <c r="W2078" s="10" t="n">
        <v>3410</v>
      </c>
      <c r="X2078" s="7" t="n">
        <v>280758</v>
      </c>
      <c r="Y2078" s="8" t="n">
        <v>8020</v>
      </c>
      <c r="Z2078" s="8" t="n">
        <v>2634</v>
      </c>
      <c r="AA2078" s="9" t="n">
        <v>277503</v>
      </c>
      <c r="AB2078" s="10" t="n">
        <v>6621</v>
      </c>
      <c r="AC2078" s="10" t="n">
        <v>4037</v>
      </c>
      <c r="AD2078" s="7" t="n">
        <v>326753</v>
      </c>
      <c r="AE2078" s="8" t="n">
        <v>9794</v>
      </c>
      <c r="AF2078" s="8" t="n">
        <v>-6004</v>
      </c>
      <c r="AG2078" s="9" t="n">
        <v>281178</v>
      </c>
      <c r="AH2078" s="10" t="n">
        <v>9736</v>
      </c>
      <c r="AI2078" s="10" t="n">
        <v>4077</v>
      </c>
      <c r="AJ2078" s="11" t="n">
        <v>274496</v>
      </c>
      <c r="AK2078" s="12" t="n">
        <v>12378</v>
      </c>
      <c r="AL2078" s="12" t="n">
        <v>8673</v>
      </c>
      <c r="AM2078" s="13" t="n">
        <v>-2.4</v>
      </c>
      <c r="AN2078" s="13" t="n">
        <v>-2.2</v>
      </c>
      <c r="AO2078" s="13" t="n">
        <v>27.1</v>
      </c>
      <c r="AP2078" s="13" t="n">
        <v>54.3</v>
      </c>
    </row>
    <row r="2079">
      <c r="A2079" s="5" t="inlineStr">
        <is>
          <t>인투셀</t>
        </is>
      </c>
      <c r="B2079" s="6" t="inlineStr">
        <is>
          <t>287840</t>
        </is>
      </c>
      <c r="C2079" s="6" t="inlineStr">
        <is>
          <t>별도</t>
        </is>
      </c>
      <c r="D2079" s="6" t="inlineStr">
        <is>
          <t>2026Q2</t>
        </is>
      </c>
      <c r="E2079" s="6" t="inlineStr"/>
      <c r="F2079" s="7" t="inlineStr"/>
      <c r="G2079" s="8" t="inlineStr"/>
      <c r="H2079" s="8" t="inlineStr"/>
      <c r="I2079" s="9" t="inlineStr"/>
      <c r="J2079" s="10" t="inlineStr"/>
      <c r="K2079" s="10" t="inlineStr"/>
      <c r="L2079" s="7" t="n">
        <v>1729</v>
      </c>
      <c r="M2079" s="8" t="n">
        <v>-986</v>
      </c>
      <c r="N2079" s="8" t="n">
        <v>-922</v>
      </c>
      <c r="O2079" s="9" t="n">
        <v>985</v>
      </c>
      <c r="P2079" s="10" t="n">
        <v>-2313</v>
      </c>
      <c r="Q2079" s="10" t="n">
        <v>-2587</v>
      </c>
      <c r="R2079" s="7" t="inlineStr"/>
      <c r="S2079" s="8" t="inlineStr"/>
      <c r="T2079" s="8" t="inlineStr"/>
      <c r="U2079" s="9" t="n">
        <v>109</v>
      </c>
      <c r="V2079" s="10" t="n">
        <v>-3409</v>
      </c>
      <c r="W2079" s="10" t="n">
        <v>-3370</v>
      </c>
      <c r="X2079" s="7" t="n">
        <v>39</v>
      </c>
      <c r="Y2079" s="8" t="n">
        <v>-3722</v>
      </c>
      <c r="Z2079" s="8" t="n">
        <v>-3869</v>
      </c>
      <c r="AA2079" s="9" t="n">
        <v>1423</v>
      </c>
      <c r="AB2079" s="10" t="n">
        <v>-1299</v>
      </c>
      <c r="AC2079" s="10" t="n">
        <v>-1136</v>
      </c>
      <c r="AD2079" s="7" t="n">
        <v>728</v>
      </c>
      <c r="AE2079" s="8" t="n">
        <v>-1870</v>
      </c>
      <c r="AF2079" s="8" t="n">
        <v>-2228</v>
      </c>
      <c r="AG2079" s="9" t="n">
        <v>281</v>
      </c>
      <c r="AH2079" s="10" t="n">
        <v>-3531</v>
      </c>
      <c r="AI2079" s="10" t="n">
        <v>-4010</v>
      </c>
      <c r="AJ2079" s="11" t="n">
        <v>760</v>
      </c>
      <c r="AK2079" s="12" t="n">
        <v>-2207</v>
      </c>
      <c r="AL2079" s="12" t="n">
        <v>-2071</v>
      </c>
      <c r="AM2079" s="13" t="n">
        <v>170.5</v>
      </c>
      <c r="AN2079" s="13" t="n">
        <v>1848.7</v>
      </c>
      <c r="AO2079" s="13" t="n">
        <v>37.5</v>
      </c>
      <c r="AP2079" s="13" t="n">
        <v>40.7</v>
      </c>
    </row>
    <row r="2080">
      <c r="A2080" s="5" t="inlineStr">
        <is>
          <t>케이피항공산업</t>
        </is>
      </c>
      <c r="B2080" s="6" t="inlineStr">
        <is>
          <t>288180</t>
        </is>
      </c>
      <c r="C2080" s="6" t="inlineStr">
        <is>
          <t>연결</t>
        </is>
      </c>
      <c r="D2080" s="6" t="inlineStr">
        <is>
          <t>2026Q2</t>
        </is>
      </c>
      <c r="E2080" s="6" t="inlineStr"/>
      <c r="F2080" s="7" t="inlineStr"/>
      <c r="G2080" s="8" t="inlineStr"/>
      <c r="H2080" s="8" t="inlineStr"/>
      <c r="I2080" s="9" t="n">
        <v>9874</v>
      </c>
      <c r="J2080" s="10" t="n">
        <v>-800</v>
      </c>
      <c r="K2080" s="10" t="n">
        <v>-833</v>
      </c>
      <c r="L2080" s="7" t="n">
        <v>13008</v>
      </c>
      <c r="M2080" s="8" t="n">
        <v>2490</v>
      </c>
      <c r="N2080" s="8" t="n">
        <v>2212</v>
      </c>
      <c r="O2080" s="9" t="n">
        <v>12233</v>
      </c>
      <c r="P2080" s="10" t="n">
        <v>510</v>
      </c>
      <c r="Q2080" s="10" t="n">
        <v>56</v>
      </c>
      <c r="R2080" s="7" t="n">
        <v>14536</v>
      </c>
      <c r="S2080" s="8" t="n">
        <v>1289</v>
      </c>
      <c r="T2080" s="8" t="n">
        <v>1583</v>
      </c>
      <c r="U2080" s="9" t="n">
        <v>12817</v>
      </c>
      <c r="V2080" s="10" t="n">
        <v>296</v>
      </c>
      <c r="W2080" s="10" t="n">
        <v>84</v>
      </c>
      <c r="X2080" s="7" t="n">
        <v>15030</v>
      </c>
      <c r="Y2080" s="8" t="n">
        <v>2089</v>
      </c>
      <c r="Z2080" s="8" t="n">
        <v>1406</v>
      </c>
      <c r="AA2080" s="9" t="n">
        <v>12366</v>
      </c>
      <c r="AB2080" s="10" t="n">
        <v>-129</v>
      </c>
      <c r="AC2080" s="10" t="n">
        <v>56</v>
      </c>
      <c r="AD2080" s="7" t="n">
        <v>13695</v>
      </c>
      <c r="AE2080" s="8" t="n">
        <v>383</v>
      </c>
      <c r="AF2080" s="8" t="n">
        <v>9</v>
      </c>
      <c r="AG2080" s="9" t="n">
        <v>13677</v>
      </c>
      <c r="AH2080" s="10" t="n">
        <v>591</v>
      </c>
      <c r="AI2080" s="10" t="n">
        <v>555</v>
      </c>
      <c r="AJ2080" s="11" t="n">
        <v>14325</v>
      </c>
      <c r="AK2080" s="12" t="n">
        <v>-584</v>
      </c>
      <c r="AL2080" s="12" t="n">
        <v>-13795</v>
      </c>
      <c r="AM2080" s="13" t="n">
        <v>4.7</v>
      </c>
      <c r="AN2080" s="13" t="n">
        <v>-4.7</v>
      </c>
      <c r="AO2080" s="13" t="n">
        <v>-198.8</v>
      </c>
      <c r="AP2080" s="13" t="n">
        <v>-128</v>
      </c>
    </row>
    <row r="2081">
      <c r="A2081" s="5" t="inlineStr">
        <is>
          <t>파라택시스코리아</t>
        </is>
      </c>
      <c r="B2081" s="6" t="inlineStr">
        <is>
          <t>288330</t>
        </is>
      </c>
      <c r="C2081" s="6" t="inlineStr">
        <is>
          <t>연결</t>
        </is>
      </c>
      <c r="D2081" s="6" t="inlineStr">
        <is>
          <t>2026Q2</t>
        </is>
      </c>
      <c r="E2081" s="6" t="inlineStr"/>
      <c r="F2081" s="7" t="inlineStr"/>
      <c r="G2081" s="8" t="inlineStr"/>
      <c r="H2081" s="8" t="inlineStr"/>
      <c r="I2081" s="9" t="inlineStr"/>
      <c r="J2081" s="10" t="n">
        <v>-5493</v>
      </c>
      <c r="K2081" s="10" t="n">
        <v>-5470</v>
      </c>
      <c r="L2081" s="7" t="inlineStr"/>
      <c r="M2081" s="8" t="n">
        <v>-5470</v>
      </c>
      <c r="N2081" s="8" t="n">
        <v>-5751</v>
      </c>
      <c r="O2081" s="9" t="inlineStr"/>
      <c r="P2081" s="10" t="n">
        <v>-4650</v>
      </c>
      <c r="Q2081" s="10" t="n">
        <v>-4531</v>
      </c>
      <c r="R2081" s="7" t="inlineStr"/>
      <c r="S2081" s="8" t="n">
        <v>-3395</v>
      </c>
      <c r="T2081" s="8" t="n">
        <v>-4181</v>
      </c>
      <c r="U2081" s="9" t="inlineStr"/>
      <c r="V2081" s="10" t="n">
        <v>-4979</v>
      </c>
      <c r="W2081" s="10" t="n">
        <v>-4926</v>
      </c>
      <c r="X2081" s="7" t="inlineStr"/>
      <c r="Y2081" s="8" t="n">
        <v>-4653</v>
      </c>
      <c r="Z2081" s="8" t="n">
        <v>-4588</v>
      </c>
      <c r="AA2081" s="9" t="inlineStr"/>
      <c r="AB2081" s="10" t="n">
        <v>-3439</v>
      </c>
      <c r="AC2081" s="10" t="n">
        <v>-3497</v>
      </c>
      <c r="AD2081" s="7" t="inlineStr"/>
      <c r="AE2081" s="8" t="n">
        <v>-2083</v>
      </c>
      <c r="AF2081" s="8" t="n">
        <v>-19229</v>
      </c>
      <c r="AG2081" s="9" t="inlineStr"/>
      <c r="AH2081" s="10" t="n">
        <v>-2052</v>
      </c>
      <c r="AI2081" s="10" t="n">
        <v>-2565</v>
      </c>
      <c r="AJ2081" s="11" t="inlineStr"/>
      <c r="AK2081" s="12" t="n">
        <v>-2200</v>
      </c>
      <c r="AL2081" s="12" t="n">
        <v>-5477</v>
      </c>
      <c r="AM2081" s="13" t="inlineStr"/>
      <c r="AN2081" s="13" t="inlineStr"/>
      <c r="AO2081" s="13" t="n">
        <v>-7.2</v>
      </c>
      <c r="AP2081" s="13" t="n">
        <v>52.7</v>
      </c>
    </row>
    <row r="2082">
      <c r="A2082" s="5" t="inlineStr">
        <is>
          <t>에스프리즘</t>
        </is>
      </c>
      <c r="B2082" s="6" t="inlineStr">
        <is>
          <t>288620</t>
        </is>
      </c>
      <c r="C2082" s="6" t="inlineStr">
        <is>
          <t>연결</t>
        </is>
      </c>
      <c r="D2082" s="6" t="inlineStr">
        <is>
          <t>2026Q2</t>
        </is>
      </c>
      <c r="E2082" s="6" t="inlineStr"/>
      <c r="F2082" s="7" t="inlineStr"/>
      <c r="G2082" s="8" t="inlineStr"/>
      <c r="H2082" s="8" t="inlineStr"/>
      <c r="I2082" s="9" t="n">
        <v>10655</v>
      </c>
      <c r="J2082" s="10" t="n">
        <v>1169</v>
      </c>
      <c r="K2082" s="10" t="n">
        <v>839</v>
      </c>
      <c r="L2082" s="7" t="n">
        <v>9916</v>
      </c>
      <c r="M2082" s="8" t="n">
        <v>-260</v>
      </c>
      <c r="N2082" s="8" t="n">
        <v>778</v>
      </c>
      <c r="O2082" s="9" t="n">
        <v>5550</v>
      </c>
      <c r="P2082" s="10" t="n">
        <v>-1010</v>
      </c>
      <c r="Q2082" s="10" t="n">
        <v>-1385</v>
      </c>
      <c r="R2082" s="7" t="n">
        <v>7545</v>
      </c>
      <c r="S2082" s="8" t="n">
        <v>-4036</v>
      </c>
      <c r="T2082" s="8" t="n">
        <v>-1464</v>
      </c>
      <c r="U2082" s="9" t="n">
        <v>3741</v>
      </c>
      <c r="V2082" s="10" t="n">
        <v>-1432</v>
      </c>
      <c r="W2082" s="10" t="n">
        <v>-1848</v>
      </c>
      <c r="X2082" s="7" t="n">
        <v>4648</v>
      </c>
      <c r="Y2082" s="8" t="n">
        <v>-1482</v>
      </c>
      <c r="Z2082" s="8" t="n">
        <v>-3382</v>
      </c>
      <c r="AA2082" s="9" t="n">
        <v>2042</v>
      </c>
      <c r="AB2082" s="10" t="n">
        <v>-3722</v>
      </c>
      <c r="AC2082" s="10" t="n">
        <v>-4277</v>
      </c>
      <c r="AD2082" s="7" t="n">
        <v>5355</v>
      </c>
      <c r="AE2082" s="8" t="n">
        <v>-8377</v>
      </c>
      <c r="AF2082" s="8" t="n">
        <v>-12298</v>
      </c>
      <c r="AG2082" s="9" t="n">
        <v>2429</v>
      </c>
      <c r="AH2082" s="10" t="n">
        <v>-2827</v>
      </c>
      <c r="AI2082" s="10" t="n">
        <v>-3214</v>
      </c>
      <c r="AJ2082" s="11" t="n">
        <v>3941</v>
      </c>
      <c r="AK2082" s="12" t="n">
        <v>-733</v>
      </c>
      <c r="AL2082" s="12" t="n">
        <v>568</v>
      </c>
      <c r="AM2082" s="13" t="n">
        <v>62.2</v>
      </c>
      <c r="AN2082" s="13" t="n">
        <v>-15.2</v>
      </c>
      <c r="AO2082" s="13" t="n">
        <v>74.09999999999999</v>
      </c>
      <c r="AP2082" s="13" t="n">
        <v>50.5</v>
      </c>
    </row>
    <row r="2083">
      <c r="A2083" s="5" t="inlineStr">
        <is>
          <t>모아데이타</t>
        </is>
      </c>
      <c r="B2083" s="6" t="inlineStr">
        <is>
          <t>288980</t>
        </is>
      </c>
      <c r="C2083" s="6" t="inlineStr">
        <is>
          <t>연결</t>
        </is>
      </c>
      <c r="D2083" s="6" t="inlineStr">
        <is>
          <t>2026Q2</t>
        </is>
      </c>
      <c r="E2083" s="6" t="inlineStr"/>
      <c r="F2083" s="7" t="inlineStr"/>
      <c r="G2083" s="8" t="inlineStr"/>
      <c r="H2083" s="8" t="inlineStr"/>
      <c r="I2083" s="9" t="n">
        <v>4663</v>
      </c>
      <c r="J2083" s="10" t="n">
        <v>-1545</v>
      </c>
      <c r="K2083" s="10" t="n">
        <v>-2106</v>
      </c>
      <c r="L2083" s="7" t="n">
        <v>7431</v>
      </c>
      <c r="M2083" s="8" t="n">
        <v>129</v>
      </c>
      <c r="N2083" s="8" t="n">
        <v>1626</v>
      </c>
      <c r="O2083" s="9" t="n">
        <v>5225</v>
      </c>
      <c r="P2083" s="10" t="n">
        <v>-1163</v>
      </c>
      <c r="Q2083" s="10" t="n">
        <v>-3646</v>
      </c>
      <c r="R2083" s="7" t="n">
        <v>17056</v>
      </c>
      <c r="S2083" s="8" t="n">
        <v>1249</v>
      </c>
      <c r="T2083" s="8" t="n">
        <v>39</v>
      </c>
      <c r="U2083" s="9" t="n">
        <v>6053</v>
      </c>
      <c r="V2083" s="10" t="n">
        <v>-431</v>
      </c>
      <c r="W2083" s="10" t="n">
        <v>-1868</v>
      </c>
      <c r="X2083" s="7" t="n">
        <v>3666</v>
      </c>
      <c r="Y2083" s="8" t="n">
        <v>-1591</v>
      </c>
      <c r="Z2083" s="8" t="n">
        <v>-4145</v>
      </c>
      <c r="AA2083" s="9" t="n">
        <v>7012</v>
      </c>
      <c r="AB2083" s="10" t="n">
        <v>-1597</v>
      </c>
      <c r="AC2083" s="10" t="n">
        <v>-2655</v>
      </c>
      <c r="AD2083" s="7" t="n">
        <v>6439</v>
      </c>
      <c r="AE2083" s="8" t="n">
        <v>-2314</v>
      </c>
      <c r="AF2083" s="8" t="n">
        <v>-11067</v>
      </c>
      <c r="AG2083" s="9" t="n">
        <v>4388</v>
      </c>
      <c r="AH2083" s="10" t="n">
        <v>-2262</v>
      </c>
      <c r="AI2083" s="10" t="n">
        <v>-3622</v>
      </c>
      <c r="AJ2083" s="11" t="n">
        <v>6534</v>
      </c>
      <c r="AK2083" s="12" t="n">
        <v>-1437</v>
      </c>
      <c r="AL2083" s="12" t="n">
        <v>-9486</v>
      </c>
      <c r="AM2083" s="13" t="n">
        <v>48.9</v>
      </c>
      <c r="AN2083" s="13" t="n">
        <v>78.2</v>
      </c>
      <c r="AO2083" s="13" t="n">
        <v>36.5</v>
      </c>
      <c r="AP2083" s="13" t="n">
        <v>9.699999999999999</v>
      </c>
    </row>
    <row r="2084">
      <c r="A2084" s="5" t="inlineStr">
        <is>
          <t>아이스크림에듀</t>
        </is>
      </c>
      <c r="B2084" s="6" t="inlineStr">
        <is>
          <t>289010</t>
        </is>
      </c>
      <c r="C2084" s="6" t="inlineStr">
        <is>
          <t>별도</t>
        </is>
      </c>
      <c r="D2084" s="6" t="inlineStr">
        <is>
          <t>2026Q2</t>
        </is>
      </c>
      <c r="E2084" s="6" t="inlineStr"/>
      <c r="F2084" s="7" t="inlineStr"/>
      <c r="G2084" s="8" t="inlineStr"/>
      <c r="H2084" s="8" t="inlineStr"/>
      <c r="I2084" s="9" t="n">
        <v>27528</v>
      </c>
      <c r="J2084" s="10" t="n">
        <v>-2710</v>
      </c>
      <c r="K2084" s="10" t="n">
        <v>-3192</v>
      </c>
      <c r="L2084" s="7" t="n">
        <v>25336</v>
      </c>
      <c r="M2084" s="8" t="n">
        <v>-1282</v>
      </c>
      <c r="N2084" s="8" t="n">
        <v>-2480</v>
      </c>
      <c r="O2084" s="9" t="n">
        <v>27887</v>
      </c>
      <c r="P2084" s="10" t="n">
        <v>1479</v>
      </c>
      <c r="Q2084" s="10" t="n">
        <v>1461</v>
      </c>
      <c r="R2084" s="7" t="n">
        <v>26876</v>
      </c>
      <c r="S2084" s="8" t="n">
        <v>573</v>
      </c>
      <c r="T2084" s="8" t="n">
        <v>-2001</v>
      </c>
      <c r="U2084" s="9" t="n">
        <v>24387</v>
      </c>
      <c r="V2084" s="10" t="n">
        <v>-3569</v>
      </c>
      <c r="W2084" s="10" t="n">
        <v>-3888</v>
      </c>
      <c r="X2084" s="7" t="n">
        <v>22932</v>
      </c>
      <c r="Y2084" s="8" t="n">
        <v>721</v>
      </c>
      <c r="Z2084" s="8" t="n">
        <v>2779</v>
      </c>
      <c r="AA2084" s="9" t="n">
        <v>20958</v>
      </c>
      <c r="AB2084" s="10" t="n">
        <v>1001</v>
      </c>
      <c r="AC2084" s="10" t="n">
        <v>-1517</v>
      </c>
      <c r="AD2084" s="7" t="n">
        <v>23310</v>
      </c>
      <c r="AE2084" s="8" t="n">
        <v>3249</v>
      </c>
      <c r="AF2084" s="8" t="n">
        <v>1568</v>
      </c>
      <c r="AG2084" s="9" t="n">
        <v>20299</v>
      </c>
      <c r="AH2084" s="10" t="n">
        <v>853</v>
      </c>
      <c r="AI2084" s="10" t="n">
        <v>675</v>
      </c>
      <c r="AJ2084" s="11" t="n">
        <v>19285</v>
      </c>
      <c r="AK2084" s="12" t="n">
        <v>1652</v>
      </c>
      <c r="AL2084" s="12" t="n">
        <v>1785</v>
      </c>
      <c r="AM2084" s="13" t="n">
        <v>-5</v>
      </c>
      <c r="AN2084" s="13" t="n">
        <v>-15.9</v>
      </c>
      <c r="AO2084" s="13" t="n">
        <v>93.7</v>
      </c>
      <c r="AP2084" s="13" t="n">
        <v>129.1</v>
      </c>
    </row>
    <row r="2085">
      <c r="A2085" s="5" t="inlineStr">
        <is>
          <t>SV인베스트먼트</t>
        </is>
      </c>
      <c r="B2085" s="6" t="inlineStr">
        <is>
          <t>289080</t>
        </is>
      </c>
      <c r="C2085" s="6" t="inlineStr">
        <is>
          <t>연결</t>
        </is>
      </c>
      <c r="D2085" s="6" t="inlineStr">
        <is>
          <t>2026Q1</t>
        </is>
      </c>
      <c r="E2085" s="6" t="inlineStr"/>
      <c r="F2085" s="7" t="inlineStr"/>
      <c r="G2085" s="8" t="inlineStr"/>
      <c r="H2085" s="8" t="inlineStr"/>
      <c r="I2085" s="9" t="n">
        <v>4877</v>
      </c>
      <c r="J2085" s="10" t="n">
        <v>-2466</v>
      </c>
      <c r="K2085" s="10" t="n">
        <v>-1854</v>
      </c>
      <c r="L2085" s="7" t="n">
        <v>7873</v>
      </c>
      <c r="M2085" s="8" t="n">
        <v>34</v>
      </c>
      <c r="N2085" s="8" t="n">
        <v>439</v>
      </c>
      <c r="O2085" s="9" t="n">
        <v>4722</v>
      </c>
      <c r="P2085" s="10" t="n">
        <v>10</v>
      </c>
      <c r="Q2085" s="10" t="n">
        <v>109</v>
      </c>
      <c r="R2085" s="7" t="n">
        <v>12277</v>
      </c>
      <c r="S2085" s="8" t="n">
        <v>8753</v>
      </c>
      <c r="T2085" s="8" t="n">
        <v>5591</v>
      </c>
      <c r="U2085" s="9" t="n">
        <v>6515</v>
      </c>
      <c r="V2085" s="10" t="n">
        <v>-1342</v>
      </c>
      <c r="W2085" s="10" t="n">
        <v>120</v>
      </c>
      <c r="X2085" s="7" t="n">
        <v>4323</v>
      </c>
      <c r="Y2085" s="8" t="n">
        <v>-266</v>
      </c>
      <c r="Z2085" s="8" t="n">
        <v>-315</v>
      </c>
      <c r="AA2085" s="9" t="n">
        <v>4594</v>
      </c>
      <c r="AB2085" s="10" t="n">
        <v>-1435</v>
      </c>
      <c r="AC2085" s="10" t="n">
        <v>-1202</v>
      </c>
      <c r="AD2085" s="7" t="n">
        <v>5641</v>
      </c>
      <c r="AE2085" s="8" t="n">
        <v>-3012</v>
      </c>
      <c r="AF2085" s="8" t="n">
        <v>-3835</v>
      </c>
      <c r="AG2085" s="9" t="n">
        <v>9149</v>
      </c>
      <c r="AH2085" s="10" t="n">
        <v>1571</v>
      </c>
      <c r="AI2085" s="10" t="n">
        <v>776</v>
      </c>
      <c r="AJ2085" s="11" t="inlineStr"/>
      <c r="AK2085" s="12" t="inlineStr"/>
      <c r="AL2085" s="12" t="inlineStr"/>
      <c r="AM2085" s="13" t="inlineStr"/>
      <c r="AN2085" s="13" t="inlineStr"/>
      <c r="AO2085" s="13" t="inlineStr"/>
      <c r="AP2085" s="13" t="inlineStr"/>
    </row>
    <row r="2086">
      <c r="A2086" s="5" t="inlineStr">
        <is>
          <t>자이언트스텝</t>
        </is>
      </c>
      <c r="B2086" s="6" t="inlineStr">
        <is>
          <t>289220</t>
        </is>
      </c>
      <c r="C2086" s="6" t="inlineStr">
        <is>
          <t>연결</t>
        </is>
      </c>
      <c r="D2086" s="6" t="inlineStr">
        <is>
          <t>2026Q2</t>
        </is>
      </c>
      <c r="E2086" s="6" t="inlineStr"/>
      <c r="F2086" s="7" t="inlineStr"/>
      <c r="G2086" s="8" t="inlineStr"/>
      <c r="H2086" s="8" t="inlineStr"/>
      <c r="I2086" s="9" t="n">
        <v>11517</v>
      </c>
      <c r="J2086" s="10" t="n">
        <v>-4683</v>
      </c>
      <c r="K2086" s="10" t="n">
        <v>-4066</v>
      </c>
      <c r="L2086" s="7" t="n">
        <v>14611</v>
      </c>
      <c r="M2086" s="8" t="n">
        <v>-5491</v>
      </c>
      <c r="N2086" s="8" t="n">
        <v>-4823</v>
      </c>
      <c r="O2086" s="9" t="n">
        <v>9742</v>
      </c>
      <c r="P2086" s="10" t="n">
        <v>-6389</v>
      </c>
      <c r="Q2086" s="10" t="n">
        <v>-6549</v>
      </c>
      <c r="R2086" s="7" t="n">
        <v>14218</v>
      </c>
      <c r="S2086" s="8" t="n">
        <v>-730</v>
      </c>
      <c r="T2086" s="8" t="n">
        <v>-12846</v>
      </c>
      <c r="U2086" s="9" t="n">
        <v>10065</v>
      </c>
      <c r="V2086" s="10" t="n">
        <v>-4244</v>
      </c>
      <c r="W2086" s="10" t="n">
        <v>-3793</v>
      </c>
      <c r="X2086" s="7" t="n">
        <v>7792</v>
      </c>
      <c r="Y2086" s="8" t="n">
        <v>-8405</v>
      </c>
      <c r="Z2086" s="8" t="n">
        <v>-8145</v>
      </c>
      <c r="AA2086" s="9" t="n">
        <v>8987</v>
      </c>
      <c r="AB2086" s="10" t="n">
        <v>-4855</v>
      </c>
      <c r="AC2086" s="10" t="n">
        <v>-4518</v>
      </c>
      <c r="AD2086" s="7" t="n">
        <v>9882</v>
      </c>
      <c r="AE2086" s="8" t="n">
        <v>-1493</v>
      </c>
      <c r="AF2086" s="8" t="n">
        <v>-1135</v>
      </c>
      <c r="AG2086" s="9" t="n">
        <v>9297</v>
      </c>
      <c r="AH2086" s="10" t="n">
        <v>-5554</v>
      </c>
      <c r="AI2086" s="10" t="n">
        <v>-5108</v>
      </c>
      <c r="AJ2086" s="11" t="n">
        <v>6555</v>
      </c>
      <c r="AK2086" s="12" t="n">
        <v>-2835</v>
      </c>
      <c r="AL2086" s="12" t="n">
        <v>-3023</v>
      </c>
      <c r="AM2086" s="13" t="n">
        <v>-29.5</v>
      </c>
      <c r="AN2086" s="13" t="n">
        <v>-15.9</v>
      </c>
      <c r="AO2086" s="13" t="n">
        <v>49</v>
      </c>
      <c r="AP2086" s="13" t="n">
        <v>66.3</v>
      </c>
    </row>
    <row r="2087">
      <c r="A2087" s="5" t="inlineStr">
        <is>
          <t>웨이비스</t>
        </is>
      </c>
      <c r="B2087" s="6" t="inlineStr">
        <is>
          <t>289930</t>
        </is>
      </c>
      <c r="C2087" s="6" t="inlineStr">
        <is>
          <t>별도</t>
        </is>
      </c>
      <c r="D2087" s="6" t="inlineStr">
        <is>
          <t>2026Q2</t>
        </is>
      </c>
      <c r="E2087" s="6" t="inlineStr"/>
      <c r="F2087" s="7" t="inlineStr"/>
      <c r="G2087" s="8" t="inlineStr"/>
      <c r="H2087" s="8" t="inlineStr"/>
      <c r="I2087" s="9" t="inlineStr"/>
      <c r="J2087" s="10" t="inlineStr"/>
      <c r="K2087" s="10" t="inlineStr"/>
      <c r="L2087" s="7" t="inlineStr"/>
      <c r="M2087" s="8" t="inlineStr"/>
      <c r="N2087" s="8" t="inlineStr"/>
      <c r="O2087" s="9" t="inlineStr"/>
      <c r="P2087" s="10" t="inlineStr"/>
      <c r="Q2087" s="10" t="inlineStr"/>
      <c r="R2087" s="7" t="inlineStr"/>
      <c r="S2087" s="8" t="inlineStr"/>
      <c r="T2087" s="8" t="inlineStr"/>
      <c r="U2087" s="9" t="n">
        <v>6493</v>
      </c>
      <c r="V2087" s="10" t="n">
        <v>-2387</v>
      </c>
      <c r="W2087" s="10" t="n">
        <v>-2275</v>
      </c>
      <c r="X2087" s="7" t="n">
        <v>8039</v>
      </c>
      <c r="Y2087" s="8" t="n">
        <v>-2498</v>
      </c>
      <c r="Z2087" s="8" t="n">
        <v>-2438</v>
      </c>
      <c r="AA2087" s="9" t="n">
        <v>8278</v>
      </c>
      <c r="AB2087" s="10" t="n">
        <v>-1178</v>
      </c>
      <c r="AC2087" s="10" t="n">
        <v>-773</v>
      </c>
      <c r="AD2087" s="7" t="n">
        <v>17896</v>
      </c>
      <c r="AE2087" s="8" t="n">
        <v>6690</v>
      </c>
      <c r="AF2087" s="8" t="n">
        <v>7282</v>
      </c>
      <c r="AG2087" s="9" t="n">
        <v>5191</v>
      </c>
      <c r="AH2087" s="10" t="n">
        <v>-3356</v>
      </c>
      <c r="AI2087" s="10" t="n">
        <v>1763</v>
      </c>
      <c r="AJ2087" s="11" t="n">
        <v>7749</v>
      </c>
      <c r="AK2087" s="12" t="n">
        <v>-707</v>
      </c>
      <c r="AL2087" s="12" t="n">
        <v>43324</v>
      </c>
      <c r="AM2087" s="13" t="n">
        <v>49.3</v>
      </c>
      <c r="AN2087" s="13" t="n">
        <v>-3.6</v>
      </c>
      <c r="AO2087" s="13" t="n">
        <v>78.90000000000001</v>
      </c>
      <c r="AP2087" s="13" t="n">
        <v>71.7</v>
      </c>
    </row>
    <row r="2088">
      <c r="A2088" s="5" t="inlineStr">
        <is>
          <t>트윔</t>
        </is>
      </c>
      <c r="B2088" s="6" t="inlineStr">
        <is>
          <t>290090</t>
        </is>
      </c>
      <c r="C2088" s="6" t="inlineStr">
        <is>
          <t>연결</t>
        </is>
      </c>
      <c r="D2088" s="6" t="inlineStr">
        <is>
          <t>2026Q2</t>
        </is>
      </c>
      <c r="E2088" s="6" t="inlineStr"/>
      <c r="F2088" s="7" t="inlineStr"/>
      <c r="G2088" s="8" t="inlineStr"/>
      <c r="H2088" s="8" t="inlineStr"/>
      <c r="I2088" s="9" t="n">
        <v>3694</v>
      </c>
      <c r="J2088" s="10" t="n">
        <v>-899</v>
      </c>
      <c r="K2088" s="10" t="n">
        <v>-498</v>
      </c>
      <c r="L2088" s="7" t="n">
        <v>10467</v>
      </c>
      <c r="M2088" s="8" t="n">
        <v>1226</v>
      </c>
      <c r="N2088" s="8" t="n">
        <v>2049</v>
      </c>
      <c r="O2088" s="9" t="n">
        <v>3157</v>
      </c>
      <c r="P2088" s="10" t="n">
        <v>-1339</v>
      </c>
      <c r="Q2088" s="10" t="n">
        <v>-1966</v>
      </c>
      <c r="R2088" s="7" t="n">
        <v>11963</v>
      </c>
      <c r="S2088" s="8" t="n">
        <v>1614</v>
      </c>
      <c r="T2088" s="8" t="n">
        <v>2041</v>
      </c>
      <c r="U2088" s="9" t="n">
        <v>3123</v>
      </c>
      <c r="V2088" s="10" t="n">
        <v>-860</v>
      </c>
      <c r="W2088" s="10" t="n">
        <v>-660</v>
      </c>
      <c r="X2088" s="7" t="n">
        <v>6699</v>
      </c>
      <c r="Y2088" s="8" t="n">
        <v>-749</v>
      </c>
      <c r="Z2088" s="8" t="n">
        <v>-953</v>
      </c>
      <c r="AA2088" s="9" t="n">
        <v>5016</v>
      </c>
      <c r="AB2088" s="10" t="n">
        <v>-1089</v>
      </c>
      <c r="AC2088" s="10" t="n">
        <v>-658</v>
      </c>
      <c r="AD2088" s="7" t="n">
        <v>6202</v>
      </c>
      <c r="AE2088" s="8" t="n">
        <v>-1385</v>
      </c>
      <c r="AF2088" s="8" t="n">
        <v>-830</v>
      </c>
      <c r="AG2088" s="9" t="n">
        <v>2930</v>
      </c>
      <c r="AH2088" s="10" t="n">
        <v>-1656</v>
      </c>
      <c r="AI2088" s="10" t="n">
        <v>-405</v>
      </c>
      <c r="AJ2088" s="11" t="n">
        <v>4666</v>
      </c>
      <c r="AK2088" s="12" t="n">
        <v>-1207</v>
      </c>
      <c r="AL2088" s="12" t="n">
        <v>1409</v>
      </c>
      <c r="AM2088" s="13" t="n">
        <v>59.2</v>
      </c>
      <c r="AN2088" s="13" t="n">
        <v>-30.3</v>
      </c>
      <c r="AO2088" s="13" t="n">
        <v>27.1</v>
      </c>
      <c r="AP2088" s="13" t="n">
        <v>-61.1</v>
      </c>
    </row>
    <row r="2089">
      <c r="A2089" s="5" t="inlineStr">
        <is>
          <t>DH오토리드</t>
        </is>
      </c>
      <c r="B2089" s="6" t="inlineStr">
        <is>
          <t>290120</t>
        </is>
      </c>
      <c r="C2089" s="6" t="inlineStr">
        <is>
          <t>연결</t>
        </is>
      </c>
      <c r="D2089" s="6" t="inlineStr">
        <is>
          <t>2026Q2</t>
        </is>
      </c>
      <c r="E2089" s="6" t="inlineStr"/>
      <c r="F2089" s="7" t="inlineStr"/>
      <c r="G2089" s="8" t="inlineStr"/>
      <c r="H2089" s="8" t="inlineStr"/>
      <c r="I2089" s="9" t="n">
        <v>63964</v>
      </c>
      <c r="J2089" s="10" t="n">
        <v>4312</v>
      </c>
      <c r="K2089" s="10" t="n">
        <v>3509</v>
      </c>
      <c r="L2089" s="7" t="n">
        <v>71762</v>
      </c>
      <c r="M2089" s="8" t="n">
        <v>5532</v>
      </c>
      <c r="N2089" s="8" t="n">
        <v>2863</v>
      </c>
      <c r="O2089" s="9" t="n">
        <v>65644</v>
      </c>
      <c r="P2089" s="10" t="n">
        <v>3377</v>
      </c>
      <c r="Q2089" s="10" t="n">
        <v>163</v>
      </c>
      <c r="R2089" s="7" t="n">
        <v>69025</v>
      </c>
      <c r="S2089" s="8" t="n">
        <v>3318</v>
      </c>
      <c r="T2089" s="8" t="n">
        <v>-4236</v>
      </c>
      <c r="U2089" s="9" t="n">
        <v>83260</v>
      </c>
      <c r="V2089" s="10" t="n">
        <v>4691</v>
      </c>
      <c r="W2089" s="10" t="n">
        <v>3639</v>
      </c>
      <c r="X2089" s="7" t="n">
        <v>88899</v>
      </c>
      <c r="Y2089" s="8" t="n">
        <v>6130</v>
      </c>
      <c r="Z2089" s="8" t="n">
        <v>1088</v>
      </c>
      <c r="AA2089" s="9" t="n">
        <v>87403</v>
      </c>
      <c r="AB2089" s="10" t="n">
        <v>6842</v>
      </c>
      <c r="AC2089" s="10" t="n">
        <v>6553</v>
      </c>
      <c r="AD2089" s="7" t="n">
        <v>96028</v>
      </c>
      <c r="AE2089" s="8" t="n">
        <v>4258</v>
      </c>
      <c r="AF2089" s="8" t="n">
        <v>2299</v>
      </c>
      <c r="AG2089" s="9" t="n">
        <v>97957</v>
      </c>
      <c r="AH2089" s="10" t="n">
        <v>5197</v>
      </c>
      <c r="AI2089" s="10" t="n">
        <v>3607</v>
      </c>
      <c r="AJ2089" s="11" t="n">
        <v>101924</v>
      </c>
      <c r="AK2089" s="12" t="n">
        <v>4063</v>
      </c>
      <c r="AL2089" s="12" t="n">
        <v>4800</v>
      </c>
      <c r="AM2089" s="13" t="n">
        <v>4</v>
      </c>
      <c r="AN2089" s="13" t="n">
        <v>14.7</v>
      </c>
      <c r="AO2089" s="13" t="n">
        <v>-21.8</v>
      </c>
      <c r="AP2089" s="13" t="n">
        <v>-33.7</v>
      </c>
    </row>
    <row r="2090">
      <c r="A2090" s="5" t="inlineStr">
        <is>
          <t>휴네시온</t>
        </is>
      </c>
      <c r="B2090" s="6" t="inlineStr">
        <is>
          <t>290270</t>
        </is>
      </c>
      <c r="C2090" s="6" t="inlineStr">
        <is>
          <t>연결</t>
        </is>
      </c>
      <c r="D2090" s="6" t="inlineStr">
        <is>
          <t>2026Q2</t>
        </is>
      </c>
      <c r="E2090" s="6" t="inlineStr"/>
      <c r="F2090" s="7" t="inlineStr"/>
      <c r="G2090" s="8" t="inlineStr"/>
      <c r="H2090" s="8" t="inlineStr"/>
      <c r="I2090" s="9" t="n">
        <v>5445</v>
      </c>
      <c r="J2090" s="10" t="n">
        <v>-1083</v>
      </c>
      <c r="K2090" s="10" t="n">
        <v>-1952</v>
      </c>
      <c r="L2090" s="7" t="n">
        <v>9238</v>
      </c>
      <c r="M2090" s="8" t="n">
        <v>982</v>
      </c>
      <c r="N2090" s="8" t="n">
        <v>1505</v>
      </c>
      <c r="O2090" s="9" t="n">
        <v>6453</v>
      </c>
      <c r="P2090" s="10" t="n">
        <v>-656</v>
      </c>
      <c r="Q2090" s="10" t="n">
        <v>-314</v>
      </c>
      <c r="R2090" s="7" t="n">
        <v>15757</v>
      </c>
      <c r="S2090" s="8" t="n">
        <v>3911</v>
      </c>
      <c r="T2090" s="8" t="n">
        <v>4489</v>
      </c>
      <c r="U2090" s="9" t="n">
        <v>4670</v>
      </c>
      <c r="V2090" s="10" t="n">
        <v>-1406</v>
      </c>
      <c r="W2090" s="10" t="n">
        <v>-1576</v>
      </c>
      <c r="X2090" s="7" t="n">
        <v>10498</v>
      </c>
      <c r="Y2090" s="8" t="n">
        <v>1798</v>
      </c>
      <c r="Z2090" s="8" t="n">
        <v>1773</v>
      </c>
      <c r="AA2090" s="9" t="n">
        <v>7637</v>
      </c>
      <c r="AB2090" s="10" t="n">
        <v>240</v>
      </c>
      <c r="AC2090" s="10" t="n">
        <v>580</v>
      </c>
      <c r="AD2090" s="7" t="n">
        <v>14925</v>
      </c>
      <c r="AE2090" s="8" t="n">
        <v>4170</v>
      </c>
      <c r="AF2090" s="8" t="n">
        <v>4992</v>
      </c>
      <c r="AG2090" s="9" t="n">
        <v>5215</v>
      </c>
      <c r="AH2090" s="10" t="n">
        <v>-1713</v>
      </c>
      <c r="AI2090" s="10" t="n">
        <v>-1985</v>
      </c>
      <c r="AJ2090" s="11" t="n">
        <v>8825</v>
      </c>
      <c r="AK2090" s="12" t="n">
        <v>881</v>
      </c>
      <c r="AL2090" s="12" t="n">
        <v>1035</v>
      </c>
      <c r="AM2090" s="13" t="n">
        <v>69.2</v>
      </c>
      <c r="AN2090" s="13" t="n">
        <v>-15.9</v>
      </c>
      <c r="AO2090" s="13" t="n">
        <v>151.4</v>
      </c>
      <c r="AP2090" s="13" t="n">
        <v>-51</v>
      </c>
    </row>
    <row r="2091">
      <c r="A2091" s="5" t="inlineStr">
        <is>
          <t>신도기연</t>
        </is>
      </c>
      <c r="B2091" s="6" t="inlineStr">
        <is>
          <t>290520</t>
        </is>
      </c>
      <c r="C2091" s="6" t="inlineStr">
        <is>
          <t>연결</t>
        </is>
      </c>
      <c r="D2091" s="6" t="inlineStr">
        <is>
          <t>2026Q2</t>
        </is>
      </c>
      <c r="E2091" s="6" t="inlineStr"/>
      <c r="F2091" s="7" t="inlineStr"/>
      <c r="G2091" s="8" t="inlineStr"/>
      <c r="H2091" s="8" t="inlineStr"/>
      <c r="I2091" s="9" t="n">
        <v>1972</v>
      </c>
      <c r="J2091" s="10" t="n">
        <v>-1368</v>
      </c>
      <c r="K2091" s="10" t="n">
        <v>659</v>
      </c>
      <c r="L2091" s="7" t="n">
        <v>3155</v>
      </c>
      <c r="M2091" s="8" t="n">
        <v>-1102</v>
      </c>
      <c r="N2091" s="8" t="n">
        <v>301</v>
      </c>
      <c r="O2091" s="9" t="n">
        <v>2540</v>
      </c>
      <c r="P2091" s="10" t="n">
        <v>905</v>
      </c>
      <c r="Q2091" s="10" t="n">
        <v>-931</v>
      </c>
      <c r="R2091" s="7" t="n">
        <v>2931</v>
      </c>
      <c r="S2091" s="8" t="n">
        <v>-2531</v>
      </c>
      <c r="T2091" s="8" t="n">
        <v>-593</v>
      </c>
      <c r="U2091" s="9" t="n">
        <v>636</v>
      </c>
      <c r="V2091" s="10" t="n">
        <v>-1122</v>
      </c>
      <c r="W2091" s="10" t="n">
        <v>-975</v>
      </c>
      <c r="X2091" s="7" t="n">
        <v>749</v>
      </c>
      <c r="Y2091" s="8" t="n">
        <v>-991</v>
      </c>
      <c r="Z2091" s="8" t="n">
        <v>-2732</v>
      </c>
      <c r="AA2091" s="9" t="n">
        <v>4418</v>
      </c>
      <c r="AB2091" s="10" t="n">
        <v>871</v>
      </c>
      <c r="AC2091" s="10" t="n">
        <v>1847</v>
      </c>
      <c r="AD2091" s="7" t="n">
        <v>26120</v>
      </c>
      <c r="AE2091" s="8" t="n">
        <v>3050</v>
      </c>
      <c r="AF2091" s="8" t="n">
        <v>3669</v>
      </c>
      <c r="AG2091" s="9" t="n">
        <v>1340</v>
      </c>
      <c r="AH2091" s="10" t="n">
        <v>-1327</v>
      </c>
      <c r="AI2091" s="10" t="n">
        <v>539</v>
      </c>
      <c r="AJ2091" s="11" t="n">
        <v>7619</v>
      </c>
      <c r="AK2091" s="12" t="n">
        <v>-7876</v>
      </c>
      <c r="AL2091" s="12" t="n">
        <v>-7155</v>
      </c>
      <c r="AM2091" s="13" t="n">
        <v>468.6</v>
      </c>
      <c r="AN2091" s="13" t="n">
        <v>917.2</v>
      </c>
      <c r="AO2091" s="13" t="n">
        <v>-493.5</v>
      </c>
      <c r="AP2091" s="13" t="n">
        <v>-694.8</v>
      </c>
    </row>
    <row r="2092">
      <c r="A2092" s="5" t="inlineStr">
        <is>
          <t>디케이티</t>
        </is>
      </c>
      <c r="B2092" s="6" t="inlineStr">
        <is>
          <t>290550</t>
        </is>
      </c>
      <c r="C2092" s="6" t="inlineStr">
        <is>
          <t>연결</t>
        </is>
      </c>
      <c r="D2092" s="6" t="inlineStr">
        <is>
          <t>2026Q2</t>
        </is>
      </c>
      <c r="E2092" s="6" t="inlineStr"/>
      <c r="F2092" s="7" t="inlineStr"/>
      <c r="G2092" s="8" t="inlineStr"/>
      <c r="H2092" s="8" t="inlineStr"/>
      <c r="I2092" s="9" t="n">
        <v>115764</v>
      </c>
      <c r="J2092" s="10" t="n">
        <v>7679</v>
      </c>
      <c r="K2092" s="10" t="n">
        <v>10493</v>
      </c>
      <c r="L2092" s="7" t="n">
        <v>107707</v>
      </c>
      <c r="M2092" s="8" t="n">
        <v>7597</v>
      </c>
      <c r="N2092" s="8" t="n">
        <v>6789</v>
      </c>
      <c r="O2092" s="9" t="n">
        <v>81697</v>
      </c>
      <c r="P2092" s="10" t="n">
        <v>5020</v>
      </c>
      <c r="Q2092" s="10" t="n">
        <v>3971</v>
      </c>
      <c r="R2092" s="7" t="n">
        <v>98182</v>
      </c>
      <c r="S2092" s="8" t="n">
        <v>2790</v>
      </c>
      <c r="T2092" s="8" t="n">
        <v>5619</v>
      </c>
      <c r="U2092" s="9" t="n">
        <v>86424</v>
      </c>
      <c r="V2092" s="10" t="n">
        <v>2458</v>
      </c>
      <c r="W2092" s="10" t="n">
        <v>4165</v>
      </c>
      <c r="X2092" s="7" t="n">
        <v>118775</v>
      </c>
      <c r="Y2092" s="8" t="n">
        <v>8240</v>
      </c>
      <c r="Z2092" s="8" t="n">
        <v>5956</v>
      </c>
      <c r="AA2092" s="9" t="n">
        <v>105771</v>
      </c>
      <c r="AB2092" s="10" t="n">
        <v>4809</v>
      </c>
      <c r="AC2092" s="10" t="n">
        <v>5056</v>
      </c>
      <c r="AD2092" s="7" t="n">
        <v>114806</v>
      </c>
      <c r="AE2092" s="8" t="n">
        <v>6067</v>
      </c>
      <c r="AF2092" s="8" t="n">
        <v>7995</v>
      </c>
      <c r="AG2092" s="9" t="n">
        <v>115648</v>
      </c>
      <c r="AH2092" s="10" t="n">
        <v>8846</v>
      </c>
      <c r="AI2092" s="10" t="n">
        <v>13873</v>
      </c>
      <c r="AJ2092" s="11" t="n">
        <v>147976</v>
      </c>
      <c r="AK2092" s="12" t="n">
        <v>10049</v>
      </c>
      <c r="AL2092" s="12" t="n">
        <v>10492</v>
      </c>
      <c r="AM2092" s="13" t="n">
        <v>28</v>
      </c>
      <c r="AN2092" s="13" t="n">
        <v>24.6</v>
      </c>
      <c r="AO2092" s="13" t="n">
        <v>13.6</v>
      </c>
      <c r="AP2092" s="13" t="n">
        <v>22</v>
      </c>
    </row>
    <row r="2093">
      <c r="A2093" s="5" t="inlineStr">
        <is>
          <t>파라택시스이더리움</t>
        </is>
      </c>
      <c r="B2093" s="6" t="inlineStr">
        <is>
          <t>290560</t>
        </is>
      </c>
      <c r="C2093" s="6" t="inlineStr">
        <is>
          <t>별도</t>
        </is>
      </c>
      <c r="D2093" s="6" t="inlineStr">
        <is>
          <t>2026Q2</t>
        </is>
      </c>
      <c r="E2093" s="6" t="inlineStr"/>
      <c r="F2093" s="7" t="inlineStr"/>
      <c r="G2093" s="8" t="inlineStr"/>
      <c r="H2093" s="8" t="inlineStr"/>
      <c r="I2093" s="9" t="n">
        <v>1803</v>
      </c>
      <c r="J2093" s="10" t="n">
        <v>-322</v>
      </c>
      <c r="K2093" s="10" t="n">
        <v>-172</v>
      </c>
      <c r="L2093" s="7" t="n">
        <v>2533</v>
      </c>
      <c r="M2093" s="8" t="n">
        <v>411</v>
      </c>
      <c r="N2093" s="8" t="n">
        <v>537</v>
      </c>
      <c r="O2093" s="9" t="n">
        <v>2498</v>
      </c>
      <c r="P2093" s="10" t="n">
        <v>324</v>
      </c>
      <c r="Q2093" s="10" t="n">
        <v>375</v>
      </c>
      <c r="R2093" s="7" t="n">
        <v>4992</v>
      </c>
      <c r="S2093" s="8" t="n">
        <v>1968</v>
      </c>
      <c r="T2093" s="8" t="n">
        <v>1770</v>
      </c>
      <c r="U2093" s="9" t="n">
        <v>1984</v>
      </c>
      <c r="V2093" s="10" t="n">
        <v>-322</v>
      </c>
      <c r="W2093" s="10" t="n">
        <v>-222</v>
      </c>
      <c r="X2093" s="7" t="n">
        <v>3172</v>
      </c>
      <c r="Y2093" s="8" t="n">
        <v>728</v>
      </c>
      <c r="Z2093" s="8" t="n">
        <v>634</v>
      </c>
      <c r="AA2093" s="9" t="n">
        <v>2969</v>
      </c>
      <c r="AB2093" s="10" t="n">
        <v>824</v>
      </c>
      <c r="AC2093" s="10" t="n">
        <v>756</v>
      </c>
      <c r="AD2093" s="7" t="n">
        <v>5872</v>
      </c>
      <c r="AE2093" s="8" t="n">
        <v>2401</v>
      </c>
      <c r="AF2093" s="8" t="n">
        <v>2173</v>
      </c>
      <c r="AG2093" s="9" t="n">
        <v>2699</v>
      </c>
      <c r="AH2093" s="10" t="n">
        <v>-308</v>
      </c>
      <c r="AI2093" s="10" t="n">
        <v>-362</v>
      </c>
      <c r="AJ2093" s="11" t="n">
        <v>4241</v>
      </c>
      <c r="AK2093" s="12" t="n">
        <v>1126</v>
      </c>
      <c r="AL2093" s="12" t="n">
        <v>-2694</v>
      </c>
      <c r="AM2093" s="13" t="n">
        <v>57.1</v>
      </c>
      <c r="AN2093" s="13" t="n">
        <v>33.7</v>
      </c>
      <c r="AO2093" s="13" t="n">
        <v>465.6</v>
      </c>
      <c r="AP2093" s="13" t="n">
        <v>54.7</v>
      </c>
    </row>
    <row r="2094">
      <c r="A2094" s="5" t="inlineStr">
        <is>
          <t>엘앤씨바이오</t>
        </is>
      </c>
      <c r="B2094" s="6" t="inlineStr">
        <is>
          <t>290650</t>
        </is>
      </c>
      <c r="C2094" s="6" t="inlineStr">
        <is>
          <t>연결</t>
        </is>
      </c>
      <c r="D2094" s="6" t="inlineStr">
        <is>
          <t>2026Q2</t>
        </is>
      </c>
      <c r="E2094" s="6" t="inlineStr"/>
      <c r="F2094" s="7" t="inlineStr"/>
      <c r="G2094" s="8" t="inlineStr"/>
      <c r="H2094" s="8" t="inlineStr"/>
      <c r="I2094" s="9" t="n">
        <v>16562</v>
      </c>
      <c r="J2094" s="10" t="n">
        <v>1664</v>
      </c>
      <c r="K2094" s="10" t="n">
        <v>1872</v>
      </c>
      <c r="L2094" s="7" t="n">
        <v>17898</v>
      </c>
      <c r="M2094" s="8" t="n">
        <v>1326</v>
      </c>
      <c r="N2094" s="8" t="n">
        <v>1129</v>
      </c>
      <c r="O2094" s="9" t="n">
        <v>18546</v>
      </c>
      <c r="P2094" s="10" t="n">
        <v>175</v>
      </c>
      <c r="Q2094" s="10" t="n">
        <v>-5791</v>
      </c>
      <c r="R2094" s="7" t="n">
        <v>19087</v>
      </c>
      <c r="S2094" s="8" t="n">
        <v>-623</v>
      </c>
      <c r="T2094" s="8" t="n">
        <v>143755</v>
      </c>
      <c r="U2094" s="9" t="n">
        <v>17756</v>
      </c>
      <c r="V2094" s="10" t="n">
        <v>-433</v>
      </c>
      <c r="W2094" s="10" t="n">
        <v>-642</v>
      </c>
      <c r="X2094" s="7" t="n">
        <v>20581</v>
      </c>
      <c r="Y2094" s="8" t="n">
        <v>-245</v>
      </c>
      <c r="Z2094" s="8" t="n">
        <v>-14276</v>
      </c>
      <c r="AA2094" s="9" t="n">
        <v>22556</v>
      </c>
      <c r="AB2094" s="10" t="n">
        <v>2896</v>
      </c>
      <c r="AC2094" s="10" t="n">
        <v>-51338</v>
      </c>
      <c r="AD2094" s="7" t="n">
        <v>24583</v>
      </c>
      <c r="AE2094" s="8" t="n">
        <v>2198</v>
      </c>
      <c r="AF2094" s="8" t="n">
        <v>-71991</v>
      </c>
      <c r="AG2094" s="9" t="n">
        <v>30295</v>
      </c>
      <c r="AH2094" s="10" t="n">
        <v>5999</v>
      </c>
      <c r="AI2094" s="10" t="n">
        <v>2726</v>
      </c>
      <c r="AJ2094" s="11" t="n">
        <v>38785</v>
      </c>
      <c r="AK2094" s="12" t="n">
        <v>8580</v>
      </c>
      <c r="AL2094" s="12" t="n">
        <v>-28123</v>
      </c>
      <c r="AM2094" s="13" t="n">
        <v>28</v>
      </c>
      <c r="AN2094" s="13" t="n">
        <v>88.5</v>
      </c>
      <c r="AO2094" s="13" t="n">
        <v>43</v>
      </c>
      <c r="AP2094" s="13" t="n">
        <v>3602</v>
      </c>
    </row>
    <row r="2095">
      <c r="A2095" s="5" t="inlineStr">
        <is>
          <t>다이나믹솔루션</t>
        </is>
      </c>
      <c r="B2095" s="6" t="inlineStr">
        <is>
          <t>290660</t>
        </is>
      </c>
      <c r="C2095" s="6" t="inlineStr">
        <is>
          <t>연결</t>
        </is>
      </c>
      <c r="D2095" s="6" t="inlineStr">
        <is>
          <t>2026Q2</t>
        </is>
      </c>
      <c r="E2095" s="6" t="inlineStr"/>
      <c r="F2095" s="7" t="inlineStr"/>
      <c r="G2095" s="8" t="inlineStr"/>
      <c r="H2095" s="8" t="inlineStr"/>
      <c r="I2095" s="9" t="n">
        <v>4520</v>
      </c>
      <c r="J2095" s="10" t="n">
        <v>-1462</v>
      </c>
      <c r="K2095" s="10" t="n">
        <v>-1609</v>
      </c>
      <c r="L2095" s="7" t="n">
        <v>5378</v>
      </c>
      <c r="M2095" s="8" t="n">
        <v>-400</v>
      </c>
      <c r="N2095" s="8" t="n">
        <v>3285</v>
      </c>
      <c r="O2095" s="9" t="n">
        <v>4747</v>
      </c>
      <c r="P2095" s="10" t="n">
        <v>-558</v>
      </c>
      <c r="Q2095" s="10" t="n">
        <v>-2843</v>
      </c>
      <c r="R2095" s="7" t="n">
        <v>6467</v>
      </c>
      <c r="S2095" s="8" t="n">
        <v>8</v>
      </c>
      <c r="T2095" s="8" t="n">
        <v>-300</v>
      </c>
      <c r="U2095" s="9" t="n">
        <v>4519</v>
      </c>
      <c r="V2095" s="10" t="n">
        <v>-1401</v>
      </c>
      <c r="W2095" s="10" t="n">
        <v>-2285</v>
      </c>
      <c r="X2095" s="7" t="n">
        <v>6205</v>
      </c>
      <c r="Y2095" s="8" t="n">
        <v>515</v>
      </c>
      <c r="Z2095" s="8" t="n">
        <v>-15078</v>
      </c>
      <c r="AA2095" s="9" t="n">
        <v>3368</v>
      </c>
      <c r="AB2095" s="10" t="n">
        <v>-862</v>
      </c>
      <c r="AC2095" s="10" t="n">
        <v>125</v>
      </c>
      <c r="AD2095" s="7" t="n">
        <v>1961</v>
      </c>
      <c r="AE2095" s="8" t="n">
        <v>-1154</v>
      </c>
      <c r="AF2095" s="8" t="n">
        <v>4933</v>
      </c>
      <c r="AG2095" s="9" t="n">
        <v>3126</v>
      </c>
      <c r="AH2095" s="10" t="n">
        <v>-3071</v>
      </c>
      <c r="AI2095" s="10" t="n">
        <v>-5849</v>
      </c>
      <c r="AJ2095" s="11" t="n">
        <v>4172</v>
      </c>
      <c r="AK2095" s="12" t="n">
        <v>-950</v>
      </c>
      <c r="AL2095" s="12" t="n">
        <v>-4835</v>
      </c>
      <c r="AM2095" s="13" t="n">
        <v>33.5</v>
      </c>
      <c r="AN2095" s="13" t="n">
        <v>-32.8</v>
      </c>
      <c r="AO2095" s="13" t="n">
        <v>69.09999999999999</v>
      </c>
      <c r="AP2095" s="13" t="n">
        <v>-284.5</v>
      </c>
    </row>
    <row r="2096">
      <c r="A2096" s="5" t="inlineStr">
        <is>
          <t>대보마그네틱</t>
        </is>
      </c>
      <c r="B2096" s="6" t="inlineStr">
        <is>
          <t>290670</t>
        </is>
      </c>
      <c r="C2096" s="6" t="inlineStr">
        <is>
          <t>연결</t>
        </is>
      </c>
      <c r="D2096" s="6" t="inlineStr">
        <is>
          <t>2026Q2</t>
        </is>
      </c>
      <c r="E2096" s="6" t="inlineStr"/>
      <c r="F2096" s="7" t="inlineStr"/>
      <c r="G2096" s="8" t="inlineStr"/>
      <c r="H2096" s="8" t="inlineStr"/>
      <c r="I2096" s="9" t="n">
        <v>11250</v>
      </c>
      <c r="J2096" s="10" t="n">
        <v>896</v>
      </c>
      <c r="K2096" s="10" t="n">
        <v>993</v>
      </c>
      <c r="L2096" s="7" t="n">
        <v>5059</v>
      </c>
      <c r="M2096" s="8" t="n">
        <v>-1494</v>
      </c>
      <c r="N2096" s="8" t="n">
        <v>-533</v>
      </c>
      <c r="O2096" s="9" t="n">
        <v>5688</v>
      </c>
      <c r="P2096" s="10" t="n">
        <v>-3942</v>
      </c>
      <c r="Q2096" s="10" t="n">
        <v>-4097</v>
      </c>
      <c r="R2096" s="7" t="n">
        <v>6397</v>
      </c>
      <c r="S2096" s="8" t="n">
        <v>-5257</v>
      </c>
      <c r="T2096" s="8" t="n">
        <v>-12120</v>
      </c>
      <c r="U2096" s="9" t="n">
        <v>13744</v>
      </c>
      <c r="V2096" s="10" t="n">
        <v>-1224</v>
      </c>
      <c r="W2096" s="10" t="n">
        <v>-535</v>
      </c>
      <c r="X2096" s="7" t="n">
        <v>2032</v>
      </c>
      <c r="Y2096" s="8" t="n">
        <v>-2806</v>
      </c>
      <c r="Z2096" s="8" t="n">
        <v>-3376</v>
      </c>
      <c r="AA2096" s="9" t="n">
        <v>5765</v>
      </c>
      <c r="AB2096" s="10" t="n">
        <v>-1881</v>
      </c>
      <c r="AC2096" s="10" t="n">
        <v>-1728</v>
      </c>
      <c r="AD2096" s="7" t="n">
        <v>4606</v>
      </c>
      <c r="AE2096" s="8" t="n">
        <v>-4532</v>
      </c>
      <c r="AF2096" s="8" t="n">
        <v>-29862</v>
      </c>
      <c r="AG2096" s="9" t="n">
        <v>1139</v>
      </c>
      <c r="AH2096" s="10" t="n">
        <v>-1861</v>
      </c>
      <c r="AI2096" s="10" t="n">
        <v>-1868</v>
      </c>
      <c r="AJ2096" s="11" t="n">
        <v>2310</v>
      </c>
      <c r="AK2096" s="12" t="n">
        <v>-2077</v>
      </c>
      <c r="AL2096" s="12" t="n">
        <v>-2290</v>
      </c>
      <c r="AM2096" s="13" t="n">
        <v>102.8</v>
      </c>
      <c r="AN2096" s="13" t="n">
        <v>13.7</v>
      </c>
      <c r="AO2096" s="13" t="n">
        <v>-11.6</v>
      </c>
      <c r="AP2096" s="13" t="n">
        <v>26</v>
      </c>
    </row>
    <row r="2097">
      <c r="A2097" s="5" t="inlineStr">
        <is>
          <t>아리바이오홀딩스</t>
        </is>
      </c>
      <c r="B2097" s="6" t="inlineStr">
        <is>
          <t>290690</t>
        </is>
      </c>
      <c r="C2097" s="6" t="inlineStr">
        <is>
          <t>별도</t>
        </is>
      </c>
      <c r="D2097" s="6" t="inlineStr">
        <is>
          <t>2026Q2</t>
        </is>
      </c>
      <c r="E2097" s="6" t="inlineStr"/>
      <c r="F2097" s="7" t="inlineStr"/>
      <c r="G2097" s="8" t="inlineStr"/>
      <c r="H2097" s="8" t="inlineStr"/>
      <c r="I2097" s="9" t="n">
        <v>10497</v>
      </c>
      <c r="J2097" s="10" t="n">
        <v>-1640</v>
      </c>
      <c r="K2097" s="10" t="n">
        <v>-1831</v>
      </c>
      <c r="L2097" s="7" t="n">
        <v>14172</v>
      </c>
      <c r="M2097" s="8" t="n">
        <v>-2287</v>
      </c>
      <c r="N2097" s="8" t="n">
        <v>-5493</v>
      </c>
      <c r="O2097" s="9" t="n">
        <v>16150</v>
      </c>
      <c r="P2097" s="10" t="n">
        <v>-813</v>
      </c>
      <c r="Q2097" s="10" t="n">
        <v>-2383</v>
      </c>
      <c r="R2097" s="7" t="n">
        <v>9870</v>
      </c>
      <c r="S2097" s="8" t="n">
        <v>-1879</v>
      </c>
      <c r="T2097" s="8" t="n">
        <v>-31267</v>
      </c>
      <c r="U2097" s="9" t="n">
        <v>5134</v>
      </c>
      <c r="V2097" s="10" t="n">
        <v>-1820</v>
      </c>
      <c r="W2097" s="10" t="n">
        <v>-4872</v>
      </c>
      <c r="X2097" s="7" t="n">
        <v>9767</v>
      </c>
      <c r="Y2097" s="8" t="n">
        <v>-2798</v>
      </c>
      <c r="Z2097" s="8" t="n">
        <v>-13551</v>
      </c>
      <c r="AA2097" s="9" t="n">
        <v>7903</v>
      </c>
      <c r="AB2097" s="10" t="n">
        <v>-2442</v>
      </c>
      <c r="AC2097" s="10" t="n">
        <v>-7367</v>
      </c>
      <c r="AD2097" s="7" t="n">
        <v>15464</v>
      </c>
      <c r="AE2097" s="8" t="n">
        <v>343</v>
      </c>
      <c r="AF2097" s="8" t="n">
        <v>18075</v>
      </c>
      <c r="AG2097" s="9" t="n">
        <v>7361</v>
      </c>
      <c r="AH2097" s="10" t="n">
        <v>-3060</v>
      </c>
      <c r="AI2097" s="10" t="n">
        <v>-8533</v>
      </c>
      <c r="AJ2097" s="11" t="n">
        <v>10652</v>
      </c>
      <c r="AK2097" s="12" t="n">
        <v>-2754</v>
      </c>
      <c r="AL2097" s="12" t="n">
        <v>11161</v>
      </c>
      <c r="AM2097" s="13" t="n">
        <v>44.7</v>
      </c>
      <c r="AN2097" s="13" t="n">
        <v>9.1</v>
      </c>
      <c r="AO2097" s="13" t="n">
        <v>10</v>
      </c>
      <c r="AP2097" s="13" t="n">
        <v>1.6</v>
      </c>
    </row>
    <row r="2098">
      <c r="A2098" s="5" t="inlineStr">
        <is>
          <t>푸드나무</t>
        </is>
      </c>
      <c r="B2098" s="6" t="inlineStr">
        <is>
          <t>290720</t>
        </is>
      </c>
      <c r="C2098" s="6" t="inlineStr">
        <is>
          <t>연결</t>
        </is>
      </c>
      <c r="D2098" s="6" t="inlineStr">
        <is>
          <t>2026Q2</t>
        </is>
      </c>
      <c r="E2098" s="6" t="inlineStr"/>
      <c r="F2098" s="7" t="inlineStr"/>
      <c r="G2098" s="8" t="inlineStr"/>
      <c r="H2098" s="8" t="inlineStr"/>
      <c r="I2098" s="9" t="n">
        <v>45616</v>
      </c>
      <c r="J2098" s="10" t="n">
        <v>-7395</v>
      </c>
      <c r="K2098" s="10" t="n">
        <v>-8552</v>
      </c>
      <c r="L2098" s="7" t="n">
        <v>44719</v>
      </c>
      <c r="M2098" s="8" t="n">
        <v>-5131</v>
      </c>
      <c r="N2098" s="8" t="n">
        <v>-5871</v>
      </c>
      <c r="O2098" s="9" t="n">
        <v>39011</v>
      </c>
      <c r="P2098" s="10" t="n">
        <v>-10172</v>
      </c>
      <c r="Q2098" s="10" t="n">
        <v>-10923</v>
      </c>
      <c r="R2098" s="7" t="n">
        <v>-5217</v>
      </c>
      <c r="S2098" s="8" t="n">
        <v>5272</v>
      </c>
      <c r="T2098" s="8" t="n">
        <v>-20127</v>
      </c>
      <c r="U2098" s="9" t="n">
        <v>23418</v>
      </c>
      <c r="V2098" s="10" t="n">
        <v>-2135</v>
      </c>
      <c r="W2098" s="10" t="n">
        <v>-2890</v>
      </c>
      <c r="X2098" s="7" t="n">
        <v>26292</v>
      </c>
      <c r="Y2098" s="8" t="n">
        <v>-2323</v>
      </c>
      <c r="Z2098" s="8" t="n">
        <v>-4726</v>
      </c>
      <c r="AA2098" s="9" t="n">
        <v>21806</v>
      </c>
      <c r="AB2098" s="10" t="n">
        <v>-2171</v>
      </c>
      <c r="AC2098" s="10" t="n">
        <v>-3280</v>
      </c>
      <c r="AD2098" s="7" t="n">
        <v>15290</v>
      </c>
      <c r="AE2098" s="8" t="n">
        <v>-1524</v>
      </c>
      <c r="AF2098" s="8" t="n">
        <v>12927</v>
      </c>
      <c r="AG2098" s="9" t="n">
        <v>16914</v>
      </c>
      <c r="AH2098" s="10" t="n">
        <v>-7021</v>
      </c>
      <c r="AI2098" s="10" t="n">
        <v>-7613</v>
      </c>
      <c r="AJ2098" s="11" t="n">
        <v>12912</v>
      </c>
      <c r="AK2098" s="12" t="n">
        <v>-3636</v>
      </c>
      <c r="AL2098" s="12" t="n">
        <v>-5899</v>
      </c>
      <c r="AM2098" s="13" t="n">
        <v>-23.7</v>
      </c>
      <c r="AN2098" s="13" t="n">
        <v>-50.9</v>
      </c>
      <c r="AO2098" s="13" t="n">
        <v>48.2</v>
      </c>
      <c r="AP2098" s="13" t="n">
        <v>-56.5</v>
      </c>
    </row>
    <row r="2099">
      <c r="A2099" s="5" t="inlineStr">
        <is>
          <t>액트로</t>
        </is>
      </c>
      <c r="B2099" s="6" t="inlineStr">
        <is>
          <t>290740</t>
        </is>
      </c>
      <c r="C2099" s="6" t="inlineStr">
        <is>
          <t>연결</t>
        </is>
      </c>
      <c r="D2099" s="6" t="inlineStr">
        <is>
          <t>2026Q2</t>
        </is>
      </c>
      <c r="E2099" s="6" t="inlineStr"/>
      <c r="F2099" s="7" t="inlineStr"/>
      <c r="G2099" s="8" t="inlineStr"/>
      <c r="H2099" s="8" t="inlineStr"/>
      <c r="I2099" s="9" t="n">
        <v>55162</v>
      </c>
      <c r="J2099" s="10" t="n">
        <v>591</v>
      </c>
      <c r="K2099" s="10" t="n">
        <v>2306</v>
      </c>
      <c r="L2099" s="7" t="n">
        <v>40908</v>
      </c>
      <c r="M2099" s="8" t="n">
        <v>25</v>
      </c>
      <c r="N2099" s="8" t="n">
        <v>1016</v>
      </c>
      <c r="O2099" s="9" t="n">
        <v>46036</v>
      </c>
      <c r="P2099" s="10" t="n">
        <v>-260</v>
      </c>
      <c r="Q2099" s="10" t="n">
        <v>-98</v>
      </c>
      <c r="R2099" s="7" t="n">
        <v>60978</v>
      </c>
      <c r="S2099" s="8" t="n">
        <v>2061</v>
      </c>
      <c r="T2099" s="8" t="n">
        <v>-1739</v>
      </c>
      <c r="U2099" s="9" t="n">
        <v>53043</v>
      </c>
      <c r="V2099" s="10" t="n">
        <v>-930</v>
      </c>
      <c r="W2099" s="10" t="n">
        <v>-501</v>
      </c>
      <c r="X2099" s="7" t="n">
        <v>58295</v>
      </c>
      <c r="Y2099" s="8" t="n">
        <v>2770</v>
      </c>
      <c r="Z2099" s="8" t="n">
        <v>148</v>
      </c>
      <c r="AA2099" s="9" t="n">
        <v>71272</v>
      </c>
      <c r="AB2099" s="10" t="n">
        <v>2647</v>
      </c>
      <c r="AC2099" s="10" t="n">
        <v>4326</v>
      </c>
      <c r="AD2099" s="7" t="n">
        <v>62329</v>
      </c>
      <c r="AE2099" s="8" t="n">
        <v>2092</v>
      </c>
      <c r="AF2099" s="8" t="n">
        <v>3344</v>
      </c>
      <c r="AG2099" s="9" t="n">
        <v>48675</v>
      </c>
      <c r="AH2099" s="10" t="n">
        <v>-487</v>
      </c>
      <c r="AI2099" s="10" t="n">
        <v>2510</v>
      </c>
      <c r="AJ2099" s="11" t="n">
        <v>52553</v>
      </c>
      <c r="AK2099" s="12" t="n">
        <v>-404</v>
      </c>
      <c r="AL2099" s="12" t="n">
        <v>1667</v>
      </c>
      <c r="AM2099" s="13" t="n">
        <v>8</v>
      </c>
      <c r="AN2099" s="13" t="n">
        <v>-9.800000000000001</v>
      </c>
      <c r="AO2099" s="13" t="n">
        <v>17</v>
      </c>
      <c r="AP2099" s="13" t="n">
        <v>-114.6</v>
      </c>
    </row>
    <row r="2100">
      <c r="A2100" s="5" t="inlineStr">
        <is>
          <t>컴투스엔</t>
        </is>
      </c>
      <c r="B2100" s="6" t="inlineStr">
        <is>
          <t>291230</t>
        </is>
      </c>
      <c r="C2100" s="6" t="inlineStr">
        <is>
          <t>연결</t>
        </is>
      </c>
      <c r="D2100" s="6" t="inlineStr">
        <is>
          <t>2026Q2</t>
        </is>
      </c>
      <c r="E2100" s="6" t="inlineStr"/>
      <c r="F2100" s="7" t="inlineStr"/>
      <c r="G2100" s="8" t="inlineStr"/>
      <c r="H2100" s="8" t="inlineStr"/>
      <c r="I2100" s="9" t="inlineStr"/>
      <c r="J2100" s="10" t="n">
        <v>-1505</v>
      </c>
      <c r="K2100" s="10" t="n">
        <v>-1655</v>
      </c>
      <c r="L2100" s="7" t="inlineStr"/>
      <c r="M2100" s="8" t="n">
        <v>-1318</v>
      </c>
      <c r="N2100" s="8" t="n">
        <v>2745</v>
      </c>
      <c r="O2100" s="9" t="inlineStr"/>
      <c r="P2100" s="10" t="n">
        <v>-1027</v>
      </c>
      <c r="Q2100" s="10" t="n">
        <v>-1103</v>
      </c>
      <c r="R2100" s="7" t="inlineStr"/>
      <c r="S2100" s="8" t="n">
        <v>-296</v>
      </c>
      <c r="T2100" s="8" t="n">
        <v>-834</v>
      </c>
      <c r="U2100" s="9" t="inlineStr"/>
      <c r="V2100" s="10" t="n">
        <v>-1649</v>
      </c>
      <c r="W2100" s="10" t="n">
        <v>-1705</v>
      </c>
      <c r="X2100" s="7" t="inlineStr"/>
      <c r="Y2100" s="8" t="n">
        <v>-407</v>
      </c>
      <c r="Z2100" s="8" t="n">
        <v>-501</v>
      </c>
      <c r="AA2100" s="9" t="inlineStr"/>
      <c r="AB2100" s="10" t="n">
        <v>-1759</v>
      </c>
      <c r="AC2100" s="10" t="n">
        <v>-1839</v>
      </c>
      <c r="AD2100" s="7" t="inlineStr"/>
      <c r="AE2100" s="8" t="n">
        <v>767</v>
      </c>
      <c r="AF2100" s="8" t="n">
        <v>209</v>
      </c>
      <c r="AG2100" s="9" t="inlineStr"/>
      <c r="AH2100" s="10" t="n">
        <v>-1968</v>
      </c>
      <c r="AI2100" s="10" t="n">
        <v>-2056</v>
      </c>
      <c r="AJ2100" s="11" t="inlineStr"/>
      <c r="AK2100" s="12" t="n">
        <v>-1899</v>
      </c>
      <c r="AL2100" s="12" t="n">
        <v>-2295</v>
      </c>
      <c r="AM2100" s="13" t="inlineStr"/>
      <c r="AN2100" s="13" t="inlineStr"/>
      <c r="AO2100" s="13" t="n">
        <v>3.5</v>
      </c>
      <c r="AP2100" s="13" t="n">
        <v>-366.6</v>
      </c>
    </row>
    <row r="2101">
      <c r="A2101" s="5" t="inlineStr">
        <is>
          <t>압타머사이언스</t>
        </is>
      </c>
      <c r="B2101" s="6" t="inlineStr">
        <is>
          <t>291650</t>
        </is>
      </c>
      <c r="C2101" s="6" t="inlineStr">
        <is>
          <t>연결</t>
        </is>
      </c>
      <c r="D2101" s="6" t="inlineStr">
        <is>
          <t>2026Q2</t>
        </is>
      </c>
      <c r="E2101" s="6" t="inlineStr"/>
      <c r="F2101" s="7" t="inlineStr"/>
      <c r="G2101" s="8" t="inlineStr"/>
      <c r="H2101" s="8" t="inlineStr"/>
      <c r="I2101" s="9" t="n">
        <v>51</v>
      </c>
      <c r="J2101" s="10" t="n">
        <v>-2213</v>
      </c>
      <c r="K2101" s="10" t="n">
        <v>-2404</v>
      </c>
      <c r="L2101" s="7" t="n">
        <v>20</v>
      </c>
      <c r="M2101" s="8" t="n">
        <v>-1416</v>
      </c>
      <c r="N2101" s="8" t="n">
        <v>-3185</v>
      </c>
      <c r="O2101" s="9" t="n">
        <v>92</v>
      </c>
      <c r="P2101" s="10" t="n">
        <v>-1483</v>
      </c>
      <c r="Q2101" s="10" t="n">
        <v>-1511</v>
      </c>
      <c r="R2101" s="7" t="n">
        <v>920</v>
      </c>
      <c r="S2101" s="8" t="n">
        <v>-1940</v>
      </c>
      <c r="T2101" s="8" t="n">
        <v>-1602</v>
      </c>
      <c r="U2101" s="9" t="n">
        <v>594</v>
      </c>
      <c r="V2101" s="10" t="n">
        <v>-2230</v>
      </c>
      <c r="W2101" s="10" t="n">
        <v>-2182</v>
      </c>
      <c r="X2101" s="7" t="n">
        <v>611</v>
      </c>
      <c r="Y2101" s="8" t="n">
        <v>-1550</v>
      </c>
      <c r="Z2101" s="8" t="n">
        <v>-1405</v>
      </c>
      <c r="AA2101" s="9" t="n">
        <v>544</v>
      </c>
      <c r="AB2101" s="10" t="n">
        <v>-2078</v>
      </c>
      <c r="AC2101" s="10" t="n">
        <v>-2023</v>
      </c>
      <c r="AD2101" s="7" t="n">
        <v>1756</v>
      </c>
      <c r="AE2101" s="8" t="n">
        <v>-1943</v>
      </c>
      <c r="AF2101" s="8" t="n">
        <v>-3012</v>
      </c>
      <c r="AG2101" s="9" t="n">
        <v>707</v>
      </c>
      <c r="AH2101" s="10" t="n">
        <v>-1488</v>
      </c>
      <c r="AI2101" s="10" t="n">
        <v>-2362</v>
      </c>
      <c r="AJ2101" s="11" t="n">
        <v>2392</v>
      </c>
      <c r="AK2101" s="12" t="n">
        <v>-3083</v>
      </c>
      <c r="AL2101" s="12" t="n">
        <v>-4255</v>
      </c>
      <c r="AM2101" s="13" t="n">
        <v>238.3</v>
      </c>
      <c r="AN2101" s="13" t="n">
        <v>291.5</v>
      </c>
      <c r="AO2101" s="13" t="n">
        <v>-107.2</v>
      </c>
      <c r="AP2101" s="13" t="n">
        <v>-98.90000000000001</v>
      </c>
    </row>
    <row r="2102">
      <c r="A2102" s="5" t="inlineStr">
        <is>
          <t>핀텔</t>
        </is>
      </c>
      <c r="B2102" s="6" t="inlineStr">
        <is>
          <t>291810</t>
        </is>
      </c>
      <c r="C2102" s="6" t="inlineStr">
        <is>
          <t>별도</t>
        </is>
      </c>
      <c r="D2102" s="6" t="inlineStr">
        <is>
          <t>2026Q2</t>
        </is>
      </c>
      <c r="E2102" s="6" t="inlineStr"/>
      <c r="F2102" s="7" t="inlineStr"/>
      <c r="G2102" s="8" t="inlineStr"/>
      <c r="H2102" s="8" t="inlineStr"/>
      <c r="I2102" s="9" t="n">
        <v>3816</v>
      </c>
      <c r="J2102" s="10" t="n">
        <v>-705</v>
      </c>
      <c r="K2102" s="10" t="n">
        <v>-193</v>
      </c>
      <c r="L2102" s="7" t="n">
        <v>1903</v>
      </c>
      <c r="M2102" s="8" t="n">
        <v>-135</v>
      </c>
      <c r="N2102" s="8" t="n">
        <v>286</v>
      </c>
      <c r="O2102" s="9" t="n">
        <v>1392</v>
      </c>
      <c r="P2102" s="10" t="n">
        <v>-391</v>
      </c>
      <c r="Q2102" s="10" t="n">
        <v>-55</v>
      </c>
      <c r="R2102" s="7" t="n">
        <v>3532</v>
      </c>
      <c r="S2102" s="8" t="n">
        <v>-297</v>
      </c>
      <c r="T2102" s="8" t="n">
        <v>29</v>
      </c>
      <c r="U2102" s="9" t="n">
        <v>1161</v>
      </c>
      <c r="V2102" s="10" t="n">
        <v>-1111</v>
      </c>
      <c r="W2102" s="10" t="n">
        <v>-819</v>
      </c>
      <c r="X2102" s="7" t="n">
        <v>172</v>
      </c>
      <c r="Y2102" s="8" t="n">
        <v>-1547</v>
      </c>
      <c r="Z2102" s="8" t="n">
        <v>-1373</v>
      </c>
      <c r="AA2102" s="9" t="n">
        <v>1683</v>
      </c>
      <c r="AB2102" s="10" t="n">
        <v>-431</v>
      </c>
      <c r="AC2102" s="10" t="n">
        <v>-334</v>
      </c>
      <c r="AD2102" s="7" t="n">
        <v>2756</v>
      </c>
      <c r="AE2102" s="8" t="n">
        <v>-144</v>
      </c>
      <c r="AF2102" s="8" t="n">
        <v>-1237</v>
      </c>
      <c r="AG2102" s="9" t="n">
        <v>2826</v>
      </c>
      <c r="AH2102" s="10" t="n">
        <v>-670</v>
      </c>
      <c r="AI2102" s="10" t="n">
        <v>-626</v>
      </c>
      <c r="AJ2102" s="11" t="n">
        <v>1559</v>
      </c>
      <c r="AK2102" s="12" t="n">
        <v>-477</v>
      </c>
      <c r="AL2102" s="12" t="n">
        <v>-739</v>
      </c>
      <c r="AM2102" s="13" t="n">
        <v>-44.8</v>
      </c>
      <c r="AN2102" s="13" t="n">
        <v>806.4</v>
      </c>
      <c r="AO2102" s="13" t="n">
        <v>28.8</v>
      </c>
      <c r="AP2102" s="13" t="n">
        <v>69.2</v>
      </c>
    </row>
    <row r="2103">
      <c r="A2103" s="5" t="inlineStr">
        <is>
          <t>하나제약</t>
        </is>
      </c>
      <c r="B2103" s="6" t="inlineStr">
        <is>
          <t>293480</t>
        </is>
      </c>
      <c r="C2103" s="6" t="inlineStr">
        <is>
          <t>별도</t>
        </is>
      </c>
      <c r="D2103" s="6" t="inlineStr">
        <is>
          <t>2026Q2</t>
        </is>
      </c>
      <c r="E2103" s="6" t="inlineStr"/>
      <c r="F2103" s="7" t="inlineStr"/>
      <c r="G2103" s="8" t="inlineStr"/>
      <c r="H2103" s="8" t="inlineStr"/>
      <c r="I2103" s="9" t="n">
        <v>57066</v>
      </c>
      <c r="J2103" s="10" t="n">
        <v>7752</v>
      </c>
      <c r="K2103" s="10" t="n">
        <v>6075</v>
      </c>
      <c r="L2103" s="7" t="n">
        <v>53498</v>
      </c>
      <c r="M2103" s="8" t="n">
        <v>4569</v>
      </c>
      <c r="N2103" s="8" t="n">
        <v>5031</v>
      </c>
      <c r="O2103" s="9" t="n">
        <v>57250</v>
      </c>
      <c r="P2103" s="10" t="n">
        <v>3883</v>
      </c>
      <c r="Q2103" s="10" t="n">
        <v>2953</v>
      </c>
      <c r="R2103" s="7" t="n">
        <v>57526</v>
      </c>
      <c r="S2103" s="8" t="n">
        <v>8950</v>
      </c>
      <c r="T2103" s="8" t="n">
        <v>7191</v>
      </c>
      <c r="U2103" s="9" t="n">
        <v>57481</v>
      </c>
      <c r="V2103" s="10" t="n">
        <v>5629</v>
      </c>
      <c r="W2103" s="10" t="n">
        <v>4241</v>
      </c>
      <c r="X2103" s="7" t="n">
        <v>57879</v>
      </c>
      <c r="Y2103" s="8" t="n">
        <v>6022</v>
      </c>
      <c r="Z2103" s="8" t="n">
        <v>5528</v>
      </c>
      <c r="AA2103" s="9" t="n">
        <v>63774</v>
      </c>
      <c r="AB2103" s="10" t="n">
        <v>8335</v>
      </c>
      <c r="AC2103" s="10" t="n">
        <v>-4259</v>
      </c>
      <c r="AD2103" s="7" t="n">
        <v>60370</v>
      </c>
      <c r="AE2103" s="8" t="n">
        <v>5830</v>
      </c>
      <c r="AF2103" s="8" t="n">
        <v>3268</v>
      </c>
      <c r="AG2103" s="9" t="n">
        <v>62264</v>
      </c>
      <c r="AH2103" s="10" t="n">
        <v>7105</v>
      </c>
      <c r="AI2103" s="10" t="n">
        <v>10005</v>
      </c>
      <c r="AJ2103" s="11" t="n">
        <v>60904</v>
      </c>
      <c r="AK2103" s="12" t="n">
        <v>7286</v>
      </c>
      <c r="AL2103" s="12" t="n">
        <v>8450</v>
      </c>
      <c r="AM2103" s="13" t="n">
        <v>-2.2</v>
      </c>
      <c r="AN2103" s="13" t="n">
        <v>5.2</v>
      </c>
      <c r="AO2103" s="13" t="n">
        <v>2.5</v>
      </c>
      <c r="AP2103" s="13" t="n">
        <v>21</v>
      </c>
    </row>
    <row r="2104">
      <c r="A2104" s="5" t="inlineStr">
        <is>
          <t>카카오게임즈</t>
        </is>
      </c>
      <c r="B2104" s="6" t="inlineStr">
        <is>
          <t>293490</t>
        </is>
      </c>
      <c r="C2104" s="6" t="inlineStr">
        <is>
          <t>연결</t>
        </is>
      </c>
      <c r="D2104" s="6" t="inlineStr">
        <is>
          <t>2026Q2</t>
        </is>
      </c>
      <c r="E2104" s="6" t="inlineStr">
        <is>
          <t>2023Q4</t>
        </is>
      </c>
      <c r="F2104" s="14" t="n">
        <v>239155</v>
      </c>
      <c r="G2104" s="15" t="n">
        <v>14076</v>
      </c>
      <c r="H2104" s="15" t="n">
        <v>-346165</v>
      </c>
      <c r="I2104" s="9" t="n">
        <v>246278</v>
      </c>
      <c r="J2104" s="10" t="n">
        <v>12264</v>
      </c>
      <c r="K2104" s="10" t="n">
        <v>377</v>
      </c>
      <c r="L2104" s="7" t="n">
        <v>235613</v>
      </c>
      <c r="M2104" s="8" t="n">
        <v>2800</v>
      </c>
      <c r="N2104" s="8" t="n">
        <v>-11679</v>
      </c>
      <c r="O2104" s="9" t="n">
        <v>193899</v>
      </c>
      <c r="P2104" s="10" t="n">
        <v>5715</v>
      </c>
      <c r="Q2104" s="10" t="n">
        <v>24062</v>
      </c>
      <c r="R2104" s="7" t="n">
        <v>-48563</v>
      </c>
      <c r="S2104" s="8" t="n">
        <v>-1630</v>
      </c>
      <c r="T2104" s="8" t="n">
        <v>-140849</v>
      </c>
      <c r="U2104" s="9" t="n">
        <v>122854</v>
      </c>
      <c r="V2104" s="10" t="n">
        <v>-12440</v>
      </c>
      <c r="W2104" s="10" t="n">
        <v>-33428</v>
      </c>
      <c r="X2104" s="7" t="n">
        <v>115808</v>
      </c>
      <c r="Y2104" s="8" t="n">
        <v>-8615</v>
      </c>
      <c r="Z2104" s="8" t="n">
        <v>-33587</v>
      </c>
      <c r="AA2104" s="9" t="n">
        <v>127468</v>
      </c>
      <c r="AB2104" s="10" t="n">
        <v>-5447</v>
      </c>
      <c r="AC2104" s="10" t="n">
        <v>34615</v>
      </c>
      <c r="AD2104" s="7" t="n">
        <v>98889</v>
      </c>
      <c r="AE2104" s="8" t="n">
        <v>-13089</v>
      </c>
      <c r="AF2104" s="8" t="n">
        <v>-110685</v>
      </c>
      <c r="AG2104" s="9" t="n">
        <v>82926</v>
      </c>
      <c r="AH2104" s="10" t="n">
        <v>-25460</v>
      </c>
      <c r="AI2104" s="10" t="n">
        <v>-39504</v>
      </c>
      <c r="AJ2104" s="11" t="n">
        <v>75021</v>
      </c>
      <c r="AK2104" s="12" t="n">
        <v>-23026</v>
      </c>
      <c r="AL2104" s="12" t="n">
        <v>-56956</v>
      </c>
      <c r="AM2104" s="13" t="n">
        <v>-9.5</v>
      </c>
      <c r="AN2104" s="13" t="n">
        <v>-35.2</v>
      </c>
      <c r="AO2104" s="13" t="n">
        <v>9.6</v>
      </c>
      <c r="AP2104" s="13" t="n">
        <v>-167.3</v>
      </c>
    </row>
    <row r="2105">
      <c r="A2105" s="5" t="inlineStr">
        <is>
          <t>나우IB</t>
        </is>
      </c>
      <c r="B2105" s="6" t="inlineStr">
        <is>
          <t>293580</t>
        </is>
      </c>
      <c r="C2105" s="6" t="inlineStr">
        <is>
          <t>연결</t>
        </is>
      </c>
      <c r="D2105" s="6" t="inlineStr">
        <is>
          <t>2026Q2</t>
        </is>
      </c>
      <c r="E2105" s="6" t="inlineStr"/>
      <c r="F2105" s="7" t="inlineStr"/>
      <c r="G2105" s="8" t="inlineStr"/>
      <c r="H2105" s="8" t="inlineStr"/>
      <c r="I2105" s="9" t="n">
        <v>3972</v>
      </c>
      <c r="J2105" s="10" t="n">
        <v>-863</v>
      </c>
      <c r="K2105" s="10" t="n">
        <v>-656</v>
      </c>
      <c r="L2105" s="7" t="n">
        <v>34030</v>
      </c>
      <c r="M2105" s="8" t="n">
        <v>27053</v>
      </c>
      <c r="N2105" s="8" t="n">
        <v>20853</v>
      </c>
      <c r="O2105" s="9" t="n">
        <v>-6882</v>
      </c>
      <c r="P2105" s="10" t="n">
        <v>-8778</v>
      </c>
      <c r="Q2105" s="10" t="n">
        <v>-6913</v>
      </c>
      <c r="R2105" s="7" t="n">
        <v>297</v>
      </c>
      <c r="S2105" s="8" t="n">
        <v>-8401</v>
      </c>
      <c r="T2105" s="8" t="n">
        <v>-5353</v>
      </c>
      <c r="U2105" s="9" t="n">
        <v>14089</v>
      </c>
      <c r="V2105" s="10" t="n">
        <v>8824</v>
      </c>
      <c r="W2105" s="10" t="n">
        <v>7078</v>
      </c>
      <c r="X2105" s="7" t="n">
        <v>-1743</v>
      </c>
      <c r="Y2105" s="8" t="n">
        <v>-2680</v>
      </c>
      <c r="Z2105" s="8" t="n">
        <v>-2108</v>
      </c>
      <c r="AA2105" s="9" t="n">
        <v>10139</v>
      </c>
      <c r="AB2105" s="10" t="n">
        <v>6620</v>
      </c>
      <c r="AC2105" s="10" t="n">
        <v>5241</v>
      </c>
      <c r="AD2105" s="7" t="n">
        <v>6671</v>
      </c>
      <c r="AE2105" s="8" t="n">
        <v>-5463</v>
      </c>
      <c r="AF2105" s="8" t="n">
        <v>-4428</v>
      </c>
      <c r="AG2105" s="9" t="n">
        <v>6738</v>
      </c>
      <c r="AH2105" s="10" t="n">
        <v>312</v>
      </c>
      <c r="AI2105" s="10" t="n">
        <v>324</v>
      </c>
      <c r="AJ2105" s="11" t="n">
        <v>8829</v>
      </c>
      <c r="AK2105" s="12" t="n">
        <v>5057</v>
      </c>
      <c r="AL2105" s="12" t="n">
        <v>3928</v>
      </c>
      <c r="AM2105" s="13" t="n">
        <v>31</v>
      </c>
      <c r="AN2105" s="13" t="n">
        <v>606.5</v>
      </c>
      <c r="AO2105" s="13" t="n">
        <v>1520.8</v>
      </c>
      <c r="AP2105" s="13" t="n">
        <v>288.7</v>
      </c>
    </row>
    <row r="2106">
      <c r="A2106" s="5" t="inlineStr">
        <is>
          <t>압타바이오</t>
        </is>
      </c>
      <c r="B2106" s="6" t="inlineStr">
        <is>
          <t>293780</t>
        </is>
      </c>
      <c r="C2106" s="6" t="inlineStr">
        <is>
          <t>연결</t>
        </is>
      </c>
      <c r="D2106" s="6" t="inlineStr">
        <is>
          <t>2026Q2</t>
        </is>
      </c>
      <c r="E2106" s="6" t="inlineStr"/>
      <c r="F2106" s="7" t="inlineStr"/>
      <c r="G2106" s="8" t="inlineStr"/>
      <c r="H2106" s="8" t="inlineStr"/>
      <c r="I2106" s="9" t="n">
        <v>637</v>
      </c>
      <c r="J2106" s="10" t="n">
        <v>-3111</v>
      </c>
      <c r="K2106" s="10" t="n">
        <v>-3967</v>
      </c>
      <c r="L2106" s="7" t="n">
        <v>1120</v>
      </c>
      <c r="M2106" s="8" t="n">
        <v>-3235</v>
      </c>
      <c r="N2106" s="8" t="n">
        <v>-7033</v>
      </c>
      <c r="O2106" s="9" t="n">
        <v>859</v>
      </c>
      <c r="P2106" s="10" t="n">
        <v>-5904</v>
      </c>
      <c r="Q2106" s="10" t="n">
        <v>-8026</v>
      </c>
      <c r="R2106" s="7" t="n">
        <v>745</v>
      </c>
      <c r="S2106" s="8" t="n">
        <v>-6604</v>
      </c>
      <c r="T2106" s="8" t="n">
        <v>-10352</v>
      </c>
      <c r="U2106" s="9" t="n">
        <v>383</v>
      </c>
      <c r="V2106" s="10" t="n">
        <v>-2631</v>
      </c>
      <c r="W2106" s="10" t="n">
        <v>-2579</v>
      </c>
      <c r="X2106" s="7" t="n">
        <v>1122</v>
      </c>
      <c r="Y2106" s="8" t="n">
        <v>-4136</v>
      </c>
      <c r="Z2106" s="8" t="n">
        <v>-4227</v>
      </c>
      <c r="AA2106" s="9" t="n">
        <v>1192</v>
      </c>
      <c r="AB2106" s="10" t="n">
        <v>-3376</v>
      </c>
      <c r="AC2106" s="10" t="n">
        <v>-3068</v>
      </c>
      <c r="AD2106" s="7" t="n">
        <v>1001</v>
      </c>
      <c r="AE2106" s="8" t="n">
        <v>-5700</v>
      </c>
      <c r="AF2106" s="8" t="n">
        <v>-6472</v>
      </c>
      <c r="AG2106" s="9" t="n">
        <v>957</v>
      </c>
      <c r="AH2106" s="10" t="n">
        <v>-6095</v>
      </c>
      <c r="AI2106" s="10" t="n">
        <v>-6445</v>
      </c>
      <c r="AJ2106" s="11" t="n">
        <v>1603</v>
      </c>
      <c r="AK2106" s="12" t="n">
        <v>-3575</v>
      </c>
      <c r="AL2106" s="12" t="n">
        <v>1116</v>
      </c>
      <c r="AM2106" s="13" t="n">
        <v>67.5</v>
      </c>
      <c r="AN2106" s="13" t="n">
        <v>42.9</v>
      </c>
      <c r="AO2106" s="13" t="n">
        <v>41.3</v>
      </c>
      <c r="AP2106" s="13" t="n">
        <v>13.6</v>
      </c>
    </row>
    <row r="2107">
      <c r="A2107" s="5" t="inlineStr">
        <is>
          <t>신한알파리츠</t>
        </is>
      </c>
      <c r="B2107" s="6" t="inlineStr">
        <is>
          <t>293940</t>
        </is>
      </c>
      <c r="C2107" s="6" t="inlineStr">
        <is>
          <t>연결</t>
        </is>
      </c>
      <c r="D2107" s="6" t="inlineStr">
        <is>
          <t>2026Q2</t>
        </is>
      </c>
      <c r="E2107" s="6" t="inlineStr"/>
      <c r="F2107" s="7" t="inlineStr"/>
      <c r="G2107" s="8" t="inlineStr"/>
      <c r="H2107" s="8" t="inlineStr"/>
      <c r="I2107" s="9" t="inlineStr"/>
      <c r="J2107" s="10" t="inlineStr"/>
      <c r="K2107" s="10" t="inlineStr"/>
      <c r="L2107" s="7" t="n">
        <v>30559</v>
      </c>
      <c r="M2107" s="8" t="n">
        <v>20230</v>
      </c>
      <c r="N2107" s="8" t="n">
        <v>5078</v>
      </c>
      <c r="O2107" s="9" t="inlineStr"/>
      <c r="P2107" s="10" t="inlineStr"/>
      <c r="Q2107" s="10" t="inlineStr"/>
      <c r="R2107" s="7" t="inlineStr"/>
      <c r="S2107" s="8" t="inlineStr"/>
      <c r="T2107" s="8" t="inlineStr"/>
      <c r="U2107" s="9" t="inlineStr"/>
      <c r="V2107" s="10" t="inlineStr"/>
      <c r="W2107" s="10" t="inlineStr"/>
      <c r="X2107" s="7" t="n">
        <v>41279</v>
      </c>
      <c r="Y2107" s="8" t="n">
        <v>27333</v>
      </c>
      <c r="Z2107" s="8" t="n">
        <v>6566</v>
      </c>
      <c r="AA2107" s="9" t="inlineStr"/>
      <c r="AB2107" s="10" t="inlineStr"/>
      <c r="AC2107" s="10" t="inlineStr"/>
      <c r="AD2107" s="7" t="inlineStr"/>
      <c r="AE2107" s="8" t="inlineStr"/>
      <c r="AF2107" s="8" t="inlineStr"/>
      <c r="AG2107" s="9" t="inlineStr"/>
      <c r="AH2107" s="10" t="inlineStr"/>
      <c r="AI2107" s="10" t="inlineStr"/>
      <c r="AJ2107" s="11" t="n">
        <v>44890</v>
      </c>
      <c r="AK2107" s="12" t="n">
        <v>25268</v>
      </c>
      <c r="AL2107" s="12" t="n">
        <v>2739</v>
      </c>
      <c r="AM2107" s="13" t="inlineStr"/>
      <c r="AN2107" s="13" t="n">
        <v>8.699999999999999</v>
      </c>
      <c r="AO2107" s="13" t="inlineStr"/>
      <c r="AP2107" s="13" t="n">
        <v>-7.6</v>
      </c>
    </row>
    <row r="2108">
      <c r="A2108" s="5" t="inlineStr">
        <is>
          <t>이오플로우</t>
        </is>
      </c>
      <c r="B2108" s="6" t="inlineStr">
        <is>
          <t>294090</t>
        </is>
      </c>
      <c r="C2108" s="6" t="inlineStr">
        <is>
          <t>연결</t>
        </is>
      </c>
      <c r="D2108" s="6" t="inlineStr">
        <is>
          <t>2026Q2</t>
        </is>
      </c>
      <c r="E2108" s="6" t="inlineStr"/>
      <c r="F2108" s="7" t="inlineStr"/>
      <c r="G2108" s="8" t="inlineStr"/>
      <c r="H2108" s="8" t="inlineStr"/>
      <c r="I2108" s="9" t="n">
        <v>1209</v>
      </c>
      <c r="J2108" s="10" t="n">
        <v>-8184</v>
      </c>
      <c r="K2108" s="10" t="n">
        <v>-8770</v>
      </c>
      <c r="L2108" s="7" t="n">
        <v>1917</v>
      </c>
      <c r="M2108" s="8" t="n">
        <v>-19131</v>
      </c>
      <c r="N2108" s="8" t="n">
        <v>-13273</v>
      </c>
      <c r="O2108" s="9" t="n">
        <v>1427</v>
      </c>
      <c r="P2108" s="10" t="n">
        <v>-13569</v>
      </c>
      <c r="Q2108" s="10" t="n">
        <v>-15182</v>
      </c>
      <c r="R2108" s="7" t="n">
        <v>478</v>
      </c>
      <c r="S2108" s="8" t="n">
        <v>-20126</v>
      </c>
      <c r="T2108" s="8" t="n">
        <v>-27501</v>
      </c>
      <c r="U2108" s="9" t="inlineStr"/>
      <c r="V2108" s="10" t="inlineStr"/>
      <c r="W2108" s="10" t="inlineStr"/>
      <c r="X2108" s="7" t="n">
        <v>927</v>
      </c>
      <c r="Y2108" s="8" t="n">
        <v>-12007</v>
      </c>
      <c r="Z2108" s="8" t="n">
        <v>-20710</v>
      </c>
      <c r="AA2108" s="9" t="n">
        <v>1602</v>
      </c>
      <c r="AB2108" s="10" t="n">
        <v>-3534</v>
      </c>
      <c r="AC2108" s="10" t="n">
        <v>-5758</v>
      </c>
      <c r="AD2108" s="7" t="inlineStr"/>
      <c r="AE2108" s="8" t="inlineStr"/>
      <c r="AF2108" s="8" t="inlineStr"/>
      <c r="AG2108" s="9" t="n">
        <v>98</v>
      </c>
      <c r="AH2108" s="10" t="n">
        <v>-3384</v>
      </c>
      <c r="AI2108" s="10" t="n">
        <v>-9104</v>
      </c>
      <c r="AJ2108" s="11" t="n">
        <v>124</v>
      </c>
      <c r="AK2108" s="12" t="n">
        <v>-2377</v>
      </c>
      <c r="AL2108" s="12" t="n">
        <v>-5516</v>
      </c>
      <c r="AM2108" s="13" t="n">
        <v>26.5</v>
      </c>
      <c r="AN2108" s="13" t="n">
        <v>-86.59999999999999</v>
      </c>
      <c r="AO2108" s="13" t="n">
        <v>29.8</v>
      </c>
      <c r="AP2108" s="13" t="n">
        <v>80.2</v>
      </c>
    </row>
    <row r="2109">
      <c r="A2109" s="5" t="inlineStr">
        <is>
          <t>레몬</t>
        </is>
      </c>
      <c r="B2109" s="6" t="inlineStr">
        <is>
          <t>294140</t>
        </is>
      </c>
      <c r="C2109" s="6" t="inlineStr">
        <is>
          <t>연결</t>
        </is>
      </c>
      <c r="D2109" s="6" t="inlineStr">
        <is>
          <t>2026Q2</t>
        </is>
      </c>
      <c r="E2109" s="6" t="inlineStr"/>
      <c r="F2109" s="7" t="inlineStr"/>
      <c r="G2109" s="8" t="inlineStr"/>
      <c r="H2109" s="8" t="inlineStr"/>
      <c r="I2109" s="9" t="n">
        <v>2939</v>
      </c>
      <c r="J2109" s="10" t="n">
        <v>-1242</v>
      </c>
      <c r="K2109" s="10" t="n">
        <v>250</v>
      </c>
      <c r="L2109" s="7" t="n">
        <v>1358</v>
      </c>
      <c r="M2109" s="8" t="n">
        <v>-2041</v>
      </c>
      <c r="N2109" s="8" t="n">
        <v>-2003</v>
      </c>
      <c r="O2109" s="9" t="n">
        <v>2039</v>
      </c>
      <c r="P2109" s="10" t="n">
        <v>-1534</v>
      </c>
      <c r="Q2109" s="10" t="n">
        <v>-1517</v>
      </c>
      <c r="R2109" s="7" t="n">
        <v>952</v>
      </c>
      <c r="S2109" s="8" t="n">
        <v>-1466</v>
      </c>
      <c r="T2109" s="8" t="n">
        <v>-1414</v>
      </c>
      <c r="U2109" s="9" t="n">
        <v>947</v>
      </c>
      <c r="V2109" s="10" t="n">
        <v>-1537</v>
      </c>
      <c r="W2109" s="10" t="n">
        <v>-1480</v>
      </c>
      <c r="X2109" s="7" t="n">
        <v>810</v>
      </c>
      <c r="Y2109" s="8" t="n">
        <v>-1314</v>
      </c>
      <c r="Z2109" s="8" t="n">
        <v>-1521</v>
      </c>
      <c r="AA2109" s="9" t="n">
        <v>1837</v>
      </c>
      <c r="AB2109" s="10" t="n">
        <v>-2222</v>
      </c>
      <c r="AC2109" s="10" t="n">
        <v>-2215</v>
      </c>
      <c r="AD2109" s="7" t="n">
        <v>3863</v>
      </c>
      <c r="AE2109" s="8" t="n">
        <v>-2072</v>
      </c>
      <c r="AF2109" s="8" t="n">
        <v>-6883</v>
      </c>
      <c r="AG2109" s="9" t="n">
        <v>3315</v>
      </c>
      <c r="AH2109" s="10" t="n">
        <v>-2085</v>
      </c>
      <c r="AI2109" s="10" t="n">
        <v>-2056</v>
      </c>
      <c r="AJ2109" s="11" t="n">
        <v>6006</v>
      </c>
      <c r="AK2109" s="12" t="n">
        <v>-854</v>
      </c>
      <c r="AL2109" s="12" t="n">
        <v>-204</v>
      </c>
      <c r="AM2109" s="13" t="n">
        <v>81.2</v>
      </c>
      <c r="AN2109" s="13" t="n">
        <v>641.5</v>
      </c>
      <c r="AO2109" s="13" t="n">
        <v>59</v>
      </c>
      <c r="AP2109" s="13" t="n">
        <v>35</v>
      </c>
    </row>
    <row r="2110">
      <c r="A2110" s="5" t="inlineStr">
        <is>
          <t>쿠콘</t>
        </is>
      </c>
      <c r="B2110" s="6" t="inlineStr">
        <is>
          <t>294570</t>
        </is>
      </c>
      <c r="C2110" s="6" t="inlineStr">
        <is>
          <t>별도</t>
        </is>
      </c>
      <c r="D2110" s="6" t="inlineStr">
        <is>
          <t>2026Q2</t>
        </is>
      </c>
      <c r="E2110" s="6" t="inlineStr"/>
      <c r="F2110" s="7" t="inlineStr"/>
      <c r="G2110" s="8" t="inlineStr"/>
      <c r="H2110" s="8" t="inlineStr"/>
      <c r="I2110" s="9" t="n">
        <v>17011</v>
      </c>
      <c r="J2110" s="10" t="n">
        <v>3425</v>
      </c>
      <c r="K2110" s="10" t="n">
        <v>2247</v>
      </c>
      <c r="L2110" s="7" t="n">
        <v>21542</v>
      </c>
      <c r="M2110" s="8" t="n">
        <v>4439</v>
      </c>
      <c r="N2110" s="8" t="n">
        <v>3705</v>
      </c>
      <c r="O2110" s="9" t="n">
        <v>16937</v>
      </c>
      <c r="P2110" s="10" t="n">
        <v>4508</v>
      </c>
      <c r="Q2110" s="10" t="n">
        <v>700</v>
      </c>
      <c r="R2110" s="7" t="n">
        <v>17548</v>
      </c>
      <c r="S2110" s="8" t="n">
        <v>4217</v>
      </c>
      <c r="T2110" s="8" t="n">
        <v>9124</v>
      </c>
      <c r="U2110" s="9" t="n">
        <v>17305</v>
      </c>
      <c r="V2110" s="10" t="n">
        <v>4388</v>
      </c>
      <c r="W2110" s="10" t="n">
        <v>4745</v>
      </c>
      <c r="X2110" s="7" t="n">
        <v>16729</v>
      </c>
      <c r="Y2110" s="8" t="n">
        <v>4665</v>
      </c>
      <c r="Z2110" s="8" t="n">
        <v>15379</v>
      </c>
      <c r="AA2110" s="9" t="n">
        <v>17337</v>
      </c>
      <c r="AB2110" s="10" t="n">
        <v>4794</v>
      </c>
      <c r="AC2110" s="10" t="n">
        <v>580</v>
      </c>
      <c r="AD2110" s="7" t="n">
        <v>18089</v>
      </c>
      <c r="AE2110" s="8" t="n">
        <v>5013</v>
      </c>
      <c r="AF2110" s="8" t="n">
        <v>781</v>
      </c>
      <c r="AG2110" s="9" t="n">
        <v>16010</v>
      </c>
      <c r="AH2110" s="10" t="n">
        <v>4470</v>
      </c>
      <c r="AI2110" s="10" t="n">
        <v>7427</v>
      </c>
      <c r="AJ2110" s="11" t="n">
        <v>17959</v>
      </c>
      <c r="AK2110" s="12" t="n">
        <v>4958</v>
      </c>
      <c r="AL2110" s="12" t="n">
        <v>13198</v>
      </c>
      <c r="AM2110" s="13" t="n">
        <v>12.2</v>
      </c>
      <c r="AN2110" s="13" t="n">
        <v>7.4</v>
      </c>
      <c r="AO2110" s="13" t="n">
        <v>10.9</v>
      </c>
      <c r="AP2110" s="13" t="n">
        <v>6.3</v>
      </c>
    </row>
    <row r="2111">
      <c r="A2111" s="5" t="inlineStr">
        <is>
          <t>서남</t>
        </is>
      </c>
      <c r="B2111" s="6" t="inlineStr">
        <is>
          <t>294630</t>
        </is>
      </c>
      <c r="C2111" s="6" t="inlineStr">
        <is>
          <t>별도</t>
        </is>
      </c>
      <c r="D2111" s="6" t="inlineStr">
        <is>
          <t>2026Q2</t>
        </is>
      </c>
      <c r="E2111" s="6" t="inlineStr"/>
      <c r="F2111" s="7" t="inlineStr"/>
      <c r="G2111" s="8" t="inlineStr"/>
      <c r="H2111" s="8" t="inlineStr"/>
      <c r="I2111" s="9" t="n">
        <v>415</v>
      </c>
      <c r="J2111" s="10" t="n">
        <v>-976</v>
      </c>
      <c r="K2111" s="10" t="n">
        <v>-860</v>
      </c>
      <c r="L2111" s="7" t="n">
        <v>259</v>
      </c>
      <c r="M2111" s="8" t="n">
        <v>-1030</v>
      </c>
      <c r="N2111" s="8" t="n">
        <v>-1034</v>
      </c>
      <c r="O2111" s="9" t="n">
        <v>229</v>
      </c>
      <c r="P2111" s="10" t="n">
        <v>-794</v>
      </c>
      <c r="Q2111" s="10" t="n">
        <v>-573</v>
      </c>
      <c r="R2111" s="7" t="n">
        <v>503</v>
      </c>
      <c r="S2111" s="8" t="n">
        <v>-1667</v>
      </c>
      <c r="T2111" s="8" t="n">
        <v>-1476</v>
      </c>
      <c r="U2111" s="9" t="n">
        <v>728</v>
      </c>
      <c r="V2111" s="10" t="n">
        <v>-817</v>
      </c>
      <c r="W2111" s="10" t="n">
        <v>-833</v>
      </c>
      <c r="X2111" s="7" t="n">
        <v>660</v>
      </c>
      <c r="Y2111" s="8" t="n">
        <v>-1073</v>
      </c>
      <c r="Z2111" s="8" t="n">
        <v>-1102</v>
      </c>
      <c r="AA2111" s="9" t="n">
        <v>958</v>
      </c>
      <c r="AB2111" s="10" t="n">
        <v>-712</v>
      </c>
      <c r="AC2111" s="10" t="n">
        <v>-733</v>
      </c>
      <c r="AD2111" s="7" t="n">
        <v>1040</v>
      </c>
      <c r="AE2111" s="8" t="n">
        <v>-1256</v>
      </c>
      <c r="AF2111" s="8" t="n">
        <v>-1307</v>
      </c>
      <c r="AG2111" s="9" t="n">
        <v>453</v>
      </c>
      <c r="AH2111" s="10" t="n">
        <v>-894</v>
      </c>
      <c r="AI2111" s="10" t="n">
        <v>-891</v>
      </c>
      <c r="AJ2111" s="11" t="n">
        <v>1198</v>
      </c>
      <c r="AK2111" s="12" t="n">
        <v>-1606</v>
      </c>
      <c r="AL2111" s="12" t="n">
        <v>-1603</v>
      </c>
      <c r="AM2111" s="13" t="n">
        <v>164.5</v>
      </c>
      <c r="AN2111" s="13" t="n">
        <v>81.5</v>
      </c>
      <c r="AO2111" s="13" t="n">
        <v>-79.59999999999999</v>
      </c>
      <c r="AP2111" s="13" t="n">
        <v>-49.7</v>
      </c>
    </row>
    <row r="2112">
      <c r="A2112" s="5" t="inlineStr">
        <is>
          <t>IPARK현대산업개발</t>
        </is>
      </c>
      <c r="B2112" s="6" t="inlineStr">
        <is>
          <t>294870</t>
        </is>
      </c>
      <c r="C2112" s="6" t="inlineStr">
        <is>
          <t>연결</t>
        </is>
      </c>
      <c r="D2112" s="6" t="inlineStr">
        <is>
          <t>2026Q2</t>
        </is>
      </c>
      <c r="E2112" s="6" t="inlineStr">
        <is>
          <t>2023Q4</t>
        </is>
      </c>
      <c r="F2112" s="14" t="n">
        <v>1149091</v>
      </c>
      <c r="G2112" s="15" t="n">
        <v>77465</v>
      </c>
      <c r="H2112" s="15" t="n">
        <v>56461</v>
      </c>
      <c r="I2112" s="9" t="n">
        <v>955435</v>
      </c>
      <c r="J2112" s="10" t="n">
        <v>41597</v>
      </c>
      <c r="K2112" s="10" t="n">
        <v>30471</v>
      </c>
      <c r="L2112" s="7" t="n">
        <v>1087159</v>
      </c>
      <c r="M2112" s="8" t="n">
        <v>53834</v>
      </c>
      <c r="N2112" s="8" t="n">
        <v>47386</v>
      </c>
      <c r="O2112" s="9" t="n">
        <v>1088600</v>
      </c>
      <c r="P2112" s="10" t="n">
        <v>47453</v>
      </c>
      <c r="Q2112" s="10" t="n">
        <v>32697</v>
      </c>
      <c r="R2112" s="7" t="n">
        <v>1125039</v>
      </c>
      <c r="S2112" s="8" t="n">
        <v>41753</v>
      </c>
      <c r="T2112" s="8" t="n">
        <v>45163</v>
      </c>
      <c r="U2112" s="9" t="n">
        <v>905748</v>
      </c>
      <c r="V2112" s="10" t="n">
        <v>53999</v>
      </c>
      <c r="W2112" s="10" t="n">
        <v>54186</v>
      </c>
      <c r="X2112" s="7" t="n">
        <v>1163210</v>
      </c>
      <c r="Y2112" s="8" t="n">
        <v>80278</v>
      </c>
      <c r="Z2112" s="8" t="n">
        <v>52692</v>
      </c>
      <c r="AA2112" s="9" t="n">
        <v>1053003</v>
      </c>
      <c r="AB2112" s="10" t="n">
        <v>72987</v>
      </c>
      <c r="AC2112" s="10" t="n">
        <v>39849</v>
      </c>
      <c r="AD2112" s="7" t="n">
        <v>1025046</v>
      </c>
      <c r="AE2112" s="8" t="n">
        <v>41350</v>
      </c>
      <c r="AF2112" s="8" t="n">
        <v>11422</v>
      </c>
      <c r="AG2112" s="9" t="n">
        <v>673945</v>
      </c>
      <c r="AH2112" s="10" t="n">
        <v>80141</v>
      </c>
      <c r="AI2112" s="10" t="n">
        <v>49293</v>
      </c>
      <c r="AJ2112" s="11" t="n">
        <v>914640</v>
      </c>
      <c r="AK2112" s="12" t="n">
        <v>122719</v>
      </c>
      <c r="AL2112" s="12" t="n">
        <v>83712</v>
      </c>
      <c r="AM2112" s="13" t="n">
        <v>35.7</v>
      </c>
      <c r="AN2112" s="13" t="n">
        <v>-21.4</v>
      </c>
      <c r="AO2112" s="13" t="n">
        <v>53.1</v>
      </c>
      <c r="AP2112" s="13" t="n">
        <v>52.9</v>
      </c>
    </row>
    <row r="2113">
      <c r="A2113" s="5" t="inlineStr">
        <is>
          <t>에이치브이엠</t>
        </is>
      </c>
      <c r="B2113" s="6" t="inlineStr">
        <is>
          <t>295310</t>
        </is>
      </c>
      <c r="C2113" s="6" t="inlineStr">
        <is>
          <t>별도</t>
        </is>
      </c>
      <c r="D2113" s="6" t="inlineStr">
        <is>
          <t>2026Q2</t>
        </is>
      </c>
      <c r="E2113" s="6" t="inlineStr"/>
      <c r="F2113" s="7" t="inlineStr"/>
      <c r="G2113" s="8" t="inlineStr"/>
      <c r="H2113" s="8" t="inlineStr"/>
      <c r="I2113" s="9" t="inlineStr"/>
      <c r="J2113" s="10" t="inlineStr"/>
      <c r="K2113" s="10" t="inlineStr"/>
      <c r="L2113" s="7" t="n">
        <v>15543</v>
      </c>
      <c r="M2113" s="8" t="n">
        <v>-31</v>
      </c>
      <c r="N2113" s="8" t="n">
        <v>-145</v>
      </c>
      <c r="O2113" s="9" t="n">
        <v>9140</v>
      </c>
      <c r="P2113" s="10" t="n">
        <v>960</v>
      </c>
      <c r="Q2113" s="10" t="n">
        <v>156</v>
      </c>
      <c r="R2113" s="7" t="inlineStr"/>
      <c r="S2113" s="8" t="inlineStr"/>
      <c r="T2113" s="8" t="inlineStr"/>
      <c r="U2113" s="9" t="n">
        <v>12973</v>
      </c>
      <c r="V2113" s="10" t="n">
        <v>1126</v>
      </c>
      <c r="W2113" s="10" t="n">
        <v>586</v>
      </c>
      <c r="X2113" s="7" t="n">
        <v>16727</v>
      </c>
      <c r="Y2113" s="8" t="n">
        <v>3769</v>
      </c>
      <c r="Z2113" s="8" t="n">
        <v>2991</v>
      </c>
      <c r="AA2113" s="9" t="n">
        <v>13405</v>
      </c>
      <c r="AB2113" s="10" t="n">
        <v>-296</v>
      </c>
      <c r="AC2113" s="10" t="n">
        <v>-783</v>
      </c>
      <c r="AD2113" s="7" t="n">
        <v>23427</v>
      </c>
      <c r="AE2113" s="8" t="n">
        <v>1238</v>
      </c>
      <c r="AF2113" s="8" t="n">
        <v>9817</v>
      </c>
      <c r="AG2113" s="9" t="n">
        <v>23268</v>
      </c>
      <c r="AH2113" s="10" t="n">
        <v>4417</v>
      </c>
      <c r="AI2113" s="10" t="n">
        <v>3414</v>
      </c>
      <c r="AJ2113" s="11" t="n">
        <v>29152</v>
      </c>
      <c r="AK2113" s="12" t="n">
        <v>2011</v>
      </c>
      <c r="AL2113" s="12" t="n">
        <v>-8999</v>
      </c>
      <c r="AM2113" s="13" t="n">
        <v>25.3</v>
      </c>
      <c r="AN2113" s="13" t="n">
        <v>74.3</v>
      </c>
      <c r="AO2113" s="13" t="n">
        <v>-54.5</v>
      </c>
      <c r="AP2113" s="13" t="n">
        <v>-46.6</v>
      </c>
    </row>
    <row r="2114">
      <c r="A2114" s="5" t="inlineStr">
        <is>
          <t>이노에이엑스</t>
        </is>
      </c>
      <c r="B2114" s="6" t="inlineStr">
        <is>
          <t>296640</t>
        </is>
      </c>
      <c r="C2114" s="6" t="inlineStr">
        <is>
          <t>연결</t>
        </is>
      </c>
      <c r="D2114" s="6" t="inlineStr">
        <is>
          <t>2026Q2</t>
        </is>
      </c>
      <c r="E2114" s="6" t="inlineStr"/>
      <c r="F2114" s="7" t="inlineStr"/>
      <c r="G2114" s="8" t="inlineStr"/>
      <c r="H2114" s="8" t="inlineStr"/>
      <c r="I2114" s="9" t="n">
        <v>4799</v>
      </c>
      <c r="J2114" s="10" t="n">
        <v>352</v>
      </c>
      <c r="K2114" s="10" t="n">
        <v>575</v>
      </c>
      <c r="L2114" s="7" t="n">
        <v>5470</v>
      </c>
      <c r="M2114" s="8" t="n">
        <v>329</v>
      </c>
      <c r="N2114" s="8" t="n">
        <v>546</v>
      </c>
      <c r="O2114" s="9" t="n">
        <v>6107</v>
      </c>
      <c r="P2114" s="10" t="n">
        <v>660</v>
      </c>
      <c r="Q2114" s="10" t="n">
        <v>887</v>
      </c>
      <c r="R2114" s="7" t="n">
        <v>7331</v>
      </c>
      <c r="S2114" s="8" t="n">
        <v>1055</v>
      </c>
      <c r="T2114" s="8" t="n">
        <v>1064</v>
      </c>
      <c r="U2114" s="9" t="n">
        <v>5736</v>
      </c>
      <c r="V2114" s="10" t="n">
        <v>465</v>
      </c>
      <c r="W2114" s="10" t="n">
        <v>697</v>
      </c>
      <c r="X2114" s="7" t="n">
        <v>5296</v>
      </c>
      <c r="Y2114" s="8" t="n">
        <v>78</v>
      </c>
      <c r="Z2114" s="8" t="n">
        <v>216</v>
      </c>
      <c r="AA2114" s="9" t="n">
        <v>5971</v>
      </c>
      <c r="AB2114" s="10" t="n">
        <v>317</v>
      </c>
      <c r="AC2114" s="10" t="n">
        <v>507</v>
      </c>
      <c r="AD2114" s="7" t="n">
        <v>5930</v>
      </c>
      <c r="AE2114" s="8" t="n">
        <v>62</v>
      </c>
      <c r="AF2114" s="8" t="n">
        <v>1164</v>
      </c>
      <c r="AG2114" s="9" t="n">
        <v>7142</v>
      </c>
      <c r="AH2114" s="10" t="n">
        <v>460</v>
      </c>
      <c r="AI2114" s="10" t="n">
        <v>624</v>
      </c>
      <c r="AJ2114" s="11" t="n">
        <v>7851</v>
      </c>
      <c r="AK2114" s="12" t="n">
        <v>288</v>
      </c>
      <c r="AL2114" s="12" t="n">
        <v>2897</v>
      </c>
      <c r="AM2114" s="13" t="n">
        <v>9.9</v>
      </c>
      <c r="AN2114" s="13" t="n">
        <v>48.2</v>
      </c>
      <c r="AO2114" s="13" t="n">
        <v>-37.4</v>
      </c>
      <c r="AP2114" s="13" t="n">
        <v>269.2</v>
      </c>
    </row>
    <row r="2115">
      <c r="A2115" s="5" t="inlineStr">
        <is>
          <t>씨에스베어링</t>
        </is>
      </c>
      <c r="B2115" s="6" t="inlineStr">
        <is>
          <t>297090</t>
        </is>
      </c>
      <c r="C2115" s="6" t="inlineStr">
        <is>
          <t>연결</t>
        </is>
      </c>
      <c r="D2115" s="6" t="inlineStr">
        <is>
          <t>2026Q2</t>
        </is>
      </c>
      <c r="E2115" s="6" t="inlineStr"/>
      <c r="F2115" s="7" t="inlineStr"/>
      <c r="G2115" s="8" t="inlineStr"/>
      <c r="H2115" s="8" t="inlineStr"/>
      <c r="I2115" s="9" t="n">
        <v>15643</v>
      </c>
      <c r="J2115" s="10" t="n">
        <v>-2115</v>
      </c>
      <c r="K2115" s="10" t="n">
        <v>-2247</v>
      </c>
      <c r="L2115" s="7" t="n">
        <v>24752</v>
      </c>
      <c r="M2115" s="8" t="n">
        <v>844</v>
      </c>
      <c r="N2115" s="8" t="n">
        <v>3021</v>
      </c>
      <c r="O2115" s="9" t="n">
        <v>28526</v>
      </c>
      <c r="P2115" s="10" t="n">
        <v>1626</v>
      </c>
      <c r="Q2115" s="10" t="n">
        <v>1359</v>
      </c>
      <c r="R2115" s="7" t="n">
        <v>36489</v>
      </c>
      <c r="S2115" s="8" t="n">
        <v>1755</v>
      </c>
      <c r="T2115" s="8" t="n">
        <v>375</v>
      </c>
      <c r="U2115" s="9" t="n">
        <v>28348</v>
      </c>
      <c r="V2115" s="10" t="n">
        <v>1238</v>
      </c>
      <c r="W2115" s="10" t="n">
        <v>1017</v>
      </c>
      <c r="X2115" s="7" t="n">
        <v>31978</v>
      </c>
      <c r="Y2115" s="8" t="n">
        <v>2770</v>
      </c>
      <c r="Z2115" s="8" t="n">
        <v>1710</v>
      </c>
      <c r="AA2115" s="9" t="n">
        <v>32161</v>
      </c>
      <c r="AB2115" s="10" t="n">
        <v>3347</v>
      </c>
      <c r="AC2115" s="10" t="n">
        <v>4380</v>
      </c>
      <c r="AD2115" s="7" t="n">
        <v>33661</v>
      </c>
      <c r="AE2115" s="8" t="n">
        <v>3731</v>
      </c>
      <c r="AF2115" s="8" t="n">
        <v>4126</v>
      </c>
      <c r="AG2115" s="9" t="n">
        <v>28837</v>
      </c>
      <c r="AH2115" s="10" t="n">
        <v>1826</v>
      </c>
      <c r="AI2115" s="10" t="n">
        <v>2089</v>
      </c>
      <c r="AJ2115" s="11" t="n">
        <v>37804</v>
      </c>
      <c r="AK2115" s="12" t="n">
        <v>3417</v>
      </c>
      <c r="AL2115" s="12" t="n">
        <v>3165</v>
      </c>
      <c r="AM2115" s="13" t="n">
        <v>31.1</v>
      </c>
      <c r="AN2115" s="13" t="n">
        <v>18.2</v>
      </c>
      <c r="AO2115" s="13" t="n">
        <v>87.09999999999999</v>
      </c>
      <c r="AP2115" s="13" t="n">
        <v>23.4</v>
      </c>
    </row>
    <row r="2116">
      <c r="A2116" s="5" t="inlineStr">
        <is>
          <t>아틀라스링크</t>
        </is>
      </c>
      <c r="B2116" s="6" t="inlineStr">
        <is>
          <t>297570</t>
        </is>
      </c>
      <c r="C2116" s="6" t="inlineStr">
        <is>
          <t>연결</t>
        </is>
      </c>
      <c r="D2116" s="6" t="inlineStr">
        <is>
          <t>2026Q2</t>
        </is>
      </c>
      <c r="E2116" s="6" t="inlineStr"/>
      <c r="F2116" s="7" t="inlineStr"/>
      <c r="G2116" s="8" t="inlineStr"/>
      <c r="H2116" s="8" t="inlineStr"/>
      <c r="I2116" s="9" t="n">
        <v>6580</v>
      </c>
      <c r="J2116" s="10" t="n">
        <v>1201</v>
      </c>
      <c r="K2116" s="10" t="n">
        <v>1026</v>
      </c>
      <c r="L2116" s="7" t="n">
        <v>7973</v>
      </c>
      <c r="M2116" s="8" t="n">
        <v>1390</v>
      </c>
      <c r="N2116" s="8" t="n">
        <v>460</v>
      </c>
      <c r="O2116" s="9" t="n">
        <v>7766</v>
      </c>
      <c r="P2116" s="10" t="n">
        <v>1553</v>
      </c>
      <c r="Q2116" s="10" t="n">
        <v>416</v>
      </c>
      <c r="R2116" s="7" t="n">
        <v>8628</v>
      </c>
      <c r="S2116" s="8" t="n">
        <v>663</v>
      </c>
      <c r="T2116" s="8" t="n">
        <v>-2305</v>
      </c>
      <c r="U2116" s="9" t="n">
        <v>8207</v>
      </c>
      <c r="V2116" s="10" t="n">
        <v>1718</v>
      </c>
      <c r="W2116" s="10" t="n">
        <v>1260</v>
      </c>
      <c r="X2116" s="7" t="n">
        <v>6975</v>
      </c>
      <c r="Y2116" s="8" t="n">
        <v>1388</v>
      </c>
      <c r="Z2116" s="8" t="n">
        <v>-401</v>
      </c>
      <c r="AA2116" s="9" t="n">
        <v>12392</v>
      </c>
      <c r="AB2116" s="10" t="n">
        <v>1230</v>
      </c>
      <c r="AC2116" s="10" t="n">
        <v>2533</v>
      </c>
      <c r="AD2116" s="7" t="n">
        <v>15339</v>
      </c>
      <c r="AE2116" s="8" t="n">
        <v>2203</v>
      </c>
      <c r="AF2116" s="8" t="n">
        <v>1077</v>
      </c>
      <c r="AG2116" s="9" t="n">
        <v>16557</v>
      </c>
      <c r="AH2116" s="10" t="n">
        <v>2676</v>
      </c>
      <c r="AI2116" s="10" t="n">
        <v>2277</v>
      </c>
      <c r="AJ2116" s="11" t="n">
        <v>17597</v>
      </c>
      <c r="AK2116" s="12" t="n">
        <v>3428</v>
      </c>
      <c r="AL2116" s="12" t="n">
        <v>2298</v>
      </c>
      <c r="AM2116" s="13" t="n">
        <v>6.3</v>
      </c>
      <c r="AN2116" s="13" t="n">
        <v>152.3</v>
      </c>
      <c r="AO2116" s="13" t="n">
        <v>28.1</v>
      </c>
      <c r="AP2116" s="13" t="n">
        <v>147</v>
      </c>
    </row>
    <row r="2117">
      <c r="A2117" s="5" t="inlineStr">
        <is>
          <t>HB솔루션</t>
        </is>
      </c>
      <c r="B2117" s="6" t="inlineStr">
        <is>
          <t>297890</t>
        </is>
      </c>
      <c r="C2117" s="6" t="inlineStr">
        <is>
          <t>연결</t>
        </is>
      </c>
      <c r="D2117" s="6" t="inlineStr">
        <is>
          <t>2026Q2</t>
        </is>
      </c>
      <c r="E2117" s="6" t="inlineStr"/>
      <c r="F2117" s="7" t="inlineStr"/>
      <c r="G2117" s="8" t="inlineStr"/>
      <c r="H2117" s="8" t="inlineStr"/>
      <c r="I2117" s="9" t="n">
        <v>11688</v>
      </c>
      <c r="J2117" s="10" t="n">
        <v>-685</v>
      </c>
      <c r="K2117" s="10" t="n">
        <v>21958</v>
      </c>
      <c r="L2117" s="7" t="n">
        <v>47754</v>
      </c>
      <c r="M2117" s="8" t="n">
        <v>9830</v>
      </c>
      <c r="N2117" s="8" t="n">
        <v>-19381</v>
      </c>
      <c r="O2117" s="9" t="n">
        <v>32361</v>
      </c>
      <c r="P2117" s="10" t="n">
        <v>4402</v>
      </c>
      <c r="Q2117" s="10" t="n">
        <v>-15051</v>
      </c>
      <c r="R2117" s="7" t="n">
        <v>39728</v>
      </c>
      <c r="S2117" s="8" t="n">
        <v>5795</v>
      </c>
      <c r="T2117" s="8" t="n">
        <v>-8281</v>
      </c>
      <c r="U2117" s="9" t="n">
        <v>20128</v>
      </c>
      <c r="V2117" s="10" t="n">
        <v>2884</v>
      </c>
      <c r="W2117" s="10" t="n">
        <v>2933</v>
      </c>
      <c r="X2117" s="7" t="n">
        <v>30016</v>
      </c>
      <c r="Y2117" s="8" t="n">
        <v>3807</v>
      </c>
      <c r="Z2117" s="8" t="n">
        <v>10745</v>
      </c>
      <c r="AA2117" s="9" t="n">
        <v>6359</v>
      </c>
      <c r="AB2117" s="10" t="n">
        <v>-1969</v>
      </c>
      <c r="AC2117" s="10" t="n">
        <v>13202</v>
      </c>
      <c r="AD2117" s="7" t="n">
        <v>6346</v>
      </c>
      <c r="AE2117" s="8" t="n">
        <v>-326</v>
      </c>
      <c r="AF2117" s="8" t="n">
        <v>-408</v>
      </c>
      <c r="AG2117" s="9" t="n">
        <v>14692</v>
      </c>
      <c r="AH2117" s="10" t="n">
        <v>-1132</v>
      </c>
      <c r="AI2117" s="10" t="n">
        <v>13420</v>
      </c>
      <c r="AJ2117" s="11" t="n">
        <v>10171</v>
      </c>
      <c r="AK2117" s="12" t="n">
        <v>-503</v>
      </c>
      <c r="AL2117" s="12" t="n">
        <v>16954</v>
      </c>
      <c r="AM2117" s="13" t="n">
        <v>-30.8</v>
      </c>
      <c r="AN2117" s="13" t="n">
        <v>-66.09999999999999</v>
      </c>
      <c r="AO2117" s="13" t="n">
        <v>55.6</v>
      </c>
      <c r="AP2117" s="13" t="n">
        <v>-113.2</v>
      </c>
    </row>
    <row r="2118">
      <c r="A2118" s="5" t="inlineStr">
        <is>
          <t>효성화학</t>
        </is>
      </c>
      <c r="B2118" s="6" t="inlineStr">
        <is>
          <t>298000</t>
        </is>
      </c>
      <c r="C2118" s="6" t="inlineStr">
        <is>
          <t>연결</t>
        </is>
      </c>
      <c r="D2118" s="6" t="inlineStr">
        <is>
          <t>2026Q2</t>
        </is>
      </c>
      <c r="E2118" s="6" t="inlineStr">
        <is>
          <t>2023Q4</t>
        </is>
      </c>
      <c r="F2118" s="14" t="n">
        <v>686533</v>
      </c>
      <c r="G2118" s="15" t="n">
        <v>-37464</v>
      </c>
      <c r="H2118" s="15" t="n">
        <v>-74110</v>
      </c>
      <c r="I2118" s="9" t="n">
        <v>710348</v>
      </c>
      <c r="J2118" s="10" t="n">
        <v>-34829</v>
      </c>
      <c r="K2118" s="10" t="n">
        <v>-73903</v>
      </c>
      <c r="L2118" s="7" t="n">
        <v>754482</v>
      </c>
      <c r="M2118" s="8" t="n">
        <v>-50719</v>
      </c>
      <c r="N2118" s="8" t="n">
        <v>-90066</v>
      </c>
      <c r="O2118" s="9" t="n">
        <v>768310</v>
      </c>
      <c r="P2118" s="10" t="n">
        <v>-26172</v>
      </c>
      <c r="Q2118" s="10" t="n">
        <v>-61201</v>
      </c>
      <c r="R2118" s="7" t="n">
        <v>605048</v>
      </c>
      <c r="S2118" s="8" t="n">
        <v>-58771</v>
      </c>
      <c r="T2118" s="8" t="n">
        <v>-100554</v>
      </c>
      <c r="U2118" s="9" t="n">
        <v>615032</v>
      </c>
      <c r="V2118" s="10" t="n">
        <v>-59682</v>
      </c>
      <c r="W2118" s="10" t="n">
        <v>374151</v>
      </c>
      <c r="X2118" s="7" t="n">
        <v>616979</v>
      </c>
      <c r="Y2118" s="8" t="n">
        <v>-8994</v>
      </c>
      <c r="Z2118" s="8" t="n">
        <v>102362</v>
      </c>
      <c r="AA2118" s="9" t="n">
        <v>580304</v>
      </c>
      <c r="AB2118" s="10" t="n">
        <v>-26062</v>
      </c>
      <c r="AC2118" s="10" t="n">
        <v>-40563</v>
      </c>
      <c r="AD2118" s="7" t="n">
        <v>528403</v>
      </c>
      <c r="AE2118" s="8" t="n">
        <v>-65762</v>
      </c>
      <c r="AF2118" s="8" t="n">
        <v>-109922</v>
      </c>
      <c r="AG2118" s="9" t="n">
        <v>587030</v>
      </c>
      <c r="AH2118" s="10" t="n">
        <v>277</v>
      </c>
      <c r="AI2118" s="10" t="n">
        <v>-17531</v>
      </c>
      <c r="AJ2118" s="11" t="n">
        <v>871289</v>
      </c>
      <c r="AK2118" s="12" t="n">
        <v>170771</v>
      </c>
      <c r="AL2118" s="12" t="n">
        <v>155952</v>
      </c>
      <c r="AM2118" s="13" t="n">
        <v>48.4</v>
      </c>
      <c r="AN2118" s="13" t="n">
        <v>41.2</v>
      </c>
      <c r="AO2118" s="13" t="n">
        <v>61550.2</v>
      </c>
      <c r="AP2118" s="13" t="n">
        <v>1998.7</v>
      </c>
    </row>
    <row r="2119">
      <c r="A2119" s="5" t="inlineStr">
        <is>
          <t>효성티앤씨</t>
        </is>
      </c>
      <c r="B2119" s="6" t="inlineStr">
        <is>
          <t>298020</t>
        </is>
      </c>
      <c r="C2119" s="6" t="inlineStr">
        <is>
          <t>연결</t>
        </is>
      </c>
      <c r="D2119" s="6" t="inlineStr">
        <is>
          <t>2026Q2</t>
        </is>
      </c>
      <c r="E2119" s="6" t="inlineStr">
        <is>
          <t>2023Q4</t>
        </is>
      </c>
      <c r="F2119" s="14" t="n">
        <v>1766968</v>
      </c>
      <c r="G2119" s="15" t="n">
        <v>28985</v>
      </c>
      <c r="H2119" s="15" t="n">
        <v>35474</v>
      </c>
      <c r="I2119" s="9" t="n">
        <v>1879562</v>
      </c>
      <c r="J2119" s="10" t="n">
        <v>76056</v>
      </c>
      <c r="K2119" s="15" t="n">
        <v>56099</v>
      </c>
      <c r="L2119" s="7" t="n">
        <v>1982565</v>
      </c>
      <c r="M2119" s="8" t="n">
        <v>84648</v>
      </c>
      <c r="N2119" s="15" t="n">
        <v>51766</v>
      </c>
      <c r="O2119" s="9" t="n">
        <v>1936282</v>
      </c>
      <c r="P2119" s="10" t="n">
        <v>67607</v>
      </c>
      <c r="Q2119" s="15" t="n">
        <v>27623</v>
      </c>
      <c r="R2119" s="7" t="n">
        <v>1977656</v>
      </c>
      <c r="S2119" s="8" t="n">
        <v>42417</v>
      </c>
      <c r="T2119" s="15" t="n">
        <v>183832</v>
      </c>
      <c r="U2119" s="9" t="n">
        <v>1952704</v>
      </c>
      <c r="V2119" s="10" t="n">
        <v>77386</v>
      </c>
      <c r="W2119" s="10" t="n">
        <v>24463</v>
      </c>
      <c r="X2119" s="7" t="n">
        <v>1889169</v>
      </c>
      <c r="Y2119" s="8" t="n">
        <v>73319</v>
      </c>
      <c r="Z2119" s="8" t="n">
        <v>21352</v>
      </c>
      <c r="AA2119" s="9" t="n">
        <v>2009801</v>
      </c>
      <c r="AB2119" s="10" t="n">
        <v>56059</v>
      </c>
      <c r="AC2119" s="10" t="n">
        <v>15661</v>
      </c>
      <c r="AD2119" s="7" t="n">
        <v>1843170</v>
      </c>
      <c r="AE2119" s="8" t="n">
        <v>44739</v>
      </c>
      <c r="AF2119" s="8" t="n">
        <v>-23280</v>
      </c>
      <c r="AG2119" s="9" t="n">
        <v>2094242</v>
      </c>
      <c r="AH2119" s="10" t="n">
        <v>86243</v>
      </c>
      <c r="AI2119" s="10" t="n">
        <v>50875</v>
      </c>
      <c r="AJ2119" s="11" t="n">
        <v>2416151</v>
      </c>
      <c r="AK2119" s="12" t="n">
        <v>188762</v>
      </c>
      <c r="AL2119" s="12" t="n">
        <v>123916</v>
      </c>
      <c r="AM2119" s="13" t="n">
        <v>15.4</v>
      </c>
      <c r="AN2119" s="13" t="n">
        <v>27.9</v>
      </c>
      <c r="AO2119" s="13" t="n">
        <v>118.9</v>
      </c>
      <c r="AP2119" s="13" t="n">
        <v>157.5</v>
      </c>
    </row>
    <row r="2120">
      <c r="A2120" s="5" t="inlineStr">
        <is>
          <t>효성중공업</t>
        </is>
      </c>
      <c r="B2120" s="6" t="inlineStr">
        <is>
          <t>298040</t>
        </is>
      </c>
      <c r="C2120" s="6" t="inlineStr">
        <is>
          <t>연결</t>
        </is>
      </c>
      <c r="D2120" s="6" t="inlineStr">
        <is>
          <t>2026Q2</t>
        </is>
      </c>
      <c r="E2120" s="6" t="inlineStr">
        <is>
          <t>2023Q4</t>
        </is>
      </c>
      <c r="F2120" s="14" t="n">
        <v>1292011</v>
      </c>
      <c r="G2120" s="15" t="n">
        <v>63444</v>
      </c>
      <c r="H2120" s="15" t="n">
        <v>28881</v>
      </c>
      <c r="I2120" s="9" t="n">
        <v>984508</v>
      </c>
      <c r="J2120" s="10" t="n">
        <v>56165</v>
      </c>
      <c r="K2120" s="10" t="n">
        <v>26229</v>
      </c>
      <c r="L2120" s="7" t="n">
        <v>1193776</v>
      </c>
      <c r="M2120" s="8" t="n">
        <v>62660</v>
      </c>
      <c r="N2120" s="8" t="n">
        <v>28204</v>
      </c>
      <c r="O2120" s="9" t="n">
        <v>1145185</v>
      </c>
      <c r="P2120" s="10" t="n">
        <v>111424</v>
      </c>
      <c r="Q2120" s="10" t="n">
        <v>72417</v>
      </c>
      <c r="R2120" s="7" t="n">
        <v>1571511</v>
      </c>
      <c r="S2120" s="8" t="n">
        <v>132230</v>
      </c>
      <c r="T2120" s="8" t="n">
        <v>96079</v>
      </c>
      <c r="U2120" s="9" t="n">
        <v>1076135</v>
      </c>
      <c r="V2120" s="10" t="n">
        <v>102387</v>
      </c>
      <c r="W2120" s="10" t="n">
        <v>103629</v>
      </c>
      <c r="X2120" s="7" t="n">
        <v>1525285</v>
      </c>
      <c r="Y2120" s="8" t="n">
        <v>164261</v>
      </c>
      <c r="Z2120" s="8" t="n">
        <v>87349</v>
      </c>
      <c r="AA2120" s="9" t="n">
        <v>1624136</v>
      </c>
      <c r="AB2120" s="10" t="n">
        <v>219809</v>
      </c>
      <c r="AC2120" s="10" t="n">
        <v>151766</v>
      </c>
      <c r="AD2120" s="7" t="n">
        <v>1742956</v>
      </c>
      <c r="AE2120" s="8" t="n">
        <v>260511</v>
      </c>
      <c r="AF2120" s="8" t="n">
        <v>160094</v>
      </c>
      <c r="AG2120" s="9" t="n">
        <v>1358209</v>
      </c>
      <c r="AH2120" s="10" t="n">
        <v>152322</v>
      </c>
      <c r="AI2120" s="10" t="n">
        <v>91328</v>
      </c>
      <c r="AJ2120" s="11" t="n">
        <v>1686978</v>
      </c>
      <c r="AK2120" s="12" t="n">
        <v>264286</v>
      </c>
      <c r="AL2120" s="12" t="n">
        <v>171741</v>
      </c>
      <c r="AM2120" s="13" t="n">
        <v>24.2</v>
      </c>
      <c r="AN2120" s="13" t="n">
        <v>10.6</v>
      </c>
      <c r="AO2120" s="13" t="n">
        <v>73.5</v>
      </c>
      <c r="AP2120" s="13" t="n">
        <v>60.9</v>
      </c>
    </row>
    <row r="2121">
      <c r="A2121" s="5" t="inlineStr">
        <is>
          <t>HS효성첨단소재</t>
        </is>
      </c>
      <c r="B2121" s="6" t="inlineStr">
        <is>
          <t>298050</t>
        </is>
      </c>
      <c r="C2121" s="6" t="inlineStr">
        <is>
          <t>연결</t>
        </is>
      </c>
      <c r="D2121" s="6" t="inlineStr">
        <is>
          <t>2026Q2</t>
        </is>
      </c>
      <c r="E2121" s="6" t="inlineStr">
        <is>
          <t>2023Q4</t>
        </is>
      </c>
      <c r="F2121" s="14" t="n">
        <v>768155</v>
      </c>
      <c r="G2121" s="15" t="n">
        <v>20760</v>
      </c>
      <c r="H2121" s="15" t="n">
        <v>-9398</v>
      </c>
      <c r="I2121" s="9" t="n">
        <v>836824</v>
      </c>
      <c r="J2121" s="10" t="n">
        <v>63675</v>
      </c>
      <c r="K2121" s="10" t="n">
        <v>25913</v>
      </c>
      <c r="L2121" s="7" t="n">
        <v>840489</v>
      </c>
      <c r="M2121" s="8" t="n">
        <v>65821</v>
      </c>
      <c r="N2121" s="8" t="n">
        <v>26152</v>
      </c>
      <c r="O2121" s="9" t="n">
        <v>829450</v>
      </c>
      <c r="P2121" s="10" t="n">
        <v>44232</v>
      </c>
      <c r="Q2121" s="10" t="n">
        <v>2285</v>
      </c>
      <c r="R2121" s="7" t="n">
        <v>804465</v>
      </c>
      <c r="S2121" s="8" t="n">
        <v>45994</v>
      </c>
      <c r="T2121" s="8" t="n">
        <v>23833</v>
      </c>
      <c r="U2121" s="9" t="n">
        <v>853558</v>
      </c>
      <c r="V2121" s="10" t="n">
        <v>49110</v>
      </c>
      <c r="W2121" s="10" t="n">
        <v>10066</v>
      </c>
      <c r="X2121" s="7" t="n">
        <v>843037</v>
      </c>
      <c r="Y2121" s="8" t="n">
        <v>58741</v>
      </c>
      <c r="Z2121" s="8" t="n">
        <v>1435</v>
      </c>
      <c r="AA2121" s="9" t="n">
        <v>800997</v>
      </c>
      <c r="AB2121" s="10" t="n">
        <v>19316</v>
      </c>
      <c r="AC2121" s="10" t="n">
        <v>-3474</v>
      </c>
      <c r="AD2121" s="7" t="n">
        <v>785453</v>
      </c>
      <c r="AE2121" s="8" t="n">
        <v>30266</v>
      </c>
      <c r="AF2121" s="8" t="n">
        <v>7626</v>
      </c>
      <c r="AG2121" s="9" t="n">
        <v>829031</v>
      </c>
      <c r="AH2121" s="10" t="n">
        <v>34409</v>
      </c>
      <c r="AI2121" s="10" t="n">
        <v>6731</v>
      </c>
      <c r="AJ2121" s="11" t="n">
        <v>952698</v>
      </c>
      <c r="AK2121" s="12" t="n">
        <v>77593</v>
      </c>
      <c r="AL2121" s="12" t="n">
        <v>45193</v>
      </c>
      <c r="AM2121" s="13" t="n">
        <v>14.9</v>
      </c>
      <c r="AN2121" s="13" t="n">
        <v>13</v>
      </c>
      <c r="AO2121" s="13" t="n">
        <v>125.5</v>
      </c>
      <c r="AP2121" s="13" t="n">
        <v>32.1</v>
      </c>
    </row>
    <row r="2122">
      <c r="A2122" s="5" t="inlineStr">
        <is>
          <t>풍전약품</t>
        </is>
      </c>
      <c r="B2122" s="6" t="inlineStr">
        <is>
          <t>298060</t>
        </is>
      </c>
      <c r="C2122" s="6" t="inlineStr">
        <is>
          <t>별도</t>
        </is>
      </c>
      <c r="D2122" s="6" t="inlineStr">
        <is>
          <t>2026Q2</t>
        </is>
      </c>
      <c r="E2122" s="6" t="inlineStr"/>
      <c r="F2122" s="7" t="inlineStr"/>
      <c r="G2122" s="8" t="inlineStr"/>
      <c r="H2122" s="8" t="inlineStr"/>
      <c r="I2122" s="9" t="n">
        <v>228</v>
      </c>
      <c r="J2122" s="10" t="n">
        <v>-3262</v>
      </c>
      <c r="K2122" s="10" t="n">
        <v>-3214</v>
      </c>
      <c r="L2122" s="7" t="n">
        <v>267</v>
      </c>
      <c r="M2122" s="8" t="n">
        <v>-2472</v>
      </c>
      <c r="N2122" s="8" t="n">
        <v>-2723</v>
      </c>
      <c r="O2122" s="9" t="n">
        <v>170</v>
      </c>
      <c r="P2122" s="10" t="n">
        <v>-3042</v>
      </c>
      <c r="Q2122" s="10" t="n">
        <v>-3073</v>
      </c>
      <c r="R2122" s="7" t="n">
        <v>160</v>
      </c>
      <c r="S2122" s="8" t="n">
        <v>-2532</v>
      </c>
      <c r="T2122" s="8" t="n">
        <v>-3367</v>
      </c>
      <c r="U2122" s="9" t="n">
        <v>574</v>
      </c>
      <c r="V2122" s="10" t="n">
        <v>-1510</v>
      </c>
      <c r="W2122" s="10" t="n">
        <v>-1540</v>
      </c>
      <c r="X2122" s="7" t="n">
        <v>639</v>
      </c>
      <c r="Y2122" s="8" t="n">
        <v>-903</v>
      </c>
      <c r="Z2122" s="8" t="n">
        <v>4</v>
      </c>
      <c r="AA2122" s="9" t="n">
        <v>10541</v>
      </c>
      <c r="AB2122" s="10" t="n">
        <v>-940</v>
      </c>
      <c r="AC2122" s="10" t="n">
        <v>-895</v>
      </c>
      <c r="AD2122" s="7" t="n">
        <v>12085</v>
      </c>
      <c r="AE2122" s="8" t="n">
        <v>-1176</v>
      </c>
      <c r="AF2122" s="8" t="n">
        <v>2634</v>
      </c>
      <c r="AG2122" s="9" t="n">
        <v>15244</v>
      </c>
      <c r="AH2122" s="10" t="n">
        <v>-1482</v>
      </c>
      <c r="AI2122" s="10" t="n">
        <v>-1834</v>
      </c>
      <c r="AJ2122" s="11" t="n">
        <v>11991</v>
      </c>
      <c r="AK2122" s="12" t="n">
        <v>-986</v>
      </c>
      <c r="AL2122" s="12" t="n">
        <v>-3943</v>
      </c>
      <c r="AM2122" s="13" t="n">
        <v>-21.3</v>
      </c>
      <c r="AN2122" s="13" t="n">
        <v>1776.5</v>
      </c>
      <c r="AO2122" s="13" t="n">
        <v>33.5</v>
      </c>
      <c r="AP2122" s="13" t="n">
        <v>-9.199999999999999</v>
      </c>
    </row>
    <row r="2123">
      <c r="A2123" s="5" t="inlineStr">
        <is>
          <t>에이비엘바이오</t>
        </is>
      </c>
      <c r="B2123" s="6" t="inlineStr">
        <is>
          <t>298380</t>
        </is>
      </c>
      <c r="C2123" s="6" t="inlineStr">
        <is>
          <t>연결</t>
        </is>
      </c>
      <c r="D2123" s="6" t="inlineStr">
        <is>
          <t>2026Q2</t>
        </is>
      </c>
      <c r="E2123" s="6" t="inlineStr"/>
      <c r="F2123" s="7" t="inlineStr"/>
      <c r="G2123" s="8" t="inlineStr"/>
      <c r="H2123" s="8" t="inlineStr"/>
      <c r="I2123" s="9" t="n">
        <v>7937</v>
      </c>
      <c r="J2123" s="10" t="n">
        <v>-14278</v>
      </c>
      <c r="K2123" s="10" t="n">
        <v>-11971</v>
      </c>
      <c r="L2123" s="7" t="n">
        <v>8442</v>
      </c>
      <c r="M2123" s="8" t="n">
        <v>-11282</v>
      </c>
      <c r="N2123" s="8" t="n">
        <v>-11409</v>
      </c>
      <c r="O2123" s="9" t="n">
        <v>7937</v>
      </c>
      <c r="P2123" s="10" t="n">
        <v>-14690</v>
      </c>
      <c r="Q2123" s="10" t="n">
        <v>-13148</v>
      </c>
      <c r="R2123" s="7" t="n">
        <v>9087</v>
      </c>
      <c r="S2123" s="8" t="n">
        <v>-19127</v>
      </c>
      <c r="T2123" s="8" t="n">
        <v>-19001</v>
      </c>
      <c r="U2123" s="9" t="n">
        <v>2165</v>
      </c>
      <c r="V2123" s="10" t="n">
        <v>-29034</v>
      </c>
      <c r="W2123" s="10" t="n">
        <v>-28148</v>
      </c>
      <c r="X2123" s="7" t="n">
        <v>75742</v>
      </c>
      <c r="Y2123" s="8" t="n">
        <v>40728</v>
      </c>
      <c r="Z2123" s="8" t="n">
        <v>39776</v>
      </c>
      <c r="AA2123" s="9" t="n">
        <v>1443</v>
      </c>
      <c r="AB2123" s="10" t="n">
        <v>-22409</v>
      </c>
      <c r="AC2123" s="10" t="n">
        <v>-21299</v>
      </c>
      <c r="AD2123" s="7" t="n">
        <v>0</v>
      </c>
      <c r="AE2123" s="8" t="n">
        <v>-29675</v>
      </c>
      <c r="AF2123" s="8" t="n">
        <v>-28206</v>
      </c>
      <c r="AG2123" s="9" t="n">
        <v>13136</v>
      </c>
      <c r="AH2123" s="10" t="n">
        <v>-17225</v>
      </c>
      <c r="AI2123" s="10" t="n">
        <v>-14661</v>
      </c>
      <c r="AJ2123" s="11" t="n">
        <v>19704</v>
      </c>
      <c r="AK2123" s="12" t="n">
        <v>-16810</v>
      </c>
      <c r="AL2123" s="12" t="n">
        <v>-15002</v>
      </c>
      <c r="AM2123" s="13" t="n">
        <v>50</v>
      </c>
      <c r="AN2123" s="13" t="n">
        <v>-74</v>
      </c>
      <c r="AO2123" s="13" t="n">
        <v>2.4</v>
      </c>
      <c r="AP2123" s="13" t="n">
        <v>-141.3</v>
      </c>
    </row>
    <row r="2124">
      <c r="A2124" s="5" t="inlineStr">
        <is>
          <t>더네이쳐홀딩스</t>
        </is>
      </c>
      <c r="B2124" s="6" t="inlineStr">
        <is>
          <t>298540</t>
        </is>
      </c>
      <c r="C2124" s="6" t="inlineStr">
        <is>
          <t>연결</t>
        </is>
      </c>
      <c r="D2124" s="6" t="inlineStr">
        <is>
          <t>2026Q2</t>
        </is>
      </c>
      <c r="E2124" s="6" t="inlineStr">
        <is>
          <t>2023Q4</t>
        </is>
      </c>
      <c r="F2124" s="14" t="n">
        <v>203097</v>
      </c>
      <c r="G2124" s="15" t="n">
        <v>29072</v>
      </c>
      <c r="H2124" s="15" t="n">
        <v>24003</v>
      </c>
      <c r="I2124" s="9" t="n">
        <v>127210</v>
      </c>
      <c r="J2124" s="10" t="n">
        <v>7036</v>
      </c>
      <c r="K2124" s="10" t="n">
        <v>7753</v>
      </c>
      <c r="L2124" s="7" t="n">
        <v>111231</v>
      </c>
      <c r="M2124" s="8" t="n">
        <v>6795</v>
      </c>
      <c r="N2124" s="8" t="n">
        <v>6038</v>
      </c>
      <c r="O2124" s="9" t="n">
        <v>96189</v>
      </c>
      <c r="P2124" s="10" t="n">
        <v>-2488</v>
      </c>
      <c r="Q2124" s="10" t="n">
        <v>-6181</v>
      </c>
      <c r="R2124" s="7" t="n">
        <v>182267</v>
      </c>
      <c r="S2124" s="8" t="n">
        <v>18751</v>
      </c>
      <c r="T2124" s="8" t="n">
        <v>11381</v>
      </c>
      <c r="U2124" s="9" t="n">
        <v>128794</v>
      </c>
      <c r="V2124" s="10" t="n">
        <v>9510</v>
      </c>
      <c r="W2124" s="10" t="n">
        <v>8557</v>
      </c>
      <c r="X2124" s="7" t="n">
        <v>96753</v>
      </c>
      <c r="Y2124" s="8" t="n">
        <v>-384</v>
      </c>
      <c r="Z2124" s="8" t="n">
        <v>-4270</v>
      </c>
      <c r="AA2124" s="9" t="n">
        <v>93370</v>
      </c>
      <c r="AB2124" s="10" t="n">
        <v>-6744</v>
      </c>
      <c r="AC2124" s="10" t="n">
        <v>-7004</v>
      </c>
      <c r="AD2124" s="7" t="n">
        <v>158605</v>
      </c>
      <c r="AE2124" s="8" t="n">
        <v>4586</v>
      </c>
      <c r="AF2124" s="8" t="n">
        <v>3742</v>
      </c>
      <c r="AG2124" s="9" t="n">
        <v>112789</v>
      </c>
      <c r="AH2124" s="10" t="n">
        <v>-877</v>
      </c>
      <c r="AI2124" s="10" t="n">
        <v>-1841</v>
      </c>
      <c r="AJ2124" s="11" t="n">
        <v>95559</v>
      </c>
      <c r="AK2124" s="12" t="n">
        <v>-1786</v>
      </c>
      <c r="AL2124" s="12" t="n">
        <v>2154</v>
      </c>
      <c r="AM2124" s="13" t="n">
        <v>-15.3</v>
      </c>
      <c r="AN2124" s="13" t="n">
        <v>-1.2</v>
      </c>
      <c r="AO2124" s="13" t="n">
        <v>-103.6</v>
      </c>
      <c r="AP2124" s="13" t="n">
        <v>-365.1</v>
      </c>
    </row>
    <row r="2125">
      <c r="A2125" s="5" t="inlineStr">
        <is>
          <t>에어부산</t>
        </is>
      </c>
      <c r="B2125" s="6" t="inlineStr">
        <is>
          <t>298690</t>
        </is>
      </c>
      <c r="C2125" s="6" t="inlineStr">
        <is>
          <t>별도</t>
        </is>
      </c>
      <c r="D2125" s="6" t="inlineStr">
        <is>
          <t>2026Q2</t>
        </is>
      </c>
      <c r="E2125" s="6" t="inlineStr"/>
      <c r="F2125" s="7" t="inlineStr"/>
      <c r="G2125" s="8" t="inlineStr"/>
      <c r="H2125" s="8" t="inlineStr"/>
      <c r="I2125" s="9" t="n">
        <v>272242</v>
      </c>
      <c r="J2125" s="10" t="n">
        <v>70940</v>
      </c>
      <c r="K2125" s="15" t="n">
        <v>22733</v>
      </c>
      <c r="L2125" s="7" t="n">
        <v>235400</v>
      </c>
      <c r="M2125" s="8" t="n">
        <v>18075</v>
      </c>
      <c r="N2125" s="8" t="n">
        <v>-12792</v>
      </c>
      <c r="O2125" s="9" t="n">
        <v>250179</v>
      </c>
      <c r="P2125" s="10" t="n">
        <v>37494</v>
      </c>
      <c r="Q2125" s="10" t="n">
        <v>50942</v>
      </c>
      <c r="R2125" s="7" t="n">
        <v>248942</v>
      </c>
      <c r="S2125" s="8" t="n">
        <v>19771</v>
      </c>
      <c r="T2125" s="8" t="inlineStr"/>
      <c r="U2125" s="9" t="n">
        <v>249576</v>
      </c>
      <c r="V2125" s="10" t="n">
        <v>40154</v>
      </c>
      <c r="W2125" s="10" t="n">
        <v>32187</v>
      </c>
      <c r="X2125" s="7" t="n">
        <v>171362</v>
      </c>
      <c r="Y2125" s="8" t="n">
        <v>-11125</v>
      </c>
      <c r="Z2125" s="8" t="n">
        <v>27738</v>
      </c>
      <c r="AA2125" s="9" t="n">
        <v>176284</v>
      </c>
      <c r="AB2125" s="10" t="n">
        <v>-28523</v>
      </c>
      <c r="AC2125" s="10" t="n">
        <v>-50412</v>
      </c>
      <c r="AD2125" s="7" t="n">
        <v>235363</v>
      </c>
      <c r="AE2125" s="8" t="n">
        <v>-5027</v>
      </c>
      <c r="AF2125" s="8" t="n">
        <v>-31596</v>
      </c>
      <c r="AG2125" s="9" t="n">
        <v>257722</v>
      </c>
      <c r="AH2125" s="10" t="n">
        <v>30443</v>
      </c>
      <c r="AI2125" s="10" t="n">
        <v>-16124</v>
      </c>
      <c r="AJ2125" s="11" t="n">
        <v>235319</v>
      </c>
      <c r="AK2125" s="12" t="n">
        <v>-35515</v>
      </c>
      <c r="AL2125" s="12" t="n">
        <v>-61757</v>
      </c>
      <c r="AM2125" s="13" t="n">
        <v>-8.699999999999999</v>
      </c>
      <c r="AN2125" s="13" t="n">
        <v>37.3</v>
      </c>
      <c r="AO2125" s="13" t="n">
        <v>-216.7</v>
      </c>
      <c r="AP2125" s="13" t="n">
        <v>-219.2</v>
      </c>
    </row>
    <row r="2126">
      <c r="A2126" s="5" t="inlineStr">
        <is>
          <t>슈어소프트테크</t>
        </is>
      </c>
      <c r="B2126" s="6" t="inlineStr">
        <is>
          <t>298830</t>
        </is>
      </c>
      <c r="C2126" s="6" t="inlineStr">
        <is>
          <t>연결</t>
        </is>
      </c>
      <c r="D2126" s="6" t="inlineStr">
        <is>
          <t>2026Q2</t>
        </is>
      </c>
      <c r="E2126" s="6" t="inlineStr"/>
      <c r="F2126" s="7" t="inlineStr"/>
      <c r="G2126" s="8" t="inlineStr"/>
      <c r="H2126" s="8" t="inlineStr"/>
      <c r="I2126" s="9" t="inlineStr"/>
      <c r="J2126" s="10" t="n">
        <v>-1859</v>
      </c>
      <c r="K2126" s="10" t="n">
        <v>-1733</v>
      </c>
      <c r="L2126" s="7" t="inlineStr"/>
      <c r="M2126" s="8" t="n">
        <v>-235</v>
      </c>
      <c r="N2126" s="8" t="n">
        <v>2447</v>
      </c>
      <c r="O2126" s="9" t="inlineStr"/>
      <c r="P2126" s="10" t="n">
        <v>2437</v>
      </c>
      <c r="Q2126" s="10" t="n">
        <v>1706</v>
      </c>
      <c r="R2126" s="7" t="inlineStr"/>
      <c r="S2126" s="8" t="n">
        <v>7548</v>
      </c>
      <c r="T2126" s="8" t="n">
        <v>7658</v>
      </c>
      <c r="U2126" s="9" t="inlineStr"/>
      <c r="V2126" s="10" t="n">
        <v>-2089</v>
      </c>
      <c r="W2126" s="10" t="n">
        <v>-2153</v>
      </c>
      <c r="X2126" s="7" t="inlineStr"/>
      <c r="Y2126" s="8" t="n">
        <v>188</v>
      </c>
      <c r="Z2126" s="8" t="n">
        <v>532</v>
      </c>
      <c r="AA2126" s="9" t="inlineStr"/>
      <c r="AB2126" s="10" t="n">
        <v>3599</v>
      </c>
      <c r="AC2126" s="10" t="n">
        <v>1469</v>
      </c>
      <c r="AD2126" s="7" t="inlineStr"/>
      <c r="AE2126" s="8" t="n">
        <v>10902</v>
      </c>
      <c r="AF2126" s="8" t="n">
        <v>9784</v>
      </c>
      <c r="AG2126" s="9" t="inlineStr"/>
      <c r="AH2126" s="10" t="n">
        <v>-415</v>
      </c>
      <c r="AI2126" s="10" t="n">
        <v>-651</v>
      </c>
      <c r="AJ2126" s="11" t="inlineStr"/>
      <c r="AK2126" s="12" t="n">
        <v>2755</v>
      </c>
      <c r="AL2126" s="12" t="n">
        <v>2753</v>
      </c>
      <c r="AM2126" s="13" t="inlineStr"/>
      <c r="AN2126" s="13" t="inlineStr"/>
      <c r="AO2126" s="13" t="n">
        <v>763.9</v>
      </c>
      <c r="AP2126" s="13" t="n">
        <v>1365.4</v>
      </c>
    </row>
    <row r="2127">
      <c r="A2127" s="5" t="inlineStr">
        <is>
          <t>하나기술</t>
        </is>
      </c>
      <c r="B2127" s="6" t="inlineStr">
        <is>
          <t>299030</t>
        </is>
      </c>
      <c r="C2127" s="6" t="inlineStr">
        <is>
          <t>연결</t>
        </is>
      </c>
      <c r="D2127" s="6" t="inlineStr">
        <is>
          <t>2026Q2</t>
        </is>
      </c>
      <c r="E2127" s="6" t="inlineStr"/>
      <c r="F2127" s="7" t="inlineStr"/>
      <c r="G2127" s="8" t="inlineStr"/>
      <c r="H2127" s="8" t="inlineStr"/>
      <c r="I2127" s="9" t="n">
        <v>32323</v>
      </c>
      <c r="J2127" s="10" t="n">
        <v>-5214</v>
      </c>
      <c r="K2127" s="10" t="n">
        <v>-2430</v>
      </c>
      <c r="L2127" s="7" t="n">
        <v>13174</v>
      </c>
      <c r="M2127" s="8" t="n">
        <v>-6141</v>
      </c>
      <c r="N2127" s="8" t="n">
        <v>1843</v>
      </c>
      <c r="O2127" s="9" t="n">
        <v>23107</v>
      </c>
      <c r="P2127" s="10" t="n">
        <v>-5644</v>
      </c>
      <c r="Q2127" s="10" t="n">
        <v>-10211</v>
      </c>
      <c r="R2127" s="7" t="n">
        <v>25615</v>
      </c>
      <c r="S2127" s="8" t="n">
        <v>-9398</v>
      </c>
      <c r="T2127" s="8" t="n">
        <v>-4713</v>
      </c>
      <c r="U2127" s="9" t="n">
        <v>14344</v>
      </c>
      <c r="V2127" s="10" t="n">
        <v>-1535</v>
      </c>
      <c r="W2127" s="10" t="n">
        <v>-1905</v>
      </c>
      <c r="X2127" s="7" t="n">
        <v>17236</v>
      </c>
      <c r="Y2127" s="8" t="n">
        <v>-3053</v>
      </c>
      <c r="Z2127" s="8" t="n">
        <v>-8486</v>
      </c>
      <c r="AA2127" s="9" t="n">
        <v>52459</v>
      </c>
      <c r="AB2127" s="10" t="n">
        <v>4271</v>
      </c>
      <c r="AC2127" s="10" t="n">
        <v>4277</v>
      </c>
      <c r="AD2127" s="7" t="n">
        <v>9794</v>
      </c>
      <c r="AE2127" s="8" t="n">
        <v>277</v>
      </c>
      <c r="AF2127" s="8" t="n">
        <v>309</v>
      </c>
      <c r="AG2127" s="9" t="n">
        <v>8261</v>
      </c>
      <c r="AH2127" s="10" t="n">
        <v>-3655</v>
      </c>
      <c r="AI2127" s="10" t="n">
        <v>-3733</v>
      </c>
      <c r="AJ2127" s="11" t="n">
        <v>5293</v>
      </c>
      <c r="AK2127" s="12" t="n">
        <v>-6370</v>
      </c>
      <c r="AL2127" s="12" t="n">
        <v>1226</v>
      </c>
      <c r="AM2127" s="13" t="n">
        <v>-35.9</v>
      </c>
      <c r="AN2127" s="13" t="n">
        <v>-69.3</v>
      </c>
      <c r="AO2127" s="13" t="n">
        <v>-74.3</v>
      </c>
      <c r="AP2127" s="13" t="n">
        <v>-108.6</v>
      </c>
    </row>
    <row r="2128">
      <c r="A2128" s="5" t="inlineStr">
        <is>
          <t>더블유에스아이</t>
        </is>
      </c>
      <c r="B2128" s="6" t="inlineStr">
        <is>
          <t>299170</t>
        </is>
      </c>
      <c r="C2128" s="6" t="inlineStr">
        <is>
          <t>연결</t>
        </is>
      </c>
      <c r="D2128" s="6" t="inlineStr">
        <is>
          <t>2026Q2</t>
        </is>
      </c>
      <c r="E2128" s="6" t="inlineStr"/>
      <c r="F2128" s="7" t="inlineStr"/>
      <c r="G2128" s="8" t="inlineStr"/>
      <c r="H2128" s="8" t="inlineStr"/>
      <c r="I2128" s="9" t="n">
        <v>7816</v>
      </c>
      <c r="J2128" s="10" t="n">
        <v>1010</v>
      </c>
      <c r="K2128" s="10" t="n">
        <v>439</v>
      </c>
      <c r="L2128" s="7" t="n">
        <v>8445</v>
      </c>
      <c r="M2128" s="8" t="n">
        <v>956</v>
      </c>
      <c r="N2128" s="8" t="n">
        <v>174</v>
      </c>
      <c r="O2128" s="9" t="n">
        <v>12857</v>
      </c>
      <c r="P2128" s="10" t="n">
        <v>697</v>
      </c>
      <c r="Q2128" s="10" t="n">
        <v>-444</v>
      </c>
      <c r="R2128" s="7" t="n">
        <v>11293</v>
      </c>
      <c r="S2128" s="8" t="n">
        <v>1187</v>
      </c>
      <c r="T2128" s="8" t="n">
        <v>1072</v>
      </c>
      <c r="U2128" s="9" t="n">
        <v>12824</v>
      </c>
      <c r="V2128" s="10" t="n">
        <v>1049</v>
      </c>
      <c r="W2128" s="10" t="n">
        <v>823</v>
      </c>
      <c r="X2128" s="7" t="n">
        <v>12984</v>
      </c>
      <c r="Y2128" s="8" t="n">
        <v>1113</v>
      </c>
      <c r="Z2128" s="8" t="n">
        <v>-2431</v>
      </c>
      <c r="AA2128" s="9" t="n">
        <v>13421</v>
      </c>
      <c r="AB2128" s="10" t="n">
        <v>1143</v>
      </c>
      <c r="AC2128" s="10" t="n">
        <v>992</v>
      </c>
      <c r="AD2128" s="7" t="n">
        <v>12477</v>
      </c>
      <c r="AE2128" s="8" t="n">
        <v>611</v>
      </c>
      <c r="AF2128" s="8" t="n">
        <v>-2878</v>
      </c>
      <c r="AG2128" s="9" t="n">
        <v>11946</v>
      </c>
      <c r="AH2128" s="10" t="n">
        <v>-172</v>
      </c>
      <c r="AI2128" s="10" t="n">
        <v>-59</v>
      </c>
      <c r="AJ2128" s="11" t="n">
        <v>12925</v>
      </c>
      <c r="AK2128" s="12" t="n">
        <v>1027</v>
      </c>
      <c r="AL2128" s="12" t="n">
        <v>818</v>
      </c>
      <c r="AM2128" s="13" t="n">
        <v>8.199999999999999</v>
      </c>
      <c r="AN2128" s="13" t="n">
        <v>-0.5</v>
      </c>
      <c r="AO2128" s="13" t="n">
        <v>697.1</v>
      </c>
      <c r="AP2128" s="13" t="n">
        <v>-7.7</v>
      </c>
    </row>
    <row r="2129">
      <c r="A2129" s="5" t="inlineStr">
        <is>
          <t>셀리드</t>
        </is>
      </c>
      <c r="B2129" s="6" t="inlineStr">
        <is>
          <t>299660</t>
        </is>
      </c>
      <c r="C2129" s="6" t="inlineStr">
        <is>
          <t>별도</t>
        </is>
      </c>
      <c r="D2129" s="6" t="inlineStr">
        <is>
          <t>2026Q2</t>
        </is>
      </c>
      <c r="E2129" s="6" t="inlineStr"/>
      <c r="F2129" s="7" t="inlineStr"/>
      <c r="G2129" s="8" t="inlineStr"/>
      <c r="H2129" s="8" t="inlineStr"/>
      <c r="I2129" s="9" t="n">
        <v>315</v>
      </c>
      <c r="J2129" s="10" t="n">
        <v>-2420</v>
      </c>
      <c r="K2129" s="10" t="n">
        <v>-3291</v>
      </c>
      <c r="L2129" s="7" t="n">
        <v>599</v>
      </c>
      <c r="M2129" s="8" t="n">
        <v>-3241</v>
      </c>
      <c r="N2129" s="8" t="n">
        <v>-2613</v>
      </c>
      <c r="O2129" s="9" t="n">
        <v>1369</v>
      </c>
      <c r="P2129" s="10" t="n">
        <v>-2714</v>
      </c>
      <c r="Q2129" s="10" t="n">
        <v>-2770</v>
      </c>
      <c r="R2129" s="7" t="n">
        <v>1882</v>
      </c>
      <c r="S2129" s="8" t="n">
        <v>-3605</v>
      </c>
      <c r="T2129" s="8" t="n">
        <v>-3585</v>
      </c>
      <c r="U2129" s="9" t="n">
        <v>1573</v>
      </c>
      <c r="V2129" s="10" t="n">
        <v>-2705</v>
      </c>
      <c r="W2129" s="10" t="n">
        <v>-2681</v>
      </c>
      <c r="X2129" s="7" t="n">
        <v>2129</v>
      </c>
      <c r="Y2129" s="8" t="n">
        <v>-2410</v>
      </c>
      <c r="Z2129" s="8" t="n">
        <v>-2510</v>
      </c>
      <c r="AA2129" s="9" t="n">
        <v>2333</v>
      </c>
      <c r="AB2129" s="10" t="n">
        <v>-2548</v>
      </c>
      <c r="AC2129" s="10" t="n">
        <v>-2374</v>
      </c>
      <c r="AD2129" s="7" t="n">
        <v>2807</v>
      </c>
      <c r="AE2129" s="8" t="n">
        <v>-3680</v>
      </c>
      <c r="AF2129" s="8" t="n">
        <v>-4504</v>
      </c>
      <c r="AG2129" s="9" t="n">
        <v>3215</v>
      </c>
      <c r="AH2129" s="10" t="n">
        <v>-1618</v>
      </c>
      <c r="AI2129" s="10" t="n">
        <v>-1483</v>
      </c>
      <c r="AJ2129" s="11" t="n">
        <v>2066</v>
      </c>
      <c r="AK2129" s="12" t="n">
        <v>-2502</v>
      </c>
      <c r="AL2129" s="12" t="n">
        <v>-19024</v>
      </c>
      <c r="AM2129" s="13" t="n">
        <v>-35.7</v>
      </c>
      <c r="AN2129" s="13" t="n">
        <v>-3</v>
      </c>
      <c r="AO2129" s="13" t="n">
        <v>-54.6</v>
      </c>
      <c r="AP2129" s="13" t="n">
        <v>-3.8</v>
      </c>
    </row>
    <row r="2130">
      <c r="A2130" s="5" t="inlineStr">
        <is>
          <t>위지윅스튜디오</t>
        </is>
      </c>
      <c r="B2130" s="6" t="inlineStr">
        <is>
          <t>299900</t>
        </is>
      </c>
      <c r="C2130" s="6" t="inlineStr">
        <is>
          <t>연결</t>
        </is>
      </c>
      <c r="D2130" s="6" t="inlineStr">
        <is>
          <t>2026Q1</t>
        </is>
      </c>
      <c r="E2130" s="6" t="inlineStr"/>
      <c r="F2130" s="7" t="inlineStr"/>
      <c r="G2130" s="8" t="inlineStr"/>
      <c r="H2130" s="8" t="inlineStr"/>
      <c r="I2130" s="9" t="n">
        <v>17040</v>
      </c>
      <c r="J2130" s="10" t="n">
        <v>-3660</v>
      </c>
      <c r="K2130" s="10" t="n">
        <v>-8900</v>
      </c>
      <c r="L2130" s="7" t="n">
        <v>6855</v>
      </c>
      <c r="M2130" s="8" t="n">
        <v>-4832</v>
      </c>
      <c r="N2130" s="8" t="n">
        <v>-7590</v>
      </c>
      <c r="O2130" s="9" t="n">
        <v>25317</v>
      </c>
      <c r="P2130" s="10" t="n">
        <v>-1604</v>
      </c>
      <c r="Q2130" s="10" t="n">
        <v>1316</v>
      </c>
      <c r="R2130" s="7" t="n">
        <v>31221</v>
      </c>
      <c r="S2130" s="8" t="n">
        <v>-1720</v>
      </c>
      <c r="T2130" s="8" t="n">
        <v>-45125</v>
      </c>
      <c r="U2130" s="9" t="n">
        <v>20792</v>
      </c>
      <c r="V2130" s="10" t="n">
        <v>-3454</v>
      </c>
      <c r="W2130" s="10" t="n">
        <v>-6542</v>
      </c>
      <c r="X2130" s="7" t="n">
        <v>24507</v>
      </c>
      <c r="Y2130" s="8" t="n">
        <v>-3298</v>
      </c>
      <c r="Z2130" s="8" t="n">
        <v>-6601</v>
      </c>
      <c r="AA2130" s="9" t="n">
        <v>29615</v>
      </c>
      <c r="AB2130" s="10" t="n">
        <v>-1674</v>
      </c>
      <c r="AC2130" s="10" t="n">
        <v>-3612</v>
      </c>
      <c r="AD2130" s="7" t="n">
        <v>27081</v>
      </c>
      <c r="AE2130" s="8" t="n">
        <v>-1131</v>
      </c>
      <c r="AF2130" s="8" t="n">
        <v>-25027</v>
      </c>
      <c r="AG2130" s="9" t="n">
        <v>13691</v>
      </c>
      <c r="AH2130" s="10" t="n">
        <v>-1826</v>
      </c>
      <c r="AI2130" s="10" t="n">
        <v>5937</v>
      </c>
      <c r="AJ2130" s="11" t="inlineStr"/>
      <c r="AK2130" s="12" t="inlineStr"/>
      <c r="AL2130" s="12" t="inlineStr"/>
      <c r="AM2130" s="13" t="inlineStr"/>
      <c r="AN2130" s="13" t="inlineStr"/>
      <c r="AO2130" s="13" t="inlineStr"/>
      <c r="AP2130" s="13" t="inlineStr"/>
    </row>
    <row r="2131">
      <c r="A2131" s="5" t="inlineStr">
        <is>
          <t>플리토</t>
        </is>
      </c>
      <c r="B2131" s="6" t="inlineStr">
        <is>
          <t>300080</t>
        </is>
      </c>
      <c r="C2131" s="6" t="inlineStr">
        <is>
          <t>연결</t>
        </is>
      </c>
      <c r="D2131" s="6" t="inlineStr">
        <is>
          <t>2026Q2</t>
        </is>
      </c>
      <c r="E2131" s="6" t="inlineStr"/>
      <c r="F2131" s="7" t="inlineStr"/>
      <c r="G2131" s="8" t="inlineStr"/>
      <c r="H2131" s="8" t="inlineStr"/>
      <c r="I2131" s="9" t="n">
        <v>4171</v>
      </c>
      <c r="J2131" s="10" t="n">
        <v>-444</v>
      </c>
      <c r="K2131" s="10" t="n">
        <v>222</v>
      </c>
      <c r="L2131" s="7" t="n">
        <v>3661</v>
      </c>
      <c r="M2131" s="8" t="n">
        <v>-1414</v>
      </c>
      <c r="N2131" s="8" t="n">
        <v>-1077</v>
      </c>
      <c r="O2131" s="9" t="n">
        <v>6888</v>
      </c>
      <c r="P2131" s="10" t="n">
        <v>1225</v>
      </c>
      <c r="Q2131" s="10" t="n">
        <v>1192</v>
      </c>
      <c r="R2131" s="7" t="n">
        <v>5581</v>
      </c>
      <c r="S2131" s="8" t="n">
        <v>237</v>
      </c>
      <c r="T2131" s="8" t="n">
        <v>472</v>
      </c>
      <c r="U2131" s="9" t="n">
        <v>4609</v>
      </c>
      <c r="V2131" s="10" t="n">
        <v>174</v>
      </c>
      <c r="W2131" s="10" t="n">
        <v>212</v>
      </c>
      <c r="X2131" s="7" t="n">
        <v>9378</v>
      </c>
      <c r="Y2131" s="8" t="n">
        <v>2430</v>
      </c>
      <c r="Z2131" s="8" t="n">
        <v>2326</v>
      </c>
      <c r="AA2131" s="9" t="n">
        <v>11781</v>
      </c>
      <c r="AB2131" s="10" t="n">
        <v>2830</v>
      </c>
      <c r="AC2131" s="10" t="n">
        <v>3012</v>
      </c>
      <c r="AD2131" s="7" t="n">
        <v>10212</v>
      </c>
      <c r="AE2131" s="8" t="n">
        <v>720</v>
      </c>
      <c r="AF2131" s="8" t="n">
        <v>898</v>
      </c>
      <c r="AG2131" s="9" t="n">
        <v>5214</v>
      </c>
      <c r="AH2131" s="10" t="n">
        <v>-64</v>
      </c>
      <c r="AI2131" s="10" t="n">
        <v>167</v>
      </c>
      <c r="AJ2131" s="11" t="n">
        <v>8106</v>
      </c>
      <c r="AK2131" s="12" t="n">
        <v>1398</v>
      </c>
      <c r="AL2131" s="12" t="n">
        <v>1556</v>
      </c>
      <c r="AM2131" s="13" t="n">
        <v>55.5</v>
      </c>
      <c r="AN2131" s="13" t="n">
        <v>-13.6</v>
      </c>
      <c r="AO2131" s="13" t="n">
        <v>2284.4</v>
      </c>
      <c r="AP2131" s="13" t="n">
        <v>-42.5</v>
      </c>
    </row>
    <row r="2132">
      <c r="A2132" s="5" t="inlineStr">
        <is>
          <t>라온피플</t>
        </is>
      </c>
      <c r="B2132" s="6" t="inlineStr">
        <is>
          <t>300120</t>
        </is>
      </c>
      <c r="C2132" s="6" t="inlineStr">
        <is>
          <t>연결</t>
        </is>
      </c>
      <c r="D2132" s="6" t="inlineStr">
        <is>
          <t>2026Q2</t>
        </is>
      </c>
      <c r="E2132" s="6" t="inlineStr"/>
      <c r="F2132" s="7" t="inlineStr"/>
      <c r="G2132" s="8" t="inlineStr"/>
      <c r="H2132" s="8" t="inlineStr"/>
      <c r="I2132" s="9" t="n">
        <v>34030</v>
      </c>
      <c r="J2132" s="10" t="n">
        <v>-4888</v>
      </c>
      <c r="K2132" s="10" t="n">
        <v>-4416</v>
      </c>
      <c r="L2132" s="7" t="n">
        <v>63953</v>
      </c>
      <c r="M2132" s="8" t="n">
        <v>-3235</v>
      </c>
      <c r="N2132" s="8" t="n">
        <v>-1309</v>
      </c>
      <c r="O2132" s="9" t="n">
        <v>27980</v>
      </c>
      <c r="P2132" s="10" t="n">
        <v>-7089</v>
      </c>
      <c r="Q2132" s="10" t="n">
        <v>-7664</v>
      </c>
      <c r="R2132" s="7" t="n">
        <v>94263</v>
      </c>
      <c r="S2132" s="8" t="n">
        <v>-1037</v>
      </c>
      <c r="T2132" s="8" t="n">
        <v>-547</v>
      </c>
      <c r="U2132" s="9" t="n">
        <v>44927</v>
      </c>
      <c r="V2132" s="10" t="n">
        <v>-7832</v>
      </c>
      <c r="W2132" s="10" t="n">
        <v>-8603</v>
      </c>
      <c r="X2132" s="7" t="n">
        <v>63996</v>
      </c>
      <c r="Y2132" s="8" t="n">
        <v>-4548</v>
      </c>
      <c r="Z2132" s="8" t="n">
        <v>-7188</v>
      </c>
      <c r="AA2132" s="9" t="n">
        <v>19893</v>
      </c>
      <c r="AB2132" s="10" t="n">
        <v>-6223</v>
      </c>
      <c r="AC2132" s="10" t="n">
        <v>-7231</v>
      </c>
      <c r="AD2132" s="7" t="n">
        <v>94992</v>
      </c>
      <c r="AE2132" s="8" t="n">
        <v>2411</v>
      </c>
      <c r="AF2132" s="8" t="n">
        <v>2586</v>
      </c>
      <c r="AG2132" s="9" t="n">
        <v>39877</v>
      </c>
      <c r="AH2132" s="10" t="n">
        <v>-2693</v>
      </c>
      <c r="AI2132" s="10" t="n">
        <v>-3496</v>
      </c>
      <c r="AJ2132" s="11" t="n">
        <v>64079</v>
      </c>
      <c r="AK2132" s="12" t="n">
        <v>-495</v>
      </c>
      <c r="AL2132" s="12" t="n">
        <v>140</v>
      </c>
      <c r="AM2132" s="13" t="n">
        <v>60.7</v>
      </c>
      <c r="AN2132" s="13" t="n">
        <v>0.1</v>
      </c>
      <c r="AO2132" s="13" t="n">
        <v>81.59999999999999</v>
      </c>
      <c r="AP2132" s="13" t="n">
        <v>89.09999999999999</v>
      </c>
    </row>
    <row r="2133">
      <c r="A2133" s="5" t="inlineStr">
        <is>
          <t>한일시멘트</t>
        </is>
      </c>
      <c r="B2133" s="6" t="inlineStr">
        <is>
          <t>300720</t>
        </is>
      </c>
      <c r="C2133" s="6" t="inlineStr">
        <is>
          <t>연결</t>
        </is>
      </c>
      <c r="D2133" s="6" t="inlineStr">
        <is>
          <t>2026Q2</t>
        </is>
      </c>
      <c r="E2133" s="6" t="inlineStr"/>
      <c r="F2133" s="7" t="inlineStr"/>
      <c r="G2133" s="8" t="inlineStr"/>
      <c r="H2133" s="8" t="inlineStr"/>
      <c r="I2133" s="9" t="n">
        <v>411647</v>
      </c>
      <c r="J2133" s="10" t="n">
        <v>55567</v>
      </c>
      <c r="K2133" s="10" t="n">
        <v>55231</v>
      </c>
      <c r="L2133" s="7" t="n">
        <v>498127</v>
      </c>
      <c r="M2133" s="8" t="n">
        <v>106996</v>
      </c>
      <c r="N2133" s="8" t="n">
        <v>73854</v>
      </c>
      <c r="O2133" s="9" t="n">
        <v>389404</v>
      </c>
      <c r="P2133" s="10" t="n">
        <v>73262</v>
      </c>
      <c r="Q2133" s="10" t="n">
        <v>54153</v>
      </c>
      <c r="R2133" s="7" t="n">
        <v>442493</v>
      </c>
      <c r="S2133" s="8" t="n">
        <v>35565</v>
      </c>
      <c r="T2133" s="8" t="n">
        <v>15778</v>
      </c>
      <c r="U2133" s="9" t="n">
        <v>298176</v>
      </c>
      <c r="V2133" s="10" t="n">
        <v>16959</v>
      </c>
      <c r="W2133" s="10" t="n">
        <v>10581</v>
      </c>
      <c r="X2133" s="7" t="n">
        <v>407648</v>
      </c>
      <c r="Y2133" s="8" t="n">
        <v>47496</v>
      </c>
      <c r="Z2133" s="8" t="n">
        <v>24007</v>
      </c>
      <c r="AA2133" s="9" t="n">
        <v>357793</v>
      </c>
      <c r="AB2133" s="10" t="n">
        <v>50690</v>
      </c>
      <c r="AC2133" s="10" t="n">
        <v>36355</v>
      </c>
      <c r="AD2133" s="7" t="n">
        <v>360243</v>
      </c>
      <c r="AE2133" s="8" t="n">
        <v>17594</v>
      </c>
      <c r="AF2133" s="8" t="n">
        <v>10199</v>
      </c>
      <c r="AG2133" s="9" t="n">
        <v>293028</v>
      </c>
      <c r="AH2133" s="10" t="n">
        <v>17028</v>
      </c>
      <c r="AI2133" s="10" t="n">
        <v>9394</v>
      </c>
      <c r="AJ2133" s="11" t="n">
        <v>370951</v>
      </c>
      <c r="AK2133" s="12" t="n">
        <v>61562</v>
      </c>
      <c r="AL2133" s="12" t="n">
        <v>48364</v>
      </c>
      <c r="AM2133" s="13" t="n">
        <v>26.6</v>
      </c>
      <c r="AN2133" s="13" t="n">
        <v>-9</v>
      </c>
      <c r="AO2133" s="13" t="n">
        <v>261.5</v>
      </c>
      <c r="AP2133" s="13" t="n">
        <v>29.6</v>
      </c>
    </row>
    <row r="2134">
      <c r="A2134" s="5" t="inlineStr">
        <is>
          <t>바이브컴퍼니</t>
        </is>
      </c>
      <c r="B2134" s="6" t="inlineStr">
        <is>
          <t>301300</t>
        </is>
      </c>
      <c r="C2134" s="6" t="inlineStr">
        <is>
          <t>별도</t>
        </is>
      </c>
      <c r="D2134" s="6" t="inlineStr">
        <is>
          <t>2026Q2</t>
        </is>
      </c>
      <c r="E2134" s="6" t="inlineStr"/>
      <c r="F2134" s="7" t="inlineStr"/>
      <c r="G2134" s="8" t="inlineStr"/>
      <c r="H2134" s="8" t="inlineStr"/>
      <c r="I2134" s="9" t="n">
        <v>5511</v>
      </c>
      <c r="J2134" s="10" t="n">
        <v>-2849</v>
      </c>
      <c r="K2134" s="10" t="n">
        <v>-3734</v>
      </c>
      <c r="L2134" s="7" t="n">
        <v>6246</v>
      </c>
      <c r="M2134" s="8" t="n">
        <v>-2223</v>
      </c>
      <c r="N2134" s="8" t="n">
        <v>-4322</v>
      </c>
      <c r="O2134" s="9" t="n">
        <v>5730</v>
      </c>
      <c r="P2134" s="10" t="n">
        <v>-1943</v>
      </c>
      <c r="Q2134" s="10" t="n">
        <v>-3670</v>
      </c>
      <c r="R2134" s="7" t="n">
        <v>8854</v>
      </c>
      <c r="S2134" s="8" t="n">
        <v>1023</v>
      </c>
      <c r="T2134" s="8" t="n">
        <v>2396</v>
      </c>
      <c r="U2134" s="9" t="n">
        <v>3481</v>
      </c>
      <c r="V2134" s="10" t="n">
        <v>-2480</v>
      </c>
      <c r="W2134" s="10" t="n">
        <v>-4166</v>
      </c>
      <c r="X2134" s="7" t="n">
        <v>3804</v>
      </c>
      <c r="Y2134" s="8" t="n">
        <v>-1169</v>
      </c>
      <c r="Z2134" s="8" t="n">
        <v>2788</v>
      </c>
      <c r="AA2134" s="9" t="n">
        <v>5263</v>
      </c>
      <c r="AB2134" s="10" t="n">
        <v>-766</v>
      </c>
      <c r="AC2134" s="10" t="n">
        <v>-1729</v>
      </c>
      <c r="AD2134" s="7" t="n">
        <v>6461</v>
      </c>
      <c r="AE2134" s="8" t="n">
        <v>660</v>
      </c>
      <c r="AF2134" s="8" t="n">
        <v>-15321</v>
      </c>
      <c r="AG2134" s="9" t="n">
        <v>3132</v>
      </c>
      <c r="AH2134" s="10" t="n">
        <v>-675</v>
      </c>
      <c r="AI2134" s="10" t="n">
        <v>-3028</v>
      </c>
      <c r="AJ2134" s="11" t="n">
        <v>2715</v>
      </c>
      <c r="AK2134" s="12" t="n">
        <v>-839</v>
      </c>
      <c r="AL2134" s="12" t="n">
        <v>-1317</v>
      </c>
      <c r="AM2134" s="13" t="n">
        <v>-13.3</v>
      </c>
      <c r="AN2134" s="13" t="n">
        <v>-28.6</v>
      </c>
      <c r="AO2134" s="13" t="n">
        <v>-24.3</v>
      </c>
      <c r="AP2134" s="13" t="n">
        <v>28.2</v>
      </c>
    </row>
    <row r="2135">
      <c r="A2135" s="5" t="inlineStr">
        <is>
          <t>이노메트리</t>
        </is>
      </c>
      <c r="B2135" s="6" t="inlineStr">
        <is>
          <t>302430</t>
        </is>
      </c>
      <c r="C2135" s="6" t="inlineStr">
        <is>
          <t>연결</t>
        </is>
      </c>
      <c r="D2135" s="6" t="inlineStr">
        <is>
          <t>2026Q2</t>
        </is>
      </c>
      <c r="E2135" s="6" t="inlineStr"/>
      <c r="F2135" s="7" t="inlineStr"/>
      <c r="G2135" s="8" t="inlineStr"/>
      <c r="H2135" s="8" t="inlineStr"/>
      <c r="I2135" s="9" t="n">
        <v>14254</v>
      </c>
      <c r="J2135" s="10" t="n">
        <v>813</v>
      </c>
      <c r="K2135" s="10" t="n">
        <v>2116</v>
      </c>
      <c r="L2135" s="7" t="n">
        <v>16347</v>
      </c>
      <c r="M2135" s="8" t="n">
        <v>1536</v>
      </c>
      <c r="N2135" s="8" t="n">
        <v>2668</v>
      </c>
      <c r="O2135" s="9" t="n">
        <v>13300</v>
      </c>
      <c r="P2135" s="10" t="n">
        <v>917</v>
      </c>
      <c r="Q2135" s="10" t="n">
        <v>505</v>
      </c>
      <c r="R2135" s="7" t="n">
        <v>9095</v>
      </c>
      <c r="S2135" s="8" t="n">
        <v>-10494</v>
      </c>
      <c r="T2135" s="8" t="n">
        <v>-6756</v>
      </c>
      <c r="U2135" s="9" t="n">
        <v>8669</v>
      </c>
      <c r="V2135" s="10" t="n">
        <v>-2189</v>
      </c>
      <c r="W2135" s="10" t="n">
        <v>-1902</v>
      </c>
      <c r="X2135" s="7" t="n">
        <v>10616</v>
      </c>
      <c r="Y2135" s="8" t="n">
        <v>989</v>
      </c>
      <c r="Z2135" s="8" t="n">
        <v>559</v>
      </c>
      <c r="AA2135" s="9" t="n">
        <v>9541</v>
      </c>
      <c r="AB2135" s="10" t="n">
        <v>-273</v>
      </c>
      <c r="AC2135" s="10" t="n">
        <v>540</v>
      </c>
      <c r="AD2135" s="7" t="n">
        <v>9742</v>
      </c>
      <c r="AE2135" s="8" t="n">
        <v>-4230</v>
      </c>
      <c r="AF2135" s="8" t="n">
        <v>-3493</v>
      </c>
      <c r="AG2135" s="9" t="n">
        <v>17523</v>
      </c>
      <c r="AH2135" s="10" t="n">
        <v>246</v>
      </c>
      <c r="AI2135" s="10" t="n">
        <v>1314</v>
      </c>
      <c r="AJ2135" s="11" t="n">
        <v>14631</v>
      </c>
      <c r="AK2135" s="12" t="n">
        <v>-2155</v>
      </c>
      <c r="AL2135" s="12" t="n">
        <v>-2225</v>
      </c>
      <c r="AM2135" s="13" t="n">
        <v>-16.5</v>
      </c>
      <c r="AN2135" s="13" t="n">
        <v>37.8</v>
      </c>
      <c r="AO2135" s="13" t="n">
        <v>-976</v>
      </c>
      <c r="AP2135" s="13" t="n">
        <v>-317.9</v>
      </c>
    </row>
    <row r="2136">
      <c r="A2136" s="5" t="inlineStr">
        <is>
          <t>SK바이오사이언스</t>
        </is>
      </c>
      <c r="B2136" s="6" t="inlineStr">
        <is>
          <t>302440</t>
        </is>
      </c>
      <c r="C2136" s="6" t="inlineStr">
        <is>
          <t>연결</t>
        </is>
      </c>
      <c r="D2136" s="6" t="inlineStr">
        <is>
          <t>2026Q2</t>
        </is>
      </c>
      <c r="E2136" s="6" t="inlineStr">
        <is>
          <t>2023Q4</t>
        </is>
      </c>
      <c r="F2136" s="14" t="n">
        <v>90604</v>
      </c>
      <c r="G2136" s="15" t="n">
        <v>-8427</v>
      </c>
      <c r="H2136" s="15" t="n">
        <v>4170</v>
      </c>
      <c r="I2136" s="9" t="n">
        <v>22271</v>
      </c>
      <c r="J2136" s="10" t="n">
        <v>-28102</v>
      </c>
      <c r="K2136" s="10" t="n">
        <v>-13718</v>
      </c>
      <c r="L2136" s="7" t="n">
        <v>26777</v>
      </c>
      <c r="M2136" s="8" t="n">
        <v>-19940</v>
      </c>
      <c r="N2136" s="8" t="n">
        <v>-11409</v>
      </c>
      <c r="O2136" s="9" t="n">
        <v>61648</v>
      </c>
      <c r="P2136" s="10" t="n">
        <v>-39614</v>
      </c>
      <c r="Q2136" s="10" t="n">
        <v>-22317</v>
      </c>
      <c r="R2136" s="7" t="n">
        <v>156849</v>
      </c>
      <c r="S2136" s="8" t="n">
        <v>-50775</v>
      </c>
      <c r="T2136" s="8" t="n">
        <v>-2673</v>
      </c>
      <c r="U2136" s="9" t="n">
        <v>154558</v>
      </c>
      <c r="V2136" s="10" t="n">
        <v>-15126</v>
      </c>
      <c r="W2136" s="10" t="n">
        <v>-4071</v>
      </c>
      <c r="X2136" s="7" t="n">
        <v>161860</v>
      </c>
      <c r="Y2136" s="8" t="n">
        <v>-37395</v>
      </c>
      <c r="Z2136" s="8" t="n">
        <v>-16779</v>
      </c>
      <c r="AA2136" s="9" t="n">
        <v>150765</v>
      </c>
      <c r="AB2136" s="10" t="n">
        <v>-19371</v>
      </c>
      <c r="AC2136" s="10" t="n">
        <v>21083</v>
      </c>
      <c r="AD2136" s="7" t="n">
        <v>184185</v>
      </c>
      <c r="AE2136" s="8" t="n">
        <v>-51610</v>
      </c>
      <c r="AF2136" s="8" t="n">
        <v>-56406</v>
      </c>
      <c r="AG2136" s="9" t="n">
        <v>168611</v>
      </c>
      <c r="AH2136" s="10" t="n">
        <v>-44535</v>
      </c>
      <c r="AI2136" s="10" t="n">
        <v>-36164</v>
      </c>
      <c r="AJ2136" s="11" t="n">
        <v>155705</v>
      </c>
      <c r="AK2136" s="12" t="n">
        <v>-15738</v>
      </c>
      <c r="AL2136" s="12" t="n">
        <v>-14086</v>
      </c>
      <c r="AM2136" s="13" t="n">
        <v>-7.7</v>
      </c>
      <c r="AN2136" s="13" t="n">
        <v>-3.8</v>
      </c>
      <c r="AO2136" s="13" t="n">
        <v>64.7</v>
      </c>
      <c r="AP2136" s="13" t="n">
        <v>57.9</v>
      </c>
    </row>
    <row r="2137">
      <c r="A2137" s="5" t="inlineStr">
        <is>
          <t>리메드</t>
        </is>
      </c>
      <c r="B2137" s="6" t="inlineStr">
        <is>
          <t>302550</t>
        </is>
      </c>
      <c r="C2137" s="6" t="inlineStr">
        <is>
          <t>연결</t>
        </is>
      </c>
      <c r="D2137" s="6" t="inlineStr">
        <is>
          <t>2026Q2</t>
        </is>
      </c>
      <c r="E2137" s="6" t="inlineStr"/>
      <c r="F2137" s="7" t="inlineStr"/>
      <c r="G2137" s="8" t="inlineStr"/>
      <c r="H2137" s="8" t="inlineStr"/>
      <c r="I2137" s="9" t="n">
        <v>5316</v>
      </c>
      <c r="J2137" s="10" t="n">
        <v>-185</v>
      </c>
      <c r="K2137" s="10" t="n">
        <v>-149</v>
      </c>
      <c r="L2137" s="7" t="n">
        <v>7757</v>
      </c>
      <c r="M2137" s="8" t="n">
        <v>1432</v>
      </c>
      <c r="N2137" s="8" t="n">
        <v>972</v>
      </c>
      <c r="O2137" s="9" t="n">
        <v>6034</v>
      </c>
      <c r="P2137" s="10" t="n">
        <v>124</v>
      </c>
      <c r="Q2137" s="10" t="n">
        <v>3444</v>
      </c>
      <c r="R2137" s="7" t="n">
        <v>6447</v>
      </c>
      <c r="S2137" s="8" t="n">
        <v>-250</v>
      </c>
      <c r="T2137" s="8" t="n">
        <v>3114</v>
      </c>
      <c r="U2137" s="9" t="n">
        <v>6443</v>
      </c>
      <c r="V2137" s="10" t="n">
        <v>377</v>
      </c>
      <c r="W2137" s="10" t="n">
        <v>218</v>
      </c>
      <c r="X2137" s="7" t="n">
        <v>5554</v>
      </c>
      <c r="Y2137" s="8" t="n">
        <v>25</v>
      </c>
      <c r="Z2137" s="8" t="n">
        <v>-217</v>
      </c>
      <c r="AA2137" s="9" t="n">
        <v>5812</v>
      </c>
      <c r="AB2137" s="10" t="n">
        <v>272</v>
      </c>
      <c r="AC2137" s="10" t="n">
        <v>168</v>
      </c>
      <c r="AD2137" s="7" t="n">
        <v>6696</v>
      </c>
      <c r="AE2137" s="8" t="n">
        <v>52</v>
      </c>
      <c r="AF2137" s="8" t="n">
        <v>-204</v>
      </c>
      <c r="AG2137" s="9" t="n">
        <v>7176</v>
      </c>
      <c r="AH2137" s="10" t="n">
        <v>684</v>
      </c>
      <c r="AI2137" s="10" t="n">
        <v>1018</v>
      </c>
      <c r="AJ2137" s="11" t="n">
        <v>7369</v>
      </c>
      <c r="AK2137" s="12" t="n">
        <v>945</v>
      </c>
      <c r="AL2137" s="12" t="n">
        <v>272</v>
      </c>
      <c r="AM2137" s="13" t="n">
        <v>2.7</v>
      </c>
      <c r="AN2137" s="13" t="n">
        <v>32.7</v>
      </c>
      <c r="AO2137" s="13" t="n">
        <v>38.2</v>
      </c>
      <c r="AP2137" s="13" t="n">
        <v>3680</v>
      </c>
    </row>
    <row r="2138">
      <c r="A2138" s="5" t="inlineStr">
        <is>
          <t>지니틱스</t>
        </is>
      </c>
      <c r="B2138" s="6" t="inlineStr">
        <is>
          <t>303030</t>
        </is>
      </c>
      <c r="C2138" s="6" t="inlineStr">
        <is>
          <t>별도</t>
        </is>
      </c>
      <c r="D2138" s="6" t="inlineStr">
        <is>
          <t>2026Q2</t>
        </is>
      </c>
      <c r="E2138" s="6" t="inlineStr"/>
      <c r="F2138" s="7" t="inlineStr"/>
      <c r="G2138" s="8" t="inlineStr"/>
      <c r="H2138" s="8" t="inlineStr"/>
      <c r="I2138" s="9" t="n">
        <v>15952</v>
      </c>
      <c r="J2138" s="10" t="n">
        <v>-399</v>
      </c>
      <c r="K2138" s="10" t="n">
        <v>-238</v>
      </c>
      <c r="L2138" s="7" t="n">
        <v>13831</v>
      </c>
      <c r="M2138" s="8" t="n">
        <v>776</v>
      </c>
      <c r="N2138" s="8" t="n">
        <v>884</v>
      </c>
      <c r="O2138" s="9" t="n">
        <v>12677</v>
      </c>
      <c r="P2138" s="10" t="n">
        <v>175</v>
      </c>
      <c r="Q2138" s="10" t="n">
        <v>2</v>
      </c>
      <c r="R2138" s="7" t="n">
        <v>11616</v>
      </c>
      <c r="S2138" s="8" t="n">
        <v>-270</v>
      </c>
      <c r="T2138" s="8" t="n">
        <v>5</v>
      </c>
      <c r="U2138" s="9" t="n">
        <v>9615</v>
      </c>
      <c r="V2138" s="10" t="n">
        <v>-256</v>
      </c>
      <c r="W2138" s="10" t="n">
        <v>-143</v>
      </c>
      <c r="X2138" s="7" t="n">
        <v>9541</v>
      </c>
      <c r="Y2138" s="8" t="n">
        <v>-2206</v>
      </c>
      <c r="Z2138" s="8" t="n">
        <v>-2592</v>
      </c>
      <c r="AA2138" s="9" t="n">
        <v>9584</v>
      </c>
      <c r="AB2138" s="10" t="n">
        <v>-1899</v>
      </c>
      <c r="AC2138" s="10" t="n">
        <v>-1759</v>
      </c>
      <c r="AD2138" s="7" t="n">
        <v>7640</v>
      </c>
      <c r="AE2138" s="8" t="n">
        <v>-4192</v>
      </c>
      <c r="AF2138" s="8" t="n">
        <v>-5084</v>
      </c>
      <c r="AG2138" s="9" t="n">
        <v>8506</v>
      </c>
      <c r="AH2138" s="10" t="n">
        <v>-862</v>
      </c>
      <c r="AI2138" s="10" t="n">
        <v>-743</v>
      </c>
      <c r="AJ2138" s="11" t="n">
        <v>9113</v>
      </c>
      <c r="AK2138" s="12" t="n">
        <v>-1009</v>
      </c>
      <c r="AL2138" s="12" t="n">
        <v>-1116</v>
      </c>
      <c r="AM2138" s="13" t="n">
        <v>7.1</v>
      </c>
      <c r="AN2138" s="13" t="n">
        <v>-4.5</v>
      </c>
      <c r="AO2138" s="13" t="n">
        <v>-17.1</v>
      </c>
      <c r="AP2138" s="13" t="n">
        <v>54.3</v>
      </c>
    </row>
    <row r="2139">
      <c r="A2139" s="5" t="inlineStr">
        <is>
          <t>프로티아</t>
        </is>
      </c>
      <c r="B2139" s="6" t="inlineStr">
        <is>
          <t>303360</t>
        </is>
      </c>
      <c r="C2139" s="6" t="inlineStr">
        <is>
          <t>별도</t>
        </is>
      </c>
      <c r="D2139" s="6" t="inlineStr">
        <is>
          <t>2026Q2</t>
        </is>
      </c>
      <c r="E2139" s="6" t="inlineStr"/>
      <c r="F2139" s="7" t="inlineStr"/>
      <c r="G2139" s="8" t="inlineStr"/>
      <c r="H2139" s="8" t="inlineStr"/>
      <c r="I2139" s="9" t="n">
        <v>2166</v>
      </c>
      <c r="J2139" s="10" t="n">
        <v>-164</v>
      </c>
      <c r="K2139" s="10" t="n">
        <v>95</v>
      </c>
      <c r="L2139" s="7" t="n">
        <v>2456</v>
      </c>
      <c r="M2139" s="8" t="n">
        <v>574</v>
      </c>
      <c r="N2139" s="8" t="n">
        <v>988</v>
      </c>
      <c r="O2139" s="9" t="n">
        <v>2945</v>
      </c>
      <c r="P2139" s="10" t="n">
        <v>540</v>
      </c>
      <c r="Q2139" s="10" t="n">
        <v>351</v>
      </c>
      <c r="R2139" s="7" t="n">
        <v>2948</v>
      </c>
      <c r="S2139" s="8" t="n">
        <v>552</v>
      </c>
      <c r="T2139" s="8" t="n">
        <v>1008</v>
      </c>
      <c r="U2139" s="9" t="n">
        <v>2696</v>
      </c>
      <c r="V2139" s="10" t="n">
        <v>412</v>
      </c>
      <c r="W2139" s="10" t="n">
        <v>714</v>
      </c>
      <c r="X2139" s="7" t="n">
        <v>3845</v>
      </c>
      <c r="Y2139" s="8" t="n">
        <v>1044</v>
      </c>
      <c r="Z2139" s="8" t="n">
        <v>787</v>
      </c>
      <c r="AA2139" s="9" t="n">
        <v>4034</v>
      </c>
      <c r="AB2139" s="10" t="n">
        <v>1175</v>
      </c>
      <c r="AC2139" s="10" t="n">
        <v>1289</v>
      </c>
      <c r="AD2139" s="7" t="n">
        <v>4545</v>
      </c>
      <c r="AE2139" s="8" t="n">
        <v>1090</v>
      </c>
      <c r="AF2139" s="8" t="n">
        <v>1681</v>
      </c>
      <c r="AG2139" s="9" t="n">
        <v>3822</v>
      </c>
      <c r="AH2139" s="10" t="n">
        <v>760</v>
      </c>
      <c r="AI2139" s="10" t="n">
        <v>978</v>
      </c>
      <c r="AJ2139" s="11" t="n">
        <v>5347</v>
      </c>
      <c r="AK2139" s="12" t="n">
        <v>1637</v>
      </c>
      <c r="AL2139" s="12" t="n">
        <v>1551</v>
      </c>
      <c r="AM2139" s="13" t="n">
        <v>39.9</v>
      </c>
      <c r="AN2139" s="13" t="n">
        <v>39.1</v>
      </c>
      <c r="AO2139" s="13" t="n">
        <v>115.4</v>
      </c>
      <c r="AP2139" s="13" t="n">
        <v>56.8</v>
      </c>
    </row>
    <row r="2140">
      <c r="A2140" s="5" t="inlineStr">
        <is>
          <t>이노뎁</t>
        </is>
      </c>
      <c r="B2140" s="6" t="inlineStr">
        <is>
          <t>303530</t>
        </is>
      </c>
      <c r="C2140" s="6" t="inlineStr">
        <is>
          <t>연결</t>
        </is>
      </c>
      <c r="D2140" s="6" t="inlineStr">
        <is>
          <t>2026Q2</t>
        </is>
      </c>
      <c r="E2140" s="6" t="inlineStr"/>
      <c r="F2140" s="7" t="inlineStr"/>
      <c r="G2140" s="8" t="inlineStr"/>
      <c r="H2140" s="8" t="inlineStr"/>
      <c r="I2140" s="9" t="n">
        <v>10174</v>
      </c>
      <c r="J2140" s="10" t="n">
        <v>-6066</v>
      </c>
      <c r="K2140" s="10" t="n">
        <v>-5981</v>
      </c>
      <c r="L2140" s="7" t="n">
        <v>25990</v>
      </c>
      <c r="M2140" s="8" t="n">
        <v>657</v>
      </c>
      <c r="N2140" s="8" t="n">
        <v>698</v>
      </c>
      <c r="O2140" s="9" t="n">
        <v>14061</v>
      </c>
      <c r="P2140" s="10" t="n">
        <v>-2329</v>
      </c>
      <c r="Q2140" s="10" t="n">
        <v>-2177</v>
      </c>
      <c r="R2140" s="7" t="n">
        <v>36551</v>
      </c>
      <c r="S2140" s="8" t="n">
        <v>5804</v>
      </c>
      <c r="T2140" s="8" t="n">
        <v>5917</v>
      </c>
      <c r="U2140" s="9" t="n">
        <v>9392</v>
      </c>
      <c r="V2140" s="10" t="n">
        <v>-3635</v>
      </c>
      <c r="W2140" s="10" t="n">
        <v>-3557</v>
      </c>
      <c r="X2140" s="7" t="n">
        <v>19650</v>
      </c>
      <c r="Y2140" s="8" t="n">
        <v>359</v>
      </c>
      <c r="Z2140" s="8" t="n">
        <v>361</v>
      </c>
      <c r="AA2140" s="9" t="n">
        <v>13534</v>
      </c>
      <c r="AB2140" s="10" t="n">
        <v>-2156</v>
      </c>
      <c r="AC2140" s="10" t="n">
        <v>-2119</v>
      </c>
      <c r="AD2140" s="7" t="n">
        <v>28168</v>
      </c>
      <c r="AE2140" s="8" t="n">
        <v>2535</v>
      </c>
      <c r="AF2140" s="8" t="n">
        <v>2298</v>
      </c>
      <c r="AG2140" s="9" t="n">
        <v>8521</v>
      </c>
      <c r="AH2140" s="10" t="n">
        <v>-3649</v>
      </c>
      <c r="AI2140" s="10" t="n">
        <v>-3059</v>
      </c>
      <c r="AJ2140" s="11" t="n">
        <v>19185</v>
      </c>
      <c r="AK2140" s="12" t="n">
        <v>-601</v>
      </c>
      <c r="AL2140" s="12" t="n">
        <v>-385</v>
      </c>
      <c r="AM2140" s="13" t="n">
        <v>125.1</v>
      </c>
      <c r="AN2140" s="13" t="n">
        <v>-2.4</v>
      </c>
      <c r="AO2140" s="13" t="n">
        <v>83.5</v>
      </c>
      <c r="AP2140" s="13" t="n">
        <v>-267.4</v>
      </c>
    </row>
    <row r="2141">
      <c r="A2141" s="5" t="inlineStr">
        <is>
          <t>동국생명과학</t>
        </is>
      </c>
      <c r="B2141" s="6" t="inlineStr">
        <is>
          <t>303810</t>
        </is>
      </c>
      <c r="C2141" s="6" t="inlineStr">
        <is>
          <t>별도</t>
        </is>
      </c>
      <c r="D2141" s="6" t="inlineStr">
        <is>
          <t>2026Q2</t>
        </is>
      </c>
      <c r="E2141" s="6" t="inlineStr"/>
      <c r="F2141" s="7" t="inlineStr"/>
      <c r="G2141" s="8" t="inlineStr"/>
      <c r="H2141" s="8" t="inlineStr"/>
      <c r="I2141" s="9" t="inlineStr"/>
      <c r="J2141" s="10" t="inlineStr"/>
      <c r="K2141" s="10" t="inlineStr"/>
      <c r="L2141" s="7" t="inlineStr"/>
      <c r="M2141" s="8" t="inlineStr"/>
      <c r="N2141" s="8" t="inlineStr"/>
      <c r="O2141" s="9" t="inlineStr"/>
      <c r="P2141" s="10" t="inlineStr"/>
      <c r="Q2141" s="10" t="inlineStr"/>
      <c r="R2141" s="7" t="inlineStr"/>
      <c r="S2141" s="8" t="inlineStr"/>
      <c r="T2141" s="8" t="inlineStr"/>
      <c r="U2141" s="9" t="n">
        <v>35050</v>
      </c>
      <c r="V2141" s="10" t="n">
        <v>3103</v>
      </c>
      <c r="W2141" s="10" t="n">
        <v>2250</v>
      </c>
      <c r="X2141" s="7" t="n">
        <v>34889</v>
      </c>
      <c r="Y2141" s="8" t="n">
        <v>3212</v>
      </c>
      <c r="Z2141" s="8" t="n">
        <v>2852</v>
      </c>
      <c r="AA2141" s="9" t="n">
        <v>29438</v>
      </c>
      <c r="AB2141" s="10" t="n">
        <v>4276</v>
      </c>
      <c r="AC2141" s="10" t="n">
        <v>2411</v>
      </c>
      <c r="AD2141" s="7" t="n">
        <v>30967</v>
      </c>
      <c r="AE2141" s="8" t="n">
        <v>2454</v>
      </c>
      <c r="AF2141" s="8" t="n">
        <v>1145</v>
      </c>
      <c r="AG2141" s="9" t="n">
        <v>33084</v>
      </c>
      <c r="AH2141" s="10" t="n">
        <v>3439</v>
      </c>
      <c r="AI2141" s="10" t="n">
        <v>2306</v>
      </c>
      <c r="AJ2141" s="11" t="n">
        <v>24258</v>
      </c>
      <c r="AK2141" s="12" t="n">
        <v>22</v>
      </c>
      <c r="AL2141" s="12" t="n">
        <v>-888</v>
      </c>
      <c r="AM2141" s="13" t="n">
        <v>-26.7</v>
      </c>
      <c r="AN2141" s="13" t="n">
        <v>-30.5</v>
      </c>
      <c r="AO2141" s="13" t="n">
        <v>-99.40000000000001</v>
      </c>
      <c r="AP2141" s="13" t="n">
        <v>-99.3</v>
      </c>
    </row>
    <row r="2142">
      <c r="A2142" s="5" t="inlineStr">
        <is>
          <t>솔트룩스</t>
        </is>
      </c>
      <c r="B2142" s="6" t="inlineStr">
        <is>
          <t>304100</t>
        </is>
      </c>
      <c r="C2142" s="6" t="inlineStr">
        <is>
          <t>연결</t>
        </is>
      </c>
      <c r="D2142" s="6" t="inlineStr">
        <is>
          <t>2026Q2</t>
        </is>
      </c>
      <c r="E2142" s="6" t="inlineStr"/>
      <c r="F2142" s="7" t="inlineStr"/>
      <c r="G2142" s="8" t="inlineStr"/>
      <c r="H2142" s="8" t="inlineStr"/>
      <c r="I2142" s="9" t="inlineStr"/>
      <c r="J2142" s="10" t="n">
        <v>-5674</v>
      </c>
      <c r="K2142" s="10" t="n">
        <v>-5666</v>
      </c>
      <c r="L2142" s="7" t="inlineStr"/>
      <c r="M2142" s="8" t="n">
        <v>-3928</v>
      </c>
      <c r="N2142" s="8" t="n">
        <v>-2900</v>
      </c>
      <c r="O2142" s="9" t="inlineStr"/>
      <c r="P2142" s="10" t="n">
        <v>1852</v>
      </c>
      <c r="Q2142" s="10" t="n">
        <v>2248</v>
      </c>
      <c r="R2142" s="7" t="inlineStr"/>
      <c r="S2142" s="8" t="n">
        <v>1118</v>
      </c>
      <c r="T2142" s="8" t="n">
        <v>460</v>
      </c>
      <c r="U2142" s="9" t="n">
        <v>5765</v>
      </c>
      <c r="V2142" s="10" t="n">
        <v>-5925</v>
      </c>
      <c r="W2142" s="10" t="n">
        <v>-6053</v>
      </c>
      <c r="X2142" s="7" t="n">
        <v>7014</v>
      </c>
      <c r="Y2142" s="8" t="n">
        <v>-3280</v>
      </c>
      <c r="Z2142" s="8" t="n">
        <v>-3360</v>
      </c>
      <c r="AA2142" s="9" t="n">
        <v>9113</v>
      </c>
      <c r="AB2142" s="10" t="n">
        <v>-2655</v>
      </c>
      <c r="AC2142" s="10" t="n">
        <v>-2646</v>
      </c>
      <c r="AD2142" s="7" t="n">
        <v>19744</v>
      </c>
      <c r="AE2142" s="8" t="n">
        <v>3818</v>
      </c>
      <c r="AF2142" s="8" t="n">
        <v>61</v>
      </c>
      <c r="AG2142" s="9" t="n">
        <v>8943</v>
      </c>
      <c r="AH2142" s="10" t="n">
        <v>-4864</v>
      </c>
      <c r="AI2142" s="10" t="n">
        <v>-5121</v>
      </c>
      <c r="AJ2142" s="11" t="n">
        <v>11526</v>
      </c>
      <c r="AK2142" s="12" t="n">
        <v>-3520</v>
      </c>
      <c r="AL2142" s="12" t="n">
        <v>-3279</v>
      </c>
      <c r="AM2142" s="13" t="n">
        <v>28.9</v>
      </c>
      <c r="AN2142" s="13" t="n">
        <v>64.3</v>
      </c>
      <c r="AO2142" s="13" t="n">
        <v>27.6</v>
      </c>
      <c r="AP2142" s="13" t="n">
        <v>-7.3</v>
      </c>
    </row>
    <row r="2143">
      <c r="A2143" s="5" t="inlineStr">
        <is>
          <t>에스바이오메딕스</t>
        </is>
      </c>
      <c r="B2143" s="6" t="inlineStr">
        <is>
          <t>304360</t>
        </is>
      </c>
      <c r="C2143" s="6" t="inlineStr">
        <is>
          <t>연결</t>
        </is>
      </c>
      <c r="D2143" s="6" t="inlineStr">
        <is>
          <t>2026Q2</t>
        </is>
      </c>
      <c r="E2143" s="6" t="inlineStr"/>
      <c r="F2143" s="7" t="inlineStr"/>
      <c r="G2143" s="8" t="inlineStr"/>
      <c r="H2143" s="8" t="inlineStr"/>
      <c r="I2143" s="9" t="n">
        <v>2607</v>
      </c>
      <c r="J2143" s="10" t="n">
        <v>-1754</v>
      </c>
      <c r="K2143" s="10" t="n">
        <v>-1969</v>
      </c>
      <c r="L2143" s="7" t="n">
        <v>3299</v>
      </c>
      <c r="M2143" s="8" t="n">
        <v>-1249</v>
      </c>
      <c r="N2143" s="8" t="n">
        <v>-4113</v>
      </c>
      <c r="O2143" s="9" t="n">
        <v>3378</v>
      </c>
      <c r="P2143" s="10" t="n">
        <v>-1332</v>
      </c>
      <c r="Q2143" s="10" t="n">
        <v>-1421</v>
      </c>
      <c r="R2143" s="7" t="n">
        <v>4450</v>
      </c>
      <c r="S2143" s="8" t="n">
        <v>-1110</v>
      </c>
      <c r="T2143" s="8" t="n">
        <v>1682</v>
      </c>
      <c r="U2143" s="9" t="n">
        <v>4462</v>
      </c>
      <c r="V2143" s="10" t="n">
        <v>-1691</v>
      </c>
      <c r="W2143" s="10" t="n">
        <v>-2268</v>
      </c>
      <c r="X2143" s="7" t="n">
        <v>4807</v>
      </c>
      <c r="Y2143" s="8" t="n">
        <v>-2046</v>
      </c>
      <c r="Z2143" s="8" t="inlineStr"/>
      <c r="AA2143" s="9" t="n">
        <v>3245</v>
      </c>
      <c r="AB2143" s="10" t="n">
        <v>-1928</v>
      </c>
      <c r="AC2143" s="10" t="inlineStr"/>
      <c r="AD2143" s="7" t="n">
        <v>4034</v>
      </c>
      <c r="AE2143" s="8" t="n">
        <v>-2679</v>
      </c>
      <c r="AF2143" s="8" t="inlineStr"/>
      <c r="AG2143" s="9" t="n">
        <v>4397</v>
      </c>
      <c r="AH2143" s="10" t="n">
        <v>-2992</v>
      </c>
      <c r="AI2143" s="10" t="inlineStr"/>
      <c r="AJ2143" s="11" t="n">
        <v>4816</v>
      </c>
      <c r="AK2143" s="12" t="n">
        <v>-3686</v>
      </c>
      <c r="AL2143" s="12" t="n">
        <v>-6842</v>
      </c>
      <c r="AM2143" s="13" t="n">
        <v>9.5</v>
      </c>
      <c r="AN2143" s="13" t="n">
        <v>0.2</v>
      </c>
      <c r="AO2143" s="13" t="n">
        <v>-23.2</v>
      </c>
      <c r="AP2143" s="13" t="n">
        <v>-80.2</v>
      </c>
    </row>
    <row r="2144">
      <c r="A2144" s="5" t="inlineStr">
        <is>
          <t>피플바이오</t>
        </is>
      </c>
      <c r="B2144" s="6" t="inlineStr">
        <is>
          <t>304840</t>
        </is>
      </c>
      <c r="C2144" s="6" t="inlineStr">
        <is>
          <t>연결</t>
        </is>
      </c>
      <c r="D2144" s="6" t="inlineStr">
        <is>
          <t>2026Q2</t>
        </is>
      </c>
      <c r="E2144" s="6" t="inlineStr"/>
      <c r="F2144" s="7" t="inlineStr"/>
      <c r="G2144" s="8" t="inlineStr"/>
      <c r="H2144" s="8" t="inlineStr"/>
      <c r="I2144" s="9" t="n">
        <v>744</v>
      </c>
      <c r="J2144" s="10" t="n">
        <v>-3259</v>
      </c>
      <c r="K2144" s="10" t="n">
        <v>-3165</v>
      </c>
      <c r="L2144" s="7" t="n">
        <v>1367</v>
      </c>
      <c r="M2144" s="8" t="n">
        <v>-3038</v>
      </c>
      <c r="N2144" s="8" t="n">
        <v>-2991</v>
      </c>
      <c r="O2144" s="9" t="n">
        <v>962</v>
      </c>
      <c r="P2144" s="10" t="n">
        <v>-3346</v>
      </c>
      <c r="Q2144" s="10" t="n">
        <v>-3067</v>
      </c>
      <c r="R2144" s="7" t="n">
        <v>659</v>
      </c>
      <c r="S2144" s="8" t="n">
        <v>-1858</v>
      </c>
      <c r="T2144" s="8" t="n">
        <v>-2905</v>
      </c>
      <c r="U2144" s="9" t="n">
        <v>780</v>
      </c>
      <c r="V2144" s="10" t="n">
        <v>-2593</v>
      </c>
      <c r="W2144" s="10" t="n">
        <v>-2870</v>
      </c>
      <c r="X2144" s="7" t="n">
        <v>733</v>
      </c>
      <c r="Y2144" s="8" t="n">
        <v>-1976</v>
      </c>
      <c r="Z2144" s="8" t="n">
        <v>-1473</v>
      </c>
      <c r="AA2144" s="9" t="n">
        <v>1185</v>
      </c>
      <c r="AB2144" s="10" t="n">
        <v>-2069</v>
      </c>
      <c r="AC2144" s="10" t="n">
        <v>-1122</v>
      </c>
      <c r="AD2144" s="7" t="n">
        <v>153</v>
      </c>
      <c r="AE2144" s="8" t="n">
        <v>-1739</v>
      </c>
      <c r="AF2144" s="8" t="n">
        <v>-11474</v>
      </c>
      <c r="AG2144" s="9" t="n">
        <v>643</v>
      </c>
      <c r="AH2144" s="10" t="n">
        <v>-1483</v>
      </c>
      <c r="AI2144" s="10" t="n">
        <v>-2054</v>
      </c>
      <c r="AJ2144" s="11" t="n">
        <v>1669</v>
      </c>
      <c r="AK2144" s="12" t="n">
        <v>-749</v>
      </c>
      <c r="AL2144" s="12" t="n">
        <v>-1943</v>
      </c>
      <c r="AM2144" s="13" t="n">
        <v>159.6</v>
      </c>
      <c r="AN2144" s="13" t="n">
        <v>127.7</v>
      </c>
      <c r="AO2144" s="13" t="n">
        <v>49.5</v>
      </c>
      <c r="AP2144" s="13" t="n">
        <v>62.1</v>
      </c>
    </row>
    <row r="2145">
      <c r="A2145" s="5" t="inlineStr">
        <is>
          <t>마이크로디지탈</t>
        </is>
      </c>
      <c r="B2145" s="6" t="inlineStr">
        <is>
          <t>305090</t>
        </is>
      </c>
      <c r="C2145" s="6" t="inlineStr">
        <is>
          <t>연결</t>
        </is>
      </c>
      <c r="D2145" s="6" t="inlineStr">
        <is>
          <t>2026Q2</t>
        </is>
      </c>
      <c r="E2145" s="6" t="inlineStr"/>
      <c r="F2145" s="7" t="inlineStr"/>
      <c r="G2145" s="8" t="inlineStr"/>
      <c r="H2145" s="8" t="inlineStr"/>
      <c r="I2145" s="9" t="n">
        <v>2685</v>
      </c>
      <c r="J2145" s="10" t="n">
        <v>47</v>
      </c>
      <c r="K2145" s="10" t="n">
        <v>33</v>
      </c>
      <c r="L2145" s="7" t="n">
        <v>2425</v>
      </c>
      <c r="M2145" s="8" t="n">
        <v>-783</v>
      </c>
      <c r="N2145" s="8" t="n">
        <v>656</v>
      </c>
      <c r="O2145" s="9" t="n">
        <v>2293</v>
      </c>
      <c r="P2145" s="10" t="n">
        <v>158</v>
      </c>
      <c r="Q2145" s="10" t="n">
        <v>-555</v>
      </c>
      <c r="R2145" s="7" t="n">
        <v>4130</v>
      </c>
      <c r="S2145" s="8" t="n">
        <v>858</v>
      </c>
      <c r="T2145" s="8" t="n">
        <v>316</v>
      </c>
      <c r="U2145" s="9" t="n">
        <v>3156</v>
      </c>
      <c r="V2145" s="10" t="n">
        <v>3</v>
      </c>
      <c r="W2145" s="10" t="n">
        <v>-1203</v>
      </c>
      <c r="X2145" s="7" t="n">
        <v>3240</v>
      </c>
      <c r="Y2145" s="8" t="n">
        <v>-2107</v>
      </c>
      <c r="Z2145" s="8" t="n">
        <v>-3430</v>
      </c>
      <c r="AA2145" s="9" t="n">
        <v>3978</v>
      </c>
      <c r="AB2145" s="10" t="n">
        <v>115</v>
      </c>
      <c r="AC2145" s="10" t="n">
        <v>-223</v>
      </c>
      <c r="AD2145" s="7" t="n">
        <v>2469</v>
      </c>
      <c r="AE2145" s="8" t="n">
        <v>-7182</v>
      </c>
      <c r="AF2145" s="8" t="n">
        <v>-8290</v>
      </c>
      <c r="AG2145" s="9" t="n">
        <v>2525</v>
      </c>
      <c r="AH2145" s="10" t="n">
        <v>-3918</v>
      </c>
      <c r="AI2145" s="10" t="n">
        <v>-4264</v>
      </c>
      <c r="AJ2145" s="11" t="n">
        <v>1136</v>
      </c>
      <c r="AK2145" s="12" t="n">
        <v>-5316</v>
      </c>
      <c r="AL2145" s="12" t="n">
        <v>-8069</v>
      </c>
      <c r="AM2145" s="13" t="n">
        <v>-55</v>
      </c>
      <c r="AN2145" s="13" t="n">
        <v>-64.90000000000001</v>
      </c>
      <c r="AO2145" s="13" t="n">
        <v>-35.7</v>
      </c>
      <c r="AP2145" s="13" t="n">
        <v>-152.3</v>
      </c>
    </row>
    <row r="2146">
      <c r="A2146" s="5" t="inlineStr">
        <is>
          <t>에스제이그룹</t>
        </is>
      </c>
      <c r="B2146" s="6" t="inlineStr">
        <is>
          <t>306040</t>
        </is>
      </c>
      <c r="C2146" s="6" t="inlineStr">
        <is>
          <t>연결</t>
        </is>
      </c>
      <c r="D2146" s="6" t="inlineStr">
        <is>
          <t>2026Q2</t>
        </is>
      </c>
      <c r="E2146" s="6" t="inlineStr">
        <is>
          <t>2023Q4</t>
        </is>
      </c>
      <c r="F2146" s="14" t="n">
        <v>49316</v>
      </c>
      <c r="G2146" s="15" t="n">
        <v>1422</v>
      </c>
      <c r="H2146" s="15" t="n">
        <v>1138</v>
      </c>
      <c r="I2146" s="9" t="n">
        <v>48045</v>
      </c>
      <c r="J2146" s="10" t="n">
        <v>880</v>
      </c>
      <c r="K2146" s="10" t="n">
        <v>432</v>
      </c>
      <c r="L2146" s="7" t="n">
        <v>52502</v>
      </c>
      <c r="M2146" s="8" t="n">
        <v>2877</v>
      </c>
      <c r="N2146" s="8" t="n">
        <v>1737</v>
      </c>
      <c r="O2146" s="9" t="n">
        <v>37643</v>
      </c>
      <c r="P2146" s="10" t="n">
        <v>-3451</v>
      </c>
      <c r="Q2146" s="10" t="n">
        <v>-3490</v>
      </c>
      <c r="R2146" s="7" t="n">
        <v>43605</v>
      </c>
      <c r="S2146" s="8" t="n">
        <v>-3544</v>
      </c>
      <c r="T2146" s="8" t="n">
        <v>-2757</v>
      </c>
      <c r="U2146" s="9" t="n">
        <v>44281</v>
      </c>
      <c r="V2146" s="10" t="n">
        <v>-3072</v>
      </c>
      <c r="W2146" s="10" t="n">
        <v>-4026</v>
      </c>
      <c r="X2146" s="7" t="n">
        <v>44569</v>
      </c>
      <c r="Y2146" s="8" t="n">
        <v>-3608</v>
      </c>
      <c r="Z2146" s="8" t="n">
        <v>-2590</v>
      </c>
      <c r="AA2146" s="9" t="n">
        <v>34805</v>
      </c>
      <c r="AB2146" s="10" t="n">
        <v>-3938</v>
      </c>
      <c r="AC2146" s="10" t="n">
        <v>-1652</v>
      </c>
      <c r="AD2146" s="7" t="n">
        <v>39759</v>
      </c>
      <c r="AE2146" s="8" t="n">
        <v>-5245</v>
      </c>
      <c r="AF2146" s="8" t="n">
        <v>-2433</v>
      </c>
      <c r="AG2146" s="9" t="n">
        <v>36932</v>
      </c>
      <c r="AH2146" s="10" t="n">
        <v>-3852</v>
      </c>
      <c r="AI2146" s="10" t="n">
        <v>-6031</v>
      </c>
      <c r="AJ2146" s="11" t="n">
        <v>38488</v>
      </c>
      <c r="AK2146" s="12" t="n">
        <v>288</v>
      </c>
      <c r="AL2146" s="12" t="n">
        <v>-171</v>
      </c>
      <c r="AM2146" s="13" t="n">
        <v>4.2</v>
      </c>
      <c r="AN2146" s="13" t="n">
        <v>-13.6</v>
      </c>
      <c r="AO2146" s="13" t="n">
        <v>107.5</v>
      </c>
      <c r="AP2146" s="13" t="n">
        <v>108</v>
      </c>
    </row>
    <row r="2147">
      <c r="A2147" s="5" t="inlineStr">
        <is>
          <t>세아제강</t>
        </is>
      </c>
      <c r="B2147" s="6" t="inlineStr">
        <is>
          <t>306200</t>
        </is>
      </c>
      <c r="C2147" s="6" t="inlineStr">
        <is>
          <t>연결</t>
        </is>
      </c>
      <c r="D2147" s="6" t="inlineStr">
        <is>
          <t>2026Q2</t>
        </is>
      </c>
      <c r="E2147" s="6" t="inlineStr"/>
      <c r="F2147" s="7" t="inlineStr"/>
      <c r="G2147" s="8" t="inlineStr"/>
      <c r="H2147" s="8" t="inlineStr"/>
      <c r="I2147" s="9" t="n">
        <v>455745</v>
      </c>
      <c r="J2147" s="10" t="n">
        <v>31763</v>
      </c>
      <c r="K2147" s="10" t="n">
        <v>26821</v>
      </c>
      <c r="L2147" s="7" t="n">
        <v>439503</v>
      </c>
      <c r="M2147" s="8" t="n">
        <v>35949</v>
      </c>
      <c r="N2147" s="8" t="n">
        <v>29397</v>
      </c>
      <c r="O2147" s="9" t="n">
        <v>367670</v>
      </c>
      <c r="P2147" s="10" t="n">
        <v>11144</v>
      </c>
      <c r="Q2147" s="10" t="n">
        <v>6322</v>
      </c>
      <c r="R2147" s="7" t="n">
        <v>546515</v>
      </c>
      <c r="S2147" s="8" t="n">
        <v>124053</v>
      </c>
      <c r="T2147" s="8" t="n">
        <v>74522</v>
      </c>
      <c r="U2147" s="9" t="n">
        <v>378861</v>
      </c>
      <c r="V2147" s="10" t="n">
        <v>25581</v>
      </c>
      <c r="W2147" s="10" t="n">
        <v>18832</v>
      </c>
      <c r="X2147" s="7" t="n">
        <v>414879</v>
      </c>
      <c r="Y2147" s="8" t="n">
        <v>20928</v>
      </c>
      <c r="Z2147" s="8" t="n">
        <v>8674</v>
      </c>
      <c r="AA2147" s="9" t="n">
        <v>331742</v>
      </c>
      <c r="AB2147" s="10" t="n">
        <v>-5186</v>
      </c>
      <c r="AC2147" s="10" t="n">
        <v>-8965</v>
      </c>
      <c r="AD2147" s="7" t="n">
        <v>359315</v>
      </c>
      <c r="AE2147" s="8" t="n">
        <v>8278</v>
      </c>
      <c r="AF2147" s="8" t="n">
        <v>11458</v>
      </c>
      <c r="AG2147" s="9" t="n">
        <v>448578</v>
      </c>
      <c r="AH2147" s="10" t="n">
        <v>24108</v>
      </c>
      <c r="AI2147" s="10" t="n">
        <v>20992</v>
      </c>
      <c r="AJ2147" s="11" t="n">
        <v>495161</v>
      </c>
      <c r="AK2147" s="12" t="n">
        <v>34935</v>
      </c>
      <c r="AL2147" s="12" t="n">
        <v>32518</v>
      </c>
      <c r="AM2147" s="13" t="n">
        <v>10.4</v>
      </c>
      <c r="AN2147" s="13" t="n">
        <v>19.4</v>
      </c>
      <c r="AO2147" s="13" t="n">
        <v>44.9</v>
      </c>
      <c r="AP2147" s="13" t="n">
        <v>66.90000000000001</v>
      </c>
    </row>
    <row r="2148">
      <c r="A2148" s="5" t="inlineStr">
        <is>
          <t>지아이에스</t>
        </is>
      </c>
      <c r="B2148" s="6" t="inlineStr">
        <is>
          <t>306620</t>
        </is>
      </c>
      <c r="C2148" s="6" t="inlineStr">
        <is>
          <t>연결</t>
        </is>
      </c>
      <c r="D2148" s="6" t="inlineStr">
        <is>
          <t>2026Q2</t>
        </is>
      </c>
      <c r="E2148" s="6" t="inlineStr"/>
      <c r="F2148" s="7" t="inlineStr"/>
      <c r="G2148" s="8" t="inlineStr"/>
      <c r="H2148" s="8" t="inlineStr"/>
      <c r="I2148" s="9" t="n">
        <v>45444</v>
      </c>
      <c r="J2148" s="10" t="n">
        <v>3911</v>
      </c>
      <c r="K2148" s="10" t="n">
        <v>3751</v>
      </c>
      <c r="L2148" s="7" t="n">
        <v>24293</v>
      </c>
      <c r="M2148" s="8" t="n">
        <v>1059</v>
      </c>
      <c r="N2148" s="8" t="n">
        <v>660</v>
      </c>
      <c r="O2148" s="9" t="n">
        <v>17029</v>
      </c>
      <c r="P2148" s="10" t="n">
        <v>-792</v>
      </c>
      <c r="Q2148" s="10" t="n">
        <v>-821</v>
      </c>
      <c r="R2148" s="7" t="n">
        <v>17686</v>
      </c>
      <c r="S2148" s="8" t="n">
        <v>-552</v>
      </c>
      <c r="T2148" s="8" t="n">
        <v>-3329</v>
      </c>
      <c r="U2148" s="9" t="n">
        <v>7594</v>
      </c>
      <c r="V2148" s="10" t="n">
        <v>-3162</v>
      </c>
      <c r="W2148" s="10" t="n">
        <v>-3271</v>
      </c>
      <c r="X2148" s="7" t="n">
        <v>23986</v>
      </c>
      <c r="Y2148" s="8" t="n">
        <v>945</v>
      </c>
      <c r="Z2148" s="8" t="n">
        <v>316</v>
      </c>
      <c r="AA2148" s="9" t="n">
        <v>23130</v>
      </c>
      <c r="AB2148" s="10" t="n">
        <v>1316</v>
      </c>
      <c r="AC2148" s="10" t="n">
        <v>-249</v>
      </c>
      <c r="AD2148" s="7" t="n">
        <v>21101</v>
      </c>
      <c r="AE2148" s="8" t="n">
        <v>2533</v>
      </c>
      <c r="AF2148" s="8" t="n">
        <v>-444</v>
      </c>
      <c r="AG2148" s="9" t="n">
        <v>13888</v>
      </c>
      <c r="AH2148" s="10" t="n">
        <v>-1413</v>
      </c>
      <c r="AI2148" s="10" t="n">
        <v>-1793</v>
      </c>
      <c r="AJ2148" s="11" t="n">
        <v>34007</v>
      </c>
      <c r="AK2148" s="12" t="n">
        <v>2580</v>
      </c>
      <c r="AL2148" s="12" t="n">
        <v>-880</v>
      </c>
      <c r="AM2148" s="13" t="n">
        <v>144.9</v>
      </c>
      <c r="AN2148" s="13" t="n">
        <v>41.8</v>
      </c>
      <c r="AO2148" s="13" t="n">
        <v>282.6</v>
      </c>
      <c r="AP2148" s="13" t="n">
        <v>173</v>
      </c>
    </row>
    <row r="2149">
      <c r="A2149" s="5" t="inlineStr">
        <is>
          <t>아이엘</t>
        </is>
      </c>
      <c r="B2149" s="6" t="inlineStr">
        <is>
          <t>307180</t>
        </is>
      </c>
      <c r="C2149" s="6" t="inlineStr">
        <is>
          <t>연결</t>
        </is>
      </c>
      <c r="D2149" s="6" t="inlineStr">
        <is>
          <t>2026Q2</t>
        </is>
      </c>
      <c r="E2149" s="6" t="inlineStr"/>
      <c r="F2149" s="7" t="inlineStr"/>
      <c r="G2149" s="8" t="inlineStr"/>
      <c r="H2149" s="8" t="inlineStr"/>
      <c r="I2149" s="9" t="n">
        <v>20084</v>
      </c>
      <c r="J2149" s="10" t="n">
        <v>1973</v>
      </c>
      <c r="K2149" s="10" t="n">
        <v>2035</v>
      </c>
      <c r="L2149" s="7" t="n">
        <v>26307</v>
      </c>
      <c r="M2149" s="8" t="n">
        <v>2661</v>
      </c>
      <c r="N2149" s="8" t="n">
        <v>3655</v>
      </c>
      <c r="O2149" s="9" t="n">
        <v>15834</v>
      </c>
      <c r="P2149" s="10" t="n">
        <v>-365</v>
      </c>
      <c r="Q2149" s="10" t="n">
        <v>-2683</v>
      </c>
      <c r="R2149" s="7" t="n">
        <v>21273</v>
      </c>
      <c r="S2149" s="8" t="n">
        <v>769</v>
      </c>
      <c r="T2149" s="8" t="n">
        <v>-2108</v>
      </c>
      <c r="U2149" s="9" t="n">
        <v>25486</v>
      </c>
      <c r="V2149" s="10" t="n">
        <v>1934</v>
      </c>
      <c r="W2149" s="10" t="n">
        <v>45</v>
      </c>
      <c r="X2149" s="7" t="n">
        <v>28904</v>
      </c>
      <c r="Y2149" s="8" t="n">
        <v>-2410</v>
      </c>
      <c r="Z2149" s="8" t="n">
        <v>-1284</v>
      </c>
      <c r="AA2149" s="9" t="n">
        <v>29179</v>
      </c>
      <c r="AB2149" s="10" t="n">
        <v>1168</v>
      </c>
      <c r="AC2149" s="10" t="n">
        <v>69</v>
      </c>
      <c r="AD2149" s="7" t="n">
        <v>19295</v>
      </c>
      <c r="AE2149" s="8" t="n">
        <v>-9194</v>
      </c>
      <c r="AF2149" s="8" t="n">
        <v>-9661</v>
      </c>
      <c r="AG2149" s="9" t="n">
        <v>25234</v>
      </c>
      <c r="AH2149" s="10" t="n">
        <v>154</v>
      </c>
      <c r="AI2149" s="10" t="n">
        <v>-438</v>
      </c>
      <c r="AJ2149" s="11" t="n">
        <v>24870</v>
      </c>
      <c r="AK2149" s="12" t="n">
        <v>2763</v>
      </c>
      <c r="AL2149" s="12" t="n">
        <v>-596</v>
      </c>
      <c r="AM2149" s="13" t="n">
        <v>-1.4</v>
      </c>
      <c r="AN2149" s="13" t="n">
        <v>-14</v>
      </c>
      <c r="AO2149" s="13" t="n">
        <v>1694.2</v>
      </c>
      <c r="AP2149" s="13" t="n">
        <v>214.6</v>
      </c>
    </row>
    <row r="2150">
      <c r="A2150" s="5" t="inlineStr">
        <is>
          <t>원바이오젠</t>
        </is>
      </c>
      <c r="B2150" s="6" t="inlineStr">
        <is>
          <t>307280</t>
        </is>
      </c>
      <c r="C2150" s="6" t="inlineStr">
        <is>
          <t>연결</t>
        </is>
      </c>
      <c r="D2150" s="6" t="inlineStr">
        <is>
          <t>2026Q2</t>
        </is>
      </c>
      <c r="E2150" s="6" t="inlineStr"/>
      <c r="F2150" s="7" t="inlineStr"/>
      <c r="G2150" s="8" t="inlineStr"/>
      <c r="H2150" s="8" t="inlineStr"/>
      <c r="I2150" s="9" t="n">
        <v>7071</v>
      </c>
      <c r="J2150" s="10" t="n">
        <v>1181</v>
      </c>
      <c r="K2150" s="10" t="n">
        <v>1042</v>
      </c>
      <c r="L2150" s="7" t="n">
        <v>7995</v>
      </c>
      <c r="M2150" s="8" t="n">
        <v>2048</v>
      </c>
      <c r="N2150" s="8" t="n">
        <v>1623</v>
      </c>
      <c r="O2150" s="9" t="n">
        <v>6863</v>
      </c>
      <c r="P2150" s="10" t="n">
        <v>1681</v>
      </c>
      <c r="Q2150" s="10" t="n">
        <v>1347</v>
      </c>
      <c r="R2150" s="7" t="n">
        <v>8511</v>
      </c>
      <c r="S2150" s="8" t="n">
        <v>1497</v>
      </c>
      <c r="T2150" s="8" t="n">
        <v>1327</v>
      </c>
      <c r="U2150" s="9" t="n">
        <v>8255</v>
      </c>
      <c r="V2150" s="10" t="n">
        <v>1533</v>
      </c>
      <c r="W2150" s="10" t="n">
        <v>1252</v>
      </c>
      <c r="X2150" s="7" t="n">
        <v>8397</v>
      </c>
      <c r="Y2150" s="8" t="n">
        <v>1892</v>
      </c>
      <c r="Z2150" s="8" t="n">
        <v>1448</v>
      </c>
      <c r="AA2150" s="9" t="n">
        <v>9219</v>
      </c>
      <c r="AB2150" s="10" t="n">
        <v>2398</v>
      </c>
      <c r="AC2150" s="10" t="n">
        <v>2214</v>
      </c>
      <c r="AD2150" s="7" t="n">
        <v>9373</v>
      </c>
      <c r="AE2150" s="8" t="n">
        <v>2103</v>
      </c>
      <c r="AF2150" s="8" t="n">
        <v>1545</v>
      </c>
      <c r="AG2150" s="9" t="n">
        <v>9281</v>
      </c>
      <c r="AH2150" s="10" t="n">
        <v>2118</v>
      </c>
      <c r="AI2150" s="10" t="n">
        <v>1861</v>
      </c>
      <c r="AJ2150" s="11" t="n">
        <v>9931</v>
      </c>
      <c r="AK2150" s="12" t="n">
        <v>2780</v>
      </c>
      <c r="AL2150" s="12" t="n">
        <v>2801</v>
      </c>
      <c r="AM2150" s="13" t="n">
        <v>7</v>
      </c>
      <c r="AN2150" s="13" t="n">
        <v>18.3</v>
      </c>
      <c r="AO2150" s="13" t="n">
        <v>31.3</v>
      </c>
      <c r="AP2150" s="13" t="n">
        <v>46.9</v>
      </c>
    </row>
    <row r="2151">
      <c r="A2151" s="5" t="inlineStr">
        <is>
          <t>국전</t>
        </is>
      </c>
      <c r="B2151" s="6" t="inlineStr">
        <is>
          <t>307750</t>
        </is>
      </c>
      <c r="C2151" s="6" t="inlineStr">
        <is>
          <t>연결</t>
        </is>
      </c>
      <c r="D2151" s="6" t="inlineStr">
        <is>
          <t>2026Q2</t>
        </is>
      </c>
      <c r="E2151" s="6" t="inlineStr"/>
      <c r="F2151" s="7" t="inlineStr"/>
      <c r="G2151" s="8" t="inlineStr"/>
      <c r="H2151" s="8" t="inlineStr"/>
      <c r="I2151" s="9" t="n">
        <v>39310</v>
      </c>
      <c r="J2151" s="10" t="n">
        <v>1605</v>
      </c>
      <c r="K2151" s="10" t="n">
        <v>867</v>
      </c>
      <c r="L2151" s="7" t="n">
        <v>33704</v>
      </c>
      <c r="M2151" s="8" t="n">
        <v>427</v>
      </c>
      <c r="N2151" s="8" t="n">
        <v>2026</v>
      </c>
      <c r="O2151" s="9" t="n">
        <v>31314</v>
      </c>
      <c r="P2151" s="10" t="n">
        <v>-2</v>
      </c>
      <c r="Q2151" s="10" t="n">
        <v>-310</v>
      </c>
      <c r="R2151" s="7" t="n">
        <v>32140</v>
      </c>
      <c r="S2151" s="8" t="n">
        <v>-1662</v>
      </c>
      <c r="T2151" s="8" t="n">
        <v>-2045</v>
      </c>
      <c r="U2151" s="9" t="n">
        <v>38284</v>
      </c>
      <c r="V2151" s="10" t="n">
        <v>113</v>
      </c>
      <c r="W2151" s="10" t="n">
        <v>648</v>
      </c>
      <c r="X2151" s="7" t="n">
        <v>33339</v>
      </c>
      <c r="Y2151" s="8" t="n">
        <v>-792</v>
      </c>
      <c r="Z2151" s="8" t="n">
        <v>-29</v>
      </c>
      <c r="AA2151" s="9" t="n">
        <v>29205</v>
      </c>
      <c r="AB2151" s="10" t="n">
        <v>-2032</v>
      </c>
      <c r="AC2151" s="10" t="n">
        <v>-2905</v>
      </c>
      <c r="AD2151" s="7" t="n">
        <v>30211</v>
      </c>
      <c r="AE2151" s="8" t="n">
        <v>135</v>
      </c>
      <c r="AF2151" s="8" t="n">
        <v>-2534</v>
      </c>
      <c r="AG2151" s="9" t="n">
        <v>34672</v>
      </c>
      <c r="AH2151" s="10" t="n">
        <v>2663</v>
      </c>
      <c r="AI2151" s="10" t="n">
        <v>-2777</v>
      </c>
      <c r="AJ2151" s="11" t="n">
        <v>40484</v>
      </c>
      <c r="AK2151" s="12" t="n">
        <v>1496</v>
      </c>
      <c r="AL2151" s="12" t="n">
        <v>6133</v>
      </c>
      <c r="AM2151" s="13" t="n">
        <v>16.8</v>
      </c>
      <c r="AN2151" s="13" t="n">
        <v>21.4</v>
      </c>
      <c r="AO2151" s="13" t="n">
        <v>-43.8</v>
      </c>
      <c r="AP2151" s="13" t="n">
        <v>288.9</v>
      </c>
    </row>
    <row r="2152">
      <c r="A2152" s="5" t="inlineStr">
        <is>
          <t>비투엔</t>
        </is>
      </c>
      <c r="B2152" s="6" t="inlineStr">
        <is>
          <t>307870</t>
        </is>
      </c>
      <c r="C2152" s="6" t="inlineStr">
        <is>
          <t>별도</t>
        </is>
      </c>
      <c r="D2152" s="6" t="inlineStr">
        <is>
          <t>2026Q2</t>
        </is>
      </c>
      <c r="E2152" s="6" t="inlineStr"/>
      <c r="F2152" s="7" t="inlineStr"/>
      <c r="G2152" s="8" t="inlineStr"/>
      <c r="H2152" s="8" t="inlineStr"/>
      <c r="I2152" s="9" t="n">
        <v>6609</v>
      </c>
      <c r="J2152" s="10" t="n">
        <v>-1949</v>
      </c>
      <c r="K2152" s="10" t="n">
        <v>-2148</v>
      </c>
      <c r="L2152" s="7" t="n">
        <v>6443</v>
      </c>
      <c r="M2152" s="8" t="n">
        <v>-1064</v>
      </c>
      <c r="N2152" s="8" t="n">
        <v>-4350</v>
      </c>
      <c r="O2152" s="9" t="n">
        <v>5256</v>
      </c>
      <c r="P2152" s="10" t="n">
        <v>-559</v>
      </c>
      <c r="Q2152" s="10" t="n">
        <v>-1347</v>
      </c>
      <c r="R2152" s="7" t="n">
        <v>6790</v>
      </c>
      <c r="S2152" s="8" t="n">
        <v>927</v>
      </c>
      <c r="T2152" s="8" t="n">
        <v>919</v>
      </c>
      <c r="U2152" s="9" t="n">
        <v>3909</v>
      </c>
      <c r="V2152" s="10" t="n">
        <v>-2142</v>
      </c>
      <c r="W2152" s="10" t="n">
        <v>-2960</v>
      </c>
      <c r="X2152" s="7" t="n">
        <v>4321</v>
      </c>
      <c r="Y2152" s="8" t="n">
        <v>-1410</v>
      </c>
      <c r="Z2152" s="8" t="n">
        <v>-1442</v>
      </c>
      <c r="AA2152" s="9" t="n">
        <v>2643</v>
      </c>
      <c r="AB2152" s="10" t="n">
        <v>-1690</v>
      </c>
      <c r="AC2152" s="10" t="n">
        <v>-4687</v>
      </c>
      <c r="AD2152" s="7" t="n">
        <v>3752</v>
      </c>
      <c r="AE2152" s="8" t="n">
        <v>-1504</v>
      </c>
      <c r="AF2152" s="8" t="n">
        <v>-3127</v>
      </c>
      <c r="AG2152" s="9" t="n">
        <v>2762</v>
      </c>
      <c r="AH2152" s="10" t="n">
        <v>-1377</v>
      </c>
      <c r="AI2152" s="10" t="n">
        <v>-427</v>
      </c>
      <c r="AJ2152" s="11" t="n">
        <v>2726</v>
      </c>
      <c r="AK2152" s="12" t="n">
        <v>-882</v>
      </c>
      <c r="AL2152" s="12" t="n">
        <v>-2065</v>
      </c>
      <c r="AM2152" s="13" t="n">
        <v>-1.3</v>
      </c>
      <c r="AN2152" s="13" t="n">
        <v>-36.9</v>
      </c>
      <c r="AO2152" s="13" t="n">
        <v>35.9</v>
      </c>
      <c r="AP2152" s="13" t="n">
        <v>37.4</v>
      </c>
    </row>
    <row r="2153">
      <c r="A2153" s="5" t="inlineStr">
        <is>
          <t>컴퍼니케이</t>
        </is>
      </c>
      <c r="B2153" s="6" t="inlineStr">
        <is>
          <t>307930</t>
        </is>
      </c>
      <c r="C2153" s="6" t="inlineStr">
        <is>
          <t>별도</t>
        </is>
      </c>
      <c r="D2153" s="6" t="inlineStr">
        <is>
          <t>2026Q2</t>
        </is>
      </c>
      <c r="E2153" s="6" t="inlineStr"/>
      <c r="F2153" s="7" t="inlineStr"/>
      <c r="G2153" s="8" t="inlineStr"/>
      <c r="H2153" s="8" t="inlineStr"/>
      <c r="I2153" s="9" t="n">
        <v>3223</v>
      </c>
      <c r="J2153" s="10" t="n">
        <v>1458</v>
      </c>
      <c r="K2153" s="10" t="n">
        <v>1309</v>
      </c>
      <c r="L2153" s="7" t="n">
        <v>3329</v>
      </c>
      <c r="M2153" s="8" t="n">
        <v>1039</v>
      </c>
      <c r="N2153" s="8" t="n">
        <v>756</v>
      </c>
      <c r="O2153" s="9" t="n">
        <v>3078</v>
      </c>
      <c r="P2153" s="10" t="n">
        <v>1336</v>
      </c>
      <c r="Q2153" s="10" t="n">
        <v>933</v>
      </c>
      <c r="R2153" s="7" t="n">
        <v>5443</v>
      </c>
      <c r="S2153" s="8" t="n">
        <v>-571</v>
      </c>
      <c r="T2153" s="8" t="n">
        <v>-907</v>
      </c>
      <c r="U2153" s="9" t="n">
        <v>3919</v>
      </c>
      <c r="V2153" s="10" t="n">
        <v>1747</v>
      </c>
      <c r="W2153" s="10" t="n">
        <v>1387</v>
      </c>
      <c r="X2153" s="7" t="n">
        <v>4424</v>
      </c>
      <c r="Y2153" s="8" t="n">
        <v>2556</v>
      </c>
      <c r="Z2153" s="8" t="n">
        <v>2154</v>
      </c>
      <c r="AA2153" s="9" t="n">
        <v>4135</v>
      </c>
      <c r="AB2153" s="10" t="n">
        <v>1910</v>
      </c>
      <c r="AC2153" s="10" t="n">
        <v>1569</v>
      </c>
      <c r="AD2153" s="7" t="n">
        <v>9124</v>
      </c>
      <c r="AE2153" s="8" t="n">
        <v>3557</v>
      </c>
      <c r="AF2153" s="8" t="n">
        <v>2131</v>
      </c>
      <c r="AG2153" s="9" t="n">
        <v>7785</v>
      </c>
      <c r="AH2153" s="10" t="n">
        <v>5440</v>
      </c>
      <c r="AI2153" s="10" t="n">
        <v>4214</v>
      </c>
      <c r="AJ2153" s="11" t="n">
        <v>1046</v>
      </c>
      <c r="AK2153" s="12" t="n">
        <v>-3982</v>
      </c>
      <c r="AL2153" s="12" t="n">
        <v>-3152</v>
      </c>
      <c r="AM2153" s="13" t="n">
        <v>-86.59999999999999</v>
      </c>
      <c r="AN2153" s="13" t="n">
        <v>-76.40000000000001</v>
      </c>
      <c r="AO2153" s="13" t="n">
        <v>-173.2</v>
      </c>
      <c r="AP2153" s="13" t="n">
        <v>-255.8</v>
      </c>
    </row>
    <row r="2154">
      <c r="A2154" s="5" t="inlineStr">
        <is>
          <t>현대오토에버</t>
        </is>
      </c>
      <c r="B2154" s="6" t="inlineStr">
        <is>
          <t>307950</t>
        </is>
      </c>
      <c r="C2154" s="6" t="inlineStr">
        <is>
          <t>연결</t>
        </is>
      </c>
      <c r="D2154" s="6" t="inlineStr">
        <is>
          <t>2026Q2</t>
        </is>
      </c>
      <c r="E2154" s="6" t="inlineStr">
        <is>
          <t>2023Q4</t>
        </is>
      </c>
      <c r="F2154" s="14" t="n">
        <v>899369</v>
      </c>
      <c r="G2154" s="15" t="n">
        <v>52864</v>
      </c>
      <c r="H2154" s="15" t="n">
        <v>33088</v>
      </c>
      <c r="I2154" s="9" t="n">
        <v>731292</v>
      </c>
      <c r="J2154" s="10" t="n">
        <v>30740</v>
      </c>
      <c r="K2154" s="10" t="n">
        <v>26095</v>
      </c>
      <c r="L2154" s="7" t="n">
        <v>918097</v>
      </c>
      <c r="M2154" s="8" t="n">
        <v>68547</v>
      </c>
      <c r="N2154" s="8" t="n">
        <v>52651</v>
      </c>
      <c r="O2154" s="9" t="n">
        <v>904634</v>
      </c>
      <c r="P2154" s="10" t="n">
        <v>52495</v>
      </c>
      <c r="Q2154" s="10" t="n">
        <v>44713</v>
      </c>
      <c r="R2154" s="7" t="n">
        <v>1159594</v>
      </c>
      <c r="S2154" s="8" t="n">
        <v>72652</v>
      </c>
      <c r="T2154" s="8" t="n">
        <v>51723</v>
      </c>
      <c r="U2154" s="9" t="n">
        <v>833010</v>
      </c>
      <c r="V2154" s="10" t="n">
        <v>26710</v>
      </c>
      <c r="W2154" s="10" t="n">
        <v>19904</v>
      </c>
      <c r="X2154" s="7" t="n">
        <v>1042052</v>
      </c>
      <c r="Y2154" s="8" t="n">
        <v>81370</v>
      </c>
      <c r="Z2154" s="8" t="n">
        <v>59732</v>
      </c>
      <c r="AA2154" s="9" t="n">
        <v>1054258</v>
      </c>
      <c r="AB2154" s="10" t="n">
        <v>70755</v>
      </c>
      <c r="AC2154" s="10" t="n">
        <v>52786</v>
      </c>
      <c r="AD2154" s="7" t="n">
        <v>1322747</v>
      </c>
      <c r="AE2154" s="8" t="n">
        <v>76467</v>
      </c>
      <c r="AF2154" s="8" t="n">
        <v>54367</v>
      </c>
      <c r="AG2154" s="9" t="n">
        <v>935709</v>
      </c>
      <c r="AH2154" s="10" t="n">
        <v>21175</v>
      </c>
      <c r="AI2154" s="10" t="n">
        <v>18603</v>
      </c>
      <c r="AJ2154" s="11" t="n">
        <v>1250739</v>
      </c>
      <c r="AK2154" s="12" t="n">
        <v>90547</v>
      </c>
      <c r="AL2154" s="12" t="n">
        <v>69590</v>
      </c>
      <c r="AM2154" s="13" t="n">
        <v>33.7</v>
      </c>
      <c r="AN2154" s="13" t="n">
        <v>20</v>
      </c>
      <c r="AO2154" s="13" t="n">
        <v>327.6</v>
      </c>
      <c r="AP2154" s="13" t="n">
        <v>11.3</v>
      </c>
    </row>
    <row r="2155">
      <c r="A2155" s="5" t="inlineStr">
        <is>
          <t>바이젠셀</t>
        </is>
      </c>
      <c r="B2155" s="6" t="inlineStr">
        <is>
          <t>308080</t>
        </is>
      </c>
      <c r="C2155" s="6" t="inlineStr">
        <is>
          <t>별도</t>
        </is>
      </c>
      <c r="D2155" s="6" t="inlineStr">
        <is>
          <t>2026Q2</t>
        </is>
      </c>
      <c r="E2155" s="6" t="inlineStr"/>
      <c r="F2155" s="7" t="inlineStr"/>
      <c r="G2155" s="8" t="inlineStr"/>
      <c r="H2155" s="8" t="inlineStr"/>
      <c r="I2155" s="9" t="n">
        <v>0</v>
      </c>
      <c r="J2155" s="10" t="n">
        <v>-4455</v>
      </c>
      <c r="K2155" s="10" t="n">
        <v>-4070</v>
      </c>
      <c r="L2155" s="7" t="n">
        <v>55</v>
      </c>
      <c r="M2155" s="8" t="n">
        <v>-3591</v>
      </c>
      <c r="N2155" s="8" t="n">
        <v>-3090</v>
      </c>
      <c r="O2155" s="9" t="n">
        <v>0</v>
      </c>
      <c r="P2155" s="10" t="n">
        <v>-3631</v>
      </c>
      <c r="Q2155" s="10" t="n">
        <v>-3222</v>
      </c>
      <c r="R2155" s="7" t="n">
        <v>224</v>
      </c>
      <c r="S2155" s="8" t="n">
        <v>-3653</v>
      </c>
      <c r="T2155" s="8" t="n">
        <v>-3674</v>
      </c>
      <c r="U2155" s="9" t="n">
        <v>0</v>
      </c>
      <c r="V2155" s="10" t="n">
        <v>-2686</v>
      </c>
      <c r="W2155" s="10" t="n">
        <v>-2574</v>
      </c>
      <c r="X2155" s="7" t="n">
        <v>1</v>
      </c>
      <c r="Y2155" s="8" t="n">
        <v>-5656</v>
      </c>
      <c r="Z2155" s="8" t="n">
        <v>-5403</v>
      </c>
      <c r="AA2155" s="9" t="n">
        <v>8</v>
      </c>
      <c r="AB2155" s="10" t="n">
        <v>-2433</v>
      </c>
      <c r="AC2155" s="10" t="n">
        <v>-2241</v>
      </c>
      <c r="AD2155" s="7" t="n">
        <v>14</v>
      </c>
      <c r="AE2155" s="8" t="n">
        <v>-6333</v>
      </c>
      <c r="AF2155" s="8" t="n">
        <v>-6104</v>
      </c>
      <c r="AG2155" s="9" t="n">
        <v>329</v>
      </c>
      <c r="AH2155" s="10" t="n">
        <v>-2835</v>
      </c>
      <c r="AI2155" s="10" t="n">
        <v>-2587</v>
      </c>
      <c r="AJ2155" s="11" t="n">
        <v>571</v>
      </c>
      <c r="AK2155" s="12" t="n">
        <v>-2536</v>
      </c>
      <c r="AL2155" s="12" t="n">
        <v>-2342</v>
      </c>
      <c r="AM2155" s="13" t="n">
        <v>73.59999999999999</v>
      </c>
      <c r="AN2155" s="13" t="n">
        <v>57000</v>
      </c>
      <c r="AO2155" s="13" t="n">
        <v>10.5</v>
      </c>
      <c r="AP2155" s="13" t="n">
        <v>55.2</v>
      </c>
    </row>
    <row r="2156">
      <c r="A2156" s="5" t="inlineStr">
        <is>
          <t>형지글로벌</t>
        </is>
      </c>
      <c r="B2156" s="6" t="inlineStr">
        <is>
          <t>308100</t>
        </is>
      </c>
      <c r="C2156" s="6" t="inlineStr">
        <is>
          <t>연결</t>
        </is>
      </c>
      <c r="D2156" s="6" t="inlineStr">
        <is>
          <t>2026Q2</t>
        </is>
      </c>
      <c r="E2156" s="6" t="inlineStr"/>
      <c r="F2156" s="7" t="inlineStr"/>
      <c r="G2156" s="8" t="inlineStr"/>
      <c r="H2156" s="8" t="inlineStr"/>
      <c r="I2156" s="9" t="n">
        <v>13312</v>
      </c>
      <c r="J2156" s="10" t="n">
        <v>290</v>
      </c>
      <c r="K2156" s="10" t="inlineStr"/>
      <c r="L2156" s="7" t="n">
        <v>10874</v>
      </c>
      <c r="M2156" s="8" t="n">
        <v>-1554</v>
      </c>
      <c r="N2156" s="8" t="inlineStr"/>
      <c r="O2156" s="9" t="n">
        <v>8468</v>
      </c>
      <c r="P2156" s="10" t="n">
        <v>-1086</v>
      </c>
      <c r="Q2156" s="10" t="inlineStr"/>
      <c r="R2156" s="7" t="n">
        <v>7146</v>
      </c>
      <c r="S2156" s="8" t="n">
        <v>-7036</v>
      </c>
      <c r="T2156" s="8" t="inlineStr"/>
      <c r="U2156" s="9" t="n">
        <v>8576</v>
      </c>
      <c r="V2156" s="10" t="n">
        <v>1112</v>
      </c>
      <c r="W2156" s="10" t="inlineStr"/>
      <c r="X2156" s="7" t="n">
        <v>10129</v>
      </c>
      <c r="Y2156" s="8" t="n">
        <v>-963</v>
      </c>
      <c r="Z2156" s="8" t="inlineStr"/>
      <c r="AA2156" s="9" t="n">
        <v>9799</v>
      </c>
      <c r="AB2156" s="10" t="n">
        <v>-1928</v>
      </c>
      <c r="AC2156" s="10" t="inlineStr"/>
      <c r="AD2156" s="7" t="n">
        <v>9179</v>
      </c>
      <c r="AE2156" s="8" t="n">
        <v>-6306</v>
      </c>
      <c r="AF2156" s="8" t="inlineStr"/>
      <c r="AG2156" s="9" t="n">
        <v>8219</v>
      </c>
      <c r="AH2156" s="10" t="n">
        <v>615</v>
      </c>
      <c r="AI2156" s="10" t="inlineStr"/>
      <c r="AJ2156" s="11" t="n">
        <v>23339</v>
      </c>
      <c r="AK2156" s="12" t="n">
        <v>264</v>
      </c>
      <c r="AL2156" s="12" t="inlineStr"/>
      <c r="AM2156" s="13" t="n">
        <v>184</v>
      </c>
      <c r="AN2156" s="13" t="n">
        <v>130.4</v>
      </c>
      <c r="AO2156" s="13" t="n">
        <v>-57.1</v>
      </c>
      <c r="AP2156" s="13" t="n">
        <v>127.4</v>
      </c>
    </row>
    <row r="2157">
      <c r="A2157" s="5" t="inlineStr">
        <is>
          <t>씨티알모빌리티</t>
        </is>
      </c>
      <c r="B2157" s="6" t="inlineStr">
        <is>
          <t>308170</t>
        </is>
      </c>
      <c r="C2157" s="6" t="inlineStr">
        <is>
          <t>연결</t>
        </is>
      </c>
      <c r="D2157" s="6" t="inlineStr">
        <is>
          <t>2026Q2</t>
        </is>
      </c>
      <c r="E2157" s="6" t="inlineStr"/>
      <c r="F2157" s="7" t="inlineStr"/>
      <c r="G2157" s="8" t="inlineStr"/>
      <c r="H2157" s="8" t="inlineStr"/>
      <c r="I2157" s="9" t="n">
        <v>112129</v>
      </c>
      <c r="J2157" s="10" t="n">
        <v>44</v>
      </c>
      <c r="K2157" s="10" t="n">
        <v>-1900</v>
      </c>
      <c r="L2157" s="7" t="n">
        <v>109168</v>
      </c>
      <c r="M2157" s="8" t="n">
        <v>1529</v>
      </c>
      <c r="N2157" s="8" t="n">
        <v>201</v>
      </c>
      <c r="O2157" s="9" t="n">
        <v>105723</v>
      </c>
      <c r="P2157" s="10" t="n">
        <v>1154</v>
      </c>
      <c r="Q2157" s="10" t="n">
        <v>-1021</v>
      </c>
      <c r="R2157" s="7" t="n">
        <v>105251</v>
      </c>
      <c r="S2157" s="8" t="n">
        <v>1193</v>
      </c>
      <c r="T2157" s="8" t="n">
        <v>-13887</v>
      </c>
      <c r="U2157" s="9" t="n">
        <v>115410</v>
      </c>
      <c r="V2157" s="10" t="n">
        <v>982</v>
      </c>
      <c r="W2157" s="10" t="n">
        <v>-1088</v>
      </c>
      <c r="X2157" s="7" t="n">
        <v>123441</v>
      </c>
      <c r="Y2157" s="8" t="n">
        <v>2123</v>
      </c>
      <c r="Z2157" s="8" t="n">
        <v>-656</v>
      </c>
      <c r="AA2157" s="9" t="n">
        <v>114576</v>
      </c>
      <c r="AB2157" s="10" t="n">
        <v>1401</v>
      </c>
      <c r="AC2157" s="10" t="n">
        <v>-792</v>
      </c>
      <c r="AD2157" s="7" t="n">
        <v>108032</v>
      </c>
      <c r="AE2157" s="8" t="n">
        <v>1308</v>
      </c>
      <c r="AF2157" s="8" t="n">
        <v>-696</v>
      </c>
      <c r="AG2157" s="9" t="n">
        <v>109524</v>
      </c>
      <c r="AH2157" s="10" t="n">
        <v>324</v>
      </c>
      <c r="AI2157" s="10" t="n">
        <v>-1905</v>
      </c>
      <c r="AJ2157" s="11" t="n">
        <v>114178</v>
      </c>
      <c r="AK2157" s="12" t="n">
        <v>1246</v>
      </c>
      <c r="AL2157" s="12" t="n">
        <v>-868</v>
      </c>
      <c r="AM2157" s="13" t="n">
        <v>4.2</v>
      </c>
      <c r="AN2157" s="13" t="n">
        <v>-7.5</v>
      </c>
      <c r="AO2157" s="13" t="n">
        <v>284.6</v>
      </c>
      <c r="AP2157" s="13" t="n">
        <v>-41.3</v>
      </c>
    </row>
    <row r="2158">
      <c r="A2158" s="5" t="inlineStr">
        <is>
          <t>셀비온</t>
        </is>
      </c>
      <c r="B2158" s="6" t="inlineStr">
        <is>
          <t>308430</t>
        </is>
      </c>
      <c r="C2158" s="6" t="inlineStr">
        <is>
          <t>별도</t>
        </is>
      </c>
      <c r="D2158" s="6" t="inlineStr">
        <is>
          <t>2026Q2</t>
        </is>
      </c>
      <c r="E2158" s="6" t="inlineStr"/>
      <c r="F2158" s="7" t="inlineStr"/>
      <c r="G2158" s="8" t="inlineStr"/>
      <c r="H2158" s="8" t="inlineStr"/>
      <c r="I2158" s="9" t="inlineStr"/>
      <c r="J2158" s="10" t="inlineStr"/>
      <c r="K2158" s="10" t="inlineStr"/>
      <c r="L2158" s="7" t="inlineStr"/>
      <c r="M2158" s="8" t="inlineStr"/>
      <c r="N2158" s="8" t="inlineStr"/>
      <c r="O2158" s="9" t="n">
        <v>1178</v>
      </c>
      <c r="P2158" s="10" t="n">
        <v>-1727</v>
      </c>
      <c r="Q2158" s="10" t="n">
        <v>-1706</v>
      </c>
      <c r="R2158" s="7" t="inlineStr"/>
      <c r="S2158" s="8" t="inlineStr"/>
      <c r="T2158" s="8" t="inlineStr"/>
      <c r="U2158" s="9" t="n">
        <v>480</v>
      </c>
      <c r="V2158" s="10" t="n">
        <v>-1652</v>
      </c>
      <c r="W2158" s="10" t="n">
        <v>-1427</v>
      </c>
      <c r="X2158" s="7" t="n">
        <v>404</v>
      </c>
      <c r="Y2158" s="8" t="n">
        <v>-2084</v>
      </c>
      <c r="Z2158" s="8" t="n">
        <v>-1893</v>
      </c>
      <c r="AA2158" s="9" t="n">
        <v>679</v>
      </c>
      <c r="AB2158" s="10" t="n">
        <v>-1997</v>
      </c>
      <c r="AC2158" s="10" t="n">
        <v>-1830</v>
      </c>
      <c r="AD2158" s="7" t="n">
        <v>382</v>
      </c>
      <c r="AE2158" s="8" t="n">
        <v>-2512</v>
      </c>
      <c r="AF2158" s="8" t="n">
        <v>-2424</v>
      </c>
      <c r="AG2158" s="9" t="n">
        <v>613</v>
      </c>
      <c r="AH2158" s="10" t="n">
        <v>-2444</v>
      </c>
      <c r="AI2158" s="10" t="n">
        <v>-2398</v>
      </c>
      <c r="AJ2158" s="11" t="n">
        <v>472</v>
      </c>
      <c r="AK2158" s="12" t="n">
        <v>-2642</v>
      </c>
      <c r="AL2158" s="12" t="n">
        <v>14402</v>
      </c>
      <c r="AM2158" s="13" t="n">
        <v>-23</v>
      </c>
      <c r="AN2158" s="13" t="n">
        <v>16.8</v>
      </c>
      <c r="AO2158" s="13" t="n">
        <v>-8.1</v>
      </c>
      <c r="AP2158" s="13" t="n">
        <v>-26.8</v>
      </c>
    </row>
    <row r="2159">
      <c r="A2159" s="5" t="inlineStr">
        <is>
          <t>아이티켐</t>
        </is>
      </c>
      <c r="B2159" s="6" t="inlineStr">
        <is>
          <t>309710</t>
        </is>
      </c>
      <c r="C2159" s="6" t="inlineStr">
        <is>
          <t>연결</t>
        </is>
      </c>
      <c r="D2159" s="6" t="inlineStr">
        <is>
          <t>2026Q2</t>
        </is>
      </c>
      <c r="E2159" s="6" t="inlineStr"/>
      <c r="F2159" s="7" t="inlineStr"/>
      <c r="G2159" s="8" t="inlineStr"/>
      <c r="H2159" s="8" t="inlineStr"/>
      <c r="I2159" s="9" t="inlineStr"/>
      <c r="J2159" s="10" t="inlineStr"/>
      <c r="K2159" s="10" t="inlineStr"/>
      <c r="L2159" s="7" t="inlineStr"/>
      <c r="M2159" s="8" t="inlineStr"/>
      <c r="N2159" s="8" t="inlineStr"/>
      <c r="O2159" s="9" t="inlineStr"/>
      <c r="P2159" s="10" t="inlineStr"/>
      <c r="Q2159" s="10" t="inlineStr"/>
      <c r="R2159" s="7" t="inlineStr"/>
      <c r="S2159" s="8" t="inlineStr"/>
      <c r="T2159" s="8" t="inlineStr"/>
      <c r="U2159" s="9" t="inlineStr"/>
      <c r="V2159" s="10" t="inlineStr"/>
      <c r="W2159" s="10" t="inlineStr"/>
      <c r="X2159" s="7" t="n">
        <v>19830</v>
      </c>
      <c r="Y2159" s="8" t="n">
        <v>-725</v>
      </c>
      <c r="Z2159" s="8" t="n">
        <v>-1837</v>
      </c>
      <c r="AA2159" s="9" t="n">
        <v>27157</v>
      </c>
      <c r="AB2159" s="10" t="n">
        <v>-1205</v>
      </c>
      <c r="AC2159" s="10" t="n">
        <v>-3737</v>
      </c>
      <c r="AD2159" s="7" t="inlineStr"/>
      <c r="AE2159" s="8" t="inlineStr"/>
      <c r="AF2159" s="8" t="inlineStr"/>
      <c r="AG2159" s="9" t="n">
        <v>12699</v>
      </c>
      <c r="AH2159" s="10" t="n">
        <v>-1722</v>
      </c>
      <c r="AI2159" s="10" t="n">
        <v>-4303</v>
      </c>
      <c r="AJ2159" s="11" t="n">
        <v>15091</v>
      </c>
      <c r="AK2159" s="12" t="n">
        <v>-2773</v>
      </c>
      <c r="AL2159" s="12" t="n">
        <v>-1458</v>
      </c>
      <c r="AM2159" s="13" t="n">
        <v>18.8</v>
      </c>
      <c r="AN2159" s="13" t="n">
        <v>-23.9</v>
      </c>
      <c r="AO2159" s="13" t="n">
        <v>-61</v>
      </c>
      <c r="AP2159" s="13" t="n">
        <v>-282.5</v>
      </c>
    </row>
    <row r="2160">
      <c r="A2160" s="5" t="inlineStr">
        <is>
          <t>조이웍스앤코</t>
        </is>
      </c>
      <c r="B2160" s="6" t="inlineStr">
        <is>
          <t>309930</t>
        </is>
      </c>
      <c r="C2160" s="6" t="inlineStr">
        <is>
          <t>연결</t>
        </is>
      </c>
      <c r="D2160" s="6" t="inlineStr">
        <is>
          <t>2026Q2</t>
        </is>
      </c>
      <c r="E2160" s="6" t="inlineStr"/>
      <c r="F2160" s="7" t="inlineStr"/>
      <c r="G2160" s="8" t="inlineStr"/>
      <c r="H2160" s="8" t="inlineStr"/>
      <c r="I2160" s="9" t="n">
        <v>12406</v>
      </c>
      <c r="J2160" s="10" t="n">
        <v>573</v>
      </c>
      <c r="K2160" s="10" t="n">
        <v>744</v>
      </c>
      <c r="L2160" s="7" t="n">
        <v>11997</v>
      </c>
      <c r="M2160" s="8" t="n">
        <v>-537</v>
      </c>
      <c r="N2160" s="8" t="n">
        <v>2580</v>
      </c>
      <c r="O2160" s="9" t="n">
        <v>10949</v>
      </c>
      <c r="P2160" s="10" t="n">
        <v>-1726</v>
      </c>
      <c r="Q2160" s="10" t="n">
        <v>-2517</v>
      </c>
      <c r="R2160" s="7" t="n">
        <v>11917</v>
      </c>
      <c r="S2160" s="8" t="n">
        <v>-699</v>
      </c>
      <c r="T2160" s="8" t="n">
        <v>233</v>
      </c>
      <c r="U2160" s="9" t="n">
        <v>11348</v>
      </c>
      <c r="V2160" s="10" t="n">
        <v>-1055</v>
      </c>
      <c r="W2160" s="10" t="n">
        <v>-977</v>
      </c>
      <c r="X2160" s="7" t="n">
        <v>8156</v>
      </c>
      <c r="Y2160" s="8" t="n">
        <v>-2012</v>
      </c>
      <c r="Z2160" s="8" t="n">
        <v>-2212</v>
      </c>
      <c r="AA2160" s="9" t="n">
        <v>7414</v>
      </c>
      <c r="AB2160" s="10" t="n">
        <v>-1179</v>
      </c>
      <c r="AC2160" s="10" t="n">
        <v>-4784</v>
      </c>
      <c r="AD2160" s="7" t="n">
        <v>19063</v>
      </c>
      <c r="AE2160" s="8" t="n">
        <v>-4523</v>
      </c>
      <c r="AF2160" s="8" t="n">
        <v>-12750</v>
      </c>
      <c r="AG2160" s="9" t="n">
        <v>21221</v>
      </c>
      <c r="AH2160" s="10" t="n">
        <v>3377</v>
      </c>
      <c r="AI2160" s="10" t="n">
        <v>2628</v>
      </c>
      <c r="AJ2160" s="11" t="n">
        <v>12043</v>
      </c>
      <c r="AK2160" s="12" t="n">
        <v>-1304</v>
      </c>
      <c r="AL2160" s="12" t="n">
        <v>20</v>
      </c>
      <c r="AM2160" s="13" t="n">
        <v>-43.2</v>
      </c>
      <c r="AN2160" s="13" t="n">
        <v>47.7</v>
      </c>
      <c r="AO2160" s="13" t="n">
        <v>-138.6</v>
      </c>
      <c r="AP2160" s="13" t="n">
        <v>35.2</v>
      </c>
    </row>
    <row r="2161">
      <c r="A2161" s="5" t="inlineStr">
        <is>
          <t>LB인베스트먼트</t>
        </is>
      </c>
      <c r="B2161" s="6" t="inlineStr">
        <is>
          <t>309960</t>
        </is>
      </c>
      <c r="C2161" s="6" t="inlineStr">
        <is>
          <t>연결</t>
        </is>
      </c>
      <c r="D2161" s="6" t="inlineStr">
        <is>
          <t>2026Q2</t>
        </is>
      </c>
      <c r="E2161" s="6" t="inlineStr"/>
      <c r="F2161" s="7" t="inlineStr"/>
      <c r="G2161" s="8" t="inlineStr"/>
      <c r="H2161" s="8" t="inlineStr"/>
      <c r="I2161" s="9" t="n">
        <v>5354</v>
      </c>
      <c r="J2161" s="10" t="n">
        <v>455</v>
      </c>
      <c r="K2161" s="10" t="n">
        <v>426</v>
      </c>
      <c r="L2161" s="7" t="n">
        <v>5475</v>
      </c>
      <c r="M2161" s="8" t="n">
        <v>2304</v>
      </c>
      <c r="N2161" s="8" t="n">
        <v>1917</v>
      </c>
      <c r="O2161" s="9" t="n">
        <v>2777</v>
      </c>
      <c r="P2161" s="10" t="n">
        <v>-369</v>
      </c>
      <c r="Q2161" s="10" t="n">
        <v>-328</v>
      </c>
      <c r="R2161" s="7" t="n">
        <v>16651</v>
      </c>
      <c r="S2161" s="8" t="n">
        <v>8462</v>
      </c>
      <c r="T2161" s="8" t="n">
        <v>6563</v>
      </c>
      <c r="U2161" s="9" t="n">
        <v>5294</v>
      </c>
      <c r="V2161" s="10" t="n">
        <v>1019</v>
      </c>
      <c r="W2161" s="10" t="n">
        <v>784</v>
      </c>
      <c r="X2161" s="7" t="n">
        <v>6885</v>
      </c>
      <c r="Y2161" s="8" t="n">
        <v>2642</v>
      </c>
      <c r="Z2161" s="8" t="n">
        <v>2133</v>
      </c>
      <c r="AA2161" s="9" t="n">
        <v>8142</v>
      </c>
      <c r="AB2161" s="10" t="n">
        <v>5285</v>
      </c>
      <c r="AC2161" s="10" t="n">
        <v>4638</v>
      </c>
      <c r="AD2161" s="7" t="n">
        <v>6094</v>
      </c>
      <c r="AE2161" s="8" t="n">
        <v>719</v>
      </c>
      <c r="AF2161" s="8" t="n">
        <v>4878</v>
      </c>
      <c r="AG2161" s="9" t="n">
        <v>13117</v>
      </c>
      <c r="AH2161" s="10" t="n">
        <v>2111</v>
      </c>
      <c r="AI2161" s="10" t="n">
        <v>1265</v>
      </c>
      <c r="AJ2161" s="11" t="n">
        <v>8537</v>
      </c>
      <c r="AK2161" s="12" t="n">
        <v>3435</v>
      </c>
      <c r="AL2161" s="12" t="n">
        <v>3154</v>
      </c>
      <c r="AM2161" s="13" t="n">
        <v>-34.9</v>
      </c>
      <c r="AN2161" s="13" t="n">
        <v>24</v>
      </c>
      <c r="AO2161" s="13" t="n">
        <v>62.7</v>
      </c>
      <c r="AP2161" s="13" t="n">
        <v>30</v>
      </c>
    </row>
    <row r="2162">
      <c r="A2162" s="5" t="inlineStr">
        <is>
          <t>애니플러스</t>
        </is>
      </c>
      <c r="B2162" s="6" t="inlineStr">
        <is>
          <t>310200</t>
        </is>
      </c>
      <c r="C2162" s="6" t="inlineStr">
        <is>
          <t>연결</t>
        </is>
      </c>
      <c r="D2162" s="6" t="inlineStr">
        <is>
          <t>2026Q2</t>
        </is>
      </c>
      <c r="E2162" s="6" t="inlineStr"/>
      <c r="F2162" s="7" t="inlineStr"/>
      <c r="G2162" s="8" t="inlineStr"/>
      <c r="H2162" s="8" t="inlineStr"/>
      <c r="I2162" s="9" t="n">
        <v>25724</v>
      </c>
      <c r="J2162" s="10" t="n">
        <v>5152</v>
      </c>
      <c r="K2162" s="10" t="n">
        <v>2596</v>
      </c>
      <c r="L2162" s="7" t="n">
        <v>34328</v>
      </c>
      <c r="M2162" s="8" t="n">
        <v>8114</v>
      </c>
      <c r="N2162" s="8" t="n">
        <v>4428</v>
      </c>
      <c r="O2162" s="9" t="n">
        <v>38620</v>
      </c>
      <c r="P2162" s="10" t="n">
        <v>6050</v>
      </c>
      <c r="Q2162" s="10" t="n">
        <v>4520</v>
      </c>
      <c r="R2162" s="7" t="n">
        <v>32304</v>
      </c>
      <c r="S2162" s="8" t="n">
        <v>5823</v>
      </c>
      <c r="T2162" s="8" t="n">
        <v>6485</v>
      </c>
      <c r="U2162" s="9" t="n">
        <v>29369</v>
      </c>
      <c r="V2162" s="10" t="n">
        <v>5245</v>
      </c>
      <c r="W2162" s="10" t="n">
        <v>4195</v>
      </c>
      <c r="X2162" s="7" t="n">
        <v>28611</v>
      </c>
      <c r="Y2162" s="8" t="n">
        <v>3056</v>
      </c>
      <c r="Z2162" s="8" t="n">
        <v>2189</v>
      </c>
      <c r="AA2162" s="9" t="n">
        <v>55713</v>
      </c>
      <c r="AB2162" s="10" t="n">
        <v>16437</v>
      </c>
      <c r="AC2162" s="10" t="n">
        <v>12256</v>
      </c>
      <c r="AD2162" s="7" t="n">
        <v>36607</v>
      </c>
      <c r="AE2162" s="8" t="n">
        <v>-2054</v>
      </c>
      <c r="AF2162" s="8" t="n">
        <v>-4595</v>
      </c>
      <c r="AG2162" s="9" t="n">
        <v>29612</v>
      </c>
      <c r="AH2162" s="10" t="n">
        <v>2420</v>
      </c>
      <c r="AI2162" s="10" t="n">
        <v>2199</v>
      </c>
      <c r="AJ2162" s="11" t="n">
        <v>32305</v>
      </c>
      <c r="AK2162" s="12" t="n">
        <v>3279</v>
      </c>
      <c r="AL2162" s="12" t="n">
        <v>1059</v>
      </c>
      <c r="AM2162" s="13" t="n">
        <v>9.1</v>
      </c>
      <c r="AN2162" s="13" t="n">
        <v>12.9</v>
      </c>
      <c r="AO2162" s="13" t="n">
        <v>35.5</v>
      </c>
      <c r="AP2162" s="13" t="n">
        <v>7.3</v>
      </c>
    </row>
    <row r="2163">
      <c r="A2163" s="5" t="inlineStr">
        <is>
          <t>보로노이</t>
        </is>
      </c>
      <c r="B2163" s="6" t="inlineStr">
        <is>
          <t>310210</t>
        </is>
      </c>
      <c r="C2163" s="6" t="inlineStr">
        <is>
          <t>연결</t>
        </is>
      </c>
      <c r="D2163" s="6" t="inlineStr">
        <is>
          <t>2026Q2</t>
        </is>
      </c>
      <c r="E2163" s="6" t="inlineStr"/>
      <c r="F2163" s="7" t="inlineStr"/>
      <c r="G2163" s="8" t="inlineStr"/>
      <c r="H2163" s="8" t="inlineStr"/>
      <c r="I2163" s="9" t="n">
        <v>0</v>
      </c>
      <c r="J2163" s="10" t="n">
        <v>-7616</v>
      </c>
      <c r="K2163" s="10" t="n">
        <v>-6570</v>
      </c>
      <c r="L2163" s="7" t="n">
        <v>0</v>
      </c>
      <c r="M2163" s="8" t="n">
        <v>-8638</v>
      </c>
      <c r="N2163" s="8" t="n">
        <v>-7740</v>
      </c>
      <c r="O2163" s="9" t="n">
        <v>0</v>
      </c>
      <c r="P2163" s="10" t="n">
        <v>-9494</v>
      </c>
      <c r="Q2163" s="10" t="n">
        <v>-9437</v>
      </c>
      <c r="R2163" s="7" t="n">
        <v>0</v>
      </c>
      <c r="S2163" s="8" t="n">
        <v>-10591</v>
      </c>
      <c r="T2163" s="8" t="n">
        <v>-8866</v>
      </c>
      <c r="U2163" s="9" t="n">
        <v>0</v>
      </c>
      <c r="V2163" s="10" t="n">
        <v>-14485</v>
      </c>
      <c r="W2163" s="10" t="n">
        <v>-14108</v>
      </c>
      <c r="X2163" s="7" t="n">
        <v>3350</v>
      </c>
      <c r="Y2163" s="8" t="n">
        <v>-10161</v>
      </c>
      <c r="Z2163" s="8" t="n">
        <v>-10483</v>
      </c>
      <c r="AA2163" s="9" t="n">
        <v>4140</v>
      </c>
      <c r="AB2163" s="10" t="n">
        <v>-13563</v>
      </c>
      <c r="AC2163" s="10" t="n">
        <v>-13805</v>
      </c>
      <c r="AD2163" s="7" t="n">
        <v>22</v>
      </c>
      <c r="AE2163" s="8" t="n">
        <v>-16176</v>
      </c>
      <c r="AF2163" s="8" t="n">
        <v>-4310</v>
      </c>
      <c r="AG2163" s="9" t="n">
        <v>0</v>
      </c>
      <c r="AH2163" s="10" t="n">
        <v>-22002</v>
      </c>
      <c r="AI2163" s="10" t="n">
        <v>-22003</v>
      </c>
      <c r="AJ2163" s="11" t="n">
        <v>0</v>
      </c>
      <c r="AK2163" s="12" t="n">
        <v>-29298</v>
      </c>
      <c r="AL2163" s="12" t="n">
        <v>-29015</v>
      </c>
      <c r="AM2163" s="13" t="inlineStr"/>
      <c r="AN2163" s="13" t="n">
        <v>-100</v>
      </c>
      <c r="AO2163" s="13" t="n">
        <v>-33.2</v>
      </c>
      <c r="AP2163" s="13" t="n">
        <v>-188.3</v>
      </c>
    </row>
    <row r="2164">
      <c r="A2164" s="5" t="inlineStr">
        <is>
          <t>디와이씨</t>
        </is>
      </c>
      <c r="B2164" s="6" t="inlineStr">
        <is>
          <t>310870</t>
        </is>
      </c>
      <c r="C2164" s="6" t="inlineStr">
        <is>
          <t>연결</t>
        </is>
      </c>
      <c r="D2164" s="6" t="inlineStr">
        <is>
          <t>2026Q2</t>
        </is>
      </c>
      <c r="E2164" s="6" t="inlineStr"/>
      <c r="F2164" s="7" t="inlineStr"/>
      <c r="G2164" s="8" t="inlineStr"/>
      <c r="H2164" s="8" t="inlineStr"/>
      <c r="I2164" s="9" t="n">
        <v>27992</v>
      </c>
      <c r="J2164" s="10" t="n">
        <v>2099</v>
      </c>
      <c r="K2164" s="10" t="n">
        <v>507</v>
      </c>
      <c r="L2164" s="7" t="n">
        <v>25158</v>
      </c>
      <c r="M2164" s="8" t="n">
        <v>1830</v>
      </c>
      <c r="N2164" s="8" t="n">
        <v>136</v>
      </c>
      <c r="O2164" s="9" t="n">
        <v>23687</v>
      </c>
      <c r="P2164" s="10" t="n">
        <v>267</v>
      </c>
      <c r="Q2164" s="10" t="n">
        <v>764</v>
      </c>
      <c r="R2164" s="7" t="n">
        <v>23275</v>
      </c>
      <c r="S2164" s="8" t="n">
        <v>708</v>
      </c>
      <c r="T2164" s="8" t="n">
        <v>-776</v>
      </c>
      <c r="U2164" s="9" t="n">
        <v>26077</v>
      </c>
      <c r="V2164" s="10" t="n">
        <v>2451</v>
      </c>
      <c r="W2164" s="10" t="n">
        <v>2141</v>
      </c>
      <c r="X2164" s="7" t="n">
        <v>25761</v>
      </c>
      <c r="Y2164" s="8" t="n">
        <v>469</v>
      </c>
      <c r="Z2164" s="8" t="n">
        <v>-198</v>
      </c>
      <c r="AA2164" s="9" t="n">
        <v>28450</v>
      </c>
      <c r="AB2164" s="10" t="n">
        <v>702</v>
      </c>
      <c r="AC2164" s="10" t="n">
        <v>877</v>
      </c>
      <c r="AD2164" s="7" t="n">
        <v>30751</v>
      </c>
      <c r="AE2164" s="8" t="n">
        <v>1501</v>
      </c>
      <c r="AF2164" s="8" t="n">
        <v>855</v>
      </c>
      <c r="AG2164" s="9" t="n">
        <v>33165</v>
      </c>
      <c r="AH2164" s="10" t="n">
        <v>2559</v>
      </c>
      <c r="AI2164" s="10" t="n">
        <v>2647</v>
      </c>
      <c r="AJ2164" s="11" t="n">
        <v>36544</v>
      </c>
      <c r="AK2164" s="12" t="n">
        <v>3728</v>
      </c>
      <c r="AL2164" s="12" t="n">
        <v>3030</v>
      </c>
      <c r="AM2164" s="13" t="n">
        <v>10.2</v>
      </c>
      <c r="AN2164" s="13" t="n">
        <v>41.9</v>
      </c>
      <c r="AO2164" s="13" t="n">
        <v>45.7</v>
      </c>
      <c r="AP2164" s="13" t="n">
        <v>694.9</v>
      </c>
    </row>
    <row r="2165">
      <c r="A2165" s="5" t="inlineStr">
        <is>
          <t>지오엘리먼트</t>
        </is>
      </c>
      <c r="B2165" s="6" t="inlineStr">
        <is>
          <t>311320</t>
        </is>
      </c>
      <c r="C2165" s="6" t="inlineStr">
        <is>
          <t>연결</t>
        </is>
      </c>
      <c r="D2165" s="6" t="inlineStr">
        <is>
          <t>2026Q2</t>
        </is>
      </c>
      <c r="E2165" s="6" t="inlineStr"/>
      <c r="F2165" s="7" t="inlineStr"/>
      <c r="G2165" s="8" t="inlineStr"/>
      <c r="H2165" s="8" t="inlineStr"/>
      <c r="I2165" s="9" t="n">
        <v>7108</v>
      </c>
      <c r="J2165" s="10" t="n">
        <v>1357</v>
      </c>
      <c r="K2165" s="10" t="n">
        <v>1252</v>
      </c>
      <c r="L2165" s="7" t="n">
        <v>13389</v>
      </c>
      <c r="M2165" s="8" t="n">
        <v>1650</v>
      </c>
      <c r="N2165" s="8" t="n">
        <v>1387</v>
      </c>
      <c r="O2165" s="9" t="n">
        <v>13686</v>
      </c>
      <c r="P2165" s="10" t="n">
        <v>1824</v>
      </c>
      <c r="Q2165" s="10" t="n">
        <v>1612</v>
      </c>
      <c r="R2165" s="7" t="n">
        <v>10594</v>
      </c>
      <c r="S2165" s="8" t="n">
        <v>483</v>
      </c>
      <c r="T2165" s="8" t="n">
        <v>-1151</v>
      </c>
      <c r="U2165" s="9" t="n">
        <v>13202</v>
      </c>
      <c r="V2165" s="10" t="n">
        <v>762</v>
      </c>
      <c r="W2165" s="10" t="n">
        <v>1617</v>
      </c>
      <c r="X2165" s="7" t="n">
        <v>12738</v>
      </c>
      <c r="Y2165" s="8" t="n">
        <v>1168</v>
      </c>
      <c r="Z2165" s="8" t="n">
        <v>976</v>
      </c>
      <c r="AA2165" s="9" t="n">
        <v>15619</v>
      </c>
      <c r="AB2165" s="10" t="n">
        <v>1436</v>
      </c>
      <c r="AC2165" s="10" t="n">
        <v>1063</v>
      </c>
      <c r="AD2165" s="7" t="n">
        <v>13065</v>
      </c>
      <c r="AE2165" s="8" t="n">
        <v>1063</v>
      </c>
      <c r="AF2165" s="8" t="n">
        <v>1129</v>
      </c>
      <c r="AG2165" s="9" t="n">
        <v>14851</v>
      </c>
      <c r="AH2165" s="10" t="n">
        <v>2080</v>
      </c>
      <c r="AI2165" s="10" t="n">
        <v>1834</v>
      </c>
      <c r="AJ2165" s="11" t="n">
        <v>17374</v>
      </c>
      <c r="AK2165" s="12" t="n">
        <v>3394</v>
      </c>
      <c r="AL2165" s="12" t="n">
        <v>2890</v>
      </c>
      <c r="AM2165" s="13" t="n">
        <v>17</v>
      </c>
      <c r="AN2165" s="13" t="n">
        <v>36.4</v>
      </c>
      <c r="AO2165" s="13" t="n">
        <v>63.2</v>
      </c>
      <c r="AP2165" s="13" t="n">
        <v>190.6</v>
      </c>
    </row>
    <row r="2166">
      <c r="A2166" s="5" t="inlineStr">
        <is>
          <t>네오크레마</t>
        </is>
      </c>
      <c r="B2166" s="6" t="inlineStr">
        <is>
          <t>311390</t>
        </is>
      </c>
      <c r="C2166" s="6" t="inlineStr">
        <is>
          <t>연결</t>
        </is>
      </c>
      <c r="D2166" s="6" t="inlineStr">
        <is>
          <t>2026Q2</t>
        </is>
      </c>
      <c r="E2166" s="6" t="inlineStr"/>
      <c r="F2166" s="7" t="inlineStr"/>
      <c r="G2166" s="8" t="inlineStr"/>
      <c r="H2166" s="8" t="inlineStr"/>
      <c r="I2166" s="9" t="n">
        <v>5385</v>
      </c>
      <c r="J2166" s="10" t="n">
        <v>274</v>
      </c>
      <c r="K2166" s="10" t="n">
        <v>-1672</v>
      </c>
      <c r="L2166" s="7" t="n">
        <v>6279</v>
      </c>
      <c r="M2166" s="8" t="n">
        <v>-648</v>
      </c>
      <c r="N2166" s="8" t="n">
        <v>3363</v>
      </c>
      <c r="O2166" s="9" t="n">
        <v>5922</v>
      </c>
      <c r="P2166" s="10" t="n">
        <v>-1244</v>
      </c>
      <c r="Q2166" s="10" t="n">
        <v>-1127</v>
      </c>
      <c r="R2166" s="7" t="n">
        <v>22728</v>
      </c>
      <c r="S2166" s="8" t="n">
        <v>927</v>
      </c>
      <c r="T2166" s="8" t="n">
        <v>366</v>
      </c>
      <c r="U2166" s="9" t="n">
        <v>20798</v>
      </c>
      <c r="V2166" s="10" t="n">
        <v>2765</v>
      </c>
      <c r="W2166" s="10" t="n">
        <v>2892</v>
      </c>
      <c r="X2166" s="7" t="n">
        <v>21446</v>
      </c>
      <c r="Y2166" s="8" t="n">
        <v>3266</v>
      </c>
      <c r="Z2166" s="8" t="n">
        <v>1461</v>
      </c>
      <c r="AA2166" s="9" t="n">
        <v>18051</v>
      </c>
      <c r="AB2166" s="10" t="n">
        <v>462</v>
      </c>
      <c r="AC2166" s="10" t="n">
        <v>1681</v>
      </c>
      <c r="AD2166" s="7" t="n">
        <v>21649</v>
      </c>
      <c r="AE2166" s="8" t="n">
        <v>-1084</v>
      </c>
      <c r="AF2166" s="8" t="n">
        <v>-861</v>
      </c>
      <c r="AG2166" s="9" t="n">
        <v>19084</v>
      </c>
      <c r="AH2166" s="10" t="n">
        <v>666</v>
      </c>
      <c r="AI2166" s="10" t="n">
        <v>1886</v>
      </c>
      <c r="AJ2166" s="11" t="n">
        <v>22845</v>
      </c>
      <c r="AK2166" s="12" t="n">
        <v>3536</v>
      </c>
      <c r="AL2166" s="12" t="n">
        <v>4602</v>
      </c>
      <c r="AM2166" s="13" t="n">
        <v>19.7</v>
      </c>
      <c r="AN2166" s="13" t="n">
        <v>6.5</v>
      </c>
      <c r="AO2166" s="13" t="n">
        <v>430.9</v>
      </c>
      <c r="AP2166" s="13" t="n">
        <v>8.300000000000001</v>
      </c>
    </row>
    <row r="2167">
      <c r="A2167" s="5" t="inlineStr">
        <is>
          <t>CJ 바이오사이언스</t>
        </is>
      </c>
      <c r="B2167" s="6" t="inlineStr">
        <is>
          <t>311690</t>
        </is>
      </c>
      <c r="C2167" s="6" t="inlineStr">
        <is>
          <t>연결</t>
        </is>
      </c>
      <c r="D2167" s="6" t="inlineStr">
        <is>
          <t>2026Q2</t>
        </is>
      </c>
      <c r="E2167" s="6" t="inlineStr"/>
      <c r="F2167" s="7" t="inlineStr"/>
      <c r="G2167" s="8" t="inlineStr"/>
      <c r="H2167" s="8" t="inlineStr"/>
      <c r="I2167" s="9" t="n">
        <v>1004</v>
      </c>
      <c r="J2167" s="10" t="n">
        <v>-7807</v>
      </c>
      <c r="K2167" s="10" t="n">
        <v>-7375</v>
      </c>
      <c r="L2167" s="7" t="n">
        <v>777</v>
      </c>
      <c r="M2167" s="8" t="n">
        <v>-8061</v>
      </c>
      <c r="N2167" s="8" t="n">
        <v>-7730</v>
      </c>
      <c r="O2167" s="9" t="n">
        <v>744</v>
      </c>
      <c r="P2167" s="10" t="n">
        <v>-8563</v>
      </c>
      <c r="Q2167" s="10" t="n">
        <v>-8261</v>
      </c>
      <c r="R2167" s="7" t="n">
        <v>942</v>
      </c>
      <c r="S2167" s="8" t="n">
        <v>-9810</v>
      </c>
      <c r="T2167" s="8" t="n">
        <v>-9472</v>
      </c>
      <c r="U2167" s="9" t="n">
        <v>913</v>
      </c>
      <c r="V2167" s="10" t="n">
        <v>-6597</v>
      </c>
      <c r="W2167" s="10" t="n">
        <v>-6129</v>
      </c>
      <c r="X2167" s="7" t="n">
        <v>784</v>
      </c>
      <c r="Y2167" s="8" t="n">
        <v>-6954</v>
      </c>
      <c r="Z2167" s="8" t="n">
        <v>-6885</v>
      </c>
      <c r="AA2167" s="9" t="n">
        <v>738</v>
      </c>
      <c r="AB2167" s="10" t="n">
        <v>-6078</v>
      </c>
      <c r="AC2167" s="10" t="n">
        <v>-5829</v>
      </c>
      <c r="AD2167" s="7" t="n">
        <v>1258</v>
      </c>
      <c r="AE2167" s="8" t="n">
        <v>-5157</v>
      </c>
      <c r="AF2167" s="8" t="n">
        <v>-5162</v>
      </c>
      <c r="AG2167" s="9" t="n">
        <v>783</v>
      </c>
      <c r="AH2167" s="10" t="n">
        <v>-5342</v>
      </c>
      <c r="AI2167" s="10" t="n">
        <v>-5128</v>
      </c>
      <c r="AJ2167" s="11" t="n">
        <v>898</v>
      </c>
      <c r="AK2167" s="12" t="n">
        <v>-6399</v>
      </c>
      <c r="AL2167" s="12" t="n">
        <v>-6208</v>
      </c>
      <c r="AM2167" s="13" t="n">
        <v>14.7</v>
      </c>
      <c r="AN2167" s="13" t="n">
        <v>14.5</v>
      </c>
      <c r="AO2167" s="13" t="n">
        <v>-19.8</v>
      </c>
      <c r="AP2167" s="13" t="n">
        <v>8</v>
      </c>
    </row>
    <row r="2168">
      <c r="A2168" s="5" t="inlineStr">
        <is>
          <t>에이에프더블류</t>
        </is>
      </c>
      <c r="B2168" s="6" t="inlineStr">
        <is>
          <t>312610</t>
        </is>
      </c>
      <c r="C2168" s="6" t="inlineStr">
        <is>
          <t>별도</t>
        </is>
      </c>
      <c r="D2168" s="6" t="inlineStr">
        <is>
          <t>2026Q2</t>
        </is>
      </c>
      <c r="E2168" s="6" t="inlineStr"/>
      <c r="F2168" s="7" t="inlineStr"/>
      <c r="G2168" s="8" t="inlineStr"/>
      <c r="H2168" s="8" t="inlineStr"/>
      <c r="I2168" s="9" t="n">
        <v>4695</v>
      </c>
      <c r="J2168" s="10" t="n">
        <v>-1212</v>
      </c>
      <c r="K2168" s="10" t="n">
        <v>-936</v>
      </c>
      <c r="L2168" s="7" t="n">
        <v>4424</v>
      </c>
      <c r="M2168" s="8" t="n">
        <v>-1278</v>
      </c>
      <c r="N2168" s="8" t="n">
        <v>-950</v>
      </c>
      <c r="O2168" s="9" t="n">
        <v>3150</v>
      </c>
      <c r="P2168" s="10" t="n">
        <v>-2010</v>
      </c>
      <c r="Q2168" s="10" t="n">
        <v>-1909</v>
      </c>
      <c r="R2168" s="7" t="n">
        <v>3475</v>
      </c>
      <c r="S2168" s="8" t="n">
        <v>-1976</v>
      </c>
      <c r="T2168" s="8" t="n">
        <v>-1818</v>
      </c>
      <c r="U2168" s="9" t="n">
        <v>2808</v>
      </c>
      <c r="V2168" s="10" t="n">
        <v>-2032</v>
      </c>
      <c r="W2168" s="10" t="n">
        <v>-1990</v>
      </c>
      <c r="X2168" s="7" t="n">
        <v>3647</v>
      </c>
      <c r="Y2168" s="8" t="n">
        <v>-2473</v>
      </c>
      <c r="Z2168" s="8" t="n">
        <v>-2809</v>
      </c>
      <c r="AA2168" s="9" t="n">
        <v>3305</v>
      </c>
      <c r="AB2168" s="10" t="n">
        <v>-2478</v>
      </c>
      <c r="AC2168" s="10" t="n">
        <v>-2420</v>
      </c>
      <c r="AD2168" s="7" t="n">
        <v>3948</v>
      </c>
      <c r="AE2168" s="8" t="n">
        <v>-2538</v>
      </c>
      <c r="AF2168" s="8" t="n">
        <v>-3041</v>
      </c>
      <c r="AG2168" s="9" t="n">
        <v>4271</v>
      </c>
      <c r="AH2168" s="10" t="n">
        <v>-2024</v>
      </c>
      <c r="AI2168" s="10" t="n">
        <v>-2023</v>
      </c>
      <c r="AJ2168" s="11" t="n">
        <v>6454</v>
      </c>
      <c r="AK2168" s="12" t="n">
        <v>-2632</v>
      </c>
      <c r="AL2168" s="12" t="n">
        <v>-2609</v>
      </c>
      <c r="AM2168" s="13" t="n">
        <v>51.1</v>
      </c>
      <c r="AN2168" s="13" t="n">
        <v>77</v>
      </c>
      <c r="AO2168" s="13" t="n">
        <v>-30</v>
      </c>
      <c r="AP2168" s="13" t="n">
        <v>-6.4</v>
      </c>
    </row>
    <row r="2169">
      <c r="A2169" s="5" t="inlineStr">
        <is>
          <t>캐리</t>
        </is>
      </c>
      <c r="B2169" s="6" t="inlineStr">
        <is>
          <t>313760</t>
        </is>
      </c>
      <c r="C2169" s="6" t="inlineStr">
        <is>
          <t>연결</t>
        </is>
      </c>
      <c r="D2169" s="6" t="inlineStr">
        <is>
          <t>2026Q2</t>
        </is>
      </c>
      <c r="E2169" s="6" t="inlineStr"/>
      <c r="F2169" s="7" t="inlineStr"/>
      <c r="G2169" s="8" t="inlineStr"/>
      <c r="H2169" s="8" t="inlineStr"/>
      <c r="I2169" s="9" t="n">
        <v>3113</v>
      </c>
      <c r="J2169" s="10" t="n">
        <v>-2195</v>
      </c>
      <c r="K2169" s="10" t="n">
        <v>-2204</v>
      </c>
      <c r="L2169" s="7" t="n">
        <v>2021</v>
      </c>
      <c r="M2169" s="8" t="n">
        <v>-4739</v>
      </c>
      <c r="N2169" s="8" t="n">
        <v>-7333</v>
      </c>
      <c r="O2169" s="9" t="n">
        <v>2029</v>
      </c>
      <c r="P2169" s="10" t="n">
        <v>-1580</v>
      </c>
      <c r="Q2169" s="10" t="n">
        <v>-1140</v>
      </c>
      <c r="R2169" s="7" t="n">
        <v>1011</v>
      </c>
      <c r="S2169" s="8" t="n">
        <v>4496</v>
      </c>
      <c r="T2169" s="8" t="n">
        <v>-2329</v>
      </c>
      <c r="U2169" s="9" t="n">
        <v>2163</v>
      </c>
      <c r="V2169" s="10" t="n">
        <v>-1390</v>
      </c>
      <c r="W2169" s="10" t="n">
        <v>-887</v>
      </c>
      <c r="X2169" s="7" t="n">
        <v>1732</v>
      </c>
      <c r="Y2169" s="8" t="n">
        <v>-1147</v>
      </c>
      <c r="Z2169" s="8" t="n">
        <v>-2607</v>
      </c>
      <c r="AA2169" s="9" t="n">
        <v>1753</v>
      </c>
      <c r="AB2169" s="10" t="n">
        <v>-1242</v>
      </c>
      <c r="AC2169" s="10" t="n">
        <v>-1623</v>
      </c>
      <c r="AD2169" s="7" t="n">
        <v>1833</v>
      </c>
      <c r="AE2169" s="8" t="n">
        <v>-1093</v>
      </c>
      <c r="AF2169" s="8" t="n">
        <v>-3279</v>
      </c>
      <c r="AG2169" s="9" t="n">
        <v>521</v>
      </c>
      <c r="AH2169" s="10" t="n">
        <v>-696</v>
      </c>
      <c r="AI2169" s="10" t="n">
        <v>-1086</v>
      </c>
      <c r="AJ2169" s="11" t="n">
        <v>23</v>
      </c>
      <c r="AK2169" s="12" t="n">
        <v>-528</v>
      </c>
      <c r="AL2169" s="12" t="n">
        <v>-1162</v>
      </c>
      <c r="AM2169" s="13" t="n">
        <v>-95.59999999999999</v>
      </c>
      <c r="AN2169" s="13" t="n">
        <v>-98.7</v>
      </c>
      <c r="AO2169" s="13" t="n">
        <v>24.1</v>
      </c>
      <c r="AP2169" s="13" t="n">
        <v>54</v>
      </c>
    </row>
    <row r="2170">
      <c r="A2170" s="5" t="inlineStr">
        <is>
          <t>지놈앤컴퍼니</t>
        </is>
      </c>
      <c r="B2170" s="6" t="inlineStr">
        <is>
          <t>314130</t>
        </is>
      </c>
      <c r="C2170" s="6" t="inlineStr">
        <is>
          <t>연결</t>
        </is>
      </c>
      <c r="D2170" s="6" t="inlineStr">
        <is>
          <t>2026Q2</t>
        </is>
      </c>
      <c r="E2170" s="6" t="inlineStr"/>
      <c r="F2170" s="7" t="inlineStr"/>
      <c r="G2170" s="8" t="inlineStr"/>
      <c r="H2170" s="8" t="inlineStr"/>
      <c r="I2170" s="9" t="n">
        <v>4261</v>
      </c>
      <c r="J2170" s="10" t="n">
        <v>-9329</v>
      </c>
      <c r="K2170" s="10" t="n">
        <v>-8714</v>
      </c>
      <c r="L2170" s="7" t="n">
        <v>11628</v>
      </c>
      <c r="M2170" s="8" t="n">
        <v>-1708</v>
      </c>
      <c r="N2170" s="8" t="n">
        <v>898</v>
      </c>
      <c r="O2170" s="9" t="n">
        <v>4623</v>
      </c>
      <c r="P2170" s="10" t="n">
        <v>-7848</v>
      </c>
      <c r="Q2170" s="10" t="n">
        <v>-7210</v>
      </c>
      <c r="R2170" s="7" t="n">
        <v>7233</v>
      </c>
      <c r="S2170" s="8" t="n">
        <v>-5314</v>
      </c>
      <c r="T2170" s="8" t="n">
        <v>-11824</v>
      </c>
      <c r="U2170" s="9" t="n">
        <v>6354</v>
      </c>
      <c r="V2170" s="10" t="n">
        <v>-6705</v>
      </c>
      <c r="W2170" s="10" t="n">
        <v>-7125</v>
      </c>
      <c r="X2170" s="7" t="n">
        <v>5809</v>
      </c>
      <c r="Y2170" s="8" t="n">
        <v>-7410</v>
      </c>
      <c r="Z2170" s="8" t="n">
        <v>-6837</v>
      </c>
      <c r="AA2170" s="9" t="n">
        <v>6558</v>
      </c>
      <c r="AB2170" s="10" t="n">
        <v>-8090</v>
      </c>
      <c r="AC2170" s="10" t="n">
        <v>-8044</v>
      </c>
      <c r="AD2170" s="7" t="n">
        <v>5866</v>
      </c>
      <c r="AE2170" s="8" t="n">
        <v>-7029</v>
      </c>
      <c r="AF2170" s="8" t="n">
        <v>14319</v>
      </c>
      <c r="AG2170" s="9" t="n">
        <v>5782</v>
      </c>
      <c r="AH2170" s="10" t="n">
        <v>-6096</v>
      </c>
      <c r="AI2170" s="10" t="n">
        <v>-6811</v>
      </c>
      <c r="AJ2170" s="11" t="n">
        <v>6254</v>
      </c>
      <c r="AK2170" s="12" t="n">
        <v>-7974</v>
      </c>
      <c r="AL2170" s="12" t="n">
        <v>-42648</v>
      </c>
      <c r="AM2170" s="13" t="n">
        <v>8.199999999999999</v>
      </c>
      <c r="AN2170" s="13" t="n">
        <v>7.7</v>
      </c>
      <c r="AO2170" s="13" t="n">
        <v>-30.8</v>
      </c>
      <c r="AP2170" s="13" t="n">
        <v>-7.6</v>
      </c>
    </row>
    <row r="2171">
      <c r="A2171" s="5" t="inlineStr">
        <is>
          <t>알피바이오</t>
        </is>
      </c>
      <c r="B2171" s="6" t="inlineStr">
        <is>
          <t>314140</t>
        </is>
      </c>
      <c r="C2171" s="6" t="inlineStr">
        <is>
          <t>별도</t>
        </is>
      </c>
      <c r="D2171" s="6" t="inlineStr">
        <is>
          <t>2026Q2</t>
        </is>
      </c>
      <c r="E2171" s="6" t="inlineStr"/>
      <c r="F2171" s="7" t="inlineStr"/>
      <c r="G2171" s="8" t="inlineStr"/>
      <c r="H2171" s="8" t="inlineStr"/>
      <c r="I2171" s="9" t="n">
        <v>32488</v>
      </c>
      <c r="J2171" s="10" t="n">
        <v>-262</v>
      </c>
      <c r="K2171" s="10" t="n">
        <v>-518</v>
      </c>
      <c r="L2171" s="7" t="n">
        <v>32079</v>
      </c>
      <c r="M2171" s="8" t="n">
        <v>484</v>
      </c>
      <c r="N2171" s="8" t="n">
        <v>119</v>
      </c>
      <c r="O2171" s="9" t="n">
        <v>28100</v>
      </c>
      <c r="P2171" s="10" t="n">
        <v>-1273</v>
      </c>
      <c r="Q2171" s="10" t="n">
        <v>-1578</v>
      </c>
      <c r="R2171" s="7" t="n">
        <v>31300</v>
      </c>
      <c r="S2171" s="8" t="n">
        <v>357</v>
      </c>
      <c r="T2171" s="8" t="n">
        <v>1070</v>
      </c>
      <c r="U2171" s="9" t="n">
        <v>33992</v>
      </c>
      <c r="V2171" s="10" t="n">
        <v>1805</v>
      </c>
      <c r="W2171" s="10" t="n">
        <v>1696</v>
      </c>
      <c r="X2171" s="7" t="n">
        <v>35699</v>
      </c>
      <c r="Y2171" s="8" t="n">
        <v>2325</v>
      </c>
      <c r="Z2171" s="8" t="n">
        <v>1847</v>
      </c>
      <c r="AA2171" s="9" t="n">
        <v>33216</v>
      </c>
      <c r="AB2171" s="10" t="n">
        <v>273</v>
      </c>
      <c r="AC2171" s="10" t="n">
        <v>276</v>
      </c>
      <c r="AD2171" s="7" t="n">
        <v>33312</v>
      </c>
      <c r="AE2171" s="8" t="n">
        <v>684</v>
      </c>
      <c r="AF2171" s="8" t="n">
        <v>863</v>
      </c>
      <c r="AG2171" s="9" t="n">
        <v>35127</v>
      </c>
      <c r="AH2171" s="10" t="n">
        <v>2423</v>
      </c>
      <c r="AI2171" s="10" t="n">
        <v>2617</v>
      </c>
      <c r="AJ2171" s="11" t="n">
        <v>39770</v>
      </c>
      <c r="AK2171" s="12" t="n">
        <v>4091</v>
      </c>
      <c r="AL2171" s="12" t="n">
        <v>2970</v>
      </c>
      <c r="AM2171" s="13" t="n">
        <v>13.2</v>
      </c>
      <c r="AN2171" s="13" t="n">
        <v>11.4</v>
      </c>
      <c r="AO2171" s="13" t="n">
        <v>68.8</v>
      </c>
      <c r="AP2171" s="13" t="n">
        <v>76</v>
      </c>
    </row>
    <row r="2172">
      <c r="A2172" s="5" t="inlineStr">
        <is>
          <t>바이오다인</t>
        </is>
      </c>
      <c r="B2172" s="6" t="inlineStr">
        <is>
          <t>314930</t>
        </is>
      </c>
      <c r="C2172" s="6" t="inlineStr">
        <is>
          <t>연결</t>
        </is>
      </c>
      <c r="D2172" s="6" t="inlineStr">
        <is>
          <t>2026Q2</t>
        </is>
      </c>
      <c r="E2172" s="6" t="inlineStr"/>
      <c r="F2172" s="7" t="inlineStr"/>
      <c r="G2172" s="8" t="inlineStr"/>
      <c r="H2172" s="8" t="inlineStr"/>
      <c r="I2172" s="9" t="n">
        <v>1106</v>
      </c>
      <c r="J2172" s="10" t="n">
        <v>-455</v>
      </c>
      <c r="K2172" s="10" t="n">
        <v>-203</v>
      </c>
      <c r="L2172" s="7" t="n">
        <v>1232</v>
      </c>
      <c r="M2172" s="8" t="n">
        <v>-278</v>
      </c>
      <c r="N2172" s="8" t="n">
        <v>150</v>
      </c>
      <c r="O2172" s="9" t="n">
        <v>1520</v>
      </c>
      <c r="P2172" s="10" t="n">
        <v>-425</v>
      </c>
      <c r="Q2172" s="10" t="n">
        <v>-384</v>
      </c>
      <c r="R2172" s="7" t="n">
        <v>1413</v>
      </c>
      <c r="S2172" s="8" t="n">
        <v>-572</v>
      </c>
      <c r="T2172" s="8" t="n">
        <v>448</v>
      </c>
      <c r="U2172" s="9" t="n">
        <v>917</v>
      </c>
      <c r="V2172" s="10" t="n">
        <v>-808</v>
      </c>
      <c r="W2172" s="10" t="n">
        <v>-435</v>
      </c>
      <c r="X2172" s="7" t="n">
        <v>1791</v>
      </c>
      <c r="Y2172" s="8" t="n">
        <v>299</v>
      </c>
      <c r="Z2172" s="8" t="n">
        <v>-104</v>
      </c>
      <c r="AA2172" s="9" t="n">
        <v>859</v>
      </c>
      <c r="AB2172" s="10" t="n">
        <v>-383</v>
      </c>
      <c r="AC2172" s="10" t="n">
        <v>13</v>
      </c>
      <c r="AD2172" s="7" t="n">
        <v>3461</v>
      </c>
      <c r="AE2172" s="8" t="n">
        <v>1544</v>
      </c>
      <c r="AF2172" s="8" t="n">
        <v>1378</v>
      </c>
      <c r="AG2172" s="9" t="n">
        <v>867</v>
      </c>
      <c r="AH2172" s="10" t="n">
        <v>-403</v>
      </c>
      <c r="AI2172" s="10" t="n">
        <v>155</v>
      </c>
      <c r="AJ2172" s="11" t="n">
        <v>587</v>
      </c>
      <c r="AK2172" s="12" t="n">
        <v>-681</v>
      </c>
      <c r="AL2172" s="12" t="n">
        <v>-323</v>
      </c>
      <c r="AM2172" s="13" t="n">
        <v>-32.3</v>
      </c>
      <c r="AN2172" s="13" t="n">
        <v>-67.2</v>
      </c>
      <c r="AO2172" s="13" t="n">
        <v>-69</v>
      </c>
      <c r="AP2172" s="13" t="n">
        <v>-327.8</v>
      </c>
    </row>
    <row r="2173">
      <c r="A2173" s="5" t="inlineStr">
        <is>
          <t>딥노이드</t>
        </is>
      </c>
      <c r="B2173" s="6" t="inlineStr">
        <is>
          <t>315640</t>
        </is>
      </c>
      <c r="C2173" s="6" t="inlineStr">
        <is>
          <t>별도</t>
        </is>
      </c>
      <c r="D2173" s="6" t="inlineStr">
        <is>
          <t>2026Q2</t>
        </is>
      </c>
      <c r="E2173" s="6" t="inlineStr"/>
      <c r="F2173" s="7" t="inlineStr"/>
      <c r="G2173" s="8" t="inlineStr"/>
      <c r="H2173" s="8" t="inlineStr"/>
      <c r="I2173" s="9" t="n">
        <v>358</v>
      </c>
      <c r="J2173" s="10" t="n">
        <v>-2758</v>
      </c>
      <c r="K2173" s="10" t="n">
        <v>-2540</v>
      </c>
      <c r="L2173" s="7" t="n">
        <v>3872</v>
      </c>
      <c r="M2173" s="8" t="n">
        <v>-2742</v>
      </c>
      <c r="N2173" s="8" t="n">
        <v>-2350</v>
      </c>
      <c r="O2173" s="9" t="n">
        <v>3979</v>
      </c>
      <c r="P2173" s="10" t="n">
        <v>-1845</v>
      </c>
      <c r="Q2173" s="10" t="n">
        <v>-1697</v>
      </c>
      <c r="R2173" s="7" t="n">
        <v>2638</v>
      </c>
      <c r="S2173" s="8" t="n">
        <v>-2751</v>
      </c>
      <c r="T2173" s="8" t="n">
        <v>-2491</v>
      </c>
      <c r="U2173" s="9" t="n">
        <v>961</v>
      </c>
      <c r="V2173" s="10" t="n">
        <v>-3569</v>
      </c>
      <c r="W2173" s="10" t="n">
        <v>-3500</v>
      </c>
      <c r="X2173" s="7" t="n">
        <v>3671</v>
      </c>
      <c r="Y2173" s="8" t="n">
        <v>-233</v>
      </c>
      <c r="Z2173" s="8" t="n">
        <v>-33</v>
      </c>
      <c r="AA2173" s="9" t="n">
        <v>2180</v>
      </c>
      <c r="AB2173" s="10" t="n">
        <v>-3035</v>
      </c>
      <c r="AC2173" s="10" t="n">
        <v>-3078</v>
      </c>
      <c r="AD2173" s="7" t="n">
        <v>660</v>
      </c>
      <c r="AE2173" s="8" t="n">
        <v>-3720</v>
      </c>
      <c r="AF2173" s="8" t="n">
        <v>-4137</v>
      </c>
      <c r="AG2173" s="9" t="n">
        <v>357</v>
      </c>
      <c r="AH2173" s="10" t="n">
        <v>-3981</v>
      </c>
      <c r="AI2173" s="10" t="n">
        <v>-3873</v>
      </c>
      <c r="AJ2173" s="11" t="n">
        <v>1311</v>
      </c>
      <c r="AK2173" s="12" t="n">
        <v>-3297</v>
      </c>
      <c r="AL2173" s="12" t="n">
        <v>-3234</v>
      </c>
      <c r="AM2173" s="13" t="n">
        <v>267.2</v>
      </c>
      <c r="AN2173" s="13" t="n">
        <v>-64.3</v>
      </c>
      <c r="AO2173" s="13" t="n">
        <v>17.2</v>
      </c>
      <c r="AP2173" s="13" t="n">
        <v>-1315</v>
      </c>
    </row>
    <row r="2174">
      <c r="A2174" s="5" t="inlineStr">
        <is>
          <t>우리금융지주</t>
        </is>
      </c>
      <c r="B2174" s="6" t="inlineStr">
        <is>
          <t>316140</t>
        </is>
      </c>
      <c r="C2174" s="6" t="inlineStr">
        <is>
          <t>연결</t>
        </is>
      </c>
      <c r="D2174" s="6" t="inlineStr">
        <is>
          <t>2026Q2</t>
        </is>
      </c>
      <c r="E2174" s="6" t="inlineStr">
        <is>
          <t>2023Q4</t>
        </is>
      </c>
      <c r="F2174" s="14" t="n">
        <v>42033487</v>
      </c>
      <c r="G2174" s="15" t="n">
        <v>3512682</v>
      </c>
      <c r="H2174" s="15" t="n">
        <v>2637249</v>
      </c>
      <c r="I2174" s="14" t="n">
        <v>12851290</v>
      </c>
      <c r="J2174" s="10" t="n">
        <v>1150689</v>
      </c>
      <c r="K2174" s="10" t="n">
        <v>838911</v>
      </c>
      <c r="L2174" s="14" t="n">
        <v>23737884</v>
      </c>
      <c r="M2174" s="8" t="n">
        <v>1253320</v>
      </c>
      <c r="N2174" s="8" t="n">
        <v>961509</v>
      </c>
      <c r="O2174" s="14" t="n">
        <v>7440508</v>
      </c>
      <c r="P2174" s="10" t="n">
        <v>1177021</v>
      </c>
      <c r="Q2174" s="10" t="n">
        <v>916978</v>
      </c>
      <c r="R2174" s="14" t="n">
        <v>46680933</v>
      </c>
      <c r="S2174" s="8" t="n">
        <v>674160</v>
      </c>
      <c r="T2174" s="8" t="n">
        <v>454071</v>
      </c>
      <c r="U2174" s="14" t="n">
        <v>9657830</v>
      </c>
      <c r="V2174" s="10" t="n">
        <v>869263</v>
      </c>
      <c r="W2174" s="10" t="n">
        <v>654556</v>
      </c>
      <c r="X2174" s="14" t="n">
        <v>12254598</v>
      </c>
      <c r="Y2174" s="8" t="n">
        <v>1108451</v>
      </c>
      <c r="Z2174" s="8" t="n">
        <v>939743</v>
      </c>
      <c r="AA2174" s="14" t="n">
        <v>5062405</v>
      </c>
      <c r="AB2174" s="10" t="n">
        <v>988030</v>
      </c>
      <c r="AC2174" s="10" t="n">
        <v>1291504</v>
      </c>
      <c r="AD2174" s="14" t="n">
        <v>7297279</v>
      </c>
      <c r="AE2174" s="8" t="n">
        <v>709064</v>
      </c>
      <c r="AF2174" s="8" t="n">
        <v>341705</v>
      </c>
      <c r="AG2174" s="14" t="n">
        <v>15282383</v>
      </c>
      <c r="AH2174" s="10" t="n">
        <v>808155</v>
      </c>
      <c r="AI2174" s="10" t="n">
        <v>639433</v>
      </c>
      <c r="AJ2174" s="14" t="n">
        <v>13165152</v>
      </c>
      <c r="AK2174" s="12" t="n">
        <v>1315672</v>
      </c>
      <c r="AL2174" s="12" t="n">
        <v>1026482</v>
      </c>
      <c r="AM2174" s="13" t="n">
        <v>-13.9</v>
      </c>
      <c r="AN2174" s="13" t="n">
        <v>7.4</v>
      </c>
      <c r="AO2174" s="13" t="n">
        <v>62.8</v>
      </c>
      <c r="AP2174" s="13" t="n">
        <v>18.7</v>
      </c>
    </row>
    <row r="2175">
      <c r="A2175" s="5" t="inlineStr">
        <is>
          <t>라닉스</t>
        </is>
      </c>
      <c r="B2175" s="6" t="inlineStr">
        <is>
          <t>317120</t>
        </is>
      </c>
      <c r="C2175" s="6" t="inlineStr">
        <is>
          <t>연결</t>
        </is>
      </c>
      <c r="D2175" s="6" t="inlineStr">
        <is>
          <t>2026Q2</t>
        </is>
      </c>
      <c r="E2175" s="6" t="inlineStr"/>
      <c r="F2175" s="7" t="inlineStr"/>
      <c r="G2175" s="8" t="inlineStr"/>
      <c r="H2175" s="8" t="inlineStr"/>
      <c r="I2175" s="9" t="n">
        <v>1847</v>
      </c>
      <c r="J2175" s="10" t="n">
        <v>-1612</v>
      </c>
      <c r="K2175" s="10" t="n">
        <v>-1870</v>
      </c>
      <c r="L2175" s="7" t="n">
        <v>2031</v>
      </c>
      <c r="M2175" s="8" t="n">
        <v>-1226</v>
      </c>
      <c r="N2175" s="8" t="n">
        <v>-1590</v>
      </c>
      <c r="O2175" s="9" t="n">
        <v>1197</v>
      </c>
      <c r="P2175" s="10" t="n">
        <v>-1547</v>
      </c>
      <c r="Q2175" s="10" t="n">
        <v>-1842</v>
      </c>
      <c r="R2175" s="7" t="n">
        <v>2638</v>
      </c>
      <c r="S2175" s="8" t="n">
        <v>-1034</v>
      </c>
      <c r="T2175" s="8" t="n">
        <v>-1432</v>
      </c>
      <c r="U2175" s="9" t="n">
        <v>2074</v>
      </c>
      <c r="V2175" s="10" t="n">
        <v>-1443</v>
      </c>
      <c r="W2175" s="10" t="n">
        <v>-1779</v>
      </c>
      <c r="X2175" s="7" t="n">
        <v>1501</v>
      </c>
      <c r="Y2175" s="8" t="n">
        <v>-1921</v>
      </c>
      <c r="Z2175" s="8" t="n">
        <v>-2420</v>
      </c>
      <c r="AA2175" s="9" t="n">
        <v>2107</v>
      </c>
      <c r="AB2175" s="10" t="n">
        <v>-934</v>
      </c>
      <c r="AC2175" s="10" t="n">
        <v>-1372</v>
      </c>
      <c r="AD2175" s="7" t="n">
        <v>1786</v>
      </c>
      <c r="AE2175" s="8" t="n">
        <v>-1754</v>
      </c>
      <c r="AF2175" s="8" t="n">
        <v>-2201</v>
      </c>
      <c r="AG2175" s="9" t="n">
        <v>1563</v>
      </c>
      <c r="AH2175" s="10" t="n">
        <v>-1569</v>
      </c>
      <c r="AI2175" s="10" t="n">
        <v>-1813</v>
      </c>
      <c r="AJ2175" s="11" t="n">
        <v>1936</v>
      </c>
      <c r="AK2175" s="12" t="n">
        <v>-1551</v>
      </c>
      <c r="AL2175" s="12" t="n">
        <v>-2135</v>
      </c>
      <c r="AM2175" s="13" t="n">
        <v>23.9</v>
      </c>
      <c r="AN2175" s="13" t="n">
        <v>29</v>
      </c>
      <c r="AO2175" s="13" t="n">
        <v>1.1</v>
      </c>
      <c r="AP2175" s="13" t="n">
        <v>19.3</v>
      </c>
    </row>
    <row r="2176">
      <c r="A2176" s="5" t="inlineStr">
        <is>
          <t>TS트릴리온</t>
        </is>
      </c>
      <c r="B2176" s="6" t="inlineStr">
        <is>
          <t>317240</t>
        </is>
      </c>
      <c r="C2176" s="6" t="inlineStr">
        <is>
          <t>연결</t>
        </is>
      </c>
      <c r="D2176" s="6" t="inlineStr">
        <is>
          <t>2026Q2</t>
        </is>
      </c>
      <c r="E2176" s="6" t="inlineStr"/>
      <c r="F2176" s="7" t="inlineStr"/>
      <c r="G2176" s="8" t="inlineStr"/>
      <c r="H2176" s="8" t="inlineStr"/>
      <c r="I2176" s="9" t="n">
        <v>7767</v>
      </c>
      <c r="J2176" s="10" t="n">
        <v>384</v>
      </c>
      <c r="K2176" s="10" t="n">
        <v>-176</v>
      </c>
      <c r="L2176" s="7" t="n">
        <v>7362</v>
      </c>
      <c r="M2176" s="8" t="n">
        <v>-107</v>
      </c>
      <c r="N2176" s="8" t="n">
        <v>-804</v>
      </c>
      <c r="O2176" s="9" t="n">
        <v>7656</v>
      </c>
      <c r="P2176" s="10" t="n">
        <v>213</v>
      </c>
      <c r="Q2176" s="10" t="n">
        <v>-272</v>
      </c>
      <c r="R2176" s="7" t="n">
        <v>7973</v>
      </c>
      <c r="S2176" s="8" t="n">
        <v>-109</v>
      </c>
      <c r="T2176" s="8" t="n">
        <v>-3743</v>
      </c>
      <c r="U2176" s="9" t="n">
        <v>7160</v>
      </c>
      <c r="V2176" s="10" t="n">
        <v>395</v>
      </c>
      <c r="W2176" s="10" t="n">
        <v>-119</v>
      </c>
      <c r="X2176" s="7" t="n">
        <v>5507</v>
      </c>
      <c r="Y2176" s="8" t="n">
        <v>-678</v>
      </c>
      <c r="Z2176" s="8" t="n">
        <v>-1176</v>
      </c>
      <c r="AA2176" s="9" t="n">
        <v>7305</v>
      </c>
      <c r="AB2176" s="10" t="n">
        <v>184</v>
      </c>
      <c r="AC2176" s="10" t="n">
        <v>-246</v>
      </c>
      <c r="AD2176" s="7" t="n">
        <v>6062</v>
      </c>
      <c r="AE2176" s="8" t="n">
        <v>125</v>
      </c>
      <c r="AF2176" s="8" t="n">
        <v>-468</v>
      </c>
      <c r="AG2176" s="9" t="n">
        <v>10069</v>
      </c>
      <c r="AH2176" s="10" t="n">
        <v>1109</v>
      </c>
      <c r="AI2176" s="10" t="n">
        <v>922</v>
      </c>
      <c r="AJ2176" s="11" t="n">
        <v>7897</v>
      </c>
      <c r="AK2176" s="12" t="n">
        <v>290</v>
      </c>
      <c r="AL2176" s="12" t="n">
        <v>-131</v>
      </c>
      <c r="AM2176" s="13" t="n">
        <v>-21.6</v>
      </c>
      <c r="AN2176" s="13" t="n">
        <v>43.4</v>
      </c>
      <c r="AO2176" s="13" t="n">
        <v>-73.90000000000001</v>
      </c>
      <c r="AP2176" s="13" t="n">
        <v>142.8</v>
      </c>
    </row>
    <row r="2177">
      <c r="A2177" s="5" t="inlineStr">
        <is>
          <t>덕산테코피아</t>
        </is>
      </c>
      <c r="B2177" s="6" t="inlineStr">
        <is>
          <t>317330</t>
        </is>
      </c>
      <c r="C2177" s="6" t="inlineStr">
        <is>
          <t>연결</t>
        </is>
      </c>
      <c r="D2177" s="6" t="inlineStr">
        <is>
          <t>2026Q2</t>
        </is>
      </c>
      <c r="E2177" s="6" t="inlineStr"/>
      <c r="F2177" s="7" t="inlineStr"/>
      <c r="G2177" s="8" t="inlineStr"/>
      <c r="H2177" s="8" t="inlineStr"/>
      <c r="I2177" s="9" t="n">
        <v>29768</v>
      </c>
      <c r="J2177" s="10" t="n">
        <v>-4909</v>
      </c>
      <c r="K2177" s="10" t="n">
        <v>-6894</v>
      </c>
      <c r="L2177" s="7" t="n">
        <v>23528</v>
      </c>
      <c r="M2177" s="8" t="n">
        <v>-5882</v>
      </c>
      <c r="N2177" s="8" t="n">
        <v>-44537</v>
      </c>
      <c r="O2177" s="9" t="n">
        <v>26139</v>
      </c>
      <c r="P2177" s="10" t="n">
        <v>-6091</v>
      </c>
      <c r="Q2177" s="10" t="n">
        <v>-4540</v>
      </c>
      <c r="R2177" s="7" t="n">
        <v>20259</v>
      </c>
      <c r="S2177" s="8" t="n">
        <v>-13337</v>
      </c>
      <c r="T2177" s="8" t="n">
        <v>-16608</v>
      </c>
      <c r="U2177" s="9" t="n">
        <v>24249</v>
      </c>
      <c r="V2177" s="10" t="n">
        <v>-9730</v>
      </c>
      <c r="W2177" s="10" t="n">
        <v>-14902</v>
      </c>
      <c r="X2177" s="7" t="n">
        <v>28967</v>
      </c>
      <c r="Y2177" s="8" t="n">
        <v>-8714</v>
      </c>
      <c r="Z2177" s="8" t="n">
        <v>-7808</v>
      </c>
      <c r="AA2177" s="9" t="n">
        <v>30053</v>
      </c>
      <c r="AB2177" s="10" t="n">
        <v>-14859</v>
      </c>
      <c r="AC2177" s="10" t="n">
        <v>-20889</v>
      </c>
      <c r="AD2177" s="7" t="n">
        <v>28810</v>
      </c>
      <c r="AE2177" s="8" t="n">
        <v>-9723</v>
      </c>
      <c r="AF2177" s="8" t="n">
        <v>-61951</v>
      </c>
      <c r="AG2177" s="9" t="n">
        <v>39140</v>
      </c>
      <c r="AH2177" s="10" t="n">
        <v>-10383</v>
      </c>
      <c r="AI2177" s="10" t="n">
        <v>-15109</v>
      </c>
      <c r="AJ2177" s="11" t="n">
        <v>42182</v>
      </c>
      <c r="AK2177" s="12" t="n">
        <v>-10562</v>
      </c>
      <c r="AL2177" s="12" t="n">
        <v>-18128</v>
      </c>
      <c r="AM2177" s="13" t="n">
        <v>7.8</v>
      </c>
      <c r="AN2177" s="13" t="n">
        <v>45.6</v>
      </c>
      <c r="AO2177" s="13" t="n">
        <v>-1.7</v>
      </c>
      <c r="AP2177" s="13" t="n">
        <v>-21.2</v>
      </c>
    </row>
    <row r="2178">
      <c r="A2178" s="5" t="inlineStr">
        <is>
          <t>자이에스앤디</t>
        </is>
      </c>
      <c r="B2178" s="6" t="inlineStr">
        <is>
          <t>317400</t>
        </is>
      </c>
      <c r="C2178" s="6" t="inlineStr">
        <is>
          <t>연결</t>
        </is>
      </c>
      <c r="D2178" s="6" t="inlineStr">
        <is>
          <t>2026Q2</t>
        </is>
      </c>
      <c r="E2178" s="6" t="inlineStr">
        <is>
          <t>2023Q4</t>
        </is>
      </c>
      <c r="F2178" s="14" t="n">
        <v>479750</v>
      </c>
      <c r="G2178" s="15" t="n">
        <v>19973</v>
      </c>
      <c r="H2178" s="15" t="n">
        <v>16077</v>
      </c>
      <c r="I2178" s="9" t="n">
        <v>400475</v>
      </c>
      <c r="J2178" s="10" t="n">
        <v>591</v>
      </c>
      <c r="K2178" s="10" t="n">
        <v>500</v>
      </c>
      <c r="L2178" s="7" t="n">
        <v>427369</v>
      </c>
      <c r="M2178" s="8" t="n">
        <v>1083</v>
      </c>
      <c r="N2178" s="8" t="n">
        <v>1708</v>
      </c>
      <c r="O2178" s="9" t="n">
        <v>375839</v>
      </c>
      <c r="P2178" s="10" t="n">
        <v>2489</v>
      </c>
      <c r="Q2178" s="10" t="n">
        <v>3693</v>
      </c>
      <c r="R2178" s="7" t="n">
        <v>374490</v>
      </c>
      <c r="S2178" s="8" t="n">
        <v>-1787</v>
      </c>
      <c r="T2178" s="8" t="n">
        <v>743</v>
      </c>
      <c r="U2178" s="9" t="n">
        <v>312684</v>
      </c>
      <c r="V2178" s="10" t="n">
        <v>-10602</v>
      </c>
      <c r="W2178" s="10" t="n">
        <v>-8069</v>
      </c>
      <c r="X2178" s="7" t="n">
        <v>336954</v>
      </c>
      <c r="Y2178" s="8" t="n">
        <v>-2719</v>
      </c>
      <c r="Z2178" s="8" t="n">
        <v>4324</v>
      </c>
      <c r="AA2178" s="9" t="n">
        <v>402990</v>
      </c>
      <c r="AB2178" s="10" t="n">
        <v>28354</v>
      </c>
      <c r="AC2178" s="10" t="n">
        <v>37440</v>
      </c>
      <c r="AD2178" s="7" t="n">
        <v>334968</v>
      </c>
      <c r="AE2178" s="8" t="n">
        <v>-2527</v>
      </c>
      <c r="AF2178" s="8" t="n">
        <v>3424</v>
      </c>
      <c r="AG2178" s="9" t="n">
        <v>270257</v>
      </c>
      <c r="AH2178" s="10" t="n">
        <v>11343</v>
      </c>
      <c r="AI2178" s="10" t="n">
        <v>8511</v>
      </c>
      <c r="AJ2178" s="11" t="n">
        <v>303337</v>
      </c>
      <c r="AK2178" s="12" t="n">
        <v>9036</v>
      </c>
      <c r="AL2178" s="12" t="n">
        <v>9852</v>
      </c>
      <c r="AM2178" s="13" t="n">
        <v>12.2</v>
      </c>
      <c r="AN2178" s="13" t="n">
        <v>-10</v>
      </c>
      <c r="AO2178" s="13" t="n">
        <v>-20.3</v>
      </c>
      <c r="AP2178" s="13" t="n">
        <v>432.3</v>
      </c>
    </row>
    <row r="2179">
      <c r="A2179" s="5" t="inlineStr">
        <is>
          <t>명인제약</t>
        </is>
      </c>
      <c r="B2179" s="6" t="inlineStr">
        <is>
          <t>317450</t>
        </is>
      </c>
      <c r="C2179" s="6" t="inlineStr">
        <is>
          <t>연결</t>
        </is>
      </c>
      <c r="D2179" s="6" t="inlineStr">
        <is>
          <t>2026Q2</t>
        </is>
      </c>
      <c r="E2179" s="6" t="inlineStr"/>
      <c r="F2179" s="7" t="inlineStr"/>
      <c r="G2179" s="8" t="inlineStr"/>
      <c r="H2179" s="8" t="inlineStr"/>
      <c r="I2179" s="9" t="inlineStr"/>
      <c r="J2179" s="10" t="inlineStr"/>
      <c r="K2179" s="10" t="inlineStr"/>
      <c r="L2179" s="7" t="inlineStr"/>
      <c r="M2179" s="8" t="inlineStr"/>
      <c r="N2179" s="8" t="inlineStr"/>
      <c r="O2179" s="9" t="inlineStr"/>
      <c r="P2179" s="10" t="inlineStr"/>
      <c r="Q2179" s="10" t="inlineStr"/>
      <c r="R2179" s="7" t="inlineStr"/>
      <c r="S2179" s="8" t="inlineStr"/>
      <c r="T2179" s="8" t="inlineStr"/>
      <c r="U2179" s="9" t="inlineStr"/>
      <c r="V2179" s="10" t="inlineStr"/>
      <c r="W2179" s="10" t="inlineStr"/>
      <c r="X2179" s="7" t="inlineStr"/>
      <c r="Y2179" s="8" t="inlineStr"/>
      <c r="Z2179" s="8" t="inlineStr"/>
      <c r="AA2179" s="9" t="n">
        <v>72697</v>
      </c>
      <c r="AB2179" s="10" t="n">
        <v>21915</v>
      </c>
      <c r="AC2179" s="10" t="n">
        <v>18548</v>
      </c>
      <c r="AD2179" s="7" t="inlineStr"/>
      <c r="AE2179" s="8" t="inlineStr"/>
      <c r="AF2179" s="8" t="inlineStr"/>
      <c r="AG2179" s="9" t="n">
        <v>72136</v>
      </c>
      <c r="AH2179" s="10" t="n">
        <v>25109</v>
      </c>
      <c r="AI2179" s="10" t="n">
        <v>22731</v>
      </c>
      <c r="AJ2179" s="11" t="n">
        <v>76106</v>
      </c>
      <c r="AK2179" s="12" t="n">
        <v>27612</v>
      </c>
      <c r="AL2179" s="12" t="n">
        <v>24322</v>
      </c>
      <c r="AM2179" s="13" t="n">
        <v>5.5</v>
      </c>
      <c r="AN2179" s="13" t="inlineStr"/>
      <c r="AO2179" s="13" t="n">
        <v>10</v>
      </c>
      <c r="AP2179" s="13" t="inlineStr"/>
    </row>
    <row r="2180">
      <c r="A2180" s="5" t="inlineStr">
        <is>
          <t>에피소드컴퍼니</t>
        </is>
      </c>
      <c r="B2180" s="6" t="inlineStr">
        <is>
          <t>317530</t>
        </is>
      </c>
      <c r="C2180" s="6" t="inlineStr">
        <is>
          <t>연결</t>
        </is>
      </c>
      <c r="D2180" s="6" t="inlineStr">
        <is>
          <t>2026Q2</t>
        </is>
      </c>
      <c r="E2180" s="6" t="inlineStr"/>
      <c r="F2180" s="7" t="inlineStr"/>
      <c r="G2180" s="8" t="inlineStr"/>
      <c r="H2180" s="8" t="inlineStr"/>
      <c r="I2180" s="9" t="n">
        <v>1223</v>
      </c>
      <c r="J2180" s="10" t="n">
        <v>-1101</v>
      </c>
      <c r="K2180" s="10" t="n">
        <v>-1115</v>
      </c>
      <c r="L2180" s="7" t="n">
        <v>1566</v>
      </c>
      <c r="M2180" s="8" t="n">
        <v>-954</v>
      </c>
      <c r="N2180" s="8" t="n">
        <v>-785</v>
      </c>
      <c r="O2180" s="9" t="n">
        <v>1809</v>
      </c>
      <c r="P2180" s="10" t="n">
        <v>-290</v>
      </c>
      <c r="Q2180" s="10" t="n">
        <v>-435</v>
      </c>
      <c r="R2180" s="7" t="n">
        <v>1080</v>
      </c>
      <c r="S2180" s="8" t="n">
        <v>-1266</v>
      </c>
      <c r="T2180" s="8" t="n">
        <v>-2560</v>
      </c>
      <c r="U2180" s="9" t="n">
        <v>970</v>
      </c>
      <c r="V2180" s="10" t="n">
        <v>-842</v>
      </c>
      <c r="W2180" s="10" t="n">
        <v>-843</v>
      </c>
      <c r="X2180" s="7" t="n">
        <v>2362</v>
      </c>
      <c r="Y2180" s="8" t="n">
        <v>22</v>
      </c>
      <c r="Z2180" s="8" t="n">
        <v>-250</v>
      </c>
      <c r="AA2180" s="9" t="n">
        <v>1227</v>
      </c>
      <c r="AB2180" s="10" t="n">
        <v>-1027</v>
      </c>
      <c r="AC2180" s="10" t="n">
        <v>-1205</v>
      </c>
      <c r="AD2180" s="7" t="n">
        <v>1124</v>
      </c>
      <c r="AE2180" s="8" t="n">
        <v>-1709</v>
      </c>
      <c r="AF2180" s="8" t="n">
        <v>-4023</v>
      </c>
      <c r="AG2180" s="9" t="n">
        <v>15305</v>
      </c>
      <c r="AH2180" s="10" t="n">
        <v>-180</v>
      </c>
      <c r="AI2180" s="10" t="n">
        <v>-466</v>
      </c>
      <c r="AJ2180" s="11" t="n">
        <v>19429</v>
      </c>
      <c r="AK2180" s="12" t="n">
        <v>-3100</v>
      </c>
      <c r="AL2180" s="12" t="n">
        <v>-2893</v>
      </c>
      <c r="AM2180" s="13" t="n">
        <v>26.9</v>
      </c>
      <c r="AN2180" s="13" t="n">
        <v>722.6</v>
      </c>
      <c r="AO2180" s="13" t="n">
        <v>-1622.2</v>
      </c>
      <c r="AP2180" s="13" t="n">
        <v>-14190.9</v>
      </c>
    </row>
    <row r="2181">
      <c r="A2181" s="5" t="inlineStr">
        <is>
          <t>퀀타매트릭스</t>
        </is>
      </c>
      <c r="B2181" s="6" t="inlineStr">
        <is>
          <t>317690</t>
        </is>
      </c>
      <c r="C2181" s="6" t="inlineStr">
        <is>
          <t>연결</t>
        </is>
      </c>
      <c r="D2181" s="6" t="inlineStr">
        <is>
          <t>2026Q2</t>
        </is>
      </c>
      <c r="E2181" s="6" t="inlineStr"/>
      <c r="F2181" s="7" t="inlineStr"/>
      <c r="G2181" s="8" t="inlineStr"/>
      <c r="H2181" s="8" t="inlineStr"/>
      <c r="I2181" s="9" t="n">
        <v>788</v>
      </c>
      <c r="J2181" s="10" t="n">
        <v>-4316</v>
      </c>
      <c r="K2181" s="10" t="n">
        <v>-4311</v>
      </c>
      <c r="L2181" s="7" t="n">
        <v>607</v>
      </c>
      <c r="M2181" s="8" t="n">
        <v>-4121</v>
      </c>
      <c r="N2181" s="8" t="n">
        <v>-2621</v>
      </c>
      <c r="O2181" s="9" t="n">
        <v>647</v>
      </c>
      <c r="P2181" s="10" t="n">
        <v>-3658</v>
      </c>
      <c r="Q2181" s="10" t="n">
        <v>-3966</v>
      </c>
      <c r="R2181" s="7" t="n">
        <v>455</v>
      </c>
      <c r="S2181" s="8" t="n">
        <v>-4053</v>
      </c>
      <c r="T2181" s="8" t="n">
        <v>-9271</v>
      </c>
      <c r="U2181" s="9" t="n">
        <v>1018</v>
      </c>
      <c r="V2181" s="10" t="n">
        <v>-3784</v>
      </c>
      <c r="W2181" s="10" t="n">
        <v>-4129</v>
      </c>
      <c r="X2181" s="7" t="n">
        <v>898</v>
      </c>
      <c r="Y2181" s="8" t="n">
        <v>-3457</v>
      </c>
      <c r="Z2181" s="8" t="n">
        <v>-5943</v>
      </c>
      <c r="AA2181" s="9" t="n">
        <v>980</v>
      </c>
      <c r="AB2181" s="10" t="n">
        <v>-3718</v>
      </c>
      <c r="AC2181" s="10" t="n">
        <v>-3973</v>
      </c>
      <c r="AD2181" s="7" t="n">
        <v>792</v>
      </c>
      <c r="AE2181" s="8" t="n">
        <v>-4597</v>
      </c>
      <c r="AF2181" s="8" t="n">
        <v>-5415</v>
      </c>
      <c r="AG2181" s="9" t="n">
        <v>726</v>
      </c>
      <c r="AH2181" s="10" t="n">
        <v>-4036</v>
      </c>
      <c r="AI2181" s="10" t="n">
        <v>-4652</v>
      </c>
      <c r="AJ2181" s="11" t="n">
        <v>646</v>
      </c>
      <c r="AK2181" s="12" t="n">
        <v>-4218</v>
      </c>
      <c r="AL2181" s="12" t="n">
        <v>-3808</v>
      </c>
      <c r="AM2181" s="13" t="n">
        <v>-11</v>
      </c>
      <c r="AN2181" s="13" t="n">
        <v>-28.1</v>
      </c>
      <c r="AO2181" s="13" t="n">
        <v>-4.5</v>
      </c>
      <c r="AP2181" s="13" t="n">
        <v>-22</v>
      </c>
    </row>
    <row r="2182">
      <c r="A2182" s="5" t="inlineStr">
        <is>
          <t>엑스페릭스</t>
        </is>
      </c>
      <c r="B2182" s="6" t="inlineStr">
        <is>
          <t>317770</t>
        </is>
      </c>
      <c r="C2182" s="6" t="inlineStr">
        <is>
          <t>연결</t>
        </is>
      </c>
      <c r="D2182" s="6" t="inlineStr">
        <is>
          <t>2026Q2</t>
        </is>
      </c>
      <c r="E2182" s="6" t="inlineStr"/>
      <c r="F2182" s="7" t="inlineStr"/>
      <c r="G2182" s="8" t="inlineStr"/>
      <c r="H2182" s="8" t="inlineStr"/>
      <c r="I2182" s="9" t="n">
        <v>2028</v>
      </c>
      <c r="J2182" s="10" t="n">
        <v>-580</v>
      </c>
      <c r="K2182" s="10" t="n">
        <v>-532</v>
      </c>
      <c r="L2182" s="7" t="n">
        <v>2812</v>
      </c>
      <c r="M2182" s="8" t="n">
        <v>-1437</v>
      </c>
      <c r="N2182" s="8" t="n">
        <v>-2904</v>
      </c>
      <c r="O2182" s="9" t="n">
        <v>4577</v>
      </c>
      <c r="P2182" s="10" t="n">
        <v>-172</v>
      </c>
      <c r="Q2182" s="10" t="n">
        <v>-574</v>
      </c>
      <c r="R2182" s="7" t="n">
        <v>5330</v>
      </c>
      <c r="S2182" s="8" t="n">
        <v>-1059</v>
      </c>
      <c r="T2182" s="8" t="n">
        <v>646</v>
      </c>
      <c r="U2182" s="9" t="n">
        <v>4993</v>
      </c>
      <c r="V2182" s="10" t="n">
        <v>-473</v>
      </c>
      <c r="W2182" s="10" t="n">
        <v>-2470</v>
      </c>
      <c r="X2182" s="7" t="n">
        <v>3495</v>
      </c>
      <c r="Y2182" s="8" t="n">
        <v>-1223</v>
      </c>
      <c r="Z2182" s="8" t="n">
        <v>-13570</v>
      </c>
      <c r="AA2182" s="9" t="n">
        <v>5964</v>
      </c>
      <c r="AB2182" s="10" t="n">
        <v>-763</v>
      </c>
      <c r="AC2182" s="10" t="n">
        <v>234</v>
      </c>
      <c r="AD2182" s="7" t="n">
        <v>7035</v>
      </c>
      <c r="AE2182" s="8" t="n">
        <v>1052</v>
      </c>
      <c r="AF2182" s="8" t="n">
        <v>-4624</v>
      </c>
      <c r="AG2182" s="9" t="n">
        <v>6728</v>
      </c>
      <c r="AH2182" s="10" t="n">
        <v>-816</v>
      </c>
      <c r="AI2182" s="10" t="n">
        <v>2921</v>
      </c>
      <c r="AJ2182" s="11" t="n">
        <v>5259</v>
      </c>
      <c r="AK2182" s="12" t="n">
        <v>-808</v>
      </c>
      <c r="AL2182" s="12" t="n">
        <v>757</v>
      </c>
      <c r="AM2182" s="13" t="n">
        <v>-21.8</v>
      </c>
      <c r="AN2182" s="13" t="n">
        <v>50.5</v>
      </c>
      <c r="AO2182" s="13" t="n">
        <v>1</v>
      </c>
      <c r="AP2182" s="13" t="n">
        <v>33.9</v>
      </c>
    </row>
    <row r="2183">
      <c r="A2183" s="5" t="inlineStr">
        <is>
          <t>에스피시스템스</t>
        </is>
      </c>
      <c r="B2183" s="6" t="inlineStr">
        <is>
          <t>317830</t>
        </is>
      </c>
      <c r="C2183" s="6" t="inlineStr">
        <is>
          <t>연결</t>
        </is>
      </c>
      <c r="D2183" s="6" t="inlineStr">
        <is>
          <t>2026Q2</t>
        </is>
      </c>
      <c r="E2183" s="6" t="inlineStr"/>
      <c r="F2183" s="7" t="inlineStr"/>
      <c r="G2183" s="8" t="inlineStr"/>
      <c r="H2183" s="8" t="inlineStr"/>
      <c r="I2183" s="9" t="n">
        <v>17014</v>
      </c>
      <c r="J2183" s="10" t="n">
        <v>-584</v>
      </c>
      <c r="K2183" s="10" t="n">
        <v>-351</v>
      </c>
      <c r="L2183" s="7" t="n">
        <v>16728</v>
      </c>
      <c r="M2183" s="8" t="n">
        <v>-1413</v>
      </c>
      <c r="N2183" s="8" t="n">
        <v>-1179</v>
      </c>
      <c r="O2183" s="9" t="n">
        <v>17837</v>
      </c>
      <c r="P2183" s="10" t="n">
        <v>192</v>
      </c>
      <c r="Q2183" s="10" t="n">
        <v>185</v>
      </c>
      <c r="R2183" s="7" t="n">
        <v>19463</v>
      </c>
      <c r="S2183" s="8" t="n">
        <v>-993</v>
      </c>
      <c r="T2183" s="8" t="n">
        <v>-850</v>
      </c>
      <c r="U2183" s="9" t="n">
        <v>15444</v>
      </c>
      <c r="V2183" s="10" t="n">
        <v>-1513</v>
      </c>
      <c r="W2183" s="10" t="n">
        <v>-1441</v>
      </c>
      <c r="X2183" s="7" t="n">
        <v>15296</v>
      </c>
      <c r="Y2183" s="8" t="n">
        <v>-614</v>
      </c>
      <c r="Z2183" s="8" t="n">
        <v>-667</v>
      </c>
      <c r="AA2183" s="9" t="n">
        <v>15881</v>
      </c>
      <c r="AB2183" s="10" t="n">
        <v>-498</v>
      </c>
      <c r="AC2183" s="10" t="n">
        <v>-211</v>
      </c>
      <c r="AD2183" s="7" t="n">
        <v>14992</v>
      </c>
      <c r="AE2183" s="8" t="n">
        <v>1861</v>
      </c>
      <c r="AF2183" s="8" t="n">
        <v>-2971</v>
      </c>
      <c r="AG2183" s="9" t="n">
        <v>10803</v>
      </c>
      <c r="AH2183" s="10" t="n">
        <v>-1585</v>
      </c>
      <c r="AI2183" s="10" t="n">
        <v>-1311</v>
      </c>
      <c r="AJ2183" s="11" t="n">
        <v>11882</v>
      </c>
      <c r="AK2183" s="12" t="n">
        <v>-184</v>
      </c>
      <c r="AL2183" s="12" t="n">
        <v>96</v>
      </c>
      <c r="AM2183" s="13" t="n">
        <v>10</v>
      </c>
      <c r="AN2183" s="13" t="n">
        <v>-22.3</v>
      </c>
      <c r="AO2183" s="13" t="n">
        <v>88.40000000000001</v>
      </c>
      <c r="AP2183" s="13" t="n">
        <v>70</v>
      </c>
    </row>
    <row r="2184">
      <c r="A2184" s="5" t="inlineStr">
        <is>
          <t>대모</t>
        </is>
      </c>
      <c r="B2184" s="6" t="inlineStr">
        <is>
          <t>317850</t>
        </is>
      </c>
      <c r="C2184" s="6" t="inlineStr">
        <is>
          <t>연결</t>
        </is>
      </c>
      <c r="D2184" s="6" t="inlineStr">
        <is>
          <t>2026Q2</t>
        </is>
      </c>
      <c r="E2184" s="6" t="inlineStr"/>
      <c r="F2184" s="7" t="inlineStr"/>
      <c r="G2184" s="8" t="inlineStr"/>
      <c r="H2184" s="8" t="inlineStr"/>
      <c r="I2184" s="9" t="n">
        <v>10950</v>
      </c>
      <c r="J2184" s="10" t="n">
        <v>73</v>
      </c>
      <c r="K2184" s="10" t="n">
        <v>64</v>
      </c>
      <c r="L2184" s="7" t="n">
        <v>10470</v>
      </c>
      <c r="M2184" s="8" t="n">
        <v>92</v>
      </c>
      <c r="N2184" s="8" t="n">
        <v>104</v>
      </c>
      <c r="O2184" s="9" t="n">
        <v>10652</v>
      </c>
      <c r="P2184" s="10" t="n">
        <v>162</v>
      </c>
      <c r="Q2184" s="10" t="n">
        <v>-325</v>
      </c>
      <c r="R2184" s="7" t="n">
        <v>9247</v>
      </c>
      <c r="S2184" s="8" t="n">
        <v>-210</v>
      </c>
      <c r="T2184" s="8" t="n">
        <v>289</v>
      </c>
      <c r="U2184" s="9" t="n">
        <v>8933</v>
      </c>
      <c r="V2184" s="10" t="n">
        <v>471</v>
      </c>
      <c r="W2184" s="10" t="n">
        <v>564</v>
      </c>
      <c r="X2184" s="7" t="n">
        <v>13313</v>
      </c>
      <c r="Y2184" s="8" t="n">
        <v>2046</v>
      </c>
      <c r="Z2184" s="8" t="n">
        <v>1193</v>
      </c>
      <c r="AA2184" s="9" t="n">
        <v>8803</v>
      </c>
      <c r="AB2184" s="10" t="n">
        <v>-118</v>
      </c>
      <c r="AC2184" s="10" t="n">
        <v>225</v>
      </c>
      <c r="AD2184" s="7" t="n">
        <v>9682</v>
      </c>
      <c r="AE2184" s="8" t="n">
        <v>-489</v>
      </c>
      <c r="AF2184" s="8" t="n">
        <v>-88</v>
      </c>
      <c r="AG2184" s="9" t="n">
        <v>11741</v>
      </c>
      <c r="AH2184" s="10" t="n">
        <v>1018</v>
      </c>
      <c r="AI2184" s="10" t="n">
        <v>1118</v>
      </c>
      <c r="AJ2184" s="11" t="n">
        <v>11590</v>
      </c>
      <c r="AK2184" s="12" t="n">
        <v>974</v>
      </c>
      <c r="AL2184" s="12" t="n">
        <v>1045</v>
      </c>
      <c r="AM2184" s="13" t="n">
        <v>-1.3</v>
      </c>
      <c r="AN2184" s="13" t="n">
        <v>-12.9</v>
      </c>
      <c r="AO2184" s="13" t="n">
        <v>-4.3</v>
      </c>
      <c r="AP2184" s="13" t="n">
        <v>-52.4</v>
      </c>
    </row>
    <row r="2185">
      <c r="A2185" s="5" t="inlineStr">
        <is>
          <t>엔바이오니아</t>
        </is>
      </c>
      <c r="B2185" s="6" t="inlineStr">
        <is>
          <t>317870</t>
        </is>
      </c>
      <c r="C2185" s="6" t="inlineStr">
        <is>
          <t>연결</t>
        </is>
      </c>
      <c r="D2185" s="6" t="inlineStr">
        <is>
          <t>2026Q2</t>
        </is>
      </c>
      <c r="E2185" s="6" t="inlineStr"/>
      <c r="F2185" s="7" t="inlineStr"/>
      <c r="G2185" s="8" t="inlineStr"/>
      <c r="H2185" s="8" t="inlineStr"/>
      <c r="I2185" s="9" t="n">
        <v>4715</v>
      </c>
      <c r="J2185" s="10" t="n">
        <v>325</v>
      </c>
      <c r="K2185" s="10" t="n">
        <v>207</v>
      </c>
      <c r="L2185" s="7" t="n">
        <v>3426</v>
      </c>
      <c r="M2185" s="8" t="n">
        <v>-470</v>
      </c>
      <c r="N2185" s="8" t="n">
        <v>-486</v>
      </c>
      <c r="O2185" s="9" t="n">
        <v>2945</v>
      </c>
      <c r="P2185" s="10" t="n">
        <v>-917</v>
      </c>
      <c r="Q2185" s="10" t="n">
        <v>-947</v>
      </c>
      <c r="R2185" s="7" t="n">
        <v>3138</v>
      </c>
      <c r="S2185" s="8" t="n">
        <v>-1047</v>
      </c>
      <c r="T2185" s="8" t="n">
        <v>-890</v>
      </c>
      <c r="U2185" s="9" t="n">
        <v>3282</v>
      </c>
      <c r="V2185" s="10" t="n">
        <v>-1266</v>
      </c>
      <c r="W2185" s="10" t="n">
        <v>-1348</v>
      </c>
      <c r="X2185" s="7" t="n">
        <v>2874</v>
      </c>
      <c r="Y2185" s="8" t="n">
        <v>-1656</v>
      </c>
      <c r="Z2185" s="8" t="n">
        <v>-351</v>
      </c>
      <c r="AA2185" s="9" t="n">
        <v>3621</v>
      </c>
      <c r="AB2185" s="10" t="n">
        <v>-1230</v>
      </c>
      <c r="AC2185" s="10" t="n">
        <v>-1370</v>
      </c>
      <c r="AD2185" s="7" t="n">
        <v>4502</v>
      </c>
      <c r="AE2185" s="8" t="n">
        <v>-2070</v>
      </c>
      <c r="AF2185" s="8" t="n">
        <v>-8183</v>
      </c>
      <c r="AG2185" s="9" t="n">
        <v>5085</v>
      </c>
      <c r="AH2185" s="10" t="n">
        <v>-662</v>
      </c>
      <c r="AI2185" s="10" t="n">
        <v>-339</v>
      </c>
      <c r="AJ2185" s="11" t="n">
        <v>4614</v>
      </c>
      <c r="AK2185" s="12" t="n">
        <v>-784</v>
      </c>
      <c r="AL2185" s="12" t="n">
        <v>548</v>
      </c>
      <c r="AM2185" s="13" t="n">
        <v>-9.300000000000001</v>
      </c>
      <c r="AN2185" s="13" t="n">
        <v>60.5</v>
      </c>
      <c r="AO2185" s="13" t="n">
        <v>-18.4</v>
      </c>
      <c r="AP2185" s="13" t="n">
        <v>52.7</v>
      </c>
    </row>
    <row r="2186">
      <c r="A2186" s="5" t="inlineStr">
        <is>
          <t>KBG</t>
        </is>
      </c>
      <c r="B2186" s="6" t="inlineStr">
        <is>
          <t>318000</t>
        </is>
      </c>
      <c r="C2186" s="6" t="inlineStr">
        <is>
          <t>연결</t>
        </is>
      </c>
      <c r="D2186" s="6" t="inlineStr">
        <is>
          <t>2026Q2</t>
        </is>
      </c>
      <c r="E2186" s="6" t="inlineStr"/>
      <c r="F2186" s="7" t="inlineStr"/>
      <c r="G2186" s="8" t="inlineStr"/>
      <c r="H2186" s="8" t="inlineStr"/>
      <c r="I2186" s="9" t="n">
        <v>6536</v>
      </c>
      <c r="J2186" s="10" t="n">
        <v>1227</v>
      </c>
      <c r="K2186" s="10" t="n">
        <v>1227</v>
      </c>
      <c r="L2186" s="7" t="n">
        <v>6436</v>
      </c>
      <c r="M2186" s="8" t="n">
        <v>1672</v>
      </c>
      <c r="N2186" s="8" t="n">
        <v>1463</v>
      </c>
      <c r="O2186" s="9" t="n">
        <v>6209</v>
      </c>
      <c r="P2186" s="10" t="n">
        <v>77</v>
      </c>
      <c r="Q2186" s="10" t="n">
        <v>520</v>
      </c>
      <c r="R2186" s="7" t="n">
        <v>5734</v>
      </c>
      <c r="S2186" s="8" t="n">
        <v>181</v>
      </c>
      <c r="T2186" s="8" t="n">
        <v>556</v>
      </c>
      <c r="U2186" s="9" t="n">
        <v>6085</v>
      </c>
      <c r="V2186" s="10" t="n">
        <v>521</v>
      </c>
      <c r="W2186" s="10" t="n">
        <v>493</v>
      </c>
      <c r="X2186" s="7" t="n">
        <v>6240</v>
      </c>
      <c r="Y2186" s="8" t="n">
        <v>1123</v>
      </c>
      <c r="Z2186" s="8" t="n">
        <v>1085</v>
      </c>
      <c r="AA2186" s="9" t="n">
        <v>4707</v>
      </c>
      <c r="AB2186" s="10" t="n">
        <v>338</v>
      </c>
      <c r="AC2186" s="10" t="n">
        <v>392</v>
      </c>
      <c r="AD2186" s="7" t="n">
        <v>6889</v>
      </c>
      <c r="AE2186" s="8" t="n">
        <v>344</v>
      </c>
      <c r="AF2186" s="8" t="n">
        <v>622</v>
      </c>
      <c r="AG2186" s="9" t="n">
        <v>5357</v>
      </c>
      <c r="AH2186" s="10" t="n">
        <v>720</v>
      </c>
      <c r="AI2186" s="10" t="n">
        <v>762</v>
      </c>
      <c r="AJ2186" s="11" t="n">
        <v>6307</v>
      </c>
      <c r="AK2186" s="12" t="n">
        <v>-283</v>
      </c>
      <c r="AL2186" s="12" t="n">
        <v>-181</v>
      </c>
      <c r="AM2186" s="13" t="n">
        <v>17.7</v>
      </c>
      <c r="AN2186" s="13" t="n">
        <v>1.1</v>
      </c>
      <c r="AO2186" s="13" t="n">
        <v>-139.3</v>
      </c>
      <c r="AP2186" s="13" t="n">
        <v>-125.2</v>
      </c>
    </row>
    <row r="2187">
      <c r="A2187" s="5" t="inlineStr">
        <is>
          <t>팜스빌</t>
        </is>
      </c>
      <c r="B2187" s="6" t="inlineStr">
        <is>
          <t>318010</t>
        </is>
      </c>
      <c r="C2187" s="6" t="inlineStr">
        <is>
          <t>연결</t>
        </is>
      </c>
      <c r="D2187" s="6" t="inlineStr">
        <is>
          <t>2026Q2</t>
        </is>
      </c>
      <c r="E2187" s="6" t="inlineStr"/>
      <c r="F2187" s="7" t="inlineStr"/>
      <c r="G2187" s="8" t="inlineStr"/>
      <c r="H2187" s="8" t="inlineStr"/>
      <c r="I2187" s="9" t="n">
        <v>4792</v>
      </c>
      <c r="J2187" s="10" t="n">
        <v>528</v>
      </c>
      <c r="K2187" s="10" t="n">
        <v>828</v>
      </c>
      <c r="L2187" s="7" t="n">
        <v>4089</v>
      </c>
      <c r="M2187" s="8" t="n">
        <v>-390</v>
      </c>
      <c r="N2187" s="8" t="n">
        <v>-440</v>
      </c>
      <c r="O2187" s="9" t="n">
        <v>4249</v>
      </c>
      <c r="P2187" s="10" t="n">
        <v>-213</v>
      </c>
      <c r="Q2187" s="10" t="n">
        <v>245</v>
      </c>
      <c r="R2187" s="7" t="n">
        <v>3595</v>
      </c>
      <c r="S2187" s="8" t="n">
        <v>-183</v>
      </c>
      <c r="T2187" s="8" t="n">
        <v>950</v>
      </c>
      <c r="U2187" s="9" t="n">
        <v>3338</v>
      </c>
      <c r="V2187" s="10" t="n">
        <v>89</v>
      </c>
      <c r="W2187" s="10" t="n">
        <v>1105</v>
      </c>
      <c r="X2187" s="7" t="n">
        <v>3338</v>
      </c>
      <c r="Y2187" s="8" t="n">
        <v>89</v>
      </c>
      <c r="Z2187" s="8" t="n">
        <v>1105</v>
      </c>
      <c r="AA2187" s="9" t="n">
        <v>3370</v>
      </c>
      <c r="AB2187" s="10" t="n">
        <v>-119</v>
      </c>
      <c r="AC2187" s="10" t="n">
        <v>500</v>
      </c>
      <c r="AD2187" s="7" t="n">
        <v>2682</v>
      </c>
      <c r="AE2187" s="8" t="n">
        <v>-732</v>
      </c>
      <c r="AF2187" s="8" t="n">
        <v>192</v>
      </c>
      <c r="AG2187" s="9" t="n">
        <v>2486</v>
      </c>
      <c r="AH2187" s="10" t="n">
        <v>-55</v>
      </c>
      <c r="AI2187" s="10" t="n">
        <v>1215</v>
      </c>
      <c r="AJ2187" s="11" t="n">
        <v>2383</v>
      </c>
      <c r="AK2187" s="12" t="n">
        <v>-162</v>
      </c>
      <c r="AL2187" s="12" t="n">
        <v>475</v>
      </c>
      <c r="AM2187" s="13" t="n">
        <v>-4.1</v>
      </c>
      <c r="AN2187" s="13" t="n">
        <v>-28.6</v>
      </c>
      <c r="AO2187" s="13" t="n">
        <v>-194.5</v>
      </c>
      <c r="AP2187" s="13" t="n">
        <v>-282</v>
      </c>
    </row>
    <row r="2188">
      <c r="A2188" s="5" t="inlineStr">
        <is>
          <t>포인트모바일</t>
        </is>
      </c>
      <c r="B2188" s="6" t="inlineStr">
        <is>
          <t>318020</t>
        </is>
      </c>
      <c r="C2188" s="6" t="inlineStr">
        <is>
          <t>연결</t>
        </is>
      </c>
      <c r="D2188" s="6" t="inlineStr">
        <is>
          <t>2026Q2</t>
        </is>
      </c>
      <c r="E2188" s="6" t="inlineStr"/>
      <c r="F2188" s="7" t="inlineStr"/>
      <c r="G2188" s="8" t="inlineStr"/>
      <c r="H2188" s="8" t="inlineStr"/>
      <c r="I2188" s="9" t="n">
        <v>16760</v>
      </c>
      <c r="J2188" s="10" t="n">
        <v>487</v>
      </c>
      <c r="K2188" s="10" t="n">
        <v>707</v>
      </c>
      <c r="L2188" s="7" t="n">
        <v>16732</v>
      </c>
      <c r="M2188" s="8" t="n">
        <v>-361</v>
      </c>
      <c r="N2188" s="8" t="n">
        <v>-1956</v>
      </c>
      <c r="O2188" s="9" t="n">
        <v>20779</v>
      </c>
      <c r="P2188" s="10" t="n">
        <v>1987</v>
      </c>
      <c r="Q2188" s="10" t="n">
        <v>-697</v>
      </c>
      <c r="R2188" s="7" t="n">
        <v>23025</v>
      </c>
      <c r="S2188" s="8" t="n">
        <v>-3521</v>
      </c>
      <c r="T2188" s="8" t="n">
        <v>3535</v>
      </c>
      <c r="U2188" s="9" t="n">
        <v>12629</v>
      </c>
      <c r="V2188" s="10" t="n">
        <v>-1276</v>
      </c>
      <c r="W2188" s="10" t="n">
        <v>-2671</v>
      </c>
      <c r="X2188" s="7" t="n">
        <v>17063</v>
      </c>
      <c r="Y2188" s="8" t="n">
        <v>-1302</v>
      </c>
      <c r="Z2188" s="8" t="n">
        <v>-2408</v>
      </c>
      <c r="AA2188" s="9" t="n">
        <v>27529</v>
      </c>
      <c r="AB2188" s="10" t="n">
        <v>3238</v>
      </c>
      <c r="AC2188" s="10" t="n">
        <v>3530</v>
      </c>
      <c r="AD2188" s="7" t="n">
        <v>29983</v>
      </c>
      <c r="AE2188" s="8" t="n">
        <v>2347</v>
      </c>
      <c r="AF2188" s="8" t="n">
        <v>4402</v>
      </c>
      <c r="AG2188" s="9" t="n">
        <v>18135</v>
      </c>
      <c r="AH2188" s="10" t="n">
        <v>372</v>
      </c>
      <c r="AI2188" s="10" t="n">
        <v>1623</v>
      </c>
      <c r="AJ2188" s="11" t="n">
        <v>28450</v>
      </c>
      <c r="AK2188" s="12" t="n">
        <v>4203</v>
      </c>
      <c r="AL2188" s="12" t="n">
        <v>4603</v>
      </c>
      <c r="AM2188" s="13" t="n">
        <v>56.9</v>
      </c>
      <c r="AN2188" s="13" t="n">
        <v>66.7</v>
      </c>
      <c r="AO2188" s="13" t="n">
        <v>1029.8</v>
      </c>
      <c r="AP2188" s="13" t="n">
        <v>422.8</v>
      </c>
    </row>
    <row r="2189">
      <c r="A2189" s="5" t="inlineStr">
        <is>
          <t>그래피</t>
        </is>
      </c>
      <c r="B2189" s="6" t="inlineStr">
        <is>
          <t>318060</t>
        </is>
      </c>
      <c r="C2189" s="6" t="inlineStr">
        <is>
          <t>연결</t>
        </is>
      </c>
      <c r="D2189" s="6" t="inlineStr">
        <is>
          <t>2026Q2</t>
        </is>
      </c>
      <c r="E2189" s="6" t="inlineStr">
        <is>
          <t>2025Q4</t>
        </is>
      </c>
      <c r="F2189" s="7" t="inlineStr"/>
      <c r="G2189" s="8" t="inlineStr"/>
      <c r="H2189" s="8" t="inlineStr"/>
      <c r="I2189" s="9" t="inlineStr"/>
      <c r="J2189" s="10" t="inlineStr"/>
      <c r="K2189" s="10" t="inlineStr"/>
      <c r="L2189" s="7" t="inlineStr"/>
      <c r="M2189" s="8" t="inlineStr"/>
      <c r="N2189" s="8" t="inlineStr"/>
      <c r="O2189" s="9" t="inlineStr"/>
      <c r="P2189" s="10" t="inlineStr"/>
      <c r="Q2189" s="10" t="inlineStr"/>
      <c r="R2189" s="7" t="inlineStr"/>
      <c r="S2189" s="8" t="inlineStr"/>
      <c r="T2189" s="8" t="inlineStr"/>
      <c r="U2189" s="9" t="inlineStr"/>
      <c r="V2189" s="10" t="inlineStr"/>
      <c r="W2189" s="10" t="inlineStr"/>
      <c r="X2189" s="7" t="n">
        <v>4380</v>
      </c>
      <c r="Y2189" s="8" t="n">
        <v>-2523</v>
      </c>
      <c r="Z2189" s="8" t="n">
        <v>-2936</v>
      </c>
      <c r="AA2189" s="9" t="n">
        <v>3440</v>
      </c>
      <c r="AB2189" s="10" t="n">
        <v>-3720</v>
      </c>
      <c r="AC2189" s="10" t="n">
        <v>-3584</v>
      </c>
      <c r="AD2189" s="14" t="n">
        <v>10383</v>
      </c>
      <c r="AE2189" s="15" t="n">
        <v>-1112</v>
      </c>
      <c r="AF2189" s="15" t="n">
        <v>-1193</v>
      </c>
      <c r="AG2189" s="9" t="n">
        <v>3353</v>
      </c>
      <c r="AH2189" s="10" t="n">
        <v>-3189</v>
      </c>
      <c r="AI2189" s="10" t="n">
        <v>-2821</v>
      </c>
      <c r="AJ2189" s="11" t="n">
        <v>6279</v>
      </c>
      <c r="AK2189" s="12" t="n">
        <v>-3692</v>
      </c>
      <c r="AL2189" s="12" t="n">
        <v>-3563</v>
      </c>
      <c r="AM2189" s="13" t="n">
        <v>87.3</v>
      </c>
      <c r="AN2189" s="13" t="n">
        <v>43.4</v>
      </c>
      <c r="AO2189" s="13" t="n">
        <v>-15.8</v>
      </c>
      <c r="AP2189" s="13" t="n">
        <v>-46.3</v>
      </c>
    </row>
    <row r="2190">
      <c r="A2190" s="5" t="inlineStr">
        <is>
          <t>셀바이오휴먼텍</t>
        </is>
      </c>
      <c r="B2190" s="6" t="inlineStr">
        <is>
          <t>318160</t>
        </is>
      </c>
      <c r="C2190" s="6" t="inlineStr">
        <is>
          <t>연결</t>
        </is>
      </c>
      <c r="D2190" s="6" t="inlineStr">
        <is>
          <t>2026Q2</t>
        </is>
      </c>
      <c r="E2190" s="6" t="inlineStr"/>
      <c r="F2190" s="7" t="inlineStr"/>
      <c r="G2190" s="8" t="inlineStr"/>
      <c r="H2190" s="8" t="inlineStr"/>
      <c r="I2190" s="9" t="n">
        <v>5956</v>
      </c>
      <c r="J2190" s="10" t="n">
        <v>692</v>
      </c>
      <c r="K2190" s="10" t="n">
        <v>647</v>
      </c>
      <c r="L2190" s="7" t="n">
        <v>7130</v>
      </c>
      <c r="M2190" s="8" t="n">
        <v>865</v>
      </c>
      <c r="N2190" s="8" t="n">
        <v>819</v>
      </c>
      <c r="O2190" s="9" t="n">
        <v>7082</v>
      </c>
      <c r="P2190" s="10" t="n">
        <v>1180</v>
      </c>
      <c r="Q2190" s="10" t="n">
        <v>955</v>
      </c>
      <c r="R2190" s="7" t="n">
        <v>8251</v>
      </c>
      <c r="S2190" s="8" t="n">
        <v>1300</v>
      </c>
      <c r="T2190" s="8" t="n">
        <v>1958</v>
      </c>
      <c r="U2190" s="9" t="n">
        <v>8288</v>
      </c>
      <c r="V2190" s="10" t="n">
        <v>1467</v>
      </c>
      <c r="W2190" s="10" t="n">
        <v>1378</v>
      </c>
      <c r="X2190" s="7" t="n">
        <v>13988</v>
      </c>
      <c r="Y2190" s="8" t="n">
        <v>3020</v>
      </c>
      <c r="Z2190" s="8" t="n">
        <v>1621</v>
      </c>
      <c r="AA2190" s="9" t="n">
        <v>14539</v>
      </c>
      <c r="AB2190" s="10" t="n">
        <v>3613</v>
      </c>
      <c r="AC2190" s="10" t="n">
        <v>3516</v>
      </c>
      <c r="AD2190" s="7" t="n">
        <v>14251</v>
      </c>
      <c r="AE2190" s="8" t="n">
        <v>1217</v>
      </c>
      <c r="AF2190" s="8" t="n">
        <v>2180</v>
      </c>
      <c r="AG2190" s="9" t="n">
        <v>12747</v>
      </c>
      <c r="AH2190" s="10" t="n">
        <v>1456</v>
      </c>
      <c r="AI2190" s="10" t="n">
        <v>1825</v>
      </c>
      <c r="AJ2190" s="11" t="n">
        <v>19363</v>
      </c>
      <c r="AK2190" s="12" t="n">
        <v>3489</v>
      </c>
      <c r="AL2190" s="12" t="n">
        <v>2938</v>
      </c>
      <c r="AM2190" s="13" t="n">
        <v>51.9</v>
      </c>
      <c r="AN2190" s="13" t="n">
        <v>38.4</v>
      </c>
      <c r="AO2190" s="13" t="n">
        <v>139.6</v>
      </c>
      <c r="AP2190" s="13" t="n">
        <v>15.5</v>
      </c>
    </row>
    <row r="2191">
      <c r="A2191" s="5" t="inlineStr">
        <is>
          <t>비비씨</t>
        </is>
      </c>
      <c r="B2191" s="6" t="inlineStr">
        <is>
          <t>318410</t>
        </is>
      </c>
      <c r="C2191" s="6" t="inlineStr">
        <is>
          <t>연결</t>
        </is>
      </c>
      <c r="D2191" s="6" t="inlineStr">
        <is>
          <t>2026Q2</t>
        </is>
      </c>
      <c r="E2191" s="6" t="inlineStr"/>
      <c r="F2191" s="7" t="inlineStr"/>
      <c r="G2191" s="8" t="inlineStr"/>
      <c r="H2191" s="8" t="inlineStr"/>
      <c r="I2191" s="9" t="n">
        <v>16829</v>
      </c>
      <c r="J2191" s="10" t="n">
        <v>346</v>
      </c>
      <c r="K2191" s="10" t="n">
        <v>241</v>
      </c>
      <c r="L2191" s="7" t="n">
        <v>14205</v>
      </c>
      <c r="M2191" s="8" t="n">
        <v>1310</v>
      </c>
      <c r="N2191" s="8" t="n">
        <v>949</v>
      </c>
      <c r="O2191" s="9" t="n">
        <v>13644</v>
      </c>
      <c r="P2191" s="10" t="n">
        <v>2330</v>
      </c>
      <c r="Q2191" s="10" t="n">
        <v>1929</v>
      </c>
      <c r="R2191" s="7" t="n">
        <v>15984</v>
      </c>
      <c r="S2191" s="8" t="n">
        <v>1743</v>
      </c>
      <c r="T2191" s="8" t="n">
        <v>645</v>
      </c>
      <c r="U2191" s="9" t="n">
        <v>13565</v>
      </c>
      <c r="V2191" s="10" t="n">
        <v>3052</v>
      </c>
      <c r="W2191" s="10" t="n">
        <v>3087</v>
      </c>
      <c r="X2191" s="7" t="n">
        <v>11938</v>
      </c>
      <c r="Y2191" s="8" t="n">
        <v>1931</v>
      </c>
      <c r="Z2191" s="8" t="n">
        <v>816</v>
      </c>
      <c r="AA2191" s="9" t="n">
        <v>10603</v>
      </c>
      <c r="AB2191" s="10" t="n">
        <v>743</v>
      </c>
      <c r="AC2191" s="10" t="n">
        <v>1463</v>
      </c>
      <c r="AD2191" s="7" t="n">
        <v>15542</v>
      </c>
      <c r="AE2191" s="8" t="n">
        <v>467</v>
      </c>
      <c r="AF2191" s="8" t="n">
        <v>96</v>
      </c>
      <c r="AG2191" s="9" t="n">
        <v>13665</v>
      </c>
      <c r="AH2191" s="10" t="n">
        <v>2117</v>
      </c>
      <c r="AI2191" s="10" t="n">
        <v>3124</v>
      </c>
      <c r="AJ2191" s="11" t="n">
        <v>15323</v>
      </c>
      <c r="AK2191" s="12" t="n">
        <v>3794</v>
      </c>
      <c r="AL2191" s="12" t="n">
        <v>5335</v>
      </c>
      <c r="AM2191" s="13" t="n">
        <v>12.1</v>
      </c>
      <c r="AN2191" s="13" t="n">
        <v>28.4</v>
      </c>
      <c r="AO2191" s="13" t="n">
        <v>79.2</v>
      </c>
      <c r="AP2191" s="13" t="n">
        <v>96.5</v>
      </c>
    </row>
    <row r="2192">
      <c r="A2192" s="5" t="inlineStr">
        <is>
          <t>현대무벡스</t>
        </is>
      </c>
      <c r="B2192" s="6" t="inlineStr">
        <is>
          <t>319400</t>
        </is>
      </c>
      <c r="C2192" s="6" t="inlineStr">
        <is>
          <t>연결</t>
        </is>
      </c>
      <c r="D2192" s="6" t="inlineStr">
        <is>
          <t>2026Q2</t>
        </is>
      </c>
      <c r="E2192" s="6" t="inlineStr"/>
      <c r="F2192" s="7" t="inlineStr"/>
      <c r="G2192" s="8" t="inlineStr"/>
      <c r="H2192" s="8" t="inlineStr"/>
      <c r="I2192" s="9" t="n">
        <v>60808</v>
      </c>
      <c r="J2192" s="10" t="n">
        <v>4169</v>
      </c>
      <c r="K2192" s="10" t="n">
        <v>5752</v>
      </c>
      <c r="L2192" s="7" t="n">
        <v>72649</v>
      </c>
      <c r="M2192" s="8" t="n">
        <v>4850</v>
      </c>
      <c r="N2192" s="8" t="n">
        <v>415</v>
      </c>
      <c r="O2192" s="9" t="n">
        <v>83965</v>
      </c>
      <c r="P2192" s="10" t="n">
        <v>7275</v>
      </c>
      <c r="Q2192" s="10" t="n">
        <v>4581</v>
      </c>
      <c r="R2192" s="7" t="n">
        <v>123961</v>
      </c>
      <c r="S2192" s="8" t="n">
        <v>8277</v>
      </c>
      <c r="T2192" s="8" t="n">
        <v>16169</v>
      </c>
      <c r="U2192" s="9" t="n">
        <v>77712</v>
      </c>
      <c r="V2192" s="10" t="n">
        <v>5178</v>
      </c>
      <c r="W2192" s="10" t="n">
        <v>993</v>
      </c>
      <c r="X2192" s="7" t="n">
        <v>98851</v>
      </c>
      <c r="Y2192" s="8" t="n">
        <v>4451</v>
      </c>
      <c r="Z2192" s="8" t="n">
        <v>4100</v>
      </c>
      <c r="AA2192" s="9" t="n">
        <v>103477</v>
      </c>
      <c r="AB2192" s="10" t="n">
        <v>6722</v>
      </c>
      <c r="AC2192" s="10" t="n">
        <v>5007</v>
      </c>
      <c r="AD2192" s="7" t="n">
        <v>113901</v>
      </c>
      <c r="AE2192" s="8" t="n">
        <v>1862</v>
      </c>
      <c r="AF2192" s="8" t="n">
        <v>1194</v>
      </c>
      <c r="AG2192" s="9" t="n">
        <v>74965</v>
      </c>
      <c r="AH2192" s="10" t="n">
        <v>-640</v>
      </c>
      <c r="AI2192" s="10" t="n">
        <v>-181</v>
      </c>
      <c r="AJ2192" s="11" t="n">
        <v>100360</v>
      </c>
      <c r="AK2192" s="12" t="n">
        <v>3196</v>
      </c>
      <c r="AL2192" s="12" t="n">
        <v>11343</v>
      </c>
      <c r="AM2192" s="13" t="n">
        <v>33.9</v>
      </c>
      <c r="AN2192" s="13" t="n">
        <v>1.5</v>
      </c>
      <c r="AO2192" s="13" t="n">
        <v>599.4</v>
      </c>
      <c r="AP2192" s="13" t="n">
        <v>-28.2</v>
      </c>
    </row>
    <row r="2193">
      <c r="A2193" s="5" t="inlineStr">
        <is>
          <t>피에스케이</t>
        </is>
      </c>
      <c r="B2193" s="6" t="inlineStr">
        <is>
          <t>319660</t>
        </is>
      </c>
      <c r="C2193" s="6" t="inlineStr">
        <is>
          <t>연결</t>
        </is>
      </c>
      <c r="D2193" s="6" t="inlineStr">
        <is>
          <t>2026Q2</t>
        </is>
      </c>
      <c r="E2193" s="6" t="inlineStr"/>
      <c r="F2193" s="7" t="inlineStr"/>
      <c r="G2193" s="8" t="inlineStr"/>
      <c r="H2193" s="8" t="inlineStr"/>
      <c r="I2193" s="9" t="n">
        <v>77740</v>
      </c>
      <c r="J2193" s="10" t="n">
        <v>21343</v>
      </c>
      <c r="K2193" s="10" t="n">
        <v>20646</v>
      </c>
      <c r="L2193" s="7" t="n">
        <v>97133</v>
      </c>
      <c r="M2193" s="8" t="n">
        <v>22782</v>
      </c>
      <c r="N2193" s="8" t="n">
        <v>19657</v>
      </c>
      <c r="O2193" s="9" t="n">
        <v>118006</v>
      </c>
      <c r="P2193" s="10" t="n">
        <v>29125</v>
      </c>
      <c r="Q2193" s="10" t="n">
        <v>23444</v>
      </c>
      <c r="R2193" s="7" t="n">
        <v>105172</v>
      </c>
      <c r="S2193" s="8" t="n">
        <v>10674</v>
      </c>
      <c r="T2193" s="8" t="n">
        <v>15381</v>
      </c>
      <c r="U2193" s="9" t="n">
        <v>101959</v>
      </c>
      <c r="V2193" s="10" t="n">
        <v>22634</v>
      </c>
      <c r="W2193" s="10" t="n">
        <v>19958</v>
      </c>
      <c r="X2193" s="7" t="n">
        <v>108451</v>
      </c>
      <c r="Y2193" s="8" t="n">
        <v>20564</v>
      </c>
      <c r="Z2193" s="8" t="n">
        <v>18617</v>
      </c>
      <c r="AA2193" s="9" t="n">
        <v>104136</v>
      </c>
      <c r="AB2193" s="10" t="n">
        <v>23399</v>
      </c>
      <c r="AC2193" s="10" t="n">
        <v>20612</v>
      </c>
      <c r="AD2193" s="7" t="n">
        <v>142667</v>
      </c>
      <c r="AE2193" s="8" t="n">
        <v>21897</v>
      </c>
      <c r="AF2193" s="8" t="n">
        <v>19359</v>
      </c>
      <c r="AG2193" s="9" t="n">
        <v>156594</v>
      </c>
      <c r="AH2193" s="10" t="n">
        <v>47177</v>
      </c>
      <c r="AI2193" s="10" t="n">
        <v>41030</v>
      </c>
      <c r="AJ2193" s="11" t="n">
        <v>167474</v>
      </c>
      <c r="AK2193" s="12" t="n">
        <v>50264</v>
      </c>
      <c r="AL2193" s="12" t="n">
        <v>43954</v>
      </c>
      <c r="AM2193" s="13" t="n">
        <v>6.9</v>
      </c>
      <c r="AN2193" s="13" t="n">
        <v>54.4</v>
      </c>
      <c r="AO2193" s="13" t="n">
        <v>6.5</v>
      </c>
      <c r="AP2193" s="13" t="n">
        <v>144.4</v>
      </c>
    </row>
    <row r="2194">
      <c r="A2194" s="5" t="inlineStr">
        <is>
          <t>한울반도체</t>
        </is>
      </c>
      <c r="B2194" s="6" t="inlineStr">
        <is>
          <t>320000</t>
        </is>
      </c>
      <c r="C2194" s="6" t="inlineStr">
        <is>
          <t>연결</t>
        </is>
      </c>
      <c r="D2194" s="6" t="inlineStr">
        <is>
          <t>2026Q2</t>
        </is>
      </c>
      <c r="E2194" s="6" t="inlineStr"/>
      <c r="F2194" s="7" t="inlineStr"/>
      <c r="G2194" s="8" t="inlineStr"/>
      <c r="H2194" s="8" t="inlineStr"/>
      <c r="I2194" s="9" t="n">
        <v>2427</v>
      </c>
      <c r="J2194" s="10" t="n">
        <v>-1074</v>
      </c>
      <c r="K2194" s="10" t="n">
        <v>-1206</v>
      </c>
      <c r="L2194" s="7" t="n">
        <v>3706</v>
      </c>
      <c r="M2194" s="8" t="n">
        <v>-344</v>
      </c>
      <c r="N2194" s="8" t="n">
        <v>-3578</v>
      </c>
      <c r="O2194" s="9" t="n">
        <v>1522</v>
      </c>
      <c r="P2194" s="10" t="n">
        <v>-1395</v>
      </c>
      <c r="Q2194" s="10" t="n">
        <v>-3058</v>
      </c>
      <c r="R2194" s="7" t="n">
        <v>1798</v>
      </c>
      <c r="S2194" s="8" t="n">
        <v>-1585</v>
      </c>
      <c r="T2194" s="8" t="n">
        <v>-13008</v>
      </c>
      <c r="U2194" s="9" t="n">
        <v>2203</v>
      </c>
      <c r="V2194" s="10" t="n">
        <v>-1664</v>
      </c>
      <c r="W2194" s="10" t="n">
        <v>-2377</v>
      </c>
      <c r="X2194" s="7" t="n">
        <v>1391</v>
      </c>
      <c r="Y2194" s="8" t="n">
        <v>-1755</v>
      </c>
      <c r="Z2194" s="8" t="n">
        <v>-3524</v>
      </c>
      <c r="AA2194" s="9" t="n">
        <v>1909</v>
      </c>
      <c r="AB2194" s="10" t="n">
        <v>-1449</v>
      </c>
      <c r="AC2194" s="10" t="n">
        <v>-2174</v>
      </c>
      <c r="AD2194" s="7" t="n">
        <v>5960</v>
      </c>
      <c r="AE2194" s="8" t="n">
        <v>-180</v>
      </c>
      <c r="AF2194" s="8" t="n">
        <v>-13849</v>
      </c>
      <c r="AG2194" s="9" t="n">
        <v>11332</v>
      </c>
      <c r="AH2194" s="10" t="n">
        <v>-4242</v>
      </c>
      <c r="AI2194" s="10" t="n">
        <v>-6061</v>
      </c>
      <c r="AJ2194" s="11" t="n">
        <v>14108</v>
      </c>
      <c r="AK2194" s="12" t="n">
        <v>-3352</v>
      </c>
      <c r="AL2194" s="12" t="n">
        <v>-11354</v>
      </c>
      <c r="AM2194" s="13" t="n">
        <v>24.5</v>
      </c>
      <c r="AN2194" s="13" t="n">
        <v>914.2</v>
      </c>
      <c r="AO2194" s="13" t="n">
        <v>21</v>
      </c>
      <c r="AP2194" s="13" t="n">
        <v>-91</v>
      </c>
    </row>
    <row r="2195">
      <c r="A2195" s="5" t="inlineStr">
        <is>
          <t>프로이천</t>
        </is>
      </c>
      <c r="B2195" s="6" t="inlineStr">
        <is>
          <t>321260</t>
        </is>
      </c>
      <c r="C2195" s="6" t="inlineStr">
        <is>
          <t>연결</t>
        </is>
      </c>
      <c r="D2195" s="6" t="inlineStr">
        <is>
          <t>2026Q2</t>
        </is>
      </c>
      <c r="E2195" s="6" t="inlineStr"/>
      <c r="F2195" s="7" t="inlineStr"/>
      <c r="G2195" s="8" t="inlineStr"/>
      <c r="H2195" s="8" t="inlineStr"/>
      <c r="I2195" s="9" t="n">
        <v>7113</v>
      </c>
      <c r="J2195" s="10" t="n">
        <v>-185</v>
      </c>
      <c r="K2195" s="10" t="n">
        <v>1313</v>
      </c>
      <c r="L2195" s="7" t="n">
        <v>15515</v>
      </c>
      <c r="M2195" s="8" t="n">
        <v>1701</v>
      </c>
      <c r="N2195" s="8" t="n">
        <v>2590</v>
      </c>
      <c r="O2195" s="9" t="n">
        <v>6883</v>
      </c>
      <c r="P2195" s="10" t="n">
        <v>-142</v>
      </c>
      <c r="Q2195" s="10" t="n">
        <v>-998</v>
      </c>
      <c r="R2195" s="7" t="n">
        <v>6517</v>
      </c>
      <c r="S2195" s="8" t="n">
        <v>-197</v>
      </c>
      <c r="T2195" s="8" t="n">
        <v>2696</v>
      </c>
      <c r="U2195" s="9" t="n">
        <v>9135</v>
      </c>
      <c r="V2195" s="10" t="n">
        <v>1555</v>
      </c>
      <c r="W2195" s="10" t="n">
        <v>1853</v>
      </c>
      <c r="X2195" s="7" t="n">
        <v>8180</v>
      </c>
      <c r="Y2195" s="8" t="n">
        <v>-111</v>
      </c>
      <c r="Z2195" s="8" t="n">
        <v>-1309</v>
      </c>
      <c r="AA2195" s="9" t="n">
        <v>6001</v>
      </c>
      <c r="AB2195" s="10" t="n">
        <v>-347</v>
      </c>
      <c r="AC2195" s="10" t="n">
        <v>820</v>
      </c>
      <c r="AD2195" s="7" t="n">
        <v>8218</v>
      </c>
      <c r="AE2195" s="8" t="n">
        <v>1675</v>
      </c>
      <c r="AF2195" s="8" t="n">
        <v>2553</v>
      </c>
      <c r="AG2195" s="9" t="n">
        <v>6675</v>
      </c>
      <c r="AH2195" s="10" t="n">
        <v>-740</v>
      </c>
      <c r="AI2195" s="10" t="n">
        <v>970</v>
      </c>
      <c r="AJ2195" s="11" t="n">
        <v>8964</v>
      </c>
      <c r="AK2195" s="12" t="n">
        <v>1231</v>
      </c>
      <c r="AL2195" s="12" t="n">
        <v>5115</v>
      </c>
      <c r="AM2195" s="13" t="n">
        <v>34.3</v>
      </c>
      <c r="AN2195" s="13" t="n">
        <v>9.6</v>
      </c>
      <c r="AO2195" s="13" t="n">
        <v>266.4</v>
      </c>
      <c r="AP2195" s="13" t="n">
        <v>1209</v>
      </c>
    </row>
    <row r="2196">
      <c r="A2196" s="5" t="inlineStr">
        <is>
          <t>센서뷰</t>
        </is>
      </c>
      <c r="B2196" s="6" t="inlineStr">
        <is>
          <t>321370</t>
        </is>
      </c>
      <c r="C2196" s="6" t="inlineStr">
        <is>
          <t>연결</t>
        </is>
      </c>
      <c r="D2196" s="6" t="inlineStr">
        <is>
          <t>2026Q2</t>
        </is>
      </c>
      <c r="E2196" s="6" t="inlineStr"/>
      <c r="F2196" s="7" t="inlineStr"/>
      <c r="G2196" s="8" t="inlineStr"/>
      <c r="H2196" s="8" t="inlineStr"/>
      <c r="I2196" s="9" t="n">
        <v>4068</v>
      </c>
      <c r="J2196" s="10" t="n">
        <v>-4916</v>
      </c>
      <c r="K2196" s="10" t="n">
        <v>-5029</v>
      </c>
      <c r="L2196" s="7" t="n">
        <v>3974</v>
      </c>
      <c r="M2196" s="8" t="n">
        <v>-2610</v>
      </c>
      <c r="N2196" s="8" t="n">
        <v>-2804</v>
      </c>
      <c r="O2196" s="9" t="n">
        <v>3212</v>
      </c>
      <c r="P2196" s="10" t="n">
        <v>-3902</v>
      </c>
      <c r="Q2196" s="10" t="n">
        <v>-4307</v>
      </c>
      <c r="R2196" s="7" t="n">
        <v>4348</v>
      </c>
      <c r="S2196" s="8" t="n">
        <v>-4358</v>
      </c>
      <c r="T2196" s="8" t="n">
        <v>-5696</v>
      </c>
      <c r="U2196" s="9" t="n">
        <v>5469</v>
      </c>
      <c r="V2196" s="10" t="n">
        <v>-3140</v>
      </c>
      <c r="W2196" s="10" t="n">
        <v>-3030</v>
      </c>
      <c r="X2196" s="7" t="n">
        <v>4254</v>
      </c>
      <c r="Y2196" s="8" t="n">
        <v>-3707</v>
      </c>
      <c r="Z2196" s="8" t="n">
        <v>-5073</v>
      </c>
      <c r="AA2196" s="9" t="n">
        <v>3387</v>
      </c>
      <c r="AB2196" s="10" t="n">
        <v>-3370</v>
      </c>
      <c r="AC2196" s="10" t="n">
        <v>-3672</v>
      </c>
      <c r="AD2196" s="7" t="n">
        <v>5906</v>
      </c>
      <c r="AE2196" s="8" t="n">
        <v>-1341</v>
      </c>
      <c r="AF2196" s="8" t="n">
        <v>-3422</v>
      </c>
      <c r="AG2196" s="9" t="n">
        <v>2085</v>
      </c>
      <c r="AH2196" s="10" t="n">
        <v>-3359</v>
      </c>
      <c r="AI2196" s="10" t="n">
        <v>-4236</v>
      </c>
      <c r="AJ2196" s="11" t="n">
        <v>2527</v>
      </c>
      <c r="AK2196" s="12" t="n">
        <v>-2198</v>
      </c>
      <c r="AL2196" s="12" t="n">
        <v>-2611</v>
      </c>
      <c r="AM2196" s="13" t="n">
        <v>21.2</v>
      </c>
      <c r="AN2196" s="13" t="n">
        <v>-40.6</v>
      </c>
      <c r="AO2196" s="13" t="n">
        <v>34.6</v>
      </c>
      <c r="AP2196" s="13" t="n">
        <v>40.7</v>
      </c>
    </row>
    <row r="2197">
      <c r="A2197" s="5" t="inlineStr">
        <is>
          <t>티움바이오</t>
        </is>
      </c>
      <c r="B2197" s="6" t="inlineStr">
        <is>
          <t>321550</t>
        </is>
      </c>
      <c r="C2197" s="6" t="inlineStr">
        <is>
          <t>연결</t>
        </is>
      </c>
      <c r="D2197" s="6" t="inlineStr">
        <is>
          <t>2026Q2</t>
        </is>
      </c>
      <c r="E2197" s="6" t="inlineStr"/>
      <c r="F2197" s="7" t="inlineStr"/>
      <c r="G2197" s="8" t="inlineStr"/>
      <c r="H2197" s="8" t="inlineStr"/>
      <c r="I2197" s="9" t="inlineStr"/>
      <c r="J2197" s="10" t="n">
        <v>-4616</v>
      </c>
      <c r="K2197" s="10" t="n">
        <v>-7767</v>
      </c>
      <c r="L2197" s="7" t="inlineStr"/>
      <c r="M2197" s="8" t="n">
        <v>-4487</v>
      </c>
      <c r="N2197" s="8" t="n">
        <v>-13871</v>
      </c>
      <c r="O2197" s="9" t="inlineStr"/>
      <c r="P2197" s="10" t="n">
        <v>-4388</v>
      </c>
      <c r="Q2197" s="10" t="n">
        <v>-4860</v>
      </c>
      <c r="R2197" s="7" t="inlineStr"/>
      <c r="S2197" s="8" t="n">
        <v>-5208</v>
      </c>
      <c r="T2197" s="8" t="n">
        <v>2952</v>
      </c>
      <c r="U2197" s="9" t="n">
        <v>2106</v>
      </c>
      <c r="V2197" s="10" t="n">
        <v>-5346</v>
      </c>
      <c r="W2197" s="10" t="n">
        <v>-8389</v>
      </c>
      <c r="X2197" s="7" t="n">
        <v>2613</v>
      </c>
      <c r="Y2197" s="8" t="n">
        <v>-3495</v>
      </c>
      <c r="Z2197" s="8" t="n">
        <v>-2257</v>
      </c>
      <c r="AA2197" s="9" t="n">
        <v>3121</v>
      </c>
      <c r="AB2197" s="10" t="n">
        <v>-4519</v>
      </c>
      <c r="AC2197" s="10" t="n">
        <v>-5837</v>
      </c>
      <c r="AD2197" s="7" t="n">
        <v>4449</v>
      </c>
      <c r="AE2197" s="8" t="n">
        <v>-2787</v>
      </c>
      <c r="AF2197" s="8" t="n">
        <v>-2304</v>
      </c>
      <c r="AG2197" s="9" t="n">
        <v>2950</v>
      </c>
      <c r="AH2197" s="10" t="n">
        <v>-4539</v>
      </c>
      <c r="AI2197" s="10" t="n">
        <v>-5761</v>
      </c>
      <c r="AJ2197" s="11" t="n">
        <v>4477</v>
      </c>
      <c r="AK2197" s="12" t="n">
        <v>-4245</v>
      </c>
      <c r="AL2197" s="12" t="n">
        <v>-4502</v>
      </c>
      <c r="AM2197" s="13" t="n">
        <v>51.8</v>
      </c>
      <c r="AN2197" s="13" t="n">
        <v>71.3</v>
      </c>
      <c r="AO2197" s="13" t="n">
        <v>6.5</v>
      </c>
      <c r="AP2197" s="13" t="n">
        <v>-21.5</v>
      </c>
    </row>
    <row r="2198">
      <c r="A2198" s="5" t="inlineStr">
        <is>
          <t>아티스트컴퍼니</t>
        </is>
      </c>
      <c r="B2198" s="6" t="inlineStr">
        <is>
          <t>321820</t>
        </is>
      </c>
      <c r="C2198" s="6" t="inlineStr">
        <is>
          <t>연결</t>
        </is>
      </c>
      <c r="D2198" s="6" t="inlineStr">
        <is>
          <t>2026Q2</t>
        </is>
      </c>
      <c r="E2198" s="6" t="inlineStr"/>
      <c r="F2198" s="7" t="inlineStr"/>
      <c r="G2198" s="8" t="inlineStr"/>
      <c r="H2198" s="8" t="inlineStr"/>
      <c r="I2198" s="9" t="n">
        <v>3966</v>
      </c>
      <c r="J2198" s="10" t="n">
        <v>-969</v>
      </c>
      <c r="K2198" s="10" t="n">
        <v>-2002</v>
      </c>
      <c r="L2198" s="7" t="n">
        <v>9243</v>
      </c>
      <c r="M2198" s="8" t="n">
        <v>-596</v>
      </c>
      <c r="N2198" s="8" t="n">
        <v>1040</v>
      </c>
      <c r="O2198" s="9" t="n">
        <v>2792</v>
      </c>
      <c r="P2198" s="10" t="n">
        <v>-608</v>
      </c>
      <c r="Q2198" s="10" t="n">
        <v>-3899</v>
      </c>
      <c r="R2198" s="7" t="n">
        <v>5264</v>
      </c>
      <c r="S2198" s="8" t="n">
        <v>-975</v>
      </c>
      <c r="T2198" s="8" t="n">
        <v>-2953</v>
      </c>
      <c r="U2198" s="9" t="n">
        <v>6505</v>
      </c>
      <c r="V2198" s="10" t="n">
        <v>-1976</v>
      </c>
      <c r="W2198" s="10" t="n">
        <v>-2054</v>
      </c>
      <c r="X2198" s="7" t="n">
        <v>19268</v>
      </c>
      <c r="Y2198" s="8" t="n">
        <v>-517</v>
      </c>
      <c r="Z2198" s="8" t="n">
        <v>4609</v>
      </c>
      <c r="AA2198" s="9" t="n">
        <v>13520</v>
      </c>
      <c r="AB2198" s="10" t="n">
        <v>540</v>
      </c>
      <c r="AC2198" s="10" t="n">
        <v>-318</v>
      </c>
      <c r="AD2198" s="7" t="n">
        <v>7357</v>
      </c>
      <c r="AE2198" s="8" t="n">
        <v>-2006</v>
      </c>
      <c r="AF2198" s="8" t="n">
        <v>-1116</v>
      </c>
      <c r="AG2198" s="9" t="n">
        <v>7395</v>
      </c>
      <c r="AH2198" s="10" t="n">
        <v>-1439</v>
      </c>
      <c r="AI2198" s="10" t="n">
        <v>-1720</v>
      </c>
      <c r="AJ2198" s="11" t="n">
        <v>9325</v>
      </c>
      <c r="AK2198" s="12" t="n">
        <v>-1088</v>
      </c>
      <c r="AL2198" s="12" t="n">
        <v>-728</v>
      </c>
      <c r="AM2198" s="13" t="n">
        <v>26.1</v>
      </c>
      <c r="AN2198" s="13" t="n">
        <v>-51.6</v>
      </c>
      <c r="AO2198" s="13" t="n">
        <v>24.4</v>
      </c>
      <c r="AP2198" s="13" t="n">
        <v>-110.4</v>
      </c>
    </row>
    <row r="2199">
      <c r="A2199" s="5" t="inlineStr">
        <is>
          <t>HD현대에너지솔루션</t>
        </is>
      </c>
      <c r="B2199" s="6" t="inlineStr">
        <is>
          <t>322000</t>
        </is>
      </c>
      <c r="C2199" s="6" t="inlineStr">
        <is>
          <t>연결</t>
        </is>
      </c>
      <c r="D2199" s="6" t="inlineStr">
        <is>
          <t>2026Q2</t>
        </is>
      </c>
      <c r="E2199" s="6" t="inlineStr">
        <is>
          <t>2023Q4</t>
        </is>
      </c>
      <c r="F2199" s="14" t="n">
        <v>113326</v>
      </c>
      <c r="G2199" s="15" t="n">
        <v>-4876</v>
      </c>
      <c r="H2199" s="15" t="n">
        <v>-17370</v>
      </c>
      <c r="I2199" s="9" t="n">
        <v>97590</v>
      </c>
      <c r="J2199" s="10" t="n">
        <v>-14239</v>
      </c>
      <c r="K2199" s="10" t="n">
        <v>-19403</v>
      </c>
      <c r="L2199" s="7" t="n">
        <v>112760</v>
      </c>
      <c r="M2199" s="8" t="n">
        <v>7904</v>
      </c>
      <c r="N2199" s="8" t="n">
        <v>10344</v>
      </c>
      <c r="O2199" s="9" t="n">
        <v>100643</v>
      </c>
      <c r="P2199" s="10" t="n">
        <v>3423</v>
      </c>
      <c r="Q2199" s="10" t="n">
        <v>737</v>
      </c>
      <c r="R2199" s="7" t="n">
        <v>111378</v>
      </c>
      <c r="S2199" s="8" t="n">
        <v>6415</v>
      </c>
      <c r="T2199" s="8" t="n">
        <v>8436</v>
      </c>
      <c r="U2199" s="9" t="n">
        <v>85252</v>
      </c>
      <c r="V2199" s="10" t="n">
        <v>-3034</v>
      </c>
      <c r="W2199" s="10" t="n">
        <v>-1084</v>
      </c>
      <c r="X2199" s="7" t="n">
        <v>133713</v>
      </c>
      <c r="Y2199" s="8" t="n">
        <v>15061</v>
      </c>
      <c r="Z2199" s="8" t="n">
        <v>11395</v>
      </c>
      <c r="AA2199" s="9" t="n">
        <v>121049</v>
      </c>
      <c r="AB2199" s="10" t="n">
        <v>14675</v>
      </c>
      <c r="AC2199" s="10" t="n">
        <v>11971</v>
      </c>
      <c r="AD2199" s="7" t="n">
        <v>152646</v>
      </c>
      <c r="AE2199" s="8" t="n">
        <v>14521</v>
      </c>
      <c r="AF2199" s="8" t="n">
        <v>19395</v>
      </c>
      <c r="AG2199" s="9" t="n">
        <v>159891</v>
      </c>
      <c r="AH2199" s="10" t="n">
        <v>29019</v>
      </c>
      <c r="AI2199" s="10" t="n">
        <v>22253</v>
      </c>
      <c r="AJ2199" s="11" t="n">
        <v>165037</v>
      </c>
      <c r="AK2199" s="12" t="n">
        <v>36115</v>
      </c>
      <c r="AL2199" s="12" t="n">
        <v>30745</v>
      </c>
      <c r="AM2199" s="13" t="n">
        <v>3.2</v>
      </c>
      <c r="AN2199" s="13" t="n">
        <v>23.4</v>
      </c>
      <c r="AO2199" s="13" t="n">
        <v>24.5</v>
      </c>
      <c r="AP2199" s="13" t="n">
        <v>139.8</v>
      </c>
    </row>
    <row r="2200">
      <c r="A2200" s="5" t="inlineStr">
        <is>
          <t>LS티라유텍</t>
        </is>
      </c>
      <c r="B2200" s="6" t="inlineStr">
        <is>
          <t>322180</t>
        </is>
      </c>
      <c r="C2200" s="6" t="inlineStr">
        <is>
          <t>연결</t>
        </is>
      </c>
      <c r="D2200" s="6" t="inlineStr">
        <is>
          <t>2026Q2</t>
        </is>
      </c>
      <c r="E2200" s="6" t="inlineStr"/>
      <c r="F2200" s="7" t="inlineStr"/>
      <c r="G2200" s="8" t="inlineStr"/>
      <c r="H2200" s="8" t="inlineStr"/>
      <c r="I2200" s="9" t="n">
        <v>14426</v>
      </c>
      <c r="J2200" s="10" t="n">
        <v>-2397</v>
      </c>
      <c r="K2200" s="10" t="n">
        <v>-3244</v>
      </c>
      <c r="L2200" s="7" t="n">
        <v>14915</v>
      </c>
      <c r="M2200" s="8" t="n">
        <v>-1258</v>
      </c>
      <c r="N2200" s="8" t="n">
        <v>-686</v>
      </c>
      <c r="O2200" s="9" t="n">
        <v>12668</v>
      </c>
      <c r="P2200" s="10" t="n">
        <v>-1975</v>
      </c>
      <c r="Q2200" s="10" t="n">
        <v>-3225</v>
      </c>
      <c r="R2200" s="7" t="n">
        <v>15458</v>
      </c>
      <c r="S2200" s="8" t="n">
        <v>-2282</v>
      </c>
      <c r="T2200" s="8" t="n">
        <v>5132</v>
      </c>
      <c r="U2200" s="9" t="n">
        <v>12123</v>
      </c>
      <c r="V2200" s="10" t="n">
        <v>-2906</v>
      </c>
      <c r="W2200" s="10" t="n">
        <v>-3166</v>
      </c>
      <c r="X2200" s="7" t="n">
        <v>15418</v>
      </c>
      <c r="Y2200" s="8" t="n">
        <v>130</v>
      </c>
      <c r="Z2200" s="8" t="n">
        <v>-805</v>
      </c>
      <c r="AA2200" s="9" t="n">
        <v>12951</v>
      </c>
      <c r="AB2200" s="10" t="n">
        <v>-1631</v>
      </c>
      <c r="AC2200" s="10" t="n">
        <v>-4911</v>
      </c>
      <c r="AD2200" s="7" t="n">
        <v>18449</v>
      </c>
      <c r="AE2200" s="8" t="n">
        <v>114</v>
      </c>
      <c r="AF2200" s="8" t="n">
        <v>-2526</v>
      </c>
      <c r="AG2200" s="9" t="n">
        <v>13984</v>
      </c>
      <c r="AH2200" s="10" t="n">
        <v>-2601</v>
      </c>
      <c r="AI2200" s="10" t="n">
        <v>-2743</v>
      </c>
      <c r="AJ2200" s="11" t="n">
        <v>16790</v>
      </c>
      <c r="AK2200" s="12" t="n">
        <v>-2646</v>
      </c>
      <c r="AL2200" s="12" t="n">
        <v>-6798</v>
      </c>
      <c r="AM2200" s="13" t="n">
        <v>20.1</v>
      </c>
      <c r="AN2200" s="13" t="n">
        <v>8.9</v>
      </c>
      <c r="AO2200" s="13" t="n">
        <v>-1.7</v>
      </c>
      <c r="AP2200" s="13" t="n">
        <v>-2135.4</v>
      </c>
    </row>
    <row r="2201">
      <c r="A2201" s="5" t="inlineStr">
        <is>
          <t>오로스테크놀로지</t>
        </is>
      </c>
      <c r="B2201" s="6" t="inlineStr">
        <is>
          <t>322310</t>
        </is>
      </c>
      <c r="C2201" s="6" t="inlineStr">
        <is>
          <t>연결</t>
        </is>
      </c>
      <c r="D2201" s="6" t="inlineStr">
        <is>
          <t>2026Q2</t>
        </is>
      </c>
      <c r="E2201" s="6" t="inlineStr"/>
      <c r="F2201" s="7" t="inlineStr"/>
      <c r="G2201" s="8" t="inlineStr"/>
      <c r="H2201" s="8" t="inlineStr"/>
      <c r="I2201" s="9" t="n">
        <v>3813</v>
      </c>
      <c r="J2201" s="10" t="n">
        <v>-5987</v>
      </c>
      <c r="K2201" s="10" t="n">
        <v>-5346</v>
      </c>
      <c r="L2201" s="7" t="n">
        <v>12026</v>
      </c>
      <c r="M2201" s="8" t="n">
        <v>-523</v>
      </c>
      <c r="N2201" s="8" t="n">
        <v>-340</v>
      </c>
      <c r="O2201" s="9" t="n">
        <v>16645</v>
      </c>
      <c r="P2201" s="10" t="n">
        <v>2460</v>
      </c>
      <c r="Q2201" s="10" t="n">
        <v>2834</v>
      </c>
      <c r="R2201" s="7" t="n">
        <v>28928</v>
      </c>
      <c r="S2201" s="8" t="n">
        <v>10133</v>
      </c>
      <c r="T2201" s="8" t="n">
        <v>8759</v>
      </c>
      <c r="U2201" s="9" t="n">
        <v>16878</v>
      </c>
      <c r="V2201" s="10" t="n">
        <v>-304</v>
      </c>
      <c r="W2201" s="10" t="n">
        <v>-369</v>
      </c>
      <c r="X2201" s="7" t="n">
        <v>13868</v>
      </c>
      <c r="Y2201" s="8" t="n">
        <v>-662</v>
      </c>
      <c r="Z2201" s="8" t="n">
        <v>-1001</v>
      </c>
      <c r="AA2201" s="9" t="n">
        <v>7567</v>
      </c>
      <c r="AB2201" s="10" t="n">
        <v>-5811</v>
      </c>
      <c r="AC2201" s="10" t="n">
        <v>-5421</v>
      </c>
      <c r="AD2201" s="7" t="n">
        <v>13824</v>
      </c>
      <c r="AE2201" s="8" t="n">
        <v>-1594</v>
      </c>
      <c r="AF2201" s="8" t="n">
        <v>370</v>
      </c>
      <c r="AG2201" s="9" t="n">
        <v>6813</v>
      </c>
      <c r="AH2201" s="10" t="n">
        <v>-6823</v>
      </c>
      <c r="AI2201" s="10" t="n">
        <v>-5107</v>
      </c>
      <c r="AJ2201" s="11" t="n">
        <v>11366</v>
      </c>
      <c r="AK2201" s="12" t="n">
        <v>-2294</v>
      </c>
      <c r="AL2201" s="12" t="n">
        <v>-3571</v>
      </c>
      <c r="AM2201" s="13" t="n">
        <v>66.8</v>
      </c>
      <c r="AN2201" s="13" t="n">
        <v>-18</v>
      </c>
      <c r="AO2201" s="13" t="n">
        <v>66.40000000000001</v>
      </c>
      <c r="AP2201" s="13" t="n">
        <v>-246.5</v>
      </c>
    </row>
    <row r="2202">
      <c r="A2202" s="5" t="inlineStr">
        <is>
          <t>제이엘케이</t>
        </is>
      </c>
      <c r="B2202" s="6" t="inlineStr">
        <is>
          <t>322510</t>
        </is>
      </c>
      <c r="C2202" s="6" t="inlineStr">
        <is>
          <t>연결</t>
        </is>
      </c>
      <c r="D2202" s="6" t="inlineStr">
        <is>
          <t>2026Q2</t>
        </is>
      </c>
      <c r="E2202" s="6" t="inlineStr"/>
      <c r="F2202" s="7" t="inlineStr"/>
      <c r="G2202" s="8" t="inlineStr"/>
      <c r="H2202" s="8" t="inlineStr"/>
      <c r="I2202" s="9" t="n">
        <v>136</v>
      </c>
      <c r="J2202" s="10" t="n">
        <v>-3666</v>
      </c>
      <c r="K2202" s="10" t="n">
        <v>-3881</v>
      </c>
      <c r="L2202" s="7" t="n">
        <v>228</v>
      </c>
      <c r="M2202" s="8" t="n">
        <v>-3028</v>
      </c>
      <c r="N2202" s="8" t="n">
        <v>-3291</v>
      </c>
      <c r="O2202" s="9" t="n">
        <v>250</v>
      </c>
      <c r="P2202" s="10" t="n">
        <v>-3228</v>
      </c>
      <c r="Q2202" s="10" t="n">
        <v>-3489</v>
      </c>
      <c r="R2202" s="7" t="n">
        <v>814</v>
      </c>
      <c r="S2202" s="8" t="n">
        <v>-2810</v>
      </c>
      <c r="T2202" s="8" t="n">
        <v>-2787</v>
      </c>
      <c r="U2202" s="9" t="n">
        <v>485</v>
      </c>
      <c r="V2202" s="10" t="n">
        <v>-3342</v>
      </c>
      <c r="W2202" s="10" t="n">
        <v>-3214</v>
      </c>
      <c r="X2202" s="7" t="n">
        <v>1063</v>
      </c>
      <c r="Y2202" s="8" t="n">
        <v>-2893</v>
      </c>
      <c r="Z2202" s="8" t="n">
        <v>-2824</v>
      </c>
      <c r="AA2202" s="9" t="n">
        <v>895</v>
      </c>
      <c r="AB2202" s="10" t="n">
        <v>-2675</v>
      </c>
      <c r="AC2202" s="10" t="n">
        <v>-2166</v>
      </c>
      <c r="AD2202" s="7" t="n">
        <v>896</v>
      </c>
      <c r="AE2202" s="8" t="n">
        <v>-4292</v>
      </c>
      <c r="AF2202" s="8" t="n">
        <v>-5402</v>
      </c>
      <c r="AG2202" s="9" t="n">
        <v>412</v>
      </c>
      <c r="AH2202" s="10" t="n">
        <v>-3353</v>
      </c>
      <c r="AI2202" s="10" t="n">
        <v>-3815</v>
      </c>
      <c r="AJ2202" s="11" t="n">
        <v>520</v>
      </c>
      <c r="AK2202" s="12" t="n">
        <v>-3347</v>
      </c>
      <c r="AL2202" s="12" t="n">
        <v>-3742</v>
      </c>
      <c r="AM2202" s="13" t="n">
        <v>26.2</v>
      </c>
      <c r="AN2202" s="13" t="n">
        <v>-51.1</v>
      </c>
      <c r="AO2202" s="13" t="n">
        <v>0.2</v>
      </c>
      <c r="AP2202" s="13" t="n">
        <v>-15.7</v>
      </c>
    </row>
    <row r="2203">
      <c r="A2203" s="5" t="inlineStr">
        <is>
          <t>코퍼스코리아</t>
        </is>
      </c>
      <c r="B2203" s="6" t="inlineStr">
        <is>
          <t>322780</t>
        </is>
      </c>
      <c r="C2203" s="6" t="inlineStr">
        <is>
          <t>연결</t>
        </is>
      </c>
      <c r="D2203" s="6" t="inlineStr">
        <is>
          <t>2026Q2</t>
        </is>
      </c>
      <c r="E2203" s="6" t="inlineStr"/>
      <c r="F2203" s="7" t="inlineStr"/>
      <c r="G2203" s="8" t="inlineStr"/>
      <c r="H2203" s="8" t="inlineStr"/>
      <c r="I2203" s="9" t="n">
        <v>8808</v>
      </c>
      <c r="J2203" s="10" t="n">
        <v>-3811</v>
      </c>
      <c r="K2203" s="10" t="n">
        <v>-4148</v>
      </c>
      <c r="L2203" s="7" t="n">
        <v>15750</v>
      </c>
      <c r="M2203" s="8" t="n">
        <v>-9001</v>
      </c>
      <c r="N2203" s="8" t="n">
        <v>-6071</v>
      </c>
      <c r="O2203" s="9" t="n">
        <v>12789</v>
      </c>
      <c r="P2203" s="10" t="n">
        <v>-4331</v>
      </c>
      <c r="Q2203" s="10" t="n">
        <v>-3927</v>
      </c>
      <c r="R2203" s="7" t="n">
        <v>4485</v>
      </c>
      <c r="S2203" s="8" t="n">
        <v>-12219</v>
      </c>
      <c r="T2203" s="8" t="n">
        <v>-10974</v>
      </c>
      <c r="U2203" s="9" t="n">
        <v>3986</v>
      </c>
      <c r="V2203" s="10" t="n">
        <v>-1046</v>
      </c>
      <c r="W2203" s="10" t="n">
        <v>-1143</v>
      </c>
      <c r="X2203" s="7" t="n">
        <v>2498</v>
      </c>
      <c r="Y2203" s="8" t="n">
        <v>-3140</v>
      </c>
      <c r="Z2203" s="8" t="n">
        <v>-5824</v>
      </c>
      <c r="AA2203" s="9" t="n">
        <v>11828</v>
      </c>
      <c r="AB2203" s="10" t="n">
        <v>-2439</v>
      </c>
      <c r="AC2203" s="10" t="n">
        <v>-2612</v>
      </c>
      <c r="AD2203" s="7" t="n">
        <v>14588</v>
      </c>
      <c r="AE2203" s="8" t="n">
        <v>-469</v>
      </c>
      <c r="AF2203" s="8" t="n">
        <v>-4017</v>
      </c>
      <c r="AG2203" s="9" t="n">
        <v>10796</v>
      </c>
      <c r="AH2203" s="10" t="n">
        <v>-2493</v>
      </c>
      <c r="AI2203" s="10" t="n">
        <v>-150</v>
      </c>
      <c r="AJ2203" s="11" t="n">
        <v>7175</v>
      </c>
      <c r="AK2203" s="12" t="n">
        <v>-1079</v>
      </c>
      <c r="AL2203" s="12" t="n">
        <v>-389</v>
      </c>
      <c r="AM2203" s="13" t="n">
        <v>-33.5</v>
      </c>
      <c r="AN2203" s="13" t="n">
        <v>187.2</v>
      </c>
      <c r="AO2203" s="13" t="n">
        <v>56.7</v>
      </c>
      <c r="AP2203" s="13" t="n">
        <v>65.59999999999999</v>
      </c>
    </row>
    <row r="2204">
      <c r="A2204" s="5" t="inlineStr">
        <is>
          <t>태성</t>
        </is>
      </c>
      <c r="B2204" s="6" t="inlineStr">
        <is>
          <t>323280</t>
        </is>
      </c>
      <c r="C2204" s="6" t="inlineStr">
        <is>
          <t>연결</t>
        </is>
      </c>
      <c r="D2204" s="6" t="inlineStr">
        <is>
          <t>2026Q2</t>
        </is>
      </c>
      <c r="E2204" s="6" t="inlineStr"/>
      <c r="F2204" s="7" t="inlineStr"/>
      <c r="G2204" s="8" t="inlineStr"/>
      <c r="H2204" s="8" t="inlineStr"/>
      <c r="I2204" s="9" t="n">
        <v>17744</v>
      </c>
      <c r="J2204" s="10" t="n">
        <v>2083</v>
      </c>
      <c r="K2204" s="10" t="n">
        <v>2336</v>
      </c>
      <c r="L2204" s="7" t="n">
        <v>14551</v>
      </c>
      <c r="M2204" s="8" t="n">
        <v>2697</v>
      </c>
      <c r="N2204" s="8" t="n">
        <v>1323</v>
      </c>
      <c r="O2204" s="9" t="n">
        <v>12657</v>
      </c>
      <c r="P2204" s="10" t="n">
        <v>-1017</v>
      </c>
      <c r="Q2204" s="10" t="n">
        <v>-1026</v>
      </c>
      <c r="R2204" s="7" t="n">
        <v>14260</v>
      </c>
      <c r="S2204" s="8" t="n">
        <v>2275</v>
      </c>
      <c r="T2204" s="8" t="n">
        <v>3335</v>
      </c>
      <c r="U2204" s="9" t="n">
        <v>7549</v>
      </c>
      <c r="V2204" s="10" t="n">
        <v>-1563</v>
      </c>
      <c r="W2204" s="10" t="n">
        <v>-1296</v>
      </c>
      <c r="X2204" s="7" t="n">
        <v>8638</v>
      </c>
      <c r="Y2204" s="8" t="n">
        <v>-1179</v>
      </c>
      <c r="Z2204" s="8" t="n">
        <v>-768</v>
      </c>
      <c r="AA2204" s="9" t="n">
        <v>8793</v>
      </c>
      <c r="AB2204" s="10" t="n">
        <v>-1176</v>
      </c>
      <c r="AC2204" s="10" t="n">
        <v>-3209</v>
      </c>
      <c r="AD2204" s="7" t="n">
        <v>12879</v>
      </c>
      <c r="AE2204" s="8" t="n">
        <v>1412</v>
      </c>
      <c r="AF2204" s="8" t="n">
        <v>2736</v>
      </c>
      <c r="AG2204" s="9" t="n">
        <v>19868</v>
      </c>
      <c r="AH2204" s="10" t="n">
        <v>-883</v>
      </c>
      <c r="AI2204" s="10" t="n">
        <v>-488</v>
      </c>
      <c r="AJ2204" s="11" t="n">
        <v>30518</v>
      </c>
      <c r="AK2204" s="12" t="n">
        <v>3118</v>
      </c>
      <c r="AL2204" s="12" t="n">
        <v>3466</v>
      </c>
      <c r="AM2204" s="13" t="n">
        <v>53.6</v>
      </c>
      <c r="AN2204" s="13" t="n">
        <v>253.3</v>
      </c>
      <c r="AO2204" s="13" t="n">
        <v>453.1</v>
      </c>
      <c r="AP2204" s="13" t="n">
        <v>364.5</v>
      </c>
    </row>
    <row r="2205">
      <c r="A2205" s="5" t="inlineStr">
        <is>
          <t>다원넥스뷰</t>
        </is>
      </c>
      <c r="B2205" s="6" t="inlineStr">
        <is>
          <t>323350</t>
        </is>
      </c>
      <c r="C2205" s="6" t="inlineStr">
        <is>
          <t>별도</t>
        </is>
      </c>
      <c r="D2205" s="6" t="inlineStr">
        <is>
          <t>2026Q2</t>
        </is>
      </c>
      <c r="E2205" s="6" t="inlineStr"/>
      <c r="F2205" s="7" t="inlineStr"/>
      <c r="G2205" s="8" t="inlineStr"/>
      <c r="H2205" s="8" t="inlineStr"/>
      <c r="I2205" s="9" t="inlineStr"/>
      <c r="J2205" s="10" t="inlineStr"/>
      <c r="K2205" s="10" t="inlineStr"/>
      <c r="L2205" s="7" t="n">
        <v>5025160349</v>
      </c>
      <c r="M2205" s="8" t="n">
        <v>-203617264</v>
      </c>
      <c r="N2205" s="8" t="n">
        <v>-5712257033</v>
      </c>
      <c r="O2205" s="9" t="n">
        <v>2761</v>
      </c>
      <c r="P2205" s="10" t="n">
        <v>-109</v>
      </c>
      <c r="Q2205" s="10" t="n">
        <v>-108</v>
      </c>
      <c r="R2205" s="7" t="inlineStr"/>
      <c r="S2205" s="8" t="inlineStr"/>
      <c r="T2205" s="8" t="inlineStr"/>
      <c r="U2205" s="9" t="n">
        <v>2743</v>
      </c>
      <c r="V2205" s="10" t="n">
        <v>102</v>
      </c>
      <c r="W2205" s="10" t="n">
        <v>105</v>
      </c>
      <c r="X2205" s="7" t="n">
        <v>5960</v>
      </c>
      <c r="Y2205" s="8" t="n">
        <v>597</v>
      </c>
      <c r="Z2205" s="8" t="n">
        <v>606</v>
      </c>
      <c r="AA2205" s="9" t="n">
        <v>3975</v>
      </c>
      <c r="AB2205" s="10" t="n">
        <v>124</v>
      </c>
      <c r="AC2205" s="10" t="n">
        <v>232</v>
      </c>
      <c r="AD2205" s="7" t="n">
        <v>14259</v>
      </c>
      <c r="AE2205" s="8" t="n">
        <v>3207</v>
      </c>
      <c r="AF2205" s="8" t="n">
        <v>2536</v>
      </c>
      <c r="AG2205" s="9" t="n">
        <v>3164</v>
      </c>
      <c r="AH2205" s="10" t="n">
        <v>634</v>
      </c>
      <c r="AI2205" s="10" t="n">
        <v>847</v>
      </c>
      <c r="AJ2205" s="11" t="n">
        <v>8017</v>
      </c>
      <c r="AK2205" s="12" t="n">
        <v>1693</v>
      </c>
      <c r="AL2205" s="12" t="n">
        <v>1425</v>
      </c>
      <c r="AM2205" s="13" t="n">
        <v>153.4</v>
      </c>
      <c r="AN2205" s="13" t="n">
        <v>34.5</v>
      </c>
      <c r="AO2205" s="13" t="n">
        <v>167</v>
      </c>
      <c r="AP2205" s="13" t="n">
        <v>183.6</v>
      </c>
    </row>
    <row r="2206">
      <c r="A2206" s="5" t="inlineStr">
        <is>
          <t>카카오뱅크</t>
        </is>
      </c>
      <c r="B2206" s="6" t="inlineStr">
        <is>
          <t>323410</t>
        </is>
      </c>
      <c r="C2206" s="6" t="inlineStr">
        <is>
          <t>별도</t>
        </is>
      </c>
      <c r="D2206" s="6" t="inlineStr">
        <is>
          <t>2026Q2</t>
        </is>
      </c>
      <c r="E2206" s="6" t="inlineStr">
        <is>
          <t>2023Q4</t>
        </is>
      </c>
      <c r="F2206" s="14" t="n">
        <v>663674</v>
      </c>
      <c r="G2206" s="15" t="n">
        <v>102793</v>
      </c>
      <c r="H2206" s="15" t="n">
        <v>75660</v>
      </c>
      <c r="I2206" s="9" t="n">
        <v>717859</v>
      </c>
      <c r="J2206" s="10" t="n">
        <v>148405</v>
      </c>
      <c r="K2206" s="10" t="n">
        <v>111197</v>
      </c>
      <c r="L2206" s="7" t="n">
        <v>734144</v>
      </c>
      <c r="M2206" s="8" t="n">
        <v>169769</v>
      </c>
      <c r="N2206" s="8" t="n">
        <v>120245</v>
      </c>
      <c r="O2206" s="9" t="n">
        <v>746339</v>
      </c>
      <c r="P2206" s="10" t="n">
        <v>173735</v>
      </c>
      <c r="Q2206" s="10" t="n">
        <v>124166</v>
      </c>
      <c r="R2206" s="7" t="n">
        <v>747279</v>
      </c>
      <c r="S2206" s="8" t="n">
        <v>114971</v>
      </c>
      <c r="T2206" s="8" t="n">
        <v>84457</v>
      </c>
      <c r="U2206" s="9" t="n">
        <v>784562</v>
      </c>
      <c r="V2206" s="10" t="n">
        <v>183039</v>
      </c>
      <c r="W2206" s="10" t="n">
        <v>137416</v>
      </c>
      <c r="X2206" s="7" t="n">
        <v>778033</v>
      </c>
      <c r="Y2206" s="8" t="n">
        <v>170127</v>
      </c>
      <c r="Z2206" s="8" t="n">
        <v>126257</v>
      </c>
      <c r="AA2206" s="9" t="n">
        <v>764658</v>
      </c>
      <c r="AB2206" s="10" t="n">
        <v>151119</v>
      </c>
      <c r="AC2206" s="10" t="n">
        <v>111400</v>
      </c>
      <c r="AD2206" s="7" t="n">
        <v>759038</v>
      </c>
      <c r="AE2206" s="8" t="n">
        <v>145086</v>
      </c>
      <c r="AF2206" s="8" t="n">
        <v>105207</v>
      </c>
      <c r="AG2206" s="9" t="n">
        <v>819336</v>
      </c>
      <c r="AH2206" s="10" t="n">
        <v>157614</v>
      </c>
      <c r="AI2206" s="10" t="n">
        <v>187296</v>
      </c>
      <c r="AJ2206" s="11" t="n">
        <v>828980</v>
      </c>
      <c r="AK2206" s="12" t="n">
        <v>193977</v>
      </c>
      <c r="AL2206" s="12" t="n">
        <v>140752</v>
      </c>
      <c r="AM2206" s="13" t="n">
        <v>1.2</v>
      </c>
      <c r="AN2206" s="13" t="n">
        <v>6.5</v>
      </c>
      <c r="AO2206" s="13" t="n">
        <v>23.1</v>
      </c>
      <c r="AP2206" s="13" t="n">
        <v>14</v>
      </c>
    </row>
    <row r="2207">
      <c r="A2207" s="5" t="inlineStr">
        <is>
          <t>박셀바이오</t>
        </is>
      </c>
      <c r="B2207" s="6" t="inlineStr">
        <is>
          <t>323990</t>
        </is>
      </c>
      <c r="C2207" s="6" t="inlineStr">
        <is>
          <t>별도</t>
        </is>
      </c>
      <c r="D2207" s="6" t="inlineStr">
        <is>
          <t>2026Q2</t>
        </is>
      </c>
      <c r="E2207" s="6" t="inlineStr"/>
      <c r="F2207" s="7" t="inlineStr"/>
      <c r="G2207" s="8" t="inlineStr"/>
      <c r="H2207" s="8" t="inlineStr"/>
      <c r="I2207" s="9" t="n">
        <v>27</v>
      </c>
      <c r="J2207" s="10" t="n">
        <v>-3242</v>
      </c>
      <c r="K2207" s="10" t="n">
        <v>-2450</v>
      </c>
      <c r="L2207" s="7" t="n">
        <v>29</v>
      </c>
      <c r="M2207" s="8" t="n">
        <v>-3914</v>
      </c>
      <c r="N2207" s="8" t="n">
        <v>-2445</v>
      </c>
      <c r="O2207" s="9" t="n">
        <v>483</v>
      </c>
      <c r="P2207" s="10" t="n">
        <v>-3530</v>
      </c>
      <c r="Q2207" s="10" t="n">
        <v>-2409</v>
      </c>
      <c r="R2207" s="7" t="n">
        <v>1360</v>
      </c>
      <c r="S2207" s="8" t="n">
        <v>-4352</v>
      </c>
      <c r="T2207" s="8" t="n">
        <v>-3320</v>
      </c>
      <c r="U2207" s="9" t="n">
        <v>1719</v>
      </c>
      <c r="V2207" s="10" t="n">
        <v>-4305</v>
      </c>
      <c r="W2207" s="10" t="n">
        <v>-2616</v>
      </c>
      <c r="X2207" s="7" t="n">
        <v>1986</v>
      </c>
      <c r="Y2207" s="8" t="n">
        <v>-4105</v>
      </c>
      <c r="Z2207" s="8" t="n">
        <v>-3822</v>
      </c>
      <c r="AA2207" s="9" t="n">
        <v>1654</v>
      </c>
      <c r="AB2207" s="10" t="n">
        <v>-3443</v>
      </c>
      <c r="AC2207" s="10" t="n">
        <v>-2683</v>
      </c>
      <c r="AD2207" s="7" t="n">
        <v>1697</v>
      </c>
      <c r="AE2207" s="8" t="n">
        <v>-3645</v>
      </c>
      <c r="AF2207" s="8" t="n">
        <v>-4219</v>
      </c>
      <c r="AG2207" s="9" t="n">
        <v>1536</v>
      </c>
      <c r="AH2207" s="10" t="n">
        <v>-4625</v>
      </c>
      <c r="AI2207" s="10" t="n">
        <v>-3969</v>
      </c>
      <c r="AJ2207" s="11" t="n">
        <v>1625</v>
      </c>
      <c r="AK2207" s="12" t="n">
        <v>-5025</v>
      </c>
      <c r="AL2207" s="12" t="n">
        <v>-4046</v>
      </c>
      <c r="AM2207" s="13" t="n">
        <v>5.8</v>
      </c>
      <c r="AN2207" s="13" t="n">
        <v>-18.2</v>
      </c>
      <c r="AO2207" s="13" t="n">
        <v>-8.6</v>
      </c>
      <c r="AP2207" s="13" t="n">
        <v>-22.4</v>
      </c>
    </row>
    <row r="2208">
      <c r="A2208" s="5" t="inlineStr">
        <is>
          <t>에스케이바이오팜</t>
        </is>
      </c>
      <c r="B2208" s="6" t="inlineStr">
        <is>
          <t>326030</t>
        </is>
      </c>
      <c r="C2208" s="6" t="inlineStr">
        <is>
          <t>연결</t>
        </is>
      </c>
      <c r="D2208" s="6" t="inlineStr">
        <is>
          <t>2026Q2</t>
        </is>
      </c>
      <c r="E2208" s="6" t="inlineStr">
        <is>
          <t>2023Q4</t>
        </is>
      </c>
      <c r="F2208" s="14" t="n">
        <v>126756</v>
      </c>
      <c r="G2208" s="15" t="n">
        <v>15214</v>
      </c>
      <c r="H2208" s="15" t="n">
        <v>7810</v>
      </c>
      <c r="I2208" s="9" t="n">
        <v>113975</v>
      </c>
      <c r="J2208" s="10" t="n">
        <v>10296</v>
      </c>
      <c r="K2208" s="10" t="n">
        <v>9698</v>
      </c>
      <c r="L2208" s="7" t="n">
        <v>133995</v>
      </c>
      <c r="M2208" s="8" t="n">
        <v>26046</v>
      </c>
      <c r="N2208" s="8" t="n">
        <v>24558</v>
      </c>
      <c r="O2208" s="9" t="n">
        <v>136602</v>
      </c>
      <c r="P2208" s="10" t="n">
        <v>19344</v>
      </c>
      <c r="Q2208" s="10" t="n">
        <v>6308</v>
      </c>
      <c r="R2208" s="7" t="n">
        <v>163024</v>
      </c>
      <c r="S2208" s="8" t="n">
        <v>40654</v>
      </c>
      <c r="T2208" s="8" t="n">
        <v>186409</v>
      </c>
      <c r="U2208" s="9" t="n">
        <v>144377</v>
      </c>
      <c r="V2208" s="10" t="n">
        <v>25672</v>
      </c>
      <c r="W2208" s="10" t="n">
        <v>19623</v>
      </c>
      <c r="X2208" s="7" t="n">
        <v>176277</v>
      </c>
      <c r="Y2208" s="8" t="n">
        <v>61883</v>
      </c>
      <c r="Z2208" s="8" t="n">
        <v>29524</v>
      </c>
      <c r="AA2208" s="9" t="n">
        <v>191727</v>
      </c>
      <c r="AB2208" s="10" t="n">
        <v>70106</v>
      </c>
      <c r="AC2208" s="10" t="n">
        <v>71367</v>
      </c>
      <c r="AD2208" s="7" t="n">
        <v>194360</v>
      </c>
      <c r="AE2208" s="8" t="n">
        <v>46277</v>
      </c>
      <c r="AF2208" s="8" t="n">
        <v>132740</v>
      </c>
      <c r="AG2208" s="9" t="n">
        <v>227886</v>
      </c>
      <c r="AH2208" s="10" t="n">
        <v>89768</v>
      </c>
      <c r="AI2208" s="10" t="n">
        <v>102734</v>
      </c>
      <c r="AJ2208" s="11" t="n">
        <v>247367</v>
      </c>
      <c r="AK2208" s="12" t="n">
        <v>97064</v>
      </c>
      <c r="AL2208" s="12" t="n">
        <v>85065</v>
      </c>
      <c r="AM2208" s="13" t="n">
        <v>8.5</v>
      </c>
      <c r="AN2208" s="13" t="n">
        <v>40.3</v>
      </c>
      <c r="AO2208" s="13" t="n">
        <v>8.1</v>
      </c>
      <c r="AP2208" s="13" t="n">
        <v>56.9</v>
      </c>
    </row>
    <row r="2209">
      <c r="A2209" s="5" t="inlineStr">
        <is>
          <t>RF머트리얼즈</t>
        </is>
      </c>
      <c r="B2209" s="6" t="inlineStr">
        <is>
          <t>327260</t>
        </is>
      </c>
      <c r="C2209" s="6" t="inlineStr">
        <is>
          <t>연결</t>
        </is>
      </c>
      <c r="D2209" s="6" t="inlineStr">
        <is>
          <t>2026Q2</t>
        </is>
      </c>
      <c r="E2209" s="6" t="inlineStr">
        <is>
          <t>2023Q4</t>
        </is>
      </c>
      <c r="F2209" s="14" t="n">
        <v>13721</v>
      </c>
      <c r="G2209" s="15" t="n">
        <v>712</v>
      </c>
      <c r="H2209" s="15" t="n">
        <v>706</v>
      </c>
      <c r="I2209" s="9" t="n">
        <v>10527</v>
      </c>
      <c r="J2209" s="10" t="n">
        <v>-260</v>
      </c>
      <c r="K2209" s="10" t="n">
        <v>-27</v>
      </c>
      <c r="L2209" s="7" t="n">
        <v>11386</v>
      </c>
      <c r="M2209" s="8" t="n">
        <v>-602</v>
      </c>
      <c r="N2209" s="8" t="n">
        <v>-509</v>
      </c>
      <c r="O2209" s="9" t="n">
        <v>7710</v>
      </c>
      <c r="P2209" s="10" t="n">
        <v>-1006</v>
      </c>
      <c r="Q2209" s="10" t="n">
        <v>-869</v>
      </c>
      <c r="R2209" s="7" t="n">
        <v>14874</v>
      </c>
      <c r="S2209" s="8" t="n">
        <v>415</v>
      </c>
      <c r="T2209" s="8" t="n">
        <v>-6178</v>
      </c>
      <c r="U2209" s="9" t="n">
        <v>11806</v>
      </c>
      <c r="V2209" s="10" t="n">
        <v>837</v>
      </c>
      <c r="W2209" s="10" t="n">
        <v>564</v>
      </c>
      <c r="X2209" s="7" t="n">
        <v>16563</v>
      </c>
      <c r="Y2209" s="8" t="n">
        <v>1873</v>
      </c>
      <c r="Z2209" s="8" t="n">
        <v>2172</v>
      </c>
      <c r="AA2209" s="9" t="n">
        <v>14589</v>
      </c>
      <c r="AB2209" s="10" t="n">
        <v>1891</v>
      </c>
      <c r="AC2209" s="10" t="n">
        <v>2317</v>
      </c>
      <c r="AD2209" s="7" t="n">
        <v>21126</v>
      </c>
      <c r="AE2209" s="8" t="n">
        <v>2769</v>
      </c>
      <c r="AF2209" s="8" t="n">
        <v>5324</v>
      </c>
      <c r="AG2209" s="9" t="n">
        <v>20024</v>
      </c>
      <c r="AH2209" s="10" t="n">
        <v>3196</v>
      </c>
      <c r="AI2209" s="10" t="n">
        <v>3381</v>
      </c>
      <c r="AJ2209" s="11" t="n">
        <v>25060</v>
      </c>
      <c r="AK2209" s="12" t="n">
        <v>5290</v>
      </c>
      <c r="AL2209" s="12" t="n">
        <v>5235</v>
      </c>
      <c r="AM2209" s="13" t="n">
        <v>25.1</v>
      </c>
      <c r="AN2209" s="13" t="n">
        <v>51.3</v>
      </c>
      <c r="AO2209" s="13" t="n">
        <v>65.5</v>
      </c>
      <c r="AP2209" s="13" t="n">
        <v>182.4</v>
      </c>
    </row>
    <row r="2210">
      <c r="A2210" s="5" t="inlineStr">
        <is>
          <t>루닛</t>
        </is>
      </c>
      <c r="B2210" s="6" t="inlineStr">
        <is>
          <t>328130</t>
        </is>
      </c>
      <c r="C2210" s="6" t="inlineStr">
        <is>
          <t>연결</t>
        </is>
      </c>
      <c r="D2210" s="6" t="inlineStr">
        <is>
          <t>2026Q2</t>
        </is>
      </c>
      <c r="E2210" s="6" t="inlineStr"/>
      <c r="F2210" s="7" t="inlineStr"/>
      <c r="G2210" s="8" t="inlineStr"/>
      <c r="H2210" s="8" t="inlineStr"/>
      <c r="I2210" s="9" t="n">
        <v>5140</v>
      </c>
      <c r="J2210" s="10" t="n">
        <v>-12802</v>
      </c>
      <c r="K2210" s="10" t="n">
        <v>-11311</v>
      </c>
      <c r="L2210" s="7" t="n">
        <v>12230</v>
      </c>
      <c r="M2210" s="8" t="n">
        <v>-19944</v>
      </c>
      <c r="N2210" s="8" t="n">
        <v>13971</v>
      </c>
      <c r="O2210" s="9" t="n">
        <v>16770</v>
      </c>
      <c r="P2210" s="10" t="n">
        <v>-16434</v>
      </c>
      <c r="Q2210" s="10" t="n">
        <v>-11647</v>
      </c>
      <c r="R2210" s="7" t="n">
        <v>20040</v>
      </c>
      <c r="S2210" s="8" t="n">
        <v>-18493</v>
      </c>
      <c r="T2210" s="8" t="n">
        <v>-73434</v>
      </c>
      <c r="U2210" s="9" t="n">
        <v>19203</v>
      </c>
      <c r="V2210" s="10" t="n">
        <v>-20666</v>
      </c>
      <c r="W2210" s="10" t="n">
        <v>2027</v>
      </c>
      <c r="X2210" s="7" t="n">
        <v>17875</v>
      </c>
      <c r="Y2210" s="8" t="n">
        <v>-21109</v>
      </c>
      <c r="Z2210" s="8" t="n">
        <v>-34960</v>
      </c>
      <c r="AA2210" s="9" t="n">
        <v>19576</v>
      </c>
      <c r="AB2210" s="10" t="n">
        <v>-21556</v>
      </c>
      <c r="AC2210" s="10" t="n">
        <v>18125</v>
      </c>
      <c r="AD2210" s="7" t="n">
        <v>26475</v>
      </c>
      <c r="AE2210" s="8" t="n">
        <v>-19773</v>
      </c>
      <c r="AF2210" s="8" t="n">
        <v>-32582</v>
      </c>
      <c r="AG2210" s="9" t="n">
        <v>23952</v>
      </c>
      <c r="AH2210" s="10" t="n">
        <v>-13593</v>
      </c>
      <c r="AI2210" s="10" t="n">
        <v>-17810</v>
      </c>
      <c r="AJ2210" s="11" t="n">
        <v>21814</v>
      </c>
      <c r="AK2210" s="12" t="n">
        <v>-15369</v>
      </c>
      <c r="AL2210" s="12" t="n">
        <v>-23557</v>
      </c>
      <c r="AM2210" s="13" t="n">
        <v>-8.9</v>
      </c>
      <c r="AN2210" s="13" t="n">
        <v>22</v>
      </c>
      <c r="AO2210" s="13" t="n">
        <v>-13.1</v>
      </c>
      <c r="AP2210" s="13" t="n">
        <v>27.2</v>
      </c>
    </row>
    <row r="2211">
      <c r="A2211" s="5" t="inlineStr">
        <is>
          <t>솔트웨어</t>
        </is>
      </c>
      <c r="B2211" s="6" t="inlineStr">
        <is>
          <t>328380</t>
        </is>
      </c>
      <c r="C2211" s="6" t="inlineStr">
        <is>
          <t>연결</t>
        </is>
      </c>
      <c r="D2211" s="6" t="inlineStr">
        <is>
          <t>2026Q2</t>
        </is>
      </c>
      <c r="E2211" s="6" t="inlineStr"/>
      <c r="F2211" s="7" t="inlineStr"/>
      <c r="G2211" s="8" t="inlineStr"/>
      <c r="H2211" s="8" t="inlineStr"/>
      <c r="I2211" s="9" t="n">
        <v>12004</v>
      </c>
      <c r="J2211" s="10" t="n">
        <v>-620</v>
      </c>
      <c r="K2211" s="10" t="n">
        <v>-409</v>
      </c>
      <c r="L2211" s="7" t="n">
        <v>15652</v>
      </c>
      <c r="M2211" s="8" t="n">
        <v>-17</v>
      </c>
      <c r="N2211" s="8" t="n">
        <v>71</v>
      </c>
      <c r="O2211" s="9" t="n">
        <v>15603</v>
      </c>
      <c r="P2211" s="10" t="n">
        <v>-83</v>
      </c>
      <c r="Q2211" s="10" t="n">
        <v>-39</v>
      </c>
      <c r="R2211" s="7" t="n">
        <v>14611</v>
      </c>
      <c r="S2211" s="8" t="n">
        <v>-989</v>
      </c>
      <c r="T2211" s="8" t="n">
        <v>259</v>
      </c>
      <c r="U2211" s="9" t="n">
        <v>16592</v>
      </c>
      <c r="V2211" s="10" t="n">
        <v>134</v>
      </c>
      <c r="W2211" s="10" t="n">
        <v>77</v>
      </c>
      <c r="X2211" s="7" t="n">
        <v>14353</v>
      </c>
      <c r="Y2211" s="8" t="n">
        <v>94</v>
      </c>
      <c r="Z2211" s="8" t="n">
        <v>-52</v>
      </c>
      <c r="AA2211" s="9" t="n">
        <v>16394</v>
      </c>
      <c r="AB2211" s="10" t="n">
        <v>-247</v>
      </c>
      <c r="AC2211" s="10" t="n">
        <v>-5</v>
      </c>
      <c r="AD2211" s="7" t="n">
        <v>16335</v>
      </c>
      <c r="AE2211" s="8" t="n">
        <v>585</v>
      </c>
      <c r="AF2211" s="8" t="n">
        <v>819</v>
      </c>
      <c r="AG2211" s="9" t="n">
        <v>18007</v>
      </c>
      <c r="AH2211" s="10" t="n">
        <v>-99</v>
      </c>
      <c r="AI2211" s="10" t="n">
        <v>-24</v>
      </c>
      <c r="AJ2211" s="11" t="n">
        <v>19904</v>
      </c>
      <c r="AK2211" s="12" t="n">
        <v>-798</v>
      </c>
      <c r="AL2211" s="12" t="n">
        <v>-509</v>
      </c>
      <c r="AM2211" s="13" t="n">
        <v>10.5</v>
      </c>
      <c r="AN2211" s="13" t="n">
        <v>38.7</v>
      </c>
      <c r="AO2211" s="13" t="n">
        <v>-706.1</v>
      </c>
      <c r="AP2211" s="13" t="n">
        <v>-948.9</v>
      </c>
    </row>
    <row r="2212">
      <c r="A2212" s="5" t="inlineStr">
        <is>
          <t>HD현대중공업</t>
        </is>
      </c>
      <c r="B2212" s="6" t="inlineStr">
        <is>
          <t>329180</t>
        </is>
      </c>
      <c r="C2212" s="6" t="inlineStr">
        <is>
          <t>연결</t>
        </is>
      </c>
      <c r="D2212" s="6" t="inlineStr">
        <is>
          <t>2026Q2</t>
        </is>
      </c>
      <c r="E2212" s="6" t="inlineStr">
        <is>
          <t>2023Q4</t>
        </is>
      </c>
      <c r="F2212" s="14" t="n">
        <v>3413100</v>
      </c>
      <c r="G2212" s="15" t="n">
        <v>138700</v>
      </c>
      <c r="H2212" s="15" t="n">
        <v>31000</v>
      </c>
      <c r="I2212" s="9" t="n">
        <v>2987745</v>
      </c>
      <c r="J2212" s="10" t="n">
        <v>21264</v>
      </c>
      <c r="K2212" s="10" t="n">
        <v>28624</v>
      </c>
      <c r="L2212" s="7" t="n">
        <v>3883983</v>
      </c>
      <c r="M2212" s="8" t="n">
        <v>195630</v>
      </c>
      <c r="N2212" s="8" t="n">
        <v>154110</v>
      </c>
      <c r="O2212" s="9" t="n">
        <v>3609176</v>
      </c>
      <c r="P2212" s="10" t="n">
        <v>206145</v>
      </c>
      <c r="Q2212" s="10" t="n">
        <v>72198</v>
      </c>
      <c r="R2212" s="7" t="n">
        <v>4005550</v>
      </c>
      <c r="S2212" s="8" t="n">
        <v>282184</v>
      </c>
      <c r="T2212" s="8" t="n">
        <v>366577</v>
      </c>
      <c r="U2212" s="9" t="n">
        <v>3822516</v>
      </c>
      <c r="V2212" s="10" t="n">
        <v>433734</v>
      </c>
      <c r="W2212" s="10" t="n">
        <v>284230</v>
      </c>
      <c r="X2212" s="7" t="n">
        <v>4147125</v>
      </c>
      <c r="Y2212" s="8" t="n">
        <v>471456</v>
      </c>
      <c r="Z2212" s="8" t="n">
        <v>210911</v>
      </c>
      <c r="AA2212" s="9" t="n">
        <v>4417898</v>
      </c>
      <c r="AB2212" s="10" t="n">
        <v>557285</v>
      </c>
      <c r="AC2212" s="10" t="n">
        <v>430790</v>
      </c>
      <c r="AD2212" s="7" t="n">
        <v>5193094</v>
      </c>
      <c r="AE2212" s="8" t="n">
        <v>575035</v>
      </c>
      <c r="AF2212" s="8" t="n">
        <v>489554</v>
      </c>
      <c r="AG2212" s="9" t="n">
        <v>5916332</v>
      </c>
      <c r="AH2212" s="10" t="n">
        <v>905386</v>
      </c>
      <c r="AI2212" s="10" t="n">
        <v>773812</v>
      </c>
      <c r="AJ2212" s="11" t="n">
        <v>6332155</v>
      </c>
      <c r="AK2212" s="12" t="n">
        <v>1039938</v>
      </c>
      <c r="AL2212" s="12" t="n">
        <v>822143</v>
      </c>
      <c r="AM2212" s="13" t="n">
        <v>7</v>
      </c>
      <c r="AN2212" s="13" t="n">
        <v>52.7</v>
      </c>
      <c r="AO2212" s="13" t="n">
        <v>14.9</v>
      </c>
      <c r="AP2212" s="13" t="n">
        <v>120.6</v>
      </c>
    </row>
    <row r="2213">
      <c r="A2213" s="5" t="inlineStr">
        <is>
          <t>위더스제약</t>
        </is>
      </c>
      <c r="B2213" s="6" t="inlineStr">
        <is>
          <t>330350</t>
        </is>
      </c>
      <c r="C2213" s="6" t="inlineStr">
        <is>
          <t>별도</t>
        </is>
      </c>
      <c r="D2213" s="6" t="inlineStr">
        <is>
          <t>2026Q2</t>
        </is>
      </c>
      <c r="E2213" s="6" t="inlineStr"/>
      <c r="F2213" s="7" t="inlineStr"/>
      <c r="G2213" s="8" t="inlineStr"/>
      <c r="H2213" s="8" t="inlineStr"/>
      <c r="I2213" s="9" t="n">
        <v>25984</v>
      </c>
      <c r="J2213" s="10" t="n">
        <v>2901</v>
      </c>
      <c r="K2213" s="10" t="n">
        <v>2019</v>
      </c>
      <c r="L2213" s="7" t="n">
        <v>26258</v>
      </c>
      <c r="M2213" s="8" t="n">
        <v>185</v>
      </c>
      <c r="N2213" s="8" t="n">
        <v>-272</v>
      </c>
      <c r="O2213" s="9" t="n">
        <v>27637</v>
      </c>
      <c r="P2213" s="10" t="n">
        <v>2011</v>
      </c>
      <c r="Q2213" s="10" t="n">
        <v>1863</v>
      </c>
      <c r="R2213" s="7" t="n">
        <v>22843</v>
      </c>
      <c r="S2213" s="8" t="n">
        <v>564</v>
      </c>
      <c r="T2213" s="8" t="n">
        <v>1175</v>
      </c>
      <c r="U2213" s="9" t="n">
        <v>25769</v>
      </c>
      <c r="V2213" s="10" t="n">
        <v>2079</v>
      </c>
      <c r="W2213" s="10" t="n">
        <v>1647</v>
      </c>
      <c r="X2213" s="7" t="n">
        <v>26245</v>
      </c>
      <c r="Y2213" s="8" t="n">
        <v>831</v>
      </c>
      <c r="Z2213" s="8" t="n">
        <v>1296</v>
      </c>
      <c r="AA2213" s="9" t="n">
        <v>27250</v>
      </c>
      <c r="AB2213" s="10" t="n">
        <v>1371</v>
      </c>
      <c r="AC2213" s="10" t="n">
        <v>2145</v>
      </c>
      <c r="AD2213" s="7" t="n">
        <v>27180</v>
      </c>
      <c r="AE2213" s="8" t="n">
        <v>1382</v>
      </c>
      <c r="AF2213" s="8" t="n">
        <v>-121</v>
      </c>
      <c r="AG2213" s="9" t="n">
        <v>28217</v>
      </c>
      <c r="AH2213" s="10" t="n">
        <v>244</v>
      </c>
      <c r="AI2213" s="10" t="n">
        <v>3972</v>
      </c>
      <c r="AJ2213" s="11" t="n">
        <v>29072</v>
      </c>
      <c r="AK2213" s="12" t="n">
        <v>1077</v>
      </c>
      <c r="AL2213" s="12" t="n">
        <v>1968</v>
      </c>
      <c r="AM2213" s="13" t="n">
        <v>3</v>
      </c>
      <c r="AN2213" s="13" t="n">
        <v>10.8</v>
      </c>
      <c r="AO2213" s="13" t="n">
        <v>341.4</v>
      </c>
      <c r="AP2213" s="13" t="n">
        <v>29.6</v>
      </c>
    </row>
    <row r="2214">
      <c r="A2214" s="5" t="inlineStr">
        <is>
          <t>롯데리츠</t>
        </is>
      </c>
      <c r="B2214" s="6" t="inlineStr">
        <is>
          <t>330590</t>
        </is>
      </c>
      <c r="C2214" s="6" t="inlineStr">
        <is>
          <t>별도</t>
        </is>
      </c>
      <c r="D2214" s="6" t="inlineStr">
        <is>
          <t>2026Q2</t>
        </is>
      </c>
      <c r="E2214" s="6" t="inlineStr"/>
      <c r="F2214" s="7" t="inlineStr"/>
      <c r="G2214" s="8" t="inlineStr"/>
      <c r="H2214" s="8" t="inlineStr"/>
      <c r="I2214" s="9" t="inlineStr"/>
      <c r="J2214" s="10" t="inlineStr"/>
      <c r="K2214" s="10" t="inlineStr"/>
      <c r="L2214" s="7" t="n">
        <v>30872</v>
      </c>
      <c r="M2214" s="8" t="n">
        <v>19529</v>
      </c>
      <c r="N2214" s="8" t="n">
        <v>4535</v>
      </c>
      <c r="O2214" s="9" t="inlineStr"/>
      <c r="P2214" s="10" t="inlineStr"/>
      <c r="Q2214" s="10" t="inlineStr"/>
      <c r="R2214" s="7" t="inlineStr"/>
      <c r="S2214" s="8" t="inlineStr"/>
      <c r="T2214" s="8" t="inlineStr"/>
      <c r="U2214" s="9" t="inlineStr"/>
      <c r="V2214" s="10" t="inlineStr"/>
      <c r="W2214" s="10" t="inlineStr"/>
      <c r="X2214" s="7" t="n">
        <v>35267</v>
      </c>
      <c r="Y2214" s="8" t="n">
        <v>23046</v>
      </c>
      <c r="Z2214" s="8" t="n">
        <v>9708</v>
      </c>
      <c r="AA2214" s="9" t="inlineStr"/>
      <c r="AB2214" s="10" t="inlineStr"/>
      <c r="AC2214" s="10" t="inlineStr"/>
      <c r="AD2214" s="7" t="inlineStr"/>
      <c r="AE2214" s="8" t="inlineStr"/>
      <c r="AF2214" s="8" t="inlineStr"/>
      <c r="AG2214" s="9" t="inlineStr"/>
      <c r="AH2214" s="10" t="inlineStr"/>
      <c r="AI2214" s="10" t="inlineStr"/>
      <c r="AJ2214" s="11" t="n">
        <v>38934</v>
      </c>
      <c r="AK2214" s="12" t="n">
        <v>26063</v>
      </c>
      <c r="AL2214" s="12" t="n">
        <v>10571</v>
      </c>
      <c r="AM2214" s="13" t="inlineStr"/>
      <c r="AN2214" s="13" t="n">
        <v>10.4</v>
      </c>
      <c r="AO2214" s="13" t="inlineStr"/>
      <c r="AP2214" s="13" t="n">
        <v>13.1</v>
      </c>
    </row>
    <row r="2215">
      <c r="A2215" s="5" t="inlineStr">
        <is>
          <t>스톤브릿지벤처스</t>
        </is>
      </c>
      <c r="B2215" s="6" t="inlineStr">
        <is>
          <t>330730</t>
        </is>
      </c>
      <c r="C2215" s="6" t="inlineStr">
        <is>
          <t>별도</t>
        </is>
      </c>
      <c r="D2215" s="6" t="inlineStr">
        <is>
          <t>2026Q2</t>
        </is>
      </c>
      <c r="E2215" s="6" t="inlineStr"/>
      <c r="F2215" s="7" t="inlineStr"/>
      <c r="G2215" s="8" t="inlineStr"/>
      <c r="H2215" s="8" t="inlineStr"/>
      <c r="I2215" s="9" t="n">
        <v>3815</v>
      </c>
      <c r="J2215" s="10" t="n">
        <v>1278</v>
      </c>
      <c r="K2215" s="10" t="n">
        <v>826</v>
      </c>
      <c r="L2215" s="7" t="n">
        <v>7747</v>
      </c>
      <c r="M2215" s="8" t="n">
        <v>3667</v>
      </c>
      <c r="N2215" s="8" t="n">
        <v>2855</v>
      </c>
      <c r="O2215" s="9" t="n">
        <v>3611</v>
      </c>
      <c r="P2215" s="10" t="n">
        <v>592</v>
      </c>
      <c r="Q2215" s="10" t="n">
        <v>332</v>
      </c>
      <c r="R2215" s="7" t="n">
        <v>-998</v>
      </c>
      <c r="S2215" s="8" t="n">
        <v>-2163</v>
      </c>
      <c r="T2215" s="8" t="n">
        <v>-1715</v>
      </c>
      <c r="U2215" s="9" t="n">
        <v>3638</v>
      </c>
      <c r="V2215" s="10" t="n">
        <v>31</v>
      </c>
      <c r="W2215" s="10" t="n">
        <v>235</v>
      </c>
      <c r="X2215" s="7" t="n">
        <v>5111</v>
      </c>
      <c r="Y2215" s="8" t="n">
        <v>2265</v>
      </c>
      <c r="Z2215" s="8" t="n">
        <v>1507</v>
      </c>
      <c r="AA2215" s="9" t="n">
        <v>5688</v>
      </c>
      <c r="AB2215" s="10" t="n">
        <v>2650</v>
      </c>
      <c r="AC2215" s="10" t="n">
        <v>2203</v>
      </c>
      <c r="AD2215" s="7" t="n">
        <v>11112</v>
      </c>
      <c r="AE2215" s="8" t="n">
        <v>8515</v>
      </c>
      <c r="AF2215" s="8" t="n">
        <v>7167</v>
      </c>
      <c r="AG2215" s="9" t="n">
        <v>19631</v>
      </c>
      <c r="AH2215" s="10" t="n">
        <v>15235</v>
      </c>
      <c r="AI2215" s="10" t="n">
        <v>13435</v>
      </c>
      <c r="AJ2215" s="11" t="n">
        <v>15995</v>
      </c>
      <c r="AK2215" s="12" t="n">
        <v>1726</v>
      </c>
      <c r="AL2215" s="12" t="n">
        <v>584</v>
      </c>
      <c r="AM2215" s="13" t="n">
        <v>-18.5</v>
      </c>
      <c r="AN2215" s="13" t="n">
        <v>213</v>
      </c>
      <c r="AO2215" s="13" t="n">
        <v>-88.7</v>
      </c>
      <c r="AP2215" s="13" t="n">
        <v>-23.8</v>
      </c>
    </row>
    <row r="2216">
      <c r="A2216" s="5" t="inlineStr">
        <is>
          <t>네패스아크</t>
        </is>
      </c>
      <c r="B2216" s="6" t="inlineStr">
        <is>
          <t>330860</t>
        </is>
      </c>
      <c r="C2216" s="6" t="inlineStr">
        <is>
          <t>별도</t>
        </is>
      </c>
      <c r="D2216" s="6" t="inlineStr">
        <is>
          <t>2026Q2</t>
        </is>
      </c>
      <c r="E2216" s="6" t="inlineStr"/>
      <c r="F2216" s="7" t="inlineStr"/>
      <c r="G2216" s="8" t="inlineStr"/>
      <c r="H2216" s="8" t="inlineStr"/>
      <c r="I2216" s="9" t="n">
        <v>33132</v>
      </c>
      <c r="J2216" s="10" t="n">
        <v>422</v>
      </c>
      <c r="K2216" s="10" t="n">
        <v>-290</v>
      </c>
      <c r="L2216" s="7" t="n">
        <v>34012</v>
      </c>
      <c r="M2216" s="8" t="n">
        <v>-997</v>
      </c>
      <c r="N2216" s="8" t="n">
        <v>-13677</v>
      </c>
      <c r="O2216" s="9" t="n">
        <v>26460</v>
      </c>
      <c r="P2216" s="10" t="n">
        <v>-5716</v>
      </c>
      <c r="Q2216" s="10" t="n">
        <v>-6073</v>
      </c>
      <c r="R2216" s="7" t="n">
        <v>25658</v>
      </c>
      <c r="S2216" s="8" t="n">
        <v>3657</v>
      </c>
      <c r="T2216" s="8" t="n">
        <v>-8645</v>
      </c>
      <c r="U2216" s="9" t="n">
        <v>28986</v>
      </c>
      <c r="V2216" s="10" t="n">
        <v>-824</v>
      </c>
      <c r="W2216" s="10" t="n">
        <v>-1194</v>
      </c>
      <c r="X2216" s="7" t="n">
        <v>32543</v>
      </c>
      <c r="Y2216" s="8" t="n">
        <v>4567</v>
      </c>
      <c r="Z2216" s="8" t="n">
        <v>1641</v>
      </c>
      <c r="AA2216" s="9" t="n">
        <v>27733</v>
      </c>
      <c r="AB2216" s="10" t="n">
        <v>1056</v>
      </c>
      <c r="AC2216" s="10" t="n">
        <v>-605</v>
      </c>
      <c r="AD2216" s="7" t="n">
        <v>24828</v>
      </c>
      <c r="AE2216" s="8" t="n">
        <v>-43</v>
      </c>
      <c r="AF2216" s="8" t="n">
        <v>3574</v>
      </c>
      <c r="AG2216" s="9" t="n">
        <v>29944</v>
      </c>
      <c r="AH2216" s="10" t="n">
        <v>5012</v>
      </c>
      <c r="AI2216" s="10" t="n">
        <v>2634</v>
      </c>
      <c r="AJ2216" s="11" t="n">
        <v>30932</v>
      </c>
      <c r="AK2216" s="12" t="n">
        <v>5102</v>
      </c>
      <c r="AL2216" s="12" t="n">
        <v>9351</v>
      </c>
      <c r="AM2216" s="13" t="n">
        <v>3.3</v>
      </c>
      <c r="AN2216" s="13" t="n">
        <v>-5</v>
      </c>
      <c r="AO2216" s="13" t="n">
        <v>1.8</v>
      </c>
      <c r="AP2216" s="13" t="n">
        <v>11.7</v>
      </c>
    </row>
    <row r="2217">
      <c r="A2217" s="5" t="inlineStr">
        <is>
          <t>포커스에이아이</t>
        </is>
      </c>
      <c r="B2217" s="6" t="inlineStr">
        <is>
          <t>331380</t>
        </is>
      </c>
      <c r="C2217" s="6" t="inlineStr">
        <is>
          <t>별도</t>
        </is>
      </c>
      <c r="D2217" s="6" t="inlineStr">
        <is>
          <t>2026Q2</t>
        </is>
      </c>
      <c r="E2217" s="6" t="inlineStr"/>
      <c r="F2217" s="7" t="inlineStr"/>
      <c r="G2217" s="8" t="inlineStr"/>
      <c r="H2217" s="8" t="inlineStr"/>
      <c r="I2217" s="9" t="n">
        <v>11248</v>
      </c>
      <c r="J2217" s="10" t="n">
        <v>-1312</v>
      </c>
      <c r="K2217" s="10" t="n">
        <v>-1274</v>
      </c>
      <c r="L2217" s="7" t="n">
        <v>14089</v>
      </c>
      <c r="M2217" s="8" t="n">
        <v>-440</v>
      </c>
      <c r="N2217" s="8" t="n">
        <v>-488</v>
      </c>
      <c r="O2217" s="9" t="n">
        <v>15780</v>
      </c>
      <c r="P2217" s="10" t="n">
        <v>-1786</v>
      </c>
      <c r="Q2217" s="10" t="n">
        <v>-3409</v>
      </c>
      <c r="R2217" s="7" t="n">
        <v>17067</v>
      </c>
      <c r="S2217" s="8" t="n">
        <v>-1550</v>
      </c>
      <c r="T2217" s="8" t="n">
        <v>-5845</v>
      </c>
      <c r="U2217" s="9" t="n">
        <v>9675</v>
      </c>
      <c r="V2217" s="10" t="n">
        <v>-2378</v>
      </c>
      <c r="W2217" s="10" t="n">
        <v>-3061</v>
      </c>
      <c r="X2217" s="7" t="n">
        <v>11279</v>
      </c>
      <c r="Y2217" s="8" t="n">
        <v>-3693</v>
      </c>
      <c r="Z2217" s="8" t="n">
        <v>-1040</v>
      </c>
      <c r="AA2217" s="9" t="n">
        <v>13545</v>
      </c>
      <c r="AB2217" s="10" t="n">
        <v>-1340</v>
      </c>
      <c r="AC2217" s="10" t="n">
        <v>-2892</v>
      </c>
      <c r="AD2217" s="7" t="n">
        <v>10809</v>
      </c>
      <c r="AE2217" s="8" t="n">
        <v>-2792</v>
      </c>
      <c r="AF2217" s="8" t="n">
        <v>-3269</v>
      </c>
      <c r="AG2217" s="9" t="n">
        <v>8114</v>
      </c>
      <c r="AH2217" s="10" t="n">
        <v>-2637</v>
      </c>
      <c r="AI2217" s="10" t="n">
        <v>-3323</v>
      </c>
      <c r="AJ2217" s="11" t="n">
        <v>10599</v>
      </c>
      <c r="AK2217" s="12" t="n">
        <v>-1166</v>
      </c>
      <c r="AL2217" s="12" t="n">
        <v>-2508</v>
      </c>
      <c r="AM2217" s="13" t="n">
        <v>30.6</v>
      </c>
      <c r="AN2217" s="13" t="n">
        <v>-6</v>
      </c>
      <c r="AO2217" s="13" t="n">
        <v>55.8</v>
      </c>
      <c r="AP2217" s="13" t="n">
        <v>68.40000000000001</v>
      </c>
    </row>
    <row r="2218">
      <c r="A2218" s="5" t="inlineStr">
        <is>
          <t>밸로프</t>
        </is>
      </c>
      <c r="B2218" s="6" t="inlineStr">
        <is>
          <t>331520</t>
        </is>
      </c>
      <c r="C2218" s="6" t="inlineStr">
        <is>
          <t>연결</t>
        </is>
      </c>
      <c r="D2218" s="6" t="inlineStr">
        <is>
          <t>2026Q2</t>
        </is>
      </c>
      <c r="E2218" s="6" t="inlineStr"/>
      <c r="F2218" s="7" t="inlineStr"/>
      <c r="G2218" s="8" t="inlineStr"/>
      <c r="H2218" s="8" t="inlineStr"/>
      <c r="I2218" s="9" t="n">
        <v>8732</v>
      </c>
      <c r="J2218" s="10" t="n">
        <v>873</v>
      </c>
      <c r="K2218" s="10" t="n">
        <v>1506</v>
      </c>
      <c r="L2218" s="7" t="n">
        <v>9092</v>
      </c>
      <c r="M2218" s="8" t="n">
        <v>-358</v>
      </c>
      <c r="N2218" s="8" t="n">
        <v>761</v>
      </c>
      <c r="O2218" s="9" t="n">
        <v>8298</v>
      </c>
      <c r="P2218" s="10" t="n">
        <v>-1011</v>
      </c>
      <c r="Q2218" s="10" t="n">
        <v>-1695</v>
      </c>
      <c r="R2218" s="7" t="n">
        <v>9467</v>
      </c>
      <c r="S2218" s="8" t="n">
        <v>301</v>
      </c>
      <c r="T2218" s="8" t="n">
        <v>1142</v>
      </c>
      <c r="U2218" s="9" t="n">
        <v>8579</v>
      </c>
      <c r="V2218" s="10" t="n">
        <v>-408</v>
      </c>
      <c r="W2218" s="10" t="n">
        <v>-449</v>
      </c>
      <c r="X2218" s="7" t="n">
        <v>8902</v>
      </c>
      <c r="Y2218" s="8" t="n">
        <v>415</v>
      </c>
      <c r="Z2218" s="8" t="n">
        <v>-86</v>
      </c>
      <c r="AA2218" s="9" t="n">
        <v>8938</v>
      </c>
      <c r="AB2218" s="10" t="n">
        <v>1052</v>
      </c>
      <c r="AC2218" s="10" t="n">
        <v>1051</v>
      </c>
      <c r="AD2218" s="7" t="n">
        <v>11415</v>
      </c>
      <c r="AE2218" s="8" t="n">
        <v>1819</v>
      </c>
      <c r="AF2218" s="8" t="n">
        <v>1294</v>
      </c>
      <c r="AG2218" s="9" t="n">
        <v>10797</v>
      </c>
      <c r="AH2218" s="10" t="n">
        <v>975</v>
      </c>
      <c r="AI2218" s="10" t="n">
        <v>1025</v>
      </c>
      <c r="AJ2218" s="11" t="n">
        <v>12413</v>
      </c>
      <c r="AK2218" s="12" t="n">
        <v>1742</v>
      </c>
      <c r="AL2218" s="12" t="n">
        <v>1230</v>
      </c>
      <c r="AM2218" s="13" t="n">
        <v>15</v>
      </c>
      <c r="AN2218" s="13" t="n">
        <v>39.4</v>
      </c>
      <c r="AO2218" s="13" t="n">
        <v>78.7</v>
      </c>
      <c r="AP2218" s="13" t="n">
        <v>319.8</v>
      </c>
    </row>
    <row r="2219">
      <c r="A2219" s="5" t="inlineStr">
        <is>
          <t>아우토크립트</t>
        </is>
      </c>
      <c r="B2219" s="6" t="inlineStr">
        <is>
          <t>331740</t>
        </is>
      </c>
      <c r="C2219" s="6" t="inlineStr">
        <is>
          <t>연결</t>
        </is>
      </c>
      <c r="D2219" s="6" t="inlineStr">
        <is>
          <t>2026Q2</t>
        </is>
      </c>
      <c r="E2219" s="6" t="inlineStr"/>
      <c r="F2219" s="7" t="inlineStr"/>
      <c r="G2219" s="8" t="inlineStr"/>
      <c r="H2219" s="8" t="inlineStr"/>
      <c r="I2219" s="9" t="inlineStr"/>
      <c r="J2219" s="10" t="inlineStr"/>
      <c r="K2219" s="10" t="inlineStr"/>
      <c r="L2219" s="7" t="inlineStr"/>
      <c r="M2219" s="8" t="inlineStr"/>
      <c r="N2219" s="8" t="inlineStr"/>
      <c r="O2219" s="9" t="inlineStr"/>
      <c r="P2219" s="10" t="inlineStr"/>
      <c r="Q2219" s="10" t="inlineStr"/>
      <c r="R2219" s="7" t="inlineStr"/>
      <c r="S2219" s="8" t="inlineStr"/>
      <c r="T2219" s="8" t="inlineStr"/>
      <c r="U2219" s="9" t="inlineStr"/>
      <c r="V2219" s="10" t="inlineStr"/>
      <c r="W2219" s="10" t="inlineStr"/>
      <c r="X2219" s="7" t="n">
        <v>5433</v>
      </c>
      <c r="Y2219" s="8" t="n">
        <v>-3207</v>
      </c>
      <c r="Z2219" s="8" t="n">
        <v>-3521</v>
      </c>
      <c r="AA2219" s="9" t="n">
        <v>5828</v>
      </c>
      <c r="AB2219" s="10" t="n">
        <v>-4522</v>
      </c>
      <c r="AC2219" s="10" t="n">
        <v>-4556</v>
      </c>
      <c r="AD2219" s="7" t="inlineStr"/>
      <c r="AE2219" s="8" t="inlineStr"/>
      <c r="AF2219" s="8" t="inlineStr"/>
      <c r="AG2219" s="9" t="n">
        <v>5095</v>
      </c>
      <c r="AH2219" s="10" t="n">
        <v>-4653</v>
      </c>
      <c r="AI2219" s="10" t="n">
        <v>-4928</v>
      </c>
      <c r="AJ2219" s="11" t="n">
        <v>7465</v>
      </c>
      <c r="AK2219" s="12" t="n">
        <v>-793</v>
      </c>
      <c r="AL2219" s="12" t="n">
        <v>-106</v>
      </c>
      <c r="AM2219" s="13" t="n">
        <v>46.5</v>
      </c>
      <c r="AN2219" s="13" t="n">
        <v>37.4</v>
      </c>
      <c r="AO2219" s="13" t="n">
        <v>83</v>
      </c>
      <c r="AP2219" s="13" t="n">
        <v>75.3</v>
      </c>
    </row>
    <row r="2220">
      <c r="A2220" s="5" t="inlineStr">
        <is>
          <t>셀레믹스</t>
        </is>
      </c>
      <c r="B2220" s="6" t="inlineStr">
        <is>
          <t>331920</t>
        </is>
      </c>
      <c r="C2220" s="6" t="inlineStr">
        <is>
          <t>연결</t>
        </is>
      </c>
      <c r="D2220" s="6" t="inlineStr">
        <is>
          <t>2026Q2</t>
        </is>
      </c>
      <c r="E2220" s="6" t="inlineStr"/>
      <c r="F2220" s="7" t="inlineStr"/>
      <c r="G2220" s="8" t="inlineStr"/>
      <c r="H2220" s="8" t="inlineStr"/>
      <c r="I2220" s="9" t="n">
        <v>1841</v>
      </c>
      <c r="J2220" s="10" t="n">
        <v>-522</v>
      </c>
      <c r="K2220" s="10" t="n">
        <v>-381</v>
      </c>
      <c r="L2220" s="7" t="n">
        <v>1496</v>
      </c>
      <c r="M2220" s="8" t="n">
        <v>-757</v>
      </c>
      <c r="N2220" s="8" t="n">
        <v>12420</v>
      </c>
      <c r="O2220" s="9" t="n">
        <v>1359</v>
      </c>
      <c r="P2220" s="10" t="n">
        <v>-483</v>
      </c>
      <c r="Q2220" s="10" t="n">
        <v>9569</v>
      </c>
      <c r="R2220" s="7" t="n">
        <v>2023</v>
      </c>
      <c r="S2220" s="8" t="n">
        <v>-141</v>
      </c>
      <c r="T2220" s="8" t="n">
        <v>-9342</v>
      </c>
      <c r="U2220" s="9" t="n">
        <v>1723</v>
      </c>
      <c r="V2220" s="10" t="n">
        <v>-447</v>
      </c>
      <c r="W2220" s="10" t="n">
        <v>-2247</v>
      </c>
      <c r="X2220" s="7" t="n">
        <v>1125</v>
      </c>
      <c r="Y2220" s="8" t="n">
        <v>-1344</v>
      </c>
      <c r="Z2220" s="8" t="n">
        <v>-2887</v>
      </c>
      <c r="AA2220" s="9" t="n">
        <v>1261</v>
      </c>
      <c r="AB2220" s="10" t="n">
        <v>-1077</v>
      </c>
      <c r="AC2220" s="10" t="n">
        <v>-1525</v>
      </c>
      <c r="AD2220" s="7" t="n">
        <v>1659</v>
      </c>
      <c r="AE2220" s="8" t="n">
        <v>-456</v>
      </c>
      <c r="AF2220" s="8" t="n">
        <v>2623</v>
      </c>
      <c r="AG2220" s="9" t="n">
        <v>923</v>
      </c>
      <c r="AH2220" s="10" t="n">
        <v>-1426</v>
      </c>
      <c r="AI2220" s="10" t="n">
        <v>-6047</v>
      </c>
      <c r="AJ2220" s="11" t="n">
        <v>1376</v>
      </c>
      <c r="AK2220" s="12" t="n">
        <v>-924</v>
      </c>
      <c r="AL2220" s="12" t="n">
        <v>-5232</v>
      </c>
      <c r="AM2220" s="13" t="n">
        <v>49.1</v>
      </c>
      <c r="AN2220" s="13" t="n">
        <v>22.3</v>
      </c>
      <c r="AO2220" s="13" t="n">
        <v>35.2</v>
      </c>
      <c r="AP2220" s="13" t="n">
        <v>31.2</v>
      </c>
    </row>
    <row r="2221">
      <c r="A2221" s="5" t="inlineStr">
        <is>
          <t>누보</t>
        </is>
      </c>
      <c r="B2221" s="6" t="inlineStr">
        <is>
          <t>332290</t>
        </is>
      </c>
      <c r="C2221" s="6" t="inlineStr">
        <is>
          <t>연결</t>
        </is>
      </c>
      <c r="D2221" s="6" t="inlineStr">
        <is>
          <t>2026Q2</t>
        </is>
      </c>
      <c r="E2221" s="6" t="inlineStr"/>
      <c r="F2221" s="7" t="inlineStr"/>
      <c r="G2221" s="8" t="inlineStr"/>
      <c r="H2221" s="8" t="inlineStr"/>
      <c r="I2221" s="9" t="n">
        <v>20996</v>
      </c>
      <c r="J2221" s="10" t="n">
        <v>456</v>
      </c>
      <c r="K2221" s="10" t="n">
        <v>-206</v>
      </c>
      <c r="L2221" s="7" t="n">
        <v>32832</v>
      </c>
      <c r="M2221" s="8" t="n">
        <v>2400</v>
      </c>
      <c r="N2221" s="8" t="n">
        <v>2133</v>
      </c>
      <c r="O2221" s="9" t="n">
        <v>21155</v>
      </c>
      <c r="P2221" s="10" t="n">
        <v>-601</v>
      </c>
      <c r="Q2221" s="10" t="n">
        <v>-833</v>
      </c>
      <c r="R2221" s="7" t="n">
        <v>24039</v>
      </c>
      <c r="S2221" s="8" t="n">
        <v>1416</v>
      </c>
      <c r="T2221" s="8" t="n">
        <v>1939</v>
      </c>
      <c r="U2221" s="9" t="n">
        <v>20202</v>
      </c>
      <c r="V2221" s="10" t="n">
        <v>167</v>
      </c>
      <c r="W2221" s="10" t="n">
        <v>-340</v>
      </c>
      <c r="X2221" s="7" t="n">
        <v>35368</v>
      </c>
      <c r="Y2221" s="8" t="n">
        <v>3324</v>
      </c>
      <c r="Z2221" s="8" t="n">
        <v>765</v>
      </c>
      <c r="AA2221" s="9" t="n">
        <v>25060</v>
      </c>
      <c r="AB2221" s="10" t="n">
        <v>1659</v>
      </c>
      <c r="AC2221" s="10" t="n">
        <v>1169</v>
      </c>
      <c r="AD2221" s="7" t="n">
        <v>23553</v>
      </c>
      <c r="AE2221" s="8" t="n">
        <v>-1032</v>
      </c>
      <c r="AF2221" s="8" t="n">
        <v>-568</v>
      </c>
      <c r="AG2221" s="9" t="n">
        <v>31603</v>
      </c>
      <c r="AH2221" s="10" t="n">
        <v>1383</v>
      </c>
      <c r="AI2221" s="10" t="n">
        <v>1441</v>
      </c>
      <c r="AJ2221" s="11" t="n">
        <v>51664</v>
      </c>
      <c r="AK2221" s="12" t="n">
        <v>3416</v>
      </c>
      <c r="AL2221" s="12" t="n">
        <v>3499</v>
      </c>
      <c r="AM2221" s="13" t="n">
        <v>63.5</v>
      </c>
      <c r="AN2221" s="13" t="n">
        <v>46.1</v>
      </c>
      <c r="AO2221" s="13" t="n">
        <v>147</v>
      </c>
      <c r="AP2221" s="13" t="n">
        <v>2.8</v>
      </c>
    </row>
    <row r="2222">
      <c r="A2222" s="5" t="inlineStr">
        <is>
          <t>아이디피</t>
        </is>
      </c>
      <c r="B2222" s="6" t="inlineStr">
        <is>
          <t>332370</t>
        </is>
      </c>
      <c r="C2222" s="6" t="inlineStr">
        <is>
          <t>연결</t>
        </is>
      </c>
      <c r="D2222" s="6" t="inlineStr">
        <is>
          <t>2026Q2</t>
        </is>
      </c>
      <c r="E2222" s="6" t="inlineStr"/>
      <c r="F2222" s="7" t="inlineStr"/>
      <c r="G2222" s="8" t="inlineStr"/>
      <c r="H2222" s="8" t="inlineStr"/>
      <c r="I2222" s="9" t="n">
        <v>9149</v>
      </c>
      <c r="J2222" s="10" t="n">
        <v>1483</v>
      </c>
      <c r="K2222" s="10" t="n">
        <v>1854</v>
      </c>
      <c r="L2222" s="7" t="n">
        <v>12244</v>
      </c>
      <c r="M2222" s="8" t="n">
        <v>3365</v>
      </c>
      <c r="N2222" s="8" t="n">
        <v>3330</v>
      </c>
      <c r="O2222" s="9" t="n">
        <v>12488</v>
      </c>
      <c r="P2222" s="10" t="n">
        <v>3572</v>
      </c>
      <c r="Q2222" s="10" t="n">
        <v>2621</v>
      </c>
      <c r="R2222" s="7" t="n">
        <v>12645</v>
      </c>
      <c r="S2222" s="8" t="n">
        <v>2663</v>
      </c>
      <c r="T2222" s="8" t="n">
        <v>3710</v>
      </c>
      <c r="U2222" s="9" t="n">
        <v>9817</v>
      </c>
      <c r="V2222" s="10" t="n">
        <v>1746</v>
      </c>
      <c r="W2222" s="10" t="n">
        <v>1801</v>
      </c>
      <c r="X2222" s="7" t="n">
        <v>15497</v>
      </c>
      <c r="Y2222" s="8" t="n">
        <v>5668</v>
      </c>
      <c r="Z2222" s="8" t="n">
        <v>4172</v>
      </c>
      <c r="AA2222" s="9" t="n">
        <v>11092</v>
      </c>
      <c r="AB2222" s="10" t="n">
        <v>2256</v>
      </c>
      <c r="AC2222" s="10" t="n">
        <v>2509</v>
      </c>
      <c r="AD2222" s="7" t="n">
        <v>12677</v>
      </c>
      <c r="AE2222" s="8" t="n">
        <v>1206</v>
      </c>
      <c r="AF2222" s="8" t="n">
        <v>1833</v>
      </c>
      <c r="AG2222" s="9" t="n">
        <v>11147</v>
      </c>
      <c r="AH2222" s="10" t="n">
        <v>2283</v>
      </c>
      <c r="AI2222" s="10" t="n">
        <v>2895</v>
      </c>
      <c r="AJ2222" s="11" t="n">
        <v>11882</v>
      </c>
      <c r="AK2222" s="12" t="n">
        <v>2587</v>
      </c>
      <c r="AL2222" s="12" t="n">
        <v>2426</v>
      </c>
      <c r="AM2222" s="13" t="n">
        <v>6.6</v>
      </c>
      <c r="AN2222" s="13" t="n">
        <v>-23.3</v>
      </c>
      <c r="AO2222" s="13" t="n">
        <v>13.3</v>
      </c>
      <c r="AP2222" s="13" t="n">
        <v>-54.4</v>
      </c>
    </row>
    <row r="2223">
      <c r="A2223" s="5" t="inlineStr">
        <is>
          <t>PS일렉트로닉스</t>
        </is>
      </c>
      <c r="B2223" s="6" t="inlineStr">
        <is>
          <t>332570</t>
        </is>
      </c>
      <c r="C2223" s="6" t="inlineStr">
        <is>
          <t>연결</t>
        </is>
      </c>
      <c r="D2223" s="6" t="inlineStr">
        <is>
          <t>2026Q2</t>
        </is>
      </c>
      <c r="E2223" s="6" t="inlineStr"/>
      <c r="F2223" s="7" t="inlineStr"/>
      <c r="G2223" s="8" t="inlineStr"/>
      <c r="H2223" s="8" t="inlineStr"/>
      <c r="I2223" s="9" t="n">
        <v>31490</v>
      </c>
      <c r="J2223" s="10" t="n">
        <v>6158</v>
      </c>
      <c r="K2223" s="10" t="n">
        <v>1338</v>
      </c>
      <c r="L2223" s="7" t="n">
        <v>27168</v>
      </c>
      <c r="M2223" s="8" t="n">
        <v>3565</v>
      </c>
      <c r="N2223" s="8" t="n">
        <v>-3039</v>
      </c>
      <c r="O2223" s="9" t="n">
        <v>38843</v>
      </c>
      <c r="P2223" s="10" t="n">
        <v>2776</v>
      </c>
      <c r="Q2223" s="10" t="n">
        <v>-5414</v>
      </c>
      <c r="R2223" s="7" t="n">
        <v>24629</v>
      </c>
      <c r="S2223" s="8" t="n">
        <v>-1728</v>
      </c>
      <c r="T2223" s="8" t="n">
        <v>-602</v>
      </c>
      <c r="U2223" s="9" t="n">
        <v>36012</v>
      </c>
      <c r="V2223" s="10" t="n">
        <v>1948</v>
      </c>
      <c r="W2223" s="10" t="n">
        <v>3036</v>
      </c>
      <c r="X2223" s="7" t="n">
        <v>33954</v>
      </c>
      <c r="Y2223" s="8" t="n">
        <v>1689</v>
      </c>
      <c r="Z2223" s="8" t="n">
        <v>-761</v>
      </c>
      <c r="AA2223" s="9" t="n">
        <v>26872</v>
      </c>
      <c r="AB2223" s="10" t="n">
        <v>1456</v>
      </c>
      <c r="AC2223" s="10" t="n">
        <v>10237</v>
      </c>
      <c r="AD2223" s="7" t="n">
        <v>28639</v>
      </c>
      <c r="AE2223" s="8" t="n">
        <v>-1184</v>
      </c>
      <c r="AF2223" s="8" t="n">
        <v>3880</v>
      </c>
      <c r="AG2223" s="9" t="n">
        <v>35659</v>
      </c>
      <c r="AH2223" s="10" t="n">
        <v>56</v>
      </c>
      <c r="AI2223" s="10" t="n">
        <v>15333</v>
      </c>
      <c r="AJ2223" s="11" t="n">
        <v>74420</v>
      </c>
      <c r="AK2223" s="12" t="n">
        <v>4171</v>
      </c>
      <c r="AL2223" s="12" t="n">
        <v>5998</v>
      </c>
      <c r="AM2223" s="13" t="n">
        <v>108.7</v>
      </c>
      <c r="AN2223" s="13" t="n">
        <v>119.2</v>
      </c>
      <c r="AO2223" s="13" t="n">
        <v>7348.2</v>
      </c>
      <c r="AP2223" s="13" t="n">
        <v>147</v>
      </c>
    </row>
    <row r="2224">
      <c r="A2224" s="5" t="inlineStr">
        <is>
          <t>이노테나</t>
        </is>
      </c>
      <c r="B2224" s="6" t="inlineStr">
        <is>
          <t>333050</t>
        </is>
      </c>
      <c r="C2224" s="6" t="inlineStr">
        <is>
          <t>별도</t>
        </is>
      </c>
      <c r="D2224" s="6" t="inlineStr">
        <is>
          <t>2026Q2</t>
        </is>
      </c>
      <c r="E2224" s="6" t="inlineStr"/>
      <c r="F2224" s="7" t="inlineStr"/>
      <c r="G2224" s="8" t="inlineStr"/>
      <c r="H2224" s="8" t="inlineStr"/>
      <c r="I2224" s="9" t="n">
        <v>7183</v>
      </c>
      <c r="J2224" s="10" t="n">
        <v>284</v>
      </c>
      <c r="K2224" s="10" t="n">
        <v>398</v>
      </c>
      <c r="L2224" s="7" t="n">
        <v>6264</v>
      </c>
      <c r="M2224" s="8" t="n">
        <v>243</v>
      </c>
      <c r="N2224" s="8" t="n">
        <v>361</v>
      </c>
      <c r="O2224" s="9" t="n">
        <v>6851</v>
      </c>
      <c r="P2224" s="10" t="n">
        <v>883</v>
      </c>
      <c r="Q2224" s="10" t="n">
        <v>905</v>
      </c>
      <c r="R2224" s="7" t="n">
        <v>7668</v>
      </c>
      <c r="S2224" s="8" t="n">
        <v>621</v>
      </c>
      <c r="T2224" s="8" t="n">
        <v>698</v>
      </c>
      <c r="U2224" s="9" t="n">
        <v>7192</v>
      </c>
      <c r="V2224" s="10" t="n">
        <v>766</v>
      </c>
      <c r="W2224" s="10" t="n">
        <v>777</v>
      </c>
      <c r="X2224" s="7" t="n">
        <v>7536</v>
      </c>
      <c r="Y2224" s="8" t="n">
        <v>619</v>
      </c>
      <c r="Z2224" s="8" t="n">
        <v>643</v>
      </c>
      <c r="AA2224" s="9" t="n">
        <v>7129</v>
      </c>
      <c r="AB2224" s="10" t="n">
        <v>452</v>
      </c>
      <c r="AC2224" s="10" t="n">
        <v>504</v>
      </c>
      <c r="AD2224" s="7" t="n">
        <v>8097</v>
      </c>
      <c r="AE2224" s="8" t="n">
        <v>132</v>
      </c>
      <c r="AF2224" s="8" t="n">
        <v>224</v>
      </c>
      <c r="AG2224" s="9" t="n">
        <v>7041</v>
      </c>
      <c r="AH2224" s="10" t="n">
        <v>499</v>
      </c>
      <c r="AI2224" s="10" t="n">
        <v>555</v>
      </c>
      <c r="AJ2224" s="11" t="n">
        <v>6514</v>
      </c>
      <c r="AK2224" s="12" t="n">
        <v>556</v>
      </c>
      <c r="AL2224" s="12" t="n">
        <v>619</v>
      </c>
      <c r="AM2224" s="13" t="n">
        <v>-7.5</v>
      </c>
      <c r="AN2224" s="13" t="n">
        <v>-13.6</v>
      </c>
      <c r="AO2224" s="13" t="n">
        <v>11.4</v>
      </c>
      <c r="AP2224" s="13" t="n">
        <v>-10.2</v>
      </c>
    </row>
    <row r="2225">
      <c r="A2225" s="5" t="inlineStr">
        <is>
          <t>일승</t>
        </is>
      </c>
      <c r="B2225" s="6" t="inlineStr">
        <is>
          <t>333430</t>
        </is>
      </c>
      <c r="C2225" s="6" t="inlineStr">
        <is>
          <t>연결</t>
        </is>
      </c>
      <c r="D2225" s="6" t="inlineStr">
        <is>
          <t>2026Q2</t>
        </is>
      </c>
      <c r="E2225" s="6" t="inlineStr"/>
      <c r="F2225" s="7" t="inlineStr"/>
      <c r="G2225" s="8" t="inlineStr"/>
      <c r="H2225" s="8" t="inlineStr"/>
      <c r="I2225" s="9" t="n">
        <v>9913</v>
      </c>
      <c r="J2225" s="10" t="n">
        <v>-31</v>
      </c>
      <c r="K2225" s="10" t="n">
        <v>468</v>
      </c>
      <c r="L2225" s="7" t="n">
        <v>11442</v>
      </c>
      <c r="M2225" s="8" t="n">
        <v>1016</v>
      </c>
      <c r="N2225" s="8" t="n">
        <v>-1715</v>
      </c>
      <c r="O2225" s="9" t="n">
        <v>12508</v>
      </c>
      <c r="P2225" s="10" t="n">
        <v>2509</v>
      </c>
      <c r="Q2225" s="10" t="n">
        <v>2227</v>
      </c>
      <c r="R2225" s="7" t="n">
        <v>17930</v>
      </c>
      <c r="S2225" s="8" t="n">
        <v>3420</v>
      </c>
      <c r="T2225" s="8" t="n">
        <v>5538</v>
      </c>
      <c r="U2225" s="9" t="n">
        <v>10029</v>
      </c>
      <c r="V2225" s="10" t="n">
        <v>702</v>
      </c>
      <c r="W2225" s="10" t="n">
        <v>1011</v>
      </c>
      <c r="X2225" s="7" t="n">
        <v>11588</v>
      </c>
      <c r="Y2225" s="8" t="n">
        <v>1286</v>
      </c>
      <c r="Z2225" s="8" t="n">
        <v>916</v>
      </c>
      <c r="AA2225" s="9" t="n">
        <v>13798</v>
      </c>
      <c r="AB2225" s="10" t="n">
        <v>3343</v>
      </c>
      <c r="AC2225" s="10" t="n">
        <v>3826</v>
      </c>
      <c r="AD2225" s="7" t="n">
        <v>15259</v>
      </c>
      <c r="AE2225" s="8" t="n">
        <v>5532</v>
      </c>
      <c r="AF2225" s="8" t="n">
        <v>7933</v>
      </c>
      <c r="AG2225" s="9" t="n">
        <v>12079</v>
      </c>
      <c r="AH2225" s="10" t="n">
        <v>2304</v>
      </c>
      <c r="AI2225" s="10" t="n">
        <v>3675</v>
      </c>
      <c r="AJ2225" s="11" t="n">
        <v>16229</v>
      </c>
      <c r="AK2225" s="12" t="n">
        <v>5933</v>
      </c>
      <c r="AL2225" s="12" t="n">
        <v>6752</v>
      </c>
      <c r="AM2225" s="13" t="n">
        <v>34.4</v>
      </c>
      <c r="AN2225" s="13" t="n">
        <v>40.1</v>
      </c>
      <c r="AO2225" s="13" t="n">
        <v>157.5</v>
      </c>
      <c r="AP2225" s="13" t="n">
        <v>361.4</v>
      </c>
    </row>
    <row r="2226">
      <c r="A2226" s="5" t="inlineStr">
        <is>
          <t>엔시스</t>
        </is>
      </c>
      <c r="B2226" s="6" t="inlineStr">
        <is>
          <t>333620</t>
        </is>
      </c>
      <c r="C2226" s="6" t="inlineStr">
        <is>
          <t>연결</t>
        </is>
      </c>
      <c r="D2226" s="6" t="inlineStr">
        <is>
          <t>2026Q2</t>
        </is>
      </c>
      <c r="E2226" s="6" t="inlineStr"/>
      <c r="F2226" s="7" t="inlineStr"/>
      <c r="G2226" s="8" t="inlineStr"/>
      <c r="H2226" s="8" t="inlineStr"/>
      <c r="I2226" s="9" t="n">
        <v>13265</v>
      </c>
      <c r="J2226" s="10" t="n">
        <v>2146</v>
      </c>
      <c r="K2226" s="10" t="n">
        <v>3017</v>
      </c>
      <c r="L2226" s="7" t="n">
        <v>17781</v>
      </c>
      <c r="M2226" s="8" t="n">
        <v>4679</v>
      </c>
      <c r="N2226" s="8" t="n">
        <v>2903</v>
      </c>
      <c r="O2226" s="9" t="n">
        <v>19232</v>
      </c>
      <c r="P2226" s="10" t="n">
        <v>3197</v>
      </c>
      <c r="Q2226" s="10" t="n">
        <v>1451</v>
      </c>
      <c r="R2226" s="7" t="n">
        <v>12621</v>
      </c>
      <c r="S2226" s="8" t="n">
        <v>429</v>
      </c>
      <c r="T2226" s="8" t="n">
        <v>2614</v>
      </c>
      <c r="U2226" s="9" t="n">
        <v>12475</v>
      </c>
      <c r="V2226" s="10" t="n">
        <v>1210</v>
      </c>
      <c r="W2226" s="10" t="n">
        <v>1523</v>
      </c>
      <c r="X2226" s="7" t="n">
        <v>15618</v>
      </c>
      <c r="Y2226" s="8" t="n">
        <v>-4632</v>
      </c>
      <c r="Z2226" s="8" t="n">
        <v>-5357</v>
      </c>
      <c r="AA2226" s="9" t="n">
        <v>12276</v>
      </c>
      <c r="AB2226" s="10" t="n">
        <v>-858</v>
      </c>
      <c r="AC2226" s="10" t="n">
        <v>265</v>
      </c>
      <c r="AD2226" s="7" t="n">
        <v>8467</v>
      </c>
      <c r="AE2226" s="8" t="n">
        <v>-1827</v>
      </c>
      <c r="AF2226" s="8" t="n">
        <v>-3269</v>
      </c>
      <c r="AG2226" s="9" t="n">
        <v>11415</v>
      </c>
      <c r="AH2226" s="10" t="n">
        <v>-1647</v>
      </c>
      <c r="AI2226" s="10" t="n">
        <v>-1030</v>
      </c>
      <c r="AJ2226" s="11" t="n">
        <v>25496</v>
      </c>
      <c r="AK2226" s="12" t="n">
        <v>2914</v>
      </c>
      <c r="AL2226" s="12" t="n">
        <v>2122</v>
      </c>
      <c r="AM2226" s="13" t="n">
        <v>123.4</v>
      </c>
      <c r="AN2226" s="13" t="n">
        <v>63.2</v>
      </c>
      <c r="AO2226" s="13" t="n">
        <v>276.9</v>
      </c>
      <c r="AP2226" s="13" t="n">
        <v>162.9</v>
      </c>
    </row>
    <row r="2227">
      <c r="A2227" s="5" t="inlineStr">
        <is>
          <t>이지스밸류플러스리츠</t>
        </is>
      </c>
      <c r="B2227" s="6" t="inlineStr">
        <is>
          <t>334890</t>
        </is>
      </c>
      <c r="C2227" s="6" t="inlineStr">
        <is>
          <t>연결</t>
        </is>
      </c>
      <c r="D2227" s="6" t="inlineStr">
        <is>
          <t>2026Q2</t>
        </is>
      </c>
      <c r="E2227" s="6" t="inlineStr"/>
      <c r="F2227" s="7" t="inlineStr"/>
      <c r="G2227" s="8" t="inlineStr"/>
      <c r="H2227" s="8" t="inlineStr"/>
      <c r="I2227" s="9" t="inlineStr"/>
      <c r="J2227" s="10" t="inlineStr"/>
      <c r="K2227" s="10" t="inlineStr"/>
      <c r="L2227" s="7" t="n">
        <v>4776</v>
      </c>
      <c r="M2227" s="8" t="n">
        <v>3805</v>
      </c>
      <c r="N2227" s="8" t="n">
        <v>3050</v>
      </c>
      <c r="O2227" s="9" t="inlineStr"/>
      <c r="P2227" s="10" t="inlineStr"/>
      <c r="Q2227" s="10" t="inlineStr"/>
      <c r="R2227" s="7" t="inlineStr"/>
      <c r="S2227" s="8" t="inlineStr"/>
      <c r="T2227" s="8" t="inlineStr"/>
      <c r="U2227" s="9" t="inlineStr"/>
      <c r="V2227" s="10" t="inlineStr"/>
      <c r="W2227" s="10" t="inlineStr"/>
      <c r="X2227" s="7" t="n">
        <v>15634</v>
      </c>
      <c r="Y2227" s="8" t="n">
        <v>13658</v>
      </c>
      <c r="Z2227" s="8" t="n">
        <v>12095</v>
      </c>
      <c r="AA2227" s="9" t="inlineStr"/>
      <c r="AB2227" s="10" t="inlineStr"/>
      <c r="AC2227" s="10" t="inlineStr"/>
      <c r="AD2227" s="7" t="inlineStr"/>
      <c r="AE2227" s="8" t="inlineStr"/>
      <c r="AF2227" s="8" t="inlineStr"/>
      <c r="AG2227" s="9" t="inlineStr"/>
      <c r="AH2227" s="10" t="inlineStr"/>
      <c r="AI2227" s="10" t="inlineStr"/>
      <c r="AJ2227" s="11" t="n">
        <v>2032</v>
      </c>
      <c r="AK2227" s="12" t="n">
        <v>228</v>
      </c>
      <c r="AL2227" s="12" t="n">
        <v>-1190</v>
      </c>
      <c r="AM2227" s="13" t="inlineStr"/>
      <c r="AN2227" s="13" t="n">
        <v>-87</v>
      </c>
      <c r="AO2227" s="13" t="inlineStr"/>
      <c r="AP2227" s="13" t="n">
        <v>-98.3</v>
      </c>
    </row>
    <row r="2228">
      <c r="A2228" s="5" t="inlineStr">
        <is>
          <t>프레스티지바이오로직스</t>
        </is>
      </c>
      <c r="B2228" s="6" t="inlineStr">
        <is>
          <t>334970</t>
        </is>
      </c>
      <c r="C2228" s="6" t="inlineStr">
        <is>
          <t>별도</t>
        </is>
      </c>
      <c r="D2228" s="6" t="inlineStr">
        <is>
          <t>2025Q4</t>
        </is>
      </c>
      <c r="E2228" s="6" t="inlineStr"/>
      <c r="F2228" s="7" t="inlineStr"/>
      <c r="G2228" s="8" t="inlineStr"/>
      <c r="H2228" s="8" t="inlineStr"/>
      <c r="I2228" s="9" t="n">
        <v>342</v>
      </c>
      <c r="J2228" s="10" t="n">
        <v>-9306</v>
      </c>
      <c r="K2228" s="10" t="n">
        <v>-6519</v>
      </c>
      <c r="L2228" s="7" t="n">
        <v>3023</v>
      </c>
      <c r="M2228" s="8" t="n">
        <v>-12914</v>
      </c>
      <c r="N2228" s="8" t="n">
        <v>-13929</v>
      </c>
      <c r="O2228" s="9" t="n">
        <v>639</v>
      </c>
      <c r="P2228" s="10" t="n">
        <v>-12105</v>
      </c>
      <c r="Q2228" s="10" t="n">
        <v>-15772</v>
      </c>
      <c r="R2228" s="7" t="n">
        <v>-1835</v>
      </c>
      <c r="S2228" s="8" t="n">
        <v>895</v>
      </c>
      <c r="T2228" s="8" t="n">
        <v>6846</v>
      </c>
      <c r="U2228" s="9" t="n">
        <v>1168</v>
      </c>
      <c r="V2228" s="10" t="n">
        <v>-13593</v>
      </c>
      <c r="W2228" s="10" t="n">
        <v>-12930</v>
      </c>
      <c r="X2228" s="7" t="n">
        <v>8903</v>
      </c>
      <c r="Y2228" s="8" t="n">
        <v>-9745</v>
      </c>
      <c r="Z2228" s="8" t="n">
        <v>-8283</v>
      </c>
      <c r="AA2228" s="9" t="n">
        <v>3481</v>
      </c>
      <c r="AB2228" s="10" t="n">
        <v>-7273</v>
      </c>
      <c r="AC2228" s="10" t="n">
        <v>-7460</v>
      </c>
      <c r="AD2228" s="7" t="n">
        <v>-1019</v>
      </c>
      <c r="AE2228" s="8" t="n">
        <v>-3071</v>
      </c>
      <c r="AF2228" s="8" t="n">
        <v>1204</v>
      </c>
      <c r="AG2228" s="9" t="inlineStr"/>
      <c r="AH2228" s="10" t="inlineStr"/>
      <c r="AI2228" s="10" t="inlineStr"/>
      <c r="AJ2228" s="11" t="inlineStr"/>
      <c r="AK2228" s="12" t="inlineStr"/>
      <c r="AL2228" s="12" t="inlineStr"/>
      <c r="AM2228" s="13" t="inlineStr"/>
      <c r="AN2228" s="13" t="inlineStr"/>
      <c r="AO2228" s="13" t="inlineStr"/>
      <c r="AP2228" s="13" t="inlineStr"/>
    </row>
    <row r="2229">
      <c r="A2229" s="5" t="inlineStr">
        <is>
          <t>프리시젼바이오</t>
        </is>
      </c>
      <c r="B2229" s="6" t="inlineStr">
        <is>
          <t>335810</t>
        </is>
      </c>
      <c r="C2229" s="6" t="inlineStr">
        <is>
          <t>연결</t>
        </is>
      </c>
      <c r="D2229" s="6" t="inlineStr">
        <is>
          <t>2026Q2</t>
        </is>
      </c>
      <c r="E2229" s="6" t="inlineStr"/>
      <c r="F2229" s="7" t="inlineStr"/>
      <c r="G2229" s="8" t="inlineStr"/>
      <c r="H2229" s="8" t="inlineStr"/>
      <c r="I2229" s="9" t="n">
        <v>4166</v>
      </c>
      <c r="J2229" s="10" t="n">
        <v>-1995</v>
      </c>
      <c r="K2229" s="10" t="n">
        <v>-1678</v>
      </c>
      <c r="L2229" s="7" t="n">
        <v>5123</v>
      </c>
      <c r="M2229" s="8" t="n">
        <v>-1169</v>
      </c>
      <c r="N2229" s="8" t="n">
        <v>-1428</v>
      </c>
      <c r="O2229" s="9" t="n">
        <v>4742</v>
      </c>
      <c r="P2229" s="10" t="n">
        <v>-1289</v>
      </c>
      <c r="Q2229" s="10" t="n">
        <v>-2551</v>
      </c>
      <c r="R2229" s="7" t="n">
        <v>5103</v>
      </c>
      <c r="S2229" s="8" t="n">
        <v>-913</v>
      </c>
      <c r="T2229" s="8" t="n">
        <v>-1648</v>
      </c>
      <c r="U2229" s="9" t="n">
        <v>4620</v>
      </c>
      <c r="V2229" s="10" t="n">
        <v>-1504</v>
      </c>
      <c r="W2229" s="10" t="n">
        <v>-2016</v>
      </c>
      <c r="X2229" s="7" t="n">
        <v>4897</v>
      </c>
      <c r="Y2229" s="8" t="n">
        <v>-1451</v>
      </c>
      <c r="Z2229" s="8" t="n">
        <v>-2690</v>
      </c>
      <c r="AA2229" s="9" t="n">
        <v>5118</v>
      </c>
      <c r="AB2229" s="10" t="n">
        <v>-1030</v>
      </c>
      <c r="AC2229" s="10" t="n">
        <v>-1522</v>
      </c>
      <c r="AD2229" s="7" t="n">
        <v>5291</v>
      </c>
      <c r="AE2229" s="8" t="n">
        <v>-1396</v>
      </c>
      <c r="AF2229" s="8" t="n">
        <v>-3795</v>
      </c>
      <c r="AG2229" s="9" t="n">
        <v>7030</v>
      </c>
      <c r="AH2229" s="10" t="n">
        <v>17</v>
      </c>
      <c r="AI2229" s="10" t="n">
        <v>133</v>
      </c>
      <c r="AJ2229" s="11" t="n">
        <v>6216</v>
      </c>
      <c r="AK2229" s="12" t="n">
        <v>-1209</v>
      </c>
      <c r="AL2229" s="12" t="n">
        <v>-1167</v>
      </c>
      <c r="AM2229" s="13" t="n">
        <v>-11.6</v>
      </c>
      <c r="AN2229" s="13" t="n">
        <v>26.9</v>
      </c>
      <c r="AO2229" s="13" t="n">
        <v>-7211.8</v>
      </c>
      <c r="AP2229" s="13" t="n">
        <v>16.7</v>
      </c>
    </row>
    <row r="2230">
      <c r="A2230" s="5" t="inlineStr">
        <is>
          <t>윙스풋</t>
        </is>
      </c>
      <c r="B2230" s="6" t="inlineStr">
        <is>
          <t>335870</t>
        </is>
      </c>
      <c r="C2230" s="6" t="inlineStr">
        <is>
          <t>별도</t>
        </is>
      </c>
      <c r="D2230" s="6" t="inlineStr">
        <is>
          <t>2026Q2</t>
        </is>
      </c>
      <c r="E2230" s="6" t="inlineStr"/>
      <c r="F2230" s="7" t="inlineStr"/>
      <c r="G2230" s="8" t="inlineStr"/>
      <c r="H2230" s="8" t="inlineStr"/>
      <c r="I2230" s="9" t="n">
        <v>7134</v>
      </c>
      <c r="J2230" s="10" t="n">
        <v>-729</v>
      </c>
      <c r="K2230" s="10" t="n">
        <v>-758</v>
      </c>
      <c r="L2230" s="7" t="n">
        <v>9520</v>
      </c>
      <c r="M2230" s="8" t="n">
        <v>120</v>
      </c>
      <c r="N2230" s="8" t="n">
        <v>72</v>
      </c>
      <c r="O2230" s="9" t="n">
        <v>8513</v>
      </c>
      <c r="P2230" s="10" t="n">
        <v>-256</v>
      </c>
      <c r="Q2230" s="10" t="n">
        <v>-190</v>
      </c>
      <c r="R2230" s="7" t="n">
        <v>21327</v>
      </c>
      <c r="S2230" s="8" t="n">
        <v>2755</v>
      </c>
      <c r="T2230" s="8" t="n">
        <v>2073</v>
      </c>
      <c r="U2230" s="9" t="n">
        <v>7072</v>
      </c>
      <c r="V2230" s="10" t="n">
        <v>-825</v>
      </c>
      <c r="W2230" s="10" t="n">
        <v>-7071</v>
      </c>
      <c r="X2230" s="7" t="n">
        <v>8722</v>
      </c>
      <c r="Y2230" s="8" t="n">
        <v>-1059</v>
      </c>
      <c r="Z2230" s="8" t="n">
        <v>5149</v>
      </c>
      <c r="AA2230" s="9" t="n">
        <v>7524</v>
      </c>
      <c r="AB2230" s="10" t="n">
        <v>-524</v>
      </c>
      <c r="AC2230" s="10" t="n">
        <v>-1239</v>
      </c>
      <c r="AD2230" s="7" t="n">
        <v>18638</v>
      </c>
      <c r="AE2230" s="8" t="n">
        <v>-388</v>
      </c>
      <c r="AF2230" s="8" t="n">
        <v>1390</v>
      </c>
      <c r="AG2230" s="9" t="n">
        <v>1455</v>
      </c>
      <c r="AH2230" s="10" t="n">
        <v>-4431</v>
      </c>
      <c r="AI2230" s="10" t="n">
        <v>-7161</v>
      </c>
      <c r="AJ2230" s="11" t="n">
        <v>1756</v>
      </c>
      <c r="AK2230" s="12" t="n">
        <v>-1942</v>
      </c>
      <c r="AL2230" s="12" t="n">
        <v>1017</v>
      </c>
      <c r="AM2230" s="13" t="n">
        <v>20.7</v>
      </c>
      <c r="AN2230" s="13" t="n">
        <v>-79.90000000000001</v>
      </c>
      <c r="AO2230" s="13" t="n">
        <v>56.2</v>
      </c>
      <c r="AP2230" s="13" t="n">
        <v>-83.40000000000001</v>
      </c>
    </row>
    <row r="2231">
      <c r="A2231" s="5" t="inlineStr">
        <is>
          <t>웨이버스</t>
        </is>
      </c>
      <c r="B2231" s="6" t="inlineStr">
        <is>
          <t>336060</t>
        </is>
      </c>
      <c r="C2231" s="6" t="inlineStr">
        <is>
          <t>연결</t>
        </is>
      </c>
      <c r="D2231" s="6" t="inlineStr">
        <is>
          <t>2026Q2</t>
        </is>
      </c>
      <c r="E2231" s="6" t="inlineStr"/>
      <c r="F2231" s="7" t="inlineStr"/>
      <c r="G2231" s="8" t="inlineStr"/>
      <c r="H2231" s="8" t="inlineStr"/>
      <c r="I2231" s="9" t="n">
        <v>9661</v>
      </c>
      <c r="J2231" s="10" t="n">
        <v>-968</v>
      </c>
      <c r="K2231" s="10" t="n">
        <v>-638</v>
      </c>
      <c r="L2231" s="7" t="n">
        <v>11319</v>
      </c>
      <c r="M2231" s="8" t="n">
        <v>757</v>
      </c>
      <c r="N2231" s="8" t="n">
        <v>993</v>
      </c>
      <c r="O2231" s="9" t="n">
        <v>12491</v>
      </c>
      <c r="P2231" s="10" t="n">
        <v>158</v>
      </c>
      <c r="Q2231" s="10" t="n">
        <v>657</v>
      </c>
      <c r="R2231" s="7" t="n">
        <v>22894</v>
      </c>
      <c r="S2231" s="8" t="n">
        <v>1731</v>
      </c>
      <c r="T2231" s="8" t="n">
        <v>2248</v>
      </c>
      <c r="U2231" s="9" t="n">
        <v>15116</v>
      </c>
      <c r="V2231" s="10" t="n">
        <v>-1573</v>
      </c>
      <c r="W2231" s="10" t="n">
        <v>-990</v>
      </c>
      <c r="X2231" s="7" t="n">
        <v>17128</v>
      </c>
      <c r="Y2231" s="8" t="n">
        <v>-568</v>
      </c>
      <c r="Z2231" s="8" t="n">
        <v>-247</v>
      </c>
      <c r="AA2231" s="9" t="n">
        <v>15545</v>
      </c>
      <c r="AB2231" s="10" t="n">
        <v>897</v>
      </c>
      <c r="AC2231" s="10" t="n">
        <v>1111</v>
      </c>
      <c r="AD2231" s="7" t="n">
        <v>22414</v>
      </c>
      <c r="AE2231" s="8" t="n">
        <v>3236</v>
      </c>
      <c r="AF2231" s="8" t="n">
        <v>2870</v>
      </c>
      <c r="AG2231" s="9" t="n">
        <v>11228</v>
      </c>
      <c r="AH2231" s="10" t="n">
        <v>-2128</v>
      </c>
      <c r="AI2231" s="10" t="n">
        <v>-1930</v>
      </c>
      <c r="AJ2231" s="11" t="n">
        <v>15239</v>
      </c>
      <c r="AK2231" s="12" t="n">
        <v>-886</v>
      </c>
      <c r="AL2231" s="12" t="n">
        <v>-211</v>
      </c>
      <c r="AM2231" s="13" t="n">
        <v>35.7</v>
      </c>
      <c r="AN2231" s="13" t="n">
        <v>-11</v>
      </c>
      <c r="AO2231" s="13" t="n">
        <v>58.4</v>
      </c>
      <c r="AP2231" s="13" t="n">
        <v>-56</v>
      </c>
    </row>
    <row r="2232">
      <c r="A2232" s="5" t="inlineStr">
        <is>
          <t>두산퓨얼셀</t>
        </is>
      </c>
      <c r="B2232" s="6" t="inlineStr">
        <is>
          <t>336260</t>
        </is>
      </c>
      <c r="C2232" s="6" t="inlineStr">
        <is>
          <t>연결</t>
        </is>
      </c>
      <c r="D2232" s="6" t="inlineStr">
        <is>
          <t>2026Q2</t>
        </is>
      </c>
      <c r="E2232" s="6" t="inlineStr"/>
      <c r="F2232" s="7" t="inlineStr"/>
      <c r="G2232" s="8" t="inlineStr"/>
      <c r="H2232" s="8" t="inlineStr"/>
      <c r="I2232" s="9" t="n">
        <v>31691</v>
      </c>
      <c r="J2232" s="10" t="n">
        <v>1649</v>
      </c>
      <c r="K2232" s="10" t="n">
        <v>-240</v>
      </c>
      <c r="L2232" s="7" t="n">
        <v>86488</v>
      </c>
      <c r="M2232" s="8" t="n">
        <v>2167</v>
      </c>
      <c r="N2232" s="8" t="n">
        <v>-332</v>
      </c>
      <c r="O2232" s="9" t="n">
        <v>32023</v>
      </c>
      <c r="P2232" s="10" t="n">
        <v>-2989</v>
      </c>
      <c r="Q2232" s="10" t="n">
        <v>-3672</v>
      </c>
      <c r="R2232" s="7" t="n">
        <v>261582</v>
      </c>
      <c r="S2232" s="8" t="n">
        <v>-2556</v>
      </c>
      <c r="T2232" s="8" t="n">
        <v>-6231</v>
      </c>
      <c r="U2232" s="9" t="n">
        <v>99749</v>
      </c>
      <c r="V2232" s="10" t="n">
        <v>-11550</v>
      </c>
      <c r="W2232" s="10" t="n">
        <v>-10118</v>
      </c>
      <c r="X2232" s="7" t="n">
        <v>128467</v>
      </c>
      <c r="Y2232" s="8" t="n">
        <v>-1914</v>
      </c>
      <c r="Z2232" s="8" t="n">
        <v>-2579</v>
      </c>
      <c r="AA2232" s="9" t="n">
        <v>90806</v>
      </c>
      <c r="AB2232" s="10" t="n">
        <v>-15604</v>
      </c>
      <c r="AC2232" s="10" t="n">
        <v>-17488</v>
      </c>
      <c r="AD2232" s="7" t="n">
        <v>135773</v>
      </c>
      <c r="AE2232" s="8" t="n">
        <v>-76605</v>
      </c>
      <c r="AF2232" s="8" t="n">
        <v>-102619</v>
      </c>
      <c r="AG2232" s="9" t="n">
        <v>144847</v>
      </c>
      <c r="AH2232" s="10" t="n">
        <v>-1291</v>
      </c>
      <c r="AI2232" s="10" t="n">
        <v>-13187</v>
      </c>
      <c r="AJ2232" s="11" t="n">
        <v>44259</v>
      </c>
      <c r="AK2232" s="12" t="n">
        <v>-50914</v>
      </c>
      <c r="AL2232" s="12" t="n">
        <v>-55598</v>
      </c>
      <c r="AM2232" s="13" t="n">
        <v>-69.40000000000001</v>
      </c>
      <c r="AN2232" s="13" t="n">
        <v>-65.5</v>
      </c>
      <c r="AO2232" s="13" t="n">
        <v>-3843.8</v>
      </c>
      <c r="AP2232" s="13" t="n">
        <v>-2560.1</v>
      </c>
    </row>
    <row r="2233">
      <c r="A2233" s="5" t="inlineStr">
        <is>
          <t>솔루스첨단소재</t>
        </is>
      </c>
      <c r="B2233" s="6" t="inlineStr">
        <is>
          <t>336370</t>
        </is>
      </c>
      <c r="C2233" s="6" t="inlineStr">
        <is>
          <t>연결</t>
        </is>
      </c>
      <c r="D2233" s="6" t="inlineStr">
        <is>
          <t>2026Q2</t>
        </is>
      </c>
      <c r="E2233" s="6" t="inlineStr"/>
      <c r="F2233" s="7" t="inlineStr"/>
      <c r="G2233" s="8" t="inlineStr"/>
      <c r="H2233" s="8" t="inlineStr"/>
      <c r="I2233" s="9" t="n">
        <v>121305</v>
      </c>
      <c r="J2233" s="10" t="n">
        <v>-13979</v>
      </c>
      <c r="K2233" s="10" t="n">
        <v>-9075</v>
      </c>
      <c r="L2233" s="7" t="n">
        <v>149262</v>
      </c>
      <c r="M2233" s="8" t="n">
        <v>-10450</v>
      </c>
      <c r="N2233" s="8" t="n">
        <v>-9931</v>
      </c>
      <c r="O2233" s="9" t="n">
        <v>134652</v>
      </c>
      <c r="P2233" s="10" t="n">
        <v>-18655</v>
      </c>
      <c r="Q2233" s="10" t="n">
        <v>-36337</v>
      </c>
      <c r="R2233" s="7" t="n">
        <v>165730</v>
      </c>
      <c r="S2233" s="8" t="n">
        <v>-11335</v>
      </c>
      <c r="T2233" s="8" t="n">
        <v>12653</v>
      </c>
      <c r="U2233" s="9" t="n">
        <v>157604</v>
      </c>
      <c r="V2233" s="10" t="n">
        <v>-15275</v>
      </c>
      <c r="W2233" s="10" t="n">
        <v>-31929</v>
      </c>
      <c r="X2233" s="7" t="n">
        <v>143865</v>
      </c>
      <c r="Y2233" s="8" t="n">
        <v>-14972</v>
      </c>
      <c r="Z2233" s="8" t="n">
        <v>-52302</v>
      </c>
      <c r="AA2233" s="9" t="n">
        <v>145134</v>
      </c>
      <c r="AB2233" s="10" t="n">
        <v>-21160</v>
      </c>
      <c r="AC2233" s="10" t="n">
        <v>-29138</v>
      </c>
      <c r="AD2233" s="7" t="n">
        <v>169480</v>
      </c>
      <c r="AE2233" s="8" t="n">
        <v>-21929</v>
      </c>
      <c r="AF2233" s="8" t="n">
        <v>-25025</v>
      </c>
      <c r="AG2233" s="9" t="n">
        <v>192569</v>
      </c>
      <c r="AH2233" s="10" t="n">
        <v>-22050</v>
      </c>
      <c r="AI2233" s="10" t="n">
        <v>-2900</v>
      </c>
      <c r="AJ2233" s="11" t="n">
        <v>101870</v>
      </c>
      <c r="AK2233" s="12" t="n">
        <v>-21676</v>
      </c>
      <c r="AL2233" s="12" t="n">
        <v>59273</v>
      </c>
      <c r="AM2233" s="13" t="n">
        <v>-47.1</v>
      </c>
      <c r="AN2233" s="13" t="n">
        <v>-29.2</v>
      </c>
      <c r="AO2233" s="13" t="n">
        <v>1.7</v>
      </c>
      <c r="AP2233" s="13" t="n">
        <v>-44.8</v>
      </c>
    </row>
    <row r="2234">
      <c r="A2234" s="5" t="inlineStr">
        <is>
          <t>원텍</t>
        </is>
      </c>
      <c r="B2234" s="6" t="inlineStr">
        <is>
          <t>336570</t>
        </is>
      </c>
      <c r="C2234" s="6" t="inlineStr">
        <is>
          <t>연결</t>
        </is>
      </c>
      <c r="D2234" s="6" t="inlineStr">
        <is>
          <t>2026Q2</t>
        </is>
      </c>
      <c r="E2234" s="6" t="inlineStr"/>
      <c r="F2234" s="7" t="inlineStr"/>
      <c r="G2234" s="8" t="inlineStr"/>
      <c r="H2234" s="8" t="inlineStr"/>
      <c r="I2234" s="9" t="n">
        <v>22565</v>
      </c>
      <c r="J2234" s="10" t="n">
        <v>6634</v>
      </c>
      <c r="K2234" s="10" t="n">
        <v>5924</v>
      </c>
      <c r="L2234" s="7" t="n">
        <v>29011</v>
      </c>
      <c r="M2234" s="8" t="n">
        <v>7024</v>
      </c>
      <c r="N2234" s="8" t="n">
        <v>4424</v>
      </c>
      <c r="O2234" s="9" t="n">
        <v>26884</v>
      </c>
      <c r="P2234" s="10" t="n">
        <v>7344</v>
      </c>
      <c r="Q2234" s="10" t="n">
        <v>4812</v>
      </c>
      <c r="R2234" s="7" t="n">
        <v>36795</v>
      </c>
      <c r="S2234" s="8" t="n">
        <v>13788</v>
      </c>
      <c r="T2234" s="8" t="n">
        <v>13953</v>
      </c>
      <c r="U2234" s="9" t="n">
        <v>37415</v>
      </c>
      <c r="V2234" s="10" t="n">
        <v>14552</v>
      </c>
      <c r="W2234" s="10" t="n">
        <v>11899</v>
      </c>
      <c r="X2234" s="7" t="n">
        <v>39809</v>
      </c>
      <c r="Y2234" s="8" t="n">
        <v>17273</v>
      </c>
      <c r="Z2234" s="8" t="n">
        <v>9203</v>
      </c>
      <c r="AA2234" s="9" t="n">
        <v>33240</v>
      </c>
      <c r="AB2234" s="10" t="n">
        <v>7612</v>
      </c>
      <c r="AC2234" s="10" t="n">
        <v>7889</v>
      </c>
      <c r="AD2234" s="7" t="n">
        <v>46374</v>
      </c>
      <c r="AE2234" s="8" t="n">
        <v>12248</v>
      </c>
      <c r="AF2234" s="8" t="n">
        <v>6230</v>
      </c>
      <c r="AG2234" s="9" t="n">
        <v>40246</v>
      </c>
      <c r="AH2234" s="10" t="n">
        <v>11201</v>
      </c>
      <c r="AI2234" s="10" t="n">
        <v>10419</v>
      </c>
      <c r="AJ2234" s="11" t="n">
        <v>47493</v>
      </c>
      <c r="AK2234" s="12" t="n">
        <v>11088</v>
      </c>
      <c r="AL2234" s="12" t="n">
        <v>15446</v>
      </c>
      <c r="AM2234" s="13" t="n">
        <v>18</v>
      </c>
      <c r="AN2234" s="13" t="n">
        <v>19.3</v>
      </c>
      <c r="AO2234" s="13" t="n">
        <v>-1</v>
      </c>
      <c r="AP2234" s="13" t="n">
        <v>-35.8</v>
      </c>
    </row>
    <row r="2235">
      <c r="A2235" s="5" t="inlineStr">
        <is>
          <t>탑런토탈솔루션</t>
        </is>
      </c>
      <c r="B2235" s="6" t="inlineStr">
        <is>
          <t>336680</t>
        </is>
      </c>
      <c r="C2235" s="6" t="inlineStr">
        <is>
          <t>연결</t>
        </is>
      </c>
      <c r="D2235" s="6" t="inlineStr">
        <is>
          <t>2026Q2</t>
        </is>
      </c>
      <c r="E2235" s="6" t="inlineStr">
        <is>
          <t>2024Q3, 2024Q4</t>
        </is>
      </c>
      <c r="F2235" s="7" t="inlineStr"/>
      <c r="G2235" s="8" t="inlineStr"/>
      <c r="H2235" s="8" t="inlineStr"/>
      <c r="I2235" s="9" t="inlineStr"/>
      <c r="J2235" s="10" t="inlineStr"/>
      <c r="K2235" s="10" t="inlineStr"/>
      <c r="L2235" s="7" t="inlineStr"/>
      <c r="M2235" s="8" t="inlineStr"/>
      <c r="N2235" s="8" t="inlineStr"/>
      <c r="O2235" s="14" t="n">
        <v>137990</v>
      </c>
      <c r="P2235" s="15" t="n">
        <v>6924</v>
      </c>
      <c r="Q2235" s="15" t="n">
        <v>6870</v>
      </c>
      <c r="R2235" s="14" t="n">
        <v>520208</v>
      </c>
      <c r="S2235" s="15" t="n">
        <v>26090</v>
      </c>
      <c r="T2235" s="15" t="n">
        <v>17919</v>
      </c>
      <c r="U2235" s="9" t="n">
        <v>126823</v>
      </c>
      <c r="V2235" s="10" t="n">
        <v>1599</v>
      </c>
      <c r="W2235" s="10" t="n">
        <v>1872</v>
      </c>
      <c r="X2235" s="7" t="n">
        <v>120982</v>
      </c>
      <c r="Y2235" s="8" t="n">
        <v>-657</v>
      </c>
      <c r="Z2235" s="8" t="n">
        <v>-4059</v>
      </c>
      <c r="AA2235" s="9" t="n">
        <v>148341</v>
      </c>
      <c r="AB2235" s="10" t="n">
        <v>5764</v>
      </c>
      <c r="AC2235" s="10" t="n">
        <v>5804</v>
      </c>
      <c r="AD2235" s="7" t="n">
        <v>153965</v>
      </c>
      <c r="AE2235" s="8" t="n">
        <v>2195</v>
      </c>
      <c r="AF2235" s="8" t="n">
        <v>2454</v>
      </c>
      <c r="AG2235" s="9" t="n">
        <v>146997</v>
      </c>
      <c r="AH2235" s="10" t="n">
        <v>-4845</v>
      </c>
      <c r="AI2235" s="10" t="n">
        <v>-6665</v>
      </c>
      <c r="AJ2235" s="11" t="n">
        <v>178757</v>
      </c>
      <c r="AK2235" s="12" t="n">
        <v>299</v>
      </c>
      <c r="AL2235" s="12" t="n">
        <v>-823</v>
      </c>
      <c r="AM2235" s="13" t="n">
        <v>21.6</v>
      </c>
      <c r="AN2235" s="13" t="n">
        <v>47.8</v>
      </c>
      <c r="AO2235" s="13" t="n">
        <v>106.2</v>
      </c>
      <c r="AP2235" s="13" t="n">
        <v>145.5</v>
      </c>
    </row>
    <row r="2236">
      <c r="A2236" s="5" t="inlineStr">
        <is>
          <t>젝시믹스</t>
        </is>
      </c>
      <c r="B2236" s="6" t="inlineStr">
        <is>
          <t>337930</t>
        </is>
      </c>
      <c r="C2236" s="6" t="inlineStr">
        <is>
          <t>연결</t>
        </is>
      </c>
      <c r="D2236" s="6" t="inlineStr">
        <is>
          <t>2026Q2</t>
        </is>
      </c>
      <c r="E2236" s="6" t="inlineStr"/>
      <c r="F2236" s="7" t="inlineStr"/>
      <c r="G2236" s="8" t="inlineStr"/>
      <c r="H2236" s="8" t="inlineStr"/>
      <c r="I2236" s="9" t="n">
        <v>53155</v>
      </c>
      <c r="J2236" s="10" t="n">
        <v>3390</v>
      </c>
      <c r="K2236" s="10" t="n">
        <v>2655</v>
      </c>
      <c r="L2236" s="7" t="n">
        <v>76363</v>
      </c>
      <c r="M2236" s="8" t="n">
        <v>12371</v>
      </c>
      <c r="N2236" s="8" t="n">
        <v>9186</v>
      </c>
      <c r="O2236" s="9" t="n">
        <v>68200</v>
      </c>
      <c r="P2236" s="10" t="n">
        <v>4822</v>
      </c>
      <c r="Q2236" s="10" t="n">
        <v>4518</v>
      </c>
      <c r="R2236" s="7" t="n">
        <v>73876</v>
      </c>
      <c r="S2236" s="8" t="n">
        <v>4316</v>
      </c>
      <c r="T2236" s="8" t="n">
        <v>4570</v>
      </c>
      <c r="U2236" s="9" t="n">
        <v>50757</v>
      </c>
      <c r="V2236" s="10" t="n">
        <v>790</v>
      </c>
      <c r="W2236" s="10" t="n">
        <v>878</v>
      </c>
      <c r="X2236" s="7" t="n">
        <v>74574</v>
      </c>
      <c r="Y2236" s="8" t="n">
        <v>7552</v>
      </c>
      <c r="Z2236" s="8" t="n">
        <v>5459</v>
      </c>
      <c r="AA2236" s="9" t="n">
        <v>69854</v>
      </c>
      <c r="AB2236" s="10" t="n">
        <v>6066</v>
      </c>
      <c r="AC2236" s="10" t="n">
        <v>3157</v>
      </c>
      <c r="AD2236" s="7" t="n">
        <v>78912</v>
      </c>
      <c r="AE2236" s="8" t="n">
        <v>2941</v>
      </c>
      <c r="AF2236" s="8" t="n">
        <v>2741</v>
      </c>
      <c r="AG2236" s="9" t="n">
        <v>53015</v>
      </c>
      <c r="AH2236" s="10" t="n">
        <v>1098</v>
      </c>
      <c r="AI2236" s="10" t="n">
        <v>887</v>
      </c>
      <c r="AJ2236" s="11" t="n">
        <v>74378</v>
      </c>
      <c r="AK2236" s="12" t="n">
        <v>5348</v>
      </c>
      <c r="AL2236" s="12" t="n">
        <v>4381</v>
      </c>
      <c r="AM2236" s="13" t="n">
        <v>40.3</v>
      </c>
      <c r="AN2236" s="13" t="n">
        <v>-0.3</v>
      </c>
      <c r="AO2236" s="13" t="n">
        <v>387.1</v>
      </c>
      <c r="AP2236" s="13" t="n">
        <v>-29.2</v>
      </c>
    </row>
    <row r="2237">
      <c r="A2237" s="5" t="inlineStr">
        <is>
          <t>NH프라임리츠</t>
        </is>
      </c>
      <c r="B2237" s="6" t="inlineStr">
        <is>
          <t>338100</t>
        </is>
      </c>
      <c r="C2237" s="6" t="inlineStr">
        <is>
          <t>별도</t>
        </is>
      </c>
      <c r="D2237" s="6" t="inlineStr">
        <is>
          <t>2026Q2</t>
        </is>
      </c>
      <c r="E2237" s="6" t="inlineStr"/>
      <c r="F2237" s="7" t="inlineStr"/>
      <c r="G2237" s="8" t="inlineStr"/>
      <c r="H2237" s="8" t="inlineStr"/>
      <c r="I2237" s="9" t="inlineStr"/>
      <c r="J2237" s="10" t="inlineStr"/>
      <c r="K2237" s="10" t="inlineStr"/>
      <c r="L2237" s="7" t="n">
        <v>10425</v>
      </c>
      <c r="M2237" s="8" t="n">
        <v>10256</v>
      </c>
      <c r="N2237" s="8" t="n">
        <v>10277</v>
      </c>
      <c r="O2237" s="9" t="inlineStr"/>
      <c r="P2237" s="10" t="inlineStr"/>
      <c r="Q2237" s="10" t="inlineStr"/>
      <c r="R2237" s="7" t="inlineStr"/>
      <c r="S2237" s="8" t="inlineStr"/>
      <c r="T2237" s="8" t="inlineStr"/>
      <c r="U2237" s="9" t="inlineStr"/>
      <c r="V2237" s="10" t="inlineStr"/>
      <c r="W2237" s="10" t="inlineStr"/>
      <c r="X2237" s="7" t="n">
        <v>1345</v>
      </c>
      <c r="Y2237" s="8" t="n">
        <v>-1909</v>
      </c>
      <c r="Z2237" s="8" t="n">
        <v>-1695</v>
      </c>
      <c r="AA2237" s="9" t="inlineStr"/>
      <c r="AB2237" s="10" t="inlineStr"/>
      <c r="AC2237" s="10" t="inlineStr"/>
      <c r="AD2237" s="7" t="inlineStr"/>
      <c r="AE2237" s="8" t="inlineStr"/>
      <c r="AF2237" s="8" t="inlineStr"/>
      <c r="AG2237" s="9" t="inlineStr"/>
      <c r="AH2237" s="10" t="inlineStr"/>
      <c r="AI2237" s="10" t="inlineStr"/>
      <c r="AJ2237" s="11" t="n">
        <v>10021</v>
      </c>
      <c r="AK2237" s="12" t="n">
        <v>9635</v>
      </c>
      <c r="AL2237" s="12" t="n">
        <v>9714</v>
      </c>
      <c r="AM2237" s="13" t="inlineStr"/>
      <c r="AN2237" s="13" t="n">
        <v>645.1</v>
      </c>
      <c r="AO2237" s="13" t="inlineStr"/>
      <c r="AP2237" s="13" t="n">
        <v>604.7</v>
      </c>
    </row>
    <row r="2238">
      <c r="A2238" s="5" t="inlineStr">
        <is>
          <t>뷰노</t>
        </is>
      </c>
      <c r="B2238" s="6" t="inlineStr">
        <is>
          <t>338220</t>
        </is>
      </c>
      <c r="C2238" s="6" t="inlineStr">
        <is>
          <t>연결</t>
        </is>
      </c>
      <c r="D2238" s="6" t="inlineStr">
        <is>
          <t>2026Q2</t>
        </is>
      </c>
      <c r="E2238" s="6" t="inlineStr"/>
      <c r="F2238" s="7" t="inlineStr"/>
      <c r="G2238" s="8" t="inlineStr"/>
      <c r="H2238" s="8" t="inlineStr"/>
      <c r="I2238" s="9" t="n">
        <v>5538</v>
      </c>
      <c r="J2238" s="10" t="n">
        <v>-3863</v>
      </c>
      <c r="K2238" s="10" t="n">
        <v>-3895</v>
      </c>
      <c r="L2238" s="7" t="n">
        <v>6390</v>
      </c>
      <c r="M2238" s="8" t="n">
        <v>-3147</v>
      </c>
      <c r="N2238" s="8" t="n">
        <v>-3221</v>
      </c>
      <c r="O2238" s="9" t="n">
        <v>6865</v>
      </c>
      <c r="P2238" s="10" t="n">
        <v>-2765</v>
      </c>
      <c r="Q2238" s="10" t="n">
        <v>-2838</v>
      </c>
      <c r="R2238" s="7" t="n">
        <v>7076</v>
      </c>
      <c r="S2238" s="8" t="n">
        <v>-2675</v>
      </c>
      <c r="T2238" s="8" t="n">
        <v>-3064</v>
      </c>
      <c r="U2238" s="9" t="n">
        <v>7538</v>
      </c>
      <c r="V2238" s="10" t="n">
        <v>-3428</v>
      </c>
      <c r="W2238" s="10" t="n">
        <v>-3286</v>
      </c>
      <c r="X2238" s="7" t="n">
        <v>9254</v>
      </c>
      <c r="Y2238" s="8" t="n">
        <v>-169</v>
      </c>
      <c r="Z2238" s="8" t="n">
        <v>-817</v>
      </c>
      <c r="AA2238" s="9" t="n">
        <v>10824</v>
      </c>
      <c r="AB2238" s="10" t="n">
        <v>1017</v>
      </c>
      <c r="AC2238" s="10" t="n">
        <v>1034</v>
      </c>
      <c r="AD2238" s="7" t="n">
        <v>7232</v>
      </c>
      <c r="AE2238" s="8" t="n">
        <v>-2353</v>
      </c>
      <c r="AF2238" s="8" t="n">
        <v>-2711</v>
      </c>
      <c r="AG2238" s="9" t="n">
        <v>6050</v>
      </c>
      <c r="AH2238" s="10" t="n">
        <v>-4108</v>
      </c>
      <c r="AI2238" s="10" t="n">
        <v>-3988</v>
      </c>
      <c r="AJ2238" s="11" t="n">
        <v>6111</v>
      </c>
      <c r="AK2238" s="12" t="n">
        <v>-4209</v>
      </c>
      <c r="AL2238" s="12" t="n">
        <v>-5384</v>
      </c>
      <c r="AM2238" s="13" t="n">
        <v>1</v>
      </c>
      <c r="AN2238" s="13" t="n">
        <v>-34</v>
      </c>
      <c r="AO2238" s="13" t="n">
        <v>-2.5</v>
      </c>
      <c r="AP2238" s="13" t="n">
        <v>-2390.5</v>
      </c>
    </row>
    <row r="2239">
      <c r="A2239" s="5" t="inlineStr">
        <is>
          <t>와이바이오로직스</t>
        </is>
      </c>
      <c r="B2239" s="6" t="inlineStr">
        <is>
          <t>338840</t>
        </is>
      </c>
      <c r="C2239" s="6" t="inlineStr">
        <is>
          <t>별도</t>
        </is>
      </c>
      <c r="D2239" s="6" t="inlineStr">
        <is>
          <t>2026Q2</t>
        </is>
      </c>
      <c r="E2239" s="6" t="inlineStr"/>
      <c r="F2239" s="7" t="inlineStr"/>
      <c r="G2239" s="8" t="inlineStr"/>
      <c r="H2239" s="8" t="inlineStr"/>
      <c r="I2239" s="9" t="n">
        <v>1143</v>
      </c>
      <c r="J2239" s="10" t="n">
        <v>-2434</v>
      </c>
      <c r="K2239" s="10" t="n">
        <v>-1624</v>
      </c>
      <c r="L2239" s="7" t="n">
        <v>232</v>
      </c>
      <c r="M2239" s="8" t="n">
        <v>-3463</v>
      </c>
      <c r="N2239" s="8" t="n">
        <v>-2842</v>
      </c>
      <c r="O2239" s="9" t="n">
        <v>3241</v>
      </c>
      <c r="P2239" s="10" t="n">
        <v>-189</v>
      </c>
      <c r="Q2239" s="10" t="n">
        <v>-151</v>
      </c>
      <c r="R2239" s="7" t="n">
        <v>1147</v>
      </c>
      <c r="S2239" s="8" t="n">
        <v>-2361</v>
      </c>
      <c r="T2239" s="8" t="n">
        <v>-1825</v>
      </c>
      <c r="U2239" s="9" t="n">
        <v>407</v>
      </c>
      <c r="V2239" s="10" t="n">
        <v>-2258</v>
      </c>
      <c r="W2239" s="10" t="n">
        <v>-1881</v>
      </c>
      <c r="X2239" s="7" t="n">
        <v>1165</v>
      </c>
      <c r="Y2239" s="8" t="n">
        <v>-1495</v>
      </c>
      <c r="Z2239" s="8" t="n">
        <v>-2335</v>
      </c>
      <c r="AA2239" s="9" t="n">
        <v>892</v>
      </c>
      <c r="AB2239" s="10" t="n">
        <v>-2530</v>
      </c>
      <c r="AC2239" s="10" t="n">
        <v>-2694</v>
      </c>
      <c r="AD2239" s="7" t="n">
        <v>449</v>
      </c>
      <c r="AE2239" s="8" t="n">
        <v>-2986</v>
      </c>
      <c r="AF2239" s="8" t="n">
        <v>-35115</v>
      </c>
      <c r="AG2239" s="9" t="n">
        <v>282</v>
      </c>
      <c r="AH2239" s="10" t="n">
        <v>-3880</v>
      </c>
      <c r="AI2239" s="10" t="n">
        <v>-4317</v>
      </c>
      <c r="AJ2239" s="11" t="n">
        <v>1547</v>
      </c>
      <c r="AK2239" s="12" t="n">
        <v>-3789</v>
      </c>
      <c r="AL2239" s="12" t="n">
        <v>-7827</v>
      </c>
      <c r="AM2239" s="13" t="n">
        <v>448.6</v>
      </c>
      <c r="AN2239" s="13" t="n">
        <v>32.8</v>
      </c>
      <c r="AO2239" s="13" t="n">
        <v>2.3</v>
      </c>
      <c r="AP2239" s="13" t="n">
        <v>-153.4</v>
      </c>
    </row>
    <row r="2240">
      <c r="A2240" s="5" t="inlineStr">
        <is>
          <t>교촌에프앤비</t>
        </is>
      </c>
      <c r="B2240" s="6" t="inlineStr">
        <is>
          <t>339770</t>
        </is>
      </c>
      <c r="C2240" s="6" t="inlineStr">
        <is>
          <t>연결</t>
        </is>
      </c>
      <c r="D2240" s="6" t="inlineStr">
        <is>
          <t>2026Q2</t>
        </is>
      </c>
      <c r="E2240" s="6" t="inlineStr"/>
      <c r="F2240" s="7" t="inlineStr"/>
      <c r="G2240" s="8" t="inlineStr"/>
      <c r="H2240" s="8" t="inlineStr"/>
      <c r="I2240" s="9" t="n">
        <v>113261</v>
      </c>
      <c r="J2240" s="10" t="n">
        <v>11948</v>
      </c>
      <c r="K2240" s="10" t="n">
        <v>7828</v>
      </c>
      <c r="L2240" s="7" t="n">
        <v>113884</v>
      </c>
      <c r="M2240" s="8" t="n">
        <v>-9878</v>
      </c>
      <c r="N2240" s="8" t="n">
        <v>-8808</v>
      </c>
      <c r="O2240" s="9" t="n">
        <v>127571</v>
      </c>
      <c r="P2240" s="10" t="n">
        <v>7642</v>
      </c>
      <c r="Q2240" s="10" t="n">
        <v>4530</v>
      </c>
      <c r="R2240" s="7" t="n">
        <v>126094</v>
      </c>
      <c r="S2240" s="8" t="n">
        <v>5725</v>
      </c>
      <c r="T2240" s="8" t="n">
        <v>-2717</v>
      </c>
      <c r="U2240" s="9" t="n">
        <v>124588</v>
      </c>
      <c r="V2240" s="10" t="n">
        <v>10711</v>
      </c>
      <c r="W2240" s="10" t="n">
        <v>6588</v>
      </c>
      <c r="X2240" s="7" t="n">
        <v>126104</v>
      </c>
      <c r="Y2240" s="8" t="n">
        <v>9306</v>
      </c>
      <c r="Z2240" s="8" t="n">
        <v>4584</v>
      </c>
      <c r="AA2240" s="9" t="n">
        <v>135194</v>
      </c>
      <c r="AB2240" s="10" t="n">
        <v>11251</v>
      </c>
      <c r="AC2240" s="10" t="n">
        <v>7554</v>
      </c>
      <c r="AD2240" s="7" t="n">
        <v>131467</v>
      </c>
      <c r="AE2240" s="8" t="n">
        <v>3770</v>
      </c>
      <c r="AF2240" s="8" t="n">
        <v>-1505</v>
      </c>
      <c r="AG2240" s="9" t="n">
        <v>123356</v>
      </c>
      <c r="AH2240" s="10" t="n">
        <v>5291</v>
      </c>
      <c r="AI2240" s="10" t="n">
        <v>3379</v>
      </c>
      <c r="AJ2240" s="11" t="n">
        <v>132273</v>
      </c>
      <c r="AK2240" s="12" t="n">
        <v>7848</v>
      </c>
      <c r="AL2240" s="12" t="n">
        <v>5193</v>
      </c>
      <c r="AM2240" s="13" t="n">
        <v>7.2</v>
      </c>
      <c r="AN2240" s="13" t="n">
        <v>4.9</v>
      </c>
      <c r="AO2240" s="13" t="n">
        <v>48.3</v>
      </c>
      <c r="AP2240" s="13" t="n">
        <v>-15.7</v>
      </c>
    </row>
    <row r="2241">
      <c r="A2241" s="5" t="inlineStr">
        <is>
          <t>아이비김영</t>
        </is>
      </c>
      <c r="B2241" s="6" t="inlineStr">
        <is>
          <t>339950</t>
        </is>
      </c>
      <c r="C2241" s="6" t="inlineStr">
        <is>
          <t>연결</t>
        </is>
      </c>
      <c r="D2241" s="6" t="inlineStr">
        <is>
          <t>2026Q2</t>
        </is>
      </c>
      <c r="E2241" s="6" t="inlineStr"/>
      <c r="F2241" s="7" t="inlineStr"/>
      <c r="G2241" s="8" t="inlineStr"/>
      <c r="H2241" s="8" t="inlineStr"/>
      <c r="I2241" s="9" t="n">
        <v>19486</v>
      </c>
      <c r="J2241" s="10" t="n">
        <v>-967</v>
      </c>
      <c r="K2241" s="10" t="n">
        <v>-1051</v>
      </c>
      <c r="L2241" s="7" t="n">
        <v>24638</v>
      </c>
      <c r="M2241" s="8" t="n">
        <v>3287</v>
      </c>
      <c r="N2241" s="8" t="n">
        <v>1566</v>
      </c>
      <c r="O2241" s="9" t="n">
        <v>32383</v>
      </c>
      <c r="P2241" s="10" t="n">
        <v>8817</v>
      </c>
      <c r="Q2241" s="10" t="n">
        <v>7701</v>
      </c>
      <c r="R2241" s="7" t="n">
        <v>30562</v>
      </c>
      <c r="S2241" s="8" t="n">
        <v>5353</v>
      </c>
      <c r="T2241" s="8" t="n">
        <v>3966</v>
      </c>
      <c r="U2241" s="9" t="n">
        <v>22774</v>
      </c>
      <c r="V2241" s="10" t="n">
        <v>-337</v>
      </c>
      <c r="W2241" s="10" t="n">
        <v>-148</v>
      </c>
      <c r="X2241" s="7" t="n">
        <v>27582</v>
      </c>
      <c r="Y2241" s="8" t="n">
        <v>3706</v>
      </c>
      <c r="Z2241" s="8" t="n">
        <v>6772</v>
      </c>
      <c r="AA2241" s="9" t="n">
        <v>35958</v>
      </c>
      <c r="AB2241" s="10" t="n">
        <v>9729</v>
      </c>
      <c r="AC2241" s="10" t="n">
        <v>8196</v>
      </c>
      <c r="AD2241" s="7" t="n">
        <v>33174</v>
      </c>
      <c r="AE2241" s="8" t="n">
        <v>5969</v>
      </c>
      <c r="AF2241" s="8" t="n">
        <v>5297</v>
      </c>
      <c r="AG2241" s="9" t="n">
        <v>24199</v>
      </c>
      <c r="AH2241" s="10" t="n">
        <v>347</v>
      </c>
      <c r="AI2241" s="10" t="n">
        <v>731</v>
      </c>
      <c r="AJ2241" s="11" t="n">
        <v>28319</v>
      </c>
      <c r="AK2241" s="12" t="n">
        <v>3059</v>
      </c>
      <c r="AL2241" s="12" t="n">
        <v>2071</v>
      </c>
      <c r="AM2241" s="13" t="n">
        <v>17</v>
      </c>
      <c r="AN2241" s="13" t="n">
        <v>2.7</v>
      </c>
      <c r="AO2241" s="13" t="n">
        <v>781.6</v>
      </c>
      <c r="AP2241" s="13" t="n">
        <v>-17.5</v>
      </c>
    </row>
    <row r="2242">
      <c r="A2242" s="5" t="inlineStr">
        <is>
          <t>다보링크</t>
        </is>
      </c>
      <c r="B2242" s="6" t="inlineStr">
        <is>
          <t>340360</t>
        </is>
      </c>
      <c r="C2242" s="6" t="inlineStr">
        <is>
          <t>연결</t>
        </is>
      </c>
      <c r="D2242" s="6" t="inlineStr">
        <is>
          <t>2026Q2</t>
        </is>
      </c>
      <c r="E2242" s="6" t="inlineStr"/>
      <c r="F2242" s="7" t="inlineStr"/>
      <c r="G2242" s="8" t="inlineStr"/>
      <c r="H2242" s="8" t="inlineStr"/>
      <c r="I2242" s="9" t="n">
        <v>16092</v>
      </c>
      <c r="J2242" s="10" t="n">
        <v>425</v>
      </c>
      <c r="K2242" s="10" t="n">
        <v>-5</v>
      </c>
      <c r="L2242" s="7" t="n">
        <v>16126</v>
      </c>
      <c r="M2242" s="8" t="n">
        <v>-1490</v>
      </c>
      <c r="N2242" s="8" t="n">
        <v>-1691</v>
      </c>
      <c r="O2242" s="9" t="n">
        <v>19771</v>
      </c>
      <c r="P2242" s="10" t="n">
        <v>-489</v>
      </c>
      <c r="Q2242" s="10" t="n">
        <v>-374</v>
      </c>
      <c r="R2242" s="7" t="n">
        <v>13932</v>
      </c>
      <c r="S2242" s="8" t="n">
        <v>-97</v>
      </c>
      <c r="T2242" s="8" t="n">
        <v>-3569</v>
      </c>
      <c r="U2242" s="9" t="n">
        <v>12565</v>
      </c>
      <c r="V2242" s="10" t="n">
        <v>-1517</v>
      </c>
      <c r="W2242" s="10" t="n">
        <v>-4710</v>
      </c>
      <c r="X2242" s="7" t="n">
        <v>16346</v>
      </c>
      <c r="Y2242" s="8" t="n">
        <v>-294</v>
      </c>
      <c r="Z2242" s="8" t="n">
        <v>1861</v>
      </c>
      <c r="AA2242" s="9" t="n">
        <v>20661</v>
      </c>
      <c r="AB2242" s="10" t="n">
        <v>1186</v>
      </c>
      <c r="AC2242" s="10" t="n">
        <v>2205</v>
      </c>
      <c r="AD2242" s="7" t="n">
        <v>13630</v>
      </c>
      <c r="AE2242" s="8" t="n">
        <v>-1276</v>
      </c>
      <c r="AF2242" s="8" t="n">
        <v>-4366</v>
      </c>
      <c r="AG2242" s="9" t="n">
        <v>12574</v>
      </c>
      <c r="AH2242" s="10" t="n">
        <v>-1007</v>
      </c>
      <c r="AI2242" s="10" t="inlineStr"/>
      <c r="AJ2242" s="11" t="n">
        <v>16652</v>
      </c>
      <c r="AK2242" s="12" t="n">
        <v>-932</v>
      </c>
      <c r="AL2242" s="12" t="n">
        <v>-292</v>
      </c>
      <c r="AM2242" s="13" t="n">
        <v>32.4</v>
      </c>
      <c r="AN2242" s="13" t="n">
        <v>1.9</v>
      </c>
      <c r="AO2242" s="13" t="n">
        <v>7.4</v>
      </c>
      <c r="AP2242" s="13" t="n">
        <v>-217</v>
      </c>
    </row>
    <row r="2243">
      <c r="A2243" s="5" t="inlineStr">
        <is>
          <t>세림B&amp;G</t>
        </is>
      </c>
      <c r="B2243" s="6" t="inlineStr">
        <is>
          <t>340440</t>
        </is>
      </c>
      <c r="C2243" s="6" t="inlineStr">
        <is>
          <t>별도</t>
        </is>
      </c>
      <c r="D2243" s="6" t="inlineStr">
        <is>
          <t>2026Q2</t>
        </is>
      </c>
      <c r="E2243" s="6" t="inlineStr"/>
      <c r="F2243" s="7" t="inlineStr"/>
      <c r="G2243" s="8" t="inlineStr"/>
      <c r="H2243" s="8" t="inlineStr"/>
      <c r="I2243" s="9" t="n">
        <v>15137</v>
      </c>
      <c r="J2243" s="10" t="n">
        <v>1126</v>
      </c>
      <c r="K2243" s="10" t="n">
        <v>1010</v>
      </c>
      <c r="L2243" s="7" t="n">
        <v>13481</v>
      </c>
      <c r="M2243" s="8" t="n">
        <v>752</v>
      </c>
      <c r="N2243" s="8" t="n">
        <v>-81</v>
      </c>
      <c r="O2243" s="9" t="n">
        <v>14379</v>
      </c>
      <c r="P2243" s="10" t="n">
        <v>837</v>
      </c>
      <c r="Q2243" s="10" t="n">
        <v>773</v>
      </c>
      <c r="R2243" s="7" t="n">
        <v>12422</v>
      </c>
      <c r="S2243" s="8" t="n">
        <v>367</v>
      </c>
      <c r="T2243" s="8" t="n">
        <v>623</v>
      </c>
      <c r="U2243" s="9" t="n">
        <v>12222</v>
      </c>
      <c r="V2243" s="10" t="n">
        <v>183</v>
      </c>
      <c r="W2243" s="10" t="n">
        <v>221</v>
      </c>
      <c r="X2243" s="7" t="n">
        <v>11671</v>
      </c>
      <c r="Y2243" s="8" t="n">
        <v>22</v>
      </c>
      <c r="Z2243" s="8" t="n">
        <v>121</v>
      </c>
      <c r="AA2243" s="9" t="n">
        <v>13578</v>
      </c>
      <c r="AB2243" s="10" t="n">
        <v>783</v>
      </c>
      <c r="AC2243" s="10" t="n">
        <v>749</v>
      </c>
      <c r="AD2243" s="7" t="n">
        <v>10519</v>
      </c>
      <c r="AE2243" s="8" t="n">
        <v>-74</v>
      </c>
      <c r="AF2243" s="8" t="n">
        <v>778</v>
      </c>
      <c r="AG2243" s="9" t="n">
        <v>13060</v>
      </c>
      <c r="AH2243" s="10" t="n">
        <v>380</v>
      </c>
      <c r="AI2243" s="10" t="n">
        <v>439</v>
      </c>
      <c r="AJ2243" s="11" t="n">
        <v>12342</v>
      </c>
      <c r="AK2243" s="12" t="n">
        <v>393</v>
      </c>
      <c r="AL2243" s="12" t="n">
        <v>730</v>
      </c>
      <c r="AM2243" s="13" t="n">
        <v>-5.5</v>
      </c>
      <c r="AN2243" s="13" t="n">
        <v>5.7</v>
      </c>
      <c r="AO2243" s="13" t="n">
        <v>3.4</v>
      </c>
      <c r="AP2243" s="13" t="n">
        <v>1686.4</v>
      </c>
    </row>
    <row r="2244">
      <c r="A2244" s="5" t="inlineStr">
        <is>
          <t>지씨지놈</t>
        </is>
      </c>
      <c r="B2244" s="6" t="inlineStr">
        <is>
          <t>340450</t>
        </is>
      </c>
      <c r="C2244" s="6" t="inlineStr">
        <is>
          <t>별도</t>
        </is>
      </c>
      <c r="D2244" s="6" t="inlineStr">
        <is>
          <t>2026Q2</t>
        </is>
      </c>
      <c r="E2244" s="6" t="inlineStr"/>
      <c r="F2244" s="7" t="inlineStr"/>
      <c r="G2244" s="8" t="inlineStr"/>
      <c r="H2244" s="8" t="inlineStr"/>
      <c r="I2244" s="9" t="inlineStr"/>
      <c r="J2244" s="10" t="inlineStr"/>
      <c r="K2244" s="10" t="inlineStr"/>
      <c r="L2244" s="7" t="inlineStr"/>
      <c r="M2244" s="8" t="inlineStr"/>
      <c r="N2244" s="8" t="inlineStr"/>
      <c r="O2244" s="9" t="inlineStr"/>
      <c r="P2244" s="10" t="inlineStr"/>
      <c r="Q2244" s="10" t="inlineStr"/>
      <c r="R2244" s="7" t="inlineStr"/>
      <c r="S2244" s="8" t="inlineStr"/>
      <c r="T2244" s="8" t="inlineStr"/>
      <c r="U2244" s="9" t="inlineStr"/>
      <c r="V2244" s="10" t="inlineStr"/>
      <c r="W2244" s="10" t="inlineStr"/>
      <c r="X2244" s="7" t="n">
        <v>7807</v>
      </c>
      <c r="Y2244" s="8" t="n">
        <v>287</v>
      </c>
      <c r="Z2244" s="8" t="n">
        <v>-73</v>
      </c>
      <c r="AA2244" s="9" t="n">
        <v>8835</v>
      </c>
      <c r="AB2244" s="10" t="n">
        <v>773</v>
      </c>
      <c r="AC2244" s="10" t="n">
        <v>1435</v>
      </c>
      <c r="AD2244" s="7" t="inlineStr"/>
      <c r="AE2244" s="8" t="inlineStr"/>
      <c r="AF2244" s="8" t="inlineStr"/>
      <c r="AG2244" s="9" t="n">
        <v>7436</v>
      </c>
      <c r="AH2244" s="10" t="n">
        <v>140</v>
      </c>
      <c r="AI2244" s="10" t="n">
        <v>814</v>
      </c>
      <c r="AJ2244" s="11" t="n">
        <v>8288</v>
      </c>
      <c r="AK2244" s="12" t="n">
        <v>433</v>
      </c>
      <c r="AL2244" s="12" t="n">
        <v>781</v>
      </c>
      <c r="AM2244" s="13" t="n">
        <v>11.5</v>
      </c>
      <c r="AN2244" s="13" t="n">
        <v>6.2</v>
      </c>
      <c r="AO2244" s="13" t="n">
        <v>209.3</v>
      </c>
      <c r="AP2244" s="13" t="n">
        <v>50.9</v>
      </c>
    </row>
    <row r="2245">
      <c r="A2245" s="5" t="inlineStr">
        <is>
          <t>티앤엘</t>
        </is>
      </c>
      <c r="B2245" s="6" t="inlineStr">
        <is>
          <t>340570</t>
        </is>
      </c>
      <c r="C2245" s="6" t="inlineStr">
        <is>
          <t>연결</t>
        </is>
      </c>
      <c r="D2245" s="6" t="inlineStr">
        <is>
          <t>2026Q2</t>
        </is>
      </c>
      <c r="E2245" s="6" t="inlineStr"/>
      <c r="F2245" s="7" t="inlineStr"/>
      <c r="G2245" s="8" t="inlineStr"/>
      <c r="H2245" s="8" t="inlineStr"/>
      <c r="I2245" s="9" t="n">
        <v>24814</v>
      </c>
      <c r="J2245" s="10" t="n">
        <v>7224</v>
      </c>
      <c r="K2245" s="10" t="n">
        <v>7099</v>
      </c>
      <c r="L2245" s="7" t="n">
        <v>54837</v>
      </c>
      <c r="M2245" s="8" t="n">
        <v>20746</v>
      </c>
      <c r="N2245" s="8" t="n">
        <v>17320</v>
      </c>
      <c r="O2245" s="9" t="n">
        <v>48724</v>
      </c>
      <c r="P2245" s="10" t="n">
        <v>17835</v>
      </c>
      <c r="Q2245" s="10" t="n">
        <v>13244</v>
      </c>
      <c r="R2245" s="7" t="n">
        <v>46517</v>
      </c>
      <c r="S2245" s="8" t="n">
        <v>11152</v>
      </c>
      <c r="T2245" s="8" t="n">
        <v>8745</v>
      </c>
      <c r="U2245" s="9" t="n">
        <v>51317</v>
      </c>
      <c r="V2245" s="10" t="n">
        <v>20224</v>
      </c>
      <c r="W2245" s="10" t="n">
        <v>15853</v>
      </c>
      <c r="X2245" s="7" t="n">
        <v>38765</v>
      </c>
      <c r="Y2245" s="8" t="n">
        <v>9966</v>
      </c>
      <c r="Z2245" s="8" t="n">
        <v>7834</v>
      </c>
      <c r="AA2245" s="9" t="n">
        <v>40673</v>
      </c>
      <c r="AB2245" s="10" t="n">
        <v>12140</v>
      </c>
      <c r="AC2245" s="10" t="n">
        <v>11333</v>
      </c>
      <c r="AD2245" s="7" t="n">
        <v>33403</v>
      </c>
      <c r="AE2245" s="8" t="n">
        <v>4021</v>
      </c>
      <c r="AF2245" s="8" t="n">
        <v>3055</v>
      </c>
      <c r="AG2245" s="9" t="n">
        <v>45067</v>
      </c>
      <c r="AH2245" s="10" t="n">
        <v>18266</v>
      </c>
      <c r="AI2245" s="10" t="n">
        <v>16441</v>
      </c>
      <c r="AJ2245" s="11" t="n">
        <v>56017</v>
      </c>
      <c r="AK2245" s="12" t="n">
        <v>24959</v>
      </c>
      <c r="AL2245" s="12" t="n">
        <v>19948</v>
      </c>
      <c r="AM2245" s="13" t="n">
        <v>24.3</v>
      </c>
      <c r="AN2245" s="13" t="n">
        <v>44.5</v>
      </c>
      <c r="AO2245" s="13" t="n">
        <v>36.6</v>
      </c>
      <c r="AP2245" s="13" t="n">
        <v>150.4</v>
      </c>
    </row>
    <row r="2246">
      <c r="A2246" s="5" t="inlineStr">
        <is>
          <t>시선AI</t>
        </is>
      </c>
      <c r="B2246" s="6" t="inlineStr">
        <is>
          <t>340810</t>
        </is>
      </c>
      <c r="C2246" s="6" t="inlineStr">
        <is>
          <t>연결</t>
        </is>
      </c>
      <c r="D2246" s="6" t="inlineStr">
        <is>
          <t>2026Q2</t>
        </is>
      </c>
      <c r="E2246" s="6" t="inlineStr"/>
      <c r="F2246" s="7" t="inlineStr"/>
      <c r="G2246" s="8" t="inlineStr"/>
      <c r="H2246" s="8" t="inlineStr"/>
      <c r="I2246" s="9" t="n">
        <v>3001</v>
      </c>
      <c r="J2246" s="10" t="n">
        <v>-3456</v>
      </c>
      <c r="K2246" s="10" t="n">
        <v>-3760</v>
      </c>
      <c r="L2246" s="7" t="n">
        <v>2407</v>
      </c>
      <c r="M2246" s="8" t="n">
        <v>-3302</v>
      </c>
      <c r="N2246" s="8" t="n">
        <v>-2239</v>
      </c>
      <c r="O2246" s="9" t="n">
        <v>4968</v>
      </c>
      <c r="P2246" s="10" t="n">
        <v>-2070</v>
      </c>
      <c r="Q2246" s="10" t="n">
        <v>-2287</v>
      </c>
      <c r="R2246" s="7" t="n">
        <v>4071</v>
      </c>
      <c r="S2246" s="8" t="n">
        <v>-1612</v>
      </c>
      <c r="T2246" s="8" t="n">
        <v>-2374</v>
      </c>
      <c r="U2246" s="9" t="n">
        <v>1265</v>
      </c>
      <c r="V2246" s="10" t="n">
        <v>-2990</v>
      </c>
      <c r="W2246" s="10" t="n">
        <v>-3446</v>
      </c>
      <c r="X2246" s="7" t="n">
        <v>960</v>
      </c>
      <c r="Y2246" s="8" t="n">
        <v>-3961</v>
      </c>
      <c r="Z2246" s="8" t="n">
        <v>-8156</v>
      </c>
      <c r="AA2246" s="9" t="n">
        <v>3039</v>
      </c>
      <c r="AB2246" s="10" t="n">
        <v>-1829</v>
      </c>
      <c r="AC2246" s="10" t="n">
        <v>-1917</v>
      </c>
      <c r="AD2246" s="7" t="n">
        <v>8706</v>
      </c>
      <c r="AE2246" s="8" t="n">
        <v>-2491</v>
      </c>
      <c r="AF2246" s="8" t="n">
        <v>-1817</v>
      </c>
      <c r="AG2246" s="9" t="n">
        <v>3283</v>
      </c>
      <c r="AH2246" s="10" t="n">
        <v>-2759</v>
      </c>
      <c r="AI2246" s="10" t="n">
        <v>-2828</v>
      </c>
      <c r="AJ2246" s="11" t="n">
        <v>2502</v>
      </c>
      <c r="AK2246" s="12" t="n">
        <v>-2793</v>
      </c>
      <c r="AL2246" s="12" t="n">
        <v>-3384</v>
      </c>
      <c r="AM2246" s="13" t="n">
        <v>-23.8</v>
      </c>
      <c r="AN2246" s="13" t="n">
        <v>160.6</v>
      </c>
      <c r="AO2246" s="13" t="n">
        <v>-1.2</v>
      </c>
      <c r="AP2246" s="13" t="n">
        <v>29.5</v>
      </c>
    </row>
    <row r="2247">
      <c r="A2247" s="5" t="inlineStr">
        <is>
          <t>성원에너텍</t>
        </is>
      </c>
      <c r="B2247" s="6" t="inlineStr">
        <is>
          <t>340930</t>
        </is>
      </c>
      <c r="C2247" s="6" t="inlineStr">
        <is>
          <t>연결</t>
        </is>
      </c>
      <c r="D2247" s="6" t="inlineStr">
        <is>
          <t>2026Q2</t>
        </is>
      </c>
      <c r="E2247" s="6" t="inlineStr"/>
      <c r="F2247" s="7" t="inlineStr"/>
      <c r="G2247" s="8" t="inlineStr"/>
      <c r="H2247" s="8" t="inlineStr"/>
      <c r="I2247" s="9" t="n">
        <v>7864</v>
      </c>
      <c r="J2247" s="10" t="n">
        <v>-1708</v>
      </c>
      <c r="K2247" s="10" t="n">
        <v>-1794</v>
      </c>
      <c r="L2247" s="7" t="n">
        <v>26881</v>
      </c>
      <c r="M2247" s="8" t="n">
        <v>-1875</v>
      </c>
      <c r="N2247" s="8" t="n">
        <v>-2137</v>
      </c>
      <c r="O2247" s="9" t="n">
        <v>7946</v>
      </c>
      <c r="P2247" s="10" t="n">
        <v>-6081</v>
      </c>
      <c r="Q2247" s="10" t="n">
        <v>-9401</v>
      </c>
      <c r="R2247" s="7" t="n">
        <v>16999</v>
      </c>
      <c r="S2247" s="8" t="n">
        <v>-7059</v>
      </c>
      <c r="T2247" s="8" t="n">
        <v>-15376</v>
      </c>
      <c r="U2247" s="9" t="n">
        <v>9295</v>
      </c>
      <c r="V2247" s="10" t="n">
        <v>384</v>
      </c>
      <c r="W2247" s="10" t="n">
        <v>-898</v>
      </c>
      <c r="X2247" s="7" t="n">
        <v>16905</v>
      </c>
      <c r="Y2247" s="8" t="n">
        <v>-2815</v>
      </c>
      <c r="Z2247" s="8" t="n">
        <v>-4296</v>
      </c>
      <c r="AA2247" s="9" t="n">
        <v>1200</v>
      </c>
      <c r="AB2247" s="10" t="n">
        <v>-2926</v>
      </c>
      <c r="AC2247" s="10" t="n">
        <v>-3756</v>
      </c>
      <c r="AD2247" s="7" t="n">
        <v>32615</v>
      </c>
      <c r="AE2247" s="8" t="n">
        <v>2644</v>
      </c>
      <c r="AF2247" s="8" t="n">
        <v>-15891</v>
      </c>
      <c r="AG2247" s="9" t="n">
        <v>1637</v>
      </c>
      <c r="AH2247" s="10" t="n">
        <v>-1996</v>
      </c>
      <c r="AI2247" s="10" t="n">
        <v>-4686</v>
      </c>
      <c r="AJ2247" s="11" t="n">
        <v>489</v>
      </c>
      <c r="AK2247" s="12" t="n">
        <v>-7956</v>
      </c>
      <c r="AL2247" s="12" t="n">
        <v>-1654</v>
      </c>
      <c r="AM2247" s="13" t="n">
        <v>-70.09999999999999</v>
      </c>
      <c r="AN2247" s="13" t="n">
        <v>-97.09999999999999</v>
      </c>
      <c r="AO2247" s="13" t="n">
        <v>-298.6</v>
      </c>
      <c r="AP2247" s="13" t="n">
        <v>-182.6</v>
      </c>
    </row>
    <row r="2248">
      <c r="A2248" s="5" t="inlineStr">
        <is>
          <t>오아</t>
        </is>
      </c>
      <c r="B2248" s="6" t="inlineStr">
        <is>
          <t>342870</t>
        </is>
      </c>
      <c r="C2248" s="6" t="inlineStr">
        <is>
          <t>연결</t>
        </is>
      </c>
      <c r="D2248" s="6" t="inlineStr">
        <is>
          <t>2026Q2</t>
        </is>
      </c>
      <c r="E2248" s="6" t="inlineStr"/>
      <c r="F2248" s="7" t="inlineStr"/>
      <c r="G2248" s="8" t="inlineStr"/>
      <c r="H2248" s="8" t="inlineStr"/>
      <c r="I2248" s="9" t="inlineStr"/>
      <c r="J2248" s="10" t="inlineStr"/>
      <c r="K2248" s="10" t="inlineStr"/>
      <c r="L2248" s="7" t="inlineStr"/>
      <c r="M2248" s="8" t="inlineStr"/>
      <c r="N2248" s="8" t="inlineStr"/>
      <c r="O2248" s="9" t="inlineStr"/>
      <c r="P2248" s="10" t="inlineStr"/>
      <c r="Q2248" s="10" t="inlineStr"/>
      <c r="R2248" s="7" t="inlineStr"/>
      <c r="S2248" s="8" t="inlineStr"/>
      <c r="T2248" s="8" t="inlineStr"/>
      <c r="U2248" s="9" t="inlineStr"/>
      <c r="V2248" s="10" t="inlineStr"/>
      <c r="W2248" s="10" t="inlineStr"/>
      <c r="X2248" s="7" t="n">
        <v>25528</v>
      </c>
      <c r="Y2248" s="8" t="n">
        <v>2547</v>
      </c>
      <c r="Z2248" s="8" t="n">
        <v>2339</v>
      </c>
      <c r="AA2248" s="9" t="n">
        <v>27337</v>
      </c>
      <c r="AB2248" s="10" t="n">
        <v>1930</v>
      </c>
      <c r="AC2248" s="10" t="n">
        <v>-4759</v>
      </c>
      <c r="AD2248" s="7" t="inlineStr"/>
      <c r="AE2248" s="8" t="inlineStr"/>
      <c r="AF2248" s="8" t="inlineStr"/>
      <c r="AG2248" s="9" t="n">
        <v>25412</v>
      </c>
      <c r="AH2248" s="10" t="n">
        <v>1055</v>
      </c>
      <c r="AI2248" s="10" t="n">
        <v>760</v>
      </c>
      <c r="AJ2248" s="11" t="n">
        <v>27455</v>
      </c>
      <c r="AK2248" s="12" t="n">
        <v>-127</v>
      </c>
      <c r="AL2248" s="12" t="n">
        <v>-251</v>
      </c>
      <c r="AM2248" s="13" t="n">
        <v>8</v>
      </c>
      <c r="AN2248" s="13" t="n">
        <v>7.5</v>
      </c>
      <c r="AO2248" s="13" t="n">
        <v>-112</v>
      </c>
      <c r="AP2248" s="13" t="n">
        <v>-105</v>
      </c>
    </row>
    <row r="2249">
      <c r="A2249" s="5" t="inlineStr">
        <is>
          <t>케이씨씨글라스</t>
        </is>
      </c>
      <c r="B2249" s="6" t="inlineStr">
        <is>
          <t>344820</t>
        </is>
      </c>
      <c r="C2249" s="6" t="inlineStr">
        <is>
          <t>연결</t>
        </is>
      </c>
      <c r="D2249" s="6" t="inlineStr">
        <is>
          <t>2026Q2</t>
        </is>
      </c>
      <c r="E2249" s="6" t="inlineStr">
        <is>
          <t>2023Q4</t>
        </is>
      </c>
      <c r="F2249" s="14" t="n">
        <v>438543</v>
      </c>
      <c r="G2249" s="15" t="n">
        <v>26248</v>
      </c>
      <c r="H2249" s="15" t="n">
        <v>26384</v>
      </c>
      <c r="I2249" s="9" t="n">
        <v>389091</v>
      </c>
      <c r="J2249" s="10" t="n">
        <v>20772</v>
      </c>
      <c r="K2249" s="10" t="n">
        <v>9089</v>
      </c>
      <c r="L2249" s="7" t="n">
        <v>514327</v>
      </c>
      <c r="M2249" s="8" t="n">
        <v>21577</v>
      </c>
      <c r="N2249" s="8" t="n">
        <v>12153</v>
      </c>
      <c r="O2249" s="9" t="n">
        <v>487719</v>
      </c>
      <c r="P2249" s="10" t="n">
        <v>8023</v>
      </c>
      <c r="Q2249" s="10" t="n">
        <v>23154</v>
      </c>
      <c r="R2249" s="7" t="n">
        <v>512184</v>
      </c>
      <c r="S2249" s="8" t="n">
        <v>6809</v>
      </c>
      <c r="T2249" s="8" t="n">
        <v>-7443</v>
      </c>
      <c r="U2249" s="9" t="n">
        <v>448678</v>
      </c>
      <c r="V2249" s="10" t="n">
        <v>-5625</v>
      </c>
      <c r="W2249" s="10" t="n">
        <v>-11226</v>
      </c>
      <c r="X2249" s="7" t="n">
        <v>512917</v>
      </c>
      <c r="Y2249" s="8" t="n">
        <v>-35426</v>
      </c>
      <c r="Z2249" s="8" t="n">
        <v>-35337</v>
      </c>
      <c r="AA2249" s="9" t="n">
        <v>481193</v>
      </c>
      <c r="AB2249" s="10" t="n">
        <v>-14239</v>
      </c>
      <c r="AC2249" s="10" t="n">
        <v>-15607</v>
      </c>
      <c r="AD2249" s="7" t="n">
        <v>457818</v>
      </c>
      <c r="AE2249" s="8" t="n">
        <v>-19917</v>
      </c>
      <c r="AF2249" s="8" t="n">
        <v>-21473</v>
      </c>
      <c r="AG2249" s="9" t="n">
        <v>466638</v>
      </c>
      <c r="AH2249" s="10" t="n">
        <v>-10085</v>
      </c>
      <c r="AI2249" s="10" t="n">
        <v>-7089</v>
      </c>
      <c r="AJ2249" s="11" t="n">
        <v>577146</v>
      </c>
      <c r="AK2249" s="12" t="n">
        <v>4811</v>
      </c>
      <c r="AL2249" s="12" t="n">
        <v>-11815</v>
      </c>
      <c r="AM2249" s="13" t="n">
        <v>23.7</v>
      </c>
      <c r="AN2249" s="13" t="n">
        <v>12.5</v>
      </c>
      <c r="AO2249" s="13" t="n">
        <v>147.7</v>
      </c>
      <c r="AP2249" s="13" t="n">
        <v>113.6</v>
      </c>
    </row>
    <row r="2250">
      <c r="A2250" s="5" t="inlineStr">
        <is>
          <t>이노진</t>
        </is>
      </c>
      <c r="B2250" s="6" t="inlineStr">
        <is>
          <t>344860</t>
        </is>
      </c>
      <c r="C2250" s="6" t="inlineStr">
        <is>
          <t>별도</t>
        </is>
      </c>
      <c r="D2250" s="6" t="inlineStr">
        <is>
          <t>2026Q2</t>
        </is>
      </c>
      <c r="E2250" s="6" t="inlineStr"/>
      <c r="F2250" s="7" t="inlineStr"/>
      <c r="G2250" s="8" t="inlineStr"/>
      <c r="H2250" s="8" t="inlineStr"/>
      <c r="I2250" s="9" t="n">
        <v>2040</v>
      </c>
      <c r="J2250" s="10" t="n">
        <v>131</v>
      </c>
      <c r="K2250" s="10" t="n">
        <v>235</v>
      </c>
      <c r="L2250" s="7" t="n">
        <v>2937</v>
      </c>
      <c r="M2250" s="8" t="n">
        <v>445</v>
      </c>
      <c r="N2250" s="8" t="n">
        <v>460</v>
      </c>
      <c r="O2250" s="9" t="n">
        <v>1913</v>
      </c>
      <c r="P2250" s="10" t="n">
        <v>21</v>
      </c>
      <c r="Q2250" s="10" t="n">
        <v>97</v>
      </c>
      <c r="R2250" s="7" t="n">
        <v>2055</v>
      </c>
      <c r="S2250" s="8" t="n">
        <v>33</v>
      </c>
      <c r="T2250" s="8" t="n">
        <v>153</v>
      </c>
      <c r="U2250" s="9" t="n">
        <v>1767</v>
      </c>
      <c r="V2250" s="10" t="n">
        <v>-27</v>
      </c>
      <c r="W2250" s="10" t="n">
        <v>45</v>
      </c>
      <c r="X2250" s="7" t="n">
        <v>1895</v>
      </c>
      <c r="Y2250" s="8" t="n">
        <v>-48</v>
      </c>
      <c r="Z2250" s="8" t="n">
        <v>-28</v>
      </c>
      <c r="AA2250" s="9" t="n">
        <v>2137</v>
      </c>
      <c r="AB2250" s="10" t="n">
        <v>-30</v>
      </c>
      <c r="AC2250" s="10" t="n">
        <v>59</v>
      </c>
      <c r="AD2250" s="7" t="n">
        <v>2414</v>
      </c>
      <c r="AE2250" s="8" t="n">
        <v>109</v>
      </c>
      <c r="AF2250" s="8" t="n">
        <v>212</v>
      </c>
      <c r="AG2250" s="9" t="n">
        <v>2591</v>
      </c>
      <c r="AH2250" s="10" t="n">
        <v>-176</v>
      </c>
      <c r="AI2250" s="10" t="n">
        <v>-96</v>
      </c>
      <c r="AJ2250" s="11" t="n">
        <v>4796</v>
      </c>
      <c r="AK2250" s="12" t="n">
        <v>-545</v>
      </c>
      <c r="AL2250" s="12" t="n">
        <v>-487</v>
      </c>
      <c r="AM2250" s="13" t="n">
        <v>85.09999999999999</v>
      </c>
      <c r="AN2250" s="13" t="n">
        <v>153.1</v>
      </c>
      <c r="AO2250" s="13" t="n">
        <v>-209.7</v>
      </c>
      <c r="AP2250" s="13" t="n">
        <v>-1035.4</v>
      </c>
    </row>
    <row r="2251">
      <c r="A2251" s="5" t="inlineStr">
        <is>
          <t>센코</t>
        </is>
      </c>
      <c r="B2251" s="6" t="inlineStr">
        <is>
          <t>347000</t>
        </is>
      </c>
      <c r="C2251" s="6" t="inlineStr">
        <is>
          <t>연결</t>
        </is>
      </c>
      <c r="D2251" s="6" t="inlineStr">
        <is>
          <t>2026Q2</t>
        </is>
      </c>
      <c r="E2251" s="6" t="inlineStr"/>
      <c r="F2251" s="7" t="inlineStr"/>
      <c r="G2251" s="8" t="inlineStr"/>
      <c r="H2251" s="8" t="inlineStr"/>
      <c r="I2251" s="9" t="n">
        <v>7351</v>
      </c>
      <c r="J2251" s="10" t="n">
        <v>-242</v>
      </c>
      <c r="K2251" s="10" t="n">
        <v>-51</v>
      </c>
      <c r="L2251" s="7" t="n">
        <v>7994</v>
      </c>
      <c r="M2251" s="8" t="n">
        <v>782</v>
      </c>
      <c r="N2251" s="8" t="n">
        <v>413</v>
      </c>
      <c r="O2251" s="9" t="n">
        <v>6550</v>
      </c>
      <c r="P2251" s="10" t="n">
        <v>-16</v>
      </c>
      <c r="Q2251" s="10" t="n">
        <v>-575</v>
      </c>
      <c r="R2251" s="7" t="n">
        <v>13967</v>
      </c>
      <c r="S2251" s="8" t="n">
        <v>2194</v>
      </c>
      <c r="T2251" s="8" t="n">
        <v>2742</v>
      </c>
      <c r="U2251" s="9" t="n">
        <v>6495</v>
      </c>
      <c r="V2251" s="10" t="n">
        <v>402</v>
      </c>
      <c r="W2251" s="10" t="n">
        <v>207</v>
      </c>
      <c r="X2251" s="7" t="n">
        <v>9383</v>
      </c>
      <c r="Y2251" s="8" t="n">
        <v>437</v>
      </c>
      <c r="Z2251" s="8" t="n">
        <v>-73</v>
      </c>
      <c r="AA2251" s="9" t="n">
        <v>8315</v>
      </c>
      <c r="AB2251" s="10" t="n">
        <v>793</v>
      </c>
      <c r="AC2251" s="10" t="n">
        <v>3512</v>
      </c>
      <c r="AD2251" s="7" t="n">
        <v>12532</v>
      </c>
      <c r="AE2251" s="8" t="n">
        <v>873</v>
      </c>
      <c r="AF2251" s="8" t="n">
        <v>1069</v>
      </c>
      <c r="AG2251" s="9" t="n">
        <v>8842</v>
      </c>
      <c r="AH2251" s="10" t="n">
        <v>-201</v>
      </c>
      <c r="AI2251" s="10" t="n">
        <v>1503</v>
      </c>
      <c r="AJ2251" s="11" t="n">
        <v>12638</v>
      </c>
      <c r="AK2251" s="12" t="n">
        <v>1411</v>
      </c>
      <c r="AL2251" s="12" t="n">
        <v>1030</v>
      </c>
      <c r="AM2251" s="13" t="n">
        <v>42.9</v>
      </c>
      <c r="AN2251" s="13" t="n">
        <v>34.7</v>
      </c>
      <c r="AO2251" s="13" t="n">
        <v>802</v>
      </c>
      <c r="AP2251" s="13" t="n">
        <v>222.9</v>
      </c>
    </row>
    <row r="2252">
      <c r="A2252" s="5" t="inlineStr">
        <is>
          <t>스피어</t>
        </is>
      </c>
      <c r="B2252" s="6" t="inlineStr">
        <is>
          <t>347700</t>
        </is>
      </c>
      <c r="C2252" s="6" t="inlineStr">
        <is>
          <t>연결</t>
        </is>
      </c>
      <c r="D2252" s="6" t="inlineStr">
        <is>
          <t>2026Q2</t>
        </is>
      </c>
      <c r="E2252" s="6" t="inlineStr"/>
      <c r="F2252" s="7" t="inlineStr"/>
      <c r="G2252" s="8" t="inlineStr"/>
      <c r="H2252" s="8" t="inlineStr"/>
      <c r="I2252" s="9" t="n">
        <v>2451</v>
      </c>
      <c r="J2252" s="10" t="n">
        <v>-3043</v>
      </c>
      <c r="K2252" s="10" t="inlineStr"/>
      <c r="L2252" s="7" t="n">
        <v>2288</v>
      </c>
      <c r="M2252" s="8" t="n">
        <v>-3003</v>
      </c>
      <c r="N2252" s="8" t="inlineStr"/>
      <c r="O2252" s="9" t="n">
        <v>1264</v>
      </c>
      <c r="P2252" s="10" t="n">
        <v>-1635</v>
      </c>
      <c r="Q2252" s="10" t="inlineStr"/>
      <c r="R2252" s="7" t="n">
        <v>-3445</v>
      </c>
      <c r="S2252" s="8" t="n">
        <v>1308</v>
      </c>
      <c r="T2252" s="8" t="inlineStr"/>
      <c r="U2252" s="9" t="n">
        <v>21853</v>
      </c>
      <c r="V2252" s="10" t="n">
        <v>4311</v>
      </c>
      <c r="W2252" s="10" t="n">
        <v>3164</v>
      </c>
      <c r="X2252" s="7" t="n">
        <v>18861</v>
      </c>
      <c r="Y2252" s="8" t="n">
        <v>2092</v>
      </c>
      <c r="Z2252" s="8" t="n">
        <v>21188</v>
      </c>
      <c r="AA2252" s="9" t="n">
        <v>21096</v>
      </c>
      <c r="AB2252" s="10" t="n">
        <v>-990</v>
      </c>
      <c r="AC2252" s="10" t="n">
        <v>-3313</v>
      </c>
      <c r="AD2252" s="7" t="n">
        <v>33829</v>
      </c>
      <c r="AE2252" s="8" t="n">
        <v>3639</v>
      </c>
      <c r="AF2252" s="8" t="n">
        <v>-20869</v>
      </c>
      <c r="AG2252" s="9" t="n">
        <v>45069</v>
      </c>
      <c r="AH2252" s="10" t="n">
        <v>711</v>
      </c>
      <c r="AI2252" s="10" t="n">
        <v>39785</v>
      </c>
      <c r="AJ2252" s="11" t="n">
        <v>77062</v>
      </c>
      <c r="AK2252" s="12" t="n">
        <v>1665</v>
      </c>
      <c r="AL2252" s="12" t="n">
        <v>-24290</v>
      </c>
      <c r="AM2252" s="13" t="n">
        <v>71</v>
      </c>
      <c r="AN2252" s="13" t="n">
        <v>308.6</v>
      </c>
      <c r="AO2252" s="13" t="n">
        <v>134.2</v>
      </c>
      <c r="AP2252" s="13" t="n">
        <v>-20.4</v>
      </c>
    </row>
    <row r="2253">
      <c r="A2253" s="5" t="inlineStr">
        <is>
          <t>피엔케이피부임상연구센타</t>
        </is>
      </c>
      <c r="B2253" s="6" t="inlineStr">
        <is>
          <t>347740</t>
        </is>
      </c>
      <c r="C2253" s="6" t="inlineStr">
        <is>
          <t>연결</t>
        </is>
      </c>
      <c r="D2253" s="6" t="inlineStr">
        <is>
          <t>2026Q2</t>
        </is>
      </c>
      <c r="E2253" s="6" t="inlineStr"/>
      <c r="F2253" s="7" t="inlineStr"/>
      <c r="G2253" s="8" t="inlineStr"/>
      <c r="H2253" s="8" t="inlineStr"/>
      <c r="I2253" s="9" t="n">
        <v>4186</v>
      </c>
      <c r="J2253" s="10" t="n">
        <v>654</v>
      </c>
      <c r="K2253" s="10" t="n">
        <v>1278</v>
      </c>
      <c r="L2253" s="7" t="n">
        <v>3817</v>
      </c>
      <c r="M2253" s="8" t="n">
        <v>458</v>
      </c>
      <c r="N2253" s="8" t="n">
        <v>1050</v>
      </c>
      <c r="O2253" s="9" t="n">
        <v>4718</v>
      </c>
      <c r="P2253" s="10" t="n">
        <v>731</v>
      </c>
      <c r="Q2253" s="10" t="n">
        <v>2311</v>
      </c>
      <c r="R2253" s="7" t="n">
        <v>5126</v>
      </c>
      <c r="S2253" s="8" t="n">
        <v>739</v>
      </c>
      <c r="T2253" s="8" t="n">
        <v>1062</v>
      </c>
      <c r="U2253" s="9" t="n">
        <v>6460</v>
      </c>
      <c r="V2253" s="10" t="n">
        <v>1911</v>
      </c>
      <c r="W2253" s="10" t="n">
        <v>2327</v>
      </c>
      <c r="X2253" s="7" t="n">
        <v>5489</v>
      </c>
      <c r="Y2253" s="8" t="n">
        <v>825</v>
      </c>
      <c r="Z2253" s="8" t="n">
        <v>1609</v>
      </c>
      <c r="AA2253" s="9" t="n">
        <v>5055</v>
      </c>
      <c r="AB2253" s="10" t="n">
        <v>452</v>
      </c>
      <c r="AC2253" s="10" t="n">
        <v>1573</v>
      </c>
      <c r="AD2253" s="7" t="n">
        <v>5779</v>
      </c>
      <c r="AE2253" s="8" t="n">
        <v>752</v>
      </c>
      <c r="AF2253" s="8" t="n">
        <v>-905</v>
      </c>
      <c r="AG2253" s="9" t="n">
        <v>6238</v>
      </c>
      <c r="AH2253" s="10" t="n">
        <v>959</v>
      </c>
      <c r="AI2253" s="10" t="n">
        <v>1461</v>
      </c>
      <c r="AJ2253" s="11" t="n">
        <v>6595</v>
      </c>
      <c r="AK2253" s="12" t="n">
        <v>1510</v>
      </c>
      <c r="AL2253" s="12" t="n">
        <v>1507</v>
      </c>
      <c r="AM2253" s="13" t="n">
        <v>5.7</v>
      </c>
      <c r="AN2253" s="13" t="n">
        <v>20.1</v>
      </c>
      <c r="AO2253" s="13" t="n">
        <v>57.5</v>
      </c>
      <c r="AP2253" s="13" t="n">
        <v>83</v>
      </c>
    </row>
    <row r="2254">
      <c r="A2254" s="5" t="inlineStr">
        <is>
          <t>핌스</t>
        </is>
      </c>
      <c r="B2254" s="6" t="inlineStr">
        <is>
          <t>347770</t>
        </is>
      </c>
      <c r="C2254" s="6" t="inlineStr">
        <is>
          <t>연결</t>
        </is>
      </c>
      <c r="D2254" s="6" t="inlineStr">
        <is>
          <t>2026Q2</t>
        </is>
      </c>
      <c r="E2254" s="6" t="inlineStr"/>
      <c r="F2254" s="7" t="inlineStr"/>
      <c r="G2254" s="8" t="inlineStr"/>
      <c r="H2254" s="8" t="inlineStr"/>
      <c r="I2254" s="9" t="n">
        <v>14154</v>
      </c>
      <c r="J2254" s="10" t="n">
        <v>-1319</v>
      </c>
      <c r="K2254" s="10" t="n">
        <v>-883</v>
      </c>
      <c r="L2254" s="7" t="n">
        <v>16777</v>
      </c>
      <c r="M2254" s="8" t="n">
        <v>-728</v>
      </c>
      <c r="N2254" s="8" t="n">
        <v>-896</v>
      </c>
      <c r="O2254" s="9" t="n">
        <v>13019</v>
      </c>
      <c r="P2254" s="10" t="n">
        <v>-2368</v>
      </c>
      <c r="Q2254" s="10" t="n">
        <v>-2942</v>
      </c>
      <c r="R2254" s="7" t="n">
        <v>16767</v>
      </c>
      <c r="S2254" s="8" t="n">
        <v>-457</v>
      </c>
      <c r="T2254" s="8" t="n">
        <v>-1964</v>
      </c>
      <c r="U2254" s="9" t="n">
        <v>15700</v>
      </c>
      <c r="V2254" s="10" t="n">
        <v>-1268</v>
      </c>
      <c r="W2254" s="10" t="n">
        <v>-1401</v>
      </c>
      <c r="X2254" s="7" t="n">
        <v>22392</v>
      </c>
      <c r="Y2254" s="8" t="n">
        <v>1487</v>
      </c>
      <c r="Z2254" s="8" t="n">
        <v>649</v>
      </c>
      <c r="AA2254" s="9" t="n">
        <v>11288</v>
      </c>
      <c r="AB2254" s="10" t="n">
        <v>-3036</v>
      </c>
      <c r="AC2254" s="10" t="n">
        <v>-2906</v>
      </c>
      <c r="AD2254" s="7" t="n">
        <v>14003</v>
      </c>
      <c r="AE2254" s="8" t="n">
        <v>-3297</v>
      </c>
      <c r="AF2254" s="8" t="n">
        <v>-4669</v>
      </c>
      <c r="AG2254" s="9" t="n">
        <v>15285</v>
      </c>
      <c r="AH2254" s="10" t="n">
        <v>-139</v>
      </c>
      <c r="AI2254" s="10" t="n">
        <v>32</v>
      </c>
      <c r="AJ2254" s="11" t="n">
        <v>17607</v>
      </c>
      <c r="AK2254" s="12" t="n">
        <v>-1197</v>
      </c>
      <c r="AL2254" s="12" t="n">
        <v>-637</v>
      </c>
      <c r="AM2254" s="13" t="n">
        <v>15.2</v>
      </c>
      <c r="AN2254" s="13" t="n">
        <v>-21.4</v>
      </c>
      <c r="AO2254" s="13" t="n">
        <v>-761.2</v>
      </c>
      <c r="AP2254" s="13" t="n">
        <v>-180.5</v>
      </c>
    </row>
    <row r="2255">
      <c r="A2255" s="5" t="inlineStr">
        <is>
          <t>디앤디파마텍</t>
        </is>
      </c>
      <c r="B2255" s="6" t="inlineStr">
        <is>
          <t>347850</t>
        </is>
      </c>
      <c r="C2255" s="6" t="inlineStr">
        <is>
          <t>연결</t>
        </is>
      </c>
      <c r="D2255" s="6" t="inlineStr">
        <is>
          <t>2026Q2</t>
        </is>
      </c>
      <c r="E2255" s="6" t="inlineStr"/>
      <c r="F2255" s="7" t="inlineStr"/>
      <c r="G2255" s="8" t="inlineStr"/>
      <c r="H2255" s="8" t="inlineStr"/>
      <c r="I2255" s="9" t="inlineStr"/>
      <c r="J2255" s="10" t="inlineStr"/>
      <c r="K2255" s="10" t="inlineStr"/>
      <c r="L2255" s="7" t="n">
        <v>2317</v>
      </c>
      <c r="M2255" s="8" t="n">
        <v>-5947</v>
      </c>
      <c r="N2255" s="8" t="n">
        <v>-5924</v>
      </c>
      <c r="O2255" s="9" t="n">
        <v>1940</v>
      </c>
      <c r="P2255" s="10" t="n">
        <v>-6988</v>
      </c>
      <c r="Q2255" s="10" t="n">
        <v>-8127</v>
      </c>
      <c r="R2255" s="7" t="inlineStr"/>
      <c r="S2255" s="8" t="inlineStr"/>
      <c r="T2255" s="8" t="inlineStr"/>
      <c r="U2255" s="9" t="n">
        <v>1413</v>
      </c>
      <c r="V2255" s="10" t="n">
        <v>-9313</v>
      </c>
      <c r="W2255" s="10" t="n">
        <v>-10051</v>
      </c>
      <c r="X2255" s="7" t="n">
        <v>925</v>
      </c>
      <c r="Y2255" s="8" t="n">
        <v>-8059</v>
      </c>
      <c r="Z2255" s="8" t="n">
        <v>-10025</v>
      </c>
      <c r="AA2255" s="9" t="n">
        <v>969</v>
      </c>
      <c r="AB2255" s="10" t="n">
        <v>-6209</v>
      </c>
      <c r="AC2255" s="10" t="n">
        <v>-5755</v>
      </c>
      <c r="AD2255" s="7" t="n">
        <v>991</v>
      </c>
      <c r="AE2255" s="8" t="n">
        <v>-10412</v>
      </c>
      <c r="AF2255" s="8" t="n">
        <v>1851</v>
      </c>
      <c r="AG2255" s="9" t="n">
        <v>129</v>
      </c>
      <c r="AH2255" s="10" t="n">
        <v>-11122</v>
      </c>
      <c r="AI2255" s="10" t="n">
        <v>-10081</v>
      </c>
      <c r="AJ2255" s="11" t="n">
        <v>662</v>
      </c>
      <c r="AK2255" s="12" t="n">
        <v>-9880</v>
      </c>
      <c r="AL2255" s="12" t="n">
        <v>-7767</v>
      </c>
      <c r="AM2255" s="13" t="n">
        <v>413.2</v>
      </c>
      <c r="AN2255" s="13" t="n">
        <v>-28.4</v>
      </c>
      <c r="AO2255" s="13" t="n">
        <v>11.2</v>
      </c>
      <c r="AP2255" s="13" t="n">
        <v>-22.6</v>
      </c>
    </row>
    <row r="2256">
      <c r="A2256" s="5" t="inlineStr">
        <is>
          <t>알체라</t>
        </is>
      </c>
      <c r="B2256" s="6" t="inlineStr">
        <is>
          <t>347860</t>
        </is>
      </c>
      <c r="C2256" s="6" t="inlineStr">
        <is>
          <t>연결</t>
        </is>
      </c>
      <c r="D2256" s="6" t="inlineStr">
        <is>
          <t>2026Q2</t>
        </is>
      </c>
      <c r="E2256" s="6" t="inlineStr"/>
      <c r="F2256" s="7" t="inlineStr"/>
      <c r="G2256" s="8" t="inlineStr"/>
      <c r="H2256" s="8" t="inlineStr"/>
      <c r="I2256" s="9" t="inlineStr"/>
      <c r="J2256" s="10" t="n">
        <v>-5509</v>
      </c>
      <c r="K2256" s="10" t="n">
        <v>-3373</v>
      </c>
      <c r="L2256" s="7" t="inlineStr"/>
      <c r="M2256" s="8" t="n">
        <v>-3075</v>
      </c>
      <c r="N2256" s="8" t="n">
        <v>-6218</v>
      </c>
      <c r="O2256" s="9" t="inlineStr"/>
      <c r="P2256" s="10" t="n">
        <v>-3379</v>
      </c>
      <c r="Q2256" s="10" t="n">
        <v>-3341</v>
      </c>
      <c r="R2256" s="7" t="inlineStr"/>
      <c r="S2256" s="8" t="n">
        <v>1531</v>
      </c>
      <c r="T2256" s="8" t="n">
        <v>2984</v>
      </c>
      <c r="U2256" s="9" t="inlineStr"/>
      <c r="V2256" s="10" t="n">
        <v>-5206</v>
      </c>
      <c r="W2256" s="10" t="n">
        <v>-5242</v>
      </c>
      <c r="X2256" s="7" t="inlineStr"/>
      <c r="Y2256" s="8" t="n">
        <v>-2612</v>
      </c>
      <c r="Z2256" s="8" t="n">
        <v>-2632</v>
      </c>
      <c r="AA2256" s="9" t="inlineStr"/>
      <c r="AB2256" s="10" t="n">
        <v>-2227</v>
      </c>
      <c r="AC2256" s="10" t="n">
        <v>4233</v>
      </c>
      <c r="AD2256" s="7" t="inlineStr"/>
      <c r="AE2256" s="8" t="n">
        <v>-204</v>
      </c>
      <c r="AF2256" s="8" t="n">
        <v>1105</v>
      </c>
      <c r="AG2256" s="9" t="inlineStr"/>
      <c r="AH2256" s="10" t="n">
        <v>-4309</v>
      </c>
      <c r="AI2256" s="10" t="n">
        <v>-4624</v>
      </c>
      <c r="AJ2256" s="11" t="inlineStr"/>
      <c r="AK2256" s="12" t="n">
        <v>-3201</v>
      </c>
      <c r="AL2256" s="12" t="n">
        <v>-3278</v>
      </c>
      <c r="AM2256" s="13" t="inlineStr"/>
      <c r="AN2256" s="13" t="inlineStr"/>
      <c r="AO2256" s="13" t="n">
        <v>25.7</v>
      </c>
      <c r="AP2256" s="13" t="n">
        <v>-22.5</v>
      </c>
    </row>
    <row r="2257">
      <c r="A2257" s="5" t="inlineStr">
        <is>
          <t>엠엑스온</t>
        </is>
      </c>
      <c r="B2257" s="6" t="inlineStr">
        <is>
          <t>347890</t>
        </is>
      </c>
      <c r="C2257" s="6" t="inlineStr">
        <is>
          <t>연결</t>
        </is>
      </c>
      <c r="D2257" s="6" t="inlineStr">
        <is>
          <t>2026Q2</t>
        </is>
      </c>
      <c r="E2257" s="6" t="inlineStr"/>
      <c r="F2257" s="7" t="inlineStr"/>
      <c r="G2257" s="8" t="inlineStr"/>
      <c r="H2257" s="8" t="inlineStr"/>
      <c r="I2257" s="9" t="n">
        <v>9364</v>
      </c>
      <c r="J2257" s="10" t="n">
        <v>1270</v>
      </c>
      <c r="K2257" s="10" t="n">
        <v>1352</v>
      </c>
      <c r="L2257" s="7" t="n">
        <v>9515</v>
      </c>
      <c r="M2257" s="8" t="n">
        <v>1624</v>
      </c>
      <c r="N2257" s="8" t="n">
        <v>1843</v>
      </c>
      <c r="O2257" s="9" t="n">
        <v>7792</v>
      </c>
      <c r="P2257" s="10" t="n">
        <v>791</v>
      </c>
      <c r="Q2257" s="10" t="n">
        <v>677</v>
      </c>
      <c r="R2257" s="7" t="n">
        <v>10122</v>
      </c>
      <c r="S2257" s="8" t="n">
        <v>1955</v>
      </c>
      <c r="T2257" s="8" t="n">
        <v>2520</v>
      </c>
      <c r="U2257" s="9" t="n">
        <v>9062</v>
      </c>
      <c r="V2257" s="10" t="n">
        <v>1140</v>
      </c>
      <c r="W2257" s="10" t="n">
        <v>1539</v>
      </c>
      <c r="X2257" s="7" t="n">
        <v>9222</v>
      </c>
      <c r="Y2257" s="8" t="n">
        <v>1176</v>
      </c>
      <c r="Z2257" s="8" t="n">
        <v>1491</v>
      </c>
      <c r="AA2257" s="9" t="n">
        <v>7404</v>
      </c>
      <c r="AB2257" s="10" t="n">
        <v>70</v>
      </c>
      <c r="AC2257" s="10" t="n">
        <v>-108</v>
      </c>
      <c r="AD2257" s="7" t="n">
        <v>36567</v>
      </c>
      <c r="AE2257" s="8" t="n">
        <v>-8212</v>
      </c>
      <c r="AF2257" s="8" t="n">
        <v>-5763</v>
      </c>
      <c r="AG2257" s="9" t="n">
        <v>36035</v>
      </c>
      <c r="AH2257" s="10" t="n">
        <v>502</v>
      </c>
      <c r="AI2257" s="10" t="n">
        <v>1651</v>
      </c>
      <c r="AJ2257" s="11" t="n">
        <v>40414</v>
      </c>
      <c r="AK2257" s="12" t="n">
        <v>282</v>
      </c>
      <c r="AL2257" s="12" t="n">
        <v>1397</v>
      </c>
      <c r="AM2257" s="13" t="n">
        <v>12.2</v>
      </c>
      <c r="AN2257" s="13" t="n">
        <v>338.2</v>
      </c>
      <c r="AO2257" s="13" t="n">
        <v>-43.8</v>
      </c>
      <c r="AP2257" s="13" t="n">
        <v>-76</v>
      </c>
    </row>
    <row r="2258">
      <c r="A2258" s="5" t="inlineStr">
        <is>
          <t>모비릭스</t>
        </is>
      </c>
      <c r="B2258" s="6" t="inlineStr">
        <is>
          <t>348030</t>
        </is>
      </c>
      <c r="C2258" s="6" t="inlineStr">
        <is>
          <t>별도</t>
        </is>
      </c>
      <c r="D2258" s="6" t="inlineStr">
        <is>
          <t>2026Q2</t>
        </is>
      </c>
      <c r="E2258" s="6" t="inlineStr"/>
      <c r="F2258" s="7" t="inlineStr"/>
      <c r="G2258" s="8" t="inlineStr"/>
      <c r="H2258" s="8" t="inlineStr"/>
      <c r="I2258" s="9" t="inlineStr"/>
      <c r="J2258" s="10" t="n">
        <v>-2073</v>
      </c>
      <c r="K2258" s="10" t="n">
        <v>-464</v>
      </c>
      <c r="L2258" s="7" t="inlineStr"/>
      <c r="M2258" s="8" t="n">
        <v>-2739</v>
      </c>
      <c r="N2258" s="8" t="n">
        <v>-1655</v>
      </c>
      <c r="O2258" s="9" t="inlineStr"/>
      <c r="P2258" s="10" t="n">
        <v>-3158</v>
      </c>
      <c r="Q2258" s="10" t="n">
        <v>-4123</v>
      </c>
      <c r="R2258" s="7" t="inlineStr"/>
      <c r="S2258" s="8" t="n">
        <v>-1338</v>
      </c>
      <c r="T2258" s="8" t="n">
        <v>-5675</v>
      </c>
      <c r="U2258" s="9" t="n">
        <v>9894</v>
      </c>
      <c r="V2258" s="10" t="n">
        <v>-3057</v>
      </c>
      <c r="W2258" s="10" t="n">
        <v>-2940</v>
      </c>
      <c r="X2258" s="7" t="n">
        <v>10302</v>
      </c>
      <c r="Y2258" s="8" t="n">
        <v>-2669</v>
      </c>
      <c r="Z2258" s="8" t="n">
        <v>-3207</v>
      </c>
      <c r="AA2258" s="9" t="n">
        <v>10321</v>
      </c>
      <c r="AB2258" s="10" t="n">
        <v>-851</v>
      </c>
      <c r="AC2258" s="10" t="n">
        <v>-405</v>
      </c>
      <c r="AD2258" s="7" t="n">
        <v>9168</v>
      </c>
      <c r="AE2258" s="8" t="n">
        <v>-2346</v>
      </c>
      <c r="AF2258" s="8" t="n">
        <v>-4801</v>
      </c>
      <c r="AG2258" s="9" t="n">
        <v>7218</v>
      </c>
      <c r="AH2258" s="10" t="n">
        <v>1011</v>
      </c>
      <c r="AI2258" s="10" t="n">
        <v>1526</v>
      </c>
      <c r="AJ2258" s="11" t="n">
        <v>6124</v>
      </c>
      <c r="AK2258" s="12" t="n">
        <v>1051</v>
      </c>
      <c r="AL2258" s="12" t="n">
        <v>1292</v>
      </c>
      <c r="AM2258" s="13" t="n">
        <v>-15.2</v>
      </c>
      <c r="AN2258" s="13" t="n">
        <v>-40.6</v>
      </c>
      <c r="AO2258" s="13" t="n">
        <v>4</v>
      </c>
      <c r="AP2258" s="13" t="n">
        <v>139.4</v>
      </c>
    </row>
    <row r="2259">
      <c r="A2259" s="5" t="inlineStr">
        <is>
          <t>큐라티스</t>
        </is>
      </c>
      <c r="B2259" s="6" t="inlineStr">
        <is>
          <t>348080</t>
        </is>
      </c>
      <c r="C2259" s="6" t="inlineStr">
        <is>
          <t>별도</t>
        </is>
      </c>
      <c r="D2259" s="6" t="inlineStr">
        <is>
          <t>2026Q2</t>
        </is>
      </c>
      <c r="E2259" s="6" t="inlineStr"/>
      <c r="F2259" s="7" t="inlineStr"/>
      <c r="G2259" s="8" t="inlineStr"/>
      <c r="H2259" s="8" t="inlineStr"/>
      <c r="I2259" s="9" t="n">
        <v>68</v>
      </c>
      <c r="J2259" s="10" t="n">
        <v>-4159</v>
      </c>
      <c r="K2259" s="10" t="n">
        <v>-4699</v>
      </c>
      <c r="L2259" s="7" t="n">
        <v>134</v>
      </c>
      <c r="M2259" s="8" t="n">
        <v>-4992</v>
      </c>
      <c r="N2259" s="8" t="n">
        <v>-10619</v>
      </c>
      <c r="O2259" s="9" t="n">
        <v>89</v>
      </c>
      <c r="P2259" s="10" t="n">
        <v>-3764</v>
      </c>
      <c r="Q2259" s="10" t="n">
        <v>-4223</v>
      </c>
      <c r="R2259" s="7" t="n">
        <v>83</v>
      </c>
      <c r="S2259" s="8" t="n">
        <v>-6804</v>
      </c>
      <c r="T2259" s="8" t="n">
        <v>-6726</v>
      </c>
      <c r="U2259" s="9" t="n">
        <v>1211</v>
      </c>
      <c r="V2259" s="10" t="n">
        <v>-2705</v>
      </c>
      <c r="W2259" s="10" t="n">
        <v>-2561</v>
      </c>
      <c r="X2259" s="7" t="n">
        <v>480</v>
      </c>
      <c r="Y2259" s="8" t="n">
        <v>-3307</v>
      </c>
      <c r="Z2259" s="8" t="n">
        <v>-10098</v>
      </c>
      <c r="AA2259" s="9" t="n">
        <v>507</v>
      </c>
      <c r="AB2259" s="10" t="n">
        <v>-2156</v>
      </c>
      <c r="AC2259" s="10" t="n">
        <v>-4707</v>
      </c>
      <c r="AD2259" s="7" t="n">
        <v>259</v>
      </c>
      <c r="AE2259" s="8" t="n">
        <v>-2167</v>
      </c>
      <c r="AF2259" s="8" t="n">
        <v>-12307</v>
      </c>
      <c r="AG2259" s="9" t="n">
        <v>9</v>
      </c>
      <c r="AH2259" s="10" t="n">
        <v>-2454</v>
      </c>
      <c r="AI2259" s="10" t="n">
        <v>-3861</v>
      </c>
      <c r="AJ2259" s="11" t="n">
        <v>320</v>
      </c>
      <c r="AK2259" s="12" t="n">
        <v>-3008</v>
      </c>
      <c r="AL2259" s="12" t="n">
        <v>-3022</v>
      </c>
      <c r="AM2259" s="13" t="n">
        <v>3455.6</v>
      </c>
      <c r="AN2259" s="13" t="n">
        <v>-33.3</v>
      </c>
      <c r="AO2259" s="13" t="n">
        <v>-22.6</v>
      </c>
      <c r="AP2259" s="13" t="n">
        <v>9</v>
      </c>
    </row>
    <row r="2260">
      <c r="A2260" s="5" t="inlineStr">
        <is>
          <t>고바이오랩</t>
        </is>
      </c>
      <c r="B2260" s="6" t="inlineStr">
        <is>
          <t>348150</t>
        </is>
      </c>
      <c r="C2260" s="6" t="inlineStr">
        <is>
          <t>연결</t>
        </is>
      </c>
      <c r="D2260" s="6" t="inlineStr">
        <is>
          <t>2026Q2</t>
        </is>
      </c>
      <c r="E2260" s="6" t="inlineStr"/>
      <c r="F2260" s="7" t="inlineStr"/>
      <c r="G2260" s="8" t="inlineStr"/>
      <c r="H2260" s="8" t="inlineStr"/>
      <c r="I2260" s="9" t="n">
        <v>14910</v>
      </c>
      <c r="J2260" s="10" t="n">
        <v>-2297</v>
      </c>
      <c r="K2260" s="10" t="n">
        <v>-2312</v>
      </c>
      <c r="L2260" s="7" t="n">
        <v>18911</v>
      </c>
      <c r="M2260" s="8" t="n">
        <v>-1658</v>
      </c>
      <c r="N2260" s="8" t="n">
        <v>20</v>
      </c>
      <c r="O2260" s="9" t="n">
        <v>16913</v>
      </c>
      <c r="P2260" s="10" t="n">
        <v>-1299</v>
      </c>
      <c r="Q2260" s="10" t="n">
        <v>-1175</v>
      </c>
      <c r="R2260" s="7" t="n">
        <v>17625</v>
      </c>
      <c r="S2260" s="8" t="n">
        <v>-1651</v>
      </c>
      <c r="T2260" s="8" t="n">
        <v>-1150</v>
      </c>
      <c r="U2260" s="9" t="n">
        <v>17298</v>
      </c>
      <c r="V2260" s="10" t="n">
        <v>-3466</v>
      </c>
      <c r="W2260" s="10" t="n">
        <v>-3057</v>
      </c>
      <c r="X2260" s="7" t="n">
        <v>17613</v>
      </c>
      <c r="Y2260" s="8" t="n">
        <v>-2803</v>
      </c>
      <c r="Z2260" s="8" t="n">
        <v>-3198</v>
      </c>
      <c r="AA2260" s="9" t="n">
        <v>19261</v>
      </c>
      <c r="AB2260" s="10" t="n">
        <v>-423</v>
      </c>
      <c r="AC2260" s="10" t="n">
        <v>856</v>
      </c>
      <c r="AD2260" s="7" t="n">
        <v>15120</v>
      </c>
      <c r="AE2260" s="8" t="n">
        <v>-2959</v>
      </c>
      <c r="AF2260" s="8" t="n">
        <v>-1573</v>
      </c>
      <c r="AG2260" s="9" t="n">
        <v>19218</v>
      </c>
      <c r="AH2260" s="10" t="n">
        <v>-2670</v>
      </c>
      <c r="AI2260" s="10" t="n">
        <v>-195</v>
      </c>
      <c r="AJ2260" s="11" t="n">
        <v>21810</v>
      </c>
      <c r="AK2260" s="12" t="n">
        <v>-2014</v>
      </c>
      <c r="AL2260" s="12" t="n">
        <v>-3874</v>
      </c>
      <c r="AM2260" s="13" t="n">
        <v>13.5</v>
      </c>
      <c r="AN2260" s="13" t="n">
        <v>23.8</v>
      </c>
      <c r="AO2260" s="13" t="n">
        <v>24.6</v>
      </c>
      <c r="AP2260" s="13" t="n">
        <v>28.1</v>
      </c>
    </row>
    <row r="2261">
      <c r="A2261" s="5" t="inlineStr">
        <is>
          <t>넥스틴</t>
        </is>
      </c>
      <c r="B2261" s="6" t="inlineStr">
        <is>
          <t>348210</t>
        </is>
      </c>
      <c r="C2261" s="6" t="inlineStr">
        <is>
          <t>연결</t>
        </is>
      </c>
      <c r="D2261" s="6" t="inlineStr">
        <is>
          <t>2026Q2</t>
        </is>
      </c>
      <c r="E2261" s="6" t="inlineStr"/>
      <c r="F2261" s="7" t="inlineStr"/>
      <c r="G2261" s="8" t="inlineStr"/>
      <c r="H2261" s="8" t="inlineStr"/>
      <c r="I2261" s="9" t="n">
        <v>34187</v>
      </c>
      <c r="J2261" s="10" t="n">
        <v>18924</v>
      </c>
      <c r="K2261" s="10" t="n">
        <v>14708</v>
      </c>
      <c r="L2261" s="7" t="n">
        <v>14749</v>
      </c>
      <c r="M2261" s="8" t="n">
        <v>421</v>
      </c>
      <c r="N2261" s="8" t="n">
        <v>953</v>
      </c>
      <c r="O2261" s="9" t="n">
        <v>34709</v>
      </c>
      <c r="P2261" s="10" t="n">
        <v>14386</v>
      </c>
      <c r="Q2261" s="10" t="n">
        <v>9126</v>
      </c>
      <c r="R2261" s="7" t="n">
        <v>30075</v>
      </c>
      <c r="S2261" s="8" t="n">
        <v>13244</v>
      </c>
      <c r="T2261" s="8" t="n">
        <v>13641</v>
      </c>
      <c r="U2261" s="9" t="n">
        <v>17084</v>
      </c>
      <c r="V2261" s="10" t="n">
        <v>3412</v>
      </c>
      <c r="W2261" s="10" t="n">
        <v>2873</v>
      </c>
      <c r="X2261" s="7" t="n">
        <v>23159</v>
      </c>
      <c r="Y2261" s="8" t="n">
        <v>2578</v>
      </c>
      <c r="Z2261" s="8" t="n">
        <v>-1019</v>
      </c>
      <c r="AA2261" s="9" t="n">
        <v>10740</v>
      </c>
      <c r="AB2261" s="10" t="n">
        <v>-3671</v>
      </c>
      <c r="AC2261" s="10" t="n">
        <v>-2372</v>
      </c>
      <c r="AD2261" s="7" t="n">
        <v>15931</v>
      </c>
      <c r="AE2261" s="8" t="n">
        <v>-3480</v>
      </c>
      <c r="AF2261" s="8" t="n">
        <v>-2128</v>
      </c>
      <c r="AG2261" s="9" t="n">
        <v>7929</v>
      </c>
      <c r="AH2261" s="10" t="n">
        <v>-5544</v>
      </c>
      <c r="AI2261" s="10" t="n">
        <v>-2477</v>
      </c>
      <c r="AJ2261" s="11" t="n">
        <v>20833</v>
      </c>
      <c r="AK2261" s="12" t="n">
        <v>-786</v>
      </c>
      <c r="AL2261" s="12" t="n">
        <v>1297</v>
      </c>
      <c r="AM2261" s="13" t="n">
        <v>162.7</v>
      </c>
      <c r="AN2261" s="13" t="n">
        <v>-10</v>
      </c>
      <c r="AO2261" s="13" t="n">
        <v>85.8</v>
      </c>
      <c r="AP2261" s="13" t="n">
        <v>-130.5</v>
      </c>
    </row>
    <row r="2262">
      <c r="A2262" s="5" t="inlineStr">
        <is>
          <t>뉴로메카</t>
        </is>
      </c>
      <c r="B2262" s="6" t="inlineStr">
        <is>
          <t>348340</t>
        </is>
      </c>
      <c r="C2262" s="6" t="inlineStr">
        <is>
          <t>연결</t>
        </is>
      </c>
      <c r="D2262" s="6" t="inlineStr">
        <is>
          <t>2026Q2</t>
        </is>
      </c>
      <c r="E2262" s="6" t="inlineStr"/>
      <c r="F2262" s="7" t="inlineStr"/>
      <c r="G2262" s="8" t="inlineStr"/>
      <c r="H2262" s="8" t="inlineStr"/>
      <c r="I2262" s="9" t="n">
        <v>3639</v>
      </c>
      <c r="J2262" s="10" t="n">
        <v>-5273</v>
      </c>
      <c r="K2262" s="10" t="n">
        <v>-5720</v>
      </c>
      <c r="L2262" s="7" t="n">
        <v>7344</v>
      </c>
      <c r="M2262" s="8" t="n">
        <v>-4299</v>
      </c>
      <c r="N2262" s="8" t="n">
        <v>-228</v>
      </c>
      <c r="O2262" s="9" t="n">
        <v>6232</v>
      </c>
      <c r="P2262" s="10" t="n">
        <v>-5677</v>
      </c>
      <c r="Q2262" s="10" t="n">
        <v>-6785</v>
      </c>
      <c r="R2262" s="7" t="n">
        <v>8054</v>
      </c>
      <c r="S2262" s="8" t="n">
        <v>-3766</v>
      </c>
      <c r="T2262" s="8" t="n">
        <v>-4022</v>
      </c>
      <c r="U2262" s="9" t="n">
        <v>3172</v>
      </c>
      <c r="V2262" s="10" t="n">
        <v>-4017</v>
      </c>
      <c r="W2262" s="10" t="n">
        <v>-7313</v>
      </c>
      <c r="X2262" s="7" t="n">
        <v>3440</v>
      </c>
      <c r="Y2262" s="8" t="n">
        <v>-4164</v>
      </c>
      <c r="Z2262" s="8" t="n">
        <v>-4624</v>
      </c>
      <c r="AA2262" s="9" t="n">
        <v>4474</v>
      </c>
      <c r="AB2262" s="10" t="n">
        <v>-3152</v>
      </c>
      <c r="AC2262" s="10" t="n">
        <v>-4293</v>
      </c>
      <c r="AD2262" s="7" t="n">
        <v>7868</v>
      </c>
      <c r="AE2262" s="8" t="n">
        <v>-3524</v>
      </c>
      <c r="AF2262" s="8" t="n">
        <v>-5761</v>
      </c>
      <c r="AG2262" s="9" t="n">
        <v>2992</v>
      </c>
      <c r="AH2262" s="10" t="n">
        <v>-4314</v>
      </c>
      <c r="AI2262" s="10" t="n">
        <v>-25690</v>
      </c>
      <c r="AJ2262" s="11" t="n">
        <v>2822</v>
      </c>
      <c r="AK2262" s="12" t="n">
        <v>-5267</v>
      </c>
      <c r="AL2262" s="12" t="n">
        <v>-4579</v>
      </c>
      <c r="AM2262" s="13" t="n">
        <v>-5.7</v>
      </c>
      <c r="AN2262" s="13" t="n">
        <v>-18</v>
      </c>
      <c r="AO2262" s="13" t="n">
        <v>-22.1</v>
      </c>
      <c r="AP2262" s="13" t="n">
        <v>-26.5</v>
      </c>
    </row>
    <row r="2263">
      <c r="A2263" s="5" t="inlineStr">
        <is>
          <t>위드텍</t>
        </is>
      </c>
      <c r="B2263" s="6" t="inlineStr">
        <is>
          <t>348350</t>
        </is>
      </c>
      <c r="C2263" s="6" t="inlineStr">
        <is>
          <t>연결</t>
        </is>
      </c>
      <c r="D2263" s="6" t="inlineStr">
        <is>
          <t>2026Q2</t>
        </is>
      </c>
      <c r="E2263" s="6" t="inlineStr"/>
      <c r="F2263" s="7" t="inlineStr"/>
      <c r="G2263" s="8" t="inlineStr"/>
      <c r="H2263" s="8" t="inlineStr"/>
      <c r="I2263" s="9" t="n">
        <v>8552</v>
      </c>
      <c r="J2263" s="10" t="n">
        <v>664</v>
      </c>
      <c r="K2263" s="10" t="n">
        <v>2376</v>
      </c>
      <c r="L2263" s="7" t="n">
        <v>7960</v>
      </c>
      <c r="M2263" s="8" t="n">
        <v>-848</v>
      </c>
      <c r="N2263" s="8" t="n">
        <v>1432</v>
      </c>
      <c r="O2263" s="9" t="n">
        <v>10759</v>
      </c>
      <c r="P2263" s="10" t="n">
        <v>178</v>
      </c>
      <c r="Q2263" s="10" t="n">
        <v>-860</v>
      </c>
      <c r="R2263" s="7" t="n">
        <v>16345</v>
      </c>
      <c r="S2263" s="8" t="n">
        <v>972</v>
      </c>
      <c r="T2263" s="8" t="n">
        <v>4120</v>
      </c>
      <c r="U2263" s="9" t="n">
        <v>8508</v>
      </c>
      <c r="V2263" s="10" t="n">
        <v>-726</v>
      </c>
      <c r="W2263" s="10" t="n">
        <v>-1248</v>
      </c>
      <c r="X2263" s="7" t="n">
        <v>10712</v>
      </c>
      <c r="Y2263" s="8" t="n">
        <v>136</v>
      </c>
      <c r="Z2263" s="8" t="n">
        <v>-853</v>
      </c>
      <c r="AA2263" s="9" t="n">
        <v>15793</v>
      </c>
      <c r="AB2263" s="10" t="n">
        <v>1990</v>
      </c>
      <c r="AC2263" s="10" t="n">
        <v>3760</v>
      </c>
      <c r="AD2263" s="7" t="n">
        <v>22794</v>
      </c>
      <c r="AE2263" s="8" t="n">
        <v>3729</v>
      </c>
      <c r="AF2263" s="8" t="n">
        <v>4786</v>
      </c>
      <c r="AG2263" s="9" t="n">
        <v>7292</v>
      </c>
      <c r="AH2263" s="10" t="n">
        <v>-1909</v>
      </c>
      <c r="AI2263" s="10" t="n">
        <v>2311</v>
      </c>
      <c r="AJ2263" s="11" t="n">
        <v>18302</v>
      </c>
      <c r="AK2263" s="12" t="n">
        <v>2648</v>
      </c>
      <c r="AL2263" s="12" t="n">
        <v>3383</v>
      </c>
      <c r="AM2263" s="13" t="n">
        <v>151</v>
      </c>
      <c r="AN2263" s="13" t="n">
        <v>70.90000000000001</v>
      </c>
      <c r="AO2263" s="13" t="n">
        <v>238.7</v>
      </c>
      <c r="AP2263" s="13" t="n">
        <v>1847.1</v>
      </c>
    </row>
    <row r="2264">
      <c r="A2264" s="5" t="inlineStr">
        <is>
          <t>엔켐</t>
        </is>
      </c>
      <c r="B2264" s="6" t="inlineStr">
        <is>
          <t>348370</t>
        </is>
      </c>
      <c r="C2264" s="6" t="inlineStr">
        <is>
          <t>연결</t>
        </is>
      </c>
      <c r="D2264" s="6" t="inlineStr">
        <is>
          <t>2026Q2</t>
        </is>
      </c>
      <c r="E2264" s="6" t="inlineStr"/>
      <c r="F2264" s="7" t="inlineStr"/>
      <c r="G2264" s="8" t="inlineStr"/>
      <c r="H2264" s="8" t="inlineStr"/>
      <c r="I2264" s="9" t="n">
        <v>78131</v>
      </c>
      <c r="J2264" s="10" t="n">
        <v>-11813</v>
      </c>
      <c r="K2264" s="10" t="n">
        <v>-298613</v>
      </c>
      <c r="L2264" s="7" t="n">
        <v>108329</v>
      </c>
      <c r="M2264" s="8" t="n">
        <v>594</v>
      </c>
      <c r="N2264" s="8" t="n">
        <v>-12114</v>
      </c>
      <c r="O2264" s="9" t="n">
        <v>101419</v>
      </c>
      <c r="P2264" s="10" t="n">
        <v>-5366</v>
      </c>
      <c r="Q2264" s="10" t="n">
        <v>-55317</v>
      </c>
      <c r="R2264" s="7" t="n">
        <v>77830</v>
      </c>
      <c r="S2264" s="8" t="n">
        <v>-33818</v>
      </c>
      <c r="T2264" s="8" t="n">
        <v>-192250</v>
      </c>
      <c r="U2264" s="9" t="n">
        <v>68224</v>
      </c>
      <c r="V2264" s="10" t="n">
        <v>-19162</v>
      </c>
      <c r="W2264" s="10" t="n">
        <v>57569</v>
      </c>
      <c r="X2264" s="7" t="n">
        <v>64073</v>
      </c>
      <c r="Y2264" s="8" t="n">
        <v>-2733</v>
      </c>
      <c r="Z2264" s="8" t="n">
        <v>-20630</v>
      </c>
      <c r="AA2264" s="9" t="n">
        <v>90252</v>
      </c>
      <c r="AB2264" s="10" t="n">
        <v>-27216</v>
      </c>
      <c r="AC2264" s="10" t="n">
        <v>-36520</v>
      </c>
      <c r="AD2264" s="7" t="n">
        <v>90245</v>
      </c>
      <c r="AE2264" s="8" t="n">
        <v>-29276</v>
      </c>
      <c r="AF2264" s="8" t="n">
        <v>-70986</v>
      </c>
      <c r="AG2264" s="9" t="n">
        <v>84112</v>
      </c>
      <c r="AH2264" s="10" t="n">
        <v>-24213</v>
      </c>
      <c r="AI2264" s="10" t="n">
        <v>-11429</v>
      </c>
      <c r="AJ2264" s="11" t="n">
        <v>102321</v>
      </c>
      <c r="AK2264" s="12" t="n">
        <v>-11568</v>
      </c>
      <c r="AL2264" s="12" t="n">
        <v>-27758</v>
      </c>
      <c r="AM2264" s="13" t="n">
        <v>21.6</v>
      </c>
      <c r="AN2264" s="13" t="n">
        <v>59.7</v>
      </c>
      <c r="AO2264" s="13" t="n">
        <v>52.2</v>
      </c>
      <c r="AP2264" s="13" t="n">
        <v>-323.3</v>
      </c>
    </row>
    <row r="2265">
      <c r="A2265" s="5" t="inlineStr">
        <is>
          <t>제이알글로벌리츠</t>
        </is>
      </c>
      <c r="B2265" s="6" t="inlineStr">
        <is>
          <t>348950</t>
        </is>
      </c>
      <c r="C2265" s="6" t="inlineStr">
        <is>
          <t>연결</t>
        </is>
      </c>
      <c r="D2265" s="6" t="inlineStr">
        <is>
          <t>2026Q2</t>
        </is>
      </c>
      <c r="E2265" s="6" t="inlineStr"/>
      <c r="F2265" s="7" t="inlineStr"/>
      <c r="G2265" s="8" t="inlineStr"/>
      <c r="H2265" s="8" t="inlineStr"/>
      <c r="I2265" s="9" t="inlineStr"/>
      <c r="J2265" s="10" t="inlineStr"/>
      <c r="K2265" s="10" t="inlineStr"/>
      <c r="L2265" s="7" t="n">
        <v>30914</v>
      </c>
      <c r="M2265" s="8" t="n">
        <v>14192</v>
      </c>
      <c r="N2265" s="8" t="n">
        <v>9281</v>
      </c>
      <c r="O2265" s="9" t="inlineStr"/>
      <c r="P2265" s="10" t="inlineStr"/>
      <c r="Q2265" s="10" t="inlineStr"/>
      <c r="R2265" s="7" t="inlineStr"/>
      <c r="S2265" s="8" t="inlineStr"/>
      <c r="T2265" s="8" t="inlineStr"/>
      <c r="U2265" s="9" t="inlineStr"/>
      <c r="V2265" s="10" t="inlineStr"/>
      <c r="W2265" s="10" t="inlineStr"/>
      <c r="X2265" s="7" t="n">
        <v>40585</v>
      </c>
      <c r="Y2265" s="8" t="n">
        <v>31231</v>
      </c>
      <c r="Z2265" s="8" t="n">
        <v>11826</v>
      </c>
      <c r="AA2265" s="9" t="inlineStr"/>
      <c r="AB2265" s="10" t="inlineStr"/>
      <c r="AC2265" s="10" t="inlineStr"/>
      <c r="AD2265" s="7" t="inlineStr"/>
      <c r="AE2265" s="8" t="inlineStr"/>
      <c r="AF2265" s="8" t="inlineStr"/>
      <c r="AG2265" s="9" t="inlineStr"/>
      <c r="AH2265" s="10" t="inlineStr"/>
      <c r="AI2265" s="10" t="inlineStr"/>
      <c r="AJ2265" s="11" t="n">
        <v>42705</v>
      </c>
      <c r="AK2265" s="12" t="n">
        <v>34414</v>
      </c>
      <c r="AL2265" s="12" t="n">
        <v>12342</v>
      </c>
      <c r="AM2265" s="13" t="inlineStr"/>
      <c r="AN2265" s="13" t="n">
        <v>5.2</v>
      </c>
      <c r="AO2265" s="13" t="inlineStr"/>
      <c r="AP2265" s="13" t="n">
        <v>10.2</v>
      </c>
    </row>
    <row r="2266">
      <c r="A2266" s="5" t="inlineStr">
        <is>
          <t>이지스레지던스리츠</t>
        </is>
      </c>
      <c r="B2266" s="6" t="inlineStr">
        <is>
          <t>350520</t>
        </is>
      </c>
      <c r="C2266" s="6" t="inlineStr">
        <is>
          <t>연결</t>
        </is>
      </c>
      <c r="D2266" s="6" t="inlineStr">
        <is>
          <t>2026Q2</t>
        </is>
      </c>
      <c r="E2266" s="6" t="inlineStr"/>
      <c r="F2266" s="7" t="inlineStr"/>
      <c r="G2266" s="8" t="inlineStr"/>
      <c r="H2266" s="8" t="inlineStr"/>
      <c r="I2266" s="9" t="inlineStr"/>
      <c r="J2266" s="10" t="inlineStr"/>
      <c r="K2266" s="10" t="inlineStr"/>
      <c r="L2266" s="7" t="inlineStr"/>
      <c r="M2266" s="8" t="inlineStr"/>
      <c r="N2266" s="8" t="inlineStr"/>
      <c r="O2266" s="9" t="inlineStr"/>
      <c r="P2266" s="10" t="inlineStr"/>
      <c r="Q2266" s="10" t="inlineStr"/>
      <c r="R2266" s="7" t="inlineStr"/>
      <c r="S2266" s="8" t="inlineStr"/>
      <c r="T2266" s="8" t="inlineStr"/>
      <c r="U2266" s="9" t="inlineStr"/>
      <c r="V2266" s="10" t="inlineStr"/>
      <c r="W2266" s="10" t="inlineStr"/>
      <c r="X2266" s="7" t="n">
        <v>8697</v>
      </c>
      <c r="Y2266" s="8" t="n">
        <v>7756</v>
      </c>
      <c r="Z2266" s="8" t="n">
        <v>6555</v>
      </c>
      <c r="AA2266" s="9" t="inlineStr"/>
      <c r="AB2266" s="10" t="inlineStr"/>
      <c r="AC2266" s="10" t="inlineStr"/>
      <c r="AD2266" s="7" t="inlineStr"/>
      <c r="AE2266" s="8" t="inlineStr"/>
      <c r="AF2266" s="8" t="inlineStr"/>
      <c r="AG2266" s="9" t="inlineStr"/>
      <c r="AH2266" s="10" t="inlineStr"/>
      <c r="AI2266" s="10" t="inlineStr"/>
      <c r="AJ2266" s="11" t="n">
        <v>4380</v>
      </c>
      <c r="AK2266" s="12" t="n">
        <v>4102</v>
      </c>
      <c r="AL2266" s="12" t="n">
        <v>2976</v>
      </c>
      <c r="AM2266" s="13" t="inlineStr"/>
      <c r="AN2266" s="13" t="n">
        <v>-49.6</v>
      </c>
      <c r="AO2266" s="13" t="inlineStr"/>
      <c r="AP2266" s="13" t="n">
        <v>-47.1</v>
      </c>
    </row>
    <row r="2267">
      <c r="A2267" s="5" t="inlineStr">
        <is>
          <t>넥사다이내믹스</t>
        </is>
      </c>
      <c r="B2267" s="6" t="inlineStr">
        <is>
          <t>351320</t>
        </is>
      </c>
      <c r="C2267" s="6" t="inlineStr">
        <is>
          <t>연결</t>
        </is>
      </c>
      <c r="D2267" s="6" t="inlineStr">
        <is>
          <t>2026Q2</t>
        </is>
      </c>
      <c r="E2267" s="6" t="inlineStr"/>
      <c r="F2267" s="7" t="inlineStr"/>
      <c r="G2267" s="8" t="inlineStr"/>
      <c r="H2267" s="8" t="inlineStr"/>
      <c r="I2267" s="9" t="n">
        <v>2898</v>
      </c>
      <c r="J2267" s="10" t="n">
        <v>-1953</v>
      </c>
      <c r="K2267" s="10" t="n">
        <v>-1869</v>
      </c>
      <c r="L2267" s="7" t="n">
        <v>3087</v>
      </c>
      <c r="M2267" s="8" t="n">
        <v>-2073</v>
      </c>
      <c r="N2267" s="8" t="n">
        <v>-1918</v>
      </c>
      <c r="O2267" s="9" t="n">
        <v>622</v>
      </c>
      <c r="P2267" s="10" t="n">
        <v>-1695</v>
      </c>
      <c r="Q2267" s="10" t="n">
        <v>-2202</v>
      </c>
      <c r="R2267" s="7" t="n">
        <v>1961</v>
      </c>
      <c r="S2267" s="8" t="n">
        <v>-2681</v>
      </c>
      <c r="T2267" s="8" t="n">
        <v>-3366</v>
      </c>
      <c r="U2267" s="9" t="n">
        <v>9084</v>
      </c>
      <c r="V2267" s="10" t="n">
        <v>-1881</v>
      </c>
      <c r="W2267" s="10" t="n">
        <v>-2991</v>
      </c>
      <c r="X2267" s="7" t="n">
        <v>978</v>
      </c>
      <c r="Y2267" s="8" t="n">
        <v>-2907</v>
      </c>
      <c r="Z2267" s="8" t="n">
        <v>-3484</v>
      </c>
      <c r="AA2267" s="9" t="n">
        <v>1196</v>
      </c>
      <c r="AB2267" s="10" t="n">
        <v>-2813</v>
      </c>
      <c r="AC2267" s="10" t="n">
        <v>-3489</v>
      </c>
      <c r="AD2267" s="7" t="n">
        <v>1755</v>
      </c>
      <c r="AE2267" s="8" t="n">
        <v>-1863</v>
      </c>
      <c r="AF2267" s="8" t="n">
        <v>-4273</v>
      </c>
      <c r="AG2267" s="9" t="n">
        <v>584</v>
      </c>
      <c r="AH2267" s="10" t="n">
        <v>-1762</v>
      </c>
      <c r="AI2267" s="10" t="n">
        <v>-2377</v>
      </c>
      <c r="AJ2267" s="11" t="n">
        <v>865</v>
      </c>
      <c r="AK2267" s="12" t="n">
        <v>-2611</v>
      </c>
      <c r="AL2267" s="12" t="n">
        <v>-3012</v>
      </c>
      <c r="AM2267" s="13" t="n">
        <v>48.1</v>
      </c>
      <c r="AN2267" s="13" t="n">
        <v>-11.6</v>
      </c>
      <c r="AO2267" s="13" t="n">
        <v>-48.2</v>
      </c>
      <c r="AP2267" s="13" t="n">
        <v>10.2</v>
      </c>
    </row>
    <row r="2268">
      <c r="A2268" s="5" t="inlineStr">
        <is>
          <t>이삭엔지니어링</t>
        </is>
      </c>
      <c r="B2268" s="6" t="inlineStr">
        <is>
          <t>351330</t>
        </is>
      </c>
      <c r="C2268" s="6" t="inlineStr">
        <is>
          <t>연결</t>
        </is>
      </c>
      <c r="D2268" s="6" t="inlineStr">
        <is>
          <t>2026Q2</t>
        </is>
      </c>
      <c r="E2268" s="6" t="inlineStr"/>
      <c r="F2268" s="7" t="inlineStr"/>
      <c r="G2268" s="8" t="inlineStr"/>
      <c r="H2268" s="8" t="inlineStr"/>
      <c r="I2268" s="9" t="n">
        <v>13403</v>
      </c>
      <c r="J2268" s="10" t="n">
        <v>-1046</v>
      </c>
      <c r="K2268" s="10" t="n">
        <v>-1026</v>
      </c>
      <c r="L2268" s="7" t="n">
        <v>11902</v>
      </c>
      <c r="M2268" s="8" t="n">
        <v>-1424</v>
      </c>
      <c r="N2268" s="8" t="n">
        <v>-1389</v>
      </c>
      <c r="O2268" s="9" t="n">
        <v>18779</v>
      </c>
      <c r="P2268" s="10" t="n">
        <v>-884</v>
      </c>
      <c r="Q2268" s="10" t="n">
        <v>-362</v>
      </c>
      <c r="R2268" s="7" t="n">
        <v>24366</v>
      </c>
      <c r="S2268" s="8" t="n">
        <v>-1190</v>
      </c>
      <c r="T2268" s="8" t="n">
        <v>-4244</v>
      </c>
      <c r="U2268" s="9" t="n">
        <v>15472</v>
      </c>
      <c r="V2268" s="10" t="n">
        <v>-2328</v>
      </c>
      <c r="W2268" s="10" t="n">
        <v>-3225</v>
      </c>
      <c r="X2268" s="7" t="n">
        <v>19021</v>
      </c>
      <c r="Y2268" s="8" t="n">
        <v>-1549</v>
      </c>
      <c r="Z2268" s="8" t="n">
        <v>-2461</v>
      </c>
      <c r="AA2268" s="9" t="n">
        <v>20234</v>
      </c>
      <c r="AB2268" s="10" t="n">
        <v>271</v>
      </c>
      <c r="AC2268" s="10" t="n">
        <v>-179</v>
      </c>
      <c r="AD2268" s="7" t="n">
        <v>24259</v>
      </c>
      <c r="AE2268" s="8" t="n">
        <v>-3576</v>
      </c>
      <c r="AF2268" s="8" t="n">
        <v>-3043</v>
      </c>
      <c r="AG2268" s="9" t="n">
        <v>14095</v>
      </c>
      <c r="AH2268" s="10" t="n">
        <v>-2522</v>
      </c>
      <c r="AI2268" s="10" t="n">
        <v>-3035</v>
      </c>
      <c r="AJ2268" s="11" t="n">
        <v>18448</v>
      </c>
      <c r="AK2268" s="12" t="n">
        <v>-1471</v>
      </c>
      <c r="AL2268" s="12" t="n">
        <v>-3085</v>
      </c>
      <c r="AM2268" s="13" t="n">
        <v>30.9</v>
      </c>
      <c r="AN2268" s="13" t="n">
        <v>-3</v>
      </c>
      <c r="AO2268" s="13" t="n">
        <v>41.7</v>
      </c>
      <c r="AP2268" s="13" t="n">
        <v>5</v>
      </c>
    </row>
    <row r="2269">
      <c r="A2269" s="5" t="inlineStr">
        <is>
          <t>차이커뮤니케이션</t>
        </is>
      </c>
      <c r="B2269" s="6" t="inlineStr">
        <is>
          <t>351870</t>
        </is>
      </c>
      <c r="C2269" s="6" t="inlineStr">
        <is>
          <t>연결</t>
        </is>
      </c>
      <c r="D2269" s="6" t="inlineStr">
        <is>
          <t>2026Q2</t>
        </is>
      </c>
      <c r="E2269" s="6" t="inlineStr"/>
      <c r="F2269" s="7" t="inlineStr"/>
      <c r="G2269" s="8" t="inlineStr"/>
      <c r="H2269" s="8" t="inlineStr"/>
      <c r="I2269" s="9" t="inlineStr"/>
      <c r="J2269" s="10" t="inlineStr"/>
      <c r="K2269" s="10" t="inlineStr"/>
      <c r="L2269" s="7" t="inlineStr"/>
      <c r="M2269" s="8" t="inlineStr"/>
      <c r="N2269" s="8" t="inlineStr"/>
      <c r="O2269" s="9" t="n">
        <v>16330</v>
      </c>
      <c r="P2269" s="10" t="n">
        <v>1458</v>
      </c>
      <c r="Q2269" s="10" t="n">
        <v>-1416</v>
      </c>
      <c r="R2269" s="7" t="inlineStr"/>
      <c r="S2269" s="8" t="inlineStr"/>
      <c r="T2269" s="8" t="inlineStr"/>
      <c r="U2269" s="9" t="n">
        <v>11229</v>
      </c>
      <c r="V2269" s="10" t="n">
        <v>472</v>
      </c>
      <c r="W2269" s="10" t="n">
        <v>130</v>
      </c>
      <c r="X2269" s="7" t="n">
        <v>11456</v>
      </c>
      <c r="Y2269" s="8" t="n">
        <v>323</v>
      </c>
      <c r="Z2269" s="8" t="n">
        <v>-10</v>
      </c>
      <c r="AA2269" s="9" t="n">
        <v>20392</v>
      </c>
      <c r="AB2269" s="10" t="n">
        <v>1153</v>
      </c>
      <c r="AC2269" s="10" t="n">
        <v>617</v>
      </c>
      <c r="AD2269" s="7" t="n">
        <v>23398</v>
      </c>
      <c r="AE2269" s="8" t="n">
        <v>2487</v>
      </c>
      <c r="AF2269" s="8" t="n">
        <v>1784</v>
      </c>
      <c r="AG2269" s="9" t="n">
        <v>19199</v>
      </c>
      <c r="AH2269" s="10" t="n">
        <v>-896</v>
      </c>
      <c r="AI2269" s="10" t="n">
        <v>-801</v>
      </c>
      <c r="AJ2269" s="11" t="n">
        <v>26417</v>
      </c>
      <c r="AK2269" s="12" t="n">
        <v>2779</v>
      </c>
      <c r="AL2269" s="12" t="n">
        <v>-596</v>
      </c>
      <c r="AM2269" s="13" t="n">
        <v>37.6</v>
      </c>
      <c r="AN2269" s="13" t="n">
        <v>130.6</v>
      </c>
      <c r="AO2269" s="13" t="n">
        <v>410.2</v>
      </c>
      <c r="AP2269" s="13" t="n">
        <v>760.4</v>
      </c>
    </row>
    <row r="2270">
      <c r="A2270" s="5" t="inlineStr">
        <is>
          <t>스톰테크</t>
        </is>
      </c>
      <c r="B2270" s="6" t="inlineStr">
        <is>
          <t>352090</t>
        </is>
      </c>
      <c r="C2270" s="6" t="inlineStr">
        <is>
          <t>연결</t>
        </is>
      </c>
      <c r="D2270" s="6" t="inlineStr">
        <is>
          <t>2026Q2</t>
        </is>
      </c>
      <c r="E2270" s="6" t="inlineStr"/>
      <c r="F2270" s="7" t="inlineStr"/>
      <c r="G2270" s="8" t="inlineStr"/>
      <c r="H2270" s="8" t="inlineStr"/>
      <c r="I2270" s="9" t="n">
        <v>13669</v>
      </c>
      <c r="J2270" s="10" t="n">
        <v>2505</v>
      </c>
      <c r="K2270" s="10" t="n">
        <v>2524</v>
      </c>
      <c r="L2270" s="7" t="n">
        <v>16866</v>
      </c>
      <c r="M2270" s="8" t="n">
        <v>4334</v>
      </c>
      <c r="N2270" s="8" t="n">
        <v>3923</v>
      </c>
      <c r="O2270" s="9" t="n">
        <v>17420</v>
      </c>
      <c r="P2270" s="10" t="n">
        <v>3631</v>
      </c>
      <c r="Q2270" s="10" t="n">
        <v>4337</v>
      </c>
      <c r="R2270" s="7" t="n">
        <v>18960</v>
      </c>
      <c r="S2270" s="8" t="n">
        <v>1954</v>
      </c>
      <c r="T2270" s="8" t="n">
        <v>3570</v>
      </c>
      <c r="U2270" s="9" t="n">
        <v>15007</v>
      </c>
      <c r="V2270" s="10" t="n">
        <v>1784</v>
      </c>
      <c r="W2270" s="10" t="n">
        <v>1729</v>
      </c>
      <c r="X2270" s="7" t="n">
        <v>20242</v>
      </c>
      <c r="Y2270" s="8" t="n">
        <v>4160</v>
      </c>
      <c r="Z2270" s="8" t="n">
        <v>3201</v>
      </c>
      <c r="AA2270" s="9" t="n">
        <v>18986</v>
      </c>
      <c r="AB2270" s="10" t="n">
        <v>3800</v>
      </c>
      <c r="AC2270" s="10" t="n">
        <v>2923</v>
      </c>
      <c r="AD2270" s="7" t="n">
        <v>15444</v>
      </c>
      <c r="AE2270" s="8" t="n">
        <v>2195</v>
      </c>
      <c r="AF2270" s="8" t="n">
        <v>2355</v>
      </c>
      <c r="AG2270" s="9" t="n">
        <v>16300</v>
      </c>
      <c r="AH2270" s="10" t="n">
        <v>2282</v>
      </c>
      <c r="AI2270" s="10" t="n">
        <v>1959</v>
      </c>
      <c r="AJ2270" s="11" t="n">
        <v>20769</v>
      </c>
      <c r="AK2270" s="12" t="n">
        <v>4587</v>
      </c>
      <c r="AL2270" s="12" t="n">
        <v>3728</v>
      </c>
      <c r="AM2270" s="13" t="n">
        <v>27.4</v>
      </c>
      <c r="AN2270" s="13" t="n">
        <v>2.6</v>
      </c>
      <c r="AO2270" s="13" t="n">
        <v>101</v>
      </c>
      <c r="AP2270" s="13" t="n">
        <v>10.3</v>
      </c>
    </row>
    <row r="2271">
      <c r="A2271" s="5" t="inlineStr">
        <is>
          <t>씨앤씨인터내셔널</t>
        </is>
      </c>
      <c r="B2271" s="6" t="inlineStr">
        <is>
          <t>352480</t>
        </is>
      </c>
      <c r="C2271" s="6" t="inlineStr">
        <is>
          <t>연결</t>
        </is>
      </c>
      <c r="D2271" s="6" t="inlineStr">
        <is>
          <t>2026Q2</t>
        </is>
      </c>
      <c r="E2271" s="6" t="inlineStr">
        <is>
          <t>2023Q4</t>
        </is>
      </c>
      <c r="F2271" s="14" t="n">
        <v>63149</v>
      </c>
      <c r="G2271" s="15" t="n">
        <v>9061</v>
      </c>
      <c r="H2271" s="15" t="n">
        <v>9099</v>
      </c>
      <c r="I2271" s="9" t="n">
        <v>72150</v>
      </c>
      <c r="J2271" s="10" t="n">
        <v>9959</v>
      </c>
      <c r="K2271" s="10" t="n">
        <v>11332</v>
      </c>
      <c r="L2271" s="7" t="n">
        <v>80338</v>
      </c>
      <c r="M2271" s="8" t="n">
        <v>11823</v>
      </c>
      <c r="N2271" s="8" t="n">
        <v>17784</v>
      </c>
      <c r="O2271" s="9" t="n">
        <v>74123</v>
      </c>
      <c r="P2271" s="10" t="n">
        <v>7155</v>
      </c>
      <c r="Q2271" s="10" t="n">
        <v>171</v>
      </c>
      <c r="R2271" s="7" t="n">
        <v>56273</v>
      </c>
      <c r="S2271" s="8" t="n">
        <v>26</v>
      </c>
      <c r="T2271" s="8" t="n">
        <v>3157</v>
      </c>
      <c r="U2271" s="9" t="n">
        <v>65982</v>
      </c>
      <c r="V2271" s="10" t="n">
        <v>5555</v>
      </c>
      <c r="W2271" s="10" t="n">
        <v>4060</v>
      </c>
      <c r="X2271" s="7" t="n">
        <v>73897</v>
      </c>
      <c r="Y2271" s="8" t="n">
        <v>8681</v>
      </c>
      <c r="Z2271" s="8" t="n">
        <v>1215</v>
      </c>
      <c r="AA2271" s="9" t="n">
        <v>75361</v>
      </c>
      <c r="AB2271" s="10" t="n">
        <v>6898</v>
      </c>
      <c r="AC2271" s="10" t="n">
        <v>7462</v>
      </c>
      <c r="AD2271" s="7" t="n">
        <v>73238</v>
      </c>
      <c r="AE2271" s="8" t="n">
        <v>1037</v>
      </c>
      <c r="AF2271" s="8" t="n">
        <v>1550</v>
      </c>
      <c r="AG2271" s="9" t="n">
        <v>70837</v>
      </c>
      <c r="AH2271" s="10" t="n">
        <v>2967</v>
      </c>
      <c r="AI2271" s="10" t="n">
        <v>5083</v>
      </c>
      <c r="AJ2271" s="11" t="n">
        <v>73321</v>
      </c>
      <c r="AK2271" s="12" t="n">
        <v>1601</v>
      </c>
      <c r="AL2271" s="12" t="n">
        <v>-6233</v>
      </c>
      <c r="AM2271" s="13" t="n">
        <v>3.5</v>
      </c>
      <c r="AN2271" s="13" t="n">
        <v>-0.8</v>
      </c>
      <c r="AO2271" s="13" t="n">
        <v>-46</v>
      </c>
      <c r="AP2271" s="13" t="n">
        <v>-81.59999999999999</v>
      </c>
    </row>
    <row r="2272">
      <c r="A2272" s="5" t="inlineStr">
        <is>
          <t>씨앤투스</t>
        </is>
      </c>
      <c r="B2272" s="6" t="inlineStr">
        <is>
          <t>352700</t>
        </is>
      </c>
      <c r="C2272" s="6" t="inlineStr">
        <is>
          <t>연결</t>
        </is>
      </c>
      <c r="D2272" s="6" t="inlineStr">
        <is>
          <t>2026Q2</t>
        </is>
      </c>
      <c r="E2272" s="6" t="inlineStr"/>
      <c r="F2272" s="7" t="inlineStr"/>
      <c r="G2272" s="8" t="inlineStr"/>
      <c r="H2272" s="8" t="inlineStr"/>
      <c r="I2272" s="9" t="n">
        <v>20308</v>
      </c>
      <c r="J2272" s="10" t="n">
        <v>1472</v>
      </c>
      <c r="K2272" s="10" t="n">
        <v>2200</v>
      </c>
      <c r="L2272" s="7" t="n">
        <v>17602</v>
      </c>
      <c r="M2272" s="8" t="n">
        <v>54</v>
      </c>
      <c r="N2272" s="8" t="n">
        <v>-381</v>
      </c>
      <c r="O2272" s="9" t="n">
        <v>16978</v>
      </c>
      <c r="P2272" s="10" t="n">
        <v>250</v>
      </c>
      <c r="Q2272" s="10" t="n">
        <v>560</v>
      </c>
      <c r="R2272" s="7" t="n">
        <v>18099</v>
      </c>
      <c r="S2272" s="8" t="n">
        <v>-374</v>
      </c>
      <c r="T2272" s="8" t="n">
        <v>-419</v>
      </c>
      <c r="U2272" s="9" t="n">
        <v>19416</v>
      </c>
      <c r="V2272" s="10" t="n">
        <v>320</v>
      </c>
      <c r="W2272" s="10" t="n">
        <v>1375</v>
      </c>
      <c r="X2272" s="7" t="n">
        <v>17365</v>
      </c>
      <c r="Y2272" s="8" t="n">
        <v>65</v>
      </c>
      <c r="Z2272" s="8" t="n">
        <v>2102</v>
      </c>
      <c r="AA2272" s="9" t="n">
        <v>13194</v>
      </c>
      <c r="AB2272" s="10" t="n">
        <v>-1995</v>
      </c>
      <c r="AC2272" s="10" t="n">
        <v>-767</v>
      </c>
      <c r="AD2272" s="7" t="n">
        <v>17202</v>
      </c>
      <c r="AE2272" s="8" t="n">
        <v>-4141</v>
      </c>
      <c r="AF2272" s="8" t="n">
        <v>-10548</v>
      </c>
      <c r="AG2272" s="9" t="n">
        <v>15772</v>
      </c>
      <c r="AH2272" s="10" t="n">
        <v>-364</v>
      </c>
      <c r="AI2272" s="10" t="n">
        <v>1642</v>
      </c>
      <c r="AJ2272" s="11" t="n">
        <v>16337</v>
      </c>
      <c r="AK2272" s="12" t="n">
        <v>-1994</v>
      </c>
      <c r="AL2272" s="12" t="n">
        <v>-2417</v>
      </c>
      <c r="AM2272" s="13" t="n">
        <v>3.6</v>
      </c>
      <c r="AN2272" s="13" t="n">
        <v>-5.9</v>
      </c>
      <c r="AO2272" s="13" t="n">
        <v>-447.8</v>
      </c>
      <c r="AP2272" s="13" t="n">
        <v>-3167.7</v>
      </c>
    </row>
    <row r="2273">
      <c r="A2273" s="5" t="inlineStr">
        <is>
          <t>셀레스트라</t>
        </is>
      </c>
      <c r="B2273" s="6" t="inlineStr">
        <is>
          <t>352770</t>
        </is>
      </c>
      <c r="C2273" s="6" t="inlineStr">
        <is>
          <t>연결</t>
        </is>
      </c>
      <c r="D2273" s="6" t="inlineStr">
        <is>
          <t>2026Q2</t>
        </is>
      </c>
      <c r="E2273" s="6" t="inlineStr"/>
      <c r="F2273" s="7" t="inlineStr"/>
      <c r="G2273" s="8" t="inlineStr"/>
      <c r="H2273" s="8" t="inlineStr"/>
      <c r="I2273" s="9" t="n">
        <v>3072</v>
      </c>
      <c r="J2273" s="10" t="n">
        <v>-2257</v>
      </c>
      <c r="K2273" s="10" t="n">
        <v>-2271</v>
      </c>
      <c r="L2273" s="7" t="n">
        <v>1924</v>
      </c>
      <c r="M2273" s="8" t="n">
        <v>-4056</v>
      </c>
      <c r="N2273" s="8" t="n">
        <v>-5140</v>
      </c>
      <c r="O2273" s="9" t="n">
        <v>1160</v>
      </c>
      <c r="P2273" s="10" t="n">
        <v>-6397</v>
      </c>
      <c r="Q2273" s="10" t="n">
        <v>-6882</v>
      </c>
      <c r="R2273" s="7" t="n">
        <v>2346</v>
      </c>
      <c r="S2273" s="8" t="n">
        <v>-15999</v>
      </c>
      <c r="T2273" s="8" t="n">
        <v>-32762</v>
      </c>
      <c r="U2273" s="9" t="n">
        <v>566</v>
      </c>
      <c r="V2273" s="10" t="n">
        <v>-2883</v>
      </c>
      <c r="W2273" s="10" t="n">
        <v>-10133</v>
      </c>
      <c r="X2273" s="7" t="n">
        <v>1624</v>
      </c>
      <c r="Y2273" s="8" t="n">
        <v>-2837</v>
      </c>
      <c r="Z2273" s="8" t="n">
        <v>-521</v>
      </c>
      <c r="AA2273" s="9" t="n">
        <v>1073</v>
      </c>
      <c r="AB2273" s="10" t="n">
        <v>-1871</v>
      </c>
      <c r="AC2273" s="10" t="n">
        <v>-2490</v>
      </c>
      <c r="AD2273" s="7" t="n">
        <v>-1255</v>
      </c>
      <c r="AE2273" s="8" t="n">
        <v>-169</v>
      </c>
      <c r="AF2273" s="8" t="n">
        <v>1373</v>
      </c>
      <c r="AG2273" s="9" t="n">
        <v>24</v>
      </c>
      <c r="AH2273" s="10" t="n">
        <v>-254</v>
      </c>
      <c r="AI2273" s="10" t="n">
        <v>-89</v>
      </c>
      <c r="AJ2273" s="11" t="inlineStr"/>
      <c r="AK2273" s="12" t="n">
        <v>-447</v>
      </c>
      <c r="AL2273" s="12" t="n">
        <v>-444</v>
      </c>
      <c r="AM2273" s="13" t="inlineStr"/>
      <c r="AN2273" s="13" t="inlineStr"/>
      <c r="AO2273" s="13" t="n">
        <v>-76</v>
      </c>
      <c r="AP2273" s="13" t="n">
        <v>84.2</v>
      </c>
    </row>
    <row r="2274">
      <c r="A2274" s="5" t="inlineStr">
        <is>
          <t>하이브</t>
        </is>
      </c>
      <c r="B2274" s="6" t="inlineStr">
        <is>
          <t>352820</t>
        </is>
      </c>
      <c r="C2274" s="6" t="inlineStr">
        <is>
          <t>연결</t>
        </is>
      </c>
      <c r="D2274" s="6" t="inlineStr">
        <is>
          <t>2026Q2</t>
        </is>
      </c>
      <c r="E2274" s="6" t="inlineStr">
        <is>
          <t>2023Q4</t>
        </is>
      </c>
      <c r="F2274" s="14" t="n">
        <v>608600</v>
      </c>
      <c r="G2274" s="15" t="n">
        <v>89300</v>
      </c>
      <c r="H2274" s="15" t="n">
        <v>-53600</v>
      </c>
      <c r="I2274" s="9" t="n">
        <v>360918</v>
      </c>
      <c r="J2274" s="10" t="n">
        <v>14384</v>
      </c>
      <c r="K2274" s="10" t="n">
        <v>11098</v>
      </c>
      <c r="L2274" s="7" t="n">
        <v>640464</v>
      </c>
      <c r="M2274" s="8" t="n">
        <v>50905</v>
      </c>
      <c r="N2274" s="8" t="n">
        <v>10100</v>
      </c>
      <c r="O2274" s="9" t="n">
        <v>527847</v>
      </c>
      <c r="P2274" s="10" t="n">
        <v>54185</v>
      </c>
      <c r="Q2274" s="10" t="n">
        <v>1444</v>
      </c>
      <c r="R2274" s="7" t="n">
        <v>726420</v>
      </c>
      <c r="S2274" s="8" t="n">
        <v>64571</v>
      </c>
      <c r="T2274" s="8" t="n">
        <v>-26074</v>
      </c>
      <c r="U2274" s="9" t="n">
        <v>500613</v>
      </c>
      <c r="V2274" s="10" t="n">
        <v>21623</v>
      </c>
      <c r="W2274" s="10" t="n">
        <v>54390</v>
      </c>
      <c r="X2274" s="7" t="n">
        <v>705649</v>
      </c>
      <c r="Y2274" s="8" t="n">
        <v>65919</v>
      </c>
      <c r="Z2274" s="8" t="n">
        <v>15458</v>
      </c>
      <c r="AA2274" s="9" t="n">
        <v>727181</v>
      </c>
      <c r="AB2274" s="10" t="n">
        <v>-42198</v>
      </c>
      <c r="AC2274" s="10" t="n">
        <v>-52033</v>
      </c>
      <c r="AD2274" s="7" t="n">
        <v>716427</v>
      </c>
      <c r="AE2274" s="8" t="n">
        <v>3974</v>
      </c>
      <c r="AF2274" s="8" t="n">
        <v>-272200</v>
      </c>
      <c r="AG2274" s="9" t="n">
        <v>698348</v>
      </c>
      <c r="AH2274" s="10" t="n">
        <v>-196575</v>
      </c>
      <c r="AI2274" s="10" t="n">
        <v>-156670</v>
      </c>
      <c r="AJ2274" s="11" t="n">
        <v>1449998</v>
      </c>
      <c r="AK2274" s="12" t="n">
        <v>170925</v>
      </c>
      <c r="AL2274" s="12" t="n">
        <v>109765</v>
      </c>
      <c r="AM2274" s="13" t="n">
        <v>107.6</v>
      </c>
      <c r="AN2274" s="13" t="n">
        <v>105.5</v>
      </c>
      <c r="AO2274" s="13" t="n">
        <v>187</v>
      </c>
      <c r="AP2274" s="13" t="n">
        <v>159.3</v>
      </c>
    </row>
    <row r="2275">
      <c r="A2275" s="5" t="inlineStr">
        <is>
          <t>오비고</t>
        </is>
      </c>
      <c r="B2275" s="6" t="inlineStr">
        <is>
          <t>352910</t>
        </is>
      </c>
      <c r="C2275" s="6" t="inlineStr">
        <is>
          <t>연결</t>
        </is>
      </c>
      <c r="D2275" s="6" t="inlineStr">
        <is>
          <t>2026Q2</t>
        </is>
      </c>
      <c r="E2275" s="6" t="inlineStr"/>
      <c r="F2275" s="7" t="inlineStr"/>
      <c r="G2275" s="8" t="inlineStr"/>
      <c r="H2275" s="8" t="inlineStr"/>
      <c r="I2275" s="9" t="n">
        <v>3551</v>
      </c>
      <c r="J2275" s="10" t="n">
        <v>-633</v>
      </c>
      <c r="K2275" s="10" t="n">
        <v>-307</v>
      </c>
      <c r="L2275" s="7" t="n">
        <v>3519</v>
      </c>
      <c r="M2275" s="8" t="n">
        <v>-1317</v>
      </c>
      <c r="N2275" s="8" t="n">
        <v>-936</v>
      </c>
      <c r="O2275" s="9" t="n">
        <v>3355</v>
      </c>
      <c r="P2275" s="10" t="n">
        <v>-756</v>
      </c>
      <c r="Q2275" s="10" t="n">
        <v>-520</v>
      </c>
      <c r="R2275" s="7" t="n">
        <v>3996</v>
      </c>
      <c r="S2275" s="8" t="n">
        <v>12</v>
      </c>
      <c r="T2275" s="8" t="n">
        <v>97</v>
      </c>
      <c r="U2275" s="9" t="n">
        <v>3714</v>
      </c>
      <c r="V2275" s="10" t="n">
        <v>-336</v>
      </c>
      <c r="W2275" s="10" t="n">
        <v>-131</v>
      </c>
      <c r="X2275" s="7" t="n">
        <v>8240</v>
      </c>
      <c r="Y2275" s="8" t="n">
        <v>-1455</v>
      </c>
      <c r="Z2275" s="8" t="n">
        <v>-1363</v>
      </c>
      <c r="AA2275" s="9" t="n">
        <v>12955</v>
      </c>
      <c r="AB2275" s="10" t="n">
        <v>-643</v>
      </c>
      <c r="AC2275" s="10" t="n">
        <v>-524</v>
      </c>
      <c r="AD2275" s="7" t="n">
        <v>8626</v>
      </c>
      <c r="AE2275" s="8" t="n">
        <v>-1290</v>
      </c>
      <c r="AF2275" s="8" t="n">
        <v>-968</v>
      </c>
      <c r="AG2275" s="9" t="n">
        <v>10536</v>
      </c>
      <c r="AH2275" s="10" t="n">
        <v>-1481</v>
      </c>
      <c r="AI2275" s="10" t="n">
        <v>-1362</v>
      </c>
      <c r="AJ2275" s="11" t="n">
        <v>10995</v>
      </c>
      <c r="AK2275" s="12" t="n">
        <v>-1146</v>
      </c>
      <c r="AL2275" s="12" t="n">
        <v>242</v>
      </c>
      <c r="AM2275" s="13" t="n">
        <v>4.4</v>
      </c>
      <c r="AN2275" s="13" t="n">
        <v>33.4</v>
      </c>
      <c r="AO2275" s="13" t="n">
        <v>22.6</v>
      </c>
      <c r="AP2275" s="13" t="n">
        <v>21.2</v>
      </c>
    </row>
    <row r="2276">
      <c r="A2276" s="5" t="inlineStr">
        <is>
          <t>인바이오</t>
        </is>
      </c>
      <c r="B2276" s="6" t="inlineStr">
        <is>
          <t>352940</t>
        </is>
      </c>
      <c r="C2276" s="6" t="inlineStr">
        <is>
          <t>별도</t>
        </is>
      </c>
      <c r="D2276" s="6" t="inlineStr">
        <is>
          <t>2026Q2</t>
        </is>
      </c>
      <c r="E2276" s="6" t="inlineStr"/>
      <c r="F2276" s="7" t="inlineStr"/>
      <c r="G2276" s="8" t="inlineStr"/>
      <c r="H2276" s="8" t="inlineStr"/>
      <c r="I2276" s="9" t="n">
        <v>15611</v>
      </c>
      <c r="J2276" s="10" t="n">
        <v>3346</v>
      </c>
      <c r="K2276" s="10" t="n">
        <v>2729</v>
      </c>
      <c r="L2276" s="7" t="n">
        <v>8837</v>
      </c>
      <c r="M2276" s="8" t="n">
        <v>776</v>
      </c>
      <c r="N2276" s="8" t="n">
        <v>372</v>
      </c>
      <c r="O2276" s="9" t="n">
        <v>6041</v>
      </c>
      <c r="P2276" s="10" t="n">
        <v>-538</v>
      </c>
      <c r="Q2276" s="10" t="n">
        <v>-615</v>
      </c>
      <c r="R2276" s="7" t="n">
        <v>5165</v>
      </c>
      <c r="S2276" s="8" t="n">
        <v>-2179</v>
      </c>
      <c r="T2276" s="8" t="n">
        <v>-1840</v>
      </c>
      <c r="U2276" s="9" t="n">
        <v>13830</v>
      </c>
      <c r="V2276" s="10" t="n">
        <v>3155</v>
      </c>
      <c r="W2276" s="10" t="n">
        <v>2416</v>
      </c>
      <c r="X2276" s="7" t="n">
        <v>8525</v>
      </c>
      <c r="Y2276" s="8" t="n">
        <v>-167</v>
      </c>
      <c r="Z2276" s="8" t="n">
        <v>182</v>
      </c>
      <c r="AA2276" s="9" t="n">
        <v>3936</v>
      </c>
      <c r="AB2276" s="10" t="n">
        <v>-1342</v>
      </c>
      <c r="AC2276" s="10" t="n">
        <v>-1108</v>
      </c>
      <c r="AD2276" s="7" t="n">
        <v>7662</v>
      </c>
      <c r="AE2276" s="8" t="n">
        <v>-729</v>
      </c>
      <c r="AF2276" s="8" t="n">
        <v>-483</v>
      </c>
      <c r="AG2276" s="9" t="n">
        <v>14141</v>
      </c>
      <c r="AH2276" s="10" t="n">
        <v>3130</v>
      </c>
      <c r="AI2276" s="10" t="n">
        <v>2206</v>
      </c>
      <c r="AJ2276" s="11" t="n">
        <v>10445</v>
      </c>
      <c r="AK2276" s="12" t="n">
        <v>172</v>
      </c>
      <c r="AL2276" s="12" t="n">
        <v>-41</v>
      </c>
      <c r="AM2276" s="13" t="n">
        <v>-26.1</v>
      </c>
      <c r="AN2276" s="13" t="n">
        <v>22.5</v>
      </c>
      <c r="AO2276" s="13" t="n">
        <v>-94.5</v>
      </c>
      <c r="AP2276" s="13" t="n">
        <v>203</v>
      </c>
    </row>
    <row r="2277">
      <c r="A2277" s="5" t="inlineStr">
        <is>
          <t>휴럼</t>
        </is>
      </c>
      <c r="B2277" s="6" t="inlineStr">
        <is>
          <t>353190</t>
        </is>
      </c>
      <c r="C2277" s="6" t="inlineStr">
        <is>
          <t>연결</t>
        </is>
      </c>
      <c r="D2277" s="6" t="inlineStr">
        <is>
          <t>2026Q2</t>
        </is>
      </c>
      <c r="E2277" s="6" t="inlineStr"/>
      <c r="F2277" s="7" t="inlineStr"/>
      <c r="G2277" s="8" t="inlineStr"/>
      <c r="H2277" s="8" t="inlineStr"/>
      <c r="I2277" s="9" t="n">
        <v>26605</v>
      </c>
      <c r="J2277" s="10" t="n">
        <v>704</v>
      </c>
      <c r="K2277" s="10" t="n">
        <v>436</v>
      </c>
      <c r="L2277" s="7" t="n">
        <v>24195</v>
      </c>
      <c r="M2277" s="8" t="n">
        <v>171</v>
      </c>
      <c r="N2277" s="8" t="n">
        <v>372</v>
      </c>
      <c r="O2277" s="9" t="n">
        <v>27465</v>
      </c>
      <c r="P2277" s="10" t="n">
        <v>925</v>
      </c>
      <c r="Q2277" s="10" t="n">
        <v>494</v>
      </c>
      <c r="R2277" s="7" t="n">
        <v>19901</v>
      </c>
      <c r="S2277" s="8" t="n">
        <v>-750</v>
      </c>
      <c r="T2277" s="8" t="n">
        <v>371</v>
      </c>
      <c r="U2277" s="9" t="n">
        <v>25204</v>
      </c>
      <c r="V2277" s="10" t="n">
        <v>302</v>
      </c>
      <c r="W2277" s="10" t="n">
        <v>-4</v>
      </c>
      <c r="X2277" s="7" t="n">
        <v>23928</v>
      </c>
      <c r="Y2277" s="8" t="n">
        <v>527</v>
      </c>
      <c r="Z2277" s="8" t="n">
        <v>1412</v>
      </c>
      <c r="AA2277" s="9" t="n">
        <v>26340</v>
      </c>
      <c r="AB2277" s="10" t="n">
        <v>7</v>
      </c>
      <c r="AC2277" s="10" t="n">
        <v>-776</v>
      </c>
      <c r="AD2277" s="7" t="n">
        <v>23539</v>
      </c>
      <c r="AE2277" s="8" t="n">
        <v>1039</v>
      </c>
      <c r="AF2277" s="8" t="n">
        <v>326</v>
      </c>
      <c r="AG2277" s="9" t="n">
        <v>23046</v>
      </c>
      <c r="AH2277" s="10" t="n">
        <v>-219</v>
      </c>
      <c r="AI2277" s="10" t="n">
        <v>-382</v>
      </c>
      <c r="AJ2277" s="11" t="n">
        <v>21962</v>
      </c>
      <c r="AK2277" s="12" t="n">
        <v>-813</v>
      </c>
      <c r="AL2277" s="12" t="n">
        <v>-256</v>
      </c>
      <c r="AM2277" s="13" t="n">
        <v>-4.7</v>
      </c>
      <c r="AN2277" s="13" t="n">
        <v>-8.199999999999999</v>
      </c>
      <c r="AO2277" s="13" t="n">
        <v>-271.2</v>
      </c>
      <c r="AP2277" s="13" t="n">
        <v>-254.3</v>
      </c>
    </row>
    <row r="2278">
      <c r="A2278" s="5" t="inlineStr">
        <is>
          <t>대덕전자</t>
        </is>
      </c>
      <c r="B2278" s="6" t="inlineStr">
        <is>
          <t>353200</t>
        </is>
      </c>
      <c r="C2278" s="6" t="inlineStr">
        <is>
          <t>연결</t>
        </is>
      </c>
      <c r="D2278" s="6" t="inlineStr">
        <is>
          <t>2026Q2</t>
        </is>
      </c>
      <c r="E2278" s="6" t="inlineStr">
        <is>
          <t>2023Q4</t>
        </is>
      </c>
      <c r="F2278" s="14" t="n">
        <v>234352</v>
      </c>
      <c r="G2278" s="15" t="n">
        <v>6431</v>
      </c>
      <c r="H2278" s="15" t="n">
        <v>5030</v>
      </c>
      <c r="I2278" s="9" t="n">
        <v>214766</v>
      </c>
      <c r="J2278" s="10" t="n">
        <v>-2886</v>
      </c>
      <c r="K2278" s="10" t="n">
        <v>1971</v>
      </c>
      <c r="L2278" s="7" t="n">
        <v>238239</v>
      </c>
      <c r="M2278" s="8" t="n">
        <v>10904</v>
      </c>
      <c r="N2278" s="8" t="n">
        <v>12231</v>
      </c>
      <c r="O2278" s="9" t="n">
        <v>232654</v>
      </c>
      <c r="P2278" s="10" t="n">
        <v>9218</v>
      </c>
      <c r="Q2278" s="10" t="n">
        <v>5177</v>
      </c>
      <c r="R2278" s="7" t="n">
        <v>206477</v>
      </c>
      <c r="S2278" s="8" t="n">
        <v>-5977</v>
      </c>
      <c r="T2278" s="8" t="n">
        <v>4384</v>
      </c>
      <c r="U2278" s="9" t="n">
        <v>215376</v>
      </c>
      <c r="V2278" s="10" t="n">
        <v>-6202</v>
      </c>
      <c r="W2278" s="10" t="n">
        <v>-5701</v>
      </c>
      <c r="X2278" s="7" t="n">
        <v>245858</v>
      </c>
      <c r="Y2278" s="8" t="n">
        <v>1866</v>
      </c>
      <c r="Z2278" s="8" t="n">
        <v>4409</v>
      </c>
      <c r="AA2278" s="9" t="n">
        <v>286173</v>
      </c>
      <c r="AB2278" s="10" t="n">
        <v>24448</v>
      </c>
      <c r="AC2278" s="10" t="n">
        <v>23279</v>
      </c>
      <c r="AD2278" s="7" t="n">
        <v>317888</v>
      </c>
      <c r="AE2278" s="8" t="n">
        <v>28949</v>
      </c>
      <c r="AF2278" s="8" t="n">
        <v>25618</v>
      </c>
      <c r="AG2278" s="9" t="n">
        <v>346314</v>
      </c>
      <c r="AH2278" s="10" t="n">
        <v>51298</v>
      </c>
      <c r="AI2278" s="10" t="n">
        <v>45502</v>
      </c>
      <c r="AJ2278" s="11" t="n">
        <v>400975</v>
      </c>
      <c r="AK2278" s="12" t="n">
        <v>70276</v>
      </c>
      <c r="AL2278" s="12" t="n">
        <v>57675</v>
      </c>
      <c r="AM2278" s="13" t="n">
        <v>15.8</v>
      </c>
      <c r="AN2278" s="13" t="n">
        <v>63.1</v>
      </c>
      <c r="AO2278" s="13" t="n">
        <v>37</v>
      </c>
      <c r="AP2278" s="13" t="n">
        <v>3666.1</v>
      </c>
    </row>
    <row r="2279">
      <c r="A2279" s="5" t="inlineStr">
        <is>
          <t>오토앤</t>
        </is>
      </c>
      <c r="B2279" s="6" t="inlineStr">
        <is>
          <t>353590</t>
        </is>
      </c>
      <c r="C2279" s="6" t="inlineStr">
        <is>
          <t>연결</t>
        </is>
      </c>
      <c r="D2279" s="6" t="inlineStr">
        <is>
          <t>2026Q2</t>
        </is>
      </c>
      <c r="E2279" s="6" t="inlineStr"/>
      <c r="F2279" s="7" t="inlineStr"/>
      <c r="G2279" s="8" t="inlineStr"/>
      <c r="H2279" s="8" t="inlineStr"/>
      <c r="I2279" s="9" t="n">
        <v>14649</v>
      </c>
      <c r="J2279" s="10" t="n">
        <v>-167</v>
      </c>
      <c r="K2279" s="10" t="n">
        <v>-241</v>
      </c>
      <c r="L2279" s="7" t="n">
        <v>15169</v>
      </c>
      <c r="M2279" s="8" t="n">
        <v>-218</v>
      </c>
      <c r="N2279" s="8" t="n">
        <v>-1162</v>
      </c>
      <c r="O2279" s="9" t="n">
        <v>13732</v>
      </c>
      <c r="P2279" s="10" t="n">
        <v>1</v>
      </c>
      <c r="Q2279" s="10" t="n">
        <v>-276</v>
      </c>
      <c r="R2279" s="7" t="n">
        <v>13681</v>
      </c>
      <c r="S2279" s="8" t="n">
        <v>-2919</v>
      </c>
      <c r="T2279" s="8" t="n">
        <v>-3810</v>
      </c>
      <c r="U2279" s="9" t="n">
        <v>12853</v>
      </c>
      <c r="V2279" s="10" t="n">
        <v>-634</v>
      </c>
      <c r="W2279" s="10" t="n">
        <v>-902</v>
      </c>
      <c r="X2279" s="7" t="n">
        <v>16580</v>
      </c>
      <c r="Y2279" s="8" t="n">
        <v>589</v>
      </c>
      <c r="Z2279" s="8" t="n">
        <v>221</v>
      </c>
      <c r="AA2279" s="9" t="n">
        <v>14657</v>
      </c>
      <c r="AB2279" s="10" t="n">
        <v>-347</v>
      </c>
      <c r="AC2279" s="10" t="n">
        <v>-1494</v>
      </c>
      <c r="AD2279" s="7" t="n">
        <v>15022</v>
      </c>
      <c r="AE2279" s="8" t="n">
        <v>1144</v>
      </c>
      <c r="AF2279" s="8" t="n">
        <v>-3013</v>
      </c>
      <c r="AG2279" s="9" t="n">
        <v>11096</v>
      </c>
      <c r="AH2279" s="10" t="n">
        <v>-1335</v>
      </c>
      <c r="AI2279" s="10" t="n">
        <v>-1448</v>
      </c>
      <c r="AJ2279" s="11" t="n">
        <v>13255</v>
      </c>
      <c r="AK2279" s="12" t="n">
        <v>-1115</v>
      </c>
      <c r="AL2279" s="12" t="n">
        <v>-310</v>
      </c>
      <c r="AM2279" s="13" t="n">
        <v>19.5</v>
      </c>
      <c r="AN2279" s="13" t="n">
        <v>-20.1</v>
      </c>
      <c r="AO2279" s="13" t="n">
        <v>16.5</v>
      </c>
      <c r="AP2279" s="13" t="n">
        <v>-289.3</v>
      </c>
    </row>
    <row r="2280">
      <c r="A2280" s="5" t="inlineStr">
        <is>
          <t>이지바이오</t>
        </is>
      </c>
      <c r="B2280" s="6" t="inlineStr">
        <is>
          <t>353810</t>
        </is>
      </c>
      <c r="C2280" s="6" t="inlineStr">
        <is>
          <t>연결</t>
        </is>
      </c>
      <c r="D2280" s="6" t="inlineStr">
        <is>
          <t>2026Q2</t>
        </is>
      </c>
      <c r="E2280" s="6" t="inlineStr"/>
      <c r="F2280" s="7" t="inlineStr"/>
      <c r="G2280" s="8" t="inlineStr"/>
      <c r="H2280" s="8" t="inlineStr"/>
      <c r="I2280" s="9" t="n">
        <v>59403</v>
      </c>
      <c r="J2280" s="10" t="n">
        <v>6297</v>
      </c>
      <c r="K2280" s="10" t="n">
        <v>4698</v>
      </c>
      <c r="L2280" s="7" t="n">
        <v>100883</v>
      </c>
      <c r="M2280" s="8" t="n">
        <v>8436</v>
      </c>
      <c r="N2280" s="8" t="n">
        <v>4334</v>
      </c>
      <c r="O2280" s="9" t="n">
        <v>106422</v>
      </c>
      <c r="P2280" s="10" t="n">
        <v>8917</v>
      </c>
      <c r="Q2280" s="10" t="n">
        <v>6301</v>
      </c>
      <c r="R2280" s="7" t="n">
        <v>117623</v>
      </c>
      <c r="S2280" s="8" t="n">
        <v>8741</v>
      </c>
      <c r="T2280" s="8" t="n">
        <v>4571</v>
      </c>
      <c r="U2280" s="9" t="n">
        <v>116931</v>
      </c>
      <c r="V2280" s="10" t="n">
        <v>9105</v>
      </c>
      <c r="W2280" s="10" t="n">
        <v>5770</v>
      </c>
      <c r="X2280" s="7" t="n">
        <v>113793</v>
      </c>
      <c r="Y2280" s="8" t="n">
        <v>11047</v>
      </c>
      <c r="Z2280" s="8" t="n">
        <v>4100</v>
      </c>
      <c r="AA2280" s="9" t="n">
        <v>116896</v>
      </c>
      <c r="AB2280" s="10" t="n">
        <v>11245</v>
      </c>
      <c r="AC2280" s="10" t="n">
        <v>8635</v>
      </c>
      <c r="AD2280" s="7" t="n">
        <v>129319</v>
      </c>
      <c r="AE2280" s="8" t="n">
        <v>13593</v>
      </c>
      <c r="AF2280" s="8" t="n">
        <v>10767</v>
      </c>
      <c r="AG2280" s="9" t="n">
        <v>130692</v>
      </c>
      <c r="AH2280" s="10" t="n">
        <v>13217</v>
      </c>
      <c r="AI2280" s="10" t="n">
        <v>11671</v>
      </c>
      <c r="AJ2280" s="11" t="n">
        <v>148130</v>
      </c>
      <c r="AK2280" s="12" t="n">
        <v>15060</v>
      </c>
      <c r="AL2280" s="12" t="n">
        <v>10857</v>
      </c>
      <c r="AM2280" s="13" t="n">
        <v>13.3</v>
      </c>
      <c r="AN2280" s="13" t="n">
        <v>30.2</v>
      </c>
      <c r="AO2280" s="13" t="n">
        <v>13.9</v>
      </c>
      <c r="AP2280" s="13" t="n">
        <v>36.3</v>
      </c>
    </row>
    <row r="2281">
      <c r="A2281" s="5" t="inlineStr">
        <is>
          <t>엔젠바이오</t>
        </is>
      </c>
      <c r="B2281" s="6" t="inlineStr">
        <is>
          <t>354200</t>
        </is>
      </c>
      <c r="C2281" s="6" t="inlineStr">
        <is>
          <t>연결</t>
        </is>
      </c>
      <c r="D2281" s="6" t="inlineStr">
        <is>
          <t>2026Q2</t>
        </is>
      </c>
      <c r="E2281" s="6" t="inlineStr"/>
      <c r="F2281" s="7" t="inlineStr"/>
      <c r="G2281" s="8" t="inlineStr"/>
      <c r="H2281" s="8" t="inlineStr"/>
      <c r="I2281" s="9" t="n">
        <v>874</v>
      </c>
      <c r="J2281" s="10" t="n">
        <v>-3030</v>
      </c>
      <c r="K2281" s="10" t="n">
        <v>-3198</v>
      </c>
      <c r="L2281" s="7" t="n">
        <v>2029</v>
      </c>
      <c r="M2281" s="8" t="n">
        <v>-4452</v>
      </c>
      <c r="N2281" s="8" t="n">
        <v>-2851</v>
      </c>
      <c r="O2281" s="9" t="n">
        <v>2071</v>
      </c>
      <c r="P2281" s="10" t="n">
        <v>-4113</v>
      </c>
      <c r="Q2281" s="10" t="n">
        <v>-4633</v>
      </c>
      <c r="R2281" s="7" t="n">
        <v>717</v>
      </c>
      <c r="S2281" s="8" t="n">
        <v>-4480</v>
      </c>
      <c r="T2281" s="8" t="n">
        <v>-3260</v>
      </c>
      <c r="U2281" s="9" t="n">
        <v>2036</v>
      </c>
      <c r="V2281" s="10" t="n">
        <v>-2859</v>
      </c>
      <c r="W2281" s="10" t="n">
        <v>-3028</v>
      </c>
      <c r="X2281" s="7" t="n">
        <v>1848</v>
      </c>
      <c r="Y2281" s="8" t="n">
        <v>-2683</v>
      </c>
      <c r="Z2281" s="8" t="n">
        <v>-6090</v>
      </c>
      <c r="AA2281" s="9" t="n">
        <v>5428</v>
      </c>
      <c r="AB2281" s="10" t="n">
        <v>-1647</v>
      </c>
      <c r="AC2281" s="10" t="n">
        <v>-1941</v>
      </c>
      <c r="AD2281" s="7" t="n">
        <v>11928</v>
      </c>
      <c r="AE2281" s="8" t="n">
        <v>-1087</v>
      </c>
      <c r="AF2281" s="8" t="n">
        <v>4302</v>
      </c>
      <c r="AG2281" s="9" t="n">
        <v>11952</v>
      </c>
      <c r="AH2281" s="10" t="n">
        <v>-1566</v>
      </c>
      <c r="AI2281" s="10" t="n">
        <v>-4204</v>
      </c>
      <c r="AJ2281" s="11" t="n">
        <v>12452</v>
      </c>
      <c r="AK2281" s="12" t="n">
        <v>-1185</v>
      </c>
      <c r="AL2281" s="12" t="n">
        <v>-3462</v>
      </c>
      <c r="AM2281" s="13" t="n">
        <v>4.2</v>
      </c>
      <c r="AN2281" s="13" t="n">
        <v>573.8</v>
      </c>
      <c r="AO2281" s="13" t="n">
        <v>24.3</v>
      </c>
      <c r="AP2281" s="13" t="n">
        <v>55.8</v>
      </c>
    </row>
    <row r="2282">
      <c r="A2282" s="5" t="inlineStr">
        <is>
          <t>알멕</t>
        </is>
      </c>
      <c r="B2282" s="6" t="inlineStr">
        <is>
          <t>354320</t>
        </is>
      </c>
      <c r="C2282" s="6" t="inlineStr">
        <is>
          <t>연결</t>
        </is>
      </c>
      <c r="D2282" s="6" t="inlineStr">
        <is>
          <t>2026Q2</t>
        </is>
      </c>
      <c r="E2282" s="6" t="inlineStr"/>
      <c r="F2282" s="7" t="inlineStr"/>
      <c r="G2282" s="8" t="inlineStr"/>
      <c r="H2282" s="8" t="inlineStr"/>
      <c r="I2282" s="9" t="n">
        <v>35029</v>
      </c>
      <c r="J2282" s="10" t="n">
        <v>-627</v>
      </c>
      <c r="K2282" s="10" t="n">
        <v>-482</v>
      </c>
      <c r="L2282" s="7" t="n">
        <v>42897</v>
      </c>
      <c r="M2282" s="8" t="n">
        <v>1988</v>
      </c>
      <c r="N2282" s="8" t="n">
        <v>3651</v>
      </c>
      <c r="O2282" s="9" t="n">
        <v>41749</v>
      </c>
      <c r="P2282" s="10" t="n">
        <v>-1516</v>
      </c>
      <c r="Q2282" s="10" t="n">
        <v>-3948</v>
      </c>
      <c r="R2282" s="7" t="n">
        <v>37190</v>
      </c>
      <c r="S2282" s="8" t="n">
        <v>-2588</v>
      </c>
      <c r="T2282" s="8" t="n">
        <v>-1609</v>
      </c>
      <c r="U2282" s="9" t="n">
        <v>50584</v>
      </c>
      <c r="V2282" s="10" t="n">
        <v>1745</v>
      </c>
      <c r="W2282" s="10" t="n">
        <v>-205</v>
      </c>
      <c r="X2282" s="7" t="n">
        <v>48488</v>
      </c>
      <c r="Y2282" s="8" t="n">
        <v>2796</v>
      </c>
      <c r="Z2282" s="8" t="n">
        <v>-477</v>
      </c>
      <c r="AA2282" s="9" t="n">
        <v>44549</v>
      </c>
      <c r="AB2282" s="10" t="n">
        <v>2249</v>
      </c>
      <c r="AC2282" s="10" t="n">
        <v>-165</v>
      </c>
      <c r="AD2282" s="7" t="n">
        <v>44204</v>
      </c>
      <c r="AE2282" s="8" t="n">
        <v>-569</v>
      </c>
      <c r="AF2282" s="8" t="n">
        <v>-5280</v>
      </c>
      <c r="AG2282" s="9" t="n">
        <v>50654</v>
      </c>
      <c r="AH2282" s="10" t="n">
        <v>2811</v>
      </c>
      <c r="AI2282" s="10" t="n">
        <v>3128</v>
      </c>
      <c r="AJ2282" s="11" t="n">
        <v>55217</v>
      </c>
      <c r="AK2282" s="12" t="n">
        <v>2601</v>
      </c>
      <c r="AL2282" s="12" t="n">
        <v>3507</v>
      </c>
      <c r="AM2282" s="13" t="n">
        <v>9</v>
      </c>
      <c r="AN2282" s="13" t="n">
        <v>13.9</v>
      </c>
      <c r="AO2282" s="13" t="n">
        <v>-7.5</v>
      </c>
      <c r="AP2282" s="13" t="n">
        <v>-7</v>
      </c>
    </row>
    <row r="2283">
      <c r="A2283" s="5" t="inlineStr">
        <is>
          <t>코스텍시스</t>
        </is>
      </c>
      <c r="B2283" s="6" t="inlineStr">
        <is>
          <t>355150</t>
        </is>
      </c>
      <c r="C2283" s="6" t="inlineStr">
        <is>
          <t>별도</t>
        </is>
      </c>
      <c r="D2283" s="6" t="inlineStr">
        <is>
          <t>2026Q2</t>
        </is>
      </c>
      <c r="E2283" s="6" t="inlineStr"/>
      <c r="F2283" s="7" t="inlineStr"/>
      <c r="G2283" s="8" t="inlineStr"/>
      <c r="H2283" s="8" t="inlineStr"/>
      <c r="I2283" s="9" t="n">
        <v>3930</v>
      </c>
      <c r="J2283" s="10" t="n">
        <v>192</v>
      </c>
      <c r="K2283" s="10" t="n">
        <v>254</v>
      </c>
      <c r="L2283" s="7" t="n">
        <v>3569</v>
      </c>
      <c r="M2283" s="8" t="n">
        <v>98</v>
      </c>
      <c r="N2283" s="8" t="n">
        <v>83</v>
      </c>
      <c r="O2283" s="9" t="n">
        <v>2803</v>
      </c>
      <c r="P2283" s="10" t="n">
        <v>-1080</v>
      </c>
      <c r="Q2283" s="10" t="n">
        <v>-1114</v>
      </c>
      <c r="R2283" s="7" t="n">
        <v>3911</v>
      </c>
      <c r="S2283" s="8" t="n">
        <v>-1105</v>
      </c>
      <c r="T2283" s="8" t="n">
        <v>-1018</v>
      </c>
      <c r="U2283" s="9" t="n">
        <v>3312</v>
      </c>
      <c r="V2283" s="10" t="n">
        <v>-386</v>
      </c>
      <c r="W2283" s="10" t="n">
        <v>-353</v>
      </c>
      <c r="X2283" s="7" t="n">
        <v>3202</v>
      </c>
      <c r="Y2283" s="8" t="n">
        <v>-350</v>
      </c>
      <c r="Z2283" s="8" t="n">
        <v>-471</v>
      </c>
      <c r="AA2283" s="9" t="n">
        <v>3000</v>
      </c>
      <c r="AB2283" s="10" t="n">
        <v>-320</v>
      </c>
      <c r="AC2283" s="10" t="n">
        <v>-527</v>
      </c>
      <c r="AD2283" s="7" t="n">
        <v>5706</v>
      </c>
      <c r="AE2283" s="8" t="n">
        <v>1240</v>
      </c>
      <c r="AF2283" s="8" t="n">
        <v>788</v>
      </c>
      <c r="AG2283" s="9" t="n">
        <v>5448</v>
      </c>
      <c r="AH2283" s="10" t="n">
        <v>1131</v>
      </c>
      <c r="AI2283" s="10" t="n">
        <v>947</v>
      </c>
      <c r="AJ2283" s="11" t="n">
        <v>5343</v>
      </c>
      <c r="AK2283" s="12" t="n">
        <v>1186</v>
      </c>
      <c r="AL2283" s="12" t="n">
        <v>903</v>
      </c>
      <c r="AM2283" s="13" t="n">
        <v>-1.9</v>
      </c>
      <c r="AN2283" s="13" t="n">
        <v>66.90000000000001</v>
      </c>
      <c r="AO2283" s="13" t="n">
        <v>4.9</v>
      </c>
      <c r="AP2283" s="13" t="n">
        <v>438.9</v>
      </c>
    </row>
    <row r="2284">
      <c r="A2284" s="5" t="inlineStr">
        <is>
          <t>크라우드웍스</t>
        </is>
      </c>
      <c r="B2284" s="6" t="inlineStr">
        <is>
          <t>355390</t>
        </is>
      </c>
      <c r="C2284" s="6" t="inlineStr">
        <is>
          <t>연결</t>
        </is>
      </c>
      <c r="D2284" s="6" t="inlineStr">
        <is>
          <t>2026Q2</t>
        </is>
      </c>
      <c r="E2284" s="6" t="inlineStr"/>
      <c r="F2284" s="7" t="inlineStr"/>
      <c r="G2284" s="8" t="inlineStr"/>
      <c r="H2284" s="8" t="inlineStr"/>
      <c r="I2284" s="9" t="n">
        <v>2656</v>
      </c>
      <c r="J2284" s="10" t="n">
        <v>-3003</v>
      </c>
      <c r="K2284" s="10" t="n">
        <v>-3093</v>
      </c>
      <c r="L2284" s="7" t="n">
        <v>1832</v>
      </c>
      <c r="M2284" s="8" t="n">
        <v>-4330</v>
      </c>
      <c r="N2284" s="8" t="n">
        <v>-2399</v>
      </c>
      <c r="O2284" s="9" t="n">
        <v>2229</v>
      </c>
      <c r="P2284" s="10" t="n">
        <v>-3793</v>
      </c>
      <c r="Q2284" s="10" t="n">
        <v>-4306</v>
      </c>
      <c r="R2284" s="7" t="n">
        <v>5297</v>
      </c>
      <c r="S2284" s="8" t="n">
        <v>-600</v>
      </c>
      <c r="T2284" s="8" t="n">
        <v>633</v>
      </c>
      <c r="U2284" s="9" t="n">
        <v>1900</v>
      </c>
      <c r="V2284" s="10" t="n">
        <v>-2773</v>
      </c>
      <c r="W2284" s="10" t="n">
        <v>-3421</v>
      </c>
      <c r="X2284" s="7" t="n">
        <v>1994</v>
      </c>
      <c r="Y2284" s="8" t="n">
        <v>-3009</v>
      </c>
      <c r="Z2284" s="8" t="n">
        <v>-5971</v>
      </c>
      <c r="AA2284" s="9" t="n">
        <v>2352</v>
      </c>
      <c r="AB2284" s="10" t="n">
        <v>-3008</v>
      </c>
      <c r="AC2284" s="10" t="n">
        <v>-3187</v>
      </c>
      <c r="AD2284" s="7" t="n">
        <v>4238</v>
      </c>
      <c r="AE2284" s="8" t="n">
        <v>-4576</v>
      </c>
      <c r="AF2284" s="8" t="n">
        <v>-9118</v>
      </c>
      <c r="AG2284" s="9" t="n">
        <v>2849</v>
      </c>
      <c r="AH2284" s="10" t="n">
        <v>-2161</v>
      </c>
      <c r="AI2284" s="10" t="n">
        <v>-2907</v>
      </c>
      <c r="AJ2284" s="11" t="n">
        <v>2351</v>
      </c>
      <c r="AK2284" s="12" t="n">
        <v>-3586</v>
      </c>
      <c r="AL2284" s="12" t="n">
        <v>-3022</v>
      </c>
      <c r="AM2284" s="13" t="n">
        <v>-17.5</v>
      </c>
      <c r="AN2284" s="13" t="n">
        <v>17.9</v>
      </c>
      <c r="AO2284" s="13" t="n">
        <v>-65.90000000000001</v>
      </c>
      <c r="AP2284" s="13" t="n">
        <v>-19.2</v>
      </c>
    </row>
    <row r="2285">
      <c r="A2285" s="5" t="inlineStr">
        <is>
          <t>에이텀</t>
        </is>
      </c>
      <c r="B2285" s="6" t="inlineStr">
        <is>
          <t>355690</t>
        </is>
      </c>
      <c r="C2285" s="6" t="inlineStr">
        <is>
          <t>연결</t>
        </is>
      </c>
      <c r="D2285" s="6" t="inlineStr">
        <is>
          <t>2026Q2</t>
        </is>
      </c>
      <c r="E2285" s="6" t="inlineStr"/>
      <c r="F2285" s="7" t="inlineStr"/>
      <c r="G2285" s="8" t="inlineStr"/>
      <c r="H2285" s="8" t="inlineStr"/>
      <c r="I2285" s="9" t="n">
        <v>10313</v>
      </c>
      <c r="J2285" s="10" t="n">
        <v>-1281</v>
      </c>
      <c r="K2285" s="10" t="n">
        <v>-1918</v>
      </c>
      <c r="L2285" s="7" t="inlineStr"/>
      <c r="M2285" s="8" t="inlineStr"/>
      <c r="N2285" s="8" t="inlineStr"/>
      <c r="O2285" s="9" t="n">
        <v>8710</v>
      </c>
      <c r="P2285" s="10" t="n">
        <v>-1480</v>
      </c>
      <c r="Q2285" s="10" t="n">
        <v>-1515</v>
      </c>
      <c r="R2285" s="7" t="inlineStr"/>
      <c r="S2285" s="8" t="inlineStr"/>
      <c r="T2285" s="8" t="inlineStr"/>
      <c r="U2285" s="9" t="n">
        <v>8938</v>
      </c>
      <c r="V2285" s="10" t="n">
        <v>-2232</v>
      </c>
      <c r="W2285" s="10" t="n">
        <v>-1656</v>
      </c>
      <c r="X2285" s="7" t="n">
        <v>8326</v>
      </c>
      <c r="Y2285" s="8" t="n">
        <v>-2242</v>
      </c>
      <c r="Z2285" s="8" t="n">
        <v>-5469</v>
      </c>
      <c r="AA2285" s="9" t="n">
        <v>25485</v>
      </c>
      <c r="AB2285" s="10" t="n">
        <v>-1107</v>
      </c>
      <c r="AC2285" s="10" t="n">
        <v>-2849</v>
      </c>
      <c r="AD2285" s="7" t="n">
        <v>27677</v>
      </c>
      <c r="AE2285" s="8" t="n">
        <v>-960</v>
      </c>
      <c r="AF2285" s="8" t="n">
        <v>1510</v>
      </c>
      <c r="AG2285" s="9" t="n">
        <v>26115</v>
      </c>
      <c r="AH2285" s="10" t="n">
        <v>-1388</v>
      </c>
      <c r="AI2285" s="10" t="n">
        <v>-2831</v>
      </c>
      <c r="AJ2285" s="11" t="n">
        <v>32295</v>
      </c>
      <c r="AK2285" s="12" t="n">
        <v>-995</v>
      </c>
      <c r="AL2285" s="12" t="n">
        <v>-1165</v>
      </c>
      <c r="AM2285" s="13" t="n">
        <v>23.7</v>
      </c>
      <c r="AN2285" s="13" t="n">
        <v>287.9</v>
      </c>
      <c r="AO2285" s="13" t="n">
        <v>28.3</v>
      </c>
      <c r="AP2285" s="13" t="n">
        <v>55.6</v>
      </c>
    </row>
    <row r="2286">
      <c r="A2286" s="5" t="inlineStr">
        <is>
          <t>엑스게이트</t>
        </is>
      </c>
      <c r="B2286" s="6" t="inlineStr">
        <is>
          <t>356680</t>
        </is>
      </c>
      <c r="C2286" s="6" t="inlineStr">
        <is>
          <t>별도</t>
        </is>
      </c>
      <c r="D2286" s="6" t="inlineStr">
        <is>
          <t>2026Q2</t>
        </is>
      </c>
      <c r="E2286" s="6" t="inlineStr"/>
      <c r="F2286" s="7" t="inlineStr"/>
      <c r="G2286" s="8" t="inlineStr"/>
      <c r="H2286" s="8" t="inlineStr"/>
      <c r="I2286" s="9" t="n">
        <v>7710</v>
      </c>
      <c r="J2286" s="10" t="n">
        <v>191</v>
      </c>
      <c r="K2286" s="10" t="n">
        <v>189</v>
      </c>
      <c r="L2286" s="7" t="n">
        <v>8611</v>
      </c>
      <c r="M2286" s="8" t="n">
        <v>-558</v>
      </c>
      <c r="N2286" s="8" t="n">
        <v>-126</v>
      </c>
      <c r="O2286" s="9" t="n">
        <v>6504</v>
      </c>
      <c r="P2286" s="10" t="n">
        <v>-1260</v>
      </c>
      <c r="Q2286" s="10" t="n">
        <v>-1113</v>
      </c>
      <c r="R2286" s="7" t="n">
        <v>20391</v>
      </c>
      <c r="S2286" s="8" t="n">
        <v>5112</v>
      </c>
      <c r="T2286" s="8" t="n">
        <v>5049</v>
      </c>
      <c r="U2286" s="9" t="n">
        <v>7351</v>
      </c>
      <c r="V2286" s="10" t="n">
        <v>-929</v>
      </c>
      <c r="W2286" s="10" t="n">
        <v>-927</v>
      </c>
      <c r="X2286" s="7" t="n">
        <v>10683</v>
      </c>
      <c r="Y2286" s="8" t="n">
        <v>-315</v>
      </c>
      <c r="Z2286" s="8" t="n">
        <v>16</v>
      </c>
      <c r="AA2286" s="9" t="n">
        <v>8872</v>
      </c>
      <c r="AB2286" s="10" t="n">
        <v>-1888</v>
      </c>
      <c r="AC2286" s="10" t="n">
        <v>-2259</v>
      </c>
      <c r="AD2286" s="7" t="n">
        <v>21230</v>
      </c>
      <c r="AE2286" s="8" t="n">
        <v>6885</v>
      </c>
      <c r="AF2286" s="8" t="n">
        <v>7044</v>
      </c>
      <c r="AG2286" s="9" t="n">
        <v>9696</v>
      </c>
      <c r="AH2286" s="10" t="n">
        <v>248</v>
      </c>
      <c r="AI2286" s="10" t="n">
        <v>481</v>
      </c>
      <c r="AJ2286" s="11" t="n">
        <v>12092</v>
      </c>
      <c r="AK2286" s="12" t="n">
        <v>373</v>
      </c>
      <c r="AL2286" s="12" t="n">
        <v>581</v>
      </c>
      <c r="AM2286" s="13" t="n">
        <v>24.7</v>
      </c>
      <c r="AN2286" s="13" t="n">
        <v>13.2</v>
      </c>
      <c r="AO2286" s="13" t="n">
        <v>50.4</v>
      </c>
      <c r="AP2286" s="13" t="n">
        <v>218.4</v>
      </c>
    </row>
    <row r="2287">
      <c r="A2287" s="5" t="inlineStr">
        <is>
          <t>티엘비</t>
        </is>
      </c>
      <c r="B2287" s="6" t="inlineStr">
        <is>
          <t>356860</t>
        </is>
      </c>
      <c r="C2287" s="6" t="inlineStr">
        <is>
          <t>연결</t>
        </is>
      </c>
      <c r="D2287" s="6" t="inlineStr">
        <is>
          <t>2026Q2</t>
        </is>
      </c>
      <c r="E2287" s="6" t="inlineStr"/>
      <c r="F2287" s="7" t="inlineStr"/>
      <c r="G2287" s="8" t="inlineStr"/>
      <c r="H2287" s="8" t="inlineStr"/>
      <c r="I2287" s="9" t="n">
        <v>44248</v>
      </c>
      <c r="J2287" s="10" t="n">
        <v>-261</v>
      </c>
      <c r="K2287" s="10" t="n">
        <v>228</v>
      </c>
      <c r="L2287" s="7" t="n">
        <v>39484</v>
      </c>
      <c r="M2287" s="8" t="n">
        <v>-59</v>
      </c>
      <c r="N2287" s="8" t="n">
        <v>1128</v>
      </c>
      <c r="O2287" s="9" t="n">
        <v>46446</v>
      </c>
      <c r="P2287" s="10" t="n">
        <v>2770</v>
      </c>
      <c r="Q2287" s="10" t="n">
        <v>789</v>
      </c>
      <c r="R2287" s="7" t="n">
        <v>49823</v>
      </c>
      <c r="S2287" s="8" t="n">
        <v>908</v>
      </c>
      <c r="T2287" s="8" t="n">
        <v>1452</v>
      </c>
      <c r="U2287" s="9" t="n">
        <v>52990</v>
      </c>
      <c r="V2287" s="10" t="n">
        <v>1874</v>
      </c>
      <c r="W2287" s="10" t="n">
        <v>881</v>
      </c>
      <c r="X2287" s="7" t="n">
        <v>64053</v>
      </c>
      <c r="Y2287" s="8" t="n">
        <v>6857</v>
      </c>
      <c r="Z2287" s="8" t="n">
        <v>4506</v>
      </c>
      <c r="AA2287" s="9" t="n">
        <v>68888</v>
      </c>
      <c r="AB2287" s="10" t="n">
        <v>8652</v>
      </c>
      <c r="AC2287" s="10" t="n">
        <v>6534</v>
      </c>
      <c r="AD2287" s="7" t="inlineStr"/>
      <c r="AE2287" s="8" t="n">
        <v>8580</v>
      </c>
      <c r="AF2287" s="8" t="n">
        <v>7032</v>
      </c>
      <c r="AG2287" s="9" t="n">
        <v>75835</v>
      </c>
      <c r="AH2287" s="10" t="n">
        <v>10718</v>
      </c>
      <c r="AI2287" s="10" t="n">
        <v>8468</v>
      </c>
      <c r="AJ2287" s="11" t="n">
        <v>88243</v>
      </c>
      <c r="AK2287" s="12" t="n">
        <v>12773</v>
      </c>
      <c r="AL2287" s="12" t="n">
        <v>10759</v>
      </c>
      <c r="AM2287" s="13" t="n">
        <v>16.4</v>
      </c>
      <c r="AN2287" s="13" t="n">
        <v>37.8</v>
      </c>
      <c r="AO2287" s="13" t="n">
        <v>19.2</v>
      </c>
      <c r="AP2287" s="13" t="n">
        <v>86.3</v>
      </c>
    </row>
    <row r="2288">
      <c r="A2288" s="5" t="inlineStr">
        <is>
          <t>싸이버원</t>
        </is>
      </c>
      <c r="B2288" s="6" t="inlineStr">
        <is>
          <t>356890</t>
        </is>
      </c>
      <c r="C2288" s="6" t="inlineStr">
        <is>
          <t>연결</t>
        </is>
      </c>
      <c r="D2288" s="6" t="inlineStr">
        <is>
          <t>2026Q2</t>
        </is>
      </c>
      <c r="E2288" s="6" t="inlineStr"/>
      <c r="F2288" s="7" t="inlineStr"/>
      <c r="G2288" s="8" t="inlineStr"/>
      <c r="H2288" s="8" t="inlineStr"/>
      <c r="I2288" s="9" t="n">
        <v>6940</v>
      </c>
      <c r="J2288" s="10" t="n">
        <v>83</v>
      </c>
      <c r="K2288" s="10" t="n">
        <v>288</v>
      </c>
      <c r="L2288" s="7" t="n">
        <v>8326</v>
      </c>
      <c r="M2288" s="8" t="n">
        <v>449</v>
      </c>
      <c r="N2288" s="8" t="n">
        <v>667</v>
      </c>
      <c r="O2288" s="9" t="n">
        <v>10767</v>
      </c>
      <c r="P2288" s="10" t="n">
        <v>2257</v>
      </c>
      <c r="Q2288" s="10" t="n">
        <v>2368</v>
      </c>
      <c r="R2288" s="7" t="n">
        <v>21822</v>
      </c>
      <c r="S2288" s="8" t="n">
        <v>8543</v>
      </c>
      <c r="T2288" s="8" t="n">
        <v>9137</v>
      </c>
      <c r="U2288" s="9" t="n">
        <v>7232</v>
      </c>
      <c r="V2288" s="10" t="n">
        <v>-545</v>
      </c>
      <c r="W2288" s="10" t="n">
        <v>-217</v>
      </c>
      <c r="X2288" s="7" t="n">
        <v>8303</v>
      </c>
      <c r="Y2288" s="8" t="n">
        <v>145</v>
      </c>
      <c r="Z2288" s="8" t="n">
        <v>336</v>
      </c>
      <c r="AA2288" s="9" t="n">
        <v>8800</v>
      </c>
      <c r="AB2288" s="10" t="n">
        <v>236</v>
      </c>
      <c r="AC2288" s="10" t="n">
        <v>420</v>
      </c>
      <c r="AD2288" s="7" t="n">
        <v>9391</v>
      </c>
      <c r="AE2288" s="8" t="n">
        <v>578</v>
      </c>
      <c r="AF2288" s="8" t="n">
        <v>-1808</v>
      </c>
      <c r="AG2288" s="9" t="n">
        <v>7321</v>
      </c>
      <c r="AH2288" s="10" t="n">
        <v>-201</v>
      </c>
      <c r="AI2288" s="10" t="n">
        <v>55</v>
      </c>
      <c r="AJ2288" s="11" t="n">
        <v>9691</v>
      </c>
      <c r="AK2288" s="12" t="n">
        <v>761</v>
      </c>
      <c r="AL2288" s="12" t="n">
        <v>1071</v>
      </c>
      <c r="AM2288" s="13" t="n">
        <v>32.4</v>
      </c>
      <c r="AN2288" s="13" t="n">
        <v>16.7</v>
      </c>
      <c r="AO2288" s="13" t="n">
        <v>478.6</v>
      </c>
      <c r="AP2288" s="13" t="n">
        <v>424.8</v>
      </c>
    </row>
    <row r="2289">
      <c r="A2289" s="5" t="inlineStr">
        <is>
          <t>코람코라이프인프라리츠</t>
        </is>
      </c>
      <c r="B2289" s="6" t="inlineStr">
        <is>
          <t>357120</t>
        </is>
      </c>
      <c r="C2289" s="6" t="inlineStr">
        <is>
          <t>별도</t>
        </is>
      </c>
      <c r="D2289" s="6" t="inlineStr">
        <is>
          <t>2026Q2</t>
        </is>
      </c>
      <c r="E2289" s="6" t="inlineStr"/>
      <c r="F2289" s="7" t="inlineStr"/>
      <c r="G2289" s="8" t="inlineStr"/>
      <c r="H2289" s="8" t="inlineStr"/>
      <c r="I2289" s="9" t="inlineStr"/>
      <c r="J2289" s="10" t="inlineStr"/>
      <c r="K2289" s="10" t="inlineStr"/>
      <c r="L2289" s="7" t="n">
        <v>17398</v>
      </c>
      <c r="M2289" s="8" t="n">
        <v>11795</v>
      </c>
      <c r="N2289" s="8" t="n">
        <v>5661</v>
      </c>
      <c r="O2289" s="9" t="inlineStr"/>
      <c r="P2289" s="10" t="inlineStr"/>
      <c r="Q2289" s="10" t="inlineStr"/>
      <c r="R2289" s="7" t="inlineStr"/>
      <c r="S2289" s="8" t="inlineStr"/>
      <c r="T2289" s="8" t="inlineStr"/>
      <c r="U2289" s="9" t="inlineStr"/>
      <c r="V2289" s="10" t="inlineStr"/>
      <c r="W2289" s="10" t="inlineStr"/>
      <c r="X2289" s="7" t="n">
        <v>16535</v>
      </c>
      <c r="Y2289" s="8" t="n">
        <v>11203</v>
      </c>
      <c r="Z2289" s="8" t="n">
        <v>2280</v>
      </c>
      <c r="AA2289" s="9" t="inlineStr"/>
      <c r="AB2289" s="10" t="inlineStr"/>
      <c r="AC2289" s="10" t="inlineStr"/>
      <c r="AD2289" s="7" t="inlineStr"/>
      <c r="AE2289" s="8" t="inlineStr"/>
      <c r="AF2289" s="8" t="inlineStr"/>
      <c r="AG2289" s="9" t="inlineStr"/>
      <c r="AH2289" s="10" t="inlineStr"/>
      <c r="AI2289" s="10" t="inlineStr"/>
      <c r="AJ2289" s="11" t="n">
        <v>17386</v>
      </c>
      <c r="AK2289" s="12" t="n">
        <v>12960</v>
      </c>
      <c r="AL2289" s="12" t="n">
        <v>4417</v>
      </c>
      <c r="AM2289" s="13" t="inlineStr"/>
      <c r="AN2289" s="13" t="n">
        <v>5.1</v>
      </c>
      <c r="AO2289" s="13" t="inlineStr"/>
      <c r="AP2289" s="13" t="n">
        <v>15.7</v>
      </c>
    </row>
    <row r="2290">
      <c r="A2290" s="5" t="inlineStr">
        <is>
          <t>에이치피오</t>
        </is>
      </c>
      <c r="B2290" s="6" t="inlineStr">
        <is>
          <t>357230</t>
        </is>
      </c>
      <c r="C2290" s="6" t="inlineStr">
        <is>
          <t>연결</t>
        </is>
      </c>
      <c r="D2290" s="6" t="inlineStr">
        <is>
          <t>2026Q2</t>
        </is>
      </c>
      <c r="E2290" s="6" t="inlineStr"/>
      <c r="F2290" s="7" t="inlineStr"/>
      <c r="G2290" s="8" t="inlineStr"/>
      <c r="H2290" s="8" t="inlineStr"/>
      <c r="I2290" s="9" t="n">
        <v>58514</v>
      </c>
      <c r="J2290" s="10" t="n">
        <v>3577</v>
      </c>
      <c r="K2290" s="10" t="n">
        <v>3230</v>
      </c>
      <c r="L2290" s="7" t="n">
        <v>62588</v>
      </c>
      <c r="M2290" s="8" t="n">
        <v>2678</v>
      </c>
      <c r="N2290" s="8" t="n">
        <v>1885</v>
      </c>
      <c r="O2290" s="9" t="n">
        <v>58876</v>
      </c>
      <c r="P2290" s="10" t="n">
        <v>1761</v>
      </c>
      <c r="Q2290" s="10" t="n">
        <v>890</v>
      </c>
      <c r="R2290" s="7" t="n">
        <v>62853</v>
      </c>
      <c r="S2290" s="8" t="n">
        <v>-23</v>
      </c>
      <c r="T2290" s="8" t="n">
        <v>426</v>
      </c>
      <c r="U2290" s="9" t="n">
        <v>55493</v>
      </c>
      <c r="V2290" s="10" t="n">
        <v>1543</v>
      </c>
      <c r="W2290" s="10" t="n">
        <v>1193</v>
      </c>
      <c r="X2290" s="7" t="n">
        <v>74874</v>
      </c>
      <c r="Y2290" s="8" t="n">
        <v>5631</v>
      </c>
      <c r="Z2290" s="8" t="n">
        <v>4003</v>
      </c>
      <c r="AA2290" s="9" t="n">
        <v>64341</v>
      </c>
      <c r="AB2290" s="10" t="n">
        <v>2112</v>
      </c>
      <c r="AC2290" s="10" t="n">
        <v>1740</v>
      </c>
      <c r="AD2290" s="7" t="n">
        <v>63481</v>
      </c>
      <c r="AE2290" s="8" t="n">
        <v>4260</v>
      </c>
      <c r="AF2290" s="8" t="n">
        <v>2073</v>
      </c>
      <c r="AG2290" s="9" t="n">
        <v>63312</v>
      </c>
      <c r="AH2290" s="10" t="n">
        <v>3278</v>
      </c>
      <c r="AI2290" s="10" t="n">
        <v>2439</v>
      </c>
      <c r="AJ2290" s="11" t="n">
        <v>78493</v>
      </c>
      <c r="AK2290" s="12" t="n">
        <v>3896</v>
      </c>
      <c r="AL2290" s="12" t="n">
        <v>2387</v>
      </c>
      <c r="AM2290" s="13" t="n">
        <v>24</v>
      </c>
      <c r="AN2290" s="13" t="n">
        <v>4.8</v>
      </c>
      <c r="AO2290" s="13" t="n">
        <v>18.9</v>
      </c>
      <c r="AP2290" s="13" t="n">
        <v>-30.8</v>
      </c>
    </row>
    <row r="2291">
      <c r="A2291" s="5" t="inlineStr">
        <is>
          <t>미래에셋맵스리츠</t>
        </is>
      </c>
      <c r="B2291" s="6" t="inlineStr">
        <is>
          <t>357250</t>
        </is>
      </c>
      <c r="C2291" s="6" t="inlineStr">
        <is>
          <t>별도</t>
        </is>
      </c>
      <c r="D2291" s="6" t="inlineStr">
        <is>
          <t>2026Q2</t>
        </is>
      </c>
      <c r="E2291" s="6" t="inlineStr"/>
      <c r="F2291" s="7" t="inlineStr"/>
      <c r="G2291" s="8" t="inlineStr"/>
      <c r="H2291" s="8" t="inlineStr"/>
      <c r="I2291" s="9" t="inlineStr"/>
      <c r="J2291" s="10" t="inlineStr"/>
      <c r="K2291" s="10" t="inlineStr"/>
      <c r="L2291" s="7" t="n">
        <v>3591</v>
      </c>
      <c r="M2291" s="8" t="n">
        <v>1950</v>
      </c>
      <c r="N2291" s="8" t="n">
        <v>708</v>
      </c>
      <c r="O2291" s="9" t="inlineStr"/>
      <c r="P2291" s="10" t="inlineStr"/>
      <c r="Q2291" s="10" t="inlineStr"/>
      <c r="R2291" s="7" t="inlineStr"/>
      <c r="S2291" s="8" t="inlineStr"/>
      <c r="T2291" s="8" t="inlineStr"/>
      <c r="U2291" s="9" t="inlineStr"/>
      <c r="V2291" s="10" t="inlineStr"/>
      <c r="W2291" s="10" t="inlineStr"/>
      <c r="X2291" s="7" t="n">
        <v>3624</v>
      </c>
      <c r="Y2291" s="8" t="n">
        <v>1983</v>
      </c>
      <c r="Z2291" s="8" t="n">
        <v>5</v>
      </c>
      <c r="AA2291" s="9" t="inlineStr"/>
      <c r="AB2291" s="10" t="inlineStr"/>
      <c r="AC2291" s="10" t="inlineStr"/>
      <c r="AD2291" s="7" t="inlineStr"/>
      <c r="AE2291" s="8" t="inlineStr"/>
      <c r="AF2291" s="8" t="inlineStr"/>
      <c r="AG2291" s="9" t="inlineStr"/>
      <c r="AH2291" s="10" t="inlineStr"/>
      <c r="AI2291" s="10" t="inlineStr"/>
      <c r="AJ2291" s="11" t="n">
        <v>3630</v>
      </c>
      <c r="AK2291" s="12" t="n">
        <v>2560</v>
      </c>
      <c r="AL2291" s="12" t="n">
        <v>638</v>
      </c>
      <c r="AM2291" s="13" t="inlineStr"/>
      <c r="AN2291" s="13" t="n">
        <v>0.2</v>
      </c>
      <c r="AO2291" s="13" t="inlineStr"/>
      <c r="AP2291" s="13" t="n">
        <v>29.1</v>
      </c>
    </row>
    <row r="2292">
      <c r="A2292" s="5" t="inlineStr">
        <is>
          <t>마스턴프리미어리츠</t>
        </is>
      </c>
      <c r="B2292" s="6" t="inlineStr">
        <is>
          <t>357430</t>
        </is>
      </c>
      <c r="C2292" s="6" t="inlineStr">
        <is>
          <t>연결</t>
        </is>
      </c>
      <c r="D2292" s="6" t="inlineStr">
        <is>
          <t>2026Q2</t>
        </is>
      </c>
      <c r="E2292" s="6" t="inlineStr"/>
      <c r="F2292" s="7" t="inlineStr"/>
      <c r="G2292" s="8" t="inlineStr"/>
      <c r="H2292" s="8" t="inlineStr"/>
      <c r="I2292" s="9" t="inlineStr"/>
      <c r="J2292" s="10" t="inlineStr"/>
      <c r="K2292" s="10" t="inlineStr"/>
      <c r="L2292" s="7" t="n">
        <v>940</v>
      </c>
      <c r="M2292" s="8" t="n">
        <v>-10457</v>
      </c>
      <c r="N2292" s="8" t="n">
        <v>-10638</v>
      </c>
      <c r="O2292" s="9" t="inlineStr"/>
      <c r="P2292" s="10" t="inlineStr"/>
      <c r="Q2292" s="10" t="inlineStr"/>
      <c r="R2292" s="7" t="inlineStr"/>
      <c r="S2292" s="8" t="inlineStr"/>
      <c r="T2292" s="8" t="inlineStr"/>
      <c r="U2292" s="9" t="inlineStr"/>
      <c r="V2292" s="10" t="inlineStr"/>
      <c r="W2292" s="10" t="inlineStr"/>
      <c r="X2292" s="7" t="n">
        <v>1029</v>
      </c>
      <c r="Y2292" s="8" t="n">
        <v>-359</v>
      </c>
      <c r="Z2292" s="8" t="n">
        <v>-881</v>
      </c>
      <c r="AA2292" s="9" t="inlineStr"/>
      <c r="AB2292" s="10" t="inlineStr"/>
      <c r="AC2292" s="10" t="inlineStr"/>
      <c r="AD2292" s="7" t="inlineStr"/>
      <c r="AE2292" s="8" t="inlineStr"/>
      <c r="AF2292" s="8" t="inlineStr"/>
      <c r="AG2292" s="9" t="inlineStr"/>
      <c r="AH2292" s="10" t="inlineStr"/>
      <c r="AI2292" s="10" t="inlineStr"/>
      <c r="AJ2292" s="11" t="n">
        <v>2153</v>
      </c>
      <c r="AK2292" s="12" t="n">
        <v>1396</v>
      </c>
      <c r="AL2292" s="12" t="n">
        <v>510</v>
      </c>
      <c r="AM2292" s="13" t="inlineStr"/>
      <c r="AN2292" s="13" t="n">
        <v>109.2</v>
      </c>
      <c r="AO2292" s="13" t="inlineStr"/>
      <c r="AP2292" s="13" t="n">
        <v>488.9</v>
      </c>
    </row>
    <row r="2293">
      <c r="A2293" s="5" t="inlineStr">
        <is>
          <t>석경에이티</t>
        </is>
      </c>
      <c r="B2293" s="6" t="inlineStr">
        <is>
          <t>357550</t>
        </is>
      </c>
      <c r="C2293" s="6" t="inlineStr">
        <is>
          <t>연결</t>
        </is>
      </c>
      <c r="D2293" s="6" t="inlineStr">
        <is>
          <t>2026Q2</t>
        </is>
      </c>
      <c r="E2293" s="6" t="inlineStr"/>
      <c r="F2293" s="7" t="inlineStr"/>
      <c r="G2293" s="8" t="inlineStr"/>
      <c r="H2293" s="8" t="inlineStr"/>
      <c r="I2293" s="9" t="n">
        <v>2569</v>
      </c>
      <c r="J2293" s="10" t="n">
        <v>-72</v>
      </c>
      <c r="K2293" s="10" t="n">
        <v>266</v>
      </c>
      <c r="L2293" s="7" t="n">
        <v>3156</v>
      </c>
      <c r="M2293" s="8" t="n">
        <v>445</v>
      </c>
      <c r="N2293" s="8" t="n">
        <v>1466</v>
      </c>
      <c r="O2293" s="9" t="n">
        <v>4126</v>
      </c>
      <c r="P2293" s="10" t="n">
        <v>1210</v>
      </c>
      <c r="Q2293" s="10" t="n">
        <v>826</v>
      </c>
      <c r="R2293" s="7" t="n">
        <v>3965</v>
      </c>
      <c r="S2293" s="8" t="n">
        <v>436</v>
      </c>
      <c r="T2293" s="8" t="n">
        <v>1778</v>
      </c>
      <c r="U2293" s="9" t="n">
        <v>4950</v>
      </c>
      <c r="V2293" s="10" t="n">
        <v>2049</v>
      </c>
      <c r="W2293" s="10" t="n">
        <v>1724</v>
      </c>
      <c r="X2293" s="7" t="n">
        <v>5101</v>
      </c>
      <c r="Y2293" s="8" t="n">
        <v>1417</v>
      </c>
      <c r="Z2293" s="8" t="n">
        <v>89</v>
      </c>
      <c r="AA2293" s="9" t="n">
        <v>3418</v>
      </c>
      <c r="AB2293" s="10" t="n">
        <v>363</v>
      </c>
      <c r="AC2293" s="10" t="n">
        <v>820</v>
      </c>
      <c r="AD2293" s="7" t="n">
        <v>4078</v>
      </c>
      <c r="AE2293" s="8" t="n">
        <v>69</v>
      </c>
      <c r="AF2293" s="8" t="n">
        <v>1165</v>
      </c>
      <c r="AG2293" s="9" t="n">
        <v>4562</v>
      </c>
      <c r="AH2293" s="10" t="n">
        <v>1277</v>
      </c>
      <c r="AI2293" s="10" t="n">
        <v>1399</v>
      </c>
      <c r="AJ2293" s="11" t="n">
        <v>5168</v>
      </c>
      <c r="AK2293" s="12" t="n">
        <v>1276</v>
      </c>
      <c r="AL2293" s="12" t="n">
        <v>1133</v>
      </c>
      <c r="AM2293" s="13" t="n">
        <v>13.3</v>
      </c>
      <c r="AN2293" s="13" t="n">
        <v>1.3</v>
      </c>
      <c r="AO2293" s="13" t="n">
        <v>-0.1</v>
      </c>
      <c r="AP2293" s="13" t="n">
        <v>-10</v>
      </c>
    </row>
    <row r="2294">
      <c r="A2294" s="5" t="inlineStr">
        <is>
          <t>아모센스</t>
        </is>
      </c>
      <c r="B2294" s="6" t="inlineStr">
        <is>
          <t>357580</t>
        </is>
      </c>
      <c r="C2294" s="6" t="inlineStr">
        <is>
          <t>연결</t>
        </is>
      </c>
      <c r="D2294" s="6" t="inlineStr">
        <is>
          <t>2026Q2</t>
        </is>
      </c>
      <c r="E2294" s="6" t="inlineStr"/>
      <c r="F2294" s="7" t="inlineStr"/>
      <c r="G2294" s="8" t="inlineStr"/>
      <c r="H2294" s="8" t="inlineStr"/>
      <c r="I2294" s="9" t="n">
        <v>29968</v>
      </c>
      <c r="J2294" s="10" t="n">
        <v>205</v>
      </c>
      <c r="K2294" s="10" t="n">
        <v>-856</v>
      </c>
      <c r="L2294" s="7" t="n">
        <v>31057</v>
      </c>
      <c r="M2294" s="8" t="n">
        <v>614</v>
      </c>
      <c r="N2294" s="8" t="n">
        <v>-1074</v>
      </c>
      <c r="O2294" s="9" t="n">
        <v>33846</v>
      </c>
      <c r="P2294" s="10" t="n">
        <v>1502</v>
      </c>
      <c r="Q2294" s="10" t="n">
        <v>465</v>
      </c>
      <c r="R2294" s="7" t="n">
        <v>39284</v>
      </c>
      <c r="S2294" s="8" t="n">
        <v>4842</v>
      </c>
      <c r="T2294" s="8" t="n">
        <v>3204</v>
      </c>
      <c r="U2294" s="9" t="n">
        <v>31145</v>
      </c>
      <c r="V2294" s="10" t="n">
        <v>1533</v>
      </c>
      <c r="W2294" s="10" t="n">
        <v>646</v>
      </c>
      <c r="X2294" s="7" t="n">
        <v>29066</v>
      </c>
      <c r="Y2294" s="8" t="n">
        <v>1289</v>
      </c>
      <c r="Z2294" s="8" t="n">
        <v>449</v>
      </c>
      <c r="AA2294" s="9" t="n">
        <v>28298</v>
      </c>
      <c r="AB2294" s="10" t="n">
        <v>36</v>
      </c>
      <c r="AC2294" s="10" t="n">
        <v>-1681</v>
      </c>
      <c r="AD2294" s="7" t="n">
        <v>33631</v>
      </c>
      <c r="AE2294" s="8" t="n">
        <v>2464</v>
      </c>
      <c r="AF2294" s="8" t="n">
        <v>1083</v>
      </c>
      <c r="AG2294" s="9" t="n">
        <v>27825</v>
      </c>
      <c r="AH2294" s="10" t="n">
        <v>531</v>
      </c>
      <c r="AI2294" s="10" t="n">
        <v>177</v>
      </c>
      <c r="AJ2294" s="11" t="n">
        <v>27179</v>
      </c>
      <c r="AK2294" s="12" t="n">
        <v>-1419</v>
      </c>
      <c r="AL2294" s="12" t="n">
        <v>-1602</v>
      </c>
      <c r="AM2294" s="13" t="n">
        <v>-2.3</v>
      </c>
      <c r="AN2294" s="13" t="n">
        <v>-6.5</v>
      </c>
      <c r="AO2294" s="13" t="n">
        <v>-367.2</v>
      </c>
      <c r="AP2294" s="13" t="n">
        <v>-210.1</v>
      </c>
    </row>
    <row r="2295">
      <c r="A2295" s="5" t="inlineStr">
        <is>
          <t>솔브레인</t>
        </is>
      </c>
      <c r="B2295" s="6" t="inlineStr">
        <is>
          <t>357780</t>
        </is>
      </c>
      <c r="C2295" s="6" t="inlineStr">
        <is>
          <t>연결</t>
        </is>
      </c>
      <c r="D2295" s="6" t="inlineStr">
        <is>
          <t>2026Q2</t>
        </is>
      </c>
      <c r="E2295" s="6" t="inlineStr"/>
      <c r="F2295" s="7" t="inlineStr"/>
      <c r="G2295" s="8" t="inlineStr"/>
      <c r="H2295" s="8" t="inlineStr"/>
      <c r="I2295" s="9" t="n">
        <v>210710</v>
      </c>
      <c r="J2295" s="10" t="n">
        <v>46046</v>
      </c>
      <c r="K2295" s="10" t="n">
        <v>46172</v>
      </c>
      <c r="L2295" s="7" t="n">
        <v>216280</v>
      </c>
      <c r="M2295" s="8" t="n">
        <v>45763</v>
      </c>
      <c r="N2295" s="8" t="n">
        <v>44069</v>
      </c>
      <c r="O2295" s="9" t="n">
        <v>219903</v>
      </c>
      <c r="P2295" s="10" t="n">
        <v>39720</v>
      </c>
      <c r="Q2295" s="10" t="n">
        <v>29799</v>
      </c>
      <c r="R2295" s="7" t="n">
        <v>216463</v>
      </c>
      <c r="S2295" s="8" t="n">
        <v>36420</v>
      </c>
      <c r="T2295" s="8" t="n">
        <v>-428</v>
      </c>
      <c r="U2295" s="9" t="n">
        <v>209470</v>
      </c>
      <c r="V2295" s="10" t="n">
        <v>36049</v>
      </c>
      <c r="W2295" s="10" t="n">
        <v>32992</v>
      </c>
      <c r="X2295" s="7" t="n">
        <v>228826</v>
      </c>
      <c r="Y2295" s="8" t="n">
        <v>20170</v>
      </c>
      <c r="Z2295" s="8" t="n">
        <v>12599</v>
      </c>
      <c r="AA2295" s="9" t="n">
        <v>241101</v>
      </c>
      <c r="AB2295" s="10" t="n">
        <v>34386</v>
      </c>
      <c r="AC2295" s="10" t="n">
        <v>27757</v>
      </c>
      <c r="AD2295" s="7" t="n">
        <v>243985</v>
      </c>
      <c r="AE2295" s="8" t="n">
        <v>43037</v>
      </c>
      <c r="AF2295" s="8" t="n">
        <v>10641</v>
      </c>
      <c r="AG2295" s="9" t="n">
        <v>263805</v>
      </c>
      <c r="AH2295" s="10" t="n">
        <v>44700</v>
      </c>
      <c r="AI2295" s="10" t="n">
        <v>37927</v>
      </c>
      <c r="AJ2295" s="11" t="n">
        <v>311971</v>
      </c>
      <c r="AK2295" s="12" t="n">
        <v>46022</v>
      </c>
      <c r="AL2295" s="12" t="n">
        <v>56811</v>
      </c>
      <c r="AM2295" s="13" t="n">
        <v>18.3</v>
      </c>
      <c r="AN2295" s="13" t="n">
        <v>36.3</v>
      </c>
      <c r="AO2295" s="13" t="n">
        <v>3</v>
      </c>
      <c r="AP2295" s="13" t="n">
        <v>128.2</v>
      </c>
    </row>
    <row r="2296">
      <c r="A2296" s="5" t="inlineStr">
        <is>
          <t>SKAI</t>
        </is>
      </c>
      <c r="B2296" s="6" t="inlineStr">
        <is>
          <t>357880</t>
        </is>
      </c>
      <c r="C2296" s="6" t="inlineStr">
        <is>
          <t>연결</t>
        </is>
      </c>
      <c r="D2296" s="6" t="inlineStr">
        <is>
          <t>2026Q2</t>
        </is>
      </c>
      <c r="E2296" s="6" t="inlineStr"/>
      <c r="F2296" s="7" t="inlineStr"/>
      <c r="G2296" s="8" t="inlineStr"/>
      <c r="H2296" s="8" t="inlineStr"/>
      <c r="I2296" s="9" t="inlineStr"/>
      <c r="J2296" s="10" t="n">
        <v>-1892</v>
      </c>
      <c r="K2296" s="10" t="n">
        <v>-2710</v>
      </c>
      <c r="L2296" s="7" t="inlineStr"/>
      <c r="M2296" s="8" t="n">
        <v>-2000</v>
      </c>
      <c r="N2296" s="8" t="n">
        <v>-237</v>
      </c>
      <c r="O2296" s="9" t="inlineStr"/>
      <c r="P2296" s="10" t="n">
        <v>-397</v>
      </c>
      <c r="Q2296" s="10" t="n">
        <v>-1383</v>
      </c>
      <c r="R2296" s="7" t="inlineStr"/>
      <c r="S2296" s="8" t="n">
        <v>-7776</v>
      </c>
      <c r="T2296" s="8" t="n">
        <v>-20459</v>
      </c>
      <c r="U2296" s="9" t="inlineStr"/>
      <c r="V2296" s="10" t="n">
        <v>-3017</v>
      </c>
      <c r="W2296" s="10" t="n">
        <v>-3555</v>
      </c>
      <c r="X2296" s="7" t="inlineStr"/>
      <c r="Y2296" s="8" t="n">
        <v>2641</v>
      </c>
      <c r="Z2296" s="8" t="n">
        <v>1194</v>
      </c>
      <c r="AA2296" s="9" t="inlineStr"/>
      <c r="AB2296" s="10" t="n">
        <v>-2667</v>
      </c>
      <c r="AC2296" s="10" t="n">
        <v>-3800</v>
      </c>
      <c r="AD2296" s="7" t="inlineStr"/>
      <c r="AE2296" s="8" t="n">
        <v>-1348</v>
      </c>
      <c r="AF2296" s="8" t="n">
        <v>-8909</v>
      </c>
      <c r="AG2296" s="9" t="n">
        <v>3234</v>
      </c>
      <c r="AH2296" s="10" t="n">
        <v>-1654</v>
      </c>
      <c r="AI2296" s="10" t="n">
        <v>-5625</v>
      </c>
      <c r="AJ2296" s="11" t="n">
        <v>2738</v>
      </c>
      <c r="AK2296" s="12" t="n">
        <v>-2420</v>
      </c>
      <c r="AL2296" s="12" t="n">
        <v>-6883</v>
      </c>
      <c r="AM2296" s="13" t="n">
        <v>-15.3</v>
      </c>
      <c r="AN2296" s="13" t="inlineStr"/>
      <c r="AO2296" s="13" t="n">
        <v>-46.3</v>
      </c>
      <c r="AP2296" s="13" t="n">
        <v>-191.6</v>
      </c>
    </row>
    <row r="2297">
      <c r="A2297" s="5" t="inlineStr">
        <is>
          <t>지아이이노베이션</t>
        </is>
      </c>
      <c r="B2297" s="6" t="inlineStr">
        <is>
          <t>358570</t>
        </is>
      </c>
      <c r="C2297" s="6" t="inlineStr">
        <is>
          <t>별도</t>
        </is>
      </c>
      <c r="D2297" s="6" t="inlineStr">
        <is>
          <t>2026Q2</t>
        </is>
      </c>
      <c r="E2297" s="6" t="inlineStr"/>
      <c r="F2297" s="7" t="inlineStr"/>
      <c r="G2297" s="8" t="inlineStr"/>
      <c r="H2297" s="8" t="inlineStr"/>
      <c r="I2297" s="9" t="inlineStr"/>
      <c r="J2297" s="10" t="n">
        <v>-12853</v>
      </c>
      <c r="K2297" s="10" t="n">
        <v>-14400</v>
      </c>
      <c r="L2297" s="7" t="inlineStr"/>
      <c r="M2297" s="8" t="n">
        <v>-9403</v>
      </c>
      <c r="N2297" s="8" t="n">
        <v>-10201</v>
      </c>
      <c r="O2297" s="9" t="inlineStr"/>
      <c r="P2297" s="10" t="n">
        <v>-13821</v>
      </c>
      <c r="Q2297" s="10" t="n">
        <v>-14228</v>
      </c>
      <c r="R2297" s="7" t="inlineStr"/>
      <c r="S2297" s="8" t="n">
        <v>-12183</v>
      </c>
      <c r="T2297" s="8" t="n">
        <v>-19955</v>
      </c>
      <c r="U2297" s="9" t="inlineStr"/>
      <c r="V2297" s="10" t="n">
        <v>-11835</v>
      </c>
      <c r="W2297" s="10" t="n">
        <v>-12818</v>
      </c>
      <c r="X2297" s="7" t="inlineStr"/>
      <c r="Y2297" s="8" t="n">
        <v>-10892</v>
      </c>
      <c r="Z2297" s="8" t="n">
        <v>-9763</v>
      </c>
      <c r="AA2297" s="9" t="inlineStr"/>
      <c r="AB2297" s="10" t="n">
        <v>-10738</v>
      </c>
      <c r="AC2297" s="10" t="n">
        <v>-9452</v>
      </c>
      <c r="AD2297" s="7" t="inlineStr"/>
      <c r="AE2297" s="8" t="n">
        <v>-7190</v>
      </c>
      <c r="AF2297" s="8" t="n">
        <v>-3102</v>
      </c>
      <c r="AG2297" s="9" t="inlineStr"/>
      <c r="AH2297" s="10" t="n">
        <v>-12352</v>
      </c>
      <c r="AI2297" s="10" t="n">
        <v>-12330</v>
      </c>
      <c r="AJ2297" s="11" t="inlineStr"/>
      <c r="AK2297" s="12" t="n">
        <v>-14385</v>
      </c>
      <c r="AL2297" s="12" t="n">
        <v>-14253</v>
      </c>
      <c r="AM2297" s="13" t="inlineStr"/>
      <c r="AN2297" s="13" t="inlineStr"/>
      <c r="AO2297" s="13" t="n">
        <v>-16.5</v>
      </c>
      <c r="AP2297" s="13" t="n">
        <v>-32.1</v>
      </c>
    </row>
    <row r="2298">
      <c r="A2298" s="5" t="inlineStr">
        <is>
          <t>씨엔알리서치</t>
        </is>
      </c>
      <c r="B2298" s="6" t="inlineStr">
        <is>
          <t>359090</t>
        </is>
      </c>
      <c r="C2298" s="6" t="inlineStr">
        <is>
          <t>연결</t>
        </is>
      </c>
      <c r="D2298" s="6" t="inlineStr">
        <is>
          <t>2026Q2</t>
        </is>
      </c>
      <c r="E2298" s="6" t="inlineStr"/>
      <c r="F2298" s="7" t="inlineStr"/>
      <c r="G2298" s="8" t="inlineStr"/>
      <c r="H2298" s="8" t="inlineStr"/>
      <c r="I2298" s="9" t="n">
        <v>14728</v>
      </c>
      <c r="J2298" s="10" t="n">
        <v>403</v>
      </c>
      <c r="K2298" s="10" t="n">
        <v>149</v>
      </c>
      <c r="L2298" s="7" t="n">
        <v>14298</v>
      </c>
      <c r="M2298" s="8" t="n">
        <v>1382</v>
      </c>
      <c r="N2298" s="8" t="n">
        <v>1253</v>
      </c>
      <c r="O2298" s="9" t="n">
        <v>16458</v>
      </c>
      <c r="P2298" s="10" t="n">
        <v>2599</v>
      </c>
      <c r="Q2298" s="10" t="n">
        <v>1976</v>
      </c>
      <c r="R2298" s="7" t="n">
        <v>14205</v>
      </c>
      <c r="S2298" s="8" t="n">
        <v>-754</v>
      </c>
      <c r="T2298" s="8" t="n">
        <v>-19</v>
      </c>
      <c r="U2298" s="9" t="n">
        <v>17044</v>
      </c>
      <c r="V2298" s="10" t="n">
        <v>-215</v>
      </c>
      <c r="W2298" s="10" t="n">
        <v>-354</v>
      </c>
      <c r="X2298" s="7" t="n">
        <v>16930</v>
      </c>
      <c r="Y2298" s="8" t="n">
        <v>1261</v>
      </c>
      <c r="Z2298" s="8" t="n">
        <v>1234</v>
      </c>
      <c r="AA2298" s="9" t="n">
        <v>15793</v>
      </c>
      <c r="AB2298" s="10" t="n">
        <v>246</v>
      </c>
      <c r="AC2298" s="10" t="n">
        <v>547</v>
      </c>
      <c r="AD2298" s="7" t="n">
        <v>15215</v>
      </c>
      <c r="AE2298" s="8" t="n">
        <v>93</v>
      </c>
      <c r="AF2298" s="8" t="n">
        <v>-406</v>
      </c>
      <c r="AG2298" s="9" t="n">
        <v>14761</v>
      </c>
      <c r="AH2298" s="10" t="n">
        <v>-974</v>
      </c>
      <c r="AI2298" s="10" t="n">
        <v>-1048</v>
      </c>
      <c r="AJ2298" s="11" t="n">
        <v>17778</v>
      </c>
      <c r="AK2298" s="12" t="n">
        <v>176</v>
      </c>
      <c r="AL2298" s="12" t="n">
        <v>-136</v>
      </c>
      <c r="AM2298" s="13" t="n">
        <v>20.4</v>
      </c>
      <c r="AN2298" s="13" t="n">
        <v>5</v>
      </c>
      <c r="AO2298" s="13" t="n">
        <v>118.1</v>
      </c>
      <c r="AP2298" s="13" t="n">
        <v>-86</v>
      </c>
    </row>
    <row r="2299">
      <c r="A2299" s="5" t="inlineStr">
        <is>
          <t>탑머티리얼</t>
        </is>
      </c>
      <c r="B2299" s="6" t="inlineStr">
        <is>
          <t>360070</t>
        </is>
      </c>
      <c r="C2299" s="6" t="inlineStr">
        <is>
          <t>연결</t>
        </is>
      </c>
      <c r="D2299" s="6" t="inlineStr">
        <is>
          <t>2026Q2</t>
        </is>
      </c>
      <c r="E2299" s="6" t="inlineStr"/>
      <c r="F2299" s="7" t="inlineStr"/>
      <c r="G2299" s="8" t="inlineStr"/>
      <c r="H2299" s="8" t="inlineStr"/>
      <c r="I2299" s="9" t="n">
        <v>24663</v>
      </c>
      <c r="J2299" s="10" t="n">
        <v>-35</v>
      </c>
      <c r="K2299" s="10" t="n">
        <v>1788</v>
      </c>
      <c r="L2299" s="7" t="n">
        <v>19777</v>
      </c>
      <c r="M2299" s="8" t="n">
        <v>-551</v>
      </c>
      <c r="N2299" s="8" t="n">
        <v>-1986</v>
      </c>
      <c r="O2299" s="9" t="n">
        <v>40749</v>
      </c>
      <c r="P2299" s="10" t="n">
        <v>2990</v>
      </c>
      <c r="Q2299" s="10" t="n">
        <v>2051</v>
      </c>
      <c r="R2299" s="7" t="n">
        <v>20890</v>
      </c>
      <c r="S2299" s="8" t="n">
        <v>-9614</v>
      </c>
      <c r="T2299" s="8" t="n">
        <v>-10008</v>
      </c>
      <c r="U2299" s="9" t="n">
        <v>4376</v>
      </c>
      <c r="V2299" s="10" t="n">
        <v>-3746</v>
      </c>
      <c r="W2299" s="10" t="n">
        <v>-989</v>
      </c>
      <c r="X2299" s="7" t="n">
        <v>4242</v>
      </c>
      <c r="Y2299" s="8" t="n">
        <v>-4721</v>
      </c>
      <c r="Z2299" s="8" t="n">
        <v>-4760</v>
      </c>
      <c r="AA2299" s="9" t="n">
        <v>10140</v>
      </c>
      <c r="AB2299" s="10" t="n">
        <v>-4258</v>
      </c>
      <c r="AC2299" s="10" t="n">
        <v>-2643</v>
      </c>
      <c r="AD2299" s="7" t="n">
        <v>4373</v>
      </c>
      <c r="AE2299" s="8" t="n">
        <v>-22478</v>
      </c>
      <c r="AF2299" s="8" t="n">
        <v>-22303</v>
      </c>
      <c r="AG2299" s="9" t="n">
        <v>8067</v>
      </c>
      <c r="AH2299" s="10" t="n">
        <v>-2741</v>
      </c>
      <c r="AI2299" s="10" t="n">
        <v>-565</v>
      </c>
      <c r="AJ2299" s="11" t="n">
        <v>5083</v>
      </c>
      <c r="AK2299" s="12" t="n">
        <v>-9647</v>
      </c>
      <c r="AL2299" s="12" t="n">
        <v>-10049</v>
      </c>
      <c r="AM2299" s="13" t="n">
        <v>-37</v>
      </c>
      <c r="AN2299" s="13" t="n">
        <v>19.8</v>
      </c>
      <c r="AO2299" s="13" t="n">
        <v>-252</v>
      </c>
      <c r="AP2299" s="13" t="n">
        <v>-104.3</v>
      </c>
    </row>
    <row r="2300">
      <c r="A2300" s="5" t="inlineStr">
        <is>
          <t>코셈</t>
        </is>
      </c>
      <c r="B2300" s="6" t="inlineStr">
        <is>
          <t>360350</t>
        </is>
      </c>
      <c r="C2300" s="6" t="inlineStr">
        <is>
          <t>연결</t>
        </is>
      </c>
      <c r="D2300" s="6" t="inlineStr">
        <is>
          <t>2026Q2</t>
        </is>
      </c>
      <c r="E2300" s="6" t="inlineStr"/>
      <c r="F2300" s="7" t="inlineStr"/>
      <c r="G2300" s="8" t="inlineStr"/>
      <c r="H2300" s="8" t="inlineStr"/>
      <c r="I2300" s="9" t="n">
        <v>2665</v>
      </c>
      <c r="J2300" s="10" t="n">
        <v>-411</v>
      </c>
      <c r="K2300" s="10" t="n">
        <v>-147</v>
      </c>
      <c r="L2300" s="7" t="n">
        <v>3151</v>
      </c>
      <c r="M2300" s="8" t="n">
        <v>-302</v>
      </c>
      <c r="N2300" s="8" t="n">
        <v>-78</v>
      </c>
      <c r="O2300" s="9" t="n">
        <v>2624</v>
      </c>
      <c r="P2300" s="10" t="n">
        <v>-373</v>
      </c>
      <c r="Q2300" s="10" t="n">
        <v>-297</v>
      </c>
      <c r="R2300" s="7" t="n">
        <v>6290</v>
      </c>
      <c r="S2300" s="8" t="n">
        <v>850</v>
      </c>
      <c r="T2300" s="8" t="n">
        <v>1186</v>
      </c>
      <c r="U2300" s="9" t="n">
        <v>3145</v>
      </c>
      <c r="V2300" s="10" t="n">
        <v>-317</v>
      </c>
      <c r="W2300" s="10" t="n">
        <v>-272</v>
      </c>
      <c r="X2300" s="7" t="n">
        <v>2920</v>
      </c>
      <c r="Y2300" s="8" t="n">
        <v>-821</v>
      </c>
      <c r="Z2300" s="8" t="n">
        <v>-910</v>
      </c>
      <c r="AA2300" s="9" t="n">
        <v>2512</v>
      </c>
      <c r="AB2300" s="10" t="n">
        <v>-708</v>
      </c>
      <c r="AC2300" s="10" t="n">
        <v>-501</v>
      </c>
      <c r="AD2300" s="7" t="n">
        <v>4813</v>
      </c>
      <c r="AE2300" s="8" t="n">
        <v>317</v>
      </c>
      <c r="AF2300" s="8" t="n">
        <v>812</v>
      </c>
      <c r="AG2300" s="9" t="n">
        <v>2525</v>
      </c>
      <c r="AH2300" s="10" t="n">
        <v>-1080</v>
      </c>
      <c r="AI2300" s="10" t="n">
        <v>-920</v>
      </c>
      <c r="AJ2300" s="11" t="n">
        <v>2722</v>
      </c>
      <c r="AK2300" s="12" t="n">
        <v>-741</v>
      </c>
      <c r="AL2300" s="12" t="n">
        <v>-533</v>
      </c>
      <c r="AM2300" s="13" t="n">
        <v>7.8</v>
      </c>
      <c r="AN2300" s="13" t="n">
        <v>-6.8</v>
      </c>
      <c r="AO2300" s="13" t="n">
        <v>31.4</v>
      </c>
      <c r="AP2300" s="13" t="n">
        <v>9.699999999999999</v>
      </c>
    </row>
    <row r="2301">
      <c r="A2301" s="5" t="inlineStr">
        <is>
          <t>제노코</t>
        </is>
      </c>
      <c r="B2301" s="6" t="inlineStr">
        <is>
          <t>361390</t>
        </is>
      </c>
      <c r="C2301" s="6" t="inlineStr">
        <is>
          <t>별도</t>
        </is>
      </c>
      <c r="D2301" s="6" t="inlineStr">
        <is>
          <t>2026Q2</t>
        </is>
      </c>
      <c r="E2301" s="6" t="inlineStr"/>
      <c r="F2301" s="7" t="inlineStr"/>
      <c r="G2301" s="8" t="inlineStr"/>
      <c r="H2301" s="8" t="inlineStr"/>
      <c r="I2301" s="9" t="n">
        <v>13075</v>
      </c>
      <c r="J2301" s="10" t="n">
        <v>-1024</v>
      </c>
      <c r="K2301" s="10" t="n">
        <v>-807</v>
      </c>
      <c r="L2301" s="7" t="n">
        <v>11548</v>
      </c>
      <c r="M2301" s="8" t="n">
        <v>-312</v>
      </c>
      <c r="N2301" s="8" t="n">
        <v>-298</v>
      </c>
      <c r="O2301" s="9" t="n">
        <v>18331</v>
      </c>
      <c r="P2301" s="10" t="n">
        <v>-1194</v>
      </c>
      <c r="Q2301" s="10" t="n">
        <v>-1693</v>
      </c>
      <c r="R2301" s="7" t="n">
        <v>13877</v>
      </c>
      <c r="S2301" s="8" t="n">
        <v>359</v>
      </c>
      <c r="T2301" s="8" t="n">
        <v>-290</v>
      </c>
      <c r="U2301" s="9" t="n">
        <v>10537</v>
      </c>
      <c r="V2301" s="10" t="n">
        <v>-872</v>
      </c>
      <c r="W2301" s="10" t="n">
        <v>-1018</v>
      </c>
      <c r="X2301" s="7" t="n">
        <v>13981</v>
      </c>
      <c r="Y2301" s="8" t="n">
        <v>-1397</v>
      </c>
      <c r="Z2301" s="8" t="n">
        <v>-846</v>
      </c>
      <c r="AA2301" s="9" t="n">
        <v>17917</v>
      </c>
      <c r="AB2301" s="10" t="n">
        <v>378</v>
      </c>
      <c r="AC2301" s="10" t="n">
        <v>309</v>
      </c>
      <c r="AD2301" s="7" t="n">
        <v>17196</v>
      </c>
      <c r="AE2301" s="8" t="n">
        <v>-195</v>
      </c>
      <c r="AF2301" s="8" t="n">
        <v>-565</v>
      </c>
      <c r="AG2301" s="9" t="n">
        <v>11584</v>
      </c>
      <c r="AH2301" s="10" t="n">
        <v>-1232</v>
      </c>
      <c r="AI2301" s="10" t="n">
        <v>-816</v>
      </c>
      <c r="AJ2301" s="11" t="n">
        <v>10856</v>
      </c>
      <c r="AK2301" s="12" t="n">
        <v>-696</v>
      </c>
      <c r="AL2301" s="12" t="n">
        <v>193</v>
      </c>
      <c r="AM2301" s="13" t="n">
        <v>-6.3</v>
      </c>
      <c r="AN2301" s="13" t="n">
        <v>-22.4</v>
      </c>
      <c r="AO2301" s="13" t="n">
        <v>43.5</v>
      </c>
      <c r="AP2301" s="13" t="n">
        <v>50.2</v>
      </c>
    </row>
    <row r="2302">
      <c r="A2302" s="5" t="inlineStr">
        <is>
          <t>알비더블유</t>
        </is>
      </c>
      <c r="B2302" s="6" t="inlineStr">
        <is>
          <t>361570</t>
        </is>
      </c>
      <c r="C2302" s="6" t="inlineStr">
        <is>
          <t>연결</t>
        </is>
      </c>
      <c r="D2302" s="6" t="inlineStr">
        <is>
          <t>2026Q2</t>
        </is>
      </c>
      <c r="E2302" s="6" t="inlineStr"/>
      <c r="F2302" s="7" t="inlineStr"/>
      <c r="G2302" s="8" t="inlineStr"/>
      <c r="H2302" s="8" t="inlineStr"/>
      <c r="I2302" s="9" t="n">
        <v>15170</v>
      </c>
      <c r="J2302" s="10" t="n">
        <v>-3277</v>
      </c>
      <c r="K2302" s="10" t="n">
        <v>-4356</v>
      </c>
      <c r="L2302" s="7" t="n">
        <v>19572</v>
      </c>
      <c r="M2302" s="8" t="n">
        <v>-1433</v>
      </c>
      <c r="N2302" s="8" t="n">
        <v>-3286</v>
      </c>
      <c r="O2302" s="9" t="n">
        <v>17104</v>
      </c>
      <c r="P2302" s="10" t="n">
        <v>-3072</v>
      </c>
      <c r="Q2302" s="10" t="n">
        <v>1126</v>
      </c>
      <c r="R2302" s="7" t="n">
        <v>10674</v>
      </c>
      <c r="S2302" s="8" t="n">
        <v>-4426</v>
      </c>
      <c r="T2302" s="8" t="n">
        <v>-4978</v>
      </c>
      <c r="U2302" s="9" t="n">
        <v>10609</v>
      </c>
      <c r="V2302" s="10" t="n">
        <v>-9</v>
      </c>
      <c r="W2302" s="10" t="n">
        <v>68</v>
      </c>
      <c r="X2302" s="7" t="n">
        <v>12126</v>
      </c>
      <c r="Y2302" s="8" t="n">
        <v>-1819</v>
      </c>
      <c r="Z2302" s="8" t="n">
        <v>-3632</v>
      </c>
      <c r="AA2302" s="9" t="n">
        <v>10113</v>
      </c>
      <c r="AB2302" s="10" t="n">
        <v>-365</v>
      </c>
      <c r="AC2302" s="10" t="n">
        <v>-678</v>
      </c>
      <c r="AD2302" s="7" t="n">
        <v>13629</v>
      </c>
      <c r="AE2302" s="8" t="n">
        <v>2362</v>
      </c>
      <c r="AF2302" s="8" t="n">
        <v>419</v>
      </c>
      <c r="AG2302" s="9" t="n">
        <v>9557</v>
      </c>
      <c r="AH2302" s="10" t="n">
        <v>-450</v>
      </c>
      <c r="AI2302" s="10" t="n">
        <v>122</v>
      </c>
      <c r="AJ2302" s="11" t="n">
        <v>14708</v>
      </c>
      <c r="AK2302" s="12" t="n">
        <v>2401</v>
      </c>
      <c r="AL2302" s="12" t="n">
        <v>4428</v>
      </c>
      <c r="AM2302" s="13" t="n">
        <v>53.9</v>
      </c>
      <c r="AN2302" s="13" t="n">
        <v>21.3</v>
      </c>
      <c r="AO2302" s="13" t="n">
        <v>633.6</v>
      </c>
      <c r="AP2302" s="13" t="n">
        <v>232</v>
      </c>
    </row>
    <row r="2303">
      <c r="A2303" s="5" t="inlineStr">
        <is>
          <t>SK아이이테크놀로지</t>
        </is>
      </c>
      <c r="B2303" s="6" t="inlineStr">
        <is>
          <t>361610</t>
        </is>
      </c>
      <c r="C2303" s="6" t="inlineStr">
        <is>
          <t>연결</t>
        </is>
      </c>
      <c r="D2303" s="6" t="inlineStr">
        <is>
          <t>2026Q2</t>
        </is>
      </c>
      <c r="E2303" s="6" t="inlineStr">
        <is>
          <t>2023Q4</t>
        </is>
      </c>
      <c r="F2303" s="14" t="n">
        <v>172494</v>
      </c>
      <c r="G2303" s="15" t="n">
        <v>26879</v>
      </c>
      <c r="H2303" s="15" t="n">
        <v>71770</v>
      </c>
      <c r="I2303" s="9" t="n">
        <v>46154</v>
      </c>
      <c r="J2303" s="10" t="n">
        <v>-67404</v>
      </c>
      <c r="K2303" s="10" t="n">
        <v>-62482</v>
      </c>
      <c r="L2303" s="7" t="n">
        <v>61695</v>
      </c>
      <c r="M2303" s="8" t="n">
        <v>-58673</v>
      </c>
      <c r="N2303" s="8" t="n">
        <v>-48000</v>
      </c>
      <c r="O2303" s="9" t="n">
        <v>50761</v>
      </c>
      <c r="P2303" s="10" t="n">
        <v>-73003</v>
      </c>
      <c r="Q2303" s="10" t="n">
        <v>-36071</v>
      </c>
      <c r="R2303" s="7" t="n">
        <v>59255</v>
      </c>
      <c r="S2303" s="8" t="n">
        <v>-91914</v>
      </c>
      <c r="T2303" s="8" t="n">
        <v>-100062</v>
      </c>
      <c r="U2303" s="9" t="n">
        <v>58235</v>
      </c>
      <c r="V2303" s="10" t="n">
        <v>-69636</v>
      </c>
      <c r="W2303" s="10" t="n">
        <v>-21653</v>
      </c>
      <c r="X2303" s="7" t="n">
        <v>82725</v>
      </c>
      <c r="Y2303" s="8" t="n">
        <v>-53716</v>
      </c>
      <c r="Z2303" s="8" t="n">
        <v>-19030</v>
      </c>
      <c r="AA2303" s="9" t="n">
        <v>79087</v>
      </c>
      <c r="AB2303" s="10" t="n">
        <v>-47224</v>
      </c>
      <c r="AC2303" s="10" t="n">
        <v>-40056</v>
      </c>
      <c r="AD2303" s="7" t="n">
        <v>41827</v>
      </c>
      <c r="AE2303" s="8" t="n">
        <v>-75788</v>
      </c>
      <c r="AF2303" s="8" t="n">
        <v>-130679</v>
      </c>
      <c r="AG2303" s="9" t="n">
        <v>35873</v>
      </c>
      <c r="AH2303" s="10" t="n">
        <v>-73228</v>
      </c>
      <c r="AI2303" s="10" t="n">
        <v>-81766</v>
      </c>
      <c r="AJ2303" s="11" t="n">
        <v>39526</v>
      </c>
      <c r="AK2303" s="12" t="n">
        <v>-63448</v>
      </c>
      <c r="AL2303" s="12" t="n">
        <v>-1327763</v>
      </c>
      <c r="AM2303" s="13" t="n">
        <v>10.2</v>
      </c>
      <c r="AN2303" s="13" t="n">
        <v>-52.2</v>
      </c>
      <c r="AO2303" s="13" t="n">
        <v>13.4</v>
      </c>
      <c r="AP2303" s="13" t="n">
        <v>-18.1</v>
      </c>
    </row>
    <row r="2304">
      <c r="A2304" s="5" t="inlineStr">
        <is>
          <t>삼영에스앤씨</t>
        </is>
      </c>
      <c r="B2304" s="6" t="inlineStr">
        <is>
          <t>361670</t>
        </is>
      </c>
      <c r="C2304" s="6" t="inlineStr">
        <is>
          <t>연결</t>
        </is>
      </c>
      <c r="D2304" s="6" t="inlineStr">
        <is>
          <t>2026Q2</t>
        </is>
      </c>
      <c r="E2304" s="6" t="inlineStr"/>
      <c r="F2304" s="7" t="inlineStr"/>
      <c r="G2304" s="8" t="inlineStr"/>
      <c r="H2304" s="8" t="inlineStr"/>
      <c r="I2304" s="9" t="n">
        <v>2680</v>
      </c>
      <c r="J2304" s="10" t="n">
        <v>-422</v>
      </c>
      <c r="K2304" s="10" t="n">
        <v>-173</v>
      </c>
      <c r="L2304" s="7" t="n">
        <v>2968</v>
      </c>
      <c r="M2304" s="8" t="n">
        <v>-1442</v>
      </c>
      <c r="N2304" s="8" t="n">
        <v>-1240</v>
      </c>
      <c r="O2304" s="9" t="n">
        <v>3425</v>
      </c>
      <c r="P2304" s="10" t="n">
        <v>-701</v>
      </c>
      <c r="Q2304" s="10" t="n">
        <v>-642</v>
      </c>
      <c r="R2304" s="7" t="n">
        <v>3321</v>
      </c>
      <c r="S2304" s="8" t="n">
        <v>-556</v>
      </c>
      <c r="T2304" s="8" t="n">
        <v>-1307</v>
      </c>
      <c r="U2304" s="9" t="n">
        <v>3058</v>
      </c>
      <c r="V2304" s="10" t="n">
        <v>-461</v>
      </c>
      <c r="W2304" s="10" t="n">
        <v>-251</v>
      </c>
      <c r="X2304" s="7" t="n">
        <v>2558</v>
      </c>
      <c r="Y2304" s="8" t="n">
        <v>-354</v>
      </c>
      <c r="Z2304" s="8" t="n">
        <v>-335</v>
      </c>
      <c r="AA2304" s="9" t="n">
        <v>2648</v>
      </c>
      <c r="AB2304" s="10" t="n">
        <v>-585</v>
      </c>
      <c r="AC2304" s="10" t="n">
        <v>-416</v>
      </c>
      <c r="AD2304" s="7" t="n">
        <v>2712</v>
      </c>
      <c r="AE2304" s="8" t="n">
        <v>-298</v>
      </c>
      <c r="AF2304" s="8" t="n">
        <v>-128</v>
      </c>
      <c r="AG2304" s="9" t="n">
        <v>3054</v>
      </c>
      <c r="AH2304" s="10" t="n">
        <v>-1</v>
      </c>
      <c r="AI2304" s="10" t="n">
        <v>237</v>
      </c>
      <c r="AJ2304" s="11" t="n">
        <v>2756</v>
      </c>
      <c r="AK2304" s="12" t="n">
        <v>-407</v>
      </c>
      <c r="AL2304" s="12" t="n">
        <v>-264</v>
      </c>
      <c r="AM2304" s="13" t="n">
        <v>-9.800000000000001</v>
      </c>
      <c r="AN2304" s="13" t="n">
        <v>7.7</v>
      </c>
      <c r="AO2304" s="13" t="n">
        <v>-40600</v>
      </c>
      <c r="AP2304" s="13" t="n">
        <v>-15</v>
      </c>
    </row>
    <row r="2305">
      <c r="A2305" s="5" t="inlineStr">
        <is>
          <t>청담글로벌</t>
        </is>
      </c>
      <c r="B2305" s="6" t="inlineStr">
        <is>
          <t>362320</t>
        </is>
      </c>
      <c r="C2305" s="6" t="inlineStr">
        <is>
          <t>연결</t>
        </is>
      </c>
      <c r="D2305" s="6" t="inlineStr">
        <is>
          <t>2026Q2</t>
        </is>
      </c>
      <c r="E2305" s="6" t="inlineStr"/>
      <c r="F2305" s="7" t="inlineStr"/>
      <c r="G2305" s="8" t="inlineStr"/>
      <c r="H2305" s="8" t="inlineStr"/>
      <c r="I2305" s="9" t="n">
        <v>54796</v>
      </c>
      <c r="J2305" s="10" t="n">
        <v>2435</v>
      </c>
      <c r="K2305" s="10" t="n">
        <v>2825</v>
      </c>
      <c r="L2305" s="7" t="n">
        <v>65835</v>
      </c>
      <c r="M2305" s="8" t="n">
        <v>1496</v>
      </c>
      <c r="N2305" s="8" t="n">
        <v>440</v>
      </c>
      <c r="O2305" s="9" t="n">
        <v>62470</v>
      </c>
      <c r="P2305" s="10" t="n">
        <v>4210</v>
      </c>
      <c r="Q2305" s="10" t="n">
        <v>1414</v>
      </c>
      <c r="R2305" s="7" t="n">
        <v>51165</v>
      </c>
      <c r="S2305" s="8" t="n">
        <v>-1273</v>
      </c>
      <c r="T2305" s="8" t="n">
        <v>-1409</v>
      </c>
      <c r="U2305" s="9" t="n">
        <v>54281</v>
      </c>
      <c r="V2305" s="10" t="n">
        <v>3602</v>
      </c>
      <c r="W2305" s="10" t="n">
        <v>2859</v>
      </c>
      <c r="X2305" s="7" t="n">
        <v>41727</v>
      </c>
      <c r="Y2305" s="8" t="n">
        <v>4161</v>
      </c>
      <c r="Z2305" s="8" t="n">
        <v>433</v>
      </c>
      <c r="AA2305" s="9" t="n">
        <v>51478</v>
      </c>
      <c r="AB2305" s="10" t="n">
        <v>3065</v>
      </c>
      <c r="AC2305" s="10" t="n">
        <v>3909</v>
      </c>
      <c r="AD2305" s="7" t="n">
        <v>69899</v>
      </c>
      <c r="AE2305" s="8" t="n">
        <v>-5459</v>
      </c>
      <c r="AF2305" s="8" t="n">
        <v>-4125</v>
      </c>
      <c r="AG2305" s="9" t="n">
        <v>48323</v>
      </c>
      <c r="AH2305" s="10" t="n">
        <v>2550</v>
      </c>
      <c r="AI2305" s="10" t="n">
        <v>7572</v>
      </c>
      <c r="AJ2305" s="11" t="n">
        <v>65904</v>
      </c>
      <c r="AK2305" s="12" t="n">
        <v>1947</v>
      </c>
      <c r="AL2305" s="12" t="n">
        <v>-938</v>
      </c>
      <c r="AM2305" s="13" t="n">
        <v>36.4</v>
      </c>
      <c r="AN2305" s="13" t="n">
        <v>57.9</v>
      </c>
      <c r="AO2305" s="13" t="n">
        <v>-23.6</v>
      </c>
      <c r="AP2305" s="13" t="n">
        <v>-53.2</v>
      </c>
    </row>
    <row r="2306">
      <c r="A2306" s="5" t="inlineStr">
        <is>
          <t>드림인사이트</t>
        </is>
      </c>
      <c r="B2306" s="6" t="inlineStr">
        <is>
          <t>362990</t>
        </is>
      </c>
      <c r="C2306" s="6" t="inlineStr">
        <is>
          <t>연결</t>
        </is>
      </c>
      <c r="D2306" s="6" t="inlineStr">
        <is>
          <t>2026Q2</t>
        </is>
      </c>
      <c r="E2306" s="6" t="inlineStr"/>
      <c r="F2306" s="7" t="inlineStr"/>
      <c r="G2306" s="8" t="inlineStr"/>
      <c r="H2306" s="8" t="inlineStr"/>
      <c r="I2306" s="9" t="inlineStr"/>
      <c r="J2306" s="10" t="n">
        <v>776</v>
      </c>
      <c r="K2306" s="10" t="n">
        <v>-1743</v>
      </c>
      <c r="L2306" s="7" t="n">
        <v>4457</v>
      </c>
      <c r="M2306" s="8" t="n">
        <v>718</v>
      </c>
      <c r="N2306" s="8" t="n">
        <v>779</v>
      </c>
      <c r="O2306" s="9" t="n">
        <v>4522</v>
      </c>
      <c r="P2306" s="10" t="n">
        <v>418</v>
      </c>
      <c r="Q2306" s="10" t="n">
        <v>460</v>
      </c>
      <c r="R2306" s="7" t="inlineStr"/>
      <c r="S2306" s="8" t="n">
        <v>-54</v>
      </c>
      <c r="T2306" s="8" t="n">
        <v>1377</v>
      </c>
      <c r="U2306" s="9" t="n">
        <v>5069</v>
      </c>
      <c r="V2306" s="10" t="n">
        <v>-436</v>
      </c>
      <c r="W2306" s="10" t="n">
        <v>-293</v>
      </c>
      <c r="X2306" s="7" t="n">
        <v>5015</v>
      </c>
      <c r="Y2306" s="8" t="n">
        <v>-328</v>
      </c>
      <c r="Z2306" s="8" t="n">
        <v>-212</v>
      </c>
      <c r="AA2306" s="9" t="n">
        <v>5347</v>
      </c>
      <c r="AB2306" s="10" t="n">
        <v>-69</v>
      </c>
      <c r="AC2306" s="10" t="n">
        <v>-9</v>
      </c>
      <c r="AD2306" s="7" t="n">
        <v>4587</v>
      </c>
      <c r="AE2306" s="8" t="n">
        <v>-328</v>
      </c>
      <c r="AF2306" s="8" t="n">
        <v>105</v>
      </c>
      <c r="AG2306" s="9" t="n">
        <v>4876</v>
      </c>
      <c r="AH2306" s="10" t="n">
        <v>-167</v>
      </c>
      <c r="AI2306" s="10" t="n">
        <v>-120</v>
      </c>
      <c r="AJ2306" s="11" t="n">
        <v>5382</v>
      </c>
      <c r="AK2306" s="12" t="n">
        <v>-249</v>
      </c>
      <c r="AL2306" s="12" t="n">
        <v>-211</v>
      </c>
      <c r="AM2306" s="13" t="n">
        <v>10.4</v>
      </c>
      <c r="AN2306" s="13" t="n">
        <v>7.3</v>
      </c>
      <c r="AO2306" s="13" t="n">
        <v>-49.1</v>
      </c>
      <c r="AP2306" s="13" t="n">
        <v>24.1</v>
      </c>
    </row>
    <row r="2307">
      <c r="A2307" s="5" t="inlineStr">
        <is>
          <t>진시스템</t>
        </is>
      </c>
      <c r="B2307" s="6" t="inlineStr">
        <is>
          <t>363250</t>
        </is>
      </c>
      <c r="C2307" s="6" t="inlineStr">
        <is>
          <t>연결</t>
        </is>
      </c>
      <c r="D2307" s="6" t="inlineStr">
        <is>
          <t>2026Q2</t>
        </is>
      </c>
      <c r="E2307" s="6" t="inlineStr"/>
      <c r="F2307" s="7" t="inlineStr"/>
      <c r="G2307" s="8" t="inlineStr"/>
      <c r="H2307" s="8" t="inlineStr"/>
      <c r="I2307" s="9" t="n">
        <v>135</v>
      </c>
      <c r="J2307" s="10" t="n">
        <v>-2507</v>
      </c>
      <c r="K2307" s="10" t="n">
        <v>-2343</v>
      </c>
      <c r="L2307" s="7" t="n">
        <v>147</v>
      </c>
      <c r="M2307" s="8" t="n">
        <v>-2236</v>
      </c>
      <c r="N2307" s="8" t="n">
        <v>-2107</v>
      </c>
      <c r="O2307" s="9" t="n">
        <v>803</v>
      </c>
      <c r="P2307" s="10" t="n">
        <v>-2115</v>
      </c>
      <c r="Q2307" s="10" t="n">
        <v>-2022</v>
      </c>
      <c r="R2307" s="7" t="n">
        <v>123</v>
      </c>
      <c r="S2307" s="8" t="n">
        <v>-3258</v>
      </c>
      <c r="T2307" s="8" t="n">
        <v>-3057</v>
      </c>
      <c r="U2307" s="9" t="n">
        <v>63</v>
      </c>
      <c r="V2307" s="10" t="n">
        <v>-1985</v>
      </c>
      <c r="W2307" s="10" t="n">
        <v>-1945</v>
      </c>
      <c r="X2307" s="7" t="n">
        <v>69</v>
      </c>
      <c r="Y2307" s="8" t="n">
        <v>-2425</v>
      </c>
      <c r="Z2307" s="8" t="n">
        <v>-2378</v>
      </c>
      <c r="AA2307" s="9" t="n">
        <v>90</v>
      </c>
      <c r="AB2307" s="10" t="n">
        <v>-2268</v>
      </c>
      <c r="AC2307" s="10" t="n">
        <v>-2196</v>
      </c>
      <c r="AD2307" s="7" t="n">
        <v>159</v>
      </c>
      <c r="AE2307" s="8" t="n">
        <v>-3012</v>
      </c>
      <c r="AF2307" s="8" t="n">
        <v>-8150</v>
      </c>
      <c r="AG2307" s="9" t="n">
        <v>329</v>
      </c>
      <c r="AH2307" s="10" t="n">
        <v>-1613</v>
      </c>
      <c r="AI2307" s="10" t="n">
        <v>-1562</v>
      </c>
      <c r="AJ2307" s="11" t="n">
        <v>432</v>
      </c>
      <c r="AK2307" s="12" t="n">
        <v>-958</v>
      </c>
      <c r="AL2307" s="12" t="n">
        <v>-814</v>
      </c>
      <c r="AM2307" s="13" t="n">
        <v>31.3</v>
      </c>
      <c r="AN2307" s="13" t="n">
        <v>526.1</v>
      </c>
      <c r="AO2307" s="13" t="n">
        <v>40.6</v>
      </c>
      <c r="AP2307" s="13" t="n">
        <v>60.5</v>
      </c>
    </row>
    <row r="2308">
      <c r="A2308" s="5" t="inlineStr">
        <is>
          <t>모비데이즈</t>
        </is>
      </c>
      <c r="B2308" s="6" t="inlineStr">
        <is>
          <t>363260</t>
        </is>
      </c>
      <c r="C2308" s="6" t="inlineStr">
        <is>
          <t>연결</t>
        </is>
      </c>
      <c r="D2308" s="6" t="inlineStr">
        <is>
          <t>2026Q2</t>
        </is>
      </c>
      <c r="E2308" s="6" t="inlineStr"/>
      <c r="F2308" s="7" t="inlineStr"/>
      <c r="G2308" s="8" t="inlineStr"/>
      <c r="H2308" s="8" t="inlineStr"/>
      <c r="I2308" s="9" t="n">
        <v>6759</v>
      </c>
      <c r="J2308" s="10" t="n">
        <v>-404</v>
      </c>
      <c r="K2308" s="10" t="n">
        <v>-702</v>
      </c>
      <c r="L2308" s="7" t="n">
        <v>9991</v>
      </c>
      <c r="M2308" s="8" t="n">
        <v>593</v>
      </c>
      <c r="N2308" s="8" t="n">
        <v>-107</v>
      </c>
      <c r="O2308" s="9" t="n">
        <v>9563</v>
      </c>
      <c r="P2308" s="10" t="n">
        <v>-218</v>
      </c>
      <c r="Q2308" s="10" t="n">
        <v>-230</v>
      </c>
      <c r="R2308" s="7" t="n">
        <v>10919</v>
      </c>
      <c r="S2308" s="8" t="n">
        <v>344</v>
      </c>
      <c r="T2308" s="8" t="n">
        <v>-675</v>
      </c>
      <c r="U2308" s="9" t="n">
        <v>11110</v>
      </c>
      <c r="V2308" s="10" t="n">
        <v>670</v>
      </c>
      <c r="W2308" s="10" t="n">
        <v>672</v>
      </c>
      <c r="X2308" s="7" t="n">
        <v>12183</v>
      </c>
      <c r="Y2308" s="8" t="n">
        <v>2475</v>
      </c>
      <c r="Z2308" s="8" t="n">
        <v>1719</v>
      </c>
      <c r="AA2308" s="9" t="n">
        <v>12987</v>
      </c>
      <c r="AB2308" s="10" t="n">
        <v>1584</v>
      </c>
      <c r="AC2308" s="10" t="n">
        <v>1598</v>
      </c>
      <c r="AD2308" s="7" t="n">
        <v>8079</v>
      </c>
      <c r="AE2308" s="8" t="n">
        <v>-222</v>
      </c>
      <c r="AF2308" s="8" t="n">
        <v>-893</v>
      </c>
      <c r="AG2308" s="9" t="n">
        <v>9562</v>
      </c>
      <c r="AH2308" s="10" t="n">
        <v>-167</v>
      </c>
      <c r="AI2308" s="10" t="n">
        <v>-47</v>
      </c>
      <c r="AJ2308" s="11" t="n">
        <v>13011</v>
      </c>
      <c r="AK2308" s="12" t="n">
        <v>2895</v>
      </c>
      <c r="AL2308" s="12" t="n">
        <v>1608</v>
      </c>
      <c r="AM2308" s="13" t="n">
        <v>36.1</v>
      </c>
      <c r="AN2308" s="13" t="n">
        <v>6.8</v>
      </c>
      <c r="AO2308" s="13" t="n">
        <v>1833.5</v>
      </c>
      <c r="AP2308" s="13" t="n">
        <v>17</v>
      </c>
    </row>
    <row r="2309">
      <c r="A2309" s="5" t="inlineStr">
        <is>
          <t>티와이홀딩스</t>
        </is>
      </c>
      <c r="B2309" s="6" t="inlineStr">
        <is>
          <t>363280</t>
        </is>
      </c>
      <c r="C2309" s="6" t="inlineStr">
        <is>
          <t>연결</t>
        </is>
      </c>
      <c r="D2309" s="6" t="inlineStr">
        <is>
          <t>2026Q2</t>
        </is>
      </c>
      <c r="E2309" s="6" t="inlineStr"/>
      <c r="F2309" s="7" t="inlineStr"/>
      <c r="G2309" s="8" t="inlineStr"/>
      <c r="H2309" s="8" t="inlineStr"/>
      <c r="I2309" s="9" t="n">
        <v>22684</v>
      </c>
      <c r="J2309" s="10" t="n">
        <v>-9265</v>
      </c>
      <c r="K2309" s="10" t="n">
        <v>-74157</v>
      </c>
      <c r="L2309" s="7" t="n">
        <v>29830</v>
      </c>
      <c r="M2309" s="8" t="n">
        <v>-7165</v>
      </c>
      <c r="N2309" s="8" t="n">
        <v>-16646</v>
      </c>
      <c r="O2309" s="9" t="n">
        <v>23330</v>
      </c>
      <c r="P2309" s="10" t="n">
        <v>-2390</v>
      </c>
      <c r="Q2309" s="10" t="n">
        <v>24482</v>
      </c>
      <c r="R2309" s="7" t="n">
        <v>3529</v>
      </c>
      <c r="S2309" s="8" t="n">
        <v>-62089</v>
      </c>
      <c r="T2309" s="8" t="n">
        <v>-51741</v>
      </c>
      <c r="U2309" s="9" t="n">
        <v>10998</v>
      </c>
      <c r="V2309" s="10" t="n">
        <v>-5132</v>
      </c>
      <c r="W2309" s="10" t="n">
        <v>-11688</v>
      </c>
      <c r="X2309" s="7" t="n">
        <v>23305</v>
      </c>
      <c r="Y2309" s="8" t="n">
        <v>1672</v>
      </c>
      <c r="Z2309" s="8" t="n">
        <v>-17355</v>
      </c>
      <c r="AA2309" s="9" t="n">
        <v>21286</v>
      </c>
      <c r="AB2309" s="10" t="n">
        <v>140</v>
      </c>
      <c r="AC2309" s="10" t="n">
        <v>-22512</v>
      </c>
      <c r="AD2309" s="7" t="n">
        <v>23638</v>
      </c>
      <c r="AE2309" s="8" t="n">
        <v>-31244</v>
      </c>
      <c r="AF2309" s="8" t="n">
        <v>-41232</v>
      </c>
      <c r="AG2309" s="9" t="n">
        <v>13247</v>
      </c>
      <c r="AH2309" s="10" t="n">
        <v>-2448</v>
      </c>
      <c r="AI2309" s="10" t="n">
        <v>-10800</v>
      </c>
      <c r="AJ2309" s="11" t="n">
        <v>26347</v>
      </c>
      <c r="AK2309" s="12" t="n">
        <v>5143</v>
      </c>
      <c r="AL2309" s="12" t="n">
        <v>-2148</v>
      </c>
      <c r="AM2309" s="13" t="n">
        <v>98.90000000000001</v>
      </c>
      <c r="AN2309" s="13" t="n">
        <v>13.1</v>
      </c>
      <c r="AO2309" s="13" t="n">
        <v>310.1</v>
      </c>
      <c r="AP2309" s="13" t="n">
        <v>207.6</v>
      </c>
    </row>
    <row r="2310">
      <c r="A2310" s="5" t="inlineStr">
        <is>
          <t>에이아이코리아</t>
        </is>
      </c>
      <c r="B2310" s="6" t="inlineStr">
        <is>
          <t>364950</t>
        </is>
      </c>
      <c r="C2310" s="6" t="inlineStr">
        <is>
          <t>연결</t>
        </is>
      </c>
      <c r="D2310" s="6" t="inlineStr">
        <is>
          <t>2026Q2</t>
        </is>
      </c>
      <c r="E2310" s="6" t="inlineStr"/>
      <c r="F2310" s="7" t="inlineStr"/>
      <c r="G2310" s="8" t="inlineStr"/>
      <c r="H2310" s="8" t="inlineStr"/>
      <c r="I2310" s="9" t="inlineStr"/>
      <c r="J2310" s="10" t="inlineStr"/>
      <c r="K2310" s="10" t="inlineStr"/>
      <c r="L2310" s="7" t="inlineStr"/>
      <c r="M2310" s="8" t="inlineStr"/>
      <c r="N2310" s="8" t="inlineStr"/>
      <c r="O2310" s="9" t="inlineStr"/>
      <c r="P2310" s="10" t="inlineStr"/>
      <c r="Q2310" s="10" t="inlineStr"/>
      <c r="R2310" s="7" t="inlineStr"/>
      <c r="S2310" s="8" t="inlineStr"/>
      <c r="T2310" s="8" t="inlineStr"/>
      <c r="U2310" s="9" t="inlineStr"/>
      <c r="V2310" s="10" t="inlineStr"/>
      <c r="W2310" s="10" t="inlineStr"/>
      <c r="X2310" s="7" t="n">
        <v>20998</v>
      </c>
      <c r="Y2310" s="8" t="n">
        <v>4400</v>
      </c>
      <c r="Z2310" s="8" t="n">
        <v>-800</v>
      </c>
      <c r="AA2310" s="9" t="n">
        <v>10798</v>
      </c>
      <c r="AB2310" s="10" t="n">
        <v>-1877</v>
      </c>
      <c r="AC2310" s="10" t="n">
        <v>-74</v>
      </c>
      <c r="AD2310" s="7" t="inlineStr"/>
      <c r="AE2310" s="8" t="inlineStr"/>
      <c r="AF2310" s="8" t="inlineStr"/>
      <c r="AG2310" s="9" t="n">
        <v>18806</v>
      </c>
      <c r="AH2310" s="10" t="n">
        <v>600</v>
      </c>
      <c r="AI2310" s="10" t="n">
        <v>2658</v>
      </c>
      <c r="AJ2310" s="11" t="n">
        <v>21552</v>
      </c>
      <c r="AK2310" s="12" t="n">
        <v>-2583</v>
      </c>
      <c r="AL2310" s="12" t="n">
        <v>98</v>
      </c>
      <c r="AM2310" s="13" t="n">
        <v>14.6</v>
      </c>
      <c r="AN2310" s="13" t="n">
        <v>2.6</v>
      </c>
      <c r="AO2310" s="13" t="n">
        <v>-530.5</v>
      </c>
      <c r="AP2310" s="13" t="n">
        <v>-158.7</v>
      </c>
    </row>
    <row r="2311">
      <c r="A2311" s="5" t="inlineStr">
        <is>
          <t>큐라클</t>
        </is>
      </c>
      <c r="B2311" s="6" t="inlineStr">
        <is>
          <t>365270</t>
        </is>
      </c>
      <c r="C2311" s="6" t="inlineStr">
        <is>
          <t>별도</t>
        </is>
      </c>
      <c r="D2311" s="6" t="inlineStr">
        <is>
          <t>2026Q2</t>
        </is>
      </c>
      <c r="E2311" s="6" t="inlineStr"/>
      <c r="F2311" s="7" t="inlineStr"/>
      <c r="G2311" s="8" t="inlineStr"/>
      <c r="H2311" s="8" t="inlineStr"/>
      <c r="I2311" s="9" t="n">
        <v>500</v>
      </c>
      <c r="J2311" s="10" t="n">
        <v>-3056</v>
      </c>
      <c r="K2311" s="10" t="n">
        <v>-2895</v>
      </c>
      <c r="L2311" s="7" t="inlineStr"/>
      <c r="M2311" s="8" t="n">
        <v>-3886</v>
      </c>
      <c r="N2311" s="8" t="n">
        <v>-3747</v>
      </c>
      <c r="O2311" s="9" t="inlineStr"/>
      <c r="P2311" s="10" t="n">
        <v>-3276</v>
      </c>
      <c r="Q2311" s="10" t="n">
        <v>-4181</v>
      </c>
      <c r="R2311" s="7" t="inlineStr"/>
      <c r="S2311" s="8" t="n">
        <v>-2417</v>
      </c>
      <c r="T2311" s="8" t="n">
        <v>-4063</v>
      </c>
      <c r="U2311" s="9" t="inlineStr"/>
      <c r="V2311" s="10" t="n">
        <v>-3649</v>
      </c>
      <c r="W2311" s="10" t="n">
        <v>-4123</v>
      </c>
      <c r="X2311" s="7" t="inlineStr"/>
      <c r="Y2311" s="8" t="n">
        <v>-5316</v>
      </c>
      <c r="Z2311" s="8" t="n">
        <v>-6319</v>
      </c>
      <c r="AA2311" s="9" t="n">
        <v>7</v>
      </c>
      <c r="AB2311" s="10" t="n">
        <v>-2853</v>
      </c>
      <c r="AC2311" s="10" t="n">
        <v>-2994</v>
      </c>
      <c r="AD2311" s="7" t="inlineStr"/>
      <c r="AE2311" s="8" t="n">
        <v>-4685</v>
      </c>
      <c r="AF2311" s="8" t="n">
        <v>-4677</v>
      </c>
      <c r="AG2311" s="9" t="n">
        <v>1049</v>
      </c>
      <c r="AH2311" s="10" t="n">
        <v>-2999</v>
      </c>
      <c r="AI2311" s="10" t="n">
        <v>-3144</v>
      </c>
      <c r="AJ2311" s="11" t="n">
        <v>7185</v>
      </c>
      <c r="AK2311" s="12" t="n">
        <v>2359</v>
      </c>
      <c r="AL2311" s="12" t="n">
        <v>3228</v>
      </c>
      <c r="AM2311" s="13" t="n">
        <v>584.9</v>
      </c>
      <c r="AN2311" s="13" t="inlineStr"/>
      <c r="AO2311" s="13" t="n">
        <v>178.7</v>
      </c>
      <c r="AP2311" s="13" t="n">
        <v>144.4</v>
      </c>
    </row>
    <row r="2312">
      <c r="A2312" s="5" t="inlineStr">
        <is>
          <t>에스와이스틸텍</t>
        </is>
      </c>
      <c r="B2312" s="6" t="inlineStr">
        <is>
          <t>365330</t>
        </is>
      </c>
      <c r="C2312" s="6" t="inlineStr">
        <is>
          <t>연결</t>
        </is>
      </c>
      <c r="D2312" s="6" t="inlineStr">
        <is>
          <t>2026Q2</t>
        </is>
      </c>
      <c r="E2312" s="6" t="inlineStr"/>
      <c r="F2312" s="7" t="inlineStr"/>
      <c r="G2312" s="8" t="inlineStr"/>
      <c r="H2312" s="8" t="inlineStr"/>
      <c r="I2312" s="9" t="n">
        <v>24643</v>
      </c>
      <c r="J2312" s="10" t="n">
        <v>2093</v>
      </c>
      <c r="K2312" s="10" t="n">
        <v>1843</v>
      </c>
      <c r="L2312" s="7" t="n">
        <v>31871</v>
      </c>
      <c r="M2312" s="8" t="n">
        <v>1949</v>
      </c>
      <c r="N2312" s="8" t="n">
        <v>1313</v>
      </c>
      <c r="O2312" s="9" t="n">
        <v>27774</v>
      </c>
      <c r="P2312" s="10" t="n">
        <v>1799</v>
      </c>
      <c r="Q2312" s="10" t="n">
        <v>1974</v>
      </c>
      <c r="R2312" s="7" t="n">
        <v>32696</v>
      </c>
      <c r="S2312" s="8" t="n">
        <v>2263</v>
      </c>
      <c r="T2312" s="8" t="n">
        <v>961</v>
      </c>
      <c r="U2312" s="9" t="n">
        <v>26520</v>
      </c>
      <c r="V2312" s="10" t="n">
        <v>278</v>
      </c>
      <c r="W2312" s="10" t="n">
        <v>396</v>
      </c>
      <c r="X2312" s="7" t="n">
        <v>25001</v>
      </c>
      <c r="Y2312" s="8" t="n">
        <v>240</v>
      </c>
      <c r="Z2312" s="8" t="n">
        <v>232</v>
      </c>
      <c r="AA2312" s="9" t="n">
        <v>18934</v>
      </c>
      <c r="AB2312" s="10" t="n">
        <v>-218</v>
      </c>
      <c r="AC2312" s="10" t="n">
        <v>-567</v>
      </c>
      <c r="AD2312" s="7" t="n">
        <v>26912</v>
      </c>
      <c r="AE2312" s="8" t="n">
        <v>-2975</v>
      </c>
      <c r="AF2312" s="8" t="n">
        <v>-2159</v>
      </c>
      <c r="AG2312" s="9" t="n">
        <v>17461</v>
      </c>
      <c r="AH2312" s="10" t="n">
        <v>-589</v>
      </c>
      <c r="AI2312" s="10" t="n">
        <v>-723</v>
      </c>
      <c r="AJ2312" s="11" t="n">
        <v>37647</v>
      </c>
      <c r="AK2312" s="12" t="n">
        <v>-2651</v>
      </c>
      <c r="AL2312" s="12" t="n">
        <v>-3159</v>
      </c>
      <c r="AM2312" s="13" t="n">
        <v>115.6</v>
      </c>
      <c r="AN2312" s="13" t="n">
        <v>50.6</v>
      </c>
      <c r="AO2312" s="13" t="n">
        <v>-350.1</v>
      </c>
      <c r="AP2312" s="13" t="n">
        <v>-1204.6</v>
      </c>
    </row>
    <row r="2313">
      <c r="A2313" s="5" t="inlineStr">
        <is>
          <t>성일하이텍</t>
        </is>
      </c>
      <c r="B2313" s="6" t="inlineStr">
        <is>
          <t>365340</t>
        </is>
      </c>
      <c r="C2313" s="6" t="inlineStr">
        <is>
          <t>연결</t>
        </is>
      </c>
      <c r="D2313" s="6" t="inlineStr">
        <is>
          <t>2026Q2</t>
        </is>
      </c>
      <c r="E2313" s="6" t="inlineStr"/>
      <c r="F2313" s="7" t="inlineStr"/>
      <c r="G2313" s="8" t="inlineStr"/>
      <c r="H2313" s="8" t="inlineStr"/>
      <c r="I2313" s="9" t="n">
        <v>33666</v>
      </c>
      <c r="J2313" s="10" t="n">
        <v>-13460</v>
      </c>
      <c r="K2313" s="10" t="n">
        <v>-10816</v>
      </c>
      <c r="L2313" s="7" t="n">
        <v>36486</v>
      </c>
      <c r="M2313" s="8" t="n">
        <v>-19026</v>
      </c>
      <c r="N2313" s="8" t="n">
        <v>-20972</v>
      </c>
      <c r="O2313" s="9" t="n">
        <v>31863</v>
      </c>
      <c r="P2313" s="10" t="n">
        <v>-13289</v>
      </c>
      <c r="Q2313" s="10" t="n">
        <v>-17658</v>
      </c>
      <c r="R2313" s="7" t="n">
        <v>34200</v>
      </c>
      <c r="S2313" s="8" t="n">
        <v>-25618</v>
      </c>
      <c r="T2313" s="8" t="n">
        <v>-63048</v>
      </c>
      <c r="U2313" s="9" t="n">
        <v>33371</v>
      </c>
      <c r="V2313" s="10" t="n">
        <v>-15479</v>
      </c>
      <c r="W2313" s="10" t="n">
        <v>-17154</v>
      </c>
      <c r="X2313" s="7" t="n">
        <v>64012</v>
      </c>
      <c r="Y2313" s="8" t="n">
        <v>-17429</v>
      </c>
      <c r="Z2313" s="8" t="n">
        <v>-34263</v>
      </c>
      <c r="AA2313" s="9" t="n">
        <v>43800</v>
      </c>
      <c r="AB2313" s="10" t="n">
        <v>-12286</v>
      </c>
      <c r="AC2313" s="10" t="n">
        <v>-15133</v>
      </c>
      <c r="AD2313" s="7" t="n">
        <v>53446</v>
      </c>
      <c r="AE2313" s="8" t="n">
        <v>-9340</v>
      </c>
      <c r="AF2313" s="8" t="n">
        <v>-13996</v>
      </c>
      <c r="AG2313" s="9" t="n">
        <v>60886</v>
      </c>
      <c r="AH2313" s="10" t="n">
        <v>-4</v>
      </c>
      <c r="AI2313" s="10" t="n">
        <v>-22805</v>
      </c>
      <c r="AJ2313" s="11" t="n">
        <v>76814</v>
      </c>
      <c r="AK2313" s="12" t="n">
        <v>6331</v>
      </c>
      <c r="AL2313" s="12" t="n">
        <v>9298</v>
      </c>
      <c r="AM2313" s="13" t="n">
        <v>26.2</v>
      </c>
      <c r="AN2313" s="13" t="n">
        <v>20</v>
      </c>
      <c r="AO2313" s="13" t="n">
        <v>158375</v>
      </c>
      <c r="AP2313" s="13" t="n">
        <v>136.3</v>
      </c>
    </row>
    <row r="2314">
      <c r="A2314" s="5" t="inlineStr">
        <is>
          <t>ESR켄달스퀘어리츠</t>
        </is>
      </c>
      <c r="B2314" s="6" t="inlineStr">
        <is>
          <t>365550</t>
        </is>
      </c>
      <c r="C2314" s="6" t="inlineStr">
        <is>
          <t>연결</t>
        </is>
      </c>
      <c r="D2314" s="6" t="inlineStr">
        <is>
          <t>2026Q2</t>
        </is>
      </c>
      <c r="E2314" s="6" t="inlineStr"/>
      <c r="F2314" s="7" t="inlineStr"/>
      <c r="G2314" s="8" t="inlineStr"/>
      <c r="H2314" s="8" t="inlineStr"/>
      <c r="I2314" s="9" t="inlineStr"/>
      <c r="J2314" s="10" t="inlineStr"/>
      <c r="K2314" s="10" t="inlineStr"/>
      <c r="L2314" s="7" t="n">
        <v>28147</v>
      </c>
      <c r="M2314" s="8" t="n">
        <v>11975</v>
      </c>
      <c r="N2314" s="8" t="n">
        <v>1006</v>
      </c>
      <c r="O2314" s="9" t="inlineStr"/>
      <c r="P2314" s="10" t="inlineStr"/>
      <c r="Q2314" s="10" t="inlineStr"/>
      <c r="R2314" s="7" t="inlineStr"/>
      <c r="S2314" s="8" t="inlineStr"/>
      <c r="T2314" s="8" t="inlineStr"/>
      <c r="U2314" s="9" t="inlineStr"/>
      <c r="V2314" s="10" t="inlineStr"/>
      <c r="W2314" s="10" t="inlineStr"/>
      <c r="X2314" s="7" t="n">
        <v>29119</v>
      </c>
      <c r="Y2314" s="8" t="n">
        <v>10931</v>
      </c>
      <c r="Z2314" s="8" t="n">
        <v>-6630</v>
      </c>
      <c r="AA2314" s="9" t="inlineStr"/>
      <c r="AB2314" s="10" t="inlineStr"/>
      <c r="AC2314" s="10" t="inlineStr"/>
      <c r="AD2314" s="7" t="inlineStr"/>
      <c r="AE2314" s="8" t="inlineStr"/>
      <c r="AF2314" s="8" t="inlineStr"/>
      <c r="AG2314" s="9" t="inlineStr"/>
      <c r="AH2314" s="10" t="inlineStr"/>
      <c r="AI2314" s="10" t="inlineStr"/>
      <c r="AJ2314" s="11" t="n">
        <v>32464</v>
      </c>
      <c r="AK2314" s="12" t="n">
        <v>16900</v>
      </c>
      <c r="AL2314" s="12" t="n">
        <v>5470</v>
      </c>
      <c r="AM2314" s="13" t="inlineStr"/>
      <c r="AN2314" s="13" t="n">
        <v>11.5</v>
      </c>
      <c r="AO2314" s="13" t="inlineStr"/>
      <c r="AP2314" s="13" t="n">
        <v>54.6</v>
      </c>
    </row>
    <row r="2315">
      <c r="A2315" s="5" t="inlineStr">
        <is>
          <t>하이딥</t>
        </is>
      </c>
      <c r="B2315" s="6" t="inlineStr">
        <is>
          <t>365590</t>
        </is>
      </c>
      <c r="C2315" s="6" t="inlineStr">
        <is>
          <t>별도</t>
        </is>
      </c>
      <c r="D2315" s="6" t="inlineStr">
        <is>
          <t>2026Q2</t>
        </is>
      </c>
      <c r="E2315" s="6" t="inlineStr"/>
      <c r="F2315" s="7" t="inlineStr"/>
      <c r="G2315" s="8" t="inlineStr"/>
      <c r="H2315" s="8" t="inlineStr"/>
      <c r="I2315" s="9" t="n">
        <v>2056</v>
      </c>
      <c r="J2315" s="10" t="n">
        <v>-1607</v>
      </c>
      <c r="K2315" s="10" t="n">
        <v>-1600</v>
      </c>
      <c r="L2315" s="7" t="n">
        <v>1566</v>
      </c>
      <c r="M2315" s="8" t="n">
        <v>-2444</v>
      </c>
      <c r="N2315" s="8" t="n">
        <v>-2920</v>
      </c>
      <c r="O2315" s="9" t="n">
        <v>891</v>
      </c>
      <c r="P2315" s="10" t="n">
        <v>-2660</v>
      </c>
      <c r="Q2315" s="10" t="n">
        <v>-2881</v>
      </c>
      <c r="R2315" s="7" t="n">
        <v>1377</v>
      </c>
      <c r="S2315" s="8" t="n">
        <v>-2410</v>
      </c>
      <c r="T2315" s="8" t="n">
        <v>-2036</v>
      </c>
      <c r="U2315" s="9" t="n">
        <v>1019</v>
      </c>
      <c r="V2315" s="10" t="n">
        <v>-2209</v>
      </c>
      <c r="W2315" s="10" t="n">
        <v>-2222</v>
      </c>
      <c r="X2315" s="7" t="n">
        <v>342</v>
      </c>
      <c r="Y2315" s="8" t="n">
        <v>-2306</v>
      </c>
      <c r="Z2315" s="8" t="n">
        <v>-2336</v>
      </c>
      <c r="AA2315" s="9" t="n">
        <v>193</v>
      </c>
      <c r="AB2315" s="10" t="n">
        <v>-2295</v>
      </c>
      <c r="AC2315" s="10" t="n">
        <v>-2511</v>
      </c>
      <c r="AD2315" s="7" t="n">
        <v>213</v>
      </c>
      <c r="AE2315" s="8" t="n">
        <v>-4924</v>
      </c>
      <c r="AF2315" s="8" t="n">
        <v>-7733</v>
      </c>
      <c r="AG2315" s="9" t="n">
        <v>22</v>
      </c>
      <c r="AH2315" s="10" t="n">
        <v>-2820</v>
      </c>
      <c r="AI2315" s="10" t="n">
        <v>-3135</v>
      </c>
      <c r="AJ2315" s="11" t="n">
        <v>25</v>
      </c>
      <c r="AK2315" s="12" t="n">
        <v>-2931</v>
      </c>
      <c r="AL2315" s="12" t="n">
        <v>-3654</v>
      </c>
      <c r="AM2315" s="13" t="n">
        <v>13.6</v>
      </c>
      <c r="AN2315" s="13" t="n">
        <v>-92.7</v>
      </c>
      <c r="AO2315" s="13" t="n">
        <v>-3.9</v>
      </c>
      <c r="AP2315" s="13" t="n">
        <v>-27.1</v>
      </c>
    </row>
    <row r="2316">
      <c r="A2316" s="5" t="inlineStr">
        <is>
          <t>레몬헬스케어</t>
        </is>
      </c>
      <c r="B2316" s="6" t="inlineStr">
        <is>
          <t>365660</t>
        </is>
      </c>
      <c r="C2316" s="6" t="inlineStr">
        <is>
          <t>별도</t>
        </is>
      </c>
      <c r="D2316" s="6" t="inlineStr">
        <is>
          <t>2026Q2</t>
        </is>
      </c>
      <c r="E2316" s="6" t="inlineStr"/>
      <c r="F2316" s="7" t="inlineStr"/>
      <c r="G2316" s="8" t="inlineStr"/>
      <c r="H2316" s="8" t="inlineStr"/>
      <c r="I2316" s="9" t="inlineStr"/>
      <c r="J2316" s="10" t="inlineStr"/>
      <c r="K2316" s="10" t="inlineStr"/>
      <c r="L2316" s="7" t="inlineStr"/>
      <c r="M2316" s="8" t="inlineStr"/>
      <c r="N2316" s="8" t="inlineStr"/>
      <c r="O2316" s="9" t="inlineStr"/>
      <c r="P2316" s="10" t="inlineStr"/>
      <c r="Q2316" s="10" t="inlineStr"/>
      <c r="R2316" s="7" t="inlineStr"/>
      <c r="S2316" s="8" t="inlineStr"/>
      <c r="T2316" s="8" t="inlineStr"/>
      <c r="U2316" s="9" t="inlineStr"/>
      <c r="V2316" s="10" t="inlineStr"/>
      <c r="W2316" s="10" t="inlineStr"/>
      <c r="X2316" s="7" t="inlineStr"/>
      <c r="Y2316" s="8" t="inlineStr"/>
      <c r="Z2316" s="8" t="inlineStr"/>
      <c r="AA2316" s="9" t="inlineStr"/>
      <c r="AB2316" s="10" t="inlineStr"/>
      <c r="AC2316" s="10" t="inlineStr"/>
      <c r="AD2316" s="7" t="inlineStr"/>
      <c r="AE2316" s="8" t="inlineStr"/>
      <c r="AF2316" s="8" t="inlineStr"/>
      <c r="AG2316" s="9" t="inlineStr"/>
      <c r="AH2316" s="10" t="inlineStr"/>
      <c r="AI2316" s="10" t="inlineStr"/>
      <c r="AJ2316" s="11" t="n">
        <v>2931</v>
      </c>
      <c r="AK2316" s="12" t="n">
        <v>-2127</v>
      </c>
      <c r="AL2316" s="12" t="n">
        <v>-2145</v>
      </c>
      <c r="AM2316" s="13" t="inlineStr"/>
      <c r="AN2316" s="13" t="inlineStr"/>
      <c r="AO2316" s="13" t="inlineStr"/>
      <c r="AP2316" s="13" t="inlineStr"/>
    </row>
    <row r="2317">
      <c r="A2317" s="5" t="inlineStr">
        <is>
          <t>브이씨</t>
        </is>
      </c>
      <c r="B2317" s="6" t="inlineStr">
        <is>
          <t>365900</t>
        </is>
      </c>
      <c r="C2317" s="6" t="inlineStr">
        <is>
          <t>연결</t>
        </is>
      </c>
      <c r="D2317" s="6" t="inlineStr">
        <is>
          <t>2026Q2</t>
        </is>
      </c>
      <c r="E2317" s="6" t="inlineStr"/>
      <c r="F2317" s="7" t="inlineStr"/>
      <c r="G2317" s="8" t="inlineStr"/>
      <c r="H2317" s="8" t="inlineStr"/>
      <c r="I2317" s="9" t="n">
        <v>8944</v>
      </c>
      <c r="J2317" s="10" t="n">
        <v>-2825</v>
      </c>
      <c r="K2317" s="10" t="n">
        <v>-2632</v>
      </c>
      <c r="L2317" s="7" t="n">
        <v>13759</v>
      </c>
      <c r="M2317" s="8" t="n">
        <v>-115</v>
      </c>
      <c r="N2317" s="8" t="n">
        <v>1123</v>
      </c>
      <c r="O2317" s="9" t="n">
        <v>11085</v>
      </c>
      <c r="P2317" s="10" t="n">
        <v>-560</v>
      </c>
      <c r="Q2317" s="10" t="n">
        <v>-1823</v>
      </c>
      <c r="R2317" s="7" t="n">
        <v>10349</v>
      </c>
      <c r="S2317" s="8" t="n">
        <v>-1242</v>
      </c>
      <c r="T2317" s="8" t="n">
        <v>-2807</v>
      </c>
      <c r="U2317" s="9" t="n">
        <v>10503</v>
      </c>
      <c r="V2317" s="10" t="n">
        <v>-1143</v>
      </c>
      <c r="W2317" s="10" t="n">
        <v>-1453</v>
      </c>
      <c r="X2317" s="7" t="n">
        <v>12362</v>
      </c>
      <c r="Y2317" s="8" t="n">
        <v>1206</v>
      </c>
      <c r="Z2317" s="8" t="n">
        <v>365</v>
      </c>
      <c r="AA2317" s="9" t="n">
        <v>12533</v>
      </c>
      <c r="AB2317" s="10" t="n">
        <v>-629</v>
      </c>
      <c r="AC2317" s="10" t="n">
        <v>-752</v>
      </c>
      <c r="AD2317" s="7" t="n">
        <v>11501</v>
      </c>
      <c r="AE2317" s="8" t="n">
        <v>-917</v>
      </c>
      <c r="AF2317" s="8" t="n">
        <v>-1363</v>
      </c>
      <c r="AG2317" s="9" t="n">
        <v>10807</v>
      </c>
      <c r="AH2317" s="10" t="n">
        <v>-472</v>
      </c>
      <c r="AI2317" s="10" t="n">
        <v>-568</v>
      </c>
      <c r="AJ2317" s="11" t="n">
        <v>17462</v>
      </c>
      <c r="AK2317" s="12" t="n">
        <v>2103</v>
      </c>
      <c r="AL2317" s="12" t="n">
        <v>1673</v>
      </c>
      <c r="AM2317" s="13" t="n">
        <v>61.6</v>
      </c>
      <c r="AN2317" s="13" t="n">
        <v>41.3</v>
      </c>
      <c r="AO2317" s="13" t="n">
        <v>545.6</v>
      </c>
      <c r="AP2317" s="13" t="n">
        <v>74.40000000000001</v>
      </c>
    </row>
    <row r="2318">
      <c r="A2318" s="5" t="inlineStr">
        <is>
          <t>나인앤컴퍼니</t>
        </is>
      </c>
      <c r="B2318" s="6" t="inlineStr">
        <is>
          <t>366030</t>
        </is>
      </c>
      <c r="C2318" s="6" t="inlineStr">
        <is>
          <t>연결</t>
        </is>
      </c>
      <c r="D2318" s="6" t="inlineStr">
        <is>
          <t>2026Q2</t>
        </is>
      </c>
      <c r="E2318" s="6" t="inlineStr"/>
      <c r="F2318" s="7" t="inlineStr"/>
      <c r="G2318" s="8" t="inlineStr"/>
      <c r="H2318" s="8" t="inlineStr"/>
      <c r="I2318" s="9" t="n">
        <v>10004</v>
      </c>
      <c r="J2318" s="10" t="n">
        <v>1768</v>
      </c>
      <c r="K2318" s="10" t="n">
        <v>1742</v>
      </c>
      <c r="L2318" s="7" t="n">
        <v>15456</v>
      </c>
      <c r="M2318" s="8" t="n">
        <v>3144</v>
      </c>
      <c r="N2318" s="8" t="n">
        <v>2835</v>
      </c>
      <c r="O2318" s="9" t="n">
        <v>10627</v>
      </c>
      <c r="P2318" s="10" t="n">
        <v>1263</v>
      </c>
      <c r="Q2318" s="10" t="n">
        <v>1236</v>
      </c>
      <c r="R2318" s="7" t="n">
        <v>13773</v>
      </c>
      <c r="S2318" s="8" t="n">
        <v>1927</v>
      </c>
      <c r="T2318" s="8" t="n">
        <v>1865</v>
      </c>
      <c r="U2318" s="9" t="n">
        <v>8843</v>
      </c>
      <c r="V2318" s="10" t="n">
        <v>1188</v>
      </c>
      <c r="W2318" s="10" t="n">
        <v>1279</v>
      </c>
      <c r="X2318" s="7" t="n">
        <v>13444</v>
      </c>
      <c r="Y2318" s="8" t="n">
        <v>2417</v>
      </c>
      <c r="Z2318" s="8" t="n">
        <v>2062</v>
      </c>
      <c r="AA2318" s="9" t="n">
        <v>9931</v>
      </c>
      <c r="AB2318" s="10" t="n">
        <v>1268</v>
      </c>
      <c r="AC2318" s="10" t="n">
        <v>1567</v>
      </c>
      <c r="AD2318" s="7" t="n">
        <v>12826</v>
      </c>
      <c r="AE2318" s="8" t="n">
        <v>1932</v>
      </c>
      <c r="AF2318" s="8" t="n">
        <v>2496</v>
      </c>
      <c r="AG2318" s="9" t="n">
        <v>8301</v>
      </c>
      <c r="AH2318" s="10" t="n">
        <v>839</v>
      </c>
      <c r="AI2318" s="10" t="n">
        <v>4672</v>
      </c>
      <c r="AJ2318" s="11" t="n">
        <v>14132</v>
      </c>
      <c r="AK2318" s="12" t="n">
        <v>1893</v>
      </c>
      <c r="AL2318" s="12" t="n">
        <v>8017</v>
      </c>
      <c r="AM2318" s="13" t="n">
        <v>70.2</v>
      </c>
      <c r="AN2318" s="13" t="n">
        <v>5.1</v>
      </c>
      <c r="AO2318" s="13" t="n">
        <v>125.6</v>
      </c>
      <c r="AP2318" s="13" t="n">
        <v>-21.7</v>
      </c>
    </row>
    <row r="2319">
      <c r="A2319" s="5" t="inlineStr">
        <is>
          <t>플래티어</t>
        </is>
      </c>
      <c r="B2319" s="6" t="inlineStr">
        <is>
          <t>367000</t>
        </is>
      </c>
      <c r="C2319" s="6" t="inlineStr">
        <is>
          <t>연결</t>
        </is>
      </c>
      <c r="D2319" s="6" t="inlineStr">
        <is>
          <t>2026Q2</t>
        </is>
      </c>
      <c r="E2319" s="6" t="inlineStr"/>
      <c r="F2319" s="7" t="inlineStr"/>
      <c r="G2319" s="8" t="inlineStr"/>
      <c r="H2319" s="8" t="inlineStr"/>
      <c r="I2319" s="9" t="n">
        <v>7757</v>
      </c>
      <c r="J2319" s="10" t="n">
        <v>-624</v>
      </c>
      <c r="K2319" s="10" t="n">
        <v>-482</v>
      </c>
      <c r="L2319" s="7" t="n">
        <v>7275</v>
      </c>
      <c r="M2319" s="8" t="n">
        <v>-2921</v>
      </c>
      <c r="N2319" s="8" t="n">
        <v>-1977</v>
      </c>
      <c r="O2319" s="9" t="n">
        <v>7770</v>
      </c>
      <c r="P2319" s="10" t="n">
        <v>-2213</v>
      </c>
      <c r="Q2319" s="10" t="n">
        <v>-1986</v>
      </c>
      <c r="R2319" s="7" t="n">
        <v>6996</v>
      </c>
      <c r="S2319" s="8" t="n">
        <v>-1217</v>
      </c>
      <c r="T2319" s="8" t="n">
        <v>-1195</v>
      </c>
      <c r="U2319" s="9" t="n">
        <v>7814</v>
      </c>
      <c r="V2319" s="10" t="n">
        <v>-1955</v>
      </c>
      <c r="W2319" s="10" t="n">
        <v>-1776</v>
      </c>
      <c r="X2319" s="7" t="n">
        <v>9799</v>
      </c>
      <c r="Y2319" s="8" t="n">
        <v>-1785</v>
      </c>
      <c r="Z2319" s="8" t="n">
        <v>-1707</v>
      </c>
      <c r="AA2319" s="9" t="n">
        <v>9110</v>
      </c>
      <c r="AB2319" s="10" t="n">
        <v>-2288</v>
      </c>
      <c r="AC2319" s="10" t="n">
        <v>-2328</v>
      </c>
      <c r="AD2319" s="7" t="n">
        <v>12132</v>
      </c>
      <c r="AE2319" s="8" t="n">
        <v>1629</v>
      </c>
      <c r="AF2319" s="8" t="n">
        <v>1519</v>
      </c>
      <c r="AG2319" s="9" t="n">
        <v>8608</v>
      </c>
      <c r="AH2319" s="10" t="n">
        <v>-1386</v>
      </c>
      <c r="AI2319" s="10" t="n">
        <v>-1181</v>
      </c>
      <c r="AJ2319" s="11" t="n">
        <v>10368</v>
      </c>
      <c r="AK2319" s="12" t="n">
        <v>362</v>
      </c>
      <c r="AL2319" s="12" t="n">
        <v>308</v>
      </c>
      <c r="AM2319" s="13" t="n">
        <v>20.4</v>
      </c>
      <c r="AN2319" s="13" t="n">
        <v>5.8</v>
      </c>
      <c r="AO2319" s="13" t="n">
        <v>126.1</v>
      </c>
      <c r="AP2319" s="13" t="n">
        <v>120.3</v>
      </c>
    </row>
    <row r="2320">
      <c r="A2320" s="5" t="inlineStr">
        <is>
          <t>아이씨에이치</t>
        </is>
      </c>
      <c r="B2320" s="6" t="inlineStr">
        <is>
          <t>368600</t>
        </is>
      </c>
      <c r="C2320" s="6" t="inlineStr">
        <is>
          <t>연결</t>
        </is>
      </c>
      <c r="D2320" s="6" t="inlineStr">
        <is>
          <t>2026Q2</t>
        </is>
      </c>
      <c r="E2320" s="6" t="inlineStr"/>
      <c r="F2320" s="7" t="inlineStr"/>
      <c r="G2320" s="8" t="inlineStr"/>
      <c r="H2320" s="8" t="inlineStr"/>
      <c r="I2320" s="9" t="n">
        <v>18403</v>
      </c>
      <c r="J2320" s="10" t="n">
        <v>2126</v>
      </c>
      <c r="K2320" s="10" t="n">
        <v>1304</v>
      </c>
      <c r="L2320" s="7" t="n">
        <v>14247</v>
      </c>
      <c r="M2320" s="8" t="n">
        <v>-2808</v>
      </c>
      <c r="N2320" s="8" t="n">
        <v>-1583</v>
      </c>
      <c r="O2320" s="9" t="n">
        <v>16971</v>
      </c>
      <c r="P2320" s="10" t="n">
        <v>-673</v>
      </c>
      <c r="Q2320" s="10" t="n">
        <v>-1584</v>
      </c>
      <c r="R2320" s="7" t="n">
        <v>14947</v>
      </c>
      <c r="S2320" s="8" t="n">
        <v>-1875</v>
      </c>
      <c r="T2320" s="8" t="n">
        <v>-10978</v>
      </c>
      <c r="U2320" s="9" t="n">
        <v>10540</v>
      </c>
      <c r="V2320" s="10" t="n">
        <v>-4425</v>
      </c>
      <c r="W2320" s="10" t="n">
        <v>-6641</v>
      </c>
      <c r="X2320" s="7" t="n">
        <v>11862</v>
      </c>
      <c r="Y2320" s="8" t="n">
        <v>-3305</v>
      </c>
      <c r="Z2320" s="8" t="n">
        <v>-5204</v>
      </c>
      <c r="AA2320" s="9" t="n">
        <v>12528</v>
      </c>
      <c r="AB2320" s="10" t="n">
        <v>-3777</v>
      </c>
      <c r="AC2320" s="10" t="n">
        <v>-4902</v>
      </c>
      <c r="AD2320" s="7" t="n">
        <v>11922</v>
      </c>
      <c r="AE2320" s="8" t="n">
        <v>-2985</v>
      </c>
      <c r="AF2320" s="8" t="n">
        <v>-7957</v>
      </c>
      <c r="AG2320" s="9" t="n">
        <v>10648</v>
      </c>
      <c r="AH2320" s="10" t="n">
        <v>726</v>
      </c>
      <c r="AI2320" s="10" t="n">
        <v>127</v>
      </c>
      <c r="AJ2320" s="11" t="n">
        <v>12573</v>
      </c>
      <c r="AK2320" s="12" t="n">
        <v>-2024</v>
      </c>
      <c r="AL2320" s="12" t="n">
        <v>-3263</v>
      </c>
      <c r="AM2320" s="13" t="n">
        <v>18.1</v>
      </c>
      <c r="AN2320" s="13" t="n">
        <v>6</v>
      </c>
      <c r="AO2320" s="13" t="n">
        <v>-378.8</v>
      </c>
      <c r="AP2320" s="13" t="n">
        <v>38.8</v>
      </c>
    </row>
    <row r="2321">
      <c r="A2321" s="5" t="inlineStr">
        <is>
          <t>파이버프로</t>
        </is>
      </c>
      <c r="B2321" s="6" t="inlineStr">
        <is>
          <t>368770</t>
        </is>
      </c>
      <c r="C2321" s="6" t="inlineStr">
        <is>
          <t>연결</t>
        </is>
      </c>
      <c r="D2321" s="6" t="inlineStr">
        <is>
          <t>2026Q2</t>
        </is>
      </c>
      <c r="E2321" s="6" t="inlineStr"/>
      <c r="F2321" s="7" t="inlineStr"/>
      <c r="G2321" s="8" t="inlineStr"/>
      <c r="H2321" s="8" t="inlineStr"/>
      <c r="I2321" s="9" t="n">
        <v>5870</v>
      </c>
      <c r="J2321" s="10" t="n">
        <v>987</v>
      </c>
      <c r="K2321" s="10" t="n">
        <v>1218</v>
      </c>
      <c r="L2321" s="7" t="n">
        <v>10778</v>
      </c>
      <c r="M2321" s="8" t="n">
        <v>2765</v>
      </c>
      <c r="N2321" s="8" t="n">
        <v>2720</v>
      </c>
      <c r="O2321" s="9" t="n">
        <v>6615</v>
      </c>
      <c r="P2321" s="10" t="n">
        <v>921</v>
      </c>
      <c r="Q2321" s="10" t="n">
        <v>601</v>
      </c>
      <c r="R2321" s="7" t="n">
        <v>9681</v>
      </c>
      <c r="S2321" s="8" t="n">
        <v>2534</v>
      </c>
      <c r="T2321" s="8" t="n">
        <v>2613</v>
      </c>
      <c r="U2321" s="9" t="n">
        <v>7116</v>
      </c>
      <c r="V2321" s="10" t="n">
        <v>1242</v>
      </c>
      <c r="W2321" s="10" t="n">
        <v>1361</v>
      </c>
      <c r="X2321" s="7" t="n">
        <v>10370</v>
      </c>
      <c r="Y2321" s="8" t="n">
        <v>2075</v>
      </c>
      <c r="Z2321" s="8" t="n">
        <v>1568</v>
      </c>
      <c r="AA2321" s="9" t="n">
        <v>13759</v>
      </c>
      <c r="AB2321" s="10" t="n">
        <v>3825</v>
      </c>
      <c r="AC2321" s="10" t="n">
        <v>3544</v>
      </c>
      <c r="AD2321" s="7" t="n">
        <v>12227</v>
      </c>
      <c r="AE2321" s="8" t="n">
        <v>2975</v>
      </c>
      <c r="AF2321" s="8" t="n">
        <v>2836</v>
      </c>
      <c r="AG2321" s="9" t="n">
        <v>14277</v>
      </c>
      <c r="AH2321" s="10" t="n">
        <v>4755</v>
      </c>
      <c r="AI2321" s="10" t="n">
        <v>4770</v>
      </c>
      <c r="AJ2321" s="11" t="n">
        <v>13339</v>
      </c>
      <c r="AK2321" s="12" t="n">
        <v>2699</v>
      </c>
      <c r="AL2321" s="12" t="n">
        <v>2361</v>
      </c>
      <c r="AM2321" s="13" t="n">
        <v>-6.6</v>
      </c>
      <c r="AN2321" s="13" t="n">
        <v>28.6</v>
      </c>
      <c r="AO2321" s="13" t="n">
        <v>-43.2</v>
      </c>
      <c r="AP2321" s="13" t="n">
        <v>30.1</v>
      </c>
    </row>
    <row r="2322">
      <c r="A2322" s="5" t="inlineStr">
        <is>
          <t>오에스피</t>
        </is>
      </c>
      <c r="B2322" s="6" t="inlineStr">
        <is>
          <t>368970</t>
        </is>
      </c>
      <c r="C2322" s="6" t="inlineStr">
        <is>
          <t>연결</t>
        </is>
      </c>
      <c r="D2322" s="6" t="inlineStr">
        <is>
          <t>2026Q2</t>
        </is>
      </c>
      <c r="E2322" s="6" t="inlineStr"/>
      <c r="F2322" s="7" t="inlineStr"/>
      <c r="G2322" s="8" t="inlineStr"/>
      <c r="H2322" s="8" t="inlineStr"/>
      <c r="I2322" s="9" t="n">
        <v>10122</v>
      </c>
      <c r="J2322" s="10" t="n">
        <v>616</v>
      </c>
      <c r="K2322" s="10" t="n">
        <v>632</v>
      </c>
      <c r="L2322" s="7" t="n">
        <v>7544</v>
      </c>
      <c r="M2322" s="8" t="n">
        <v>486</v>
      </c>
      <c r="N2322" s="8" t="n">
        <v>2460</v>
      </c>
      <c r="O2322" s="9" t="n">
        <v>6104</v>
      </c>
      <c r="P2322" s="10" t="n">
        <v>-758</v>
      </c>
      <c r="Q2322" s="10" t="n">
        <v>-906</v>
      </c>
      <c r="R2322" s="7" t="n">
        <v>6539</v>
      </c>
      <c r="S2322" s="8" t="n">
        <v>-403</v>
      </c>
      <c r="T2322" s="8" t="n">
        <v>468</v>
      </c>
      <c r="U2322" s="9" t="n">
        <v>6421</v>
      </c>
      <c r="V2322" s="10" t="n">
        <v>-480</v>
      </c>
      <c r="W2322" s="10" t="n">
        <v>-392</v>
      </c>
      <c r="X2322" s="7" t="n">
        <v>5957</v>
      </c>
      <c r="Y2322" s="8" t="n">
        <v>-304</v>
      </c>
      <c r="Z2322" s="8" t="n">
        <v>-826</v>
      </c>
      <c r="AA2322" s="9" t="n">
        <v>6449</v>
      </c>
      <c r="AB2322" s="10" t="n">
        <v>-491</v>
      </c>
      <c r="AC2322" s="10" t="n">
        <v>-706</v>
      </c>
      <c r="AD2322" s="7" t="n">
        <v>6560</v>
      </c>
      <c r="AE2322" s="8" t="n">
        <v>-1</v>
      </c>
      <c r="AF2322" s="8" t="n">
        <v>-1354</v>
      </c>
      <c r="AG2322" s="9" t="n">
        <v>7195</v>
      </c>
      <c r="AH2322" s="10" t="n">
        <v>454</v>
      </c>
      <c r="AI2322" s="10" t="n">
        <v>-250</v>
      </c>
      <c r="AJ2322" s="11" t="n">
        <v>6945</v>
      </c>
      <c r="AK2322" s="12" t="n">
        <v>474</v>
      </c>
      <c r="AL2322" s="12" t="n">
        <v>481</v>
      </c>
      <c r="AM2322" s="13" t="n">
        <v>-3.5</v>
      </c>
      <c r="AN2322" s="13" t="n">
        <v>16.6</v>
      </c>
      <c r="AO2322" s="13" t="n">
        <v>4.4</v>
      </c>
      <c r="AP2322" s="13" t="n">
        <v>255.9</v>
      </c>
    </row>
    <row r="2323">
      <c r="A2323" s="5" t="inlineStr">
        <is>
          <t>블리츠웨이엔터테인먼트</t>
        </is>
      </c>
      <c r="B2323" s="6" t="inlineStr">
        <is>
          <t>369370</t>
        </is>
      </c>
      <c r="C2323" s="6" t="inlineStr">
        <is>
          <t>연결</t>
        </is>
      </c>
      <c r="D2323" s="6" t="inlineStr">
        <is>
          <t>2026Q2</t>
        </is>
      </c>
      <c r="E2323" s="6" t="inlineStr"/>
      <c r="F2323" s="7" t="inlineStr"/>
      <c r="G2323" s="8" t="inlineStr"/>
      <c r="H2323" s="8" t="inlineStr"/>
      <c r="I2323" s="9" t="n">
        <v>4678</v>
      </c>
      <c r="J2323" s="10" t="n">
        <v>-1176</v>
      </c>
      <c r="K2323" s="10" t="n">
        <v>-874</v>
      </c>
      <c r="L2323" s="7" t="n">
        <v>11120</v>
      </c>
      <c r="M2323" s="8" t="n">
        <v>-2234</v>
      </c>
      <c r="N2323" s="8" t="n">
        <v>-3169</v>
      </c>
      <c r="O2323" s="9" t="n">
        <v>10776</v>
      </c>
      <c r="P2323" s="10" t="n">
        <v>-1387</v>
      </c>
      <c r="Q2323" s="10" t="n">
        <v>-1454</v>
      </c>
      <c r="R2323" s="7" t="inlineStr"/>
      <c r="S2323" s="8" t="n">
        <v>-1824</v>
      </c>
      <c r="T2323" s="8" t="n">
        <v>-2531</v>
      </c>
      <c r="U2323" s="9" t="n">
        <v>6890</v>
      </c>
      <c r="V2323" s="10" t="n">
        <v>-1338</v>
      </c>
      <c r="W2323" s="10" t="n">
        <v>-1367</v>
      </c>
      <c r="X2323" s="7" t="n">
        <v>7152</v>
      </c>
      <c r="Y2323" s="8" t="n">
        <v>-2558</v>
      </c>
      <c r="Z2323" s="8" t="n">
        <v>-4700</v>
      </c>
      <c r="AA2323" s="9" t="n">
        <v>7529</v>
      </c>
      <c r="AB2323" s="10" t="n">
        <v>-2185</v>
      </c>
      <c r="AC2323" s="10" t="n">
        <v>-2222</v>
      </c>
      <c r="AD2323" s="7" t="n">
        <v>8634</v>
      </c>
      <c r="AE2323" s="8" t="n">
        <v>-2968</v>
      </c>
      <c r="AF2323" s="8" t="n">
        <v>-5157</v>
      </c>
      <c r="AG2323" s="9" t="n">
        <v>7123</v>
      </c>
      <c r="AH2323" s="10" t="n">
        <v>-2382</v>
      </c>
      <c r="AI2323" s="10" t="n">
        <v>-2180</v>
      </c>
      <c r="AJ2323" s="11" t="inlineStr"/>
      <c r="AK2323" s="12" t="n">
        <v>-1058</v>
      </c>
      <c r="AL2323" s="12" t="n">
        <v>-999</v>
      </c>
      <c r="AM2323" s="13" t="inlineStr"/>
      <c r="AN2323" s="13" t="inlineStr"/>
      <c r="AO2323" s="13" t="n">
        <v>55.6</v>
      </c>
      <c r="AP2323" s="13" t="n">
        <v>58.6</v>
      </c>
    </row>
    <row r="2324">
      <c r="A2324" s="5" t="inlineStr">
        <is>
          <t>퓨런티어</t>
        </is>
      </c>
      <c r="B2324" s="6" t="inlineStr">
        <is>
          <t>370090</t>
        </is>
      </c>
      <c r="C2324" s="6" t="inlineStr">
        <is>
          <t>별도</t>
        </is>
      </c>
      <c r="D2324" s="6" t="inlineStr">
        <is>
          <t>2026Q2</t>
        </is>
      </c>
      <c r="E2324" s="6" t="inlineStr"/>
      <c r="F2324" s="7" t="inlineStr"/>
      <c r="G2324" s="8" t="inlineStr"/>
      <c r="H2324" s="8" t="inlineStr"/>
      <c r="I2324" s="9" t="n">
        <v>9824</v>
      </c>
      <c r="J2324" s="10" t="n">
        <v>34</v>
      </c>
      <c r="K2324" s="10" t="n">
        <v>897</v>
      </c>
      <c r="L2324" s="7" t="n">
        <v>10023</v>
      </c>
      <c r="M2324" s="8" t="n">
        <v>2937</v>
      </c>
      <c r="N2324" s="8" t="n">
        <v>2874</v>
      </c>
      <c r="O2324" s="9" t="n">
        <v>3023</v>
      </c>
      <c r="P2324" s="10" t="n">
        <v>-2858</v>
      </c>
      <c r="Q2324" s="10" t="n">
        <v>-2749</v>
      </c>
      <c r="R2324" s="7" t="n">
        <v>2471</v>
      </c>
      <c r="S2324" s="8" t="n">
        <v>-3864</v>
      </c>
      <c r="T2324" s="8" t="n">
        <v>-959</v>
      </c>
      <c r="U2324" s="9" t="n">
        <v>1968</v>
      </c>
      <c r="V2324" s="10" t="n">
        <v>-2076</v>
      </c>
      <c r="W2324" s="10" t="n">
        <v>-1382</v>
      </c>
      <c r="X2324" s="7" t="n">
        <v>5210</v>
      </c>
      <c r="Y2324" s="8" t="n">
        <v>-1388</v>
      </c>
      <c r="Z2324" s="8" t="n">
        <v>-1020</v>
      </c>
      <c r="AA2324" s="9" t="n">
        <v>1914</v>
      </c>
      <c r="AB2324" s="10" t="n">
        <v>-1981</v>
      </c>
      <c r="AC2324" s="10" t="n">
        <v>-1338</v>
      </c>
      <c r="AD2324" s="7" t="n">
        <v>3052</v>
      </c>
      <c r="AE2324" s="8" t="n">
        <v>-1718</v>
      </c>
      <c r="AF2324" s="8" t="n">
        <v>-2414</v>
      </c>
      <c r="AG2324" s="9" t="n">
        <v>3381</v>
      </c>
      <c r="AH2324" s="10" t="n">
        <v>-1435</v>
      </c>
      <c r="AI2324" s="10" t="n">
        <v>-1127</v>
      </c>
      <c r="AJ2324" s="11" t="n">
        <v>8628</v>
      </c>
      <c r="AK2324" s="12" t="n">
        <v>-494</v>
      </c>
      <c r="AL2324" s="12" t="n">
        <v>-135</v>
      </c>
      <c r="AM2324" s="13" t="n">
        <v>155.2</v>
      </c>
      <c r="AN2324" s="13" t="n">
        <v>65.59999999999999</v>
      </c>
      <c r="AO2324" s="13" t="n">
        <v>65.59999999999999</v>
      </c>
      <c r="AP2324" s="13" t="n">
        <v>64.40000000000001</v>
      </c>
    </row>
    <row r="2325">
      <c r="A2325" s="5" t="inlineStr">
        <is>
          <t>풍원정밀</t>
        </is>
      </c>
      <c r="B2325" s="6" t="inlineStr">
        <is>
          <t>371950</t>
        </is>
      </c>
      <c r="C2325" s="6" t="inlineStr">
        <is>
          <t>연결</t>
        </is>
      </c>
      <c r="D2325" s="6" t="inlineStr">
        <is>
          <t>2026Q2</t>
        </is>
      </c>
      <c r="E2325" s="6" t="inlineStr"/>
      <c r="F2325" s="7" t="inlineStr"/>
      <c r="G2325" s="8" t="inlineStr"/>
      <c r="H2325" s="8" t="inlineStr"/>
      <c r="I2325" s="9" t="n">
        <v>12802</v>
      </c>
      <c r="J2325" s="10" t="n">
        <v>-3607</v>
      </c>
      <c r="K2325" s="10" t="n">
        <v>-5799</v>
      </c>
      <c r="L2325" s="7" t="n">
        <v>19173</v>
      </c>
      <c r="M2325" s="8" t="n">
        <v>-4304</v>
      </c>
      <c r="N2325" s="8" t="n">
        <v>-22505</v>
      </c>
      <c r="O2325" s="9" t="n">
        <v>8435</v>
      </c>
      <c r="P2325" s="10" t="n">
        <v>-3407</v>
      </c>
      <c r="Q2325" s="10" t="n">
        <v>-418</v>
      </c>
      <c r="R2325" s="7" t="n">
        <v>8853</v>
      </c>
      <c r="S2325" s="8" t="n">
        <v>-6930</v>
      </c>
      <c r="T2325" s="8" t="n">
        <v>-1410</v>
      </c>
      <c r="U2325" s="9" t="n">
        <v>4569</v>
      </c>
      <c r="V2325" s="10" t="n">
        <v>-5011</v>
      </c>
      <c r="W2325" s="10" t="n">
        <v>-5872</v>
      </c>
      <c r="X2325" s="7" t="n">
        <v>10027</v>
      </c>
      <c r="Y2325" s="8" t="n">
        <v>-2573</v>
      </c>
      <c r="Z2325" s="8" t="n">
        <v>-3432</v>
      </c>
      <c r="AA2325" s="9" t="n">
        <v>7718</v>
      </c>
      <c r="AB2325" s="10" t="n">
        <v>-4461</v>
      </c>
      <c r="AC2325" s="10" t="n">
        <v>-6283</v>
      </c>
      <c r="AD2325" s="7" t="n">
        <v>10049</v>
      </c>
      <c r="AE2325" s="8" t="n">
        <v>-7889</v>
      </c>
      <c r="AF2325" s="8" t="n">
        <v>-7996</v>
      </c>
      <c r="AG2325" s="9" t="n">
        <v>8988</v>
      </c>
      <c r="AH2325" s="10" t="n">
        <v>-3008</v>
      </c>
      <c r="AI2325" s="10" t="n">
        <v>-3976</v>
      </c>
      <c r="AJ2325" s="11" t="n">
        <v>10201</v>
      </c>
      <c r="AK2325" s="12" t="n">
        <v>-4544</v>
      </c>
      <c r="AL2325" s="12" t="n">
        <v>-4008</v>
      </c>
      <c r="AM2325" s="13" t="n">
        <v>13.5</v>
      </c>
      <c r="AN2325" s="13" t="n">
        <v>1.7</v>
      </c>
      <c r="AO2325" s="13" t="n">
        <v>-51.1</v>
      </c>
      <c r="AP2325" s="13" t="n">
        <v>-76.59999999999999</v>
      </c>
    </row>
    <row r="2326">
      <c r="A2326" s="5" t="inlineStr">
        <is>
          <t>윤성에프앤씨</t>
        </is>
      </c>
      <c r="B2326" s="6" t="inlineStr">
        <is>
          <t>372170</t>
        </is>
      </c>
      <c r="C2326" s="6" t="inlineStr">
        <is>
          <t>연결</t>
        </is>
      </c>
      <c r="D2326" s="6" t="inlineStr">
        <is>
          <t>2026Q2</t>
        </is>
      </c>
      <c r="E2326" s="6" t="inlineStr"/>
      <c r="F2326" s="7" t="inlineStr"/>
      <c r="G2326" s="8" t="inlineStr"/>
      <c r="H2326" s="8" t="inlineStr"/>
      <c r="I2326" s="9" t="n">
        <v>90326</v>
      </c>
      <c r="J2326" s="10" t="n">
        <v>9393</v>
      </c>
      <c r="K2326" s="10" t="n">
        <v>12955</v>
      </c>
      <c r="L2326" s="7" t="n">
        <v>68327</v>
      </c>
      <c r="M2326" s="8" t="n">
        <v>8055</v>
      </c>
      <c r="N2326" s="8" t="n">
        <v>8910</v>
      </c>
      <c r="O2326" s="9" t="n">
        <v>35980</v>
      </c>
      <c r="P2326" s="10" t="n">
        <v>864</v>
      </c>
      <c r="Q2326" s="10" t="n">
        <v>-2769</v>
      </c>
      <c r="R2326" s="7" t="n">
        <v>76700</v>
      </c>
      <c r="S2326" s="8" t="n">
        <v>13602</v>
      </c>
      <c r="T2326" s="8" t="n">
        <v>17998</v>
      </c>
      <c r="U2326" s="9" t="n">
        <v>29796</v>
      </c>
      <c r="V2326" s="10" t="n">
        <v>-591</v>
      </c>
      <c r="W2326" s="10" t="n">
        <v>571</v>
      </c>
      <c r="X2326" s="7" t="n">
        <v>28904</v>
      </c>
      <c r="Y2326" s="8" t="n">
        <v>-5611</v>
      </c>
      <c r="Z2326" s="8" t="n">
        <v>-9447</v>
      </c>
      <c r="AA2326" s="9" t="n">
        <v>16380</v>
      </c>
      <c r="AB2326" s="10" t="n">
        <v>-10855</v>
      </c>
      <c r="AC2326" s="10" t="n">
        <v>-8148</v>
      </c>
      <c r="AD2326" s="7" t="n">
        <v>25095</v>
      </c>
      <c r="AE2326" s="8" t="n">
        <v>-14585</v>
      </c>
      <c r="AF2326" s="8" t="n">
        <v>-2136</v>
      </c>
      <c r="AG2326" s="9" t="n">
        <v>21913</v>
      </c>
      <c r="AH2326" s="10" t="n">
        <v>-1482</v>
      </c>
      <c r="AI2326" s="10" t="n">
        <v>976</v>
      </c>
      <c r="AJ2326" s="11" t="n">
        <v>59822</v>
      </c>
      <c r="AK2326" s="12" t="n">
        <v>17074</v>
      </c>
      <c r="AL2326" s="12" t="n">
        <v>15990</v>
      </c>
      <c r="AM2326" s="13" t="n">
        <v>173</v>
      </c>
      <c r="AN2326" s="13" t="n">
        <v>107</v>
      </c>
      <c r="AO2326" s="13" t="n">
        <v>1252.1</v>
      </c>
      <c r="AP2326" s="13" t="n">
        <v>404.3</v>
      </c>
    </row>
    <row r="2327">
      <c r="A2327" s="5" t="inlineStr">
        <is>
          <t>큐로셀</t>
        </is>
      </c>
      <c r="B2327" s="6" t="inlineStr">
        <is>
          <t>372320</t>
        </is>
      </c>
      <c r="C2327" s="6" t="inlineStr">
        <is>
          <t>연결</t>
        </is>
      </c>
      <c r="D2327" s="6" t="inlineStr">
        <is>
          <t>2026Q2</t>
        </is>
      </c>
      <c r="E2327" s="6" t="inlineStr"/>
      <c r="F2327" s="7" t="inlineStr"/>
      <c r="G2327" s="8" t="inlineStr"/>
      <c r="H2327" s="8" t="inlineStr"/>
      <c r="I2327" s="9" t="n">
        <v>0</v>
      </c>
      <c r="J2327" s="10" t="n">
        <v>-9007</v>
      </c>
      <c r="K2327" s="10" t="n">
        <v>-9547</v>
      </c>
      <c r="L2327" s="7" t="n">
        <v>0</v>
      </c>
      <c r="M2327" s="8" t="n">
        <v>-7535</v>
      </c>
      <c r="N2327" s="8" t="n">
        <v>-7800</v>
      </c>
      <c r="O2327" s="9" t="n">
        <v>0</v>
      </c>
      <c r="P2327" s="10" t="n">
        <v>-10037</v>
      </c>
      <c r="Q2327" s="10" t="n">
        <v>-10410</v>
      </c>
      <c r="R2327" s="7" t="n">
        <v>0</v>
      </c>
      <c r="S2327" s="8" t="n">
        <v>-10045</v>
      </c>
      <c r="T2327" s="8" t="n">
        <v>-10482</v>
      </c>
      <c r="U2327" s="9" t="n">
        <v>0</v>
      </c>
      <c r="V2327" s="10" t="n">
        <v>-6243</v>
      </c>
      <c r="W2327" s="10" t="n">
        <v>-6779</v>
      </c>
      <c r="X2327" s="7" t="n">
        <v>0</v>
      </c>
      <c r="Y2327" s="8" t="n">
        <v>-12150</v>
      </c>
      <c r="Z2327" s="8" t="n">
        <v>-11768</v>
      </c>
      <c r="AA2327" s="9" t="n">
        <v>0</v>
      </c>
      <c r="AB2327" s="10" t="n">
        <v>-9189</v>
      </c>
      <c r="AC2327" s="10" t="n">
        <v>-10229</v>
      </c>
      <c r="AD2327" s="7" t="n">
        <v>0</v>
      </c>
      <c r="AE2327" s="8" t="n">
        <v>-8708</v>
      </c>
      <c r="AF2327" s="8" t="n">
        <v>-17529</v>
      </c>
      <c r="AG2327" s="9" t="n">
        <v>0</v>
      </c>
      <c r="AH2327" s="10" t="n">
        <v>-7799</v>
      </c>
      <c r="AI2327" s="10" t="n">
        <v>-8676</v>
      </c>
      <c r="AJ2327" s="11" t="n">
        <v>0</v>
      </c>
      <c r="AK2327" s="12" t="n">
        <v>-9739</v>
      </c>
      <c r="AL2327" s="12" t="n">
        <v>-17647</v>
      </c>
      <c r="AM2327" s="13" t="inlineStr"/>
      <c r="AN2327" s="13" t="inlineStr"/>
      <c r="AO2327" s="13" t="n">
        <v>-24.9</v>
      </c>
      <c r="AP2327" s="13" t="n">
        <v>19.8</v>
      </c>
    </row>
    <row r="2328">
      <c r="A2328" s="5" t="inlineStr">
        <is>
          <t>아이티아이즈</t>
        </is>
      </c>
      <c r="B2328" s="6" t="inlineStr">
        <is>
          <t>372800</t>
        </is>
      </c>
      <c r="C2328" s="6" t="inlineStr">
        <is>
          <t>연결</t>
        </is>
      </c>
      <c r="D2328" s="6" t="inlineStr">
        <is>
          <t>2026Q2</t>
        </is>
      </c>
      <c r="E2328" s="6" t="inlineStr"/>
      <c r="F2328" s="7" t="inlineStr"/>
      <c r="G2328" s="8" t="inlineStr"/>
      <c r="H2328" s="8" t="inlineStr"/>
      <c r="I2328" s="9" t="n">
        <v>16596</v>
      </c>
      <c r="J2328" s="10" t="n">
        <v>238</v>
      </c>
      <c r="K2328" s="10" t="n">
        <v>268</v>
      </c>
      <c r="L2328" s="7" t="n">
        <v>18237</v>
      </c>
      <c r="M2328" s="8" t="n">
        <v>270</v>
      </c>
      <c r="N2328" s="8" t="n">
        <v>2093</v>
      </c>
      <c r="O2328" s="9" t="n">
        <v>18312</v>
      </c>
      <c r="P2328" s="10" t="n">
        <v>-1818</v>
      </c>
      <c r="Q2328" s="10" t="n">
        <v>-1950</v>
      </c>
      <c r="R2328" s="7" t="n">
        <v>26433</v>
      </c>
      <c r="S2328" s="8" t="n">
        <v>1477</v>
      </c>
      <c r="T2328" s="8" t="n">
        <v>830</v>
      </c>
      <c r="U2328" s="9" t="n">
        <v>21295</v>
      </c>
      <c r="V2328" s="10" t="n">
        <v>-1092</v>
      </c>
      <c r="W2328" s="10" t="n">
        <v>-2838</v>
      </c>
      <c r="X2328" s="7" t="n">
        <v>20494</v>
      </c>
      <c r="Y2328" s="8" t="n">
        <v>314</v>
      </c>
      <c r="Z2328" s="8" t="n">
        <v>-3297</v>
      </c>
      <c r="AA2328" s="9" t="n">
        <v>20058</v>
      </c>
      <c r="AB2328" s="10" t="n">
        <v>-296</v>
      </c>
      <c r="AC2328" s="10" t="n">
        <v>-259</v>
      </c>
      <c r="AD2328" s="7" t="n">
        <v>16207</v>
      </c>
      <c r="AE2328" s="8" t="n">
        <v>-4321</v>
      </c>
      <c r="AF2328" s="8" t="n">
        <v>-3947</v>
      </c>
      <c r="AG2328" s="9" t="n">
        <v>18696</v>
      </c>
      <c r="AH2328" s="10" t="n">
        <v>-2769</v>
      </c>
      <c r="AI2328" s="10" t="n">
        <v>-2960</v>
      </c>
      <c r="AJ2328" s="11" t="n">
        <v>12933</v>
      </c>
      <c r="AK2328" s="12" t="n">
        <v>-2997</v>
      </c>
      <c r="AL2328" s="12" t="n">
        <v>-2106</v>
      </c>
      <c r="AM2328" s="13" t="n">
        <v>-30.8</v>
      </c>
      <c r="AN2328" s="13" t="n">
        <v>-36.9</v>
      </c>
      <c r="AO2328" s="13" t="n">
        <v>-8.199999999999999</v>
      </c>
      <c r="AP2328" s="13" t="n">
        <v>-1054.5</v>
      </c>
    </row>
    <row r="2329">
      <c r="A2329" s="5" t="inlineStr">
        <is>
          <t>한컴라이프케어</t>
        </is>
      </c>
      <c r="B2329" s="6" t="inlineStr">
        <is>
          <t>372910</t>
        </is>
      </c>
      <c r="C2329" s="6" t="inlineStr">
        <is>
          <t>연결</t>
        </is>
      </c>
      <c r="D2329" s="6" t="inlineStr">
        <is>
          <t>2026Q2</t>
        </is>
      </c>
      <c r="E2329" s="6" t="inlineStr"/>
      <c r="F2329" s="7" t="inlineStr"/>
      <c r="G2329" s="8" t="inlineStr"/>
      <c r="H2329" s="8" t="inlineStr"/>
      <c r="I2329" s="9" t="n">
        <v>13637</v>
      </c>
      <c r="J2329" s="10" t="n">
        <v>-847</v>
      </c>
      <c r="K2329" s="10" t="n">
        <v>-432</v>
      </c>
      <c r="L2329" s="7" t="n">
        <v>36284</v>
      </c>
      <c r="M2329" s="8" t="n">
        <v>6854</v>
      </c>
      <c r="N2329" s="8" t="n">
        <v>5171</v>
      </c>
      <c r="O2329" s="9" t="n">
        <v>23551</v>
      </c>
      <c r="P2329" s="10" t="n">
        <v>342</v>
      </c>
      <c r="Q2329" s="10" t="n">
        <v>-93</v>
      </c>
      <c r="R2329" s="7" t="n">
        <v>31304</v>
      </c>
      <c r="S2329" s="8" t="n">
        <v>1140</v>
      </c>
      <c r="T2329" s="8" t="n">
        <v>2690</v>
      </c>
      <c r="U2329" s="9" t="n">
        <v>6644</v>
      </c>
      <c r="V2329" s="10" t="n">
        <v>-3443</v>
      </c>
      <c r="W2329" s="10" t="n">
        <v>-2813</v>
      </c>
      <c r="X2329" s="7" t="n">
        <v>27094</v>
      </c>
      <c r="Y2329" s="8" t="n">
        <v>2842</v>
      </c>
      <c r="Z2329" s="8" t="n">
        <v>56</v>
      </c>
      <c r="AA2329" s="9" t="n">
        <v>23571</v>
      </c>
      <c r="AB2329" s="10" t="n">
        <v>2992</v>
      </c>
      <c r="AC2329" s="10" t="n">
        <v>2326</v>
      </c>
      <c r="AD2329" s="7" t="n">
        <v>34779</v>
      </c>
      <c r="AE2329" s="8" t="n">
        <v>-3118</v>
      </c>
      <c r="AF2329" s="8" t="n">
        <v>-7235</v>
      </c>
      <c r="AG2329" s="9" t="n">
        <v>5989</v>
      </c>
      <c r="AH2329" s="10" t="n">
        <v>-3814</v>
      </c>
      <c r="AI2329" s="10" t="n">
        <v>-2231</v>
      </c>
      <c r="AJ2329" s="11" t="n">
        <v>55074</v>
      </c>
      <c r="AK2329" s="12" t="n">
        <v>7609</v>
      </c>
      <c r="AL2329" s="12" t="n">
        <v>6819</v>
      </c>
      <c r="AM2329" s="13" t="n">
        <v>819.6</v>
      </c>
      <c r="AN2329" s="13" t="n">
        <v>103.3</v>
      </c>
      <c r="AO2329" s="13" t="n">
        <v>299.5</v>
      </c>
      <c r="AP2329" s="13" t="n">
        <v>167.7</v>
      </c>
    </row>
    <row r="2330">
      <c r="A2330" s="5" t="inlineStr">
        <is>
          <t>엑셀세라퓨틱스</t>
        </is>
      </c>
      <c r="B2330" s="6" t="inlineStr">
        <is>
          <t>373110</t>
        </is>
      </c>
      <c r="C2330" s="6" t="inlineStr">
        <is>
          <t>연결</t>
        </is>
      </c>
      <c r="D2330" s="6" t="inlineStr">
        <is>
          <t>2026Q2</t>
        </is>
      </c>
      <c r="E2330" s="6" t="inlineStr"/>
      <c r="F2330" s="7" t="inlineStr"/>
      <c r="G2330" s="8" t="inlineStr"/>
      <c r="H2330" s="8" t="inlineStr"/>
      <c r="I2330" s="9" t="n">
        <v>522</v>
      </c>
      <c r="J2330" s="10" t="n">
        <v>-2057</v>
      </c>
      <c r="K2330" s="10" t="n">
        <v>-2266</v>
      </c>
      <c r="L2330" s="7" t="n">
        <v>478</v>
      </c>
      <c r="M2330" s="8" t="n">
        <v>-2070</v>
      </c>
      <c r="N2330" s="8" t="n">
        <v>-2143</v>
      </c>
      <c r="O2330" s="9" t="n">
        <v>458</v>
      </c>
      <c r="P2330" s="10" t="n">
        <v>-2703</v>
      </c>
      <c r="Q2330" s="10" t="n">
        <v>-2687</v>
      </c>
      <c r="R2330" s="7" t="n">
        <v>476</v>
      </c>
      <c r="S2330" s="8" t="n">
        <v>-2500</v>
      </c>
      <c r="T2330" s="8" t="n">
        <v>-2447</v>
      </c>
      <c r="U2330" s="9" t="n">
        <v>330</v>
      </c>
      <c r="V2330" s="10" t="n">
        <v>-2558</v>
      </c>
      <c r="W2330" s="10" t="n">
        <v>-2550</v>
      </c>
      <c r="X2330" s="7" t="n">
        <v>221</v>
      </c>
      <c r="Y2330" s="8" t="n">
        <v>-2662</v>
      </c>
      <c r="Z2330" s="8" t="n">
        <v>-2702</v>
      </c>
      <c r="AA2330" s="9" t="n">
        <v>335</v>
      </c>
      <c r="AB2330" s="10" t="n">
        <v>-2375</v>
      </c>
      <c r="AC2330" s="10" t="n">
        <v>-2310</v>
      </c>
      <c r="AD2330" s="7" t="n">
        <v>1063</v>
      </c>
      <c r="AE2330" s="8" t="n">
        <v>-3257</v>
      </c>
      <c r="AF2330" s="8" t="n">
        <v>-3365</v>
      </c>
      <c r="AG2330" s="9" t="n">
        <v>1022</v>
      </c>
      <c r="AH2330" s="10" t="n">
        <v>-2914</v>
      </c>
      <c r="AI2330" s="10" t="n">
        <v>-2929</v>
      </c>
      <c r="AJ2330" s="11" t="n">
        <v>1937</v>
      </c>
      <c r="AK2330" s="12" t="n">
        <v>-2754</v>
      </c>
      <c r="AL2330" s="12" t="n">
        <v>-2762</v>
      </c>
      <c r="AM2330" s="13" t="n">
        <v>89.5</v>
      </c>
      <c r="AN2330" s="13" t="n">
        <v>776.5</v>
      </c>
      <c r="AO2330" s="13" t="n">
        <v>5.5</v>
      </c>
      <c r="AP2330" s="13" t="n">
        <v>-3.5</v>
      </c>
    </row>
    <row r="2331">
      <c r="A2331" s="5" t="inlineStr">
        <is>
          <t>데이원컴퍼니</t>
        </is>
      </c>
      <c r="B2331" s="6" t="inlineStr">
        <is>
          <t>373160</t>
        </is>
      </c>
      <c r="C2331" s="6" t="inlineStr">
        <is>
          <t>연결</t>
        </is>
      </c>
      <c r="D2331" s="6" t="inlineStr">
        <is>
          <t>2026Q2</t>
        </is>
      </c>
      <c r="E2331" s="6" t="inlineStr"/>
      <c r="F2331" s="7" t="inlineStr"/>
      <c r="G2331" s="8" t="inlineStr"/>
      <c r="H2331" s="8" t="inlineStr"/>
      <c r="I2331" s="9" t="inlineStr"/>
      <c r="J2331" s="10" t="inlineStr"/>
      <c r="K2331" s="10" t="inlineStr"/>
      <c r="L2331" s="7" t="inlineStr"/>
      <c r="M2331" s="8" t="inlineStr"/>
      <c r="N2331" s="8" t="inlineStr"/>
      <c r="O2331" s="9" t="inlineStr"/>
      <c r="P2331" s="10" t="inlineStr"/>
      <c r="Q2331" s="10" t="inlineStr"/>
      <c r="R2331" s="7" t="inlineStr"/>
      <c r="S2331" s="8" t="inlineStr"/>
      <c r="T2331" s="8" t="inlineStr"/>
      <c r="U2331" s="9" t="n">
        <v>27095</v>
      </c>
      <c r="V2331" s="10" t="n">
        <v>-1284</v>
      </c>
      <c r="W2331" s="10" t="n">
        <v>-1186</v>
      </c>
      <c r="X2331" s="7" t="n">
        <v>29183</v>
      </c>
      <c r="Y2331" s="8" t="n">
        <v>405</v>
      </c>
      <c r="Z2331" s="8" t="n">
        <v>249</v>
      </c>
      <c r="AA2331" s="9" t="n">
        <v>33697</v>
      </c>
      <c r="AB2331" s="10" t="n">
        <v>3427</v>
      </c>
      <c r="AC2331" s="10" t="n">
        <v>3572</v>
      </c>
      <c r="AD2331" s="7" t="n">
        <v>33885</v>
      </c>
      <c r="AE2331" s="8" t="n">
        <v>2024</v>
      </c>
      <c r="AF2331" s="8" t="n">
        <v>2105</v>
      </c>
      <c r="AG2331" s="9" t="n">
        <v>30319</v>
      </c>
      <c r="AH2331" s="10" t="n">
        <v>388</v>
      </c>
      <c r="AI2331" s="10" t="n">
        <v>694</v>
      </c>
      <c r="AJ2331" s="11" t="n">
        <v>26788</v>
      </c>
      <c r="AK2331" s="12" t="n">
        <v>-3043</v>
      </c>
      <c r="AL2331" s="12" t="n">
        <v>-3221</v>
      </c>
      <c r="AM2331" s="13" t="n">
        <v>-11.6</v>
      </c>
      <c r="AN2331" s="13" t="n">
        <v>-8.199999999999999</v>
      </c>
      <c r="AO2331" s="13" t="n">
        <v>-884.3</v>
      </c>
      <c r="AP2331" s="13" t="n">
        <v>-851.4</v>
      </c>
    </row>
    <row r="2332">
      <c r="A2332" s="5" t="inlineStr">
        <is>
          <t>엠아이큐브솔루션</t>
        </is>
      </c>
      <c r="B2332" s="6" t="inlineStr">
        <is>
          <t>373170</t>
        </is>
      </c>
      <c r="C2332" s="6" t="inlineStr">
        <is>
          <t>별도</t>
        </is>
      </c>
      <c r="D2332" s="6" t="inlineStr">
        <is>
          <t>2026Q2</t>
        </is>
      </c>
      <c r="E2332" s="6" t="inlineStr"/>
      <c r="F2332" s="7" t="inlineStr"/>
      <c r="G2332" s="8" t="inlineStr"/>
      <c r="H2332" s="8" t="inlineStr"/>
      <c r="I2332" s="9" t="n">
        <v>7450</v>
      </c>
      <c r="J2332" s="10" t="n">
        <v>76</v>
      </c>
      <c r="K2332" s="10" t="n">
        <v>306</v>
      </c>
      <c r="L2332" s="7" t="n">
        <v>6409</v>
      </c>
      <c r="M2332" s="8" t="n">
        <v>-1066</v>
      </c>
      <c r="N2332" s="8" t="n">
        <v>-829</v>
      </c>
      <c r="O2332" s="9" t="n">
        <v>7658</v>
      </c>
      <c r="P2332" s="10" t="n">
        <v>514</v>
      </c>
      <c r="Q2332" s="10" t="n">
        <v>627</v>
      </c>
      <c r="R2332" s="7" t="n">
        <v>8119</v>
      </c>
      <c r="S2332" s="8" t="n">
        <v>-594</v>
      </c>
      <c r="T2332" s="8" t="n">
        <v>-247</v>
      </c>
      <c r="U2332" s="9" t="n">
        <v>6050</v>
      </c>
      <c r="V2332" s="10" t="n">
        <v>-618</v>
      </c>
      <c r="W2332" s="10" t="n">
        <v>-494</v>
      </c>
      <c r="X2332" s="7" t="n">
        <v>7410</v>
      </c>
      <c r="Y2332" s="8" t="n">
        <v>-236</v>
      </c>
      <c r="Z2332" s="8" t="n">
        <v>-25</v>
      </c>
      <c r="AA2332" s="9" t="n">
        <v>6109</v>
      </c>
      <c r="AB2332" s="10" t="n">
        <v>160</v>
      </c>
      <c r="AC2332" s="10" t="n">
        <v>374</v>
      </c>
      <c r="AD2332" s="7" t="n">
        <v>6051</v>
      </c>
      <c r="AE2332" s="8" t="n">
        <v>1580</v>
      </c>
      <c r="AF2332" s="8" t="n">
        <v>1776</v>
      </c>
      <c r="AG2332" s="9" t="n">
        <v>4438</v>
      </c>
      <c r="AH2332" s="10" t="n">
        <v>-838</v>
      </c>
      <c r="AI2332" s="10" t="n">
        <v>-660</v>
      </c>
      <c r="AJ2332" s="11" t="n">
        <v>5801</v>
      </c>
      <c r="AK2332" s="12" t="n">
        <v>-319</v>
      </c>
      <c r="AL2332" s="12" t="n">
        <v>-161</v>
      </c>
      <c r="AM2332" s="13" t="n">
        <v>30.7</v>
      </c>
      <c r="AN2332" s="13" t="n">
        <v>-21.7</v>
      </c>
      <c r="AO2332" s="13" t="n">
        <v>61.9</v>
      </c>
      <c r="AP2332" s="13" t="n">
        <v>-35.2</v>
      </c>
    </row>
    <row r="2333">
      <c r="A2333" s="5" t="inlineStr">
        <is>
          <t>엑스플러스</t>
        </is>
      </c>
      <c r="B2333" s="6" t="inlineStr">
        <is>
          <t>373200</t>
        </is>
      </c>
      <c r="C2333" s="6" t="inlineStr">
        <is>
          <t>연결</t>
        </is>
      </c>
      <c r="D2333" s="6" t="inlineStr">
        <is>
          <t>2026Q2</t>
        </is>
      </c>
      <c r="E2333" s="6" t="inlineStr"/>
      <c r="F2333" s="7" t="inlineStr"/>
      <c r="G2333" s="8" t="inlineStr"/>
      <c r="H2333" s="8" t="inlineStr"/>
      <c r="I2333" s="9" t="n">
        <v>2987</v>
      </c>
      <c r="J2333" s="10" t="n">
        <v>-717</v>
      </c>
      <c r="K2333" s="10" t="n">
        <v>-1367</v>
      </c>
      <c r="L2333" s="7" t="n">
        <v>2952</v>
      </c>
      <c r="M2333" s="8" t="n">
        <v>-2354</v>
      </c>
      <c r="N2333" s="8" t="n">
        <v>-718</v>
      </c>
      <c r="O2333" s="9" t="n">
        <v>3599</v>
      </c>
      <c r="P2333" s="10" t="n">
        <v>45</v>
      </c>
      <c r="Q2333" s="10" t="n">
        <v>-523</v>
      </c>
      <c r="R2333" s="7" t="n">
        <v>889</v>
      </c>
      <c r="S2333" s="8" t="n">
        <v>-865</v>
      </c>
      <c r="T2333" s="8" t="n">
        <v>497</v>
      </c>
      <c r="U2333" s="9" t="n">
        <v>1145</v>
      </c>
      <c r="V2333" s="10" t="n">
        <v>-455</v>
      </c>
      <c r="W2333" s="10" t="n">
        <v>-912</v>
      </c>
      <c r="X2333" s="7" t="n">
        <v>2534</v>
      </c>
      <c r="Y2333" s="8" t="n">
        <v>-1729</v>
      </c>
      <c r="Z2333" s="8" t="n">
        <v>-770</v>
      </c>
      <c r="AA2333" s="9" t="n">
        <v>5021</v>
      </c>
      <c r="AB2333" s="10" t="n">
        <v>-753</v>
      </c>
      <c r="AC2333" s="10" t="n">
        <v>-5483</v>
      </c>
      <c r="AD2333" s="7" t="n">
        <v>1377</v>
      </c>
      <c r="AE2333" s="8" t="n">
        <v>-2219</v>
      </c>
      <c r="AF2333" s="8" t="n">
        <v>4876</v>
      </c>
      <c r="AG2333" s="9" t="n">
        <v>3930</v>
      </c>
      <c r="AH2333" s="10" t="n">
        <v>-1078</v>
      </c>
      <c r="AI2333" s="10" t="n">
        <v>-3394</v>
      </c>
      <c r="AJ2333" s="11" t="n">
        <v>2659</v>
      </c>
      <c r="AK2333" s="12" t="n">
        <v>-2290</v>
      </c>
      <c r="AL2333" s="12" t="n">
        <v>-3874</v>
      </c>
      <c r="AM2333" s="13" t="n">
        <v>-32.3</v>
      </c>
      <c r="AN2333" s="13" t="n">
        <v>4.9</v>
      </c>
      <c r="AO2333" s="13" t="n">
        <v>-112.4</v>
      </c>
      <c r="AP2333" s="13" t="n">
        <v>-32.4</v>
      </c>
    </row>
    <row r="2334">
      <c r="A2334" s="5" t="inlineStr">
        <is>
          <t>LG에너지솔루션</t>
        </is>
      </c>
      <c r="B2334" s="6" t="inlineStr">
        <is>
          <t>373220</t>
        </is>
      </c>
      <c r="C2334" s="6" t="inlineStr">
        <is>
          <t>연결</t>
        </is>
      </c>
      <c r="D2334" s="6" t="inlineStr">
        <is>
          <t>2026Q2</t>
        </is>
      </c>
      <c r="E2334" s="6" t="inlineStr">
        <is>
          <t>2023Q4</t>
        </is>
      </c>
      <c r="F2334" s="14" t="n">
        <v>8001400</v>
      </c>
      <c r="G2334" s="15" t="n">
        <v>338200</v>
      </c>
      <c r="H2334" s="15" t="n">
        <v>190300</v>
      </c>
      <c r="I2334" s="9" t="n">
        <v>6128714</v>
      </c>
      <c r="J2334" s="10" t="n">
        <v>157337</v>
      </c>
      <c r="K2334" s="10" t="n">
        <v>212052</v>
      </c>
      <c r="L2334" s="7" t="n">
        <v>6161866</v>
      </c>
      <c r="M2334" s="8" t="n">
        <v>195319</v>
      </c>
      <c r="N2334" s="8" t="n">
        <v>-23740</v>
      </c>
      <c r="O2334" s="9" t="n">
        <v>6877843</v>
      </c>
      <c r="P2334" s="10" t="n">
        <v>448259</v>
      </c>
      <c r="Q2334" s="10" t="n">
        <v>561307</v>
      </c>
      <c r="R2334" s="7" t="n">
        <v>6451162</v>
      </c>
      <c r="S2334" s="8" t="n">
        <v>-225528</v>
      </c>
      <c r="T2334" s="8" t="n">
        <v>-411017</v>
      </c>
      <c r="U2334" s="9" t="n">
        <v>6264995</v>
      </c>
      <c r="V2334" s="10" t="n">
        <v>374673</v>
      </c>
      <c r="W2334" s="10" t="n">
        <v>226573</v>
      </c>
      <c r="X2334" s="7" t="n">
        <v>5565408</v>
      </c>
      <c r="Y2334" s="8" t="n">
        <v>492159</v>
      </c>
      <c r="Z2334" s="8" t="n">
        <v>90605</v>
      </c>
      <c r="AA2334" s="9" t="n">
        <v>5699873</v>
      </c>
      <c r="AB2334" s="10" t="n">
        <v>601309</v>
      </c>
      <c r="AC2334" s="10" t="n">
        <v>536096</v>
      </c>
      <c r="AD2334" s="7" t="n">
        <v>6141483</v>
      </c>
      <c r="AE2334" s="8" t="n">
        <v>-122021</v>
      </c>
      <c r="AF2334" s="8" t="n">
        <v>-772471</v>
      </c>
      <c r="AG2334" s="9" t="n">
        <v>6554967</v>
      </c>
      <c r="AH2334" s="10" t="n">
        <v>-207755</v>
      </c>
      <c r="AI2334" s="10" t="n">
        <v>-944034</v>
      </c>
      <c r="AJ2334" s="11" t="n">
        <v>7560249</v>
      </c>
      <c r="AK2334" s="12" t="n">
        <v>113302</v>
      </c>
      <c r="AL2334" s="12" t="n">
        <v>-328644</v>
      </c>
      <c r="AM2334" s="13" t="n">
        <v>15.3</v>
      </c>
      <c r="AN2334" s="13" t="n">
        <v>35.8</v>
      </c>
      <c r="AO2334" s="13" t="n">
        <v>154.5</v>
      </c>
      <c r="AP2334" s="13" t="n">
        <v>-77</v>
      </c>
    </row>
    <row r="2335">
      <c r="A2335" s="5" t="inlineStr">
        <is>
          <t>DL이앤씨</t>
        </is>
      </c>
      <c r="B2335" s="6" t="inlineStr">
        <is>
          <t>375500</t>
        </is>
      </c>
      <c r="C2335" s="6" t="inlineStr">
        <is>
          <t>연결</t>
        </is>
      </c>
      <c r="D2335" s="6" t="inlineStr">
        <is>
          <t>2026Q2</t>
        </is>
      </c>
      <c r="E2335" s="6" t="inlineStr">
        <is>
          <t>2023Q4</t>
        </is>
      </c>
      <c r="F2335" s="14" t="n">
        <v>2336458</v>
      </c>
      <c r="G2335" s="15" t="n">
        <v>88749</v>
      </c>
      <c r="H2335" s="15" t="n">
        <v>5866</v>
      </c>
      <c r="I2335" s="9" t="n">
        <v>1890538</v>
      </c>
      <c r="J2335" s="10" t="n">
        <v>60892</v>
      </c>
      <c r="K2335" s="10" t="n">
        <v>25988</v>
      </c>
      <c r="L2335" s="7" t="n">
        <v>2070221</v>
      </c>
      <c r="M2335" s="8" t="n">
        <v>32570</v>
      </c>
      <c r="N2335" s="8" t="n">
        <v>40645</v>
      </c>
      <c r="O2335" s="9" t="n">
        <v>1918869</v>
      </c>
      <c r="P2335" s="10" t="n">
        <v>83343</v>
      </c>
      <c r="Q2335" s="10" t="n">
        <v>45278</v>
      </c>
      <c r="R2335" s="7" t="n">
        <v>2438814</v>
      </c>
      <c r="S2335" s="8" t="n">
        <v>94140</v>
      </c>
      <c r="T2335" s="8" t="n">
        <v>117313</v>
      </c>
      <c r="U2335" s="9" t="n">
        <v>1808165</v>
      </c>
      <c r="V2335" s="10" t="n">
        <v>80971</v>
      </c>
      <c r="W2335" s="10" t="n">
        <v>30245</v>
      </c>
      <c r="X2335" s="7" t="n">
        <v>1991446</v>
      </c>
      <c r="Y2335" s="8" t="n">
        <v>126206</v>
      </c>
      <c r="Z2335" s="8" t="n">
        <v>8291</v>
      </c>
      <c r="AA2335" s="9" t="n">
        <v>1906995</v>
      </c>
      <c r="AB2335" s="10" t="n">
        <v>116756</v>
      </c>
      <c r="AC2335" s="10" t="n">
        <v>126321</v>
      </c>
      <c r="AD2335" s="7" t="n">
        <v>1695819</v>
      </c>
      <c r="AE2335" s="8" t="n">
        <v>63020</v>
      </c>
      <c r="AF2335" s="8" t="n">
        <v>205332</v>
      </c>
      <c r="AG2335" s="9" t="n">
        <v>1725244</v>
      </c>
      <c r="AH2335" s="10" t="n">
        <v>157361</v>
      </c>
      <c r="AI2335" s="10" t="n">
        <v>160136</v>
      </c>
      <c r="AJ2335" s="11" t="n">
        <v>1802922</v>
      </c>
      <c r="AK2335" s="12" t="n">
        <v>159428</v>
      </c>
      <c r="AL2335" s="12" t="n">
        <v>129720</v>
      </c>
      <c r="AM2335" s="13" t="n">
        <v>4.5</v>
      </c>
      <c r="AN2335" s="13" t="n">
        <v>-9.5</v>
      </c>
      <c r="AO2335" s="13" t="n">
        <v>1.3</v>
      </c>
      <c r="AP2335" s="13" t="n">
        <v>26.3</v>
      </c>
    </row>
    <row r="2336">
      <c r="A2336" s="5" t="inlineStr">
        <is>
          <t>피코그램</t>
        </is>
      </c>
      <c r="B2336" s="6" t="inlineStr">
        <is>
          <t>376180</t>
        </is>
      </c>
      <c r="C2336" s="6" t="inlineStr">
        <is>
          <t>별도</t>
        </is>
      </c>
      <c r="D2336" s="6" t="inlineStr">
        <is>
          <t>2026Q2</t>
        </is>
      </c>
      <c r="E2336" s="6" t="inlineStr"/>
      <c r="F2336" s="7" t="inlineStr"/>
      <c r="G2336" s="8" t="inlineStr"/>
      <c r="H2336" s="8" t="inlineStr"/>
      <c r="I2336" s="9" t="n">
        <v>7513</v>
      </c>
      <c r="J2336" s="10" t="n">
        <v>471</v>
      </c>
      <c r="K2336" s="10" t="n">
        <v>1011</v>
      </c>
      <c r="L2336" s="7" t="n">
        <v>8583</v>
      </c>
      <c r="M2336" s="8" t="n">
        <v>1280</v>
      </c>
      <c r="N2336" s="8" t="n">
        <v>2856</v>
      </c>
      <c r="O2336" s="9" t="n">
        <v>6803</v>
      </c>
      <c r="P2336" s="10" t="n">
        <v>25</v>
      </c>
      <c r="Q2336" s="10" t="n">
        <v>-1075</v>
      </c>
      <c r="R2336" s="7" t="n">
        <v>9245</v>
      </c>
      <c r="S2336" s="8" t="n">
        <v>1061</v>
      </c>
      <c r="T2336" s="8" t="n">
        <v>4335</v>
      </c>
      <c r="U2336" s="9" t="n">
        <v>8459</v>
      </c>
      <c r="V2336" s="10" t="n">
        <v>206</v>
      </c>
      <c r="W2336" s="10" t="n">
        <v>-4039</v>
      </c>
      <c r="X2336" s="7" t="n">
        <v>9945</v>
      </c>
      <c r="Y2336" s="8" t="n">
        <v>503</v>
      </c>
      <c r="Z2336" s="8" t="n">
        <v>1867</v>
      </c>
      <c r="AA2336" s="9" t="n">
        <v>6285</v>
      </c>
      <c r="AB2336" s="10" t="n">
        <v>-362</v>
      </c>
      <c r="AC2336" s="10" t="n">
        <v>217</v>
      </c>
      <c r="AD2336" s="7" t="n">
        <v>6184</v>
      </c>
      <c r="AE2336" s="8" t="n">
        <v>-1051</v>
      </c>
      <c r="AF2336" s="8" t="n">
        <v>858</v>
      </c>
      <c r="AG2336" s="9" t="n">
        <v>6602</v>
      </c>
      <c r="AH2336" s="10" t="n">
        <v>32</v>
      </c>
      <c r="AI2336" s="10" t="n">
        <v>820</v>
      </c>
      <c r="AJ2336" s="11" t="n">
        <v>8438</v>
      </c>
      <c r="AK2336" s="12" t="n">
        <v>1203</v>
      </c>
      <c r="AL2336" s="12" t="n">
        <v>2389</v>
      </c>
      <c r="AM2336" s="13" t="n">
        <v>27.8</v>
      </c>
      <c r="AN2336" s="13" t="n">
        <v>-15.2</v>
      </c>
      <c r="AO2336" s="13" t="n">
        <v>3659.4</v>
      </c>
      <c r="AP2336" s="13" t="n">
        <v>139.2</v>
      </c>
    </row>
    <row r="2337">
      <c r="A2337" s="5" t="inlineStr">
        <is>
          <t>HEM파마</t>
        </is>
      </c>
      <c r="B2337" s="6" t="inlineStr">
        <is>
          <t>376270</t>
        </is>
      </c>
      <c r="C2337" s="6" t="inlineStr">
        <is>
          <t>연결</t>
        </is>
      </c>
      <c r="D2337" s="6" t="inlineStr">
        <is>
          <t>2026Q2</t>
        </is>
      </c>
      <c r="E2337" s="6" t="inlineStr"/>
      <c r="F2337" s="7" t="inlineStr"/>
      <c r="G2337" s="8" t="inlineStr"/>
      <c r="H2337" s="8" t="inlineStr"/>
      <c r="I2337" s="9" t="n">
        <v>2588</v>
      </c>
      <c r="J2337" s="10" t="n">
        <v>-1737</v>
      </c>
      <c r="K2337" s="10" t="n">
        <v>-1728</v>
      </c>
      <c r="L2337" s="7" t="n">
        <v>2935</v>
      </c>
      <c r="M2337" s="8" t="n">
        <v>-1731</v>
      </c>
      <c r="N2337" s="8" t="n">
        <v>-1696</v>
      </c>
      <c r="O2337" s="9" t="n">
        <v>3224</v>
      </c>
      <c r="P2337" s="10" t="n">
        <v>-2227</v>
      </c>
      <c r="Q2337" s="10" t="n">
        <v>-2175</v>
      </c>
      <c r="R2337" s="7" t="n">
        <v>6320</v>
      </c>
      <c r="S2337" s="8" t="n">
        <v>-1987</v>
      </c>
      <c r="T2337" s="8" t="n">
        <v>-2047</v>
      </c>
      <c r="U2337" s="9" t="n">
        <v>3509</v>
      </c>
      <c r="V2337" s="10" t="n">
        <v>-2364</v>
      </c>
      <c r="W2337" s="10" t="n">
        <v>-2332</v>
      </c>
      <c r="X2337" s="7" t="n">
        <v>2845</v>
      </c>
      <c r="Y2337" s="8" t="n">
        <v>-2904</v>
      </c>
      <c r="Z2337" s="8" t="n">
        <v>-3288</v>
      </c>
      <c r="AA2337" s="9" t="n">
        <v>2956</v>
      </c>
      <c r="AB2337" s="10" t="n">
        <v>-3560</v>
      </c>
      <c r="AC2337" s="10" t="n">
        <v>-3545</v>
      </c>
      <c r="AD2337" s="7" t="n">
        <v>3669</v>
      </c>
      <c r="AE2337" s="8" t="n">
        <v>-6755</v>
      </c>
      <c r="AF2337" s="8" t="n">
        <v>-14559</v>
      </c>
      <c r="AG2337" s="9" t="n">
        <v>4941</v>
      </c>
      <c r="AH2337" s="10" t="n">
        <v>-3844</v>
      </c>
      <c r="AI2337" s="10" t="n">
        <v>-4043</v>
      </c>
      <c r="AJ2337" s="11" t="n">
        <v>4575</v>
      </c>
      <c r="AK2337" s="12" t="n">
        <v>-2859</v>
      </c>
      <c r="AL2337" s="12" t="n">
        <v>1405</v>
      </c>
      <c r="AM2337" s="13" t="n">
        <v>-7.4</v>
      </c>
      <c r="AN2337" s="13" t="n">
        <v>60.8</v>
      </c>
      <c r="AO2337" s="13" t="n">
        <v>25.6</v>
      </c>
      <c r="AP2337" s="13" t="n">
        <v>1.5</v>
      </c>
    </row>
    <row r="2338">
      <c r="A2338" s="5" t="inlineStr">
        <is>
          <t>씨유테크</t>
        </is>
      </c>
      <c r="B2338" s="6" t="inlineStr">
        <is>
          <t>376290</t>
        </is>
      </c>
      <c r="C2338" s="6" t="inlineStr">
        <is>
          <t>연결</t>
        </is>
      </c>
      <c r="D2338" s="6" t="inlineStr">
        <is>
          <t>2026Q2</t>
        </is>
      </c>
      <c r="E2338" s="6" t="inlineStr"/>
      <c r="F2338" s="7" t="inlineStr"/>
      <c r="G2338" s="8" t="inlineStr"/>
      <c r="H2338" s="8" t="inlineStr"/>
      <c r="I2338" s="9" t="n">
        <v>73016</v>
      </c>
      <c r="J2338" s="10" t="n">
        <v>3511</v>
      </c>
      <c r="K2338" s="10" t="n">
        <v>4583</v>
      </c>
      <c r="L2338" s="7" t="n">
        <v>61497</v>
      </c>
      <c r="M2338" s="8" t="n">
        <v>2384</v>
      </c>
      <c r="N2338" s="8" t="n">
        <v>3132</v>
      </c>
      <c r="O2338" s="9" t="n">
        <v>70025</v>
      </c>
      <c r="P2338" s="10" t="n">
        <v>2162</v>
      </c>
      <c r="Q2338" s="10" t="n">
        <v>-416</v>
      </c>
      <c r="R2338" s="7" t="n">
        <v>79633</v>
      </c>
      <c r="S2338" s="8" t="n">
        <v>3437</v>
      </c>
      <c r="T2338" s="8" t="n">
        <v>6269</v>
      </c>
      <c r="U2338" s="9" t="n">
        <v>51687</v>
      </c>
      <c r="V2338" s="10" t="n">
        <v>356</v>
      </c>
      <c r="W2338" s="10" t="n">
        <v>116</v>
      </c>
      <c r="X2338" s="7" t="n">
        <v>49770</v>
      </c>
      <c r="Y2338" s="8" t="n">
        <v>198</v>
      </c>
      <c r="Z2338" s="8" t="n">
        <v>-2826</v>
      </c>
      <c r="AA2338" s="9" t="n">
        <v>48404</v>
      </c>
      <c r="AB2338" s="10" t="n">
        <v>2087</v>
      </c>
      <c r="AC2338" s="10" t="n">
        <v>2863</v>
      </c>
      <c r="AD2338" s="7" t="n">
        <v>66652</v>
      </c>
      <c r="AE2338" s="8" t="n">
        <v>2779</v>
      </c>
      <c r="AF2338" s="8" t="n">
        <v>1211</v>
      </c>
      <c r="AG2338" s="9" t="n">
        <v>43375</v>
      </c>
      <c r="AH2338" s="10" t="n">
        <v>1722</v>
      </c>
      <c r="AI2338" s="10" t="n">
        <v>4042</v>
      </c>
      <c r="AJ2338" s="11" t="n">
        <v>47985</v>
      </c>
      <c r="AK2338" s="12" t="n">
        <v>1551</v>
      </c>
      <c r="AL2338" s="12" t="n">
        <v>2686</v>
      </c>
      <c r="AM2338" s="13" t="n">
        <v>10.6</v>
      </c>
      <c r="AN2338" s="13" t="n">
        <v>-3.6</v>
      </c>
      <c r="AO2338" s="13" t="n">
        <v>-9.9</v>
      </c>
      <c r="AP2338" s="13" t="n">
        <v>683.3</v>
      </c>
    </row>
    <row r="2339">
      <c r="A2339" s="5" t="inlineStr">
        <is>
          <t>디어유</t>
        </is>
      </c>
      <c r="B2339" s="6" t="inlineStr">
        <is>
          <t>376300</t>
        </is>
      </c>
      <c r="C2339" s="6" t="inlineStr">
        <is>
          <t>연결</t>
        </is>
      </c>
      <c r="D2339" s="6" t="inlineStr">
        <is>
          <t>2026Q2</t>
        </is>
      </c>
      <c r="E2339" s="6" t="inlineStr"/>
      <c r="F2339" s="7" t="inlineStr"/>
      <c r="G2339" s="8" t="inlineStr"/>
      <c r="H2339" s="8" t="inlineStr"/>
      <c r="I2339" s="9" t="n">
        <v>20280</v>
      </c>
      <c r="J2339" s="10" t="n">
        <v>7153</v>
      </c>
      <c r="K2339" s="10" t="n">
        <v>8947</v>
      </c>
      <c r="L2339" s="7" t="n">
        <v>19076</v>
      </c>
      <c r="M2339" s="8" t="n">
        <v>7051</v>
      </c>
      <c r="N2339" s="8" t="n">
        <v>6876</v>
      </c>
      <c r="O2339" s="9" t="n">
        <v>17736</v>
      </c>
      <c r="P2339" s="10" t="n">
        <v>6342</v>
      </c>
      <c r="Q2339" s="10" t="n">
        <v>3084</v>
      </c>
      <c r="R2339" s="7" t="n">
        <v>17772</v>
      </c>
      <c r="S2339" s="8" t="n">
        <v>4867</v>
      </c>
      <c r="T2339" s="8" t="n">
        <v>5481</v>
      </c>
      <c r="U2339" s="9" t="n">
        <v>17546</v>
      </c>
      <c r="V2339" s="10" t="n">
        <v>5481</v>
      </c>
      <c r="W2339" s="10" t="n">
        <v>5213</v>
      </c>
      <c r="X2339" s="7" t="n">
        <v>20184</v>
      </c>
      <c r="Y2339" s="8" t="n">
        <v>7442</v>
      </c>
      <c r="Z2339" s="8" t="n">
        <v>-6599</v>
      </c>
      <c r="AA2339" s="9" t="n">
        <v>22304</v>
      </c>
      <c r="AB2339" s="10" t="n">
        <v>8715</v>
      </c>
      <c r="AC2339" s="10" t="n">
        <v>9720</v>
      </c>
      <c r="AD2339" s="7" t="n">
        <v>23801</v>
      </c>
      <c r="AE2339" s="8" t="n">
        <v>9754</v>
      </c>
      <c r="AF2339" s="8" t="n">
        <v>10296</v>
      </c>
      <c r="AG2339" s="9" t="n">
        <v>23407</v>
      </c>
      <c r="AH2339" s="10" t="n">
        <v>9696</v>
      </c>
      <c r="AI2339" s="10" t="n">
        <v>11763</v>
      </c>
      <c r="AJ2339" s="11" t="n">
        <v>23352</v>
      </c>
      <c r="AK2339" s="12" t="n">
        <v>9406</v>
      </c>
      <c r="AL2339" s="12" t="n">
        <v>4532</v>
      </c>
      <c r="AM2339" s="13" t="n">
        <v>-0.2</v>
      </c>
      <c r="AN2339" s="13" t="n">
        <v>15.7</v>
      </c>
      <c r="AO2339" s="13" t="n">
        <v>-3</v>
      </c>
      <c r="AP2339" s="13" t="n">
        <v>26.4</v>
      </c>
    </row>
    <row r="2340">
      <c r="A2340" s="5" t="inlineStr">
        <is>
          <t>로킷헬스케어</t>
        </is>
      </c>
      <c r="B2340" s="6" t="inlineStr">
        <is>
          <t>376900</t>
        </is>
      </c>
      <c r="C2340" s="6" t="inlineStr">
        <is>
          <t>연결</t>
        </is>
      </c>
      <c r="D2340" s="6" t="inlineStr">
        <is>
          <t>2026Q2</t>
        </is>
      </c>
      <c r="E2340" s="6" t="inlineStr"/>
      <c r="F2340" s="7" t="inlineStr"/>
      <c r="G2340" s="8" t="inlineStr"/>
      <c r="H2340" s="8" t="inlineStr"/>
      <c r="I2340" s="9" t="n">
        <v>3292</v>
      </c>
      <c r="J2340" s="10" t="n">
        <v>-612</v>
      </c>
      <c r="K2340" s="10" t="n">
        <v>-604</v>
      </c>
      <c r="L2340" s="7" t="n">
        <v>3613</v>
      </c>
      <c r="M2340" s="8" t="n">
        <v>-1058</v>
      </c>
      <c r="N2340" s="8" t="n">
        <v>-469</v>
      </c>
      <c r="O2340" s="9" t="n">
        <v>2541</v>
      </c>
      <c r="P2340" s="10" t="n">
        <v>-1918</v>
      </c>
      <c r="Q2340" s="10" t="n">
        <v>-1749</v>
      </c>
      <c r="R2340" s="7" t="n">
        <v>3665</v>
      </c>
      <c r="S2340" s="8" t="n">
        <v>-1984</v>
      </c>
      <c r="T2340" s="8" t="n">
        <v>-4868</v>
      </c>
      <c r="U2340" s="9" t="n">
        <v>3695</v>
      </c>
      <c r="V2340" s="10" t="n">
        <v>-247</v>
      </c>
      <c r="W2340" s="10" t="n">
        <v>-352</v>
      </c>
      <c r="X2340" s="7" t="n">
        <v>6013</v>
      </c>
      <c r="Y2340" s="8" t="n">
        <v>22</v>
      </c>
      <c r="Z2340" s="8" t="n">
        <v>-980</v>
      </c>
      <c r="AA2340" s="9" t="n">
        <v>6955</v>
      </c>
      <c r="AB2340" s="10" t="n">
        <v>78</v>
      </c>
      <c r="AC2340" s="10" t="n">
        <v>-1166</v>
      </c>
      <c r="AD2340" s="7" t="n">
        <v>9584</v>
      </c>
      <c r="AE2340" s="8" t="n">
        <v>600</v>
      </c>
      <c r="AF2340" s="8" t="n">
        <v>-307</v>
      </c>
      <c r="AG2340" s="9" t="n">
        <v>8059</v>
      </c>
      <c r="AH2340" s="10" t="n">
        <v>-2351</v>
      </c>
      <c r="AI2340" s="10" t="n">
        <v>-1876</v>
      </c>
      <c r="AJ2340" s="11" t="n">
        <v>8216</v>
      </c>
      <c r="AK2340" s="12" t="n">
        <v>-13453</v>
      </c>
      <c r="AL2340" s="12" t="n">
        <v>-9343</v>
      </c>
      <c r="AM2340" s="13" t="n">
        <v>1.9</v>
      </c>
      <c r="AN2340" s="13" t="n">
        <v>36.6</v>
      </c>
      <c r="AO2340" s="13" t="n">
        <v>-472.2</v>
      </c>
      <c r="AP2340" s="13" t="n">
        <v>-61250</v>
      </c>
    </row>
    <row r="2341">
      <c r="A2341" s="5" t="inlineStr">
        <is>
          <t>노을</t>
        </is>
      </c>
      <c r="B2341" s="6" t="inlineStr">
        <is>
          <t>376930</t>
        </is>
      </c>
      <c r="C2341" s="6" t="inlineStr">
        <is>
          <t>연결</t>
        </is>
      </c>
      <c r="D2341" s="6" t="inlineStr">
        <is>
          <t>2026Q2</t>
        </is>
      </c>
      <c r="E2341" s="6" t="inlineStr"/>
      <c r="F2341" s="7" t="inlineStr"/>
      <c r="G2341" s="8" t="inlineStr"/>
      <c r="H2341" s="8" t="inlineStr"/>
      <c r="I2341" s="9" t="n">
        <v>29</v>
      </c>
      <c r="J2341" s="10" t="n">
        <v>-3952</v>
      </c>
      <c r="K2341" s="10" t="n">
        <v>-3922</v>
      </c>
      <c r="L2341" s="7" t="n">
        <v>175</v>
      </c>
      <c r="M2341" s="8" t="n">
        <v>-7727</v>
      </c>
      <c r="N2341" s="8" t="n">
        <v>-7716</v>
      </c>
      <c r="O2341" s="9" t="n">
        <v>1359</v>
      </c>
      <c r="P2341" s="10" t="n">
        <v>-4388</v>
      </c>
      <c r="Q2341" s="10" t="n">
        <v>-4249</v>
      </c>
      <c r="R2341" s="7" t="n">
        <v>38</v>
      </c>
      <c r="S2341" s="8" t="n">
        <v>-6728</v>
      </c>
      <c r="T2341" s="8" t="n">
        <v>-6582</v>
      </c>
      <c r="U2341" s="9" t="n">
        <v>1393</v>
      </c>
      <c r="V2341" s="10" t="n">
        <v>-4445</v>
      </c>
      <c r="W2341" s="10" t="n">
        <v>-4324</v>
      </c>
      <c r="X2341" s="7" t="n">
        <v>1401</v>
      </c>
      <c r="Y2341" s="8" t="n">
        <v>-5005</v>
      </c>
      <c r="Z2341" s="8" t="n">
        <v>-5315</v>
      </c>
      <c r="AA2341" s="9" t="n">
        <v>1082</v>
      </c>
      <c r="AB2341" s="10" t="n">
        <v>-3939</v>
      </c>
      <c r="AC2341" s="10" t="n">
        <v>-3981</v>
      </c>
      <c r="AD2341" s="7" t="n">
        <v>1246</v>
      </c>
      <c r="AE2341" s="8" t="n">
        <v>-6690</v>
      </c>
      <c r="AF2341" s="8" t="n">
        <v>-6335</v>
      </c>
      <c r="AG2341" s="9" t="n">
        <v>322</v>
      </c>
      <c r="AH2341" s="10" t="n">
        <v>-4854</v>
      </c>
      <c r="AI2341" s="10" t="n">
        <v>-4658</v>
      </c>
      <c r="AJ2341" s="11" t="n">
        <v>1008</v>
      </c>
      <c r="AK2341" s="12" t="n">
        <v>-4802</v>
      </c>
      <c r="AL2341" s="12" t="n">
        <v>-4691</v>
      </c>
      <c r="AM2341" s="13" t="n">
        <v>213</v>
      </c>
      <c r="AN2341" s="13" t="n">
        <v>-28.1</v>
      </c>
      <c r="AO2341" s="13" t="n">
        <v>1.1</v>
      </c>
      <c r="AP2341" s="13" t="n">
        <v>4.1</v>
      </c>
    </row>
    <row r="2342">
      <c r="A2342" s="5" t="inlineStr">
        <is>
          <t>원티드랩</t>
        </is>
      </c>
      <c r="B2342" s="6" t="inlineStr">
        <is>
          <t>376980</t>
        </is>
      </c>
      <c r="C2342" s="6" t="inlineStr">
        <is>
          <t>연결</t>
        </is>
      </c>
      <c r="D2342" s="6" t="inlineStr">
        <is>
          <t>2026Q2</t>
        </is>
      </c>
      <c r="E2342" s="6" t="inlineStr"/>
      <c r="F2342" s="7" t="inlineStr"/>
      <c r="G2342" s="8" t="inlineStr"/>
      <c r="H2342" s="8" t="inlineStr"/>
      <c r="I2342" s="9" t="inlineStr"/>
      <c r="J2342" s="10" t="n">
        <v>-774</v>
      </c>
      <c r="K2342" s="10" t="n">
        <v>-449</v>
      </c>
      <c r="L2342" s="7" t="inlineStr"/>
      <c r="M2342" s="8" t="n">
        <v>406</v>
      </c>
      <c r="N2342" s="8" t="n">
        <v>240</v>
      </c>
      <c r="O2342" s="9" t="inlineStr"/>
      <c r="P2342" s="10" t="n">
        <v>575</v>
      </c>
      <c r="Q2342" s="10" t="n">
        <v>747</v>
      </c>
      <c r="R2342" s="7" t="inlineStr"/>
      <c r="S2342" s="8" t="n">
        <v>-1025</v>
      </c>
      <c r="T2342" s="8" t="n">
        <v>-1772</v>
      </c>
      <c r="U2342" s="9" t="n">
        <v>7939</v>
      </c>
      <c r="V2342" s="10" t="n">
        <v>-1209</v>
      </c>
      <c r="W2342" s="10" t="n">
        <v>-1151</v>
      </c>
      <c r="X2342" s="7" t="n">
        <v>9664</v>
      </c>
      <c r="Y2342" s="8" t="n">
        <v>524</v>
      </c>
      <c r="Z2342" s="8" t="n">
        <v>1190</v>
      </c>
      <c r="AA2342" s="9" t="n">
        <v>9656</v>
      </c>
      <c r="AB2342" s="10" t="n">
        <v>535</v>
      </c>
      <c r="AC2342" s="10" t="n">
        <v>882</v>
      </c>
      <c r="AD2342" s="7" t="n">
        <v>10915</v>
      </c>
      <c r="AE2342" s="8" t="n">
        <v>1170</v>
      </c>
      <c r="AF2342" s="8" t="n">
        <v>361</v>
      </c>
      <c r="AG2342" s="9" t="n">
        <v>8900</v>
      </c>
      <c r="AH2342" s="10" t="n">
        <v>-983</v>
      </c>
      <c r="AI2342" s="10" t="n">
        <v>-1510</v>
      </c>
      <c r="AJ2342" s="11" t="n">
        <v>11735</v>
      </c>
      <c r="AK2342" s="12" t="n">
        <v>1717</v>
      </c>
      <c r="AL2342" s="12" t="n">
        <v>2261</v>
      </c>
      <c r="AM2342" s="13" t="n">
        <v>31.9</v>
      </c>
      <c r="AN2342" s="13" t="n">
        <v>21.4</v>
      </c>
      <c r="AO2342" s="13" t="n">
        <v>274.7</v>
      </c>
      <c r="AP2342" s="13" t="n">
        <v>227.7</v>
      </c>
    </row>
    <row r="2343">
      <c r="A2343" s="5" t="inlineStr">
        <is>
          <t>비트맥스</t>
        </is>
      </c>
      <c r="B2343" s="6" t="inlineStr">
        <is>
          <t>377030</t>
        </is>
      </c>
      <c r="C2343" s="6" t="inlineStr">
        <is>
          <t>연결</t>
        </is>
      </c>
      <c r="D2343" s="6" t="inlineStr">
        <is>
          <t>2026Q2</t>
        </is>
      </c>
      <c r="E2343" s="6" t="inlineStr"/>
      <c r="F2343" s="7" t="inlineStr"/>
      <c r="G2343" s="8" t="inlineStr"/>
      <c r="H2343" s="8" t="inlineStr"/>
      <c r="I2343" s="9" t="n">
        <v>10833</v>
      </c>
      <c r="J2343" s="10" t="n">
        <v>-5568</v>
      </c>
      <c r="K2343" s="10" t="n">
        <v>-5989</v>
      </c>
      <c r="L2343" s="7" t="n">
        <v>8052</v>
      </c>
      <c r="M2343" s="8" t="n">
        <v>-3843</v>
      </c>
      <c r="N2343" s="8" t="n">
        <v>-1972</v>
      </c>
      <c r="O2343" s="9" t="n">
        <v>8394</v>
      </c>
      <c r="P2343" s="10" t="n">
        <v>-4643</v>
      </c>
      <c r="Q2343" s="10" t="n">
        <v>-5132</v>
      </c>
      <c r="R2343" s="7" t="n">
        <v>9893</v>
      </c>
      <c r="S2343" s="8" t="n">
        <v>-4491</v>
      </c>
      <c r="T2343" s="8" t="n">
        <v>-13879</v>
      </c>
      <c r="U2343" s="9" t="n">
        <v>7675</v>
      </c>
      <c r="V2343" s="10" t="n">
        <v>-3416</v>
      </c>
      <c r="W2343" s="10" t="n">
        <v>-4353</v>
      </c>
      <c r="X2343" s="7" t="n">
        <v>6217</v>
      </c>
      <c r="Y2343" s="8" t="n">
        <v>-2741</v>
      </c>
      <c r="Z2343" s="8" t="n">
        <v>-65741</v>
      </c>
      <c r="AA2343" s="9" t="n">
        <v>6777</v>
      </c>
      <c r="AB2343" s="10" t="n">
        <v>-2570</v>
      </c>
      <c r="AC2343" s="10" t="n">
        <v>-5882</v>
      </c>
      <c r="AD2343" s="7" t="n">
        <v>6546</v>
      </c>
      <c r="AE2343" s="8" t="n">
        <v>-2132</v>
      </c>
      <c r="AF2343" s="8" t="n">
        <v>-20375</v>
      </c>
      <c r="AG2343" s="9" t="n">
        <v>6136</v>
      </c>
      <c r="AH2343" s="10" t="n">
        <v>-1105</v>
      </c>
      <c r="AI2343" s="10" t="n">
        <v>-16574</v>
      </c>
      <c r="AJ2343" s="11" t="n">
        <v>4532</v>
      </c>
      <c r="AK2343" s="12" t="n">
        <v>-779</v>
      </c>
      <c r="AL2343" s="12" t="n">
        <v>-9033</v>
      </c>
      <c r="AM2343" s="13" t="n">
        <v>-26.1</v>
      </c>
      <c r="AN2343" s="13" t="n">
        <v>-27.1</v>
      </c>
      <c r="AO2343" s="13" t="n">
        <v>29.5</v>
      </c>
      <c r="AP2343" s="13" t="n">
        <v>71.59999999999999</v>
      </c>
    </row>
    <row r="2344">
      <c r="A2344" s="5" t="inlineStr">
        <is>
          <t>디앤디플랫폼리츠</t>
        </is>
      </c>
      <c r="B2344" s="6" t="inlineStr">
        <is>
          <t>377190</t>
        </is>
      </c>
      <c r="C2344" s="6" t="inlineStr">
        <is>
          <t>연결</t>
        </is>
      </c>
      <c r="D2344" s="6" t="inlineStr">
        <is>
          <t>2026Q2</t>
        </is>
      </c>
      <c r="E2344" s="6" t="inlineStr"/>
      <c r="F2344" s="7" t="inlineStr"/>
      <c r="G2344" s="8" t="inlineStr"/>
      <c r="H2344" s="8" t="inlineStr"/>
      <c r="I2344" s="9" t="inlineStr"/>
      <c r="J2344" s="10" t="inlineStr"/>
      <c r="K2344" s="10" t="inlineStr"/>
      <c r="L2344" s="7" t="inlineStr"/>
      <c r="M2344" s="8" t="n">
        <v>5638</v>
      </c>
      <c r="N2344" s="8" t="n">
        <v>1611</v>
      </c>
      <c r="O2344" s="9" t="inlineStr"/>
      <c r="P2344" s="10" t="inlineStr"/>
      <c r="Q2344" s="10" t="inlineStr"/>
      <c r="R2344" s="7" t="inlineStr"/>
      <c r="S2344" s="8" t="inlineStr"/>
      <c r="T2344" s="8" t="inlineStr"/>
      <c r="U2344" s="9" t="inlineStr"/>
      <c r="V2344" s="10" t="inlineStr"/>
      <c r="W2344" s="10" t="inlineStr"/>
      <c r="X2344" s="7" t="inlineStr"/>
      <c r="Y2344" s="8" t="n">
        <v>9468</v>
      </c>
      <c r="Z2344" s="8" t="n">
        <v>3070</v>
      </c>
      <c r="AA2344" s="9" t="inlineStr"/>
      <c r="AB2344" s="10" t="inlineStr"/>
      <c r="AC2344" s="10" t="inlineStr"/>
      <c r="AD2344" s="7" t="inlineStr"/>
      <c r="AE2344" s="8" t="inlineStr"/>
      <c r="AF2344" s="8" t="inlineStr"/>
      <c r="AG2344" s="9" t="inlineStr"/>
      <c r="AH2344" s="10" t="inlineStr"/>
      <c r="AI2344" s="10" t="inlineStr"/>
      <c r="AJ2344" s="11" t="n">
        <v>14771</v>
      </c>
      <c r="AK2344" s="12" t="n">
        <v>10441</v>
      </c>
      <c r="AL2344" s="12" t="n">
        <v>2635</v>
      </c>
      <c r="AM2344" s="13" t="inlineStr"/>
      <c r="AN2344" s="13" t="inlineStr"/>
      <c r="AO2344" s="13" t="inlineStr"/>
      <c r="AP2344" s="13" t="n">
        <v>10.3</v>
      </c>
    </row>
    <row r="2345">
      <c r="A2345" s="5" t="inlineStr">
        <is>
          <t>프롬바이오</t>
        </is>
      </c>
      <c r="B2345" s="6" t="inlineStr">
        <is>
          <t>377220</t>
        </is>
      </c>
      <c r="C2345" s="6" t="inlineStr">
        <is>
          <t>연결</t>
        </is>
      </c>
      <c r="D2345" s="6" t="inlineStr">
        <is>
          <t>2026Q2</t>
        </is>
      </c>
      <c r="E2345" s="6" t="inlineStr"/>
      <c r="F2345" s="7" t="inlineStr"/>
      <c r="G2345" s="8" t="inlineStr"/>
      <c r="H2345" s="8" t="inlineStr"/>
      <c r="I2345" s="9" t="n">
        <v>19426</v>
      </c>
      <c r="J2345" s="10" t="n">
        <v>-6403</v>
      </c>
      <c r="K2345" s="10" t="n">
        <v>-6609</v>
      </c>
      <c r="L2345" s="7" t="n">
        <v>15936</v>
      </c>
      <c r="M2345" s="8" t="n">
        <v>-3729</v>
      </c>
      <c r="N2345" s="8" t="n">
        <v>-2798</v>
      </c>
      <c r="O2345" s="9" t="n">
        <v>14409</v>
      </c>
      <c r="P2345" s="10" t="n">
        <v>-4292</v>
      </c>
      <c r="Q2345" s="10" t="n">
        <v>-4589</v>
      </c>
      <c r="R2345" s="7" t="n">
        <v>17411</v>
      </c>
      <c r="S2345" s="8" t="n">
        <v>-9846</v>
      </c>
      <c r="T2345" s="8" t="n">
        <v>-12234</v>
      </c>
      <c r="U2345" s="9" t="n">
        <v>18500</v>
      </c>
      <c r="V2345" s="10" t="n">
        <v>-2308</v>
      </c>
      <c r="W2345" s="10" t="n">
        <v>-2943</v>
      </c>
      <c r="X2345" s="7" t="n">
        <v>15857</v>
      </c>
      <c r="Y2345" s="8" t="n">
        <v>-3850</v>
      </c>
      <c r="Z2345" s="8" t="n">
        <v>-4621</v>
      </c>
      <c r="AA2345" s="9" t="n">
        <v>18298</v>
      </c>
      <c r="AB2345" s="10" t="n">
        <v>-4439</v>
      </c>
      <c r="AC2345" s="10" t="n">
        <v>-4889</v>
      </c>
      <c r="AD2345" s="7" t="n">
        <v>19507</v>
      </c>
      <c r="AE2345" s="8" t="n">
        <v>-8006</v>
      </c>
      <c r="AF2345" s="8" t="n">
        <v>-10750</v>
      </c>
      <c r="AG2345" s="9" t="n">
        <v>19170</v>
      </c>
      <c r="AH2345" s="10" t="n">
        <v>-3285</v>
      </c>
      <c r="AI2345" s="10" t="n">
        <v>-3690</v>
      </c>
      <c r="AJ2345" s="11" t="n">
        <v>14665</v>
      </c>
      <c r="AK2345" s="12" t="n">
        <v>-553</v>
      </c>
      <c r="AL2345" s="12" t="n">
        <v>-1200</v>
      </c>
      <c r="AM2345" s="13" t="n">
        <v>-23.5</v>
      </c>
      <c r="AN2345" s="13" t="n">
        <v>-7.5</v>
      </c>
      <c r="AO2345" s="13" t="n">
        <v>83.2</v>
      </c>
      <c r="AP2345" s="13" t="n">
        <v>85.59999999999999</v>
      </c>
    </row>
    <row r="2346">
      <c r="A2346" s="5" t="inlineStr">
        <is>
          <t>카카오페이</t>
        </is>
      </c>
      <c r="B2346" s="6" t="inlineStr">
        <is>
          <t>377300</t>
        </is>
      </c>
      <c r="C2346" s="6" t="inlineStr">
        <is>
          <t>연결</t>
        </is>
      </c>
      <c r="D2346" s="6" t="inlineStr">
        <is>
          <t>2026Q2</t>
        </is>
      </c>
      <c r="E2346" s="6" t="inlineStr">
        <is>
          <t>2023Q4</t>
        </is>
      </c>
      <c r="F2346" s="14" t="n">
        <v>166139</v>
      </c>
      <c r="G2346" s="15" t="n">
        <v>-21483</v>
      </c>
      <c r="H2346" s="15" t="n">
        <v>-8360</v>
      </c>
      <c r="I2346" s="9" t="n">
        <v>176347</v>
      </c>
      <c r="J2346" s="10" t="n">
        <v>-9704</v>
      </c>
      <c r="K2346" s="10" t="n">
        <v>167</v>
      </c>
      <c r="L2346" s="7" t="n">
        <v>185497</v>
      </c>
      <c r="M2346" s="8" t="n">
        <v>-7270</v>
      </c>
      <c r="N2346" s="8" t="n">
        <v>626</v>
      </c>
      <c r="O2346" s="9" t="n">
        <v>186209</v>
      </c>
      <c r="P2346" s="10" t="n">
        <v>-7488</v>
      </c>
      <c r="Q2346" s="10" t="n">
        <v>-27529</v>
      </c>
      <c r="R2346" s="7" t="n">
        <v>218182</v>
      </c>
      <c r="S2346" s="8" t="n">
        <v>-33024</v>
      </c>
      <c r="T2346" s="8" t="n">
        <v>5198</v>
      </c>
      <c r="U2346" s="9" t="n">
        <v>211905</v>
      </c>
      <c r="V2346" s="10" t="n">
        <v>4411</v>
      </c>
      <c r="W2346" s="10" t="n">
        <v>14369</v>
      </c>
      <c r="X2346" s="7" t="n">
        <v>238289</v>
      </c>
      <c r="Y2346" s="8" t="n">
        <v>9328</v>
      </c>
      <c r="Z2346" s="8" t="n">
        <v>14120</v>
      </c>
      <c r="AA2346" s="9" t="n">
        <v>238350</v>
      </c>
      <c r="AB2346" s="10" t="n">
        <v>15801</v>
      </c>
      <c r="AC2346" s="10" t="n">
        <v>19149</v>
      </c>
      <c r="AD2346" s="7" t="n">
        <v>269827</v>
      </c>
      <c r="AE2346" s="8" t="n">
        <v>20827</v>
      </c>
      <c r="AF2346" s="8" t="n">
        <v>8053</v>
      </c>
      <c r="AG2346" s="9" t="n">
        <v>300286</v>
      </c>
      <c r="AH2346" s="10" t="n">
        <v>32244</v>
      </c>
      <c r="AI2346" s="10" t="n">
        <v>34700</v>
      </c>
      <c r="AJ2346" s="11" t="n">
        <v>335079</v>
      </c>
      <c r="AK2346" s="12" t="n">
        <v>58603</v>
      </c>
      <c r="AL2346" s="12" t="n">
        <v>49596</v>
      </c>
      <c r="AM2346" s="13" t="n">
        <v>11.6</v>
      </c>
      <c r="AN2346" s="13" t="n">
        <v>40.6</v>
      </c>
      <c r="AO2346" s="13" t="n">
        <v>81.7</v>
      </c>
      <c r="AP2346" s="13" t="n">
        <v>528.2</v>
      </c>
    </row>
    <row r="2347">
      <c r="A2347" s="5" t="inlineStr">
        <is>
          <t>이지트로닉스</t>
        </is>
      </c>
      <c r="B2347" s="6" t="inlineStr">
        <is>
          <t>377330</t>
        </is>
      </c>
      <c r="C2347" s="6" t="inlineStr">
        <is>
          <t>연결</t>
        </is>
      </c>
      <c r="D2347" s="6" t="inlineStr">
        <is>
          <t>2026Q2</t>
        </is>
      </c>
      <c r="E2347" s="6" t="inlineStr"/>
      <c r="F2347" s="7" t="inlineStr"/>
      <c r="G2347" s="8" t="inlineStr"/>
      <c r="H2347" s="8" t="inlineStr"/>
      <c r="I2347" s="9" t="n">
        <v>10795</v>
      </c>
      <c r="J2347" s="10" t="n">
        <v>-949</v>
      </c>
      <c r="K2347" s="10" t="n">
        <v>-790</v>
      </c>
      <c r="L2347" s="7" t="n">
        <v>5456</v>
      </c>
      <c r="M2347" s="8" t="n">
        <v>-2174</v>
      </c>
      <c r="N2347" s="8" t="n">
        <v>-1628</v>
      </c>
      <c r="O2347" s="9" t="n">
        <v>5808</v>
      </c>
      <c r="P2347" s="10" t="n">
        <v>472</v>
      </c>
      <c r="Q2347" s="10" t="n">
        <v>231</v>
      </c>
      <c r="R2347" s="7" t="n">
        <v>14445</v>
      </c>
      <c r="S2347" s="8" t="n">
        <v>-1371</v>
      </c>
      <c r="T2347" s="8" t="n">
        <v>-1291</v>
      </c>
      <c r="U2347" s="9" t="n">
        <v>4228</v>
      </c>
      <c r="V2347" s="10" t="n">
        <v>1142</v>
      </c>
      <c r="W2347" s="10" t="n">
        <v>1217</v>
      </c>
      <c r="X2347" s="7" t="n">
        <v>1276</v>
      </c>
      <c r="Y2347" s="8" t="n">
        <v>-14218</v>
      </c>
      <c r="Z2347" s="8" t="n">
        <v>-12003</v>
      </c>
      <c r="AA2347" s="9" t="n">
        <v>3220</v>
      </c>
      <c r="AB2347" s="10" t="n">
        <v>-3138</v>
      </c>
      <c r="AC2347" s="10" t="n">
        <v>-2729</v>
      </c>
      <c r="AD2347" s="7" t="n">
        <v>4520</v>
      </c>
      <c r="AE2347" s="8" t="n">
        <v>-2416</v>
      </c>
      <c r="AF2347" s="8" t="n">
        <v>-2094</v>
      </c>
      <c r="AG2347" s="9" t="n">
        <v>1422</v>
      </c>
      <c r="AH2347" s="10" t="n">
        <v>-3460</v>
      </c>
      <c r="AI2347" s="10" t="n">
        <v>-3269</v>
      </c>
      <c r="AJ2347" s="11" t="n">
        <v>3483</v>
      </c>
      <c r="AK2347" s="12" t="n">
        <v>-2321</v>
      </c>
      <c r="AL2347" s="12" t="n">
        <v>-2110</v>
      </c>
      <c r="AM2347" s="13" t="n">
        <v>144.9</v>
      </c>
      <c r="AN2347" s="13" t="n">
        <v>173</v>
      </c>
      <c r="AO2347" s="13" t="n">
        <v>32.9</v>
      </c>
      <c r="AP2347" s="13" t="n">
        <v>83.7</v>
      </c>
    </row>
    <row r="2348">
      <c r="A2348" s="5" t="inlineStr">
        <is>
          <t>리파인</t>
        </is>
      </c>
      <c r="B2348" s="6" t="inlineStr">
        <is>
          <t>377450</t>
        </is>
      </c>
      <c r="C2348" s="6" t="inlineStr">
        <is>
          <t>별도</t>
        </is>
      </c>
      <c r="D2348" s="6" t="inlineStr">
        <is>
          <t>2026Q2</t>
        </is>
      </c>
      <c r="E2348" s="6" t="inlineStr">
        <is>
          <t>2023Q4</t>
        </is>
      </c>
      <c r="F2348" s="14" t="n">
        <v>18292</v>
      </c>
      <c r="G2348" s="15" t="n">
        <v>6020</v>
      </c>
      <c r="H2348" s="15" t="n">
        <v>5243</v>
      </c>
      <c r="I2348" s="14" t="n">
        <v>17951</v>
      </c>
      <c r="J2348" s="10" t="n">
        <v>6388</v>
      </c>
      <c r="K2348" s="10" t="n">
        <v>6706</v>
      </c>
      <c r="L2348" s="7" t="inlineStr"/>
      <c r="M2348" s="8" t="n">
        <v>6178</v>
      </c>
      <c r="N2348" s="8" t="n">
        <v>5819</v>
      </c>
      <c r="O2348" s="9" t="inlineStr"/>
      <c r="P2348" s="10" t="n">
        <v>4481</v>
      </c>
      <c r="Q2348" s="10" t="n">
        <v>4451</v>
      </c>
      <c r="R2348" s="7" t="inlineStr"/>
      <c r="S2348" s="8" t="n">
        <v>3458</v>
      </c>
      <c r="T2348" s="8" t="n">
        <v>3642</v>
      </c>
      <c r="U2348" s="9" t="inlineStr"/>
      <c r="V2348" s="10" t="n">
        <v>4512</v>
      </c>
      <c r="W2348" s="10" t="n">
        <v>4235</v>
      </c>
      <c r="X2348" s="7" t="inlineStr"/>
      <c r="Y2348" s="8" t="n">
        <v>6354</v>
      </c>
      <c r="Z2348" s="8" t="n">
        <v>5559</v>
      </c>
      <c r="AA2348" s="9" t="inlineStr"/>
      <c r="AB2348" s="10" t="n">
        <v>4820</v>
      </c>
      <c r="AC2348" s="10" t="n">
        <v>6182</v>
      </c>
      <c r="AD2348" s="7" t="inlineStr"/>
      <c r="AE2348" s="8" t="n">
        <v>3255</v>
      </c>
      <c r="AF2348" s="8" t="n">
        <v>-6914</v>
      </c>
      <c r="AG2348" s="9" t="n">
        <v>15029</v>
      </c>
      <c r="AH2348" s="10" t="n">
        <v>5552</v>
      </c>
      <c r="AI2348" s="10" t="n">
        <v>5706</v>
      </c>
      <c r="AJ2348" s="11" t="n">
        <v>14114</v>
      </c>
      <c r="AK2348" s="12" t="n">
        <v>4861</v>
      </c>
      <c r="AL2348" s="12" t="n">
        <v>4839</v>
      </c>
      <c r="AM2348" s="13" t="n">
        <v>-6.1</v>
      </c>
      <c r="AN2348" s="13" t="inlineStr"/>
      <c r="AO2348" s="13" t="n">
        <v>-12.4</v>
      </c>
      <c r="AP2348" s="13" t="n">
        <v>-23.5</v>
      </c>
    </row>
    <row r="2349">
      <c r="A2349" s="5" t="inlineStr">
        <is>
          <t>큐에이드</t>
        </is>
      </c>
      <c r="B2349" s="6" t="inlineStr">
        <is>
          <t>377460</t>
        </is>
      </c>
      <c r="C2349" s="6" t="inlineStr">
        <is>
          <t>별도</t>
        </is>
      </c>
      <c r="D2349" s="6" t="inlineStr">
        <is>
          <t>2026Q2</t>
        </is>
      </c>
      <c r="E2349" s="6" t="inlineStr"/>
      <c r="F2349" s="7" t="inlineStr"/>
      <c r="G2349" s="8" t="inlineStr"/>
      <c r="H2349" s="8" t="inlineStr"/>
      <c r="I2349" s="9" t="n">
        <v>25267</v>
      </c>
      <c r="J2349" s="10" t="n">
        <v>-9285</v>
      </c>
      <c r="K2349" s="10" t="n">
        <v>-10537</v>
      </c>
      <c r="L2349" s="7" t="n">
        <v>29307</v>
      </c>
      <c r="M2349" s="8" t="n">
        <v>-4534</v>
      </c>
      <c r="N2349" s="8" t="n">
        <v>-7151</v>
      </c>
      <c r="O2349" s="9" t="n">
        <v>33616</v>
      </c>
      <c r="P2349" s="10" t="n">
        <v>-1287</v>
      </c>
      <c r="Q2349" s="10" t="n">
        <v>-2536</v>
      </c>
      <c r="R2349" s="7" t="n">
        <v>28114</v>
      </c>
      <c r="S2349" s="8" t="n">
        <v>14179</v>
      </c>
      <c r="T2349" s="8" t="n">
        <v>-29218</v>
      </c>
      <c r="U2349" s="9" t="n">
        <v>20630</v>
      </c>
      <c r="V2349" s="10" t="n">
        <v>-1146</v>
      </c>
      <c r="W2349" s="10" t="n">
        <v>-5967</v>
      </c>
      <c r="X2349" s="7" t="n">
        <v>23359</v>
      </c>
      <c r="Y2349" s="8" t="n">
        <v>947</v>
      </c>
      <c r="Z2349" s="8" t="n">
        <v>10155</v>
      </c>
      <c r="AA2349" s="9" t="n">
        <v>25961</v>
      </c>
      <c r="AB2349" s="10" t="n">
        <v>-1028</v>
      </c>
      <c r="AC2349" s="10" t="n">
        <v>-343</v>
      </c>
      <c r="AD2349" s="7" t="n">
        <v>21699</v>
      </c>
      <c r="AE2349" s="8" t="n">
        <v>-687</v>
      </c>
      <c r="AF2349" s="8" t="n">
        <v>3320</v>
      </c>
      <c r="AG2349" s="9" t="n">
        <v>19220</v>
      </c>
      <c r="AH2349" s="10" t="n">
        <v>-1394</v>
      </c>
      <c r="AI2349" s="10" t="n">
        <v>-1503</v>
      </c>
      <c r="AJ2349" s="11" t="n">
        <v>23530</v>
      </c>
      <c r="AK2349" s="12" t="n">
        <v>-700</v>
      </c>
      <c r="AL2349" s="12" t="n">
        <v>-1975</v>
      </c>
      <c r="AM2349" s="13" t="n">
        <v>22.4</v>
      </c>
      <c r="AN2349" s="13" t="n">
        <v>0.7</v>
      </c>
      <c r="AO2349" s="13" t="n">
        <v>49.8</v>
      </c>
      <c r="AP2349" s="13" t="n">
        <v>-173.9</v>
      </c>
    </row>
    <row r="2350">
      <c r="A2350" s="5" t="inlineStr">
        <is>
          <t>마음AI</t>
        </is>
      </c>
      <c r="B2350" s="6" t="inlineStr">
        <is>
          <t>377480</t>
        </is>
      </c>
      <c r="C2350" s="6" t="inlineStr">
        <is>
          <t>연결</t>
        </is>
      </c>
      <c r="D2350" s="6" t="inlineStr">
        <is>
          <t>2026Q2</t>
        </is>
      </c>
      <c r="E2350" s="6" t="inlineStr"/>
      <c r="F2350" s="7" t="inlineStr"/>
      <c r="G2350" s="8" t="inlineStr"/>
      <c r="H2350" s="8" t="inlineStr"/>
      <c r="I2350" s="9" t="n">
        <v>1879</v>
      </c>
      <c r="J2350" s="10" t="n">
        <v>-1686</v>
      </c>
      <c r="K2350" s="10" t="n">
        <v>-1938</v>
      </c>
      <c r="L2350" s="7" t="n">
        <v>2195</v>
      </c>
      <c r="M2350" s="8" t="n">
        <v>-1731</v>
      </c>
      <c r="N2350" s="8" t="n">
        <v>770</v>
      </c>
      <c r="O2350" s="9" t="n">
        <v>1802</v>
      </c>
      <c r="P2350" s="10" t="n">
        <v>-1853</v>
      </c>
      <c r="Q2350" s="10" t="n">
        <v>-2329</v>
      </c>
      <c r="R2350" s="7" t="n">
        <v>1898</v>
      </c>
      <c r="S2350" s="8" t="n">
        <v>-1848</v>
      </c>
      <c r="T2350" s="8" t="n">
        <v>-5183</v>
      </c>
      <c r="U2350" s="9" t="n">
        <v>2048</v>
      </c>
      <c r="V2350" s="10" t="n">
        <v>-1897</v>
      </c>
      <c r="W2350" s="10" t="n">
        <v>-4259</v>
      </c>
      <c r="X2350" s="7" t="n">
        <v>2301</v>
      </c>
      <c r="Y2350" s="8" t="n">
        <v>-1603</v>
      </c>
      <c r="Z2350" s="8" t="n">
        <v>-1858</v>
      </c>
      <c r="AA2350" s="9" t="n">
        <v>2083</v>
      </c>
      <c r="AB2350" s="10" t="n">
        <v>-1614</v>
      </c>
      <c r="AC2350" s="10" t="n">
        <v>-1781</v>
      </c>
      <c r="AD2350" s="7" t="n">
        <v>3354</v>
      </c>
      <c r="AE2350" s="8" t="n">
        <v>-1262</v>
      </c>
      <c r="AF2350" s="8" t="n">
        <v>238</v>
      </c>
      <c r="AG2350" s="9" t="n">
        <v>1711</v>
      </c>
      <c r="AH2350" s="10" t="n">
        <v>-2086</v>
      </c>
      <c r="AI2350" s="10" t="n">
        <v>-2198</v>
      </c>
      <c r="AJ2350" s="11" t="n">
        <v>962</v>
      </c>
      <c r="AK2350" s="12" t="n">
        <v>-3014</v>
      </c>
      <c r="AL2350" s="12" t="n">
        <v>-1352</v>
      </c>
      <c r="AM2350" s="13" t="n">
        <v>-43.8</v>
      </c>
      <c r="AN2350" s="13" t="n">
        <v>-58.2</v>
      </c>
      <c r="AO2350" s="13" t="n">
        <v>-44.5</v>
      </c>
      <c r="AP2350" s="13" t="n">
        <v>-88</v>
      </c>
    </row>
    <row r="2351">
      <c r="A2351" s="5" t="inlineStr">
        <is>
          <t>바이오노트</t>
        </is>
      </c>
      <c r="B2351" s="6" t="inlineStr">
        <is>
          <t>377740</t>
        </is>
      </c>
      <c r="C2351" s="6" t="inlineStr">
        <is>
          <t>연결</t>
        </is>
      </c>
      <c r="D2351" s="6" t="inlineStr">
        <is>
          <t>2026Q2</t>
        </is>
      </c>
      <c r="E2351" s="6" t="inlineStr">
        <is>
          <t>2023Q4</t>
        </is>
      </c>
      <c r="F2351" s="14" t="n">
        <v>21769</v>
      </c>
      <c r="G2351" s="15" t="n">
        <v>1846</v>
      </c>
      <c r="H2351" s="15" t="n">
        <v>-2107</v>
      </c>
      <c r="I2351" s="9" t="n">
        <v>25309</v>
      </c>
      <c r="J2351" s="10" t="n">
        <v>3473</v>
      </c>
      <c r="K2351" s="10" t="inlineStr"/>
      <c r="L2351" s="7" t="n">
        <v>26278</v>
      </c>
      <c r="M2351" s="8" t="n">
        <v>2664</v>
      </c>
      <c r="N2351" s="8" t="inlineStr"/>
      <c r="O2351" s="9" t="n">
        <v>26450</v>
      </c>
      <c r="P2351" s="10" t="n">
        <v>3535</v>
      </c>
      <c r="Q2351" s="10" t="inlineStr"/>
      <c r="R2351" s="7" t="n">
        <v>24743</v>
      </c>
      <c r="S2351" s="8" t="n">
        <v>2543</v>
      </c>
      <c r="T2351" s="15" t="n">
        <v>11226</v>
      </c>
      <c r="U2351" s="9" t="n">
        <v>28446</v>
      </c>
      <c r="V2351" s="10" t="n">
        <v>4694</v>
      </c>
      <c r="W2351" s="10" t="n">
        <v>4028</v>
      </c>
      <c r="X2351" s="7" t="n">
        <v>32406</v>
      </c>
      <c r="Y2351" s="8" t="n">
        <v>6349</v>
      </c>
      <c r="Z2351" s="8" t="n">
        <v>84531</v>
      </c>
      <c r="AA2351" s="9" t="n">
        <v>29500</v>
      </c>
      <c r="AB2351" s="10" t="n">
        <v>4822</v>
      </c>
      <c r="AC2351" s="10" t="n">
        <v>17941</v>
      </c>
      <c r="AD2351" s="7" t="n">
        <v>27972</v>
      </c>
      <c r="AE2351" s="8" t="n">
        <v>841</v>
      </c>
      <c r="AF2351" s="8" t="n">
        <v>-193998</v>
      </c>
      <c r="AG2351" s="9" t="n">
        <v>32567</v>
      </c>
      <c r="AH2351" s="10" t="n">
        <v>6345</v>
      </c>
      <c r="AI2351" s="10" t="n">
        <v>41299</v>
      </c>
      <c r="AJ2351" s="11" t="n">
        <v>36368</v>
      </c>
      <c r="AK2351" s="12" t="n">
        <v>8457</v>
      </c>
      <c r="AL2351" s="12" t="n">
        <v>9072</v>
      </c>
      <c r="AM2351" s="13" t="n">
        <v>11.7</v>
      </c>
      <c r="AN2351" s="13" t="n">
        <v>12.2</v>
      </c>
      <c r="AO2351" s="13" t="n">
        <v>33.3</v>
      </c>
      <c r="AP2351" s="13" t="n">
        <v>33.2</v>
      </c>
    </row>
    <row r="2352">
      <c r="A2352" s="5" t="inlineStr">
        <is>
          <t>필에너지</t>
        </is>
      </c>
      <c r="B2352" s="6" t="inlineStr">
        <is>
          <t>378340</t>
        </is>
      </c>
      <c r="C2352" s="6" t="inlineStr">
        <is>
          <t>연결</t>
        </is>
      </c>
      <c r="D2352" s="6" t="inlineStr">
        <is>
          <t>2026Q2</t>
        </is>
      </c>
      <c r="E2352" s="6" t="inlineStr"/>
      <c r="F2352" s="7" t="inlineStr"/>
      <c r="G2352" s="8" t="inlineStr"/>
      <c r="H2352" s="8" t="inlineStr"/>
      <c r="I2352" s="9" t="n">
        <v>57329</v>
      </c>
      <c r="J2352" s="10" t="n">
        <v>982</v>
      </c>
      <c r="K2352" s="10" t="n">
        <v>649</v>
      </c>
      <c r="L2352" s="7" t="n">
        <v>94237</v>
      </c>
      <c r="M2352" s="8" t="n">
        <v>7705</v>
      </c>
      <c r="N2352" s="8" t="n">
        <v>6108</v>
      </c>
      <c r="O2352" s="9" t="n">
        <v>57738</v>
      </c>
      <c r="P2352" s="10" t="n">
        <v>2228</v>
      </c>
      <c r="Q2352" s="10" t="n">
        <v>1463</v>
      </c>
      <c r="R2352" s="7" t="n">
        <v>76096</v>
      </c>
      <c r="S2352" s="8" t="n">
        <v>3287</v>
      </c>
      <c r="T2352" s="8" t="n">
        <v>5146</v>
      </c>
      <c r="U2352" s="9" t="n">
        <v>958</v>
      </c>
      <c r="V2352" s="10" t="n">
        <v>-6025</v>
      </c>
      <c r="W2352" s="10" t="n">
        <v>-5381</v>
      </c>
      <c r="X2352" s="7" t="n">
        <v>22919</v>
      </c>
      <c r="Y2352" s="8" t="n">
        <v>-3854</v>
      </c>
      <c r="Z2352" s="8" t="n">
        <v>-2907</v>
      </c>
      <c r="AA2352" s="9" t="n">
        <v>1362</v>
      </c>
      <c r="AB2352" s="10" t="n">
        <v>-5377</v>
      </c>
      <c r="AC2352" s="10" t="n">
        <v>-4700</v>
      </c>
      <c r="AD2352" s="7" t="n">
        <v>7955</v>
      </c>
      <c r="AE2352" s="8" t="n">
        <v>-6918</v>
      </c>
      <c r="AF2352" s="8" t="n">
        <v>-2861</v>
      </c>
      <c r="AG2352" s="9" t="n">
        <v>1738</v>
      </c>
      <c r="AH2352" s="10" t="n">
        <v>-3882</v>
      </c>
      <c r="AI2352" s="10" t="n">
        <v>-4097</v>
      </c>
      <c r="AJ2352" s="11" t="n">
        <v>2391</v>
      </c>
      <c r="AK2352" s="12" t="n">
        <v>-7144</v>
      </c>
      <c r="AL2352" s="12" t="n">
        <v>-3797</v>
      </c>
      <c r="AM2352" s="13" t="n">
        <v>37.6</v>
      </c>
      <c r="AN2352" s="13" t="n">
        <v>-89.59999999999999</v>
      </c>
      <c r="AO2352" s="13" t="n">
        <v>-84</v>
      </c>
      <c r="AP2352" s="13" t="n">
        <v>-85.40000000000001</v>
      </c>
    </row>
    <row r="2353">
      <c r="A2353" s="5" t="inlineStr">
        <is>
          <t>샤페론</t>
        </is>
      </c>
      <c r="B2353" s="6" t="inlineStr">
        <is>
          <t>378800</t>
        </is>
      </c>
      <c r="C2353" s="6" t="inlineStr">
        <is>
          <t>연결</t>
        </is>
      </c>
      <c r="D2353" s="6" t="inlineStr">
        <is>
          <t>2026Q2</t>
        </is>
      </c>
      <c r="E2353" s="6" t="inlineStr"/>
      <c r="F2353" s="7" t="inlineStr"/>
      <c r="G2353" s="8" t="inlineStr"/>
      <c r="H2353" s="8" t="inlineStr"/>
      <c r="I2353" s="9" t="inlineStr"/>
      <c r="J2353" s="10" t="n">
        <v>-4837</v>
      </c>
      <c r="K2353" s="10" t="n">
        <v>-4850</v>
      </c>
      <c r="L2353" s="7" t="n">
        <v>18</v>
      </c>
      <c r="M2353" s="8" t="n">
        <v>-3686</v>
      </c>
      <c r="N2353" s="8" t="n">
        <v>-3710</v>
      </c>
      <c r="O2353" s="9" t="n">
        <v>0</v>
      </c>
      <c r="P2353" s="10" t="n">
        <v>-3085</v>
      </c>
      <c r="Q2353" s="10" t="n">
        <v>-2923</v>
      </c>
      <c r="R2353" s="7" t="inlineStr"/>
      <c r="S2353" s="8" t="n">
        <v>-3534</v>
      </c>
      <c r="T2353" s="8" t="n">
        <v>-3420</v>
      </c>
      <c r="U2353" s="9" t="n">
        <v>12</v>
      </c>
      <c r="V2353" s="10" t="n">
        <v>-3633</v>
      </c>
      <c r="W2353" s="10" t="n">
        <v>-3528</v>
      </c>
      <c r="X2353" s="7" t="n">
        <v>0</v>
      </c>
      <c r="Y2353" s="8" t="n">
        <v>-3372</v>
      </c>
      <c r="Z2353" s="8" t="n">
        <v>-3407</v>
      </c>
      <c r="AA2353" s="9" t="n">
        <v>168</v>
      </c>
      <c r="AB2353" s="10" t="n">
        <v>-4386</v>
      </c>
      <c r="AC2353" s="10" t="n">
        <v>-4234</v>
      </c>
      <c r="AD2353" s="7" t="n">
        <v>48</v>
      </c>
      <c r="AE2353" s="8" t="n">
        <v>-4448</v>
      </c>
      <c r="AF2353" s="8" t="n">
        <v>-4359</v>
      </c>
      <c r="AG2353" s="9" t="n">
        <v>65</v>
      </c>
      <c r="AH2353" s="10" t="n">
        <v>-3668</v>
      </c>
      <c r="AI2353" s="10" t="n">
        <v>-3544</v>
      </c>
      <c r="AJ2353" s="11" t="n">
        <v>41</v>
      </c>
      <c r="AK2353" s="12" t="n">
        <v>-3115</v>
      </c>
      <c r="AL2353" s="12" t="n">
        <v>-3697</v>
      </c>
      <c r="AM2353" s="13" t="n">
        <v>-36.9</v>
      </c>
      <c r="AN2353" s="13" t="inlineStr"/>
      <c r="AO2353" s="13" t="n">
        <v>15.1</v>
      </c>
      <c r="AP2353" s="13" t="n">
        <v>7.6</v>
      </c>
    </row>
    <row r="2354">
      <c r="A2354" s="5" t="inlineStr">
        <is>
          <t>화승알앤에이</t>
        </is>
      </c>
      <c r="B2354" s="6" t="inlineStr">
        <is>
          <t>378850</t>
        </is>
      </c>
      <c r="C2354" s="6" t="inlineStr">
        <is>
          <t>연결</t>
        </is>
      </c>
      <c r="D2354" s="6" t="inlineStr">
        <is>
          <t>2026Q2</t>
        </is>
      </c>
      <c r="E2354" s="6" t="inlineStr"/>
      <c r="F2354" s="7" t="inlineStr"/>
      <c r="G2354" s="8" t="inlineStr"/>
      <c r="H2354" s="8" t="inlineStr"/>
      <c r="I2354" s="9" t="n">
        <v>169838</v>
      </c>
      <c r="J2354" s="10" t="n">
        <v>8109</v>
      </c>
      <c r="K2354" s="10" t="n">
        <v>8875</v>
      </c>
      <c r="L2354" s="7" t="n">
        <v>189463</v>
      </c>
      <c r="M2354" s="8" t="n">
        <v>12041</v>
      </c>
      <c r="N2354" s="8" t="n">
        <v>10257</v>
      </c>
      <c r="O2354" s="9" t="n">
        <v>162239</v>
      </c>
      <c r="P2354" s="10" t="n">
        <v>5986</v>
      </c>
      <c r="Q2354" s="10" t="n">
        <v>-1307</v>
      </c>
      <c r="R2354" s="7" t="n">
        <v>185591</v>
      </c>
      <c r="S2354" s="8" t="n">
        <v>5210</v>
      </c>
      <c r="T2354" s="8" t="n">
        <v>14598</v>
      </c>
      <c r="U2354" s="9" t="n">
        <v>173229</v>
      </c>
      <c r="V2354" s="10" t="n">
        <v>7813</v>
      </c>
      <c r="W2354" s="10" t="n">
        <v>5064</v>
      </c>
      <c r="X2354" s="7" t="n">
        <v>181636</v>
      </c>
      <c r="Y2354" s="8" t="n">
        <v>5355</v>
      </c>
      <c r="Z2354" s="8" t="n">
        <v>-2857</v>
      </c>
      <c r="AA2354" s="9" t="n">
        <v>174670</v>
      </c>
      <c r="AB2354" s="10" t="n">
        <v>10257</v>
      </c>
      <c r="AC2354" s="10" t="n">
        <v>9873</v>
      </c>
      <c r="AD2354" s="7" t="n">
        <v>185025</v>
      </c>
      <c r="AE2354" s="8" t="n">
        <v>3657</v>
      </c>
      <c r="AF2354" s="8" t="n">
        <v>6154</v>
      </c>
      <c r="AG2354" s="9" t="n">
        <v>184716</v>
      </c>
      <c r="AH2354" s="10" t="n">
        <v>9057</v>
      </c>
      <c r="AI2354" s="10" t="n">
        <v>10915</v>
      </c>
      <c r="AJ2354" s="11" t="n">
        <v>201186</v>
      </c>
      <c r="AK2354" s="12" t="n">
        <v>10561</v>
      </c>
      <c r="AL2354" s="12" t="n">
        <v>8227</v>
      </c>
      <c r="AM2354" s="13" t="n">
        <v>8.9</v>
      </c>
      <c r="AN2354" s="13" t="n">
        <v>10.8</v>
      </c>
      <c r="AO2354" s="13" t="n">
        <v>16.6</v>
      </c>
      <c r="AP2354" s="13" t="n">
        <v>97.2</v>
      </c>
    </row>
    <row r="2355">
      <c r="A2355" s="5" t="inlineStr">
        <is>
          <t>옵티코어</t>
        </is>
      </c>
      <c r="B2355" s="6" t="inlineStr">
        <is>
          <t>380540</t>
        </is>
      </c>
      <c r="C2355" s="6" t="inlineStr">
        <is>
          <t>연결</t>
        </is>
      </c>
      <c r="D2355" s="6" t="inlineStr">
        <is>
          <t>2026Q2</t>
        </is>
      </c>
      <c r="E2355" s="6" t="inlineStr"/>
      <c r="F2355" s="7" t="inlineStr"/>
      <c r="G2355" s="8" t="inlineStr"/>
      <c r="H2355" s="8" t="inlineStr"/>
      <c r="I2355" s="9" t="n">
        <v>4374</v>
      </c>
      <c r="J2355" s="10" t="n">
        <v>-2234</v>
      </c>
      <c r="K2355" s="10" t="n">
        <v>-2363</v>
      </c>
      <c r="L2355" s="7" t="n">
        <v>5066</v>
      </c>
      <c r="M2355" s="8" t="n">
        <v>-2549</v>
      </c>
      <c r="N2355" s="8" t="n">
        <v>1482</v>
      </c>
      <c r="O2355" s="9" t="n">
        <v>5507</v>
      </c>
      <c r="P2355" s="10" t="n">
        <v>-1680</v>
      </c>
      <c r="Q2355" s="10" t="n">
        <v>-1969</v>
      </c>
      <c r="R2355" s="7" t="n">
        <v>8355</v>
      </c>
      <c r="S2355" s="8" t="n">
        <v>-60</v>
      </c>
      <c r="T2355" s="8" t="n">
        <v>-3866</v>
      </c>
      <c r="U2355" s="9" t="n">
        <v>3126</v>
      </c>
      <c r="V2355" s="10" t="n">
        <v>-1103</v>
      </c>
      <c r="W2355" s="10" t="n">
        <v>-1114</v>
      </c>
      <c r="X2355" s="7" t="n">
        <v>2064</v>
      </c>
      <c r="Y2355" s="8" t="n">
        <v>-2574</v>
      </c>
      <c r="Z2355" s="8" t="n">
        <v>-10774</v>
      </c>
      <c r="AA2355" s="9" t="n">
        <v>3130</v>
      </c>
      <c r="AB2355" s="10" t="n">
        <v>-1422</v>
      </c>
      <c r="AC2355" s="10" t="n">
        <v>-3690</v>
      </c>
      <c r="AD2355" s="7" t="n">
        <v>13192</v>
      </c>
      <c r="AE2355" s="8" t="n">
        <v>-828</v>
      </c>
      <c r="AF2355" s="8" t="n">
        <v>-6975</v>
      </c>
      <c r="AG2355" s="9" t="n">
        <v>11901</v>
      </c>
      <c r="AH2355" s="10" t="n">
        <v>-661</v>
      </c>
      <c r="AI2355" s="10" t="n">
        <v>-2355</v>
      </c>
      <c r="AJ2355" s="11" t="n">
        <v>3388</v>
      </c>
      <c r="AK2355" s="12" t="n">
        <v>-1873</v>
      </c>
      <c r="AL2355" s="12" t="n">
        <v>-9701</v>
      </c>
      <c r="AM2355" s="13" t="n">
        <v>-71.5</v>
      </c>
      <c r="AN2355" s="13" t="n">
        <v>64.09999999999999</v>
      </c>
      <c r="AO2355" s="13" t="n">
        <v>-183.4</v>
      </c>
      <c r="AP2355" s="13" t="n">
        <v>27.2</v>
      </c>
    </row>
    <row r="2356">
      <c r="A2356" s="5" t="inlineStr">
        <is>
          <t>뉴로핏</t>
        </is>
      </c>
      <c r="B2356" s="6" t="inlineStr">
        <is>
          <t>380550</t>
        </is>
      </c>
      <c r="C2356" s="6" t="inlineStr">
        <is>
          <t>연결</t>
        </is>
      </c>
      <c r="D2356" s="6" t="inlineStr">
        <is>
          <t>2026Q2</t>
        </is>
      </c>
      <c r="E2356" s="6" t="inlineStr"/>
      <c r="F2356" s="7" t="inlineStr"/>
      <c r="G2356" s="8" t="inlineStr"/>
      <c r="H2356" s="8" t="inlineStr"/>
      <c r="I2356" s="9" t="inlineStr"/>
      <c r="J2356" s="10" t="inlineStr"/>
      <c r="K2356" s="10" t="inlineStr"/>
      <c r="L2356" s="7" t="inlineStr"/>
      <c r="M2356" s="8" t="inlineStr"/>
      <c r="N2356" s="8" t="inlineStr"/>
      <c r="O2356" s="9" t="inlineStr"/>
      <c r="P2356" s="10" t="inlineStr"/>
      <c r="Q2356" s="10" t="inlineStr"/>
      <c r="R2356" s="7" t="inlineStr"/>
      <c r="S2356" s="8" t="inlineStr"/>
      <c r="T2356" s="8" t="inlineStr"/>
      <c r="U2356" s="9" t="inlineStr"/>
      <c r="V2356" s="10" t="inlineStr"/>
      <c r="W2356" s="10" t="inlineStr"/>
      <c r="X2356" s="7" t="n">
        <v>755</v>
      </c>
      <c r="Y2356" s="8" t="n">
        <v>-3369</v>
      </c>
      <c r="Z2356" s="8" t="n">
        <v>-5932</v>
      </c>
      <c r="AA2356" s="9" t="n">
        <v>763</v>
      </c>
      <c r="AB2356" s="10" t="n">
        <v>-4227</v>
      </c>
      <c r="AC2356" s="10" t="n">
        <v>-6772</v>
      </c>
      <c r="AD2356" s="7" t="inlineStr"/>
      <c r="AE2356" s="8" t="inlineStr"/>
      <c r="AF2356" s="8" t="inlineStr"/>
      <c r="AG2356" s="9" t="n">
        <v>481</v>
      </c>
      <c r="AH2356" s="10" t="n">
        <v>-5816</v>
      </c>
      <c r="AI2356" s="10" t="n">
        <v>-5742</v>
      </c>
      <c r="AJ2356" s="11" t="n">
        <v>782</v>
      </c>
      <c r="AK2356" s="12" t="n">
        <v>-5232</v>
      </c>
      <c r="AL2356" s="12" t="n">
        <v>-5660</v>
      </c>
      <c r="AM2356" s="13" t="n">
        <v>62.6</v>
      </c>
      <c r="AN2356" s="13" t="n">
        <v>3.6</v>
      </c>
      <c r="AO2356" s="13" t="n">
        <v>10</v>
      </c>
      <c r="AP2356" s="13" t="n">
        <v>-55.3</v>
      </c>
    </row>
    <row r="2357">
      <c r="A2357" s="5" t="inlineStr">
        <is>
          <t>제닉스로보틱스</t>
        </is>
      </c>
      <c r="B2357" s="6" t="inlineStr">
        <is>
          <t>381620</t>
        </is>
      </c>
      <c r="C2357" s="6" t="inlineStr">
        <is>
          <t>연결</t>
        </is>
      </c>
      <c r="D2357" s="6" t="inlineStr">
        <is>
          <t>2026Q2</t>
        </is>
      </c>
      <c r="E2357" s="6" t="inlineStr">
        <is>
          <t>2024Q4</t>
        </is>
      </c>
      <c r="F2357" s="7" t="inlineStr"/>
      <c r="G2357" s="8" t="inlineStr"/>
      <c r="H2357" s="8" t="inlineStr"/>
      <c r="I2357" s="9" t="inlineStr"/>
      <c r="J2357" s="10" t="inlineStr"/>
      <c r="K2357" s="10" t="inlineStr"/>
      <c r="L2357" s="7" t="inlineStr"/>
      <c r="M2357" s="8" t="inlineStr"/>
      <c r="N2357" s="8" t="inlineStr"/>
      <c r="O2357" s="9" t="n">
        <v>12365</v>
      </c>
      <c r="P2357" s="10" t="n">
        <v>749</v>
      </c>
      <c r="Q2357" s="10" t="n">
        <v>591</v>
      </c>
      <c r="R2357" s="14" t="n">
        <v>20365</v>
      </c>
      <c r="S2357" s="15" t="n">
        <v>522</v>
      </c>
      <c r="T2357" s="15" t="n">
        <v>2193</v>
      </c>
      <c r="U2357" s="9" t="n">
        <v>5500</v>
      </c>
      <c r="V2357" s="10" t="n">
        <v>-1542</v>
      </c>
      <c r="W2357" s="10" t="n">
        <v>-370</v>
      </c>
      <c r="X2357" s="7" t="n">
        <v>7076</v>
      </c>
      <c r="Y2357" s="8" t="n">
        <v>-2912</v>
      </c>
      <c r="Z2357" s="8" t="n">
        <v>-2252</v>
      </c>
      <c r="AA2357" s="9" t="n">
        <v>8204</v>
      </c>
      <c r="AB2357" s="10" t="n">
        <v>-3790</v>
      </c>
      <c r="AC2357" s="10" t="n">
        <v>-2765</v>
      </c>
      <c r="AD2357" s="7" t="n">
        <v>1885</v>
      </c>
      <c r="AE2357" s="8" t="n">
        <v>-4069</v>
      </c>
      <c r="AF2357" s="8" t="n">
        <v>-1937</v>
      </c>
      <c r="AG2357" s="9" t="n">
        <v>4317</v>
      </c>
      <c r="AH2357" s="10" t="n">
        <v>-3107</v>
      </c>
      <c r="AI2357" s="10" t="n">
        <v>-2398</v>
      </c>
      <c r="AJ2357" s="11" t="n">
        <v>4477</v>
      </c>
      <c r="AK2357" s="12" t="n">
        <v>-2530</v>
      </c>
      <c r="AL2357" s="12" t="n">
        <v>-566</v>
      </c>
      <c r="AM2357" s="13" t="n">
        <v>3.7</v>
      </c>
      <c r="AN2357" s="13" t="n">
        <v>-36.7</v>
      </c>
      <c r="AO2357" s="13" t="n">
        <v>18.6</v>
      </c>
      <c r="AP2357" s="13" t="n">
        <v>13.1</v>
      </c>
    </row>
    <row r="2358">
      <c r="A2358" s="5" t="inlineStr">
        <is>
          <t>케이카</t>
        </is>
      </c>
      <c r="B2358" s="6" t="inlineStr">
        <is>
          <t>381970</t>
        </is>
      </c>
      <c r="C2358" s="6" t="inlineStr">
        <is>
          <t>별도</t>
        </is>
      </c>
      <c r="D2358" s="6" t="inlineStr">
        <is>
          <t>2026Q2</t>
        </is>
      </c>
      <c r="E2358" s="6" t="inlineStr">
        <is>
          <t>2023Q4</t>
        </is>
      </c>
      <c r="F2358" s="14" t="n">
        <v>495606</v>
      </c>
      <c r="G2358" s="15" t="n">
        <v>11922</v>
      </c>
      <c r="H2358" s="15" t="n">
        <v>4828</v>
      </c>
      <c r="I2358" s="9" t="n">
        <v>604428</v>
      </c>
      <c r="J2358" s="10" t="n">
        <v>17624</v>
      </c>
      <c r="K2358" s="10" t="n">
        <v>11788</v>
      </c>
      <c r="L2358" s="7" t="n">
        <v>589014</v>
      </c>
      <c r="M2358" s="8" t="n">
        <v>18103</v>
      </c>
      <c r="N2358" s="8" t="n">
        <v>11813</v>
      </c>
      <c r="O2358" s="9" t="n">
        <v>579697</v>
      </c>
      <c r="P2358" s="10" t="n">
        <v>17103</v>
      </c>
      <c r="Q2358" s="10" t="n">
        <v>11025</v>
      </c>
      <c r="R2358" s="7" t="n">
        <v>528391</v>
      </c>
      <c r="S2358" s="8" t="n">
        <v>15279</v>
      </c>
      <c r="T2358" s="8" t="n">
        <v>9339</v>
      </c>
      <c r="U2358" s="9" t="n">
        <v>604654</v>
      </c>
      <c r="V2358" s="10" t="n">
        <v>21464</v>
      </c>
      <c r="W2358" s="10" t="n">
        <v>14439</v>
      </c>
      <c r="X2358" s="7" t="n">
        <v>608869</v>
      </c>
      <c r="Y2358" s="8" t="n">
        <v>18121</v>
      </c>
      <c r="Z2358" s="8" t="n">
        <v>12012</v>
      </c>
      <c r="AA2358" s="9" t="n">
        <v>665536</v>
      </c>
      <c r="AB2358" s="10" t="n">
        <v>24000</v>
      </c>
      <c r="AC2358" s="10" t="n">
        <v>17170</v>
      </c>
      <c r="AD2358" s="7" t="n">
        <v>559780</v>
      </c>
      <c r="AE2358" s="8" t="n">
        <v>12389</v>
      </c>
      <c r="AF2358" s="8" t="n">
        <v>7265</v>
      </c>
      <c r="AG2358" s="9" t="n">
        <v>572135</v>
      </c>
      <c r="AH2358" s="10" t="n">
        <v>14208</v>
      </c>
      <c r="AI2358" s="10" t="n">
        <v>10232</v>
      </c>
      <c r="AJ2358" s="11" t="n">
        <v>439157</v>
      </c>
      <c r="AK2358" s="12" t="n">
        <v>-33635</v>
      </c>
      <c r="AL2358" s="12" t="n">
        <v>-27103</v>
      </c>
      <c r="AM2358" s="13" t="n">
        <v>-23.2</v>
      </c>
      <c r="AN2358" s="13" t="n">
        <v>-27.9</v>
      </c>
      <c r="AO2358" s="13" t="n">
        <v>-336.7</v>
      </c>
      <c r="AP2358" s="13" t="n">
        <v>-285.6</v>
      </c>
    </row>
    <row r="2359">
      <c r="A2359" s="5" t="inlineStr">
        <is>
          <t>온코크로스</t>
        </is>
      </c>
      <c r="B2359" s="6" t="inlineStr">
        <is>
          <t>382150</t>
        </is>
      </c>
      <c r="C2359" s="6" t="inlineStr">
        <is>
          <t>연결</t>
        </is>
      </c>
      <c r="D2359" s="6" t="inlineStr">
        <is>
          <t>2026Q2</t>
        </is>
      </c>
      <c r="E2359" s="6" t="inlineStr"/>
      <c r="F2359" s="7" t="inlineStr"/>
      <c r="G2359" s="8" t="inlineStr"/>
      <c r="H2359" s="8" t="inlineStr"/>
      <c r="I2359" s="9" t="n">
        <v>60</v>
      </c>
      <c r="J2359" s="10" t="n">
        <v>-1612</v>
      </c>
      <c r="K2359" s="10" t="n">
        <v>-1473</v>
      </c>
      <c r="L2359" s="7" t="n">
        <v>174</v>
      </c>
      <c r="M2359" s="8" t="n">
        <v>-1503</v>
      </c>
      <c r="N2359" s="8" t="n">
        <v>-1362</v>
      </c>
      <c r="O2359" s="9" t="n">
        <v>183</v>
      </c>
      <c r="P2359" s="10" t="n">
        <v>-1478</v>
      </c>
      <c r="Q2359" s="10" t="n">
        <v>-1371</v>
      </c>
      <c r="R2359" s="7" t="n">
        <v>655</v>
      </c>
      <c r="S2359" s="8" t="n">
        <v>-2372</v>
      </c>
      <c r="T2359" s="8" t="n">
        <v>-2277</v>
      </c>
      <c r="U2359" s="9" t="n">
        <v>63</v>
      </c>
      <c r="V2359" s="10" t="n">
        <v>-2386</v>
      </c>
      <c r="W2359" s="10" t="n">
        <v>-2254</v>
      </c>
      <c r="X2359" s="7" t="n">
        <v>138</v>
      </c>
      <c r="Y2359" s="8" t="n">
        <v>-1869</v>
      </c>
      <c r="Z2359" s="8" t="n">
        <v>-1759</v>
      </c>
      <c r="AA2359" s="9" t="n">
        <v>29</v>
      </c>
      <c r="AB2359" s="10" t="n">
        <v>-2365</v>
      </c>
      <c r="AC2359" s="10" t="n">
        <v>-2044</v>
      </c>
      <c r="AD2359" s="7" t="inlineStr"/>
      <c r="AE2359" s="8" t="n">
        <v>-2185</v>
      </c>
      <c r="AF2359" s="8" t="n">
        <v>-2872</v>
      </c>
      <c r="AG2359" s="9" t="inlineStr"/>
      <c r="AH2359" s="10" t="n">
        <v>-2514</v>
      </c>
      <c r="AI2359" s="10" t="n">
        <v>-2634</v>
      </c>
      <c r="AJ2359" s="11" t="inlineStr"/>
      <c r="AK2359" s="12" t="n">
        <v>-2698</v>
      </c>
      <c r="AL2359" s="12" t="n">
        <v>1011</v>
      </c>
      <c r="AM2359" s="13" t="inlineStr"/>
      <c r="AN2359" s="13" t="inlineStr"/>
      <c r="AO2359" s="13" t="n">
        <v>-7.3</v>
      </c>
      <c r="AP2359" s="13" t="n">
        <v>-44.4</v>
      </c>
    </row>
    <row r="2360">
      <c r="A2360" s="5" t="inlineStr">
        <is>
          <t>지아이텍</t>
        </is>
      </c>
      <c r="B2360" s="6" t="inlineStr">
        <is>
          <t>382480</t>
        </is>
      </c>
      <c r="C2360" s="6" t="inlineStr">
        <is>
          <t>연결</t>
        </is>
      </c>
      <c r="D2360" s="6" t="inlineStr">
        <is>
          <t>2026Q2</t>
        </is>
      </c>
      <c r="E2360" s="6" t="inlineStr"/>
      <c r="F2360" s="7" t="inlineStr"/>
      <c r="G2360" s="8" t="inlineStr"/>
      <c r="H2360" s="8" t="inlineStr"/>
      <c r="I2360" s="9" t="n">
        <v>8006</v>
      </c>
      <c r="J2360" s="10" t="n">
        <v>11</v>
      </c>
      <c r="K2360" s="10" t="n">
        <v>1386</v>
      </c>
      <c r="L2360" s="7" t="n">
        <v>8983</v>
      </c>
      <c r="M2360" s="8" t="n">
        <v>193</v>
      </c>
      <c r="N2360" s="8" t="n">
        <v>968</v>
      </c>
      <c r="O2360" s="9" t="n">
        <v>6902</v>
      </c>
      <c r="P2360" s="10" t="n">
        <v>381</v>
      </c>
      <c r="Q2360" s="10" t="n">
        <v>10</v>
      </c>
      <c r="R2360" s="7" t="n">
        <v>13875</v>
      </c>
      <c r="S2360" s="8" t="n">
        <v>2458</v>
      </c>
      <c r="T2360" s="8" t="n">
        <v>3798</v>
      </c>
      <c r="U2360" s="9" t="n">
        <v>5744</v>
      </c>
      <c r="V2360" s="10" t="n">
        <v>-1351</v>
      </c>
      <c r="W2360" s="10" t="n">
        <v>-791</v>
      </c>
      <c r="X2360" s="7" t="n">
        <v>11338</v>
      </c>
      <c r="Y2360" s="8" t="n">
        <v>1452</v>
      </c>
      <c r="Z2360" s="8" t="n">
        <v>-667</v>
      </c>
      <c r="AA2360" s="9" t="n">
        <v>6353</v>
      </c>
      <c r="AB2360" s="10" t="n">
        <v>-1448</v>
      </c>
      <c r="AC2360" s="10" t="n">
        <v>79</v>
      </c>
      <c r="AD2360" s="7" t="n">
        <v>12785</v>
      </c>
      <c r="AE2360" s="8" t="n">
        <v>2471</v>
      </c>
      <c r="AF2360" s="8" t="n">
        <v>2329</v>
      </c>
      <c r="AG2360" s="9" t="n">
        <v>10091</v>
      </c>
      <c r="AH2360" s="10" t="n">
        <v>517</v>
      </c>
      <c r="AI2360" s="10" t="n">
        <v>2193</v>
      </c>
      <c r="AJ2360" s="11" t="n">
        <v>9586</v>
      </c>
      <c r="AK2360" s="12" t="n">
        <v>-530</v>
      </c>
      <c r="AL2360" s="12" t="n">
        <v>365</v>
      </c>
      <c r="AM2360" s="13" t="n">
        <v>-5</v>
      </c>
      <c r="AN2360" s="13" t="n">
        <v>-15.5</v>
      </c>
      <c r="AO2360" s="13" t="n">
        <v>-202.5</v>
      </c>
      <c r="AP2360" s="13" t="n">
        <v>-136.5</v>
      </c>
    </row>
    <row r="2361">
      <c r="A2361" s="5" t="inlineStr">
        <is>
          <t>지앤비에스 에코</t>
        </is>
      </c>
      <c r="B2361" s="6" t="inlineStr">
        <is>
          <t>382800</t>
        </is>
      </c>
      <c r="C2361" s="6" t="inlineStr">
        <is>
          <t>연결</t>
        </is>
      </c>
      <c r="D2361" s="6" t="inlineStr">
        <is>
          <t>2026Q2</t>
        </is>
      </c>
      <c r="E2361" s="6" t="inlineStr"/>
      <c r="F2361" s="7" t="inlineStr"/>
      <c r="G2361" s="8" t="inlineStr"/>
      <c r="H2361" s="8" t="inlineStr"/>
      <c r="I2361" s="9" t="n">
        <v>19323</v>
      </c>
      <c r="J2361" s="10" t="n">
        <v>3021</v>
      </c>
      <c r="K2361" s="10" t="n">
        <v>3177</v>
      </c>
      <c r="L2361" s="7" t="n">
        <v>22005</v>
      </c>
      <c r="M2361" s="8" t="n">
        <v>5308</v>
      </c>
      <c r="N2361" s="8" t="n">
        <v>5816</v>
      </c>
      <c r="O2361" s="9" t="n">
        <v>10329</v>
      </c>
      <c r="P2361" s="10" t="n">
        <v>1103</v>
      </c>
      <c r="Q2361" s="10" t="n">
        <v>214</v>
      </c>
      <c r="R2361" s="7" t="n">
        <v>19106</v>
      </c>
      <c r="S2361" s="8" t="n">
        <v>2217</v>
      </c>
      <c r="T2361" s="8" t="n">
        <v>3307</v>
      </c>
      <c r="U2361" s="9" t="n">
        <v>18700</v>
      </c>
      <c r="V2361" s="10" t="n">
        <v>341</v>
      </c>
      <c r="W2361" s="10" t="n">
        <v>1170</v>
      </c>
      <c r="X2361" s="7" t="n">
        <v>25487</v>
      </c>
      <c r="Y2361" s="8" t="n">
        <v>2336</v>
      </c>
      <c r="Z2361" s="8" t="n">
        <v>-1265</v>
      </c>
      <c r="AA2361" s="9" t="n">
        <v>18101</v>
      </c>
      <c r="AB2361" s="10" t="n">
        <v>556</v>
      </c>
      <c r="AC2361" s="10" t="n">
        <v>2171</v>
      </c>
      <c r="AD2361" s="7" t="n">
        <v>29631</v>
      </c>
      <c r="AE2361" s="8" t="n">
        <v>4523</v>
      </c>
      <c r="AF2361" s="8" t="n">
        <v>4240</v>
      </c>
      <c r="AG2361" s="9" t="n">
        <v>41755</v>
      </c>
      <c r="AH2361" s="10" t="n">
        <v>9035</v>
      </c>
      <c r="AI2361" s="10" t="n">
        <v>10073</v>
      </c>
      <c r="AJ2361" s="11" t="n">
        <v>36664</v>
      </c>
      <c r="AK2361" s="12" t="n">
        <v>5079</v>
      </c>
      <c r="AL2361" s="12" t="n">
        <v>5116</v>
      </c>
      <c r="AM2361" s="13" t="n">
        <v>-12.2</v>
      </c>
      <c r="AN2361" s="13" t="n">
        <v>43.9</v>
      </c>
      <c r="AO2361" s="13" t="n">
        <v>-43.8</v>
      </c>
      <c r="AP2361" s="13" t="n">
        <v>117.4</v>
      </c>
    </row>
    <row r="2362">
      <c r="A2362" s="5" t="inlineStr">
        <is>
          <t>원준</t>
        </is>
      </c>
      <c r="B2362" s="6" t="inlineStr">
        <is>
          <t>382840</t>
        </is>
      </c>
      <c r="C2362" s="6" t="inlineStr">
        <is>
          <t>연결</t>
        </is>
      </c>
      <c r="D2362" s="6" t="inlineStr">
        <is>
          <t>2026Q2</t>
        </is>
      </c>
      <c r="E2362" s="6" t="inlineStr"/>
      <c r="F2362" s="7" t="inlineStr"/>
      <c r="G2362" s="8" t="inlineStr"/>
      <c r="H2362" s="8" t="inlineStr"/>
      <c r="I2362" s="9" t="n">
        <v>47378</v>
      </c>
      <c r="J2362" s="10" t="n">
        <v>7214</v>
      </c>
      <c r="K2362" s="10" t="n">
        <v>2395</v>
      </c>
      <c r="L2362" s="7" t="n">
        <v>45412</v>
      </c>
      <c r="M2362" s="8" t="n">
        <v>9624</v>
      </c>
      <c r="N2362" s="8" t="n">
        <v>5942</v>
      </c>
      <c r="O2362" s="9" t="n">
        <v>22453</v>
      </c>
      <c r="P2362" s="10" t="n">
        <v>-233</v>
      </c>
      <c r="Q2362" s="10" t="n">
        <v>1507</v>
      </c>
      <c r="R2362" s="7" t="n">
        <v>34608</v>
      </c>
      <c r="S2362" s="8" t="n">
        <v>-4176</v>
      </c>
      <c r="T2362" s="8" t="n">
        <v>-6105</v>
      </c>
      <c r="U2362" s="9" t="n">
        <v>97202</v>
      </c>
      <c r="V2362" s="10" t="n">
        <v>2607</v>
      </c>
      <c r="W2362" s="10" t="n">
        <v>782</v>
      </c>
      <c r="X2362" s="7" t="n">
        <v>23937</v>
      </c>
      <c r="Y2362" s="8" t="n">
        <v>3497</v>
      </c>
      <c r="Z2362" s="8" t="n">
        <v>-3542</v>
      </c>
      <c r="AA2362" s="9" t="n">
        <v>12973</v>
      </c>
      <c r="AB2362" s="10" t="n">
        <v>-1178</v>
      </c>
      <c r="AC2362" s="10" t="n">
        <v>-1220</v>
      </c>
      <c r="AD2362" s="7" t="n">
        <v>14988</v>
      </c>
      <c r="AE2362" s="8" t="n">
        <v>2052</v>
      </c>
      <c r="AF2362" s="8" t="n">
        <v>-9167</v>
      </c>
      <c r="AG2362" s="9" t="n">
        <v>608</v>
      </c>
      <c r="AH2362" s="10" t="n">
        <v>-4476</v>
      </c>
      <c r="AI2362" s="10" t="n">
        <v>-2183</v>
      </c>
      <c r="AJ2362" s="11" t="n">
        <v>3464</v>
      </c>
      <c r="AK2362" s="12" t="n">
        <v>-14229</v>
      </c>
      <c r="AL2362" s="12" t="n">
        <v>-18805</v>
      </c>
      <c r="AM2362" s="13" t="n">
        <v>469.7</v>
      </c>
      <c r="AN2362" s="13" t="n">
        <v>-85.5</v>
      </c>
      <c r="AO2362" s="13" t="n">
        <v>-217.9</v>
      </c>
      <c r="AP2362" s="13" t="n">
        <v>-506.9</v>
      </c>
    </row>
    <row r="2363">
      <c r="A2363" s="5" t="inlineStr">
        <is>
          <t>범한퓨얼셀</t>
        </is>
      </c>
      <c r="B2363" s="6" t="inlineStr">
        <is>
          <t>382900</t>
        </is>
      </c>
      <c r="C2363" s="6" t="inlineStr">
        <is>
          <t>연결</t>
        </is>
      </c>
      <c r="D2363" s="6" t="inlineStr">
        <is>
          <t>2026Q2</t>
        </is>
      </c>
      <c r="E2363" s="6" t="inlineStr"/>
      <c r="F2363" s="7" t="inlineStr"/>
      <c r="G2363" s="8" t="inlineStr"/>
      <c r="H2363" s="8" t="inlineStr"/>
      <c r="I2363" s="9" t="n">
        <v>6720</v>
      </c>
      <c r="J2363" s="10" t="n">
        <v>-635</v>
      </c>
      <c r="K2363" s="10" t="n">
        <v>-637</v>
      </c>
      <c r="L2363" s="7" t="n">
        <v>9194</v>
      </c>
      <c r="M2363" s="8" t="n">
        <v>1650</v>
      </c>
      <c r="N2363" s="8" t="n">
        <v>896</v>
      </c>
      <c r="O2363" s="9" t="n">
        <v>11000</v>
      </c>
      <c r="P2363" s="10" t="n">
        <v>1338</v>
      </c>
      <c r="Q2363" s="10" t="n">
        <v>705</v>
      </c>
      <c r="R2363" s="7" t="n">
        <v>9281</v>
      </c>
      <c r="S2363" s="8" t="n">
        <v>58</v>
      </c>
      <c r="T2363" s="8" t="n">
        <v>-339</v>
      </c>
      <c r="U2363" s="9" t="n">
        <v>10446</v>
      </c>
      <c r="V2363" s="10" t="n">
        <v>680</v>
      </c>
      <c r="W2363" s="10" t="n">
        <v>-73</v>
      </c>
      <c r="X2363" s="7" t="n">
        <v>7061</v>
      </c>
      <c r="Y2363" s="8" t="n">
        <v>156</v>
      </c>
      <c r="Z2363" s="8" t="n">
        <v>-467</v>
      </c>
      <c r="AA2363" s="9" t="n">
        <v>10399</v>
      </c>
      <c r="AB2363" s="10" t="n">
        <v>842</v>
      </c>
      <c r="AC2363" s="10" t="n">
        <v>229</v>
      </c>
      <c r="AD2363" s="7" t="n">
        <v>15455</v>
      </c>
      <c r="AE2363" s="8" t="n">
        <v>-820</v>
      </c>
      <c r="AF2363" s="8" t="n">
        <v>1493</v>
      </c>
      <c r="AG2363" s="9" t="n">
        <v>5054</v>
      </c>
      <c r="AH2363" s="10" t="n">
        <v>-2145</v>
      </c>
      <c r="AI2363" s="10" t="n">
        <v>-1669</v>
      </c>
      <c r="AJ2363" s="11" t="n">
        <v>17825</v>
      </c>
      <c r="AK2363" s="12" t="n">
        <v>-3233</v>
      </c>
      <c r="AL2363" s="12" t="n">
        <v>-3988</v>
      </c>
      <c r="AM2363" s="13" t="n">
        <v>252.7</v>
      </c>
      <c r="AN2363" s="13" t="n">
        <v>152.4</v>
      </c>
      <c r="AO2363" s="13" t="n">
        <v>-50.7</v>
      </c>
      <c r="AP2363" s="13" t="n">
        <v>-2172.4</v>
      </c>
    </row>
    <row r="2364">
      <c r="A2364" s="5" t="inlineStr">
        <is>
          <t>F&amp;F</t>
        </is>
      </c>
      <c r="B2364" s="6" t="inlineStr">
        <is>
          <t>383220</t>
        </is>
      </c>
      <c r="C2364" s="6" t="inlineStr">
        <is>
          <t>연결</t>
        </is>
      </c>
      <c r="D2364" s="6" t="inlineStr">
        <is>
          <t>2026Q2</t>
        </is>
      </c>
      <c r="E2364" s="6" t="inlineStr">
        <is>
          <t>2023Q4</t>
        </is>
      </c>
      <c r="F2364" s="14" t="n">
        <v>583218</v>
      </c>
      <c r="G2364" s="15" t="n">
        <v>144004</v>
      </c>
      <c r="H2364" s="15" t="n">
        <v>103106</v>
      </c>
      <c r="I2364" s="9" t="n">
        <v>507029</v>
      </c>
      <c r="J2364" s="10" t="n">
        <v>130211</v>
      </c>
      <c r="K2364" s="10" t="n">
        <v>96322</v>
      </c>
      <c r="L2364" s="7" t="n">
        <v>391473</v>
      </c>
      <c r="M2364" s="8" t="n">
        <v>91801</v>
      </c>
      <c r="N2364" s="8" t="n">
        <v>73951</v>
      </c>
      <c r="O2364" s="9" t="n">
        <v>450963</v>
      </c>
      <c r="P2364" s="10" t="n">
        <v>108305</v>
      </c>
      <c r="Q2364" s="10" t="n">
        <v>79801</v>
      </c>
      <c r="R2364" s="7" t="n">
        <v>546545</v>
      </c>
      <c r="S2364" s="8" t="n">
        <v>120420</v>
      </c>
      <c r="T2364" s="8" t="n">
        <v>105886</v>
      </c>
      <c r="U2364" s="9" t="n">
        <v>505616</v>
      </c>
      <c r="V2364" s="10" t="n">
        <v>123616</v>
      </c>
      <c r="W2364" s="10" t="n">
        <v>82569</v>
      </c>
      <c r="X2364" s="7" t="n">
        <v>378871</v>
      </c>
      <c r="Y2364" s="8" t="n">
        <v>84030</v>
      </c>
      <c r="Z2364" s="8" t="n">
        <v>62639</v>
      </c>
      <c r="AA2364" s="9" t="n">
        <v>474257</v>
      </c>
      <c r="AB2364" s="10" t="n">
        <v>128020</v>
      </c>
      <c r="AC2364" s="10" t="n">
        <v>100695</v>
      </c>
      <c r="AD2364" s="7" t="n">
        <v>575252</v>
      </c>
      <c r="AE2364" s="8" t="n">
        <v>132908</v>
      </c>
      <c r="AF2364" s="8" t="n">
        <v>154783</v>
      </c>
      <c r="AG2364" s="9" t="n">
        <v>560898</v>
      </c>
      <c r="AH2364" s="10" t="n">
        <v>153482</v>
      </c>
      <c r="AI2364" s="10" t="n">
        <v>197556</v>
      </c>
      <c r="AJ2364" s="11" t="n">
        <v>399622</v>
      </c>
      <c r="AK2364" s="12" t="n">
        <v>86499</v>
      </c>
      <c r="AL2364" s="12" t="n">
        <v>72988</v>
      </c>
      <c r="AM2364" s="13" t="n">
        <v>-28.8</v>
      </c>
      <c r="AN2364" s="13" t="n">
        <v>5.5</v>
      </c>
      <c r="AO2364" s="13" t="n">
        <v>-43.6</v>
      </c>
      <c r="AP2364" s="13" t="n">
        <v>2.9</v>
      </c>
    </row>
    <row r="2365">
      <c r="A2365" s="5" t="inlineStr">
        <is>
          <t>에코프로에이치엔</t>
        </is>
      </c>
      <c r="B2365" s="6" t="inlineStr">
        <is>
          <t>383310</t>
        </is>
      </c>
      <c r="C2365" s="6" t="inlineStr">
        <is>
          <t>연결</t>
        </is>
      </c>
      <c r="D2365" s="6" t="inlineStr">
        <is>
          <t>2026Q2</t>
        </is>
      </c>
      <c r="E2365" s="6" t="inlineStr">
        <is>
          <t>2023Q4</t>
        </is>
      </c>
      <c r="F2365" s="14" t="n">
        <v>47557</v>
      </c>
      <c r="G2365" s="15" t="n">
        <v>7175</v>
      </c>
      <c r="H2365" s="15" t="n">
        <v>5405</v>
      </c>
      <c r="I2365" s="9" t="n">
        <v>51505</v>
      </c>
      <c r="J2365" s="10" t="n">
        <v>7331</v>
      </c>
      <c r="K2365" s="10" t="n">
        <v>6570</v>
      </c>
      <c r="L2365" s="7" t="n">
        <v>46833</v>
      </c>
      <c r="M2365" s="8" t="n">
        <v>3599</v>
      </c>
      <c r="N2365" s="8" t="n">
        <v>3182</v>
      </c>
      <c r="O2365" s="9" t="n">
        <v>56117</v>
      </c>
      <c r="P2365" s="10" t="n">
        <v>5691</v>
      </c>
      <c r="Q2365" s="10" t="n">
        <v>4832</v>
      </c>
      <c r="R2365" s="7" t="n">
        <v>80045</v>
      </c>
      <c r="S2365" s="8" t="n">
        <v>7605</v>
      </c>
      <c r="T2365" s="8" t="n">
        <v>6964</v>
      </c>
      <c r="U2365" s="9" t="n">
        <v>34433</v>
      </c>
      <c r="V2365" s="10" t="n">
        <v>3405</v>
      </c>
      <c r="W2365" s="10" t="n">
        <v>3686</v>
      </c>
      <c r="X2365" s="7" t="n">
        <v>39002</v>
      </c>
      <c r="Y2365" s="8" t="n">
        <v>3663</v>
      </c>
      <c r="Z2365" s="8" t="n">
        <v>3394</v>
      </c>
      <c r="AA2365" s="9" t="n">
        <v>28397</v>
      </c>
      <c r="AB2365" s="10" t="n">
        <v>2334</v>
      </c>
      <c r="AC2365" s="10" t="n">
        <v>2498</v>
      </c>
      <c r="AD2365" s="7" t="n">
        <v>39225</v>
      </c>
      <c r="AE2365" s="8" t="n">
        <v>2308</v>
      </c>
      <c r="AF2365" s="8" t="n">
        <v>3643</v>
      </c>
      <c r="AG2365" s="9" t="n">
        <v>34667</v>
      </c>
      <c r="AH2365" s="10" t="n">
        <v>5029</v>
      </c>
      <c r="AI2365" s="10" t="n">
        <v>4521</v>
      </c>
      <c r="AJ2365" s="11" t="n">
        <v>51528</v>
      </c>
      <c r="AK2365" s="12" t="n">
        <v>5762</v>
      </c>
      <c r="AL2365" s="12" t="n">
        <v>5072</v>
      </c>
      <c r="AM2365" s="13" t="n">
        <v>48.6</v>
      </c>
      <c r="AN2365" s="13" t="n">
        <v>32.1</v>
      </c>
      <c r="AO2365" s="13" t="n">
        <v>14.6</v>
      </c>
      <c r="AP2365" s="13" t="n">
        <v>57.3</v>
      </c>
    </row>
    <row r="2366">
      <c r="A2366" s="5" t="inlineStr">
        <is>
          <t>LX홀딩스</t>
        </is>
      </c>
      <c r="B2366" s="6" t="inlineStr">
        <is>
          <t>383800</t>
        </is>
      </c>
      <c r="C2366" s="6" t="inlineStr">
        <is>
          <t>연결</t>
        </is>
      </c>
      <c r="D2366" s="6" t="inlineStr">
        <is>
          <t>2026Q2</t>
        </is>
      </c>
      <c r="E2366" s="6" t="inlineStr">
        <is>
          <t>2023Q4</t>
        </is>
      </c>
      <c r="F2366" s="14" t="n">
        <v>9847</v>
      </c>
      <c r="G2366" s="15" t="n">
        <v>-9077</v>
      </c>
      <c r="H2366" s="15" t="n">
        <v>-5363</v>
      </c>
      <c r="I2366" s="9" t="n">
        <v>9176</v>
      </c>
      <c r="J2366" s="10" t="n">
        <v>48624</v>
      </c>
      <c r="K2366" s="10" t="n">
        <v>48370</v>
      </c>
      <c r="L2366" s="7" t="n">
        <v>10646</v>
      </c>
      <c r="M2366" s="8" t="n">
        <v>58660</v>
      </c>
      <c r="N2366" s="8" t="n">
        <v>59738</v>
      </c>
      <c r="O2366" s="9" t="n">
        <v>10999</v>
      </c>
      <c r="P2366" s="10" t="n">
        <v>54832</v>
      </c>
      <c r="Q2366" s="10" t="n">
        <v>55283</v>
      </c>
      <c r="R2366" s="7" t="n">
        <v>9852</v>
      </c>
      <c r="S2366" s="8" t="n">
        <v>-6099</v>
      </c>
      <c r="T2366" s="8" t="n">
        <v>-3112</v>
      </c>
      <c r="U2366" s="9" t="n">
        <v>10062</v>
      </c>
      <c r="V2366" s="10" t="n">
        <v>71375</v>
      </c>
      <c r="W2366" s="10" t="n">
        <v>70469</v>
      </c>
      <c r="X2366" s="7" t="n">
        <v>10136</v>
      </c>
      <c r="Y2366" s="8" t="n">
        <v>42462</v>
      </c>
      <c r="Z2366" s="8" t="n">
        <v>43628</v>
      </c>
      <c r="AA2366" s="9" t="n">
        <v>11142</v>
      </c>
      <c r="AB2366" s="10" t="n">
        <v>37306</v>
      </c>
      <c r="AC2366" s="10" t="n">
        <v>37555</v>
      </c>
      <c r="AD2366" s="7" t="n">
        <v>9953</v>
      </c>
      <c r="AE2366" s="8" t="n">
        <v>-17745</v>
      </c>
      <c r="AF2366" s="8" t="n">
        <v>-16057</v>
      </c>
      <c r="AG2366" s="9" t="n">
        <v>14382</v>
      </c>
      <c r="AH2366" s="10" t="n">
        <v>41600</v>
      </c>
      <c r="AI2366" s="10" t="n">
        <v>37582</v>
      </c>
      <c r="AJ2366" s="11" t="n">
        <v>17286</v>
      </c>
      <c r="AK2366" s="12" t="n">
        <v>60337</v>
      </c>
      <c r="AL2366" s="12" t="n">
        <v>56551</v>
      </c>
      <c r="AM2366" s="13" t="n">
        <v>20.2</v>
      </c>
      <c r="AN2366" s="13" t="n">
        <v>70.5</v>
      </c>
      <c r="AO2366" s="13" t="n">
        <v>45</v>
      </c>
      <c r="AP2366" s="13" t="n">
        <v>42.1</v>
      </c>
    </row>
    <row r="2367">
      <c r="A2367" s="5" t="inlineStr">
        <is>
          <t>디티앤씨알오</t>
        </is>
      </c>
      <c r="B2367" s="6" t="inlineStr">
        <is>
          <t>383930</t>
        </is>
      </c>
      <c r="C2367" s="6" t="inlineStr">
        <is>
          <t>별도</t>
        </is>
      </c>
      <c r="D2367" s="6" t="inlineStr">
        <is>
          <t>2026Q2</t>
        </is>
      </c>
      <c r="E2367" s="6" t="inlineStr"/>
      <c r="F2367" s="7" t="inlineStr"/>
      <c r="G2367" s="8" t="inlineStr"/>
      <c r="H2367" s="8" t="inlineStr"/>
      <c r="I2367" s="9" t="n">
        <v>6579</v>
      </c>
      <c r="J2367" s="10" t="n">
        <v>-4637</v>
      </c>
      <c r="K2367" s="10" t="n">
        <v>-4633</v>
      </c>
      <c r="L2367" s="7" t="n">
        <v>7257</v>
      </c>
      <c r="M2367" s="8" t="n">
        <v>-4071</v>
      </c>
      <c r="N2367" s="8" t="n">
        <v>-5229</v>
      </c>
      <c r="O2367" s="9" t="n">
        <v>10513</v>
      </c>
      <c r="P2367" s="10" t="n">
        <v>-2045</v>
      </c>
      <c r="Q2367" s="10" t="n">
        <v>-1830</v>
      </c>
      <c r="R2367" s="7" t="n">
        <v>11622</v>
      </c>
      <c r="S2367" s="8" t="n">
        <v>-542</v>
      </c>
      <c r="T2367" s="8" t="n">
        <v>9693</v>
      </c>
      <c r="U2367" s="9" t="n">
        <v>10107</v>
      </c>
      <c r="V2367" s="10" t="n">
        <v>-3486</v>
      </c>
      <c r="W2367" s="10" t="n">
        <v>-4273</v>
      </c>
      <c r="X2367" s="7" t="n">
        <v>10059</v>
      </c>
      <c r="Y2367" s="8" t="n">
        <v>-1972</v>
      </c>
      <c r="Z2367" s="8" t="n">
        <v>710</v>
      </c>
      <c r="AA2367" s="9" t="n">
        <v>12570</v>
      </c>
      <c r="AB2367" s="10" t="n">
        <v>-905</v>
      </c>
      <c r="AC2367" s="10" t="n">
        <v>-1956</v>
      </c>
      <c r="AD2367" s="7" t="n">
        <v>15011</v>
      </c>
      <c r="AE2367" s="8" t="n">
        <v>621</v>
      </c>
      <c r="AF2367" s="8" t="n">
        <v>2742</v>
      </c>
      <c r="AG2367" s="9" t="n">
        <v>10127</v>
      </c>
      <c r="AH2367" s="10" t="n">
        <v>-3583</v>
      </c>
      <c r="AI2367" s="10" t="n">
        <v>-13778</v>
      </c>
      <c r="AJ2367" s="11" t="n">
        <v>11294</v>
      </c>
      <c r="AK2367" s="12" t="n">
        <v>-6565</v>
      </c>
      <c r="AL2367" s="12" t="n">
        <v>-4104</v>
      </c>
      <c r="AM2367" s="13" t="n">
        <v>11.5</v>
      </c>
      <c r="AN2367" s="13" t="n">
        <v>12.3</v>
      </c>
      <c r="AO2367" s="13" t="n">
        <v>-83.2</v>
      </c>
      <c r="AP2367" s="13" t="n">
        <v>-232.9</v>
      </c>
    </row>
    <row r="2368">
      <c r="A2368" s="5" t="inlineStr">
        <is>
          <t>코어라인소프트</t>
        </is>
      </c>
      <c r="B2368" s="6" t="inlineStr">
        <is>
          <t>384470</t>
        </is>
      </c>
      <c r="C2368" s="6" t="inlineStr">
        <is>
          <t>연결</t>
        </is>
      </c>
      <c r="D2368" s="6" t="inlineStr">
        <is>
          <t>2026Q2</t>
        </is>
      </c>
      <c r="E2368" s="6" t="inlineStr"/>
      <c r="F2368" s="7" t="inlineStr"/>
      <c r="G2368" s="8" t="inlineStr"/>
      <c r="H2368" s="8" t="inlineStr"/>
      <c r="I2368" s="9" t="inlineStr"/>
      <c r="J2368" s="10" t="n">
        <v>-3407</v>
      </c>
      <c r="K2368" s="10" t="n">
        <v>-3059</v>
      </c>
      <c r="L2368" s="7" t="inlineStr"/>
      <c r="M2368" s="8" t="n">
        <v>-3221</v>
      </c>
      <c r="N2368" s="8" t="n">
        <v>-3070</v>
      </c>
      <c r="O2368" s="9" t="inlineStr"/>
      <c r="P2368" s="10" t="n">
        <v>-3447</v>
      </c>
      <c r="Q2368" s="10" t="n">
        <v>-3635</v>
      </c>
      <c r="R2368" s="7" t="inlineStr"/>
      <c r="S2368" s="8" t="n">
        <v>-3704</v>
      </c>
      <c r="T2368" s="8" t="n">
        <v>-4374</v>
      </c>
      <c r="U2368" s="9" t="inlineStr"/>
      <c r="V2368" s="10" t="n">
        <v>-3699</v>
      </c>
      <c r="W2368" s="10" t="n">
        <v>-3950</v>
      </c>
      <c r="X2368" s="7" t="inlineStr"/>
      <c r="Y2368" s="8" t="n">
        <v>-3227</v>
      </c>
      <c r="Z2368" s="8" t="n">
        <v>-3602</v>
      </c>
      <c r="AA2368" s="9" t="inlineStr"/>
      <c r="AB2368" s="10" t="n">
        <v>-3592</v>
      </c>
      <c r="AC2368" s="10" t="n">
        <v>-3698</v>
      </c>
      <c r="AD2368" s="14" t="n">
        <v>1328</v>
      </c>
      <c r="AE2368" s="8" t="n">
        <v>-2927</v>
      </c>
      <c r="AF2368" s="8" t="n">
        <v>-3246</v>
      </c>
      <c r="AG2368" s="9" t="inlineStr"/>
      <c r="AH2368" s="10" t="n">
        <v>-3103</v>
      </c>
      <c r="AI2368" s="10" t="n">
        <v>-3221</v>
      </c>
      <c r="AJ2368" s="11" t="inlineStr"/>
      <c r="AK2368" s="12" t="n">
        <v>-2369</v>
      </c>
      <c r="AL2368" s="12" t="n">
        <v>-3724</v>
      </c>
      <c r="AM2368" s="13" t="inlineStr"/>
      <c r="AN2368" s="13" t="inlineStr"/>
      <c r="AO2368" s="13" t="n">
        <v>23.7</v>
      </c>
      <c r="AP2368" s="13" t="n">
        <v>26.6</v>
      </c>
    </row>
    <row r="2369">
      <c r="A2369" s="5" t="inlineStr">
        <is>
          <t>파인메딕스</t>
        </is>
      </c>
      <c r="B2369" s="6" t="inlineStr">
        <is>
          <t>387570</t>
        </is>
      </c>
      <c r="C2369" s="6" t="inlineStr">
        <is>
          <t>연결</t>
        </is>
      </c>
      <c r="D2369" s="6" t="inlineStr">
        <is>
          <t>2026Q2</t>
        </is>
      </c>
      <c r="E2369" s="6" t="inlineStr"/>
      <c r="F2369" s="7" t="inlineStr"/>
      <c r="G2369" s="8" t="inlineStr"/>
      <c r="H2369" s="8" t="inlineStr"/>
      <c r="I2369" s="9" t="inlineStr"/>
      <c r="J2369" s="10" t="inlineStr"/>
      <c r="K2369" s="10" t="inlineStr"/>
      <c r="L2369" s="7" t="inlineStr"/>
      <c r="M2369" s="8" t="inlineStr"/>
      <c r="N2369" s="8" t="inlineStr"/>
      <c r="O2369" s="9" t="inlineStr"/>
      <c r="P2369" s="10" t="inlineStr"/>
      <c r="Q2369" s="10" t="inlineStr"/>
      <c r="R2369" s="7" t="inlineStr"/>
      <c r="S2369" s="8" t="inlineStr"/>
      <c r="T2369" s="8" t="inlineStr"/>
      <c r="U2369" s="9" t="n">
        <v>1899</v>
      </c>
      <c r="V2369" s="10" t="n">
        <v>-851</v>
      </c>
      <c r="W2369" s="10" t="n">
        <v>-846</v>
      </c>
      <c r="X2369" s="7" t="n">
        <v>2460</v>
      </c>
      <c r="Y2369" s="8" t="n">
        <v>-524</v>
      </c>
      <c r="Z2369" s="8" t="n">
        <v>-409</v>
      </c>
      <c r="AA2369" s="9" t="n">
        <v>2197</v>
      </c>
      <c r="AB2369" s="10" t="n">
        <v>-1074</v>
      </c>
      <c r="AC2369" s="10" t="n">
        <v>-996</v>
      </c>
      <c r="AD2369" s="7" t="n">
        <v>2967</v>
      </c>
      <c r="AE2369" s="8" t="n">
        <v>-131</v>
      </c>
      <c r="AF2369" s="8" t="n">
        <v>373</v>
      </c>
      <c r="AG2369" s="9" t="n">
        <v>2232</v>
      </c>
      <c r="AH2369" s="10" t="n">
        <v>-751</v>
      </c>
      <c r="AI2369" s="10" t="n">
        <v>-753</v>
      </c>
      <c r="AJ2369" s="11" t="n">
        <v>4031</v>
      </c>
      <c r="AK2369" s="12" t="n">
        <v>790</v>
      </c>
      <c r="AL2369" s="12" t="n">
        <v>777</v>
      </c>
      <c r="AM2369" s="13" t="n">
        <v>80.59999999999999</v>
      </c>
      <c r="AN2369" s="13" t="n">
        <v>63.9</v>
      </c>
      <c r="AO2369" s="13" t="n">
        <v>205.2</v>
      </c>
      <c r="AP2369" s="13" t="n">
        <v>250.8</v>
      </c>
    </row>
    <row r="2370">
      <c r="A2370" s="5" t="inlineStr">
        <is>
          <t>레메디</t>
        </is>
      </c>
      <c r="B2370" s="6" t="inlineStr">
        <is>
          <t>387690</t>
        </is>
      </c>
      <c r="C2370" s="6" t="inlineStr">
        <is>
          <t>연결</t>
        </is>
      </c>
      <c r="D2370" s="6" t="inlineStr">
        <is>
          <t>2026Q2</t>
        </is>
      </c>
      <c r="E2370" s="6" t="inlineStr"/>
      <c r="F2370" s="7" t="inlineStr"/>
      <c r="G2370" s="8" t="inlineStr"/>
      <c r="H2370" s="8" t="inlineStr"/>
      <c r="I2370" s="9" t="inlineStr"/>
      <c r="J2370" s="10" t="inlineStr"/>
      <c r="K2370" s="10" t="inlineStr"/>
      <c r="L2370" s="7" t="inlineStr"/>
      <c r="M2370" s="8" t="inlineStr"/>
      <c r="N2370" s="8" t="inlineStr"/>
      <c r="O2370" s="9" t="inlineStr"/>
      <c r="P2370" s="10" t="inlineStr"/>
      <c r="Q2370" s="10" t="inlineStr"/>
      <c r="R2370" s="7" t="inlineStr"/>
      <c r="S2370" s="8" t="inlineStr"/>
      <c r="T2370" s="8" t="inlineStr"/>
      <c r="U2370" s="9" t="inlineStr"/>
      <c r="V2370" s="10" t="inlineStr"/>
      <c r="W2370" s="10" t="inlineStr"/>
      <c r="X2370" s="7" t="inlineStr"/>
      <c r="Y2370" s="8" t="inlineStr"/>
      <c r="Z2370" s="8" t="inlineStr"/>
      <c r="AA2370" s="9" t="inlineStr"/>
      <c r="AB2370" s="10" t="inlineStr"/>
      <c r="AC2370" s="10" t="inlineStr"/>
      <c r="AD2370" s="7" t="inlineStr"/>
      <c r="AE2370" s="8" t="inlineStr"/>
      <c r="AF2370" s="8" t="inlineStr"/>
      <c r="AG2370" s="9" t="inlineStr"/>
      <c r="AH2370" s="10" t="inlineStr"/>
      <c r="AI2370" s="10" t="inlineStr"/>
      <c r="AJ2370" s="11" t="n">
        <v>6184</v>
      </c>
      <c r="AK2370" s="12" t="n">
        <v>2833</v>
      </c>
      <c r="AL2370" s="12" t="n">
        <v>1859</v>
      </c>
      <c r="AM2370" s="13" t="inlineStr"/>
      <c r="AN2370" s="13" t="inlineStr"/>
      <c r="AO2370" s="13" t="inlineStr"/>
      <c r="AP2370" s="13" t="inlineStr"/>
    </row>
    <row r="2371">
      <c r="A2371" s="5" t="inlineStr">
        <is>
          <t>지투파워</t>
        </is>
      </c>
      <c r="B2371" s="6" t="inlineStr">
        <is>
          <t>388050</t>
        </is>
      </c>
      <c r="C2371" s="6" t="inlineStr">
        <is>
          <t>연결</t>
        </is>
      </c>
      <c r="D2371" s="6" t="inlineStr">
        <is>
          <t>2026Q2</t>
        </is>
      </c>
      <c r="E2371" s="6" t="inlineStr"/>
      <c r="F2371" s="7" t="inlineStr"/>
      <c r="G2371" s="8" t="inlineStr"/>
      <c r="H2371" s="8" t="inlineStr"/>
      <c r="I2371" s="9" t="n">
        <v>9667</v>
      </c>
      <c r="J2371" s="10" t="n">
        <v>366</v>
      </c>
      <c r="K2371" s="10" t="n">
        <v>564</v>
      </c>
      <c r="L2371" s="7" t="n">
        <v>9376</v>
      </c>
      <c r="M2371" s="8" t="n">
        <v>170</v>
      </c>
      <c r="N2371" s="8" t="n">
        <v>474</v>
      </c>
      <c r="O2371" s="9" t="n">
        <v>11953</v>
      </c>
      <c r="P2371" s="10" t="n">
        <v>895</v>
      </c>
      <c r="Q2371" s="10" t="n">
        <v>890</v>
      </c>
      <c r="R2371" s="7" t="n">
        <v>24427</v>
      </c>
      <c r="S2371" s="8" t="n">
        <v>2239</v>
      </c>
      <c r="T2371" s="8" t="n">
        <v>2283</v>
      </c>
      <c r="U2371" s="9" t="n">
        <v>9971</v>
      </c>
      <c r="V2371" s="10" t="n">
        <v>-317</v>
      </c>
      <c r="W2371" s="10" t="n">
        <v>-296</v>
      </c>
      <c r="X2371" s="7" t="n">
        <v>14227</v>
      </c>
      <c r="Y2371" s="8" t="n">
        <v>588</v>
      </c>
      <c r="Z2371" s="8" t="n">
        <v>615</v>
      </c>
      <c r="AA2371" s="9" t="n">
        <v>15646</v>
      </c>
      <c r="AB2371" s="10" t="n">
        <v>2237</v>
      </c>
      <c r="AC2371" s="10" t="n">
        <v>1933</v>
      </c>
      <c r="AD2371" s="7" t="n">
        <v>37534</v>
      </c>
      <c r="AE2371" s="8" t="n">
        <v>6299</v>
      </c>
      <c r="AF2371" s="8" t="n">
        <v>3302</v>
      </c>
      <c r="AG2371" s="9" t="n">
        <v>19180</v>
      </c>
      <c r="AH2371" s="10" t="n">
        <v>2268</v>
      </c>
      <c r="AI2371" s="10" t="n">
        <v>1894</v>
      </c>
      <c r="AJ2371" s="11" t="n">
        <v>10417</v>
      </c>
      <c r="AK2371" s="12" t="n">
        <v>413</v>
      </c>
      <c r="AL2371" s="12" t="n">
        <v>349</v>
      </c>
      <c r="AM2371" s="13" t="n">
        <v>-45.7</v>
      </c>
      <c r="AN2371" s="13" t="n">
        <v>-26.8</v>
      </c>
      <c r="AO2371" s="13" t="n">
        <v>-81.8</v>
      </c>
      <c r="AP2371" s="13" t="n">
        <v>-29.8</v>
      </c>
    </row>
    <row r="2372">
      <c r="A2372" s="5" t="inlineStr">
        <is>
          <t>씨엠티엑스</t>
        </is>
      </c>
      <c r="B2372" s="6" t="inlineStr">
        <is>
          <t>388210</t>
        </is>
      </c>
      <c r="C2372" s="6" t="inlineStr">
        <is>
          <t>연결</t>
        </is>
      </c>
      <c r="D2372" s="6" t="inlineStr">
        <is>
          <t>2026Q2</t>
        </is>
      </c>
      <c r="E2372" s="6" t="inlineStr"/>
      <c r="F2372" s="7" t="inlineStr"/>
      <c r="G2372" s="8" t="inlineStr"/>
      <c r="H2372" s="8" t="inlineStr"/>
      <c r="I2372" s="9" t="inlineStr"/>
      <c r="J2372" s="10" t="inlineStr"/>
      <c r="K2372" s="10" t="inlineStr"/>
      <c r="L2372" s="7" t="inlineStr"/>
      <c r="M2372" s="8" t="inlineStr"/>
      <c r="N2372" s="8" t="inlineStr"/>
      <c r="O2372" s="9" t="inlineStr"/>
      <c r="P2372" s="10" t="inlineStr"/>
      <c r="Q2372" s="10" t="inlineStr"/>
      <c r="R2372" s="7" t="inlineStr"/>
      <c r="S2372" s="8" t="inlineStr"/>
      <c r="T2372" s="8" t="inlineStr"/>
      <c r="U2372" s="9" t="inlineStr"/>
      <c r="V2372" s="10" t="inlineStr"/>
      <c r="W2372" s="10" t="inlineStr"/>
      <c r="X2372" s="7" t="n">
        <v>77350</v>
      </c>
      <c r="Y2372" s="8" t="n">
        <v>26313</v>
      </c>
      <c r="Z2372" s="8" t="n">
        <v>-45826</v>
      </c>
      <c r="AA2372" s="9" t="n">
        <v>41027</v>
      </c>
      <c r="AB2372" s="10" t="n">
        <v>15465</v>
      </c>
      <c r="AC2372" s="10" t="n">
        <v>15553</v>
      </c>
      <c r="AD2372" s="7" t="inlineStr"/>
      <c r="AE2372" s="8" t="inlineStr"/>
      <c r="AF2372" s="8" t="inlineStr"/>
      <c r="AG2372" s="9" t="n">
        <v>44121</v>
      </c>
      <c r="AH2372" s="10" t="n">
        <v>13510</v>
      </c>
      <c r="AI2372" s="10" t="n">
        <v>14101</v>
      </c>
      <c r="AJ2372" s="11" t="n">
        <v>47897</v>
      </c>
      <c r="AK2372" s="12" t="n">
        <v>15575</v>
      </c>
      <c r="AL2372" s="12" t="n">
        <v>10087</v>
      </c>
      <c r="AM2372" s="13" t="n">
        <v>8.6</v>
      </c>
      <c r="AN2372" s="13" t="n">
        <v>-38.1</v>
      </c>
      <c r="AO2372" s="13" t="n">
        <v>15.3</v>
      </c>
      <c r="AP2372" s="13" t="n">
        <v>-40.8</v>
      </c>
    </row>
    <row r="2373">
      <c r="A2373" s="5" t="inlineStr">
        <is>
          <t>지에프씨생명과학</t>
        </is>
      </c>
      <c r="B2373" s="6" t="inlineStr">
        <is>
          <t>388610</t>
        </is>
      </c>
      <c r="C2373" s="6" t="inlineStr">
        <is>
          <t>별도</t>
        </is>
      </c>
      <c r="D2373" s="6" t="inlineStr">
        <is>
          <t>2026Q2</t>
        </is>
      </c>
      <c r="E2373" s="6" t="inlineStr"/>
      <c r="F2373" s="7" t="inlineStr"/>
      <c r="G2373" s="8" t="inlineStr"/>
      <c r="H2373" s="8" t="inlineStr"/>
      <c r="I2373" s="9" t="inlineStr"/>
      <c r="J2373" s="10" t="inlineStr"/>
      <c r="K2373" s="10" t="inlineStr"/>
      <c r="L2373" s="7" t="inlineStr"/>
      <c r="M2373" s="8" t="inlineStr"/>
      <c r="N2373" s="8" t="inlineStr"/>
      <c r="O2373" s="9" t="inlineStr"/>
      <c r="P2373" s="10" t="inlineStr"/>
      <c r="Q2373" s="10" t="inlineStr"/>
      <c r="R2373" s="7" t="inlineStr"/>
      <c r="S2373" s="8" t="inlineStr"/>
      <c r="T2373" s="8" t="inlineStr"/>
      <c r="U2373" s="9" t="inlineStr"/>
      <c r="V2373" s="10" t="inlineStr"/>
      <c r="W2373" s="10" t="inlineStr"/>
      <c r="X2373" s="7" t="n">
        <v>4491</v>
      </c>
      <c r="Y2373" s="8" t="n">
        <v>193</v>
      </c>
      <c r="Z2373" s="8" t="n">
        <v>76</v>
      </c>
      <c r="AA2373" s="9" t="n">
        <v>4180</v>
      </c>
      <c r="AB2373" s="10" t="n">
        <v>-284</v>
      </c>
      <c r="AC2373" s="10" t="n">
        <v>-288</v>
      </c>
      <c r="AD2373" s="7" t="inlineStr"/>
      <c r="AE2373" s="8" t="inlineStr"/>
      <c r="AF2373" s="8" t="inlineStr"/>
      <c r="AG2373" s="9" t="n">
        <v>5040</v>
      </c>
      <c r="AH2373" s="10" t="n">
        <v>464</v>
      </c>
      <c r="AI2373" s="10" t="n">
        <v>477</v>
      </c>
      <c r="AJ2373" s="11" t="n">
        <v>5464</v>
      </c>
      <c r="AK2373" s="12" t="n">
        <v>581</v>
      </c>
      <c r="AL2373" s="12" t="n">
        <v>417</v>
      </c>
      <c r="AM2373" s="13" t="n">
        <v>8.4</v>
      </c>
      <c r="AN2373" s="13" t="n">
        <v>21.7</v>
      </c>
      <c r="AO2373" s="13" t="n">
        <v>25.2</v>
      </c>
      <c r="AP2373" s="13" t="n">
        <v>201</v>
      </c>
    </row>
    <row r="2374">
      <c r="A2374" s="5" t="inlineStr">
        <is>
          <t>유일로보틱스</t>
        </is>
      </c>
      <c r="B2374" s="6" t="inlineStr">
        <is>
          <t>388720</t>
        </is>
      </c>
      <c r="C2374" s="6" t="inlineStr">
        <is>
          <t>연결</t>
        </is>
      </c>
      <c r="D2374" s="6" t="inlineStr">
        <is>
          <t>2026Q2</t>
        </is>
      </c>
      <c r="E2374" s="6" t="inlineStr"/>
      <c r="F2374" s="7" t="inlineStr"/>
      <c r="G2374" s="8" t="inlineStr"/>
      <c r="H2374" s="8" t="inlineStr"/>
      <c r="I2374" s="9" t="n">
        <v>7899</v>
      </c>
      <c r="J2374" s="10" t="n">
        <v>-1043</v>
      </c>
      <c r="K2374" s="10" t="n">
        <v>-14252</v>
      </c>
      <c r="L2374" s="7" t="n">
        <v>8308</v>
      </c>
      <c r="M2374" s="8" t="n">
        <v>309</v>
      </c>
      <c r="N2374" s="8" t="n">
        <v>4752</v>
      </c>
      <c r="O2374" s="9" t="n">
        <v>10093</v>
      </c>
      <c r="P2374" s="10" t="n">
        <v>134</v>
      </c>
      <c r="Q2374" s="10" t="n">
        <v>83</v>
      </c>
      <c r="R2374" s="7" t="n">
        <v>8869</v>
      </c>
      <c r="S2374" s="8" t="n">
        <v>995</v>
      </c>
      <c r="T2374" s="8" t="n">
        <v>364</v>
      </c>
      <c r="U2374" s="9" t="n">
        <v>10073</v>
      </c>
      <c r="V2374" s="10" t="n">
        <v>435</v>
      </c>
      <c r="W2374" s="10" t="n">
        <v>-193</v>
      </c>
      <c r="X2374" s="7" t="n">
        <v>7090</v>
      </c>
      <c r="Y2374" s="8" t="n">
        <v>-4131</v>
      </c>
      <c r="Z2374" s="8" t="n">
        <v>-17819</v>
      </c>
      <c r="AA2374" s="9" t="n">
        <v>9295</v>
      </c>
      <c r="AB2374" s="10" t="n">
        <v>-3960</v>
      </c>
      <c r="AC2374" s="10" t="n">
        <v>-932</v>
      </c>
      <c r="AD2374" s="7" t="inlineStr"/>
      <c r="AE2374" s="8" t="n">
        <v>-4964</v>
      </c>
      <c r="AF2374" s="8" t="n">
        <v>-5726</v>
      </c>
      <c r="AG2374" s="9" t="n">
        <v>4559</v>
      </c>
      <c r="AH2374" s="10" t="n">
        <v>-4112</v>
      </c>
      <c r="AI2374" s="10" t="n">
        <v>-7990</v>
      </c>
      <c r="AJ2374" s="11" t="inlineStr"/>
      <c r="AK2374" s="12" t="n">
        <v>-1457</v>
      </c>
      <c r="AL2374" s="12" t="n">
        <v>-1283</v>
      </c>
      <c r="AM2374" s="13" t="inlineStr"/>
      <c r="AN2374" s="13" t="inlineStr"/>
      <c r="AO2374" s="13" t="n">
        <v>64.59999999999999</v>
      </c>
      <c r="AP2374" s="13" t="n">
        <v>64.7</v>
      </c>
    </row>
    <row r="2375">
      <c r="A2375" s="5" t="inlineStr">
        <is>
          <t>라이콤</t>
        </is>
      </c>
      <c r="B2375" s="6" t="inlineStr">
        <is>
          <t>388790</t>
        </is>
      </c>
      <c r="C2375" s="6" t="inlineStr">
        <is>
          <t>별도</t>
        </is>
      </c>
      <c r="D2375" s="6" t="inlineStr">
        <is>
          <t>2026Q2</t>
        </is>
      </c>
      <c r="E2375" s="6" t="inlineStr"/>
      <c r="F2375" s="7" t="inlineStr"/>
      <c r="G2375" s="8" t="inlineStr"/>
      <c r="H2375" s="8" t="inlineStr"/>
      <c r="I2375" s="9" t="n">
        <v>2825</v>
      </c>
      <c r="J2375" s="10" t="n">
        <v>-782</v>
      </c>
      <c r="K2375" s="10" t="n">
        <v>-480</v>
      </c>
      <c r="L2375" s="7" t="n">
        <v>3162</v>
      </c>
      <c r="M2375" s="8" t="n">
        <v>-1334</v>
      </c>
      <c r="N2375" s="8" t="n">
        <v>-1015</v>
      </c>
      <c r="O2375" s="9" t="n">
        <v>2732</v>
      </c>
      <c r="P2375" s="10" t="n">
        <v>-1246</v>
      </c>
      <c r="Q2375" s="10" t="n">
        <v>-865</v>
      </c>
      <c r="R2375" s="7" t="n">
        <v>4418</v>
      </c>
      <c r="S2375" s="8" t="n">
        <v>-1980</v>
      </c>
      <c r="T2375" s="8" t="n">
        <v>-1391</v>
      </c>
      <c r="U2375" s="9" t="n">
        <v>3703</v>
      </c>
      <c r="V2375" s="10" t="n">
        <v>-432</v>
      </c>
      <c r="W2375" s="10" t="n">
        <v>-168</v>
      </c>
      <c r="X2375" s="7" t="n">
        <v>2543</v>
      </c>
      <c r="Y2375" s="8" t="n">
        <v>-1064</v>
      </c>
      <c r="Z2375" s="8" t="n">
        <v>-1045</v>
      </c>
      <c r="AA2375" s="9" t="n">
        <v>3255</v>
      </c>
      <c r="AB2375" s="10" t="n">
        <v>-330</v>
      </c>
      <c r="AC2375" s="10" t="n">
        <v>-252</v>
      </c>
      <c r="AD2375" s="7" t="n">
        <v>8187</v>
      </c>
      <c r="AE2375" s="8" t="n">
        <v>2408</v>
      </c>
      <c r="AF2375" s="8" t="n">
        <v>1726</v>
      </c>
      <c r="AG2375" s="9" t="n">
        <v>2699</v>
      </c>
      <c r="AH2375" s="10" t="n">
        <v>-880</v>
      </c>
      <c r="AI2375" s="10" t="n">
        <v>-716</v>
      </c>
      <c r="AJ2375" s="11" t="n">
        <v>4530</v>
      </c>
      <c r="AK2375" s="12" t="n">
        <v>128</v>
      </c>
      <c r="AL2375" s="12" t="n">
        <v>113</v>
      </c>
      <c r="AM2375" s="13" t="n">
        <v>67.8</v>
      </c>
      <c r="AN2375" s="13" t="n">
        <v>78.09999999999999</v>
      </c>
      <c r="AO2375" s="13" t="n">
        <v>114.5</v>
      </c>
      <c r="AP2375" s="13" t="n">
        <v>112</v>
      </c>
    </row>
    <row r="2376">
      <c r="A2376" s="5" t="inlineStr">
        <is>
          <t>파로스아이바이오</t>
        </is>
      </c>
      <c r="B2376" s="6" t="inlineStr">
        <is>
          <t>388870</t>
        </is>
      </c>
      <c r="C2376" s="6" t="inlineStr">
        <is>
          <t>연결</t>
        </is>
      </c>
      <c r="D2376" s="6" t="inlineStr">
        <is>
          <t>2026Q2</t>
        </is>
      </c>
      <c r="E2376" s="6" t="inlineStr"/>
      <c r="F2376" s="7" t="inlineStr"/>
      <c r="G2376" s="8" t="inlineStr"/>
      <c r="H2376" s="8" t="inlineStr"/>
      <c r="I2376" s="9" t="inlineStr"/>
      <c r="J2376" s="10" t="n">
        <v>-3535</v>
      </c>
      <c r="K2376" s="10" t="n">
        <v>-3005</v>
      </c>
      <c r="L2376" s="7" t="inlineStr"/>
      <c r="M2376" s="8" t="n">
        <v>-3146</v>
      </c>
      <c r="N2376" s="8" t="n">
        <v>-2844</v>
      </c>
      <c r="O2376" s="9" t="inlineStr"/>
      <c r="P2376" s="10" t="n">
        <v>-3004</v>
      </c>
      <c r="Q2376" s="10" t="n">
        <v>-2538</v>
      </c>
      <c r="R2376" s="7" t="inlineStr"/>
      <c r="S2376" s="8" t="n">
        <v>-2916</v>
      </c>
      <c r="T2376" s="8" t="n">
        <v>-2173</v>
      </c>
      <c r="U2376" s="9" t="n">
        <v>0</v>
      </c>
      <c r="V2376" s="10" t="n">
        <v>-3148</v>
      </c>
      <c r="W2376" s="10" t="n">
        <v>-3032</v>
      </c>
      <c r="X2376" s="7" t="inlineStr"/>
      <c r="Y2376" s="8" t="n">
        <v>-2430</v>
      </c>
      <c r="Z2376" s="8" t="n">
        <v>-2782</v>
      </c>
      <c r="AA2376" s="9" t="inlineStr"/>
      <c r="AB2376" s="10" t="n">
        <v>-2993</v>
      </c>
      <c r="AC2376" s="10" t="n">
        <v>-1835</v>
      </c>
      <c r="AD2376" s="7" t="inlineStr"/>
      <c r="AE2376" s="8" t="n">
        <v>-2936</v>
      </c>
      <c r="AF2376" s="8" t="n">
        <v>-3108</v>
      </c>
      <c r="AG2376" s="9" t="inlineStr"/>
      <c r="AH2376" s="10" t="n">
        <v>-2367</v>
      </c>
      <c r="AI2376" s="10" t="n">
        <v>-2213</v>
      </c>
      <c r="AJ2376" s="11" t="inlineStr"/>
      <c r="AK2376" s="12" t="n">
        <v>-2280</v>
      </c>
      <c r="AL2376" s="12" t="n">
        <v>-2335</v>
      </c>
      <c r="AM2376" s="13" t="inlineStr"/>
      <c r="AN2376" s="13" t="inlineStr"/>
      <c r="AO2376" s="13" t="n">
        <v>3.7</v>
      </c>
      <c r="AP2376" s="13" t="n">
        <v>6.2</v>
      </c>
    </row>
    <row r="2377">
      <c r="A2377" s="5" t="inlineStr">
        <is>
          <t>자람테크놀로지</t>
        </is>
      </c>
      <c r="B2377" s="6" t="inlineStr">
        <is>
          <t>389020</t>
        </is>
      </c>
      <c r="C2377" s="6" t="inlineStr">
        <is>
          <t>별도</t>
        </is>
      </c>
      <c r="D2377" s="6" t="inlineStr">
        <is>
          <t>2026Q2</t>
        </is>
      </c>
      <c r="E2377" s="6" t="inlineStr"/>
      <c r="F2377" s="7" t="inlineStr"/>
      <c r="G2377" s="8" t="inlineStr"/>
      <c r="H2377" s="8" t="inlineStr"/>
      <c r="I2377" s="9" t="n">
        <v>5958</v>
      </c>
      <c r="J2377" s="10" t="n">
        <v>550</v>
      </c>
      <c r="K2377" s="10" t="n">
        <v>1270</v>
      </c>
      <c r="L2377" s="7" t="n">
        <v>5311</v>
      </c>
      <c r="M2377" s="8" t="n">
        <v>416</v>
      </c>
      <c r="N2377" s="8" t="n">
        <v>391</v>
      </c>
      <c r="O2377" s="9" t="n">
        <v>5629</v>
      </c>
      <c r="P2377" s="10" t="n">
        <v>511</v>
      </c>
      <c r="Q2377" s="10" t="n">
        <v>29</v>
      </c>
      <c r="R2377" s="7" t="n">
        <v>5272</v>
      </c>
      <c r="S2377" s="8" t="n">
        <v>-1112</v>
      </c>
      <c r="T2377" s="8" t="n">
        <v>293</v>
      </c>
      <c r="U2377" s="9" t="n">
        <v>3098</v>
      </c>
      <c r="V2377" s="10" t="n">
        <v>-1309</v>
      </c>
      <c r="W2377" s="10" t="n">
        <v>-1640</v>
      </c>
      <c r="X2377" s="7" t="n">
        <v>2700</v>
      </c>
      <c r="Y2377" s="8" t="n">
        <v>-1632</v>
      </c>
      <c r="Z2377" s="8" t="n">
        <v>-1604</v>
      </c>
      <c r="AA2377" s="9" t="n">
        <v>2095</v>
      </c>
      <c r="AB2377" s="10" t="n">
        <v>-1958</v>
      </c>
      <c r="AC2377" s="10" t="n">
        <v>-1705</v>
      </c>
      <c r="AD2377" s="7" t="n">
        <v>2751</v>
      </c>
      <c r="AE2377" s="8" t="n">
        <v>-2166</v>
      </c>
      <c r="AF2377" s="8" t="n">
        <v>-1895</v>
      </c>
      <c r="AG2377" s="9" t="n">
        <v>5185</v>
      </c>
      <c r="AH2377" s="10" t="n">
        <v>-1550</v>
      </c>
      <c r="AI2377" s="10" t="n">
        <v>-247</v>
      </c>
      <c r="AJ2377" s="11" t="n">
        <v>6095</v>
      </c>
      <c r="AK2377" s="12" t="n">
        <v>-314</v>
      </c>
      <c r="AL2377" s="12" t="n">
        <v>-240</v>
      </c>
      <c r="AM2377" s="13" t="n">
        <v>17.6</v>
      </c>
      <c r="AN2377" s="13" t="n">
        <v>125.7</v>
      </c>
      <c r="AO2377" s="13" t="n">
        <v>79.7</v>
      </c>
      <c r="AP2377" s="13" t="n">
        <v>80.8</v>
      </c>
    </row>
    <row r="2378">
      <c r="A2378" s="5" t="inlineStr">
        <is>
          <t>지니너스</t>
        </is>
      </c>
      <c r="B2378" s="6" t="inlineStr">
        <is>
          <t>389030</t>
        </is>
      </c>
      <c r="C2378" s="6" t="inlineStr">
        <is>
          <t>연결</t>
        </is>
      </c>
      <c r="D2378" s="6" t="inlineStr">
        <is>
          <t>2026Q2</t>
        </is>
      </c>
      <c r="E2378" s="6" t="inlineStr"/>
      <c r="F2378" s="7" t="inlineStr"/>
      <c r="G2378" s="8" t="inlineStr"/>
      <c r="H2378" s="8" t="inlineStr"/>
      <c r="I2378" s="9" t="n">
        <v>1759</v>
      </c>
      <c r="J2378" s="10" t="n">
        <v>-2846</v>
      </c>
      <c r="K2378" s="10" t="n">
        <v>-2805</v>
      </c>
      <c r="L2378" s="7" t="n">
        <v>1472</v>
      </c>
      <c r="M2378" s="8" t="n">
        <v>-3745</v>
      </c>
      <c r="N2378" s="8" t="n">
        <v>-3914</v>
      </c>
      <c r="O2378" s="9" t="n">
        <v>1765</v>
      </c>
      <c r="P2378" s="10" t="n">
        <v>-2080</v>
      </c>
      <c r="Q2378" s="10" t="n">
        <v>-1997</v>
      </c>
      <c r="R2378" s="7" t="n">
        <v>1459</v>
      </c>
      <c r="S2378" s="8" t="n">
        <v>-3589</v>
      </c>
      <c r="T2378" s="8" t="n">
        <v>-3557</v>
      </c>
      <c r="U2378" s="9" t="n">
        <v>2628</v>
      </c>
      <c r="V2378" s="10" t="n">
        <v>-2382</v>
      </c>
      <c r="W2378" s="10" t="n">
        <v>-2366</v>
      </c>
      <c r="X2378" s="7" t="n">
        <v>2570</v>
      </c>
      <c r="Y2378" s="8" t="n">
        <v>-4004</v>
      </c>
      <c r="Z2378" s="8" t="n">
        <v>-4424</v>
      </c>
      <c r="AA2378" s="9" t="n">
        <v>2151</v>
      </c>
      <c r="AB2378" s="10" t="n">
        <v>-2329</v>
      </c>
      <c r="AC2378" s="10" t="n">
        <v>-2449</v>
      </c>
      <c r="AD2378" s="7" t="n">
        <v>3134</v>
      </c>
      <c r="AE2378" s="8" t="n">
        <v>-2956</v>
      </c>
      <c r="AF2378" s="8" t="n">
        <v>-8134</v>
      </c>
      <c r="AG2378" s="9" t="n">
        <v>2386</v>
      </c>
      <c r="AH2378" s="10" t="n">
        <v>-2048</v>
      </c>
      <c r="AI2378" s="10" t="n">
        <v>-2027</v>
      </c>
      <c r="AJ2378" s="11" t="n">
        <v>3607</v>
      </c>
      <c r="AK2378" s="12" t="n">
        <v>-4595</v>
      </c>
      <c r="AL2378" s="12" t="n">
        <v>-7746</v>
      </c>
      <c r="AM2378" s="13" t="n">
        <v>51.2</v>
      </c>
      <c r="AN2378" s="13" t="n">
        <v>40.4</v>
      </c>
      <c r="AO2378" s="13" t="n">
        <v>-124.4</v>
      </c>
      <c r="AP2378" s="13" t="n">
        <v>-14.8</v>
      </c>
    </row>
    <row r="2379">
      <c r="A2379" s="5" t="inlineStr">
        <is>
          <t>포바이포</t>
        </is>
      </c>
      <c r="B2379" s="6" t="inlineStr">
        <is>
          <t>389140</t>
        </is>
      </c>
      <c r="C2379" s="6" t="inlineStr">
        <is>
          <t>연결</t>
        </is>
      </c>
      <c r="D2379" s="6" t="inlineStr">
        <is>
          <t>2026Q2</t>
        </is>
      </c>
      <c r="E2379" s="6" t="inlineStr"/>
      <c r="F2379" s="7" t="inlineStr"/>
      <c r="G2379" s="8" t="inlineStr"/>
      <c r="H2379" s="8" t="inlineStr"/>
      <c r="I2379" s="9" t="inlineStr"/>
      <c r="J2379" s="10" t="n">
        <v>-4812</v>
      </c>
      <c r="K2379" s="10" t="n">
        <v>-4922</v>
      </c>
      <c r="L2379" s="7" t="inlineStr"/>
      <c r="M2379" s="8" t="n">
        <v>-4136</v>
      </c>
      <c r="N2379" s="8" t="n">
        <v>-4605</v>
      </c>
      <c r="O2379" s="9" t="inlineStr"/>
      <c r="P2379" s="10" t="n">
        <v>-3088</v>
      </c>
      <c r="Q2379" s="10" t="n">
        <v>-1130</v>
      </c>
      <c r="R2379" s="7" t="inlineStr"/>
      <c r="S2379" s="8" t="n">
        <v>-1855</v>
      </c>
      <c r="T2379" s="8" t="n">
        <v>-1639</v>
      </c>
      <c r="U2379" s="9" t="inlineStr"/>
      <c r="V2379" s="10" t="n">
        <v>-2603</v>
      </c>
      <c r="W2379" s="10" t="n">
        <v>-2993</v>
      </c>
      <c r="X2379" s="7" t="inlineStr"/>
      <c r="Y2379" s="8" t="n">
        <v>-89</v>
      </c>
      <c r="Z2379" s="8" t="n">
        <v>-382</v>
      </c>
      <c r="AA2379" s="9" t="inlineStr"/>
      <c r="AB2379" s="10" t="n">
        <v>-2053</v>
      </c>
      <c r="AC2379" s="10" t="n">
        <v>-2499</v>
      </c>
      <c r="AD2379" s="7" t="inlineStr"/>
      <c r="AE2379" s="8" t="n">
        <v>-2651</v>
      </c>
      <c r="AF2379" s="8" t="n">
        <v>-5085</v>
      </c>
      <c r="AG2379" s="9" t="inlineStr"/>
      <c r="AH2379" s="10" t="n">
        <v>-2503</v>
      </c>
      <c r="AI2379" s="10" t="n">
        <v>-2756</v>
      </c>
      <c r="AJ2379" s="11" t="inlineStr"/>
      <c r="AK2379" s="12" t="n">
        <v>-603</v>
      </c>
      <c r="AL2379" s="12" t="n">
        <v>-565</v>
      </c>
      <c r="AM2379" s="13" t="inlineStr"/>
      <c r="AN2379" s="13" t="inlineStr"/>
      <c r="AO2379" s="13" t="n">
        <v>75.90000000000001</v>
      </c>
      <c r="AP2379" s="13" t="n">
        <v>-577.5</v>
      </c>
    </row>
    <row r="2380">
      <c r="A2380" s="5" t="inlineStr">
        <is>
          <t>대명에너지</t>
        </is>
      </c>
      <c r="B2380" s="6" t="inlineStr">
        <is>
          <t>389260</t>
        </is>
      </c>
      <c r="C2380" s="6" t="inlineStr">
        <is>
          <t>연결</t>
        </is>
      </c>
      <c r="D2380" s="6" t="inlineStr">
        <is>
          <t>2026Q2</t>
        </is>
      </c>
      <c r="E2380" s="6" t="inlineStr"/>
      <c r="F2380" s="7" t="inlineStr"/>
      <c r="G2380" s="8" t="inlineStr"/>
      <c r="H2380" s="8" t="inlineStr"/>
      <c r="I2380" s="9" t="n">
        <v>14842</v>
      </c>
      <c r="J2380" s="10" t="n">
        <v>3651</v>
      </c>
      <c r="K2380" s="10" t="n">
        <v>4349</v>
      </c>
      <c r="L2380" s="7" t="n">
        <v>14892</v>
      </c>
      <c r="M2380" s="8" t="n">
        <v>990</v>
      </c>
      <c r="N2380" s="8" t="n">
        <v>-1058</v>
      </c>
      <c r="O2380" s="9" t="n">
        <v>17433</v>
      </c>
      <c r="P2380" s="10" t="n">
        <v>865</v>
      </c>
      <c r="Q2380" s="10" t="n">
        <v>3779</v>
      </c>
      <c r="R2380" s="7" t="n">
        <v>20595</v>
      </c>
      <c r="S2380" s="8" t="n">
        <v>4199</v>
      </c>
      <c r="T2380" s="8" t="n">
        <v>720</v>
      </c>
      <c r="U2380" s="9" t="n">
        <v>19162</v>
      </c>
      <c r="V2380" s="10" t="n">
        <v>5682</v>
      </c>
      <c r="W2380" s="10" t="n">
        <v>8404</v>
      </c>
      <c r="X2380" s="7" t="n">
        <v>22062</v>
      </c>
      <c r="Y2380" s="8" t="n">
        <v>2989</v>
      </c>
      <c r="Z2380" s="8" t="n">
        <v>-3221</v>
      </c>
      <c r="AA2380" s="9" t="n">
        <v>36955</v>
      </c>
      <c r="AB2380" s="10" t="n">
        <v>240</v>
      </c>
      <c r="AC2380" s="10" t="n">
        <v>-1919</v>
      </c>
      <c r="AD2380" s="7" t="n">
        <v>52792</v>
      </c>
      <c r="AE2380" s="8" t="n">
        <v>7888</v>
      </c>
      <c r="AF2380" s="8" t="n">
        <v>10880</v>
      </c>
      <c r="AG2380" s="9" t="n">
        <v>30811</v>
      </c>
      <c r="AH2380" s="10" t="n">
        <v>17927</v>
      </c>
      <c r="AI2380" s="10" t="n">
        <v>4800</v>
      </c>
      <c r="AJ2380" s="11" t="n">
        <v>25346</v>
      </c>
      <c r="AK2380" s="12" t="n">
        <v>3397</v>
      </c>
      <c r="AL2380" s="12" t="n">
        <v>16526</v>
      </c>
      <c r="AM2380" s="13" t="n">
        <v>-17.7</v>
      </c>
      <c r="AN2380" s="13" t="n">
        <v>14.9</v>
      </c>
      <c r="AO2380" s="13" t="n">
        <v>-81.09999999999999</v>
      </c>
      <c r="AP2380" s="13" t="n">
        <v>13.7</v>
      </c>
    </row>
    <row r="2381">
      <c r="A2381" s="5" t="inlineStr">
        <is>
          <t>인벤티지랩</t>
        </is>
      </c>
      <c r="B2381" s="6" t="inlineStr">
        <is>
          <t>389470</t>
        </is>
      </c>
      <c r="C2381" s="6" t="inlineStr">
        <is>
          <t>연결</t>
        </is>
      </c>
      <c r="D2381" s="6" t="inlineStr">
        <is>
          <t>2026Q2</t>
        </is>
      </c>
      <c r="E2381" s="6" t="inlineStr"/>
      <c r="F2381" s="7" t="inlineStr"/>
      <c r="G2381" s="8" t="inlineStr"/>
      <c r="H2381" s="8" t="inlineStr"/>
      <c r="I2381" s="9" t="n">
        <v>97</v>
      </c>
      <c r="J2381" s="10" t="n">
        <v>-4240</v>
      </c>
      <c r="K2381" s="10" t="n">
        <v>2407</v>
      </c>
      <c r="L2381" s="7" t="n">
        <v>389</v>
      </c>
      <c r="M2381" s="8" t="n">
        <v>-3945</v>
      </c>
      <c r="N2381" s="8" t="n">
        <v>-2269</v>
      </c>
      <c r="O2381" s="9" t="n">
        <v>218</v>
      </c>
      <c r="P2381" s="10" t="n">
        <v>-5403</v>
      </c>
      <c r="Q2381" s="10" t="n">
        <v>-11485</v>
      </c>
      <c r="R2381" s="7" t="n">
        <v>1079</v>
      </c>
      <c r="S2381" s="8" t="n">
        <v>-5376</v>
      </c>
      <c r="T2381" s="8" t="n">
        <v>-5650</v>
      </c>
      <c r="U2381" s="9" t="n">
        <v>169</v>
      </c>
      <c r="V2381" s="10" t="n">
        <v>-5373</v>
      </c>
      <c r="W2381" s="10" t="n">
        <v>-8160</v>
      </c>
      <c r="X2381" s="7" t="n">
        <v>865</v>
      </c>
      <c r="Y2381" s="8" t="n">
        <v>-8054</v>
      </c>
      <c r="Z2381" s="8" t="n">
        <v>-284</v>
      </c>
      <c r="AA2381" s="9" t="n">
        <v>832</v>
      </c>
      <c r="AB2381" s="10" t="n">
        <v>-7434</v>
      </c>
      <c r="AC2381" s="10" t="n">
        <v>-6526</v>
      </c>
      <c r="AD2381" s="7" t="n">
        <v>1073</v>
      </c>
      <c r="AE2381" s="8" t="n">
        <v>-7520</v>
      </c>
      <c r="AF2381" s="8" t="n">
        <v>-941</v>
      </c>
      <c r="AG2381" s="9" t="n">
        <v>393</v>
      </c>
      <c r="AH2381" s="10" t="n">
        <v>-8384</v>
      </c>
      <c r="AI2381" s="10" t="n">
        <v>923</v>
      </c>
      <c r="AJ2381" s="11" t="n">
        <v>176</v>
      </c>
      <c r="AK2381" s="12" t="n">
        <v>-10285</v>
      </c>
      <c r="AL2381" s="12" t="n">
        <v>-4223</v>
      </c>
      <c r="AM2381" s="13" t="n">
        <v>-55.2</v>
      </c>
      <c r="AN2381" s="13" t="n">
        <v>-79.7</v>
      </c>
      <c r="AO2381" s="13" t="n">
        <v>-22.7</v>
      </c>
      <c r="AP2381" s="13" t="n">
        <v>-27.7</v>
      </c>
    </row>
    <row r="2382">
      <c r="A2382" s="5" t="inlineStr">
        <is>
          <t>에스비비테크</t>
        </is>
      </c>
      <c r="B2382" s="6" t="inlineStr">
        <is>
          <t>389500</t>
        </is>
      </c>
      <c r="C2382" s="6" t="inlineStr">
        <is>
          <t>별도</t>
        </is>
      </c>
      <c r="D2382" s="6" t="inlineStr">
        <is>
          <t>2026Q2</t>
        </is>
      </c>
      <c r="E2382" s="6" t="inlineStr"/>
      <c r="F2382" s="7" t="inlineStr"/>
      <c r="G2382" s="8" t="inlineStr"/>
      <c r="H2382" s="8" t="inlineStr"/>
      <c r="I2382" s="9" t="n">
        <v>1145</v>
      </c>
      <c r="J2382" s="10" t="n">
        <v>-1718</v>
      </c>
      <c r="K2382" s="10" t="n">
        <v>-2435</v>
      </c>
      <c r="L2382" s="7" t="n">
        <v>1633</v>
      </c>
      <c r="M2382" s="8" t="n">
        <v>-1741</v>
      </c>
      <c r="N2382" s="8" t="n">
        <v>4917</v>
      </c>
      <c r="O2382" s="9" t="n">
        <v>1113</v>
      </c>
      <c r="P2382" s="10" t="n">
        <v>-1890</v>
      </c>
      <c r="Q2382" s="10" t="n">
        <v>-1616</v>
      </c>
      <c r="R2382" s="7" t="n">
        <v>1575</v>
      </c>
      <c r="S2382" s="8" t="n">
        <v>-1544</v>
      </c>
      <c r="T2382" s="8" t="n">
        <v>-1763</v>
      </c>
      <c r="U2382" s="9" t="n">
        <v>1177</v>
      </c>
      <c r="V2382" s="10" t="n">
        <v>-1896</v>
      </c>
      <c r="W2382" s="10" t="n">
        <v>-1866</v>
      </c>
      <c r="X2382" s="7" t="n">
        <v>1840</v>
      </c>
      <c r="Y2382" s="8" t="n">
        <v>-1926</v>
      </c>
      <c r="Z2382" s="8" t="n">
        <v>-2169</v>
      </c>
      <c r="AA2382" s="9" t="n">
        <v>2010</v>
      </c>
      <c r="AB2382" s="10" t="n">
        <v>-2140</v>
      </c>
      <c r="AC2382" s="10" t="n">
        <v>-2159</v>
      </c>
      <c r="AD2382" s="7" t="n">
        <v>2172</v>
      </c>
      <c r="AE2382" s="8" t="n">
        <v>-901</v>
      </c>
      <c r="AF2382" s="8" t="n">
        <v>-3260</v>
      </c>
      <c r="AG2382" s="9" t="n">
        <v>1772</v>
      </c>
      <c r="AH2382" s="10" t="n">
        <v>-1849</v>
      </c>
      <c r="AI2382" s="10" t="n">
        <v>-8806</v>
      </c>
      <c r="AJ2382" s="11" t="n">
        <v>2704</v>
      </c>
      <c r="AK2382" s="12" t="n">
        <v>-2952</v>
      </c>
      <c r="AL2382" s="12" t="n">
        <v>-3228</v>
      </c>
      <c r="AM2382" s="13" t="n">
        <v>52.6</v>
      </c>
      <c r="AN2382" s="13" t="n">
        <v>47</v>
      </c>
      <c r="AO2382" s="13" t="n">
        <v>-59.7</v>
      </c>
      <c r="AP2382" s="13" t="n">
        <v>-53.3</v>
      </c>
    </row>
    <row r="2383">
      <c r="A2383" s="5" t="inlineStr">
        <is>
          <t>넥스트바이오메디컬</t>
        </is>
      </c>
      <c r="B2383" s="6" t="inlineStr">
        <is>
          <t>389650</t>
        </is>
      </c>
      <c r="C2383" s="6" t="inlineStr">
        <is>
          <t>별도</t>
        </is>
      </c>
      <c r="D2383" s="6" t="inlineStr">
        <is>
          <t>2026Q2</t>
        </is>
      </c>
      <c r="E2383" s="6" t="inlineStr"/>
      <c r="F2383" s="7" t="inlineStr"/>
      <c r="G2383" s="8" t="inlineStr"/>
      <c r="H2383" s="8" t="inlineStr"/>
      <c r="I2383" s="9" t="inlineStr"/>
      <c r="J2383" s="10" t="inlineStr"/>
      <c r="K2383" s="10" t="inlineStr"/>
      <c r="L2383" s="7" t="inlineStr"/>
      <c r="M2383" s="8" t="inlineStr"/>
      <c r="N2383" s="8" t="inlineStr"/>
      <c r="O2383" s="9" t="n">
        <v>2192</v>
      </c>
      <c r="P2383" s="10" t="n">
        <v>-1009</v>
      </c>
      <c r="Q2383" s="10" t="n">
        <v>-1337</v>
      </c>
      <c r="R2383" s="7" t="inlineStr"/>
      <c r="S2383" s="8" t="inlineStr"/>
      <c r="T2383" s="8" t="inlineStr"/>
      <c r="U2383" s="9" t="n">
        <v>3774</v>
      </c>
      <c r="V2383" s="10" t="n">
        <v>-668</v>
      </c>
      <c r="W2383" s="10" t="n">
        <v>-421</v>
      </c>
      <c r="X2383" s="7" t="n">
        <v>3971</v>
      </c>
      <c r="Y2383" s="8" t="n">
        <v>21</v>
      </c>
      <c r="Z2383" s="8" t="n">
        <v>-902</v>
      </c>
      <c r="AA2383" s="9" t="n">
        <v>4933</v>
      </c>
      <c r="AB2383" s="10" t="n">
        <v>370</v>
      </c>
      <c r="AC2383" s="10" t="n">
        <v>1061</v>
      </c>
      <c r="AD2383" s="7" t="n">
        <v>3799</v>
      </c>
      <c r="AE2383" s="8" t="n">
        <v>-443</v>
      </c>
      <c r="AF2383" s="8" t="n">
        <v>-49</v>
      </c>
      <c r="AG2383" s="9" t="n">
        <v>4121</v>
      </c>
      <c r="AH2383" s="10" t="n">
        <v>-1191</v>
      </c>
      <c r="AI2383" s="10" t="n">
        <v>-146</v>
      </c>
      <c r="AJ2383" s="11" t="n">
        <v>4936</v>
      </c>
      <c r="AK2383" s="12" t="n">
        <v>-1034</v>
      </c>
      <c r="AL2383" s="12" t="n">
        <v>-633</v>
      </c>
      <c r="AM2383" s="13" t="n">
        <v>19.8</v>
      </c>
      <c r="AN2383" s="13" t="n">
        <v>24.3</v>
      </c>
      <c r="AO2383" s="13" t="n">
        <v>13.2</v>
      </c>
      <c r="AP2383" s="13" t="n">
        <v>-5023.8</v>
      </c>
    </row>
    <row r="2384">
      <c r="A2384" s="5" t="inlineStr">
        <is>
          <t>유디엠텍</t>
        </is>
      </c>
      <c r="B2384" s="6" t="inlineStr">
        <is>
          <t>389680</t>
        </is>
      </c>
      <c r="C2384" s="6" t="inlineStr">
        <is>
          <t>별도</t>
        </is>
      </c>
      <c r="D2384" s="6" t="inlineStr">
        <is>
          <t>2026Q2</t>
        </is>
      </c>
      <c r="E2384" s="6" t="inlineStr"/>
      <c r="F2384" s="7" t="inlineStr"/>
      <c r="G2384" s="8" t="inlineStr"/>
      <c r="H2384" s="8" t="inlineStr"/>
      <c r="I2384" s="9" t="inlineStr"/>
      <c r="J2384" s="10" t="inlineStr"/>
      <c r="K2384" s="10" t="inlineStr"/>
      <c r="L2384" s="7" t="inlineStr"/>
      <c r="M2384" s="8" t="inlineStr"/>
      <c r="N2384" s="8" t="inlineStr"/>
      <c r="O2384" s="9" t="inlineStr"/>
      <c r="P2384" s="10" t="inlineStr"/>
      <c r="Q2384" s="10" t="inlineStr"/>
      <c r="R2384" s="7" t="inlineStr"/>
      <c r="S2384" s="8" t="inlineStr"/>
      <c r="T2384" s="8" t="inlineStr"/>
      <c r="U2384" s="9" t="n">
        <v>631</v>
      </c>
      <c r="V2384" s="10" t="n">
        <v>-1109</v>
      </c>
      <c r="W2384" s="10" t="n">
        <v>-1058</v>
      </c>
      <c r="X2384" s="7" t="n">
        <v>789</v>
      </c>
      <c r="Y2384" s="8" t="n">
        <v>-1319</v>
      </c>
      <c r="Z2384" s="8" t="n">
        <v>-1199</v>
      </c>
      <c r="AA2384" s="9" t="n">
        <v>479</v>
      </c>
      <c r="AB2384" s="10" t="n">
        <v>-976</v>
      </c>
      <c r="AC2384" s="10" t="n">
        <v>-1027</v>
      </c>
      <c r="AD2384" s="7" t="n">
        <v>1314</v>
      </c>
      <c r="AE2384" s="8" t="n">
        <v>-243</v>
      </c>
      <c r="AF2384" s="8" t="n">
        <v>-218</v>
      </c>
      <c r="AG2384" s="9" t="n">
        <v>890</v>
      </c>
      <c r="AH2384" s="10" t="n">
        <v>-559</v>
      </c>
      <c r="AI2384" s="10" t="n">
        <v>-527</v>
      </c>
      <c r="AJ2384" s="11" t="n">
        <v>743</v>
      </c>
      <c r="AK2384" s="12" t="n">
        <v>-693</v>
      </c>
      <c r="AL2384" s="12" t="n">
        <v>-627</v>
      </c>
      <c r="AM2384" s="13" t="n">
        <v>-16.5</v>
      </c>
      <c r="AN2384" s="13" t="n">
        <v>-5.8</v>
      </c>
      <c r="AO2384" s="13" t="n">
        <v>-24</v>
      </c>
      <c r="AP2384" s="13" t="n">
        <v>47.5</v>
      </c>
    </row>
    <row r="2385">
      <c r="A2385" s="5" t="inlineStr">
        <is>
          <t>코닉오토메이션</t>
        </is>
      </c>
      <c r="B2385" s="6" t="inlineStr">
        <is>
          <t>391710</t>
        </is>
      </c>
      <c r="C2385" s="6" t="inlineStr">
        <is>
          <t>별도</t>
        </is>
      </c>
      <c r="D2385" s="6" t="inlineStr">
        <is>
          <t>2026Q2</t>
        </is>
      </c>
      <c r="E2385" s="6" t="inlineStr"/>
      <c r="F2385" s="7" t="inlineStr"/>
      <c r="G2385" s="8" t="inlineStr"/>
      <c r="H2385" s="8" t="inlineStr"/>
      <c r="I2385" s="9" t="n">
        <v>2095</v>
      </c>
      <c r="J2385" s="10" t="n">
        <v>-1426</v>
      </c>
      <c r="K2385" s="10" t="n">
        <v>-1383</v>
      </c>
      <c r="L2385" s="7" t="n">
        <v>28525</v>
      </c>
      <c r="M2385" s="8" t="n">
        <v>100</v>
      </c>
      <c r="N2385" s="8" t="n">
        <v>516</v>
      </c>
      <c r="O2385" s="9" t="n">
        <v>7296</v>
      </c>
      <c r="P2385" s="10" t="n">
        <v>-803</v>
      </c>
      <c r="Q2385" s="10" t="n">
        <v>-785</v>
      </c>
      <c r="R2385" s="7" t="n">
        <v>17595</v>
      </c>
      <c r="S2385" s="8" t="n">
        <v>2174</v>
      </c>
      <c r="T2385" s="8" t="n">
        <v>2676</v>
      </c>
      <c r="U2385" s="9" t="n">
        <v>3911</v>
      </c>
      <c r="V2385" s="10" t="n">
        <v>-1625</v>
      </c>
      <c r="W2385" s="10" t="n">
        <v>-1518</v>
      </c>
      <c r="X2385" s="7" t="n">
        <v>5859</v>
      </c>
      <c r="Y2385" s="8" t="n">
        <v>-1744</v>
      </c>
      <c r="Z2385" s="8" t="n">
        <v>-1795</v>
      </c>
      <c r="AA2385" s="9" t="n">
        <v>7406</v>
      </c>
      <c r="AB2385" s="10" t="n">
        <v>-300</v>
      </c>
      <c r="AC2385" s="10" t="n">
        <v>-295</v>
      </c>
      <c r="AD2385" s="7" t="n">
        <v>12924</v>
      </c>
      <c r="AE2385" s="8" t="n">
        <v>927</v>
      </c>
      <c r="AF2385" s="8" t="n">
        <v>708</v>
      </c>
      <c r="AG2385" s="9" t="n">
        <v>8600</v>
      </c>
      <c r="AH2385" s="10" t="n">
        <v>199</v>
      </c>
      <c r="AI2385" s="10" t="n">
        <v>-90</v>
      </c>
      <c r="AJ2385" s="11" t="n">
        <v>4930</v>
      </c>
      <c r="AK2385" s="12" t="n">
        <v>-1560</v>
      </c>
      <c r="AL2385" s="12" t="n">
        <v>-5715</v>
      </c>
      <c r="AM2385" s="13" t="n">
        <v>-42.7</v>
      </c>
      <c r="AN2385" s="13" t="n">
        <v>-15.9</v>
      </c>
      <c r="AO2385" s="13" t="n">
        <v>-883.9</v>
      </c>
      <c r="AP2385" s="13" t="n">
        <v>10.6</v>
      </c>
    </row>
    <row r="2386">
      <c r="A2386" s="5" t="inlineStr">
        <is>
          <t>토마토시스템</t>
        </is>
      </c>
      <c r="B2386" s="6" t="inlineStr">
        <is>
          <t>393210</t>
        </is>
      </c>
      <c r="C2386" s="6" t="inlineStr">
        <is>
          <t>연결</t>
        </is>
      </c>
      <c r="D2386" s="6" t="inlineStr">
        <is>
          <t>2026Q2</t>
        </is>
      </c>
      <c r="E2386" s="6" t="inlineStr"/>
      <c r="F2386" s="7" t="inlineStr"/>
      <c r="G2386" s="8" t="inlineStr"/>
      <c r="H2386" s="8" t="inlineStr"/>
      <c r="I2386" s="9" t="n">
        <v>4412</v>
      </c>
      <c r="J2386" s="10" t="n">
        <v>-1368</v>
      </c>
      <c r="K2386" s="10" t="n">
        <v>-1359</v>
      </c>
      <c r="L2386" s="7" t="n">
        <v>6570</v>
      </c>
      <c r="M2386" s="8" t="n">
        <v>105</v>
      </c>
      <c r="N2386" s="8" t="n">
        <v>960</v>
      </c>
      <c r="O2386" s="9" t="n">
        <v>4795</v>
      </c>
      <c r="P2386" s="10" t="n">
        <v>-791</v>
      </c>
      <c r="Q2386" s="10" t="n">
        <v>-390</v>
      </c>
      <c r="R2386" s="7" t="n">
        <v>5845</v>
      </c>
      <c r="S2386" s="8" t="n">
        <v>-1352</v>
      </c>
      <c r="T2386" s="8" t="n">
        <v>-1035</v>
      </c>
      <c r="U2386" s="9" t="n">
        <v>5587</v>
      </c>
      <c r="V2386" s="10" t="n">
        <v>-809</v>
      </c>
      <c r="W2386" s="10" t="n">
        <v>-620</v>
      </c>
      <c r="X2386" s="7" t="n">
        <v>5860</v>
      </c>
      <c r="Y2386" s="8" t="n">
        <v>-752</v>
      </c>
      <c r="Z2386" s="8" t="n">
        <v>-642</v>
      </c>
      <c r="AA2386" s="9" t="n">
        <v>6971</v>
      </c>
      <c r="AB2386" s="10" t="n">
        <v>-766</v>
      </c>
      <c r="AC2386" s="10" t="n">
        <v>-834</v>
      </c>
      <c r="AD2386" s="7" t="n">
        <v>8846</v>
      </c>
      <c r="AE2386" s="8" t="n">
        <v>-46</v>
      </c>
      <c r="AF2386" s="8" t="n">
        <v>-682</v>
      </c>
      <c r="AG2386" s="9" t="n">
        <v>8284</v>
      </c>
      <c r="AH2386" s="10" t="n">
        <v>240</v>
      </c>
      <c r="AI2386" s="10" t="n">
        <v>1295</v>
      </c>
      <c r="AJ2386" s="11" t="n">
        <v>8416</v>
      </c>
      <c r="AK2386" s="12" t="n">
        <v>21</v>
      </c>
      <c r="AL2386" s="12" t="n">
        <v>-364</v>
      </c>
      <c r="AM2386" s="13" t="n">
        <v>1.6</v>
      </c>
      <c r="AN2386" s="13" t="n">
        <v>43.6</v>
      </c>
      <c r="AO2386" s="13" t="n">
        <v>-91.2</v>
      </c>
      <c r="AP2386" s="13" t="n">
        <v>102.8</v>
      </c>
    </row>
    <row r="2387">
      <c r="A2387" s="5" t="inlineStr">
        <is>
          <t>더블유씨피</t>
        </is>
      </c>
      <c r="B2387" s="6" t="inlineStr">
        <is>
          <t>393890</t>
        </is>
      </c>
      <c r="C2387" s="6" t="inlineStr">
        <is>
          <t>연결</t>
        </is>
      </c>
      <c r="D2387" s="6" t="inlineStr">
        <is>
          <t>2026Q2</t>
        </is>
      </c>
      <c r="E2387" s="6" t="inlineStr">
        <is>
          <t>2023Q4</t>
        </is>
      </c>
      <c r="F2387" s="14" t="n">
        <v>92222</v>
      </c>
      <c r="G2387" s="15" t="n">
        <v>3940</v>
      </c>
      <c r="H2387" s="15" t="n">
        <v>3489</v>
      </c>
      <c r="I2387" s="9" t="n">
        <v>122406</v>
      </c>
      <c r="J2387" s="10" t="n">
        <v>607</v>
      </c>
      <c r="K2387" s="10" t="n">
        <v>3372</v>
      </c>
      <c r="L2387" s="7" t="n">
        <v>116602</v>
      </c>
      <c r="M2387" s="8" t="n">
        <v>1826</v>
      </c>
      <c r="N2387" s="8" t="n">
        <v>3404</v>
      </c>
      <c r="O2387" s="9" t="n">
        <v>65495</v>
      </c>
      <c r="P2387" s="10" t="n">
        <v>-19418</v>
      </c>
      <c r="Q2387" s="10" t="n">
        <v>-21016</v>
      </c>
      <c r="R2387" s="7" t="n">
        <v>17570</v>
      </c>
      <c r="S2387" s="8" t="n">
        <v>-53953</v>
      </c>
      <c r="T2387" s="8" t="n">
        <v>-57966</v>
      </c>
      <c r="U2387" s="9" t="n">
        <v>16309</v>
      </c>
      <c r="V2387" s="10" t="n">
        <v>-30433</v>
      </c>
      <c r="W2387" s="10" t="n">
        <v>-33373</v>
      </c>
      <c r="X2387" s="7" t="n">
        <v>38204</v>
      </c>
      <c r="Y2387" s="8" t="n">
        <v>-26002</v>
      </c>
      <c r="Z2387" s="8" t="n">
        <v>-27978</v>
      </c>
      <c r="AA2387" s="9" t="n">
        <v>29111</v>
      </c>
      <c r="AB2387" s="10" t="n">
        <v>-31002</v>
      </c>
      <c r="AC2387" s="10" t="n">
        <v>-46068</v>
      </c>
      <c r="AD2387" s="7" t="n">
        <v>27189</v>
      </c>
      <c r="AE2387" s="8" t="n">
        <v>-40206</v>
      </c>
      <c r="AF2387" s="8" t="n">
        <v>-54647</v>
      </c>
      <c r="AG2387" s="9" t="n">
        <v>42868</v>
      </c>
      <c r="AH2387" s="10" t="n">
        <v>-20513</v>
      </c>
      <c r="AI2387" s="10" t="n">
        <v>-48410</v>
      </c>
      <c r="AJ2387" s="11" t="n">
        <v>36237</v>
      </c>
      <c r="AK2387" s="12" t="n">
        <v>-15499</v>
      </c>
      <c r="AL2387" s="12" t="n">
        <v>810</v>
      </c>
      <c r="AM2387" s="13" t="n">
        <v>-15.5</v>
      </c>
      <c r="AN2387" s="13" t="n">
        <v>-5.1</v>
      </c>
      <c r="AO2387" s="13" t="n">
        <v>24.4</v>
      </c>
      <c r="AP2387" s="13" t="n">
        <v>40.4</v>
      </c>
    </row>
    <row r="2388">
      <c r="A2388" s="5" t="inlineStr">
        <is>
          <t>대진첨단소재</t>
        </is>
      </c>
      <c r="B2388" s="6" t="inlineStr">
        <is>
          <t>393970</t>
        </is>
      </c>
      <c r="C2388" s="6" t="inlineStr">
        <is>
          <t>연결</t>
        </is>
      </c>
      <c r="D2388" s="6" t="inlineStr">
        <is>
          <t>2026Q2</t>
        </is>
      </c>
      <c r="E2388" s="6" t="inlineStr"/>
      <c r="F2388" s="7" t="inlineStr"/>
      <c r="G2388" s="8" t="inlineStr"/>
      <c r="H2388" s="8" t="inlineStr"/>
      <c r="I2388" s="9" t="inlineStr"/>
      <c r="J2388" s="10" t="inlineStr"/>
      <c r="K2388" s="10" t="inlineStr"/>
      <c r="L2388" s="7" t="inlineStr"/>
      <c r="M2388" s="8" t="inlineStr"/>
      <c r="N2388" s="8" t="inlineStr"/>
      <c r="O2388" s="9" t="inlineStr"/>
      <c r="P2388" s="10" t="inlineStr"/>
      <c r="Q2388" s="10" t="inlineStr"/>
      <c r="R2388" s="7" t="inlineStr"/>
      <c r="S2388" s="8" t="inlineStr"/>
      <c r="T2388" s="8" t="inlineStr"/>
      <c r="U2388" s="9" t="n">
        <v>20220</v>
      </c>
      <c r="V2388" s="10" t="n">
        <v>1445</v>
      </c>
      <c r="W2388" s="10" t="n">
        <v>-239</v>
      </c>
      <c r="X2388" s="7" t="n">
        <v>12320</v>
      </c>
      <c r="Y2388" s="8" t="n">
        <v>-4863</v>
      </c>
      <c r="Z2388" s="8" t="n">
        <v>-10262</v>
      </c>
      <c r="AA2388" s="9" t="n">
        <v>32496</v>
      </c>
      <c r="AB2388" s="10" t="n">
        <v>1257</v>
      </c>
      <c r="AC2388" s="10" t="n">
        <v>108</v>
      </c>
      <c r="AD2388" s="7" t="n">
        <v>19477</v>
      </c>
      <c r="AE2388" s="8" t="n">
        <v>-18201</v>
      </c>
      <c r="AF2388" s="8" t="n">
        <v>-29670</v>
      </c>
      <c r="AG2388" s="9" t="n">
        <v>26305</v>
      </c>
      <c r="AH2388" s="10" t="n">
        <v>-4901</v>
      </c>
      <c r="AI2388" s="10" t="n">
        <v>-4257</v>
      </c>
      <c r="AJ2388" s="11" t="n">
        <v>27002</v>
      </c>
      <c r="AK2388" s="12" t="n">
        <v>-560</v>
      </c>
      <c r="AL2388" s="12" t="n">
        <v>-930</v>
      </c>
      <c r="AM2388" s="13" t="n">
        <v>2.6</v>
      </c>
      <c r="AN2388" s="13" t="n">
        <v>119.2</v>
      </c>
      <c r="AO2388" s="13" t="n">
        <v>88.59999999999999</v>
      </c>
      <c r="AP2388" s="13" t="n">
        <v>88.5</v>
      </c>
    </row>
    <row r="2389">
      <c r="A2389" s="5" t="inlineStr">
        <is>
          <t>오픈엣지테크놀로지</t>
        </is>
      </c>
      <c r="B2389" s="6" t="inlineStr">
        <is>
          <t>394280</t>
        </is>
      </c>
      <c r="C2389" s="6" t="inlineStr">
        <is>
          <t>연결</t>
        </is>
      </c>
      <c r="D2389" s="6" t="inlineStr">
        <is>
          <t>2026Q2</t>
        </is>
      </c>
      <c r="E2389" s="6" t="inlineStr">
        <is>
          <t>2023Q4</t>
        </is>
      </c>
      <c r="F2389" s="14" t="n">
        <v>13144</v>
      </c>
      <c r="G2389" s="15" t="n">
        <v>4176</v>
      </c>
      <c r="H2389" s="15" t="n">
        <v>4955</v>
      </c>
      <c r="I2389" s="9" t="n">
        <v>2484</v>
      </c>
      <c r="J2389" s="10" t="n">
        <v>-7106</v>
      </c>
      <c r="K2389" s="10" t="n">
        <v>-7106</v>
      </c>
      <c r="L2389" s="7" t="n">
        <v>4050</v>
      </c>
      <c r="M2389" s="8" t="n">
        <v>-5733</v>
      </c>
      <c r="N2389" s="8" t="n">
        <v>-5762</v>
      </c>
      <c r="O2389" s="9" t="n">
        <v>6624</v>
      </c>
      <c r="P2389" s="10" t="n">
        <v>-2477</v>
      </c>
      <c r="Q2389" s="10" t="n">
        <v>-2739</v>
      </c>
      <c r="R2389" s="7" t="n">
        <v>2170</v>
      </c>
      <c r="S2389" s="8" t="n">
        <v>-9296</v>
      </c>
      <c r="T2389" s="8" t="n">
        <v>-11680</v>
      </c>
      <c r="U2389" s="9" t="n">
        <v>4801</v>
      </c>
      <c r="V2389" s="10" t="n">
        <v>-6610</v>
      </c>
      <c r="W2389" s="10" t="n">
        <v>-6367</v>
      </c>
      <c r="X2389" s="7" t="n">
        <v>2597</v>
      </c>
      <c r="Y2389" s="8" t="n">
        <v>-8758</v>
      </c>
      <c r="Z2389" s="8" t="n">
        <v>-8889</v>
      </c>
      <c r="AA2389" s="9" t="n">
        <v>5256</v>
      </c>
      <c r="AB2389" s="10" t="n">
        <v>-5975</v>
      </c>
      <c r="AC2389" s="10" t="n">
        <v>-5637</v>
      </c>
      <c r="AD2389" s="7" t="n">
        <v>3405</v>
      </c>
      <c r="AE2389" s="8" t="n">
        <v>-7564</v>
      </c>
      <c r="AF2389" s="8" t="n">
        <v>-9240</v>
      </c>
      <c r="AG2389" s="9" t="n">
        <v>2674</v>
      </c>
      <c r="AH2389" s="10" t="n">
        <v>-9018</v>
      </c>
      <c r="AI2389" s="10" t="n">
        <v>-9135</v>
      </c>
      <c r="AJ2389" s="11" t="n">
        <v>2942</v>
      </c>
      <c r="AK2389" s="12" t="n">
        <v>-6254</v>
      </c>
      <c r="AL2389" s="12" t="n">
        <v>-6107</v>
      </c>
      <c r="AM2389" s="13" t="n">
        <v>10</v>
      </c>
      <c r="AN2389" s="13" t="n">
        <v>13.3</v>
      </c>
      <c r="AO2389" s="13" t="n">
        <v>30.6</v>
      </c>
      <c r="AP2389" s="13" t="n">
        <v>28.6</v>
      </c>
    </row>
    <row r="2390">
      <c r="A2390" s="5" t="inlineStr">
        <is>
          <t>리센스메디컬</t>
        </is>
      </c>
      <c r="B2390" s="6" t="inlineStr">
        <is>
          <t>394420</t>
        </is>
      </c>
      <c r="C2390" s="6" t="inlineStr">
        <is>
          <t>연결</t>
        </is>
      </c>
      <c r="D2390" s="6" t="inlineStr">
        <is>
          <t>2026Q2</t>
        </is>
      </c>
      <c r="E2390" s="6" t="inlineStr"/>
      <c r="F2390" s="7" t="inlineStr"/>
      <c r="G2390" s="8" t="inlineStr"/>
      <c r="H2390" s="8" t="inlineStr"/>
      <c r="I2390" s="9" t="inlineStr"/>
      <c r="J2390" s="10" t="inlineStr"/>
      <c r="K2390" s="10" t="inlineStr"/>
      <c r="L2390" s="7" t="inlineStr"/>
      <c r="M2390" s="8" t="inlineStr"/>
      <c r="N2390" s="8" t="inlineStr"/>
      <c r="O2390" s="9" t="inlineStr"/>
      <c r="P2390" s="10" t="inlineStr"/>
      <c r="Q2390" s="10" t="inlineStr"/>
      <c r="R2390" s="7" t="inlineStr"/>
      <c r="S2390" s="8" t="inlineStr"/>
      <c r="T2390" s="8" t="inlineStr"/>
      <c r="U2390" s="9" t="inlineStr"/>
      <c r="V2390" s="10" t="inlineStr"/>
      <c r="W2390" s="10" t="inlineStr"/>
      <c r="X2390" s="7" t="inlineStr"/>
      <c r="Y2390" s="8" t="inlineStr"/>
      <c r="Z2390" s="8" t="inlineStr"/>
      <c r="AA2390" s="9" t="inlineStr"/>
      <c r="AB2390" s="10" t="inlineStr"/>
      <c r="AC2390" s="10" t="inlineStr"/>
      <c r="AD2390" s="7" t="inlineStr"/>
      <c r="AE2390" s="8" t="inlineStr"/>
      <c r="AF2390" s="8" t="inlineStr"/>
      <c r="AG2390" s="9" t="n">
        <v>1021</v>
      </c>
      <c r="AH2390" s="10" t="inlineStr"/>
      <c r="AI2390" s="10" t="inlineStr"/>
      <c r="AJ2390" s="11" t="n">
        <v>1687</v>
      </c>
      <c r="AK2390" s="12" t="inlineStr"/>
      <c r="AL2390" s="12" t="inlineStr"/>
      <c r="AM2390" s="13" t="n">
        <v>65.2</v>
      </c>
      <c r="AN2390" s="13" t="inlineStr"/>
      <c r="AO2390" s="13" t="inlineStr"/>
      <c r="AP2390" s="13" t="inlineStr"/>
    </row>
    <row r="2391">
      <c r="A2391" s="5" t="inlineStr">
        <is>
          <t>쓰리빌리언</t>
        </is>
      </c>
      <c r="B2391" s="6" t="inlineStr">
        <is>
          <t>394800</t>
        </is>
      </c>
      <c r="C2391" s="6" t="inlineStr">
        <is>
          <t>연결</t>
        </is>
      </c>
      <c r="D2391" s="6" t="inlineStr">
        <is>
          <t>2026Q2</t>
        </is>
      </c>
      <c r="E2391" s="6" t="inlineStr"/>
      <c r="F2391" s="7" t="inlineStr"/>
      <c r="G2391" s="8" t="inlineStr"/>
      <c r="H2391" s="8" t="inlineStr"/>
      <c r="I2391" s="9" t="inlineStr"/>
      <c r="J2391" s="10" t="inlineStr"/>
      <c r="K2391" s="10" t="inlineStr"/>
      <c r="L2391" s="7" t="inlineStr"/>
      <c r="M2391" s="8" t="inlineStr"/>
      <c r="N2391" s="8" t="inlineStr"/>
      <c r="O2391" s="9" t="inlineStr"/>
      <c r="P2391" s="10" t="inlineStr"/>
      <c r="Q2391" s="10" t="inlineStr"/>
      <c r="R2391" s="7" t="inlineStr"/>
      <c r="S2391" s="8" t="inlineStr"/>
      <c r="T2391" s="8" t="inlineStr"/>
      <c r="U2391" s="9" t="n">
        <v>2004</v>
      </c>
      <c r="V2391" s="10" t="n">
        <v>-1966</v>
      </c>
      <c r="W2391" s="10" t="n">
        <v>-1706</v>
      </c>
      <c r="X2391" s="7" t="n">
        <v>2592</v>
      </c>
      <c r="Y2391" s="8" t="n">
        <v>-1594</v>
      </c>
      <c r="Z2391" s="8" t="n">
        <v>-1622</v>
      </c>
      <c r="AA2391" s="9" t="n">
        <v>3230</v>
      </c>
      <c r="AB2391" s="10" t="n">
        <v>-1269</v>
      </c>
      <c r="AC2391" s="10" t="n">
        <v>-1080</v>
      </c>
      <c r="AD2391" s="7" t="n">
        <v>3883</v>
      </c>
      <c r="AE2391" s="8" t="n">
        <v>-1060</v>
      </c>
      <c r="AF2391" s="8" t="n">
        <v>-1003</v>
      </c>
      <c r="AG2391" s="9" t="n">
        <v>3363</v>
      </c>
      <c r="AH2391" s="10" t="n">
        <v>-1661</v>
      </c>
      <c r="AI2391" s="10" t="n">
        <v>-1467</v>
      </c>
      <c r="AJ2391" s="11" t="n">
        <v>3795</v>
      </c>
      <c r="AK2391" s="12" t="n">
        <v>-1667</v>
      </c>
      <c r="AL2391" s="12" t="n">
        <v>6718</v>
      </c>
      <c r="AM2391" s="13" t="n">
        <v>12.8</v>
      </c>
      <c r="AN2391" s="13" t="n">
        <v>46.4</v>
      </c>
      <c r="AO2391" s="13" t="n">
        <v>-0.4</v>
      </c>
      <c r="AP2391" s="13" t="n">
        <v>-4.6</v>
      </c>
    </row>
    <row r="2392">
      <c r="A2392" s="5" t="inlineStr">
        <is>
          <t>SK리츠</t>
        </is>
      </c>
      <c r="B2392" s="6" t="inlineStr">
        <is>
          <t>395400</t>
        </is>
      </c>
      <c r="C2392" s="6" t="inlineStr">
        <is>
          <t>별도</t>
        </is>
      </c>
      <c r="D2392" s="6" t="inlineStr">
        <is>
          <t>2026Q2</t>
        </is>
      </c>
      <c r="E2392" s="6" t="inlineStr">
        <is>
          <t>2023Q4, 2024Q1, 2024Q3, 2025Q1, 2025Q2, 2025Q3, 2025Q4, 2026Q1, 2026Q2</t>
        </is>
      </c>
      <c r="F2392" s="14" t="n">
        <v>34159</v>
      </c>
      <c r="G2392" s="15" t="n">
        <v>29270</v>
      </c>
      <c r="H2392" s="15" t="n">
        <v>15441</v>
      </c>
      <c r="I2392" s="14" t="n">
        <v>30880</v>
      </c>
      <c r="J2392" s="15" t="n">
        <v>25873</v>
      </c>
      <c r="K2392" s="15" t="n">
        <v>12448</v>
      </c>
      <c r="L2392" s="7" t="inlineStr"/>
      <c r="M2392" s="8" t="inlineStr"/>
      <c r="N2392" s="8" t="inlineStr"/>
      <c r="O2392" s="14" t="n">
        <v>30297</v>
      </c>
      <c r="P2392" s="15" t="n">
        <v>25166</v>
      </c>
      <c r="Q2392" s="15" t="n">
        <v>8211</v>
      </c>
      <c r="R2392" s="7" t="inlineStr"/>
      <c r="S2392" s="8" t="inlineStr"/>
      <c r="T2392" s="8" t="inlineStr"/>
      <c r="U2392" s="14" t="n">
        <v>36275</v>
      </c>
      <c r="V2392" s="15" t="n">
        <v>30725</v>
      </c>
      <c r="W2392" s="15" t="n">
        <v>14233</v>
      </c>
      <c r="X2392" s="14" t="n">
        <v>38355</v>
      </c>
      <c r="Y2392" s="15" t="n">
        <v>36487</v>
      </c>
      <c r="Z2392" s="15" t="n">
        <v>21249</v>
      </c>
      <c r="AA2392" s="14" t="n">
        <v>34581</v>
      </c>
      <c r="AB2392" s="15" t="n">
        <v>32656</v>
      </c>
      <c r="AC2392" s="15" t="n">
        <v>18722</v>
      </c>
      <c r="AD2392" s="14" t="n">
        <v>44158</v>
      </c>
      <c r="AE2392" s="15" t="n">
        <v>42066</v>
      </c>
      <c r="AF2392" s="15" t="n">
        <v>27372</v>
      </c>
      <c r="AG2392" s="14" t="n">
        <v>42221</v>
      </c>
      <c r="AH2392" s="15" t="n">
        <v>39209</v>
      </c>
      <c r="AI2392" s="15" t="n">
        <v>22134</v>
      </c>
      <c r="AJ2392" s="14" t="n">
        <v>49033</v>
      </c>
      <c r="AK2392" s="15" t="n">
        <v>45493</v>
      </c>
      <c r="AL2392" s="15" t="n">
        <v>28749</v>
      </c>
      <c r="AM2392" s="13" t="n">
        <v>16.1</v>
      </c>
      <c r="AN2392" s="13" t="n">
        <v>27.8</v>
      </c>
      <c r="AO2392" s="13" t="n">
        <v>16</v>
      </c>
      <c r="AP2392" s="13" t="n">
        <v>24.7</v>
      </c>
    </row>
    <row r="2393">
      <c r="A2393" s="5" t="inlineStr">
        <is>
          <t>넥스트칩</t>
        </is>
      </c>
      <c r="B2393" s="6" t="inlineStr">
        <is>
          <t>396270</t>
        </is>
      </c>
      <c r="C2393" s="6" t="inlineStr">
        <is>
          <t>별도</t>
        </is>
      </c>
      <c r="D2393" s="6" t="inlineStr">
        <is>
          <t>2026Q2</t>
        </is>
      </c>
      <c r="E2393" s="6" t="inlineStr"/>
      <c r="F2393" s="7" t="inlineStr"/>
      <c r="G2393" s="8" t="inlineStr"/>
      <c r="H2393" s="8" t="inlineStr"/>
      <c r="I2393" s="9" t="n">
        <v>6038</v>
      </c>
      <c r="J2393" s="10" t="n">
        <v>-4653</v>
      </c>
      <c r="K2393" s="10" t="n">
        <v>-4673</v>
      </c>
      <c r="L2393" s="7" t="n">
        <v>6605</v>
      </c>
      <c r="M2393" s="8" t="n">
        <v>-4213</v>
      </c>
      <c r="N2393" s="8" t="n">
        <v>-5154</v>
      </c>
      <c r="O2393" s="9" t="n">
        <v>9122</v>
      </c>
      <c r="P2393" s="10" t="n">
        <v>-3774</v>
      </c>
      <c r="Q2393" s="10" t="n">
        <v>-4496</v>
      </c>
      <c r="R2393" s="7" t="n">
        <v>10487</v>
      </c>
      <c r="S2393" s="8" t="n">
        <v>-5799</v>
      </c>
      <c r="T2393" s="8" t="n">
        <v>-6367</v>
      </c>
      <c r="U2393" s="9" t="n">
        <v>8660</v>
      </c>
      <c r="V2393" s="10" t="n">
        <v>-4672</v>
      </c>
      <c r="W2393" s="10" t="n">
        <v>-5952</v>
      </c>
      <c r="X2393" s="7" t="n">
        <v>9397</v>
      </c>
      <c r="Y2393" s="8" t="n">
        <v>-2783</v>
      </c>
      <c r="Z2393" s="8" t="n">
        <v>-4539</v>
      </c>
      <c r="AA2393" s="9" t="n">
        <v>9973</v>
      </c>
      <c r="AB2393" s="10" t="n">
        <v>-5439</v>
      </c>
      <c r="AC2393" s="10" t="n">
        <v>-6712</v>
      </c>
      <c r="AD2393" s="7" t="n">
        <v>11624</v>
      </c>
      <c r="AE2393" s="8" t="n">
        <v>-42</v>
      </c>
      <c r="AF2393" s="8" t="n">
        <v>1245</v>
      </c>
      <c r="AG2393" s="9" t="n">
        <v>11672</v>
      </c>
      <c r="AH2393" s="10" t="n">
        <v>-2426</v>
      </c>
      <c r="AI2393" s="10" t="n">
        <v>-3677</v>
      </c>
      <c r="AJ2393" s="11" t="n">
        <v>13208</v>
      </c>
      <c r="AK2393" s="12" t="n">
        <v>-590</v>
      </c>
      <c r="AL2393" s="12" t="n">
        <v>-711</v>
      </c>
      <c r="AM2393" s="13" t="n">
        <v>13.2</v>
      </c>
      <c r="AN2393" s="13" t="n">
        <v>40.6</v>
      </c>
      <c r="AO2393" s="13" t="n">
        <v>75.7</v>
      </c>
      <c r="AP2393" s="13" t="n">
        <v>78.8</v>
      </c>
    </row>
    <row r="2394">
      <c r="A2394" s="5" t="inlineStr">
        <is>
          <t>HT로보틱스</t>
        </is>
      </c>
      <c r="B2394" s="6" t="inlineStr">
        <is>
          <t>396300</t>
        </is>
      </c>
      <c r="C2394" s="6" t="inlineStr">
        <is>
          <t>별도</t>
        </is>
      </c>
      <c r="D2394" s="6" t="inlineStr">
        <is>
          <t>2026Q2</t>
        </is>
      </c>
      <c r="E2394" s="6" t="inlineStr"/>
      <c r="F2394" s="7" t="inlineStr"/>
      <c r="G2394" s="8" t="inlineStr"/>
      <c r="H2394" s="8" t="inlineStr"/>
      <c r="I2394" s="9" t="n">
        <v>23558</v>
      </c>
      <c r="J2394" s="10" t="n">
        <v>435</v>
      </c>
      <c r="K2394" s="10" t="n">
        <v>639</v>
      </c>
      <c r="L2394" s="7" t="n">
        <v>22314</v>
      </c>
      <c r="M2394" s="8" t="n">
        <v>227</v>
      </c>
      <c r="N2394" s="8" t="n">
        <v>512</v>
      </c>
      <c r="O2394" s="9" t="n">
        <v>24468</v>
      </c>
      <c r="P2394" s="10" t="n">
        <v>-456</v>
      </c>
      <c r="Q2394" s="10" t="n">
        <v>-560</v>
      </c>
      <c r="R2394" s="7" t="n">
        <v>21998</v>
      </c>
      <c r="S2394" s="8" t="n">
        <v>-2865</v>
      </c>
      <c r="T2394" s="8" t="n">
        <v>1954</v>
      </c>
      <c r="U2394" s="9" t="n">
        <v>19602</v>
      </c>
      <c r="V2394" s="10" t="n">
        <v>-607</v>
      </c>
      <c r="W2394" s="10" t="n">
        <v>-434</v>
      </c>
      <c r="X2394" s="7" t="n">
        <v>18303</v>
      </c>
      <c r="Y2394" s="8" t="n">
        <v>-1302</v>
      </c>
      <c r="Z2394" s="8" t="n">
        <v>-1045</v>
      </c>
      <c r="AA2394" s="9" t="n">
        <v>23330</v>
      </c>
      <c r="AB2394" s="10" t="n">
        <v>-344</v>
      </c>
      <c r="AC2394" s="10" t="n">
        <v>806</v>
      </c>
      <c r="AD2394" s="7" t="n">
        <v>24592</v>
      </c>
      <c r="AE2394" s="8" t="n">
        <v>403</v>
      </c>
      <c r="AF2394" s="8" t="n">
        <v>2096</v>
      </c>
      <c r="AG2394" s="9" t="n">
        <v>33618</v>
      </c>
      <c r="AH2394" s="10" t="n">
        <v>1654</v>
      </c>
      <c r="AI2394" s="10" t="n">
        <v>2206</v>
      </c>
      <c r="AJ2394" s="11" t="n">
        <v>37449</v>
      </c>
      <c r="AK2394" s="12" t="n">
        <v>2041</v>
      </c>
      <c r="AL2394" s="12" t="n">
        <v>3194</v>
      </c>
      <c r="AM2394" s="13" t="n">
        <v>11.4</v>
      </c>
      <c r="AN2394" s="13" t="n">
        <v>104.6</v>
      </c>
      <c r="AO2394" s="13" t="n">
        <v>23.4</v>
      </c>
      <c r="AP2394" s="13" t="n">
        <v>256.8</v>
      </c>
    </row>
    <row r="2395">
      <c r="A2395" s="5" t="inlineStr">
        <is>
          <t>워트</t>
        </is>
      </c>
      <c r="B2395" s="6" t="inlineStr">
        <is>
          <t>396470</t>
        </is>
      </c>
      <c r="C2395" s="6" t="inlineStr">
        <is>
          <t>연결</t>
        </is>
      </c>
      <c r="D2395" s="6" t="inlineStr">
        <is>
          <t>2026Q2</t>
        </is>
      </c>
      <c r="E2395" s="6" t="inlineStr"/>
      <c r="F2395" s="7" t="inlineStr"/>
      <c r="G2395" s="8" t="inlineStr"/>
      <c r="H2395" s="8" t="inlineStr"/>
      <c r="I2395" s="9" t="n">
        <v>3826</v>
      </c>
      <c r="J2395" s="10" t="n">
        <v>87</v>
      </c>
      <c r="K2395" s="10" t="n">
        <v>654</v>
      </c>
      <c r="L2395" s="7" t="n">
        <v>3326</v>
      </c>
      <c r="M2395" s="8" t="n">
        <v>193</v>
      </c>
      <c r="N2395" s="8" t="n">
        <v>500</v>
      </c>
      <c r="O2395" s="9" t="n">
        <v>3501</v>
      </c>
      <c r="P2395" s="10" t="n">
        <v>700</v>
      </c>
      <c r="Q2395" s="10" t="n">
        <v>1265</v>
      </c>
      <c r="R2395" s="7" t="n">
        <v>4531</v>
      </c>
      <c r="S2395" s="8" t="n">
        <v>1051</v>
      </c>
      <c r="T2395" s="8" t="n">
        <v>973</v>
      </c>
      <c r="U2395" s="9" t="n">
        <v>4596</v>
      </c>
      <c r="V2395" s="10" t="n">
        <v>1026</v>
      </c>
      <c r="W2395" s="10" t="n">
        <v>1297</v>
      </c>
      <c r="X2395" s="7" t="n">
        <v>2259</v>
      </c>
      <c r="Y2395" s="8" t="n">
        <v>-27</v>
      </c>
      <c r="Z2395" s="8" t="n">
        <v>156</v>
      </c>
      <c r="AA2395" s="9" t="n">
        <v>2415</v>
      </c>
      <c r="AB2395" s="10" t="n">
        <v>226</v>
      </c>
      <c r="AC2395" s="10" t="n">
        <v>519</v>
      </c>
      <c r="AD2395" s="7" t="n">
        <v>5951</v>
      </c>
      <c r="AE2395" s="8" t="n">
        <v>1258</v>
      </c>
      <c r="AF2395" s="8" t="n">
        <v>1597</v>
      </c>
      <c r="AG2395" s="9" t="n">
        <v>4331</v>
      </c>
      <c r="AH2395" s="10" t="n">
        <v>955</v>
      </c>
      <c r="AI2395" s="10" t="n">
        <v>1062</v>
      </c>
      <c r="AJ2395" s="11" t="n">
        <v>7705</v>
      </c>
      <c r="AK2395" s="12" t="n">
        <v>2077</v>
      </c>
      <c r="AL2395" s="12" t="n">
        <v>1918</v>
      </c>
      <c r="AM2395" s="13" t="n">
        <v>77.90000000000001</v>
      </c>
      <c r="AN2395" s="13" t="n">
        <v>241.1</v>
      </c>
      <c r="AO2395" s="13" t="n">
        <v>117.5</v>
      </c>
      <c r="AP2395" s="13" t="n">
        <v>7792.6</v>
      </c>
    </row>
    <row r="2396">
      <c r="A2396" s="5" t="inlineStr">
        <is>
          <t>미래에셋글로벌리츠</t>
        </is>
      </c>
      <c r="B2396" s="6" t="inlineStr">
        <is>
          <t>396690</t>
        </is>
      </c>
      <c r="C2396" s="6" t="inlineStr">
        <is>
          <t>연결</t>
        </is>
      </c>
      <c r="D2396" s="6" t="inlineStr">
        <is>
          <t>2026Q2</t>
        </is>
      </c>
      <c r="E2396" s="6" t="inlineStr"/>
      <c r="F2396" s="7" t="inlineStr"/>
      <c r="G2396" s="8" t="inlineStr"/>
      <c r="H2396" s="8" t="inlineStr"/>
      <c r="I2396" s="9" t="inlineStr"/>
      <c r="J2396" s="10" t="inlineStr"/>
      <c r="K2396" s="10" t="inlineStr"/>
      <c r="L2396" s="7" t="n">
        <v>6590</v>
      </c>
      <c r="M2396" s="8" t="n">
        <v>2243</v>
      </c>
      <c r="N2396" s="8" t="n">
        <v>1542</v>
      </c>
      <c r="O2396" s="9" t="inlineStr"/>
      <c r="P2396" s="10" t="inlineStr"/>
      <c r="Q2396" s="10" t="inlineStr"/>
      <c r="R2396" s="7" t="inlineStr"/>
      <c r="S2396" s="8" t="inlineStr"/>
      <c r="T2396" s="8" t="inlineStr"/>
      <c r="U2396" s="9" t="inlineStr"/>
      <c r="V2396" s="10" t="inlineStr"/>
      <c r="W2396" s="10" t="inlineStr"/>
      <c r="X2396" s="7" t="n">
        <v>6854</v>
      </c>
      <c r="Y2396" s="8" t="n">
        <v>2712</v>
      </c>
      <c r="Z2396" s="8" t="n">
        <v>197</v>
      </c>
      <c r="AA2396" s="9" t="inlineStr"/>
      <c r="AB2396" s="10" t="inlineStr"/>
      <c r="AC2396" s="10" t="inlineStr"/>
      <c r="AD2396" s="7" t="inlineStr"/>
      <c r="AE2396" s="8" t="inlineStr"/>
      <c r="AF2396" s="8" t="inlineStr"/>
      <c r="AG2396" s="9" t="inlineStr"/>
      <c r="AH2396" s="10" t="inlineStr"/>
      <c r="AI2396" s="10" t="inlineStr"/>
      <c r="AJ2396" s="11" t="n">
        <v>5941</v>
      </c>
      <c r="AK2396" s="12" t="n">
        <v>2784</v>
      </c>
      <c r="AL2396" s="12" t="n">
        <v>-7770</v>
      </c>
      <c r="AM2396" s="13" t="inlineStr"/>
      <c r="AN2396" s="13" t="n">
        <v>-13.3</v>
      </c>
      <c r="AO2396" s="13" t="inlineStr"/>
      <c r="AP2396" s="13" t="n">
        <v>2.7</v>
      </c>
    </row>
    <row r="2397">
      <c r="A2397" s="5" t="inlineStr">
        <is>
          <t>에이프릴바이오</t>
        </is>
      </c>
      <c r="B2397" s="6" t="inlineStr">
        <is>
          <t>397030</t>
        </is>
      </c>
      <c r="C2397" s="6" t="inlineStr">
        <is>
          <t>별도</t>
        </is>
      </c>
      <c r="D2397" s="6" t="inlineStr">
        <is>
          <t>2026Q2</t>
        </is>
      </c>
      <c r="E2397" s="6" t="inlineStr"/>
      <c r="F2397" s="7" t="inlineStr"/>
      <c r="G2397" s="8" t="inlineStr"/>
      <c r="H2397" s="8" t="inlineStr"/>
      <c r="I2397" s="9" t="inlineStr"/>
      <c r="J2397" s="10" t="n">
        <v>-2520</v>
      </c>
      <c r="K2397" s="10" t="n">
        <v>-2030</v>
      </c>
      <c r="L2397" s="7" t="inlineStr"/>
      <c r="M2397" s="8" t="n">
        <v>18169</v>
      </c>
      <c r="N2397" s="8" t="n">
        <v>18576</v>
      </c>
      <c r="O2397" s="9" t="inlineStr"/>
      <c r="P2397" s="10" t="n">
        <v>-2431</v>
      </c>
      <c r="Q2397" s="10" t="n">
        <v>-3119</v>
      </c>
      <c r="R2397" s="7" t="inlineStr"/>
      <c r="S2397" s="8" t="n">
        <v>3651</v>
      </c>
      <c r="T2397" s="8" t="n">
        <v>6578</v>
      </c>
      <c r="U2397" s="9" t="inlineStr"/>
      <c r="V2397" s="10" t="n">
        <v>-110</v>
      </c>
      <c r="W2397" s="10" t="n">
        <v>594</v>
      </c>
      <c r="X2397" s="7" t="inlineStr"/>
      <c r="Y2397" s="8" t="n">
        <v>-2657</v>
      </c>
      <c r="Z2397" s="8" t="n">
        <v>-3093</v>
      </c>
      <c r="AA2397" s="9" t="inlineStr"/>
      <c r="AB2397" s="10" t="n">
        <v>-2500</v>
      </c>
      <c r="AC2397" s="10" t="n">
        <v>-4956</v>
      </c>
      <c r="AD2397" s="7" t="inlineStr"/>
      <c r="AE2397" s="8" t="n">
        <v>-1997</v>
      </c>
      <c r="AF2397" s="8" t="n">
        <v>-2273</v>
      </c>
      <c r="AG2397" s="9" t="inlineStr"/>
      <c r="AH2397" s="10" t="n">
        <v>-2193</v>
      </c>
      <c r="AI2397" s="10" t="n">
        <v>201</v>
      </c>
      <c r="AJ2397" s="11" t="inlineStr"/>
      <c r="AK2397" s="12" t="n">
        <v>-2915</v>
      </c>
      <c r="AL2397" s="12" t="n">
        <v>-1985</v>
      </c>
      <c r="AM2397" s="13" t="inlineStr"/>
      <c r="AN2397" s="13" t="inlineStr"/>
      <c r="AO2397" s="13" t="n">
        <v>-32.9</v>
      </c>
      <c r="AP2397" s="13" t="n">
        <v>-9.699999999999999</v>
      </c>
    </row>
    <row r="2398">
      <c r="A2398" s="5" t="inlineStr">
        <is>
          <t>애드포러스</t>
        </is>
      </c>
      <c r="B2398" s="6" t="inlineStr">
        <is>
          <t>397810</t>
        </is>
      </c>
      <c r="C2398" s="6" t="inlineStr">
        <is>
          <t>연결</t>
        </is>
      </c>
      <c r="D2398" s="6" t="inlineStr">
        <is>
          <t>2026Q2</t>
        </is>
      </c>
      <c r="E2398" s="6" t="inlineStr"/>
      <c r="F2398" s="7" t="inlineStr"/>
      <c r="G2398" s="8" t="inlineStr"/>
      <c r="H2398" s="8" t="inlineStr"/>
      <c r="I2398" s="9" t="inlineStr"/>
      <c r="J2398" s="10" t="inlineStr"/>
      <c r="K2398" s="10" t="inlineStr"/>
      <c r="L2398" s="7" t="inlineStr"/>
      <c r="M2398" s="8" t="inlineStr"/>
      <c r="N2398" s="8" t="inlineStr"/>
      <c r="O2398" s="9" t="inlineStr"/>
      <c r="P2398" s="10" t="inlineStr"/>
      <c r="Q2398" s="10" t="inlineStr"/>
      <c r="R2398" s="7" t="inlineStr"/>
      <c r="S2398" s="8" t="inlineStr"/>
      <c r="T2398" s="8" t="inlineStr"/>
      <c r="U2398" s="9" t="inlineStr"/>
      <c r="V2398" s="10" t="inlineStr"/>
      <c r="W2398" s="10" t="inlineStr"/>
      <c r="X2398" s="7" t="n">
        <v>8947</v>
      </c>
      <c r="Y2398" s="8" t="n">
        <v>1244</v>
      </c>
      <c r="Z2398" s="8" t="n">
        <v>978</v>
      </c>
      <c r="AA2398" s="9" t="n">
        <v>6484</v>
      </c>
      <c r="AB2398" s="10" t="n">
        <v>318</v>
      </c>
      <c r="AC2398" s="10" t="n">
        <v>-4102</v>
      </c>
      <c r="AD2398" s="7" t="inlineStr"/>
      <c r="AE2398" s="8" t="inlineStr"/>
      <c r="AF2398" s="8" t="inlineStr"/>
      <c r="AG2398" s="9" t="n">
        <v>7819</v>
      </c>
      <c r="AH2398" s="10" t="n">
        <v>676</v>
      </c>
      <c r="AI2398" s="10" t="n">
        <v>905</v>
      </c>
      <c r="AJ2398" s="11" t="n">
        <v>12515</v>
      </c>
      <c r="AK2398" s="12" t="n">
        <v>463</v>
      </c>
      <c r="AL2398" s="12" t="n">
        <v>472</v>
      </c>
      <c r="AM2398" s="13" t="n">
        <v>60.1</v>
      </c>
      <c r="AN2398" s="13" t="n">
        <v>39.9</v>
      </c>
      <c r="AO2398" s="13" t="n">
        <v>-31.5</v>
      </c>
      <c r="AP2398" s="13" t="n">
        <v>-62.8</v>
      </c>
    </row>
    <row r="2399">
      <c r="A2399" s="5" t="inlineStr">
        <is>
          <t>에스지헬스케어</t>
        </is>
      </c>
      <c r="B2399" s="6" t="inlineStr">
        <is>
          <t>398120</t>
        </is>
      </c>
      <c r="C2399" s="6" t="inlineStr">
        <is>
          <t>연결</t>
        </is>
      </c>
      <c r="D2399" s="6" t="inlineStr">
        <is>
          <t>2026Q2</t>
        </is>
      </c>
      <c r="E2399" s="6" t="inlineStr"/>
      <c r="F2399" s="7" t="inlineStr"/>
      <c r="G2399" s="8" t="inlineStr"/>
      <c r="H2399" s="8" t="inlineStr"/>
      <c r="I2399" s="9" t="inlineStr"/>
      <c r="J2399" s="10" t="inlineStr"/>
      <c r="K2399" s="10" t="inlineStr"/>
      <c r="L2399" s="7" t="inlineStr"/>
      <c r="M2399" s="8" t="inlineStr"/>
      <c r="N2399" s="8" t="inlineStr"/>
      <c r="O2399" s="9" t="inlineStr"/>
      <c r="P2399" s="10" t="inlineStr"/>
      <c r="Q2399" s="10" t="inlineStr"/>
      <c r="R2399" s="7" t="inlineStr"/>
      <c r="S2399" s="8" t="inlineStr"/>
      <c r="T2399" s="8" t="inlineStr"/>
      <c r="U2399" s="9" t="n">
        <v>3664</v>
      </c>
      <c r="V2399" s="10" t="n">
        <v>-290</v>
      </c>
      <c r="W2399" s="10" t="n">
        <v>-403</v>
      </c>
      <c r="X2399" s="7" t="n">
        <v>4116</v>
      </c>
      <c r="Y2399" s="8" t="n">
        <v>-444</v>
      </c>
      <c r="Z2399" s="8" t="n">
        <v>-366</v>
      </c>
      <c r="AA2399" s="9" t="n">
        <v>5122</v>
      </c>
      <c r="AB2399" s="10" t="n">
        <v>96</v>
      </c>
      <c r="AC2399" s="10" t="n">
        <v>66</v>
      </c>
      <c r="AD2399" s="7" t="n">
        <v>11699</v>
      </c>
      <c r="AE2399" s="8" t="n">
        <v>2105</v>
      </c>
      <c r="AF2399" s="8" t="n">
        <v>1638</v>
      </c>
      <c r="AG2399" s="9" t="n">
        <v>4942</v>
      </c>
      <c r="AH2399" s="10" t="n">
        <v>162</v>
      </c>
      <c r="AI2399" s="10" t="n">
        <v>24</v>
      </c>
      <c r="AJ2399" s="11" t="n">
        <v>4193</v>
      </c>
      <c r="AK2399" s="12" t="n">
        <v>-751</v>
      </c>
      <c r="AL2399" s="12" t="n">
        <v>-668</v>
      </c>
      <c r="AM2399" s="13" t="n">
        <v>-15.2</v>
      </c>
      <c r="AN2399" s="13" t="n">
        <v>1.9</v>
      </c>
      <c r="AO2399" s="13" t="n">
        <v>-563.6</v>
      </c>
      <c r="AP2399" s="13" t="n">
        <v>-69.09999999999999</v>
      </c>
    </row>
    <row r="2400">
      <c r="A2400" s="5" t="inlineStr">
        <is>
          <t>가온칩스</t>
        </is>
      </c>
      <c r="B2400" s="6" t="inlineStr">
        <is>
          <t>399720</t>
        </is>
      </c>
      <c r="C2400" s="6" t="inlineStr">
        <is>
          <t>연결</t>
        </is>
      </c>
      <c r="D2400" s="6" t="inlineStr">
        <is>
          <t>2026Q2</t>
        </is>
      </c>
      <c r="E2400" s="6" t="inlineStr"/>
      <c r="F2400" s="7" t="inlineStr"/>
      <c r="G2400" s="8" t="inlineStr"/>
      <c r="H2400" s="8" t="inlineStr"/>
      <c r="I2400" s="9" t="n">
        <v>17935</v>
      </c>
      <c r="J2400" s="10" t="n">
        <v>-609</v>
      </c>
      <c r="K2400" s="10" t="n">
        <v>-402</v>
      </c>
      <c r="L2400" s="7" t="n">
        <v>23270</v>
      </c>
      <c r="M2400" s="8" t="n">
        <v>67</v>
      </c>
      <c r="N2400" s="8" t="n">
        <v>1510</v>
      </c>
      <c r="O2400" s="9" t="n">
        <v>28908</v>
      </c>
      <c r="P2400" s="10" t="n">
        <v>2236</v>
      </c>
      <c r="Q2400" s="10" t="n">
        <v>1649</v>
      </c>
      <c r="R2400" s="7" t="n">
        <v>26379</v>
      </c>
      <c r="S2400" s="8" t="n">
        <v>1831</v>
      </c>
      <c r="T2400" s="8" t="n">
        <v>4774</v>
      </c>
      <c r="U2400" s="9" t="n">
        <v>15201</v>
      </c>
      <c r="V2400" s="10" t="n">
        <v>-6426</v>
      </c>
      <c r="W2400" s="10" t="n">
        <v>-5628</v>
      </c>
      <c r="X2400" s="7" t="n">
        <v>9139</v>
      </c>
      <c r="Y2400" s="8" t="n">
        <v>-4730</v>
      </c>
      <c r="Z2400" s="8" t="n">
        <v>-4085</v>
      </c>
      <c r="AA2400" s="9" t="n">
        <v>11063</v>
      </c>
      <c r="AB2400" s="10" t="n">
        <v>-7277</v>
      </c>
      <c r="AC2400" s="10" t="n">
        <v>-5986</v>
      </c>
      <c r="AD2400" s="7" t="n">
        <v>33107</v>
      </c>
      <c r="AE2400" s="8" t="n">
        <v>1712</v>
      </c>
      <c r="AF2400" s="8" t="n">
        <v>1330</v>
      </c>
      <c r="AG2400" s="9" t="n">
        <v>20570</v>
      </c>
      <c r="AH2400" s="10" t="n">
        <v>-3906</v>
      </c>
      <c r="AI2400" s="10" t="n">
        <v>-1540</v>
      </c>
      <c r="AJ2400" s="11" t="n">
        <v>21310</v>
      </c>
      <c r="AK2400" s="12" t="n">
        <v>328</v>
      </c>
      <c r="AL2400" s="12" t="n">
        <v>729</v>
      </c>
      <c r="AM2400" s="13" t="n">
        <v>3.6</v>
      </c>
      <c r="AN2400" s="13" t="n">
        <v>133.2</v>
      </c>
      <c r="AO2400" s="13" t="n">
        <v>108.4</v>
      </c>
      <c r="AP2400" s="13" t="n">
        <v>106.9</v>
      </c>
    </row>
    <row r="2401">
      <c r="A2401" s="5" t="inlineStr">
        <is>
          <t>NH올원리츠</t>
        </is>
      </c>
      <c r="B2401" s="6" t="inlineStr">
        <is>
          <t>400760</t>
        </is>
      </c>
      <c r="C2401" s="6" t="inlineStr">
        <is>
          <t>연결</t>
        </is>
      </c>
      <c r="D2401" s="6" t="inlineStr">
        <is>
          <t>2026Q2</t>
        </is>
      </c>
      <c r="E2401" s="6" t="inlineStr"/>
      <c r="F2401" s="7" t="inlineStr"/>
      <c r="G2401" s="8" t="inlineStr"/>
      <c r="H2401" s="8" t="inlineStr"/>
      <c r="I2401" s="9" t="inlineStr"/>
      <c r="J2401" s="10" t="inlineStr"/>
      <c r="K2401" s="10" t="inlineStr"/>
      <c r="L2401" s="7" t="n">
        <v>9543</v>
      </c>
      <c r="M2401" s="8" t="n">
        <v>4884</v>
      </c>
      <c r="N2401" s="8" t="n">
        <v>141</v>
      </c>
      <c r="O2401" s="9" t="inlineStr"/>
      <c r="P2401" s="10" t="inlineStr"/>
      <c r="Q2401" s="10" t="inlineStr"/>
      <c r="R2401" s="7" t="inlineStr"/>
      <c r="S2401" s="8" t="inlineStr"/>
      <c r="T2401" s="8" t="inlineStr"/>
      <c r="U2401" s="9" t="inlineStr"/>
      <c r="V2401" s="10" t="inlineStr"/>
      <c r="W2401" s="10" t="inlineStr"/>
      <c r="X2401" s="7" t="n">
        <v>13882</v>
      </c>
      <c r="Y2401" s="8" t="n">
        <v>8288</v>
      </c>
      <c r="Z2401" s="8" t="n">
        <v>-414</v>
      </c>
      <c r="AA2401" s="9" t="inlineStr"/>
      <c r="AB2401" s="10" t="inlineStr"/>
      <c r="AC2401" s="10" t="inlineStr"/>
      <c r="AD2401" s="7" t="inlineStr"/>
      <c r="AE2401" s="8" t="inlineStr"/>
      <c r="AF2401" s="8" t="inlineStr"/>
      <c r="AG2401" s="9" t="inlineStr"/>
      <c r="AH2401" s="10" t="inlineStr"/>
      <c r="AI2401" s="10" t="inlineStr"/>
      <c r="AJ2401" s="11" t="n">
        <v>12798</v>
      </c>
      <c r="AK2401" s="12" t="n">
        <v>8405</v>
      </c>
      <c r="AL2401" s="12" t="n">
        <v>89</v>
      </c>
      <c r="AM2401" s="13" t="inlineStr"/>
      <c r="AN2401" s="13" t="n">
        <v>-7.8</v>
      </c>
      <c r="AO2401" s="13" t="inlineStr"/>
      <c r="AP2401" s="13" t="n">
        <v>1.4</v>
      </c>
    </row>
    <row r="2402">
      <c r="A2402" s="5" t="inlineStr">
        <is>
          <t>코난테크놀로지</t>
        </is>
      </c>
      <c r="B2402" s="6" t="inlineStr">
        <is>
          <t>402030</t>
        </is>
      </c>
      <c r="C2402" s="6" t="inlineStr">
        <is>
          <t>별도</t>
        </is>
      </c>
      <c r="D2402" s="6" t="inlineStr">
        <is>
          <t>2026Q2</t>
        </is>
      </c>
      <c r="E2402" s="6" t="inlineStr"/>
      <c r="F2402" s="7" t="inlineStr"/>
      <c r="G2402" s="8" t="inlineStr"/>
      <c r="H2402" s="8" t="inlineStr"/>
      <c r="I2402" s="9" t="n">
        <v>2573</v>
      </c>
      <c r="J2402" s="10" t="n">
        <v>-6221</v>
      </c>
      <c r="K2402" s="10" t="n">
        <v>-6023</v>
      </c>
      <c r="L2402" s="7" t="n">
        <v>6266</v>
      </c>
      <c r="M2402" s="8" t="n">
        <v>-4426</v>
      </c>
      <c r="N2402" s="8" t="n">
        <v>-4302</v>
      </c>
      <c r="O2402" s="9" t="n">
        <v>3651</v>
      </c>
      <c r="P2402" s="10" t="n">
        <v>-4772</v>
      </c>
      <c r="Q2402" s="10" t="n">
        <v>-4676</v>
      </c>
      <c r="R2402" s="7" t="n">
        <v>13829</v>
      </c>
      <c r="S2402" s="8" t="n">
        <v>1313</v>
      </c>
      <c r="T2402" s="8" t="n">
        <v>1397</v>
      </c>
      <c r="U2402" s="9" t="n">
        <v>4066</v>
      </c>
      <c r="V2402" s="10" t="n">
        <v>-3989</v>
      </c>
      <c r="W2402" s="10" t="n">
        <v>-3942</v>
      </c>
      <c r="X2402" s="7" t="n">
        <v>3390</v>
      </c>
      <c r="Y2402" s="8" t="n">
        <v>-4452</v>
      </c>
      <c r="Z2402" s="8" t="n">
        <v>-4429</v>
      </c>
      <c r="AA2402" s="9" t="n">
        <v>16463</v>
      </c>
      <c r="AB2402" s="10" t="n">
        <v>-1552</v>
      </c>
      <c r="AC2402" s="10" t="n">
        <v>-1526</v>
      </c>
      <c r="AD2402" s="7" t="n">
        <v>10061</v>
      </c>
      <c r="AE2402" s="8" t="n">
        <v>128</v>
      </c>
      <c r="AF2402" s="8" t="n">
        <v>212</v>
      </c>
      <c r="AG2402" s="9" t="n">
        <v>3876</v>
      </c>
      <c r="AH2402" s="10" t="n">
        <v>-3988</v>
      </c>
      <c r="AI2402" s="10" t="n">
        <v>-4729</v>
      </c>
      <c r="AJ2402" s="11" t="n">
        <v>4172</v>
      </c>
      <c r="AK2402" s="12" t="n">
        <v>-2821</v>
      </c>
      <c r="AL2402" s="12" t="n">
        <v>-2678</v>
      </c>
      <c r="AM2402" s="13" t="n">
        <v>7.6</v>
      </c>
      <c r="AN2402" s="13" t="n">
        <v>23.1</v>
      </c>
      <c r="AO2402" s="13" t="n">
        <v>29.3</v>
      </c>
      <c r="AP2402" s="13" t="n">
        <v>36.6</v>
      </c>
    </row>
    <row r="2403">
      <c r="A2403" s="5" t="inlineStr">
        <is>
          <t>SK스퀘어</t>
        </is>
      </c>
      <c r="B2403" s="6" t="inlineStr">
        <is>
          <t>402340</t>
        </is>
      </c>
      <c r="C2403" s="6" t="inlineStr">
        <is>
          <t>연결</t>
        </is>
      </c>
      <c r="D2403" s="6" t="inlineStr">
        <is>
          <t>2026Q2</t>
        </is>
      </c>
      <c r="E2403" s="6" t="inlineStr"/>
      <c r="F2403" s="7" t="inlineStr"/>
      <c r="G2403" s="8" t="inlineStr"/>
      <c r="H2403" s="8" t="inlineStr"/>
      <c r="I2403" s="9" t="n">
        <v>498278</v>
      </c>
      <c r="J2403" s="10" t="n">
        <v>323785</v>
      </c>
      <c r="K2403" s="10" t="n">
        <v>333285</v>
      </c>
      <c r="L2403" s="7" t="n">
        <v>468566</v>
      </c>
      <c r="M2403" s="8" t="n">
        <v>774813</v>
      </c>
      <c r="N2403" s="8" t="n">
        <v>728816</v>
      </c>
      <c r="O2403" s="9" t="n">
        <v>457502</v>
      </c>
      <c r="P2403" s="10" t="n">
        <v>1161984</v>
      </c>
      <c r="Q2403" s="10" t="n">
        <v>1129172</v>
      </c>
      <c r="R2403" s="7" t="n">
        <v>482265</v>
      </c>
      <c r="S2403" s="8" t="n">
        <v>1652001</v>
      </c>
      <c r="T2403" s="8" t="n">
        <v>1459242</v>
      </c>
      <c r="U2403" s="9" t="n">
        <v>402808</v>
      </c>
      <c r="V2403" s="10" t="n">
        <v>1652323</v>
      </c>
      <c r="W2403" s="10" t="n">
        <v>1612259</v>
      </c>
      <c r="X2403" s="7" t="n">
        <v>406594</v>
      </c>
      <c r="Y2403" s="8" t="n">
        <v>1401104</v>
      </c>
      <c r="Z2403" s="8" t="n">
        <v>1447114</v>
      </c>
      <c r="AA2403" s="9" t="n">
        <v>407889</v>
      </c>
      <c r="AB2403" s="10" t="n">
        <v>2645508</v>
      </c>
      <c r="AC2403" s="10" t="n">
        <v>2482405</v>
      </c>
      <c r="AD2403" s="7" t="n">
        <v>194230</v>
      </c>
      <c r="AE2403" s="8" t="n">
        <v>3098486</v>
      </c>
      <c r="AF2403" s="8" t="n">
        <v>3276917</v>
      </c>
      <c r="AG2403" s="9" t="n">
        <v>300349</v>
      </c>
      <c r="AH2403" s="10" t="n">
        <v>8278295</v>
      </c>
      <c r="AI2403" s="10" t="n">
        <v>8374748</v>
      </c>
      <c r="AJ2403" s="11" t="n">
        <v>328549</v>
      </c>
      <c r="AK2403" s="12" t="n">
        <v>19235428</v>
      </c>
      <c r="AL2403" s="12" t="n">
        <v>18675023</v>
      </c>
      <c r="AM2403" s="13" t="n">
        <v>9.4</v>
      </c>
      <c r="AN2403" s="13" t="n">
        <v>-19.2</v>
      </c>
      <c r="AO2403" s="13" t="n">
        <v>132.4</v>
      </c>
      <c r="AP2403" s="13" t="n">
        <v>1272.9</v>
      </c>
    </row>
    <row r="2404">
      <c r="A2404" s="5" t="inlineStr">
        <is>
          <t>그린리소스</t>
        </is>
      </c>
      <c r="B2404" s="6" t="inlineStr">
        <is>
          <t>402490</t>
        </is>
      </c>
      <c r="C2404" s="6" t="inlineStr">
        <is>
          <t>연결</t>
        </is>
      </c>
      <c r="D2404" s="6" t="inlineStr">
        <is>
          <t>2026Q2</t>
        </is>
      </c>
      <c r="E2404" s="6" t="inlineStr"/>
      <c r="F2404" s="7" t="inlineStr"/>
      <c r="G2404" s="8" t="inlineStr"/>
      <c r="H2404" s="8" t="inlineStr"/>
      <c r="I2404" s="9" t="n">
        <v>4068</v>
      </c>
      <c r="J2404" s="10" t="n">
        <v>635</v>
      </c>
      <c r="K2404" s="10" t="n">
        <v>863</v>
      </c>
      <c r="L2404" s="7" t="n">
        <v>4348</v>
      </c>
      <c r="M2404" s="8" t="n">
        <v>587</v>
      </c>
      <c r="N2404" s="8" t="n">
        <v>465</v>
      </c>
      <c r="O2404" s="9" t="n">
        <v>4362</v>
      </c>
      <c r="P2404" s="10" t="n">
        <v>313</v>
      </c>
      <c r="Q2404" s="10" t="n">
        <v>340</v>
      </c>
      <c r="R2404" s="7" t="n">
        <v>5721</v>
      </c>
      <c r="S2404" s="8" t="n">
        <v>-463</v>
      </c>
      <c r="T2404" s="8" t="n">
        <v>738</v>
      </c>
      <c r="U2404" s="9" t="n">
        <v>19993</v>
      </c>
      <c r="V2404" s="10" t="n">
        <v>838</v>
      </c>
      <c r="W2404" s="10" t="n">
        <v>2896</v>
      </c>
      <c r="X2404" s="7" t="n">
        <v>25753</v>
      </c>
      <c r="Y2404" s="8" t="n">
        <v>848</v>
      </c>
      <c r="Z2404" s="8" t="n">
        <v>1246</v>
      </c>
      <c r="AA2404" s="9" t="n">
        <v>28058</v>
      </c>
      <c r="AB2404" s="10" t="n">
        <v>1937</v>
      </c>
      <c r="AC2404" s="10" t="n">
        <v>7707</v>
      </c>
      <c r="AD2404" s="7" t="n">
        <v>28351</v>
      </c>
      <c r="AE2404" s="8" t="n">
        <v>2410</v>
      </c>
      <c r="AF2404" s="8" t="n">
        <v>-1309</v>
      </c>
      <c r="AG2404" s="9" t="n">
        <v>20926</v>
      </c>
      <c r="AH2404" s="10" t="n">
        <v>2481</v>
      </c>
      <c r="AI2404" s="10" t="n">
        <v>6445</v>
      </c>
      <c r="AJ2404" s="11" t="n">
        <v>14419</v>
      </c>
      <c r="AK2404" s="12" t="n">
        <v>331</v>
      </c>
      <c r="AL2404" s="12" t="n">
        <v>-3780</v>
      </c>
      <c r="AM2404" s="13" t="n">
        <v>-31.1</v>
      </c>
      <c r="AN2404" s="13" t="n">
        <v>-44</v>
      </c>
      <c r="AO2404" s="13" t="n">
        <v>-86.7</v>
      </c>
      <c r="AP2404" s="13" t="n">
        <v>-61</v>
      </c>
    </row>
    <row r="2405">
      <c r="A2405" s="5" t="inlineStr">
        <is>
          <t>라피치</t>
        </is>
      </c>
      <c r="B2405" s="6" t="inlineStr">
        <is>
          <t>403360</t>
        </is>
      </c>
      <c r="C2405" s="6" t="inlineStr">
        <is>
          <t>연결</t>
        </is>
      </c>
      <c r="D2405" s="6" t="inlineStr">
        <is>
          <t>2026Q2</t>
        </is>
      </c>
      <c r="E2405" s="6" t="inlineStr"/>
      <c r="F2405" s="7" t="inlineStr"/>
      <c r="G2405" s="8" t="inlineStr"/>
      <c r="H2405" s="8" t="inlineStr"/>
      <c r="I2405" s="9" t="inlineStr"/>
      <c r="J2405" s="10" t="inlineStr"/>
      <c r="K2405" s="10" t="inlineStr"/>
      <c r="L2405" s="7" t="inlineStr"/>
      <c r="M2405" s="8" t="inlineStr"/>
      <c r="N2405" s="8" t="inlineStr"/>
      <c r="O2405" s="9" t="inlineStr"/>
      <c r="P2405" s="10" t="inlineStr"/>
      <c r="Q2405" s="10" t="inlineStr"/>
      <c r="R2405" s="7" t="inlineStr"/>
      <c r="S2405" s="8" t="inlineStr"/>
      <c r="T2405" s="8" t="inlineStr"/>
      <c r="U2405" s="9" t="inlineStr"/>
      <c r="V2405" s="10" t="inlineStr"/>
      <c r="W2405" s="10" t="inlineStr"/>
      <c r="X2405" s="7" t="inlineStr"/>
      <c r="Y2405" s="8" t="inlineStr"/>
      <c r="Z2405" s="8" t="inlineStr"/>
      <c r="AA2405" s="9" t="inlineStr"/>
      <c r="AB2405" s="10" t="inlineStr"/>
      <c r="AC2405" s="10" t="inlineStr"/>
      <c r="AD2405" s="7" t="inlineStr"/>
      <c r="AE2405" s="8" t="inlineStr"/>
      <c r="AF2405" s="8" t="inlineStr"/>
      <c r="AG2405" s="9" t="inlineStr"/>
      <c r="AH2405" s="10" t="inlineStr"/>
      <c r="AI2405" s="10" t="inlineStr"/>
      <c r="AJ2405" s="11" t="n">
        <v>14984</v>
      </c>
      <c r="AK2405" s="12" t="n">
        <v>1292</v>
      </c>
      <c r="AL2405" s="12" t="n">
        <v>1254</v>
      </c>
      <c r="AM2405" s="13" t="inlineStr"/>
      <c r="AN2405" s="13" t="inlineStr"/>
      <c r="AO2405" s="13" t="inlineStr"/>
      <c r="AP2405" s="13" t="inlineStr"/>
    </row>
    <row r="2406">
      <c r="A2406" s="5" t="inlineStr">
        <is>
          <t>우듬지팜</t>
        </is>
      </c>
      <c r="B2406" s="6" t="inlineStr">
        <is>
          <t>403490</t>
        </is>
      </c>
      <c r="C2406" s="6" t="inlineStr">
        <is>
          <t>연결</t>
        </is>
      </c>
      <c r="D2406" s="6" t="inlineStr">
        <is>
          <t>2026Q2</t>
        </is>
      </c>
      <c r="E2406" s="6" t="inlineStr"/>
      <c r="F2406" s="7" t="inlineStr"/>
      <c r="G2406" s="8" t="inlineStr"/>
      <c r="H2406" s="8" t="inlineStr"/>
      <c r="I2406" s="9" t="n">
        <v>16257</v>
      </c>
      <c r="J2406" s="10" t="n">
        <v>966</v>
      </c>
      <c r="K2406" s="10" t="n">
        <v>713</v>
      </c>
      <c r="L2406" s="7" t="n">
        <v>19927</v>
      </c>
      <c r="M2406" s="8" t="n">
        <v>2004</v>
      </c>
      <c r="N2406" s="8" t="n">
        <v>1752</v>
      </c>
      <c r="O2406" s="9" t="n">
        <v>11941</v>
      </c>
      <c r="P2406" s="10" t="n">
        <v>-1408</v>
      </c>
      <c r="Q2406" s="10" t="n">
        <v>-1295</v>
      </c>
      <c r="R2406" s="7" t="n">
        <v>15781</v>
      </c>
      <c r="S2406" s="8" t="n">
        <v>1991</v>
      </c>
      <c r="T2406" s="8" t="n">
        <v>1599</v>
      </c>
      <c r="U2406" s="9" t="n">
        <v>14618</v>
      </c>
      <c r="V2406" s="10" t="n">
        <v>56</v>
      </c>
      <c r="W2406" s="10" t="n">
        <v>-144</v>
      </c>
      <c r="X2406" s="7" t="n">
        <v>18599</v>
      </c>
      <c r="Y2406" s="8" t="n">
        <v>1244</v>
      </c>
      <c r="Z2406" s="8" t="n">
        <v>570</v>
      </c>
      <c r="AA2406" s="9" t="n">
        <v>13489</v>
      </c>
      <c r="AB2406" s="10" t="n">
        <v>-1113</v>
      </c>
      <c r="AC2406" s="10" t="n">
        <v>-1296</v>
      </c>
      <c r="AD2406" s="7" t="n">
        <v>16971</v>
      </c>
      <c r="AE2406" s="8" t="n">
        <v>-1071</v>
      </c>
      <c r="AF2406" s="8" t="n">
        <v>-3518</v>
      </c>
      <c r="AG2406" s="9" t="n">
        <v>12443</v>
      </c>
      <c r="AH2406" s="10" t="n">
        <v>-2220</v>
      </c>
      <c r="AI2406" s="10" t="n">
        <v>-2696</v>
      </c>
      <c r="AJ2406" s="11" t="n">
        <v>18391</v>
      </c>
      <c r="AK2406" s="12" t="n">
        <v>747</v>
      </c>
      <c r="AL2406" s="12" t="n">
        <v>-112</v>
      </c>
      <c r="AM2406" s="13" t="n">
        <v>47.8</v>
      </c>
      <c r="AN2406" s="13" t="n">
        <v>-1.1</v>
      </c>
      <c r="AO2406" s="13" t="n">
        <v>133.6</v>
      </c>
      <c r="AP2406" s="13" t="n">
        <v>-40</v>
      </c>
    </row>
    <row r="2407">
      <c r="A2407" s="5" t="inlineStr">
        <is>
          <t>쏘카</t>
        </is>
      </c>
      <c r="B2407" s="6" t="inlineStr">
        <is>
          <t>403550</t>
        </is>
      </c>
      <c r="C2407" s="6" t="inlineStr">
        <is>
          <t>연결</t>
        </is>
      </c>
      <c r="D2407" s="6" t="inlineStr">
        <is>
          <t>2026Q2</t>
        </is>
      </c>
      <c r="E2407" s="6" t="inlineStr">
        <is>
          <t>2023Q4</t>
        </is>
      </c>
      <c r="F2407" s="14" t="n">
        <v>96175</v>
      </c>
      <c r="G2407" s="15" t="n">
        <v>-2756</v>
      </c>
      <c r="H2407" s="15" t="n">
        <v>-14755</v>
      </c>
      <c r="I2407" s="9" t="n">
        <v>90575</v>
      </c>
      <c r="J2407" s="10" t="n">
        <v>-10759</v>
      </c>
      <c r="K2407" s="10" t="n">
        <v>-16743</v>
      </c>
      <c r="L2407" s="7" t="n">
        <v>101762</v>
      </c>
      <c r="M2407" s="8" t="n">
        <v>-6653</v>
      </c>
      <c r="N2407" s="8" t="n">
        <v>-11589</v>
      </c>
      <c r="O2407" s="9" t="n">
        <v>117004</v>
      </c>
      <c r="P2407" s="10" t="n">
        <v>4648</v>
      </c>
      <c r="Q2407" s="10" t="n">
        <v>1163</v>
      </c>
      <c r="R2407" s="7" t="n">
        <v>122422</v>
      </c>
      <c r="S2407" s="8" t="n">
        <v>2963</v>
      </c>
      <c r="T2407" s="8" t="n">
        <v>-3840</v>
      </c>
      <c r="U2407" s="9" t="n">
        <v>131505</v>
      </c>
      <c r="V2407" s="10" t="n">
        <v>1414</v>
      </c>
      <c r="W2407" s="10" t="n">
        <v>-3513</v>
      </c>
      <c r="X2407" s="7" t="n">
        <v>98660</v>
      </c>
      <c r="Y2407" s="8" t="n">
        <v>1835</v>
      </c>
      <c r="Z2407" s="8" t="n">
        <v>-1781</v>
      </c>
      <c r="AA2407" s="9" t="n">
        <v>111814</v>
      </c>
      <c r="AB2407" s="10" t="n">
        <v>6815</v>
      </c>
      <c r="AC2407" s="10" t="n">
        <v>1592</v>
      </c>
      <c r="AD2407" s="7" t="n">
        <v>128724</v>
      </c>
      <c r="AE2407" s="8" t="n">
        <v>13185</v>
      </c>
      <c r="AF2407" s="8" t="n">
        <v>-14687</v>
      </c>
      <c r="AG2407" s="9" t="n">
        <v>97122</v>
      </c>
      <c r="AH2407" s="10" t="n">
        <v>1388</v>
      </c>
      <c r="AI2407" s="10" t="n">
        <v>-8786</v>
      </c>
      <c r="AJ2407" s="11" t="n">
        <v>120993</v>
      </c>
      <c r="AK2407" s="12" t="n">
        <v>6811</v>
      </c>
      <c r="AL2407" s="12" t="n">
        <v>6465</v>
      </c>
      <c r="AM2407" s="13" t="n">
        <v>24.6</v>
      </c>
      <c r="AN2407" s="13" t="n">
        <v>22.6</v>
      </c>
      <c r="AO2407" s="13" t="n">
        <v>390.7</v>
      </c>
      <c r="AP2407" s="13" t="n">
        <v>271.2</v>
      </c>
    </row>
    <row r="2408">
      <c r="A2408" s="5" t="inlineStr">
        <is>
          <t>더핑크퐁컴퍼니</t>
        </is>
      </c>
      <c r="B2408" s="6" t="inlineStr">
        <is>
          <t>403850</t>
        </is>
      </c>
      <c r="C2408" s="6" t="inlineStr">
        <is>
          <t>연결</t>
        </is>
      </c>
      <c r="D2408" s="6" t="inlineStr">
        <is>
          <t>2026Q2</t>
        </is>
      </c>
      <c r="E2408" s="6" t="inlineStr"/>
      <c r="F2408" s="7" t="inlineStr"/>
      <c r="G2408" s="8" t="inlineStr"/>
      <c r="H2408" s="8" t="inlineStr"/>
      <c r="I2408" s="9" t="n">
        <v>23496</v>
      </c>
      <c r="J2408" s="10" t="n">
        <v>1819</v>
      </c>
      <c r="K2408" s="10" t="n">
        <v>3983</v>
      </c>
      <c r="L2408" s="7" t="n">
        <v>24957</v>
      </c>
      <c r="M2408" s="8" t="n">
        <v>2737</v>
      </c>
      <c r="N2408" s="8" t="n">
        <v>7667</v>
      </c>
      <c r="O2408" s="9" t="n">
        <v>27305</v>
      </c>
      <c r="P2408" s="10" t="n">
        <v>3462</v>
      </c>
      <c r="Q2408" s="10" t="n">
        <v>-362</v>
      </c>
      <c r="R2408" s="7" t="n">
        <v>21610</v>
      </c>
      <c r="S2408" s="8" t="n">
        <v>10793</v>
      </c>
      <c r="T2408" s="8" t="n">
        <v>-6294</v>
      </c>
      <c r="U2408" s="9" t="n">
        <v>24137</v>
      </c>
      <c r="V2408" s="10" t="n">
        <v>6100</v>
      </c>
      <c r="W2408" s="10" t="n">
        <v>5287</v>
      </c>
      <c r="X2408" s="7" t="n">
        <v>21045</v>
      </c>
      <c r="Y2408" s="8" t="n">
        <v>2853</v>
      </c>
      <c r="Z2408" s="8" t="n">
        <v>-1496</v>
      </c>
      <c r="AA2408" s="9" t="n">
        <v>22960</v>
      </c>
      <c r="AB2408" s="10" t="n">
        <v>3685</v>
      </c>
      <c r="AC2408" s="10" t="n">
        <v>6806</v>
      </c>
      <c r="AD2408" s="7" t="n">
        <v>25720</v>
      </c>
      <c r="AE2408" s="8" t="n">
        <v>6724</v>
      </c>
      <c r="AF2408" s="8" t="n">
        <v>7527</v>
      </c>
      <c r="AG2408" s="9" t="n">
        <v>20653</v>
      </c>
      <c r="AH2408" s="10" t="n">
        <v>2937</v>
      </c>
      <c r="AI2408" s="10" t="n">
        <v>6147</v>
      </c>
      <c r="AJ2408" s="11" t="n">
        <v>21705</v>
      </c>
      <c r="AK2408" s="12" t="n">
        <v>2657</v>
      </c>
      <c r="AL2408" s="12" t="n">
        <v>21542</v>
      </c>
      <c r="AM2408" s="13" t="n">
        <v>5.1</v>
      </c>
      <c r="AN2408" s="13" t="n">
        <v>3.1</v>
      </c>
      <c r="AO2408" s="13" t="n">
        <v>-9.5</v>
      </c>
      <c r="AP2408" s="13" t="n">
        <v>-6.9</v>
      </c>
    </row>
    <row r="2409">
      <c r="A2409" s="5" t="inlineStr">
        <is>
          <t>HPSP</t>
        </is>
      </c>
      <c r="B2409" s="6" t="inlineStr">
        <is>
          <t>403870</t>
        </is>
      </c>
      <c r="C2409" s="6" t="inlineStr">
        <is>
          <t>별도</t>
        </is>
      </c>
      <c r="D2409" s="6" t="inlineStr">
        <is>
          <t>2026Q2</t>
        </is>
      </c>
      <c r="E2409" s="6" t="inlineStr">
        <is>
          <t>2023Q4</t>
        </is>
      </c>
      <c r="F2409" s="14" t="n">
        <v>30476</v>
      </c>
      <c r="G2409" s="15" t="n">
        <v>12111</v>
      </c>
      <c r="H2409" s="15" t="n">
        <v>6425</v>
      </c>
      <c r="I2409" s="9" t="n">
        <v>37753</v>
      </c>
      <c r="J2409" s="10" t="n">
        <v>19975</v>
      </c>
      <c r="K2409" s="10" t="n">
        <v>21338</v>
      </c>
      <c r="L2409" s="7" t="n">
        <v>27309</v>
      </c>
      <c r="M2409" s="8" t="n">
        <v>12051</v>
      </c>
      <c r="N2409" s="8" t="n">
        <v>14410</v>
      </c>
      <c r="O2409" s="9" t="n">
        <v>49721</v>
      </c>
      <c r="P2409" s="10" t="n">
        <v>26164</v>
      </c>
      <c r="Q2409" s="10" t="n">
        <v>17055</v>
      </c>
      <c r="R2409" s="7" t="inlineStr"/>
      <c r="S2409" s="8" t="n">
        <v>35756</v>
      </c>
      <c r="T2409" s="8" t="n">
        <v>33477</v>
      </c>
      <c r="U2409" s="9" t="n">
        <v>36895</v>
      </c>
      <c r="V2409" s="10" t="n">
        <v>18707</v>
      </c>
      <c r="W2409" s="10" t="n">
        <v>15201</v>
      </c>
      <c r="X2409" s="7" t="n">
        <v>51347</v>
      </c>
      <c r="Y2409" s="8" t="n">
        <v>28644</v>
      </c>
      <c r="Z2409" s="8" t="n">
        <v>20703</v>
      </c>
      <c r="AA2409" s="9" t="n">
        <v>32047</v>
      </c>
      <c r="AB2409" s="10" t="n">
        <v>15107</v>
      </c>
      <c r="AC2409" s="10" t="n">
        <v>13487</v>
      </c>
      <c r="AD2409" s="7" t="n">
        <v>52676</v>
      </c>
      <c r="AE2409" s="8" t="n">
        <v>27444</v>
      </c>
      <c r="AF2409" s="8" t="n">
        <v>23271</v>
      </c>
      <c r="AG2409" s="9" t="n">
        <v>31940</v>
      </c>
      <c r="AH2409" s="10" t="n">
        <v>16136</v>
      </c>
      <c r="AI2409" s="10" t="n">
        <v>24862</v>
      </c>
      <c r="AJ2409" s="11" t="n">
        <v>46123</v>
      </c>
      <c r="AK2409" s="12" t="n">
        <v>28314</v>
      </c>
      <c r="AL2409" s="12" t="n">
        <v>24107</v>
      </c>
      <c r="AM2409" s="13" t="n">
        <v>44.4</v>
      </c>
      <c r="AN2409" s="13" t="n">
        <v>-10.2</v>
      </c>
      <c r="AO2409" s="13" t="n">
        <v>75.5</v>
      </c>
      <c r="AP2409" s="13" t="n">
        <v>-1.2</v>
      </c>
    </row>
    <row r="2410">
      <c r="A2410" s="5" t="inlineStr">
        <is>
          <t>신한서부티엔디리츠</t>
        </is>
      </c>
      <c r="B2410" s="6" t="inlineStr">
        <is>
          <t>404990</t>
        </is>
      </c>
      <c r="C2410" s="6" t="inlineStr">
        <is>
          <t>연결</t>
        </is>
      </c>
      <c r="D2410" s="6" t="inlineStr">
        <is>
          <t>2026Q2</t>
        </is>
      </c>
      <c r="E2410" s="6" t="inlineStr"/>
      <c r="F2410" s="7" t="inlineStr"/>
      <c r="G2410" s="8" t="inlineStr"/>
      <c r="H2410" s="8" t="inlineStr"/>
      <c r="I2410" s="9" t="inlineStr"/>
      <c r="J2410" s="10" t="inlineStr"/>
      <c r="K2410" s="10" t="inlineStr"/>
      <c r="L2410" s="7" t="n">
        <v>8937</v>
      </c>
      <c r="M2410" s="8" t="n">
        <v>5739</v>
      </c>
      <c r="N2410" s="8" t="n">
        <v>-670</v>
      </c>
      <c r="O2410" s="9" t="inlineStr"/>
      <c r="P2410" s="10" t="inlineStr"/>
      <c r="Q2410" s="10" t="inlineStr"/>
      <c r="R2410" s="7" t="inlineStr"/>
      <c r="S2410" s="8" t="inlineStr"/>
      <c r="T2410" s="8" t="inlineStr"/>
      <c r="U2410" s="9" t="inlineStr"/>
      <c r="V2410" s="10" t="inlineStr"/>
      <c r="W2410" s="10" t="inlineStr"/>
      <c r="X2410" s="7" t="n">
        <v>15508</v>
      </c>
      <c r="Y2410" s="8" t="n">
        <v>11486</v>
      </c>
      <c r="Z2410" s="8" t="n">
        <v>2457</v>
      </c>
      <c r="AA2410" s="9" t="inlineStr"/>
      <c r="AB2410" s="10" t="inlineStr"/>
      <c r="AC2410" s="10" t="inlineStr"/>
      <c r="AD2410" s="7" t="inlineStr"/>
      <c r="AE2410" s="8" t="inlineStr"/>
      <c r="AF2410" s="8" t="inlineStr"/>
      <c r="AG2410" s="9" t="inlineStr"/>
      <c r="AH2410" s="10" t="inlineStr"/>
      <c r="AI2410" s="10" t="inlineStr"/>
      <c r="AJ2410" s="11" t="n">
        <v>15532</v>
      </c>
      <c r="AK2410" s="12" t="n">
        <v>11334</v>
      </c>
      <c r="AL2410" s="12" t="n">
        <v>2995</v>
      </c>
      <c r="AM2410" s="13" t="inlineStr"/>
      <c r="AN2410" s="13" t="n">
        <v>0.2</v>
      </c>
      <c r="AO2410" s="13" t="inlineStr"/>
      <c r="AP2410" s="13" t="n">
        <v>-1.3</v>
      </c>
    </row>
    <row r="2411">
      <c r="A2411" s="5" t="inlineStr">
        <is>
          <t>플라즈맵</t>
        </is>
      </c>
      <c r="B2411" s="6" t="inlineStr">
        <is>
          <t>405000</t>
        </is>
      </c>
      <c r="C2411" s="6" t="inlineStr">
        <is>
          <t>연결</t>
        </is>
      </c>
      <c r="D2411" s="6" t="inlineStr">
        <is>
          <t>2026Q2</t>
        </is>
      </c>
      <c r="E2411" s="6" t="inlineStr"/>
      <c r="F2411" s="7" t="inlineStr"/>
      <c r="G2411" s="8" t="inlineStr"/>
      <c r="H2411" s="8" t="inlineStr"/>
      <c r="I2411" s="9" t="n">
        <v>4077</v>
      </c>
      <c r="J2411" s="10" t="n">
        <v>-3149</v>
      </c>
      <c r="K2411" s="10" t="n">
        <v>-3593</v>
      </c>
      <c r="L2411" s="7" t="n">
        <v>2575</v>
      </c>
      <c r="M2411" s="8" t="n">
        <v>-4152</v>
      </c>
      <c r="N2411" s="8" t="n">
        <v>-5772</v>
      </c>
      <c r="O2411" s="9" t="n">
        <v>1585</v>
      </c>
      <c r="P2411" s="10" t="n">
        <v>-4836</v>
      </c>
      <c r="Q2411" s="10" t="n">
        <v>-5817</v>
      </c>
      <c r="R2411" s="7" t="n">
        <v>1902</v>
      </c>
      <c r="S2411" s="8" t="n">
        <v>-5522</v>
      </c>
      <c r="T2411" s="8" t="n">
        <v>-5603</v>
      </c>
      <c r="U2411" s="9" t="n">
        <v>1042</v>
      </c>
      <c r="V2411" s="10" t="n">
        <v>-2171</v>
      </c>
      <c r="W2411" s="10" t="n">
        <v>-2662</v>
      </c>
      <c r="X2411" s="7" t="n">
        <v>1090</v>
      </c>
      <c r="Y2411" s="8" t="n">
        <v>-2779</v>
      </c>
      <c r="Z2411" s="8" t="n">
        <v>-836</v>
      </c>
      <c r="AA2411" s="9" t="n">
        <v>2160</v>
      </c>
      <c r="AB2411" s="10" t="n">
        <v>-1640</v>
      </c>
      <c r="AC2411" s="10" t="n">
        <v>-1799</v>
      </c>
      <c r="AD2411" s="7" t="n">
        <v>4191</v>
      </c>
      <c r="AE2411" s="8" t="n">
        <v>-1011</v>
      </c>
      <c r="AF2411" s="8" t="n">
        <v>-1290</v>
      </c>
      <c r="AG2411" s="9" t="n">
        <v>2822</v>
      </c>
      <c r="AH2411" s="10" t="n">
        <v>-2150</v>
      </c>
      <c r="AI2411" s="10" t="n">
        <v>-2318</v>
      </c>
      <c r="AJ2411" s="11" t="n">
        <v>2844</v>
      </c>
      <c r="AK2411" s="12" t="n">
        <v>-2286</v>
      </c>
      <c r="AL2411" s="12" t="n">
        <v>-2321</v>
      </c>
      <c r="AM2411" s="13" t="n">
        <v>0.8</v>
      </c>
      <c r="AN2411" s="13" t="n">
        <v>160.9</v>
      </c>
      <c r="AO2411" s="13" t="n">
        <v>-6.3</v>
      </c>
      <c r="AP2411" s="13" t="n">
        <v>17.7</v>
      </c>
    </row>
    <row r="2412">
      <c r="A2412" s="5" t="inlineStr">
        <is>
          <t>큐알티</t>
        </is>
      </c>
      <c r="B2412" s="6" t="inlineStr">
        <is>
          <t>405100</t>
        </is>
      </c>
      <c r="C2412" s="6" t="inlineStr">
        <is>
          <t>연결</t>
        </is>
      </c>
      <c r="D2412" s="6" t="inlineStr">
        <is>
          <t>2026Q2</t>
        </is>
      </c>
      <c r="E2412" s="6" t="inlineStr"/>
      <c r="F2412" s="7" t="inlineStr"/>
      <c r="G2412" s="8" t="inlineStr"/>
      <c r="H2412" s="8" t="inlineStr"/>
      <c r="I2412" s="9" t="n">
        <v>13743</v>
      </c>
      <c r="J2412" s="10" t="n">
        <v>22</v>
      </c>
      <c r="K2412" s="10" t="n">
        <v>252</v>
      </c>
      <c r="L2412" s="7" t="n">
        <v>15805</v>
      </c>
      <c r="M2412" s="8" t="n">
        <v>1256</v>
      </c>
      <c r="N2412" s="8" t="n">
        <v>1117</v>
      </c>
      <c r="O2412" s="9" t="n">
        <v>16448</v>
      </c>
      <c r="P2412" s="10" t="n">
        <v>1782</v>
      </c>
      <c r="Q2412" s="10" t="n">
        <v>1403</v>
      </c>
      <c r="R2412" s="7" t="n">
        <v>19255</v>
      </c>
      <c r="S2412" s="8" t="n">
        <v>1707</v>
      </c>
      <c r="T2412" s="8" t="n">
        <v>85</v>
      </c>
      <c r="U2412" s="9" t="n">
        <v>15381</v>
      </c>
      <c r="V2412" s="10" t="n">
        <v>567</v>
      </c>
      <c r="W2412" s="10" t="n">
        <v>304</v>
      </c>
      <c r="X2412" s="7" t="n">
        <v>17370</v>
      </c>
      <c r="Y2412" s="8" t="n">
        <v>1177</v>
      </c>
      <c r="Z2412" s="8" t="n">
        <v>920</v>
      </c>
      <c r="AA2412" s="9" t="n">
        <v>19029</v>
      </c>
      <c r="AB2412" s="10" t="n">
        <v>2045</v>
      </c>
      <c r="AC2412" s="10" t="n">
        <v>1361</v>
      </c>
      <c r="AD2412" s="7" t="n">
        <v>17081</v>
      </c>
      <c r="AE2412" s="8" t="n">
        <v>994</v>
      </c>
      <c r="AF2412" s="8" t="n">
        <v>309</v>
      </c>
      <c r="AG2412" s="9" t="n">
        <v>20415</v>
      </c>
      <c r="AH2412" s="10" t="n">
        <v>2978</v>
      </c>
      <c r="AI2412" s="10" t="n">
        <v>2676</v>
      </c>
      <c r="AJ2412" s="11" t="n">
        <v>18496</v>
      </c>
      <c r="AK2412" s="12" t="n">
        <v>1226</v>
      </c>
      <c r="AL2412" s="12" t="n">
        <v>1105</v>
      </c>
      <c r="AM2412" s="13" t="n">
        <v>-9.4</v>
      </c>
      <c r="AN2412" s="13" t="n">
        <v>6.5</v>
      </c>
      <c r="AO2412" s="13" t="n">
        <v>-58.8</v>
      </c>
      <c r="AP2412" s="13" t="n">
        <v>4.2</v>
      </c>
    </row>
    <row r="2413">
      <c r="A2413" s="5" t="inlineStr">
        <is>
          <t>나라셀라</t>
        </is>
      </c>
      <c r="B2413" s="6" t="inlineStr">
        <is>
          <t>405920</t>
        </is>
      </c>
      <c r="C2413" s="6" t="inlineStr">
        <is>
          <t>연결</t>
        </is>
      </c>
      <c r="D2413" s="6" t="inlineStr">
        <is>
          <t>2026Q2</t>
        </is>
      </c>
      <c r="E2413" s="6" t="inlineStr"/>
      <c r="F2413" s="7" t="inlineStr"/>
      <c r="G2413" s="8" t="inlineStr"/>
      <c r="H2413" s="8" t="inlineStr"/>
      <c r="I2413" s="9" t="n">
        <v>23875</v>
      </c>
      <c r="J2413" s="10" t="n">
        <v>-594</v>
      </c>
      <c r="K2413" s="10" t="n">
        <v>-1252</v>
      </c>
      <c r="L2413" s="7" t="n">
        <v>17704</v>
      </c>
      <c r="M2413" s="8" t="n">
        <v>-1680</v>
      </c>
      <c r="N2413" s="8" t="n">
        <v>-2466</v>
      </c>
      <c r="O2413" s="9" t="n">
        <v>19642</v>
      </c>
      <c r="P2413" s="10" t="n">
        <v>-891</v>
      </c>
      <c r="Q2413" s="10" t="n">
        <v>-1465</v>
      </c>
      <c r="R2413" s="7" t="n">
        <v>21486</v>
      </c>
      <c r="S2413" s="8" t="n">
        <v>-313</v>
      </c>
      <c r="T2413" s="8" t="n">
        <v>-561</v>
      </c>
      <c r="U2413" s="9" t="n">
        <v>20926</v>
      </c>
      <c r="V2413" s="10" t="n">
        <v>81</v>
      </c>
      <c r="W2413" s="10" t="n">
        <v>320</v>
      </c>
      <c r="X2413" s="7" t="n">
        <v>18547</v>
      </c>
      <c r="Y2413" s="8" t="n">
        <v>-530</v>
      </c>
      <c r="Z2413" s="8" t="n">
        <v>-250</v>
      </c>
      <c r="AA2413" s="9" t="n">
        <v>20682</v>
      </c>
      <c r="AB2413" s="10" t="n">
        <v>217</v>
      </c>
      <c r="AC2413" s="10" t="n">
        <v>-385</v>
      </c>
      <c r="AD2413" s="7" t="n">
        <v>21954</v>
      </c>
      <c r="AE2413" s="8" t="n">
        <v>1216</v>
      </c>
      <c r="AF2413" s="8" t="n">
        <v>370</v>
      </c>
      <c r="AG2413" s="9" t="n">
        <v>22287</v>
      </c>
      <c r="AH2413" s="10" t="n">
        <v>525</v>
      </c>
      <c r="AI2413" s="10" t="n">
        <v>-166</v>
      </c>
      <c r="AJ2413" s="11" t="n">
        <v>21470</v>
      </c>
      <c r="AK2413" s="12" t="n">
        <v>205</v>
      </c>
      <c r="AL2413" s="12" t="n">
        <v>-904</v>
      </c>
      <c r="AM2413" s="13" t="n">
        <v>-3.7</v>
      </c>
      <c r="AN2413" s="13" t="n">
        <v>15.8</v>
      </c>
      <c r="AO2413" s="13" t="n">
        <v>-61</v>
      </c>
      <c r="AP2413" s="13" t="n">
        <v>138.7</v>
      </c>
    </row>
    <row r="2414">
      <c r="A2414" s="5" t="inlineStr">
        <is>
          <t>뷰티스킨</t>
        </is>
      </c>
      <c r="B2414" s="6" t="inlineStr">
        <is>
          <t>406820</t>
        </is>
      </c>
      <c r="C2414" s="6" t="inlineStr">
        <is>
          <t>연결</t>
        </is>
      </c>
      <c r="D2414" s="6" t="inlineStr">
        <is>
          <t>2026Q2</t>
        </is>
      </c>
      <c r="E2414" s="6" t="inlineStr"/>
      <c r="F2414" s="7" t="inlineStr"/>
      <c r="G2414" s="8" t="inlineStr"/>
      <c r="H2414" s="8" t="inlineStr"/>
      <c r="I2414" s="9" t="n">
        <v>19674</v>
      </c>
      <c r="J2414" s="10" t="n">
        <v>1423</v>
      </c>
      <c r="K2414" s="10" t="n">
        <v>1334</v>
      </c>
      <c r="L2414" s="7" t="n">
        <v>26898</v>
      </c>
      <c r="M2414" s="8" t="n">
        <v>1818</v>
      </c>
      <c r="N2414" s="8" t="n">
        <v>691</v>
      </c>
      <c r="O2414" s="9" t="n">
        <v>18185</v>
      </c>
      <c r="P2414" s="10" t="n">
        <v>-1277</v>
      </c>
      <c r="Q2414" s="10" t="n">
        <v>-1377</v>
      </c>
      <c r="R2414" s="7" t="n">
        <v>16114</v>
      </c>
      <c r="S2414" s="8" t="n">
        <v>-3177</v>
      </c>
      <c r="T2414" s="8" t="n">
        <v>-6324</v>
      </c>
      <c r="U2414" s="9" t="n">
        <v>18696</v>
      </c>
      <c r="V2414" s="10" t="n">
        <v>-777</v>
      </c>
      <c r="W2414" s="10" t="n">
        <v>-1456</v>
      </c>
      <c r="X2414" s="7" t="n">
        <v>14546</v>
      </c>
      <c r="Y2414" s="8" t="n">
        <v>-1725</v>
      </c>
      <c r="Z2414" s="8" t="n">
        <v>-2275</v>
      </c>
      <c r="AA2414" s="9" t="n">
        <v>11454</v>
      </c>
      <c r="AB2414" s="10" t="n">
        <v>123</v>
      </c>
      <c r="AC2414" s="10" t="n">
        <v>-256</v>
      </c>
      <c r="AD2414" s="7" t="n">
        <v>10226</v>
      </c>
      <c r="AE2414" s="8" t="n">
        <v>-780</v>
      </c>
      <c r="AF2414" s="8" t="n">
        <v>1839</v>
      </c>
      <c r="AG2414" s="9" t="n">
        <v>12516</v>
      </c>
      <c r="AH2414" s="10" t="n">
        <v>-1484</v>
      </c>
      <c r="AI2414" s="10" t="n">
        <v>-2033</v>
      </c>
      <c r="AJ2414" s="11" t="n">
        <v>17476</v>
      </c>
      <c r="AK2414" s="12" t="n">
        <v>413</v>
      </c>
      <c r="AL2414" s="12" t="n">
        <v>-2723</v>
      </c>
      <c r="AM2414" s="13" t="n">
        <v>39.6</v>
      </c>
      <c r="AN2414" s="13" t="n">
        <v>20.1</v>
      </c>
      <c r="AO2414" s="13" t="n">
        <v>127.8</v>
      </c>
      <c r="AP2414" s="13" t="n">
        <v>123.9</v>
      </c>
    </row>
    <row r="2415">
      <c r="A2415" s="5" t="inlineStr">
        <is>
          <t>꿈비</t>
        </is>
      </c>
      <c r="B2415" s="6" t="inlineStr">
        <is>
          <t>407400</t>
        </is>
      </c>
      <c r="C2415" s="6" t="inlineStr">
        <is>
          <t>연결</t>
        </is>
      </c>
      <c r="D2415" s="6" t="inlineStr">
        <is>
          <t>2026Q2</t>
        </is>
      </c>
      <c r="E2415" s="6" t="inlineStr"/>
      <c r="F2415" s="7" t="inlineStr"/>
      <c r="G2415" s="8" t="inlineStr"/>
      <c r="H2415" s="8" t="inlineStr"/>
      <c r="I2415" s="9" t="n">
        <v>9089</v>
      </c>
      <c r="J2415" s="10" t="n">
        <v>-176</v>
      </c>
      <c r="K2415" s="10" t="n">
        <v>-188</v>
      </c>
      <c r="L2415" s="7" t="n">
        <v>10689</v>
      </c>
      <c r="M2415" s="8" t="n">
        <v>290</v>
      </c>
      <c r="N2415" s="8" t="n">
        <v>-1656</v>
      </c>
      <c r="O2415" s="9" t="n">
        <v>9850</v>
      </c>
      <c r="P2415" s="10" t="n">
        <v>-128</v>
      </c>
      <c r="Q2415" s="10" t="n">
        <v>-561</v>
      </c>
      <c r="R2415" s="7" t="n">
        <v>9865</v>
      </c>
      <c r="S2415" s="8" t="n">
        <v>417</v>
      </c>
      <c r="T2415" s="8" t="n">
        <v>-254</v>
      </c>
      <c r="U2415" s="9" t="n">
        <v>11945</v>
      </c>
      <c r="V2415" s="10" t="n">
        <v>-241</v>
      </c>
      <c r="W2415" s="10" t="n">
        <v>-779</v>
      </c>
      <c r="X2415" s="7" t="n">
        <v>16167</v>
      </c>
      <c r="Y2415" s="8" t="n">
        <v>302</v>
      </c>
      <c r="Z2415" s="8" t="n">
        <v>889</v>
      </c>
      <c r="AA2415" s="9" t="n">
        <v>26466</v>
      </c>
      <c r="AB2415" s="10" t="n">
        <v>-3030</v>
      </c>
      <c r="AC2415" s="10" t="n">
        <v>-4745</v>
      </c>
      <c r="AD2415" s="7" t="n">
        <v>31816</v>
      </c>
      <c r="AE2415" s="8" t="n">
        <v>-1279</v>
      </c>
      <c r="AF2415" s="8" t="n">
        <v>-10437</v>
      </c>
      <c r="AG2415" s="9" t="n">
        <v>31591</v>
      </c>
      <c r="AH2415" s="10" t="n">
        <v>-239</v>
      </c>
      <c r="AI2415" s="10" t="n">
        <v>-385</v>
      </c>
      <c r="AJ2415" s="11" t="n">
        <v>35839</v>
      </c>
      <c r="AK2415" s="12" t="n">
        <v>210</v>
      </c>
      <c r="AL2415" s="12" t="n">
        <v>4028</v>
      </c>
      <c r="AM2415" s="13" t="n">
        <v>13.4</v>
      </c>
      <c r="AN2415" s="13" t="n">
        <v>121.7</v>
      </c>
      <c r="AO2415" s="13" t="n">
        <v>187.9</v>
      </c>
      <c r="AP2415" s="13" t="n">
        <v>-30.5</v>
      </c>
    </row>
    <row r="2416">
      <c r="A2416" s="5" t="inlineStr">
        <is>
          <t>한패스</t>
        </is>
      </c>
      <c r="B2416" s="6" t="inlineStr">
        <is>
          <t>408470</t>
        </is>
      </c>
      <c r="C2416" s="6" t="inlineStr">
        <is>
          <t>연결</t>
        </is>
      </c>
      <c r="D2416" s="6" t="inlineStr">
        <is>
          <t>2026Q2</t>
        </is>
      </c>
      <c r="E2416" s="6" t="inlineStr"/>
      <c r="F2416" s="7" t="inlineStr"/>
      <c r="G2416" s="8" t="inlineStr"/>
      <c r="H2416" s="8" t="inlineStr"/>
      <c r="I2416" s="9" t="inlineStr"/>
      <c r="J2416" s="10" t="inlineStr"/>
      <c r="K2416" s="10" t="inlineStr"/>
      <c r="L2416" s="7" t="inlineStr"/>
      <c r="M2416" s="8" t="inlineStr"/>
      <c r="N2416" s="8" t="inlineStr"/>
      <c r="O2416" s="9" t="inlineStr"/>
      <c r="P2416" s="10" t="inlineStr"/>
      <c r="Q2416" s="10" t="inlineStr"/>
      <c r="R2416" s="7" t="inlineStr"/>
      <c r="S2416" s="8" t="inlineStr"/>
      <c r="T2416" s="8" t="inlineStr"/>
      <c r="U2416" s="9" t="inlineStr"/>
      <c r="V2416" s="10" t="inlineStr"/>
      <c r="W2416" s="10" t="inlineStr"/>
      <c r="X2416" s="7" t="inlineStr"/>
      <c r="Y2416" s="8" t="inlineStr"/>
      <c r="Z2416" s="8" t="inlineStr"/>
      <c r="AA2416" s="9" t="inlineStr"/>
      <c r="AB2416" s="10" t="inlineStr"/>
      <c r="AC2416" s="10" t="inlineStr"/>
      <c r="AD2416" s="7" t="inlineStr"/>
      <c r="AE2416" s="8" t="inlineStr"/>
      <c r="AF2416" s="8" t="inlineStr"/>
      <c r="AG2416" s="9" t="n">
        <v>17056</v>
      </c>
      <c r="AH2416" s="10" t="n">
        <v>-747</v>
      </c>
      <c r="AI2416" s="10" t="n">
        <v>652</v>
      </c>
      <c r="AJ2416" s="11" t="n">
        <v>14416</v>
      </c>
      <c r="AK2416" s="12" t="n">
        <v>-3211</v>
      </c>
      <c r="AL2416" s="12" t="n">
        <v>-4878</v>
      </c>
      <c r="AM2416" s="13" t="n">
        <v>-15.5</v>
      </c>
      <c r="AN2416" s="13" t="inlineStr"/>
      <c r="AO2416" s="13" t="n">
        <v>-329.9</v>
      </c>
      <c r="AP2416" s="13" t="inlineStr"/>
    </row>
    <row r="2417">
      <c r="A2417" s="5" t="inlineStr">
        <is>
          <t>스튜디오미르</t>
        </is>
      </c>
      <c r="B2417" s="6" t="inlineStr">
        <is>
          <t>408900</t>
        </is>
      </c>
      <c r="C2417" s="6" t="inlineStr">
        <is>
          <t>연결</t>
        </is>
      </c>
      <c r="D2417" s="6" t="inlineStr">
        <is>
          <t>2026Q2</t>
        </is>
      </c>
      <c r="E2417" s="6" t="inlineStr"/>
      <c r="F2417" s="7" t="inlineStr"/>
      <c r="G2417" s="8" t="inlineStr"/>
      <c r="H2417" s="8" t="inlineStr"/>
      <c r="I2417" s="9" t="n">
        <v>4854</v>
      </c>
      <c r="J2417" s="10" t="n">
        <v>-354</v>
      </c>
      <c r="K2417" s="10" t="n">
        <v>-61</v>
      </c>
      <c r="L2417" s="7" t="n">
        <v>4621</v>
      </c>
      <c r="M2417" s="8" t="n">
        <v>-62</v>
      </c>
      <c r="N2417" s="8" t="n">
        <v>732</v>
      </c>
      <c r="O2417" s="9" t="n">
        <v>4162</v>
      </c>
      <c r="P2417" s="10" t="n">
        <v>-751</v>
      </c>
      <c r="Q2417" s="10" t="n">
        <v>-1278</v>
      </c>
      <c r="R2417" s="7" t="n">
        <v>3934</v>
      </c>
      <c r="S2417" s="8" t="n">
        <v>-735</v>
      </c>
      <c r="T2417" s="8" t="n">
        <v>716</v>
      </c>
      <c r="U2417" s="9" t="n">
        <v>3797</v>
      </c>
      <c r="V2417" s="10" t="n">
        <v>-759</v>
      </c>
      <c r="W2417" s="10" t="n">
        <v>-741</v>
      </c>
      <c r="X2417" s="7" t="n">
        <v>3593</v>
      </c>
      <c r="Y2417" s="8" t="n">
        <v>-965</v>
      </c>
      <c r="Z2417" s="8" t="n">
        <v>-1159</v>
      </c>
      <c r="AA2417" s="9" t="n">
        <v>3888</v>
      </c>
      <c r="AB2417" s="10" t="n">
        <v>-749</v>
      </c>
      <c r="AC2417" s="10" t="n">
        <v>-242</v>
      </c>
      <c r="AD2417" s="7" t="n">
        <v>5113</v>
      </c>
      <c r="AE2417" s="8" t="n">
        <v>327</v>
      </c>
      <c r="AF2417" s="8" t="n">
        <v>708</v>
      </c>
      <c r="AG2417" s="9" t="n">
        <v>3548</v>
      </c>
      <c r="AH2417" s="10" t="n">
        <v>-902</v>
      </c>
      <c r="AI2417" s="10" t="n">
        <v>-219</v>
      </c>
      <c r="AJ2417" s="11" t="n">
        <v>3869</v>
      </c>
      <c r="AK2417" s="12" t="n">
        <v>-430</v>
      </c>
      <c r="AL2417" s="12" t="n">
        <v>-317</v>
      </c>
      <c r="AM2417" s="13" t="n">
        <v>9</v>
      </c>
      <c r="AN2417" s="13" t="n">
        <v>7.7</v>
      </c>
      <c r="AO2417" s="13" t="n">
        <v>52.3</v>
      </c>
      <c r="AP2417" s="13" t="n">
        <v>55.4</v>
      </c>
    </row>
    <row r="2418">
      <c r="A2418" s="5" t="inlineStr">
        <is>
          <t>메쎄이상</t>
        </is>
      </c>
      <c r="B2418" s="6" t="inlineStr">
        <is>
          <t>408920</t>
        </is>
      </c>
      <c r="C2418" s="6" t="inlineStr">
        <is>
          <t>연결</t>
        </is>
      </c>
      <c r="D2418" s="6" t="inlineStr">
        <is>
          <t>2026Q2</t>
        </is>
      </c>
      <c r="E2418" s="6" t="inlineStr"/>
      <c r="F2418" s="7" t="inlineStr"/>
      <c r="G2418" s="8" t="inlineStr"/>
      <c r="H2418" s="8" t="inlineStr"/>
      <c r="I2418" s="9" t="n">
        <v>11945</v>
      </c>
      <c r="J2418" s="10" t="n">
        <v>3160</v>
      </c>
      <c r="K2418" s="10" t="n">
        <v>2647</v>
      </c>
      <c r="L2418" s="7" t="n">
        <v>13019</v>
      </c>
      <c r="M2418" s="8" t="n">
        <v>2963</v>
      </c>
      <c r="N2418" s="8" t="n">
        <v>2045</v>
      </c>
      <c r="O2418" s="9" t="n">
        <v>13806</v>
      </c>
      <c r="P2418" s="10" t="n">
        <v>3159</v>
      </c>
      <c r="Q2418" s="10" t="n">
        <v>2281</v>
      </c>
      <c r="R2418" s="7" t="n">
        <v>28307</v>
      </c>
      <c r="S2418" s="8" t="n">
        <v>7818</v>
      </c>
      <c r="T2418" s="8" t="n">
        <v>6506</v>
      </c>
      <c r="U2418" s="9" t="n">
        <v>13174</v>
      </c>
      <c r="V2418" s="10" t="n">
        <v>3291</v>
      </c>
      <c r="W2418" s="10" t="n">
        <v>2775</v>
      </c>
      <c r="X2418" s="7" t="n">
        <v>17436</v>
      </c>
      <c r="Y2418" s="8" t="n">
        <v>6469</v>
      </c>
      <c r="Z2418" s="8" t="n">
        <v>5263</v>
      </c>
      <c r="AA2418" s="9" t="n">
        <v>21946</v>
      </c>
      <c r="AB2418" s="10" t="n">
        <v>6340</v>
      </c>
      <c r="AC2418" s="10" t="n">
        <v>4900</v>
      </c>
      <c r="AD2418" s="7" t="n">
        <v>20266</v>
      </c>
      <c r="AE2418" s="8" t="n">
        <v>2897</v>
      </c>
      <c r="AF2418" s="8" t="n">
        <v>2536</v>
      </c>
      <c r="AG2418" s="9" t="n">
        <v>16566</v>
      </c>
      <c r="AH2418" s="10" t="n">
        <v>4959</v>
      </c>
      <c r="AI2418" s="10" t="n">
        <v>4539</v>
      </c>
      <c r="AJ2418" s="11" t="n">
        <v>19383</v>
      </c>
      <c r="AK2418" s="12" t="n">
        <v>6651</v>
      </c>
      <c r="AL2418" s="12" t="n">
        <v>5432</v>
      </c>
      <c r="AM2418" s="13" t="n">
        <v>17</v>
      </c>
      <c r="AN2418" s="13" t="n">
        <v>11.2</v>
      </c>
      <c r="AO2418" s="13" t="n">
        <v>34.1</v>
      </c>
      <c r="AP2418" s="13" t="n">
        <v>2.8</v>
      </c>
    </row>
    <row r="2419">
      <c r="A2419" s="5" t="inlineStr">
        <is>
          <t>샌즈랩</t>
        </is>
      </c>
      <c r="B2419" s="6" t="inlineStr">
        <is>
          <t>411080</t>
        </is>
      </c>
      <c r="C2419" s="6" t="inlineStr">
        <is>
          <t>연결</t>
        </is>
      </c>
      <c r="D2419" s="6" t="inlineStr">
        <is>
          <t>2026Q2</t>
        </is>
      </c>
      <c r="E2419" s="6" t="inlineStr"/>
      <c r="F2419" s="7" t="inlineStr"/>
      <c r="G2419" s="8" t="inlineStr"/>
      <c r="H2419" s="8" t="inlineStr"/>
      <c r="I2419" s="9" t="n">
        <v>974</v>
      </c>
      <c r="J2419" s="10" t="n">
        <v>-1736</v>
      </c>
      <c r="K2419" s="10" t="n">
        <v>-1416</v>
      </c>
      <c r="L2419" s="7" t="n">
        <v>661</v>
      </c>
      <c r="M2419" s="8" t="n">
        <v>-1268</v>
      </c>
      <c r="N2419" s="8" t="n">
        <v>-359</v>
      </c>
      <c r="O2419" s="9" t="n">
        <v>1793</v>
      </c>
      <c r="P2419" s="10" t="n">
        <v>-820</v>
      </c>
      <c r="Q2419" s="10" t="n">
        <v>-686</v>
      </c>
      <c r="R2419" s="7" t="n">
        <v>4869</v>
      </c>
      <c r="S2419" s="8" t="n">
        <v>115</v>
      </c>
      <c r="T2419" s="8" t="n">
        <v>160</v>
      </c>
      <c r="U2419" s="9" t="n">
        <v>714</v>
      </c>
      <c r="V2419" s="10" t="n">
        <v>-1447</v>
      </c>
      <c r="W2419" s="10" t="n">
        <v>-1537</v>
      </c>
      <c r="X2419" s="7" t="n">
        <v>3708</v>
      </c>
      <c r="Y2419" s="8" t="n">
        <v>-1404</v>
      </c>
      <c r="Z2419" s="8" t="n">
        <v>370</v>
      </c>
      <c r="AA2419" s="9" t="n">
        <v>802</v>
      </c>
      <c r="AB2419" s="10" t="n">
        <v>-1452</v>
      </c>
      <c r="AC2419" s="10" t="n">
        <v>-911</v>
      </c>
      <c r="AD2419" s="7" t="n">
        <v>6388</v>
      </c>
      <c r="AE2419" s="8" t="n">
        <v>2533</v>
      </c>
      <c r="AF2419" s="8" t="n">
        <v>1613</v>
      </c>
      <c r="AG2419" s="9" t="n">
        <v>1827</v>
      </c>
      <c r="AH2419" s="10" t="n">
        <v>-1009</v>
      </c>
      <c r="AI2419" s="10" t="n">
        <v>-638</v>
      </c>
      <c r="AJ2419" s="11" t="n">
        <v>1547</v>
      </c>
      <c r="AK2419" s="12" t="n">
        <v>-866</v>
      </c>
      <c r="AL2419" s="12" t="n">
        <v>-1861</v>
      </c>
      <c r="AM2419" s="13" t="n">
        <v>-15.3</v>
      </c>
      <c r="AN2419" s="13" t="n">
        <v>-58.3</v>
      </c>
      <c r="AO2419" s="13" t="n">
        <v>14.2</v>
      </c>
      <c r="AP2419" s="13" t="n">
        <v>38.3</v>
      </c>
    </row>
    <row r="2420">
      <c r="A2420" s="5" t="inlineStr">
        <is>
          <t>레이저쎌</t>
        </is>
      </c>
      <c r="B2420" s="6" t="inlineStr">
        <is>
          <t>412350</t>
        </is>
      </c>
      <c r="C2420" s="6" t="inlineStr">
        <is>
          <t>연결</t>
        </is>
      </c>
      <c r="D2420" s="6" t="inlineStr">
        <is>
          <t>2026Q2</t>
        </is>
      </c>
      <c r="E2420" s="6" t="inlineStr"/>
      <c r="F2420" s="7" t="inlineStr"/>
      <c r="G2420" s="8" t="inlineStr"/>
      <c r="H2420" s="8" t="inlineStr"/>
      <c r="I2420" s="9" t="n">
        <v>462</v>
      </c>
      <c r="J2420" s="10" t="n">
        <v>-1677</v>
      </c>
      <c r="K2420" s="10" t="n">
        <v>-1181</v>
      </c>
      <c r="L2420" s="7" t="n">
        <v>1102</v>
      </c>
      <c r="M2420" s="8" t="n">
        <v>-1987</v>
      </c>
      <c r="N2420" s="8" t="n">
        <v>-2188</v>
      </c>
      <c r="O2420" s="9" t="n">
        <v>2298</v>
      </c>
      <c r="P2420" s="10" t="n">
        <v>-2503</v>
      </c>
      <c r="Q2420" s="10" t="n">
        <v>-2761</v>
      </c>
      <c r="R2420" s="7" t="n">
        <v>154</v>
      </c>
      <c r="S2420" s="8" t="n">
        <v>-3042</v>
      </c>
      <c r="T2420" s="8" t="n">
        <v>-2367</v>
      </c>
      <c r="U2420" s="9" t="n">
        <v>1162</v>
      </c>
      <c r="V2420" s="10" t="n">
        <v>-2432</v>
      </c>
      <c r="W2420" s="10" t="n">
        <v>-2825</v>
      </c>
      <c r="X2420" s="7" t="n">
        <v>984</v>
      </c>
      <c r="Y2420" s="8" t="n">
        <v>-4171</v>
      </c>
      <c r="Z2420" s="8" t="n">
        <v>-4101</v>
      </c>
      <c r="AA2420" s="9" t="n">
        <v>213</v>
      </c>
      <c r="AB2420" s="10" t="n">
        <v>-3113</v>
      </c>
      <c r="AC2420" s="10" t="n">
        <v>-2878</v>
      </c>
      <c r="AD2420" s="7" t="n">
        <v>2325</v>
      </c>
      <c r="AE2420" s="8" t="n">
        <v>-3831</v>
      </c>
      <c r="AF2420" s="8" t="n">
        <v>-6403</v>
      </c>
      <c r="AG2420" s="9" t="n">
        <v>1194</v>
      </c>
      <c r="AH2420" s="10" t="n">
        <v>-1705</v>
      </c>
      <c r="AI2420" s="10" t="n">
        <v>-1700</v>
      </c>
      <c r="AJ2420" s="11" t="n">
        <v>2061</v>
      </c>
      <c r="AK2420" s="12" t="n">
        <v>-1051</v>
      </c>
      <c r="AL2420" s="12" t="n">
        <v>-3624</v>
      </c>
      <c r="AM2420" s="13" t="n">
        <v>72.59999999999999</v>
      </c>
      <c r="AN2420" s="13" t="n">
        <v>109.5</v>
      </c>
      <c r="AO2420" s="13" t="n">
        <v>38.4</v>
      </c>
      <c r="AP2420" s="13" t="n">
        <v>74.8</v>
      </c>
    </row>
    <row r="2421">
      <c r="A2421" s="5" t="inlineStr">
        <is>
          <t>제일엠앤에스</t>
        </is>
      </c>
      <c r="B2421" s="6" t="inlineStr">
        <is>
          <t>412540</t>
        </is>
      </c>
      <c r="C2421" s="6" t="inlineStr">
        <is>
          <t>연결</t>
        </is>
      </c>
      <c r="D2421" s="6" t="inlineStr">
        <is>
          <t>2026Q2</t>
        </is>
      </c>
      <c r="E2421" s="6" t="inlineStr">
        <is>
          <t>2024Q1</t>
        </is>
      </c>
      <c r="F2421" s="7" t="inlineStr"/>
      <c r="G2421" s="8" t="inlineStr"/>
      <c r="H2421" s="8" t="inlineStr"/>
      <c r="I2421" s="14" t="n">
        <v>74182</v>
      </c>
      <c r="J2421" s="15" t="n">
        <v>3258</v>
      </c>
      <c r="K2421" s="15" t="n">
        <v>3868</v>
      </c>
      <c r="L2421" s="7" t="n">
        <v>113412</v>
      </c>
      <c r="M2421" s="8" t="n">
        <v>2013</v>
      </c>
      <c r="N2421" s="8" t="n">
        <v>-31</v>
      </c>
      <c r="O2421" s="9" t="n">
        <v>97160</v>
      </c>
      <c r="P2421" s="10" t="n">
        <v>2977</v>
      </c>
      <c r="Q2421" s="10" t="n">
        <v>2378</v>
      </c>
      <c r="R2421" s="7" t="inlineStr"/>
      <c r="S2421" s="8" t="inlineStr"/>
      <c r="T2421" s="8" t="inlineStr"/>
      <c r="U2421" s="9" t="n">
        <v>142856</v>
      </c>
      <c r="V2421" s="10" t="n">
        <v>33905</v>
      </c>
      <c r="W2421" s="10" t="n">
        <v>25314</v>
      </c>
      <c r="X2421" s="7" t="n">
        <v>-22007</v>
      </c>
      <c r="Y2421" s="8" t="n">
        <v>-26960</v>
      </c>
      <c r="Z2421" s="8" t="n">
        <v>-26076</v>
      </c>
      <c r="AA2421" s="9" t="n">
        <v>118786</v>
      </c>
      <c r="AB2421" s="10" t="n">
        <v>-19886</v>
      </c>
      <c r="AC2421" s="10" t="n">
        <v>-21298</v>
      </c>
      <c r="AD2421" s="7" t="n">
        <v>-88370</v>
      </c>
      <c r="AE2421" s="8" t="n">
        <v>5699</v>
      </c>
      <c r="AF2421" s="8" t="n">
        <v>6358</v>
      </c>
      <c r="AG2421" s="9" t="n">
        <v>15459</v>
      </c>
      <c r="AH2421" s="10" t="n">
        <v>1282</v>
      </c>
      <c r="AI2421" s="10" t="n">
        <v>-913</v>
      </c>
      <c r="AJ2421" s="11" t="n">
        <v>111617</v>
      </c>
      <c r="AK2421" s="12" t="n">
        <v>3753</v>
      </c>
      <c r="AL2421" s="12" t="n">
        <v>4138</v>
      </c>
      <c r="AM2421" s="13" t="n">
        <v>622</v>
      </c>
      <c r="AN2421" s="13" t="n">
        <v>607.2</v>
      </c>
      <c r="AO2421" s="13" t="n">
        <v>192.7</v>
      </c>
      <c r="AP2421" s="13" t="n">
        <v>113.9</v>
      </c>
    </row>
    <row r="2422">
      <c r="A2422" s="5" t="inlineStr">
        <is>
          <t>엠오티</t>
        </is>
      </c>
      <c r="B2422" s="6" t="inlineStr">
        <is>
          <t>413390</t>
        </is>
      </c>
      <c r="C2422" s="6" t="inlineStr">
        <is>
          <t>연결</t>
        </is>
      </c>
      <c r="D2422" s="6" t="inlineStr">
        <is>
          <t>2026Q2</t>
        </is>
      </c>
      <c r="E2422" s="6" t="inlineStr"/>
      <c r="F2422" s="7" t="inlineStr"/>
      <c r="G2422" s="8" t="inlineStr"/>
      <c r="H2422" s="8" t="inlineStr"/>
      <c r="I2422" s="9" t="inlineStr"/>
      <c r="J2422" s="10" t="inlineStr"/>
      <c r="K2422" s="10" t="inlineStr"/>
      <c r="L2422" s="7" t="inlineStr"/>
      <c r="M2422" s="8" t="inlineStr"/>
      <c r="N2422" s="8" t="inlineStr"/>
      <c r="O2422" s="9" t="inlineStr"/>
      <c r="P2422" s="10" t="inlineStr"/>
      <c r="Q2422" s="10" t="inlineStr"/>
      <c r="R2422" s="7" t="inlineStr"/>
      <c r="S2422" s="8" t="inlineStr"/>
      <c r="T2422" s="8" t="inlineStr"/>
      <c r="U2422" s="9" t="n">
        <v>16351</v>
      </c>
      <c r="V2422" s="10" t="n">
        <v>611</v>
      </c>
      <c r="W2422" s="10" t="n">
        <v>210</v>
      </c>
      <c r="X2422" s="7" t="n">
        <v>9945</v>
      </c>
      <c r="Y2422" s="8" t="n">
        <v>-1041</v>
      </c>
      <c r="Z2422" s="8" t="n">
        <v>-970</v>
      </c>
      <c r="AA2422" s="9" t="n">
        <v>22912</v>
      </c>
      <c r="AB2422" s="10" t="n">
        <v>3851</v>
      </c>
      <c r="AC2422" s="10" t="n">
        <v>3018</v>
      </c>
      <c r="AD2422" s="7" t="n">
        <v>26246</v>
      </c>
      <c r="AE2422" s="8" t="n">
        <v>988</v>
      </c>
      <c r="AF2422" s="8" t="n">
        <v>1215</v>
      </c>
      <c r="AG2422" s="9" t="n">
        <v>11364</v>
      </c>
      <c r="AH2422" s="10" t="n">
        <v>152</v>
      </c>
      <c r="AI2422" s="10" t="n">
        <v>295</v>
      </c>
      <c r="AJ2422" s="11" t="n">
        <v>31139</v>
      </c>
      <c r="AK2422" s="12" t="n">
        <v>1204</v>
      </c>
      <c r="AL2422" s="12" t="n">
        <v>1087</v>
      </c>
      <c r="AM2422" s="13" t="n">
        <v>174</v>
      </c>
      <c r="AN2422" s="13" t="n">
        <v>213.1</v>
      </c>
      <c r="AO2422" s="13" t="n">
        <v>692.1</v>
      </c>
      <c r="AP2422" s="13" t="n">
        <v>215.7</v>
      </c>
    </row>
    <row r="2423">
      <c r="A2423" s="5" t="inlineStr">
        <is>
          <t>씨피시스템</t>
        </is>
      </c>
      <c r="B2423" s="6" t="inlineStr">
        <is>
          <t>413630</t>
        </is>
      </c>
      <c r="C2423" s="6" t="inlineStr">
        <is>
          <t>연결</t>
        </is>
      </c>
      <c r="D2423" s="6" t="inlineStr">
        <is>
          <t>2026Q2</t>
        </is>
      </c>
      <c r="E2423" s="6" t="inlineStr"/>
      <c r="F2423" s="7" t="inlineStr"/>
      <c r="G2423" s="8" t="inlineStr"/>
      <c r="H2423" s="8" t="inlineStr"/>
      <c r="I2423" s="9" t="n">
        <v>0</v>
      </c>
      <c r="J2423" s="10" t="n">
        <v>-20</v>
      </c>
      <c r="K2423" s="10" t="n">
        <v>59</v>
      </c>
      <c r="L2423" s="7" t="n">
        <v>5530</v>
      </c>
      <c r="M2423" s="8" t="n">
        <v>742</v>
      </c>
      <c r="N2423" s="8" t="n">
        <v>-15756</v>
      </c>
      <c r="O2423" s="9" t="n">
        <v>4915</v>
      </c>
      <c r="P2423" s="10" t="n">
        <v>447</v>
      </c>
      <c r="Q2423" s="10" t="n">
        <v>588</v>
      </c>
      <c r="R2423" s="7" t="n">
        <v>10846</v>
      </c>
      <c r="S2423" s="8" t="n">
        <v>2147</v>
      </c>
      <c r="T2423" s="8" t="n">
        <v>3015</v>
      </c>
      <c r="U2423" s="9" t="n">
        <v>4960</v>
      </c>
      <c r="V2423" s="10" t="n">
        <v>475</v>
      </c>
      <c r="W2423" s="10" t="n">
        <v>598</v>
      </c>
      <c r="X2423" s="7" t="n">
        <v>5203</v>
      </c>
      <c r="Y2423" s="8" t="n">
        <v>704</v>
      </c>
      <c r="Z2423" s="8" t="n">
        <v>292</v>
      </c>
      <c r="AA2423" s="9" t="n">
        <v>4618</v>
      </c>
      <c r="AB2423" s="10" t="n">
        <v>554</v>
      </c>
      <c r="AC2423" s="10" t="n">
        <v>694</v>
      </c>
      <c r="AD2423" s="7" t="n">
        <v>4273</v>
      </c>
      <c r="AE2423" s="8" t="n">
        <v>406</v>
      </c>
      <c r="AF2423" s="8" t="n">
        <v>418</v>
      </c>
      <c r="AG2423" s="9" t="n">
        <v>5209</v>
      </c>
      <c r="AH2423" s="10" t="n">
        <v>534</v>
      </c>
      <c r="AI2423" s="10" t="n">
        <v>1095</v>
      </c>
      <c r="AJ2423" s="11" t="n">
        <v>6847</v>
      </c>
      <c r="AK2423" s="12" t="n">
        <v>1873</v>
      </c>
      <c r="AL2423" s="12" t="n">
        <v>1788</v>
      </c>
      <c r="AM2423" s="13" t="n">
        <v>31.4</v>
      </c>
      <c r="AN2423" s="13" t="n">
        <v>31.6</v>
      </c>
      <c r="AO2423" s="13" t="n">
        <v>250.7</v>
      </c>
      <c r="AP2423" s="13" t="n">
        <v>166.1</v>
      </c>
    </row>
    <row r="2424">
      <c r="A2424" s="5" t="inlineStr">
        <is>
          <t>비아이매트릭스</t>
        </is>
      </c>
      <c r="B2424" s="6" t="inlineStr">
        <is>
          <t>413640</t>
        </is>
      </c>
      <c r="C2424" s="6" t="inlineStr">
        <is>
          <t>연결</t>
        </is>
      </c>
      <c r="D2424" s="6" t="inlineStr">
        <is>
          <t>2026Q2</t>
        </is>
      </c>
      <c r="E2424" s="6" t="inlineStr"/>
      <c r="F2424" s="7" t="inlineStr"/>
      <c r="G2424" s="8" t="inlineStr"/>
      <c r="H2424" s="8" t="inlineStr"/>
      <c r="I2424" s="9" t="n">
        <v>5094</v>
      </c>
      <c r="J2424" s="10" t="inlineStr"/>
      <c r="K2424" s="10" t="inlineStr"/>
      <c r="L2424" s="7" t="n">
        <v>7523</v>
      </c>
      <c r="M2424" s="8" t="inlineStr"/>
      <c r="N2424" s="8" t="inlineStr"/>
      <c r="O2424" s="9" t="n">
        <v>8986</v>
      </c>
      <c r="P2424" s="10" t="inlineStr"/>
      <c r="Q2424" s="10" t="inlineStr"/>
      <c r="R2424" s="7" t="n">
        <v>9263</v>
      </c>
      <c r="S2424" s="8" t="inlineStr"/>
      <c r="T2424" s="8" t="inlineStr"/>
      <c r="U2424" s="9" t="n">
        <v>7002</v>
      </c>
      <c r="V2424" s="10" t="inlineStr"/>
      <c r="W2424" s="10" t="inlineStr"/>
      <c r="X2424" s="7" t="n">
        <v>8078</v>
      </c>
      <c r="Y2424" s="8" t="inlineStr"/>
      <c r="Z2424" s="8" t="inlineStr"/>
      <c r="AA2424" s="9" t="n">
        <v>7259</v>
      </c>
      <c r="AB2424" s="10" t="inlineStr"/>
      <c r="AC2424" s="10" t="inlineStr"/>
      <c r="AD2424" s="7" t="n">
        <v>9109</v>
      </c>
      <c r="AE2424" s="8" t="inlineStr"/>
      <c r="AF2424" s="8" t="inlineStr"/>
      <c r="AG2424" s="9" t="n">
        <v>8524</v>
      </c>
      <c r="AH2424" s="10" t="n">
        <v>-236</v>
      </c>
      <c r="AI2424" s="10" t="n">
        <v>-58</v>
      </c>
      <c r="AJ2424" s="11" t="n">
        <v>7583</v>
      </c>
      <c r="AK2424" s="12" t="n">
        <v>-727</v>
      </c>
      <c r="AL2424" s="12" t="n">
        <v>-595</v>
      </c>
      <c r="AM2424" s="13" t="n">
        <v>-11</v>
      </c>
      <c r="AN2424" s="13" t="n">
        <v>-6.1</v>
      </c>
      <c r="AO2424" s="13" t="n">
        <v>-208.1</v>
      </c>
      <c r="AP2424" s="13" t="inlineStr"/>
    </row>
    <row r="2425">
      <c r="A2425" s="5" t="inlineStr">
        <is>
          <t>스튜디오삼익</t>
        </is>
      </c>
      <c r="B2425" s="6" t="inlineStr">
        <is>
          <t>415380</t>
        </is>
      </c>
      <c r="C2425" s="6" t="inlineStr">
        <is>
          <t>별도</t>
        </is>
      </c>
      <c r="D2425" s="6" t="inlineStr">
        <is>
          <t>2026Q2</t>
        </is>
      </c>
      <c r="E2425" s="6" t="inlineStr"/>
      <c r="F2425" s="7" t="inlineStr"/>
      <c r="G2425" s="8" t="inlineStr"/>
      <c r="H2425" s="8" t="inlineStr"/>
      <c r="I2425" s="9" t="n">
        <v>27681</v>
      </c>
      <c r="J2425" s="10" t="n">
        <v>1135</v>
      </c>
      <c r="K2425" s="10" t="n">
        <v>919</v>
      </c>
      <c r="L2425" s="7" t="n">
        <v>26608</v>
      </c>
      <c r="M2425" s="8" t="n">
        <v>1185</v>
      </c>
      <c r="N2425" s="8" t="n">
        <v>1149</v>
      </c>
      <c r="O2425" s="9" t="n">
        <v>25080</v>
      </c>
      <c r="P2425" s="10" t="n">
        <v>506</v>
      </c>
      <c r="Q2425" s="10" t="n">
        <v>539</v>
      </c>
      <c r="R2425" s="7" t="n">
        <v>28559</v>
      </c>
      <c r="S2425" s="8" t="n">
        <v>1162</v>
      </c>
      <c r="T2425" s="8" t="n">
        <v>1039</v>
      </c>
      <c r="U2425" s="9" t="n">
        <v>27805</v>
      </c>
      <c r="V2425" s="10" t="n">
        <v>1176</v>
      </c>
      <c r="W2425" s="10" t="n">
        <v>1029</v>
      </c>
      <c r="X2425" s="7" t="n">
        <v>22499</v>
      </c>
      <c r="Y2425" s="8" t="n">
        <v>407</v>
      </c>
      <c r="Z2425" s="8" t="n">
        <v>433</v>
      </c>
      <c r="AA2425" s="9" t="n">
        <v>21935</v>
      </c>
      <c r="AB2425" s="10" t="n">
        <v>551</v>
      </c>
      <c r="AC2425" s="10" t="n">
        <v>631</v>
      </c>
      <c r="AD2425" s="7" t="n">
        <v>23692</v>
      </c>
      <c r="AE2425" s="8" t="n">
        <v>695</v>
      </c>
      <c r="AF2425" s="8" t="n">
        <v>696</v>
      </c>
      <c r="AG2425" s="9" t="n">
        <v>22554</v>
      </c>
      <c r="AH2425" s="10" t="n">
        <v>512</v>
      </c>
      <c r="AI2425" s="10" t="n">
        <v>562</v>
      </c>
      <c r="AJ2425" s="11" t="n">
        <v>22304</v>
      </c>
      <c r="AK2425" s="12" t="n">
        <v>363</v>
      </c>
      <c r="AL2425" s="12" t="n">
        <v>415</v>
      </c>
      <c r="AM2425" s="13" t="n">
        <v>-1.1</v>
      </c>
      <c r="AN2425" s="13" t="n">
        <v>-0.9</v>
      </c>
      <c r="AO2425" s="13" t="n">
        <v>-29.1</v>
      </c>
      <c r="AP2425" s="13" t="n">
        <v>-10.8</v>
      </c>
    </row>
    <row r="2426">
      <c r="A2426" s="5" t="inlineStr">
        <is>
          <t>신성에스티</t>
        </is>
      </c>
      <c r="B2426" s="6" t="inlineStr">
        <is>
          <t>416180</t>
        </is>
      </c>
      <c r="C2426" s="6" t="inlineStr">
        <is>
          <t>연결</t>
        </is>
      </c>
      <c r="D2426" s="6" t="inlineStr">
        <is>
          <t>2026Q2</t>
        </is>
      </c>
      <c r="E2426" s="6" t="inlineStr"/>
      <c r="F2426" s="7" t="inlineStr"/>
      <c r="G2426" s="8" t="inlineStr"/>
      <c r="H2426" s="8" t="inlineStr"/>
      <c r="I2426" s="9" t="n">
        <v>30701</v>
      </c>
      <c r="J2426" s="10" t="n">
        <v>3152</v>
      </c>
      <c r="K2426" s="10" t="n">
        <v>2464</v>
      </c>
      <c r="L2426" s="7" t="n">
        <v>34662</v>
      </c>
      <c r="M2426" s="8" t="n">
        <v>3196</v>
      </c>
      <c r="N2426" s="8" t="n">
        <v>2196</v>
      </c>
      <c r="O2426" s="9" t="n">
        <v>33702</v>
      </c>
      <c r="P2426" s="10" t="n">
        <v>2233</v>
      </c>
      <c r="Q2426" s="10" t="n">
        <v>2015</v>
      </c>
      <c r="R2426" s="7" t="n">
        <v>27963</v>
      </c>
      <c r="S2426" s="8" t="n">
        <v>224</v>
      </c>
      <c r="T2426" s="8" t="n">
        <v>429</v>
      </c>
      <c r="U2426" s="9" t="n">
        <v>29421</v>
      </c>
      <c r="V2426" s="10" t="n">
        <v>2954</v>
      </c>
      <c r="W2426" s="10" t="n">
        <v>2201</v>
      </c>
      <c r="X2426" s="7" t="n">
        <v>23935</v>
      </c>
      <c r="Y2426" s="8" t="n">
        <v>185</v>
      </c>
      <c r="Z2426" s="8" t="n">
        <v>-230</v>
      </c>
      <c r="AA2426" s="9" t="n">
        <v>29597</v>
      </c>
      <c r="AB2426" s="10" t="n">
        <v>1379</v>
      </c>
      <c r="AC2426" s="10" t="n">
        <v>103</v>
      </c>
      <c r="AD2426" s="7" t="n">
        <v>33960</v>
      </c>
      <c r="AE2426" s="8" t="n">
        <v>-2247</v>
      </c>
      <c r="AF2426" s="8" t="n">
        <v>-1520</v>
      </c>
      <c r="AG2426" s="9" t="n">
        <v>50245</v>
      </c>
      <c r="AH2426" s="10" t="n">
        <v>-542</v>
      </c>
      <c r="AI2426" s="10" t="n">
        <v>-950</v>
      </c>
      <c r="AJ2426" s="11" t="n">
        <v>59874</v>
      </c>
      <c r="AK2426" s="12" t="n">
        <v>1672</v>
      </c>
      <c r="AL2426" s="12" t="n">
        <v>1229</v>
      </c>
      <c r="AM2426" s="13" t="n">
        <v>19.2</v>
      </c>
      <c r="AN2426" s="13" t="n">
        <v>150.2</v>
      </c>
      <c r="AO2426" s="13" t="n">
        <v>408.5</v>
      </c>
      <c r="AP2426" s="13" t="n">
        <v>803.8</v>
      </c>
    </row>
    <row r="2427">
      <c r="A2427" s="5" t="inlineStr">
        <is>
          <t>나노팀</t>
        </is>
      </c>
      <c r="B2427" s="6" t="inlineStr">
        <is>
          <t>417010</t>
        </is>
      </c>
      <c r="C2427" s="6" t="inlineStr">
        <is>
          <t>연결</t>
        </is>
      </c>
      <c r="D2427" s="6" t="inlineStr">
        <is>
          <t>2026Q2</t>
        </is>
      </c>
      <c r="E2427" s="6" t="inlineStr"/>
      <c r="F2427" s="7" t="inlineStr"/>
      <c r="G2427" s="8" t="inlineStr"/>
      <c r="H2427" s="8" t="inlineStr"/>
      <c r="I2427" s="9" t="n">
        <v>10181</v>
      </c>
      <c r="J2427" s="10" t="n">
        <v>519</v>
      </c>
      <c r="K2427" s="10" t="n">
        <v>362</v>
      </c>
      <c r="L2427" s="7" t="n">
        <v>8871</v>
      </c>
      <c r="M2427" s="8" t="n">
        <v>-506</v>
      </c>
      <c r="N2427" s="8" t="n">
        <v>-523</v>
      </c>
      <c r="O2427" s="9" t="n">
        <v>6791</v>
      </c>
      <c r="P2427" s="10" t="n">
        <v>-1388</v>
      </c>
      <c r="Q2427" s="10" t="n">
        <v>-1829</v>
      </c>
      <c r="R2427" s="7" t="n">
        <v>6549</v>
      </c>
      <c r="S2427" s="8" t="n">
        <v>-2387</v>
      </c>
      <c r="T2427" s="8" t="n">
        <v>-1716</v>
      </c>
      <c r="U2427" s="9" t="n">
        <v>9046</v>
      </c>
      <c r="V2427" s="10" t="n">
        <v>86</v>
      </c>
      <c r="W2427" s="10" t="n">
        <v>-458</v>
      </c>
      <c r="X2427" s="7" t="n">
        <v>10874</v>
      </c>
      <c r="Y2427" s="8" t="n">
        <v>62</v>
      </c>
      <c r="Z2427" s="8" t="n">
        <v>-2</v>
      </c>
      <c r="AA2427" s="9" t="n">
        <v>10311</v>
      </c>
      <c r="AB2427" s="10" t="n">
        <v>-469</v>
      </c>
      <c r="AC2427" s="10" t="n">
        <v>-406</v>
      </c>
      <c r="AD2427" s="7" t="n">
        <v>10093</v>
      </c>
      <c r="AE2427" s="8" t="n">
        <v>-180</v>
      </c>
      <c r="AF2427" s="8" t="n">
        <v>1864</v>
      </c>
      <c r="AG2427" s="9" t="n">
        <v>9841</v>
      </c>
      <c r="AH2427" s="10" t="n">
        <v>-639</v>
      </c>
      <c r="AI2427" s="10" t="n">
        <v>-981</v>
      </c>
      <c r="AJ2427" s="11" t="n">
        <v>14178</v>
      </c>
      <c r="AK2427" s="12" t="n">
        <v>1414</v>
      </c>
      <c r="AL2427" s="12" t="n">
        <v>727</v>
      </c>
      <c r="AM2427" s="13" t="n">
        <v>44.1</v>
      </c>
      <c r="AN2427" s="13" t="n">
        <v>30.4</v>
      </c>
      <c r="AO2427" s="13" t="n">
        <v>321.3</v>
      </c>
      <c r="AP2427" s="13" t="n">
        <v>2180.6</v>
      </c>
    </row>
    <row r="2428">
      <c r="A2428" s="5" t="inlineStr">
        <is>
          <t>니어스랩</t>
        </is>
      </c>
      <c r="B2428" s="6" t="inlineStr">
        <is>
          <t>417030</t>
        </is>
      </c>
      <c r="C2428" s="6" t="inlineStr">
        <is>
          <t>연결</t>
        </is>
      </c>
      <c r="D2428" s="6" t="inlineStr">
        <is>
          <t>2026Q2</t>
        </is>
      </c>
      <c r="E2428" s="6" t="inlineStr"/>
      <c r="F2428" s="7" t="inlineStr"/>
      <c r="G2428" s="8" t="inlineStr"/>
      <c r="H2428" s="8" t="inlineStr"/>
      <c r="I2428" s="9" t="inlineStr"/>
      <c r="J2428" s="10" t="inlineStr"/>
      <c r="K2428" s="10" t="inlineStr"/>
      <c r="L2428" s="7" t="inlineStr"/>
      <c r="M2428" s="8" t="inlineStr"/>
      <c r="N2428" s="8" t="inlineStr"/>
      <c r="O2428" s="9" t="inlineStr"/>
      <c r="P2428" s="10" t="inlineStr"/>
      <c r="Q2428" s="10" t="inlineStr"/>
      <c r="R2428" s="7" t="inlineStr"/>
      <c r="S2428" s="8" t="inlineStr"/>
      <c r="T2428" s="8" t="inlineStr"/>
      <c r="U2428" s="9" t="inlineStr"/>
      <c r="V2428" s="10" t="inlineStr"/>
      <c r="W2428" s="10" t="inlineStr"/>
      <c r="X2428" s="7" t="inlineStr"/>
      <c r="Y2428" s="8" t="inlineStr"/>
      <c r="Z2428" s="8" t="inlineStr"/>
      <c r="AA2428" s="9" t="inlineStr"/>
      <c r="AB2428" s="10" t="inlineStr"/>
      <c r="AC2428" s="10" t="inlineStr"/>
      <c r="AD2428" s="7" t="inlineStr"/>
      <c r="AE2428" s="8" t="inlineStr"/>
      <c r="AF2428" s="8" t="inlineStr"/>
      <c r="AG2428" s="9" t="inlineStr"/>
      <c r="AH2428" s="10" t="inlineStr"/>
      <c r="AI2428" s="10" t="inlineStr"/>
      <c r="AJ2428" s="11" t="n">
        <v>16922</v>
      </c>
      <c r="AK2428" s="12" t="n">
        <v>680</v>
      </c>
      <c r="AL2428" s="12" t="n">
        <v>-156</v>
      </c>
      <c r="AM2428" s="13" t="inlineStr"/>
      <c r="AN2428" s="13" t="inlineStr"/>
      <c r="AO2428" s="13" t="inlineStr"/>
      <c r="AP2428" s="13" t="inlineStr"/>
    </row>
    <row r="2429">
      <c r="A2429" s="5" t="inlineStr">
        <is>
          <t>핑거스토리</t>
        </is>
      </c>
      <c r="B2429" s="6" t="inlineStr">
        <is>
          <t>417180</t>
        </is>
      </c>
      <c r="C2429" s="6" t="inlineStr">
        <is>
          <t>연결</t>
        </is>
      </c>
      <c r="D2429" s="6" t="inlineStr">
        <is>
          <t>2026Q2</t>
        </is>
      </c>
      <c r="E2429" s="6" t="inlineStr"/>
      <c r="F2429" s="7" t="inlineStr"/>
      <c r="G2429" s="8" t="inlineStr"/>
      <c r="H2429" s="8" t="inlineStr"/>
      <c r="I2429" s="9" t="n">
        <v>4580</v>
      </c>
      <c r="J2429" s="10" t="n">
        <v>327</v>
      </c>
      <c r="K2429" s="10" t="n">
        <v>-121</v>
      </c>
      <c r="L2429" s="7" t="n">
        <v>4530</v>
      </c>
      <c r="M2429" s="8" t="n">
        <v>333</v>
      </c>
      <c r="N2429" s="8" t="n">
        <v>1086</v>
      </c>
      <c r="O2429" s="9" t="n">
        <v>4748</v>
      </c>
      <c r="P2429" s="10" t="n">
        <v>510</v>
      </c>
      <c r="Q2429" s="10" t="n">
        <v>115</v>
      </c>
      <c r="R2429" s="7" t="n">
        <v>4492</v>
      </c>
      <c r="S2429" s="8" t="n">
        <v>337</v>
      </c>
      <c r="T2429" s="8" t="n">
        <v>598</v>
      </c>
      <c r="U2429" s="9" t="n">
        <v>4334</v>
      </c>
      <c r="V2429" s="10" t="n">
        <v>274</v>
      </c>
      <c r="W2429" s="10" t="n">
        <v>534</v>
      </c>
      <c r="X2429" s="7" t="n">
        <v>4208</v>
      </c>
      <c r="Y2429" s="8" t="n">
        <v>168</v>
      </c>
      <c r="Z2429" s="8" t="n">
        <v>3908</v>
      </c>
      <c r="AA2429" s="9" t="n">
        <v>4382</v>
      </c>
      <c r="AB2429" s="10" t="n">
        <v>217</v>
      </c>
      <c r="AC2429" s="10" t="n">
        <v>116</v>
      </c>
      <c r="AD2429" s="7" t="n">
        <v>4376</v>
      </c>
      <c r="AE2429" s="8" t="n">
        <v>188</v>
      </c>
      <c r="AF2429" s="8" t="n">
        <v>-1046</v>
      </c>
      <c r="AG2429" s="9" t="n">
        <v>4994</v>
      </c>
      <c r="AH2429" s="10" t="n">
        <v>-108</v>
      </c>
      <c r="AI2429" s="10" t="n">
        <v>-136</v>
      </c>
      <c r="AJ2429" s="11" t="n">
        <v>4769</v>
      </c>
      <c r="AK2429" s="12" t="n">
        <v>-345</v>
      </c>
      <c r="AL2429" s="12" t="n">
        <v>592</v>
      </c>
      <c r="AM2429" s="13" t="n">
        <v>-4.5</v>
      </c>
      <c r="AN2429" s="13" t="n">
        <v>13.3</v>
      </c>
      <c r="AO2429" s="13" t="n">
        <v>-219.4</v>
      </c>
      <c r="AP2429" s="13" t="n">
        <v>-305.4</v>
      </c>
    </row>
    <row r="2430">
      <c r="A2430" s="5" t="inlineStr">
        <is>
          <t>LS머트리얼즈</t>
        </is>
      </c>
      <c r="B2430" s="6" t="inlineStr">
        <is>
          <t>417200</t>
        </is>
      </c>
      <c r="C2430" s="6" t="inlineStr">
        <is>
          <t>연결</t>
        </is>
      </c>
      <c r="D2430" s="6" t="inlineStr">
        <is>
          <t>2026Q2</t>
        </is>
      </c>
      <c r="E2430" s="6" t="inlineStr"/>
      <c r="F2430" s="7" t="inlineStr"/>
      <c r="G2430" s="8" t="inlineStr"/>
      <c r="H2430" s="8" t="inlineStr"/>
      <c r="I2430" s="9" t="n">
        <v>32625</v>
      </c>
      <c r="J2430" s="10" t="n">
        <v>1241</v>
      </c>
      <c r="K2430" s="10" t="n">
        <v>1673</v>
      </c>
      <c r="L2430" s="7" t="n">
        <v>38924</v>
      </c>
      <c r="M2430" s="8" t="n">
        <v>1947</v>
      </c>
      <c r="N2430" s="8" t="n">
        <v>1494</v>
      </c>
      <c r="O2430" s="9" t="n">
        <v>33307</v>
      </c>
      <c r="P2430" s="10" t="n">
        <v>1061</v>
      </c>
      <c r="Q2430" s="10" t="n">
        <v>1079</v>
      </c>
      <c r="R2430" s="7" t="n">
        <v>37220</v>
      </c>
      <c r="S2430" s="8" t="n">
        <v>1948</v>
      </c>
      <c r="T2430" s="8" t="n">
        <v>1445</v>
      </c>
      <c r="U2430" s="9" t="n">
        <v>35326</v>
      </c>
      <c r="V2430" s="10" t="n">
        <v>-1083</v>
      </c>
      <c r="W2430" s="10" t="n">
        <v>-1129</v>
      </c>
      <c r="X2430" s="7" t="n">
        <v>39193</v>
      </c>
      <c r="Y2430" s="8" t="n">
        <v>38</v>
      </c>
      <c r="Z2430" s="8" t="n">
        <v>-191</v>
      </c>
      <c r="AA2430" s="9" t="n">
        <v>38504</v>
      </c>
      <c r="AB2430" s="10" t="n">
        <v>-211</v>
      </c>
      <c r="AC2430" s="10" t="n">
        <v>-582</v>
      </c>
      <c r="AD2430" s="7" t="n">
        <v>40559</v>
      </c>
      <c r="AE2430" s="8" t="n">
        <v>1114</v>
      </c>
      <c r="AF2430" s="8" t="n">
        <v>895</v>
      </c>
      <c r="AG2430" s="9" t="n">
        <v>43052</v>
      </c>
      <c r="AH2430" s="10" t="n">
        <v>-1148</v>
      </c>
      <c r="AI2430" s="10" t="n">
        <v>-1739</v>
      </c>
      <c r="AJ2430" s="11" t="n">
        <v>51298</v>
      </c>
      <c r="AK2430" s="12" t="n">
        <v>533</v>
      </c>
      <c r="AL2430" s="12" t="n">
        <v>-287</v>
      </c>
      <c r="AM2430" s="13" t="n">
        <v>19.2</v>
      </c>
      <c r="AN2430" s="13" t="n">
        <v>30.9</v>
      </c>
      <c r="AO2430" s="13" t="n">
        <v>146.4</v>
      </c>
      <c r="AP2430" s="13" t="n">
        <v>1302.6</v>
      </c>
    </row>
    <row r="2431">
      <c r="A2431" s="5" t="inlineStr">
        <is>
          <t>제이아이테크</t>
        </is>
      </c>
      <c r="B2431" s="6" t="inlineStr">
        <is>
          <t>417500</t>
        </is>
      </c>
      <c r="C2431" s="6" t="inlineStr">
        <is>
          <t>연결</t>
        </is>
      </c>
      <c r="D2431" s="6" t="inlineStr">
        <is>
          <t>2026Q2</t>
        </is>
      </c>
      <c r="E2431" s="6" t="inlineStr"/>
      <c r="F2431" s="7" t="inlineStr"/>
      <c r="G2431" s="8" t="inlineStr"/>
      <c r="H2431" s="8" t="inlineStr"/>
      <c r="I2431" s="9" t="n">
        <v>13362</v>
      </c>
      <c r="J2431" s="10" t="n">
        <v>2051</v>
      </c>
      <c r="K2431" s="10" t="n">
        <v>1667</v>
      </c>
      <c r="L2431" s="7" t="n">
        <v>18000</v>
      </c>
      <c r="M2431" s="8" t="n">
        <v>3779</v>
      </c>
      <c r="N2431" s="8" t="n">
        <v>1480</v>
      </c>
      <c r="O2431" s="9" t="n">
        <v>13233</v>
      </c>
      <c r="P2431" s="10" t="n">
        <v>2135</v>
      </c>
      <c r="Q2431" s="10" t="n">
        <v>1128</v>
      </c>
      <c r="R2431" s="7" t="n">
        <v>12698</v>
      </c>
      <c r="S2431" s="8" t="n">
        <v>740</v>
      </c>
      <c r="T2431" s="8" t="n">
        <v>3805</v>
      </c>
      <c r="U2431" s="9" t="n">
        <v>12663</v>
      </c>
      <c r="V2431" s="10" t="n">
        <v>2507</v>
      </c>
      <c r="W2431" s="10" t="n">
        <v>2353</v>
      </c>
      <c r="X2431" s="7" t="n">
        <v>11507</v>
      </c>
      <c r="Y2431" s="8" t="n">
        <v>1781</v>
      </c>
      <c r="Z2431" s="8" t="n">
        <v>1391</v>
      </c>
      <c r="AA2431" s="9" t="n">
        <v>15922</v>
      </c>
      <c r="AB2431" s="10" t="n">
        <v>3153</v>
      </c>
      <c r="AC2431" s="10" t="n">
        <v>3462</v>
      </c>
      <c r="AD2431" s="7" t="n">
        <v>13459</v>
      </c>
      <c r="AE2431" s="8" t="n">
        <v>2956</v>
      </c>
      <c r="AF2431" s="8" t="n">
        <v>-533</v>
      </c>
      <c r="AG2431" s="9" t="n">
        <v>15437</v>
      </c>
      <c r="AH2431" s="10" t="n">
        <v>3900</v>
      </c>
      <c r="AI2431" s="10" t="n">
        <v>3806</v>
      </c>
      <c r="AJ2431" s="11" t="n">
        <v>21882</v>
      </c>
      <c r="AK2431" s="12" t="n">
        <v>6341</v>
      </c>
      <c r="AL2431" s="12" t="n">
        <v>3917</v>
      </c>
      <c r="AM2431" s="13" t="n">
        <v>41.8</v>
      </c>
      <c r="AN2431" s="13" t="n">
        <v>90.2</v>
      </c>
      <c r="AO2431" s="13" t="n">
        <v>62.6</v>
      </c>
      <c r="AP2431" s="13" t="n">
        <v>256</v>
      </c>
    </row>
    <row r="2432">
      <c r="A2432" s="5" t="inlineStr">
        <is>
          <t>트루엔</t>
        </is>
      </c>
      <c r="B2432" s="6" t="inlineStr">
        <is>
          <t>417790</t>
        </is>
      </c>
      <c r="C2432" s="6" t="inlineStr">
        <is>
          <t>별도</t>
        </is>
      </c>
      <c r="D2432" s="6" t="inlineStr">
        <is>
          <t>2026Q2</t>
        </is>
      </c>
      <c r="E2432" s="6" t="inlineStr"/>
      <c r="F2432" s="7" t="inlineStr"/>
      <c r="G2432" s="8" t="inlineStr"/>
      <c r="H2432" s="8" t="inlineStr"/>
      <c r="I2432" s="9" t="n">
        <v>9236</v>
      </c>
      <c r="J2432" s="10" t="n">
        <v>2271</v>
      </c>
      <c r="K2432" s="10" t="n">
        <v>2292</v>
      </c>
      <c r="L2432" s="7" t="n">
        <v>15081</v>
      </c>
      <c r="M2432" s="8" t="n">
        <v>3873</v>
      </c>
      <c r="N2432" s="8" t="n">
        <v>3634</v>
      </c>
      <c r="O2432" s="9" t="n">
        <v>13465</v>
      </c>
      <c r="P2432" s="10" t="n">
        <v>5263</v>
      </c>
      <c r="Q2432" s="10" t="n">
        <v>4634</v>
      </c>
      <c r="R2432" s="7" t="n">
        <v>15819</v>
      </c>
      <c r="S2432" s="8" t="n">
        <v>4050</v>
      </c>
      <c r="T2432" s="8" t="n">
        <v>3807</v>
      </c>
      <c r="U2432" s="9" t="n">
        <v>9891</v>
      </c>
      <c r="V2432" s="10" t="n">
        <v>2455</v>
      </c>
      <c r="W2432" s="10" t="n">
        <v>2446</v>
      </c>
      <c r="X2432" s="7" t="n">
        <v>14633</v>
      </c>
      <c r="Y2432" s="8" t="n">
        <v>4051</v>
      </c>
      <c r="Z2432" s="8" t="n">
        <v>3606</v>
      </c>
      <c r="AA2432" s="9" t="n">
        <v>11341</v>
      </c>
      <c r="AB2432" s="10" t="n">
        <v>3575</v>
      </c>
      <c r="AC2432" s="10" t="n">
        <v>2849</v>
      </c>
      <c r="AD2432" s="7" t="n">
        <v>13249</v>
      </c>
      <c r="AE2432" s="8" t="n">
        <v>3174</v>
      </c>
      <c r="AF2432" s="8" t="n">
        <v>3201</v>
      </c>
      <c r="AG2432" s="9" t="n">
        <v>7818</v>
      </c>
      <c r="AH2432" s="10" t="n">
        <v>1679</v>
      </c>
      <c r="AI2432" s="10" t="n">
        <v>1642</v>
      </c>
      <c r="AJ2432" s="11" t="n">
        <v>16666</v>
      </c>
      <c r="AK2432" s="12" t="n">
        <v>4454</v>
      </c>
      <c r="AL2432" s="12" t="n">
        <v>4019</v>
      </c>
      <c r="AM2432" s="13" t="n">
        <v>113.2</v>
      </c>
      <c r="AN2432" s="13" t="n">
        <v>13.9</v>
      </c>
      <c r="AO2432" s="13" t="n">
        <v>165.3</v>
      </c>
      <c r="AP2432" s="13" t="n">
        <v>9.9</v>
      </c>
    </row>
    <row r="2433">
      <c r="A2433" s="5" t="inlineStr">
        <is>
          <t>저스템</t>
        </is>
      </c>
      <c r="B2433" s="6" t="inlineStr">
        <is>
          <t>417840</t>
        </is>
      </c>
      <c r="C2433" s="6" t="inlineStr">
        <is>
          <t>연결</t>
        </is>
      </c>
      <c r="D2433" s="6" t="inlineStr">
        <is>
          <t>2026Q2</t>
        </is>
      </c>
      <c r="E2433" s="6" t="inlineStr"/>
      <c r="F2433" s="7" t="inlineStr"/>
      <c r="G2433" s="8" t="inlineStr"/>
      <c r="H2433" s="8" t="inlineStr"/>
      <c r="I2433" s="9" t="n">
        <v>4064</v>
      </c>
      <c r="J2433" s="10" t="n">
        <v>-4136</v>
      </c>
      <c r="K2433" s="10" t="n">
        <v>-4113</v>
      </c>
      <c r="L2433" s="7" t="n">
        <v>7672</v>
      </c>
      <c r="M2433" s="8" t="n">
        <v>-2046</v>
      </c>
      <c r="N2433" s="8" t="n">
        <v>-1573</v>
      </c>
      <c r="O2433" s="9" t="n">
        <v>15832</v>
      </c>
      <c r="P2433" s="10" t="n">
        <v>847</v>
      </c>
      <c r="Q2433" s="10" t="n">
        <v>430</v>
      </c>
      <c r="R2433" s="7" t="n">
        <v>11133</v>
      </c>
      <c r="S2433" s="8" t="n">
        <v>726</v>
      </c>
      <c r="T2433" s="8" t="n">
        <v>3094</v>
      </c>
      <c r="U2433" s="9" t="n">
        <v>10617</v>
      </c>
      <c r="V2433" s="10" t="n">
        <v>1646</v>
      </c>
      <c r="W2433" s="10" t="n">
        <v>1538</v>
      </c>
      <c r="X2433" s="7" t="n">
        <v>11305</v>
      </c>
      <c r="Y2433" s="8" t="n">
        <v>2078</v>
      </c>
      <c r="Z2433" s="8" t="n">
        <v>1609</v>
      </c>
      <c r="AA2433" s="9" t="n">
        <v>12109</v>
      </c>
      <c r="AB2433" s="10" t="n">
        <v>545</v>
      </c>
      <c r="AC2433" s="10" t="n">
        <v>760</v>
      </c>
      <c r="AD2433" s="7" t="n">
        <v>14258</v>
      </c>
      <c r="AE2433" s="8" t="n">
        <v>366</v>
      </c>
      <c r="AF2433" s="8" t="n">
        <v>-451</v>
      </c>
      <c r="AG2433" s="9" t="n">
        <v>17693</v>
      </c>
      <c r="AH2433" s="10" t="n">
        <v>4073</v>
      </c>
      <c r="AI2433" s="10" t="n">
        <v>4605</v>
      </c>
      <c r="AJ2433" s="11" t="n">
        <v>29324</v>
      </c>
      <c r="AK2433" s="12" t="n">
        <v>9276</v>
      </c>
      <c r="AL2433" s="12" t="n">
        <v>6790</v>
      </c>
      <c r="AM2433" s="13" t="n">
        <v>65.7</v>
      </c>
      <c r="AN2433" s="13" t="n">
        <v>159.4</v>
      </c>
      <c r="AO2433" s="13" t="n">
        <v>127.7</v>
      </c>
      <c r="AP2433" s="13" t="n">
        <v>346.4</v>
      </c>
    </row>
    <row r="2434">
      <c r="A2434" s="5" t="inlineStr">
        <is>
          <t>오브젠</t>
        </is>
      </c>
      <c r="B2434" s="6" t="inlineStr">
        <is>
          <t>417860</t>
        </is>
      </c>
      <c r="C2434" s="6" t="inlineStr">
        <is>
          <t>연결</t>
        </is>
      </c>
      <c r="D2434" s="6" t="inlineStr">
        <is>
          <t>2026Q2</t>
        </is>
      </c>
      <c r="E2434" s="6" t="inlineStr"/>
      <c r="F2434" s="7" t="inlineStr"/>
      <c r="G2434" s="8" t="inlineStr"/>
      <c r="H2434" s="8" t="inlineStr"/>
      <c r="I2434" s="9" t="inlineStr"/>
      <c r="J2434" s="10" t="n">
        <v>-2045</v>
      </c>
      <c r="K2434" s="10" t="n">
        <v>-1944</v>
      </c>
      <c r="L2434" s="7" t="inlineStr"/>
      <c r="M2434" s="8" t="n">
        <v>-1635</v>
      </c>
      <c r="N2434" s="8" t="n">
        <v>-1523</v>
      </c>
      <c r="O2434" s="9" t="inlineStr"/>
      <c r="P2434" s="10" t="n">
        <v>-166</v>
      </c>
      <c r="Q2434" s="10" t="n">
        <v>-64</v>
      </c>
      <c r="R2434" s="7" t="inlineStr"/>
      <c r="S2434" s="8" t="n">
        <v>-304</v>
      </c>
      <c r="T2434" s="8" t="n">
        <v>248</v>
      </c>
      <c r="U2434" s="9" t="inlineStr"/>
      <c r="V2434" s="10" t="n">
        <v>69</v>
      </c>
      <c r="W2434" s="10" t="n">
        <v>4</v>
      </c>
      <c r="X2434" s="7" t="inlineStr"/>
      <c r="Y2434" s="8" t="n">
        <v>744</v>
      </c>
      <c r="Z2434" s="8" t="n">
        <v>-10194</v>
      </c>
      <c r="AA2434" s="9" t="inlineStr"/>
      <c r="AB2434" s="10" t="n">
        <v>120</v>
      </c>
      <c r="AC2434" s="10" t="n">
        <v>6358</v>
      </c>
      <c r="AD2434" s="7" t="inlineStr"/>
      <c r="AE2434" s="8" t="n">
        <v>-665</v>
      </c>
      <c r="AF2434" s="8" t="n">
        <v>666</v>
      </c>
      <c r="AG2434" s="9" t="n">
        <v>13090</v>
      </c>
      <c r="AH2434" s="10" t="n">
        <v>-465</v>
      </c>
      <c r="AI2434" s="10" t="n">
        <v>-484</v>
      </c>
      <c r="AJ2434" s="11" t="n">
        <v>12510</v>
      </c>
      <c r="AK2434" s="12" t="n">
        <v>-650</v>
      </c>
      <c r="AL2434" s="12" t="n">
        <v>4323</v>
      </c>
      <c r="AM2434" s="13" t="n">
        <v>-4.4</v>
      </c>
      <c r="AN2434" s="13" t="inlineStr"/>
      <c r="AO2434" s="13" t="n">
        <v>-39.8</v>
      </c>
      <c r="AP2434" s="13" t="n">
        <v>-187.4</v>
      </c>
    </row>
    <row r="2435">
      <c r="A2435" s="5" t="inlineStr">
        <is>
          <t>모델솔루션</t>
        </is>
      </c>
      <c r="B2435" s="6" t="inlineStr">
        <is>
          <t>417970</t>
        </is>
      </c>
      <c r="C2435" s="6" t="inlineStr">
        <is>
          <t>별도</t>
        </is>
      </c>
      <c r="D2435" s="6" t="inlineStr">
        <is>
          <t>2026Q2</t>
        </is>
      </c>
      <c r="E2435" s="6" t="inlineStr"/>
      <c r="F2435" s="7" t="inlineStr"/>
      <c r="G2435" s="8" t="inlineStr"/>
      <c r="H2435" s="8" t="inlineStr"/>
      <c r="I2435" s="9" t="n">
        <v>15576</v>
      </c>
      <c r="J2435" s="10" t="n">
        <v>78</v>
      </c>
      <c r="K2435" s="10" t="n">
        <v>516</v>
      </c>
      <c r="L2435" s="7" t="n">
        <v>17048</v>
      </c>
      <c r="M2435" s="8" t="n">
        <v>1083</v>
      </c>
      <c r="N2435" s="8" t="n">
        <v>1207</v>
      </c>
      <c r="O2435" s="9" t="n">
        <v>16529</v>
      </c>
      <c r="P2435" s="10" t="n">
        <v>1664</v>
      </c>
      <c r="Q2435" s="10" t="n">
        <v>1629</v>
      </c>
      <c r="R2435" s="7" t="n">
        <v>18881</v>
      </c>
      <c r="S2435" s="8" t="n">
        <v>1362</v>
      </c>
      <c r="T2435" s="8" t="n">
        <v>1936</v>
      </c>
      <c r="U2435" s="9" t="n">
        <v>16413</v>
      </c>
      <c r="V2435" s="10" t="n">
        <v>512</v>
      </c>
      <c r="W2435" s="10" t="n">
        <v>605</v>
      </c>
      <c r="X2435" s="7" t="n">
        <v>18419</v>
      </c>
      <c r="Y2435" s="8" t="n">
        <v>1634</v>
      </c>
      <c r="Z2435" s="8" t="n">
        <v>1054</v>
      </c>
      <c r="AA2435" s="9" t="n">
        <v>20516</v>
      </c>
      <c r="AB2435" s="10" t="n">
        <v>3313</v>
      </c>
      <c r="AC2435" s="10" t="n">
        <v>3071</v>
      </c>
      <c r="AD2435" s="7" t="n">
        <v>21154</v>
      </c>
      <c r="AE2435" s="8" t="n">
        <v>2613</v>
      </c>
      <c r="AF2435" s="8" t="n">
        <v>2099</v>
      </c>
      <c r="AG2435" s="9" t="n">
        <v>18709</v>
      </c>
      <c r="AH2435" s="10" t="n">
        <v>748</v>
      </c>
      <c r="AI2435" s="10" t="n">
        <v>1966</v>
      </c>
      <c r="AJ2435" s="11" t="n">
        <v>20043</v>
      </c>
      <c r="AK2435" s="12" t="n">
        <v>1786</v>
      </c>
      <c r="AL2435" s="12" t="n">
        <v>1730</v>
      </c>
      <c r="AM2435" s="13" t="n">
        <v>7.1</v>
      </c>
      <c r="AN2435" s="13" t="n">
        <v>8.800000000000001</v>
      </c>
      <c r="AO2435" s="13" t="n">
        <v>138.8</v>
      </c>
      <c r="AP2435" s="13" t="n">
        <v>9.300000000000001</v>
      </c>
    </row>
    <row r="2436">
      <c r="A2436" s="5" t="inlineStr">
        <is>
          <t>시큐레터</t>
        </is>
      </c>
      <c r="B2436" s="6" t="inlineStr">
        <is>
          <t>418250</t>
        </is>
      </c>
      <c r="C2436" s="6" t="inlineStr">
        <is>
          <t>별도</t>
        </is>
      </c>
      <c r="D2436" s="6" t="inlineStr">
        <is>
          <t>2026Q2</t>
        </is>
      </c>
      <c r="E2436" s="6" t="inlineStr"/>
      <c r="F2436" s="7" t="inlineStr"/>
      <c r="G2436" s="8" t="inlineStr"/>
      <c r="H2436" s="8" t="inlineStr"/>
      <c r="I2436" s="9" t="n">
        <v>206</v>
      </c>
      <c r="J2436" s="10" t="n">
        <v>-2958</v>
      </c>
      <c r="K2436" s="10" t="n">
        <v>-2848</v>
      </c>
      <c r="L2436" s="7" t="n">
        <v>306</v>
      </c>
      <c r="M2436" s="8" t="n">
        <v>-1296</v>
      </c>
      <c r="N2436" s="8" t="n">
        <v>-1208</v>
      </c>
      <c r="O2436" s="9" t="n">
        <v>233</v>
      </c>
      <c r="P2436" s="10" t="n">
        <v>-1596</v>
      </c>
      <c r="Q2436" s="10" t="n">
        <v>-1602</v>
      </c>
      <c r="R2436" s="7" t="n">
        <v>667</v>
      </c>
      <c r="S2436" s="8" t="n">
        <v>-1414</v>
      </c>
      <c r="T2436" s="8" t="n">
        <v>-3778</v>
      </c>
      <c r="U2436" s="9" t="n">
        <v>163</v>
      </c>
      <c r="V2436" s="10" t="n">
        <v>-1847</v>
      </c>
      <c r="W2436" s="10" t="n">
        <v>-1832</v>
      </c>
      <c r="X2436" s="7" t="n">
        <v>163</v>
      </c>
      <c r="Y2436" s="8" t="n">
        <v>-1847</v>
      </c>
      <c r="Z2436" s="8" t="n">
        <v>-1832</v>
      </c>
      <c r="AA2436" s="9" t="n">
        <v>163</v>
      </c>
      <c r="AB2436" s="10" t="n">
        <v>-735</v>
      </c>
      <c r="AC2436" s="10" t="n">
        <v>-691</v>
      </c>
      <c r="AD2436" s="7" t="n">
        <v>680</v>
      </c>
      <c r="AE2436" s="8" t="n">
        <v>142</v>
      </c>
      <c r="AF2436" s="8" t="n">
        <v>67</v>
      </c>
      <c r="AG2436" s="9" t="n">
        <v>1298</v>
      </c>
      <c r="AH2436" s="10" t="n">
        <v>-242</v>
      </c>
      <c r="AI2436" s="10" t="n">
        <v>-243</v>
      </c>
      <c r="AJ2436" s="11" t="n">
        <v>1602</v>
      </c>
      <c r="AK2436" s="12" t="n">
        <v>-618</v>
      </c>
      <c r="AL2436" s="12" t="n">
        <v>-685</v>
      </c>
      <c r="AM2436" s="13" t="n">
        <v>23.4</v>
      </c>
      <c r="AN2436" s="13" t="n">
        <v>882.8</v>
      </c>
      <c r="AO2436" s="13" t="n">
        <v>-155.4</v>
      </c>
      <c r="AP2436" s="13" t="n">
        <v>66.5</v>
      </c>
    </row>
    <row r="2437">
      <c r="A2437" s="5" t="inlineStr">
        <is>
          <t>라온텍</t>
        </is>
      </c>
      <c r="B2437" s="6" t="inlineStr">
        <is>
          <t>418420</t>
        </is>
      </c>
      <c r="C2437" s="6" t="inlineStr">
        <is>
          <t>별도</t>
        </is>
      </c>
      <c r="D2437" s="6" t="inlineStr">
        <is>
          <t>2026Q2</t>
        </is>
      </c>
      <c r="E2437" s="6" t="inlineStr"/>
      <c r="F2437" s="7" t="inlineStr"/>
      <c r="G2437" s="8" t="inlineStr"/>
      <c r="H2437" s="8" t="inlineStr"/>
      <c r="I2437" s="9" t="n">
        <v>2747</v>
      </c>
      <c r="J2437" s="10" t="n">
        <v>-646</v>
      </c>
      <c r="K2437" s="10" t="n">
        <v>-493</v>
      </c>
      <c r="L2437" s="7" t="n">
        <v>1674</v>
      </c>
      <c r="M2437" s="8" t="n">
        <v>-1705</v>
      </c>
      <c r="N2437" s="8" t="n">
        <v>-1596</v>
      </c>
      <c r="O2437" s="9" t="n">
        <v>1515</v>
      </c>
      <c r="P2437" s="10" t="n">
        <v>-2758</v>
      </c>
      <c r="Q2437" s="10" t="n">
        <v>-2801</v>
      </c>
      <c r="R2437" s="7" t="n">
        <v>2967</v>
      </c>
      <c r="S2437" s="8" t="n">
        <v>-1880</v>
      </c>
      <c r="T2437" s="8" t="n">
        <v>-1588</v>
      </c>
      <c r="U2437" s="9" t="n">
        <v>739</v>
      </c>
      <c r="V2437" s="10" t="n">
        <v>-2606</v>
      </c>
      <c r="W2437" s="10" t="n">
        <v>-2631</v>
      </c>
      <c r="X2437" s="7" t="n">
        <v>4207</v>
      </c>
      <c r="Y2437" s="8" t="n">
        <v>303</v>
      </c>
      <c r="Z2437" s="8" t="n">
        <v>138</v>
      </c>
      <c r="AA2437" s="9" t="n">
        <v>1782</v>
      </c>
      <c r="AB2437" s="10" t="n">
        <v>-1497</v>
      </c>
      <c r="AC2437" s="10" t="n">
        <v>-1626</v>
      </c>
      <c r="AD2437" s="7" t="n">
        <v>2018</v>
      </c>
      <c r="AE2437" s="8" t="n">
        <v>-2010</v>
      </c>
      <c r="AF2437" s="8" t="n">
        <v>-2432</v>
      </c>
      <c r="AG2437" s="9" t="n">
        <v>918</v>
      </c>
      <c r="AH2437" s="10" t="n">
        <v>-3319</v>
      </c>
      <c r="AI2437" s="10" t="n">
        <v>-3573</v>
      </c>
      <c r="AJ2437" s="11" t="n">
        <v>1462</v>
      </c>
      <c r="AK2437" s="12" t="n">
        <v>-2972</v>
      </c>
      <c r="AL2437" s="12" t="n">
        <v>-3272</v>
      </c>
      <c r="AM2437" s="13" t="n">
        <v>59.3</v>
      </c>
      <c r="AN2437" s="13" t="n">
        <v>-65.2</v>
      </c>
      <c r="AO2437" s="13" t="n">
        <v>10.5</v>
      </c>
      <c r="AP2437" s="13" t="n">
        <v>-1080.9</v>
      </c>
    </row>
    <row r="2438">
      <c r="A2438" s="5" t="inlineStr">
        <is>
          <t>KT밀리의서재</t>
        </is>
      </c>
      <c r="B2438" s="6" t="inlineStr">
        <is>
          <t>418470</t>
        </is>
      </c>
      <c r="C2438" s="6" t="inlineStr">
        <is>
          <t>별도</t>
        </is>
      </c>
      <c r="D2438" s="6" t="inlineStr">
        <is>
          <t>2026Q2</t>
        </is>
      </c>
      <c r="E2438" s="6" t="inlineStr"/>
      <c r="F2438" s="7" t="inlineStr"/>
      <c r="G2438" s="8" t="inlineStr"/>
      <c r="H2438" s="8" t="inlineStr"/>
      <c r="I2438" s="9" t="n">
        <v>16821</v>
      </c>
      <c r="J2438" s="10" t="n">
        <v>2869</v>
      </c>
      <c r="K2438" s="10" t="n">
        <v>2673</v>
      </c>
      <c r="L2438" s="7" t="n">
        <v>17815</v>
      </c>
      <c r="M2438" s="8" t="n">
        <v>3701</v>
      </c>
      <c r="N2438" s="8" t="n">
        <v>4012</v>
      </c>
      <c r="O2438" s="9" t="n">
        <v>18486</v>
      </c>
      <c r="P2438" s="10" t="n">
        <v>3137</v>
      </c>
      <c r="Q2438" s="10" t="n">
        <v>3126</v>
      </c>
      <c r="R2438" s="7" t="n">
        <v>19477</v>
      </c>
      <c r="S2438" s="8" t="n">
        <v>1294</v>
      </c>
      <c r="T2438" s="8" t="n">
        <v>1692</v>
      </c>
      <c r="U2438" s="9" t="n">
        <v>20003</v>
      </c>
      <c r="V2438" s="10" t="n">
        <v>3719</v>
      </c>
      <c r="W2438" s="10" t="n">
        <v>3258</v>
      </c>
      <c r="X2438" s="7" t="n">
        <v>20691</v>
      </c>
      <c r="Y2438" s="8" t="n">
        <v>4741</v>
      </c>
      <c r="Z2438" s="8" t="n">
        <v>3894</v>
      </c>
      <c r="AA2438" s="9" t="n">
        <v>22792</v>
      </c>
      <c r="AB2438" s="10" t="n">
        <v>4284</v>
      </c>
      <c r="AC2438" s="10" t="n">
        <v>2984</v>
      </c>
      <c r="AD2438" s="7" t="n">
        <v>24704</v>
      </c>
      <c r="AE2438" s="8" t="n">
        <v>1627</v>
      </c>
      <c r="AF2438" s="8" t="n">
        <v>5626</v>
      </c>
      <c r="AG2438" s="9" t="n">
        <v>23932</v>
      </c>
      <c r="AH2438" s="10" t="n">
        <v>3901</v>
      </c>
      <c r="AI2438" s="10" t="n">
        <v>3914</v>
      </c>
      <c r="AJ2438" s="11" t="n">
        <v>23846</v>
      </c>
      <c r="AK2438" s="12" t="n">
        <v>3392</v>
      </c>
      <c r="AL2438" s="12" t="n">
        <v>2718</v>
      </c>
      <c r="AM2438" s="13" t="n">
        <v>-0.4</v>
      </c>
      <c r="AN2438" s="13" t="n">
        <v>15.2</v>
      </c>
      <c r="AO2438" s="13" t="n">
        <v>-13</v>
      </c>
      <c r="AP2438" s="13" t="n">
        <v>-28.5</v>
      </c>
    </row>
    <row r="2439">
      <c r="A2439" s="5" t="inlineStr">
        <is>
          <t>제이오</t>
        </is>
      </c>
      <c r="B2439" s="6" t="inlineStr">
        <is>
          <t>418550</t>
        </is>
      </c>
      <c r="C2439" s="6" t="inlineStr">
        <is>
          <t>연결</t>
        </is>
      </c>
      <c r="D2439" s="6" t="inlineStr">
        <is>
          <t>2026Q2</t>
        </is>
      </c>
      <c r="E2439" s="6" t="inlineStr"/>
      <c r="F2439" s="7" t="inlineStr"/>
      <c r="G2439" s="8" t="inlineStr"/>
      <c r="H2439" s="8" t="inlineStr"/>
      <c r="I2439" s="9" t="n">
        <v>27339</v>
      </c>
      <c r="J2439" s="10" t="n">
        <v>1210</v>
      </c>
      <c r="K2439" s="10" t="n">
        <v>1578</v>
      </c>
      <c r="L2439" s="7" t="n">
        <v>20430</v>
      </c>
      <c r="M2439" s="8" t="n">
        <v>439</v>
      </c>
      <c r="N2439" s="8" t="n">
        <v>262</v>
      </c>
      <c r="O2439" s="9" t="n">
        <v>20318</v>
      </c>
      <c r="P2439" s="10" t="n">
        <v>-675</v>
      </c>
      <c r="Q2439" s="10" t="n">
        <v>-952</v>
      </c>
      <c r="R2439" s="7" t="n">
        <v>14787</v>
      </c>
      <c r="S2439" s="8" t="n">
        <v>-6431</v>
      </c>
      <c r="T2439" s="8" t="n">
        <v>-9762</v>
      </c>
      <c r="U2439" s="9" t="n">
        <v>10996</v>
      </c>
      <c r="V2439" s="10" t="n">
        <v>170</v>
      </c>
      <c r="W2439" s="10" t="n">
        <v>392</v>
      </c>
      <c r="X2439" s="7" t="n">
        <v>18949</v>
      </c>
      <c r="Y2439" s="8" t="n">
        <v>52</v>
      </c>
      <c r="Z2439" s="8" t="n">
        <v>-4110</v>
      </c>
      <c r="AA2439" s="9" t="n">
        <v>15858</v>
      </c>
      <c r="AB2439" s="10" t="n">
        <v>-661</v>
      </c>
      <c r="AC2439" s="10" t="n">
        <v>-174</v>
      </c>
      <c r="AD2439" s="7" t="n">
        <v>9371</v>
      </c>
      <c r="AE2439" s="8" t="n">
        <v>-3793</v>
      </c>
      <c r="AF2439" s="8" t="n">
        <v>-3552</v>
      </c>
      <c r="AG2439" s="9" t="n">
        <v>7172</v>
      </c>
      <c r="AH2439" s="10" t="n">
        <v>-1962</v>
      </c>
      <c r="AI2439" s="10" t="n">
        <v>-394</v>
      </c>
      <c r="AJ2439" s="11" t="n">
        <v>8935</v>
      </c>
      <c r="AK2439" s="12" t="n">
        <v>-1552</v>
      </c>
      <c r="AL2439" s="12" t="n">
        <v>-2476</v>
      </c>
      <c r="AM2439" s="13" t="n">
        <v>24.6</v>
      </c>
      <c r="AN2439" s="13" t="n">
        <v>-52.8</v>
      </c>
      <c r="AO2439" s="13" t="n">
        <v>20.9</v>
      </c>
      <c r="AP2439" s="13" t="n">
        <v>-3084.6</v>
      </c>
    </row>
    <row r="2440">
      <c r="A2440" s="5" t="inlineStr">
        <is>
          <t>E8</t>
        </is>
      </c>
      <c r="B2440" s="6" t="inlineStr">
        <is>
          <t>418620</t>
        </is>
      </c>
      <c r="C2440" s="6" t="inlineStr">
        <is>
          <t>연결</t>
        </is>
      </c>
      <c r="D2440" s="6" t="inlineStr">
        <is>
          <t>2026Q2</t>
        </is>
      </c>
      <c r="E2440" s="6" t="inlineStr"/>
      <c r="F2440" s="7" t="inlineStr"/>
      <c r="G2440" s="8" t="inlineStr"/>
      <c r="H2440" s="8" t="inlineStr"/>
      <c r="I2440" s="9" t="n">
        <v>424</v>
      </c>
      <c r="J2440" s="10" t="n">
        <v>-3623</v>
      </c>
      <c r="K2440" s="10" t="n">
        <v>-4378</v>
      </c>
      <c r="L2440" s="7" t="n">
        <v>488</v>
      </c>
      <c r="M2440" s="8" t="n">
        <v>-1822</v>
      </c>
      <c r="N2440" s="8" t="n">
        <v>-3251</v>
      </c>
      <c r="O2440" s="9" t="n">
        <v>711</v>
      </c>
      <c r="P2440" s="10" t="n">
        <v>-2422</v>
      </c>
      <c r="Q2440" s="10" t="n">
        <v>-2168</v>
      </c>
      <c r="R2440" s="7" t="n">
        <v>662</v>
      </c>
      <c r="S2440" s="8" t="n">
        <v>-2732</v>
      </c>
      <c r="T2440" s="8" t="n">
        <v>-976</v>
      </c>
      <c r="U2440" s="9" t="n">
        <v>731</v>
      </c>
      <c r="V2440" s="10" t="n">
        <v>-3082</v>
      </c>
      <c r="W2440" s="10" t="n">
        <v>-3197</v>
      </c>
      <c r="X2440" s="7" t="n">
        <v>202</v>
      </c>
      <c r="Y2440" s="8" t="n">
        <v>-2475</v>
      </c>
      <c r="Z2440" s="8" t="n">
        <v>-2567</v>
      </c>
      <c r="AA2440" s="9" t="n">
        <v>443</v>
      </c>
      <c r="AB2440" s="10" t="n">
        <v>-2441</v>
      </c>
      <c r="AC2440" s="10" t="n">
        <v>-2617</v>
      </c>
      <c r="AD2440" s="7" t="n">
        <v>279</v>
      </c>
      <c r="AE2440" s="8" t="n">
        <v>-3248</v>
      </c>
      <c r="AF2440" s="8" t="n">
        <v>-3046</v>
      </c>
      <c r="AG2440" s="9" t="n">
        <v>367</v>
      </c>
      <c r="AH2440" s="10" t="n">
        <v>-2657</v>
      </c>
      <c r="AI2440" s="10" t="n">
        <v>-2779</v>
      </c>
      <c r="AJ2440" s="11" t="n">
        <v>793</v>
      </c>
      <c r="AK2440" s="12" t="n">
        <v>-2521</v>
      </c>
      <c r="AL2440" s="12" t="n">
        <v>-2606</v>
      </c>
      <c r="AM2440" s="13" t="n">
        <v>116.1</v>
      </c>
      <c r="AN2440" s="13" t="n">
        <v>292.6</v>
      </c>
      <c r="AO2440" s="13" t="n">
        <v>5.1</v>
      </c>
      <c r="AP2440" s="13" t="n">
        <v>-1.9</v>
      </c>
    </row>
    <row r="2441">
      <c r="A2441" s="5" t="inlineStr">
        <is>
          <t>삼기에너지솔루션즈</t>
        </is>
      </c>
      <c r="B2441" s="6" t="inlineStr">
        <is>
          <t>419050</t>
        </is>
      </c>
      <c r="C2441" s="6" t="inlineStr">
        <is>
          <t>연결</t>
        </is>
      </c>
      <c r="D2441" s="6" t="inlineStr">
        <is>
          <t>2026Q2</t>
        </is>
      </c>
      <c r="E2441" s="6" t="inlineStr"/>
      <c r="F2441" s="7" t="inlineStr"/>
      <c r="G2441" s="8" t="inlineStr"/>
      <c r="H2441" s="8" t="inlineStr"/>
      <c r="I2441" s="9" t="n">
        <v>19404</v>
      </c>
      <c r="J2441" s="10" t="n">
        <v>-1538</v>
      </c>
      <c r="K2441" s="10" t="n">
        <v>-611</v>
      </c>
      <c r="L2441" s="7" t="n">
        <v>19242</v>
      </c>
      <c r="M2441" s="8" t="n">
        <v>-3645</v>
      </c>
      <c r="N2441" s="8" t="n">
        <v>136</v>
      </c>
      <c r="O2441" s="9" t="n">
        <v>29583</v>
      </c>
      <c r="P2441" s="10" t="n">
        <v>-511</v>
      </c>
      <c r="Q2441" s="10" t="n">
        <v>-4866</v>
      </c>
      <c r="R2441" s="7" t="n">
        <v>30478</v>
      </c>
      <c r="S2441" s="8" t="n">
        <v>-568</v>
      </c>
      <c r="T2441" s="8" t="n">
        <v>531</v>
      </c>
      <c r="U2441" s="9" t="n">
        <v>29548</v>
      </c>
      <c r="V2441" s="10" t="n">
        <v>2082</v>
      </c>
      <c r="W2441" s="10" t="n">
        <v>-560</v>
      </c>
      <c r="X2441" s="7" t="n">
        <v>35844</v>
      </c>
      <c r="Y2441" s="8" t="n">
        <v>3566</v>
      </c>
      <c r="Z2441" s="8" t="n">
        <v>1098</v>
      </c>
      <c r="AA2441" s="9" t="n">
        <v>39242</v>
      </c>
      <c r="AB2441" s="10" t="n">
        <v>2877</v>
      </c>
      <c r="AC2441" s="10" t="n">
        <v>721</v>
      </c>
      <c r="AD2441" s="7" t="n">
        <v>39595</v>
      </c>
      <c r="AE2441" s="8" t="n">
        <v>-3092</v>
      </c>
      <c r="AF2441" s="8" t="n">
        <v>-12332</v>
      </c>
      <c r="AG2441" s="9" t="n">
        <v>48944</v>
      </c>
      <c r="AH2441" s="10" t="n">
        <v>1141</v>
      </c>
      <c r="AI2441" s="10" t="n">
        <v>467</v>
      </c>
      <c r="AJ2441" s="11" t="n">
        <v>64308</v>
      </c>
      <c r="AK2441" s="12" t="n">
        <v>3807</v>
      </c>
      <c r="AL2441" s="12" t="n">
        <v>4716</v>
      </c>
      <c r="AM2441" s="13" t="n">
        <v>31.4</v>
      </c>
      <c r="AN2441" s="13" t="n">
        <v>79.40000000000001</v>
      </c>
      <c r="AO2441" s="13" t="n">
        <v>233.7</v>
      </c>
      <c r="AP2441" s="13" t="n">
        <v>6.8</v>
      </c>
    </row>
    <row r="2442">
      <c r="A2442" s="5" t="inlineStr">
        <is>
          <t>엔젯</t>
        </is>
      </c>
      <c r="B2442" s="6" t="inlineStr">
        <is>
          <t>419080</t>
        </is>
      </c>
      <c r="C2442" s="6" t="inlineStr">
        <is>
          <t>연결</t>
        </is>
      </c>
      <c r="D2442" s="6" t="inlineStr">
        <is>
          <t>2026Q2</t>
        </is>
      </c>
      <c r="E2442" s="6" t="inlineStr"/>
      <c r="F2442" s="7" t="inlineStr"/>
      <c r="G2442" s="8" t="inlineStr"/>
      <c r="H2442" s="8" t="inlineStr"/>
      <c r="I2442" s="9" t="n">
        <v>2004</v>
      </c>
      <c r="J2442" s="10" t="n">
        <v>-1206</v>
      </c>
      <c r="K2442" s="10" t="n">
        <v>498</v>
      </c>
      <c r="L2442" s="7" t="n">
        <v>1834</v>
      </c>
      <c r="M2442" s="8" t="n">
        <v>-1594</v>
      </c>
      <c r="N2442" s="8" t="n">
        <v>-1077</v>
      </c>
      <c r="O2442" s="9" t="n">
        <v>1988</v>
      </c>
      <c r="P2442" s="10" t="n">
        <v>-1214</v>
      </c>
      <c r="Q2442" s="10" t="n">
        <v>-1247</v>
      </c>
      <c r="R2442" s="7" t="n">
        <v>434</v>
      </c>
      <c r="S2442" s="8" t="n">
        <v>-2520</v>
      </c>
      <c r="T2442" s="8" t="n">
        <v>-1653</v>
      </c>
      <c r="U2442" s="9" t="n">
        <v>2069</v>
      </c>
      <c r="V2442" s="10" t="n">
        <v>-1239</v>
      </c>
      <c r="W2442" s="10" t="n">
        <v>-1013</v>
      </c>
      <c r="X2442" s="7" t="n">
        <v>1932</v>
      </c>
      <c r="Y2442" s="8" t="n">
        <v>-1344</v>
      </c>
      <c r="Z2442" s="8" t="n">
        <v>-2497</v>
      </c>
      <c r="AA2442" s="9" t="n">
        <v>882</v>
      </c>
      <c r="AB2442" s="10" t="n">
        <v>-1928</v>
      </c>
      <c r="AC2442" s="10" t="n">
        <v>-1615</v>
      </c>
      <c r="AD2442" s="7" t="n">
        <v>532</v>
      </c>
      <c r="AE2442" s="8" t="n">
        <v>-1769</v>
      </c>
      <c r="AF2442" s="8" t="n">
        <v>-2038</v>
      </c>
      <c r="AG2442" s="9" t="n">
        <v>4365</v>
      </c>
      <c r="AH2442" s="10" t="n">
        <v>-1361</v>
      </c>
      <c r="AI2442" s="10" t="n">
        <v>-1117</v>
      </c>
      <c r="AJ2442" s="11" t="n">
        <v>4074</v>
      </c>
      <c r="AK2442" s="12" t="n">
        <v>107</v>
      </c>
      <c r="AL2442" s="12" t="n">
        <v>-1204</v>
      </c>
      <c r="AM2442" s="13" t="n">
        <v>-6.7</v>
      </c>
      <c r="AN2442" s="13" t="n">
        <v>110.9</v>
      </c>
      <c r="AO2442" s="13" t="n">
        <v>107.9</v>
      </c>
      <c r="AP2442" s="13" t="n">
        <v>108</v>
      </c>
    </row>
    <row r="2443">
      <c r="A2443" s="5" t="inlineStr">
        <is>
          <t>산돌</t>
        </is>
      </c>
      <c r="B2443" s="6" t="inlineStr">
        <is>
          <t>419120</t>
        </is>
      </c>
      <c r="C2443" s="6" t="inlineStr">
        <is>
          <t>연결</t>
        </is>
      </c>
      <c r="D2443" s="6" t="inlineStr">
        <is>
          <t>2026Q2</t>
        </is>
      </c>
      <c r="E2443" s="6" t="inlineStr"/>
      <c r="F2443" s="7" t="inlineStr"/>
      <c r="G2443" s="8" t="inlineStr"/>
      <c r="H2443" s="8" t="inlineStr"/>
      <c r="I2443" s="9" t="n">
        <v>3239</v>
      </c>
      <c r="J2443" s="10" t="n">
        <v>114</v>
      </c>
      <c r="K2443" s="10" t="n">
        <v>566</v>
      </c>
      <c r="L2443" s="7" t="n">
        <v>3482</v>
      </c>
      <c r="M2443" s="8" t="n">
        <v>347</v>
      </c>
      <c r="N2443" s="8" t="n">
        <v>309</v>
      </c>
      <c r="O2443" s="9" t="n">
        <v>4529</v>
      </c>
      <c r="P2443" s="10" t="n">
        <v>1074</v>
      </c>
      <c r="Q2443" s="10" t="n">
        <v>603</v>
      </c>
      <c r="R2443" s="7" t="n">
        <v>4499</v>
      </c>
      <c r="S2443" s="8" t="n">
        <v>1327</v>
      </c>
      <c r="T2443" s="8" t="n">
        <v>3532</v>
      </c>
      <c r="U2443" s="9" t="n">
        <v>5168</v>
      </c>
      <c r="V2443" s="10" t="n">
        <v>1830</v>
      </c>
      <c r="W2443" s="10" t="n">
        <v>1565</v>
      </c>
      <c r="X2443" s="7" t="n">
        <v>4932</v>
      </c>
      <c r="Y2443" s="8" t="n">
        <v>1063</v>
      </c>
      <c r="Z2443" s="8" t="n">
        <v>1236</v>
      </c>
      <c r="AA2443" s="9" t="n">
        <v>4818</v>
      </c>
      <c r="AB2443" s="10" t="n">
        <v>335</v>
      </c>
      <c r="AC2443" s="10" t="n">
        <v>1139</v>
      </c>
      <c r="AD2443" s="7" t="n">
        <v>5050</v>
      </c>
      <c r="AE2443" s="8" t="n">
        <v>1227</v>
      </c>
      <c r="AF2443" s="8" t="n">
        <v>-298</v>
      </c>
      <c r="AG2443" s="9" t="n">
        <v>5286</v>
      </c>
      <c r="AH2443" s="10" t="n">
        <v>1703</v>
      </c>
      <c r="AI2443" s="10" t="n">
        <v>745</v>
      </c>
      <c r="AJ2443" s="11" t="n">
        <v>4924</v>
      </c>
      <c r="AK2443" s="12" t="n">
        <v>1178</v>
      </c>
      <c r="AL2443" s="12" t="n">
        <v>610</v>
      </c>
      <c r="AM2443" s="13" t="n">
        <v>-6.8</v>
      </c>
      <c r="AN2443" s="13" t="n">
        <v>-0.2</v>
      </c>
      <c r="AO2443" s="13" t="n">
        <v>-30.8</v>
      </c>
      <c r="AP2443" s="13" t="n">
        <v>10.8</v>
      </c>
    </row>
    <row r="2444">
      <c r="A2444" s="5" t="inlineStr">
        <is>
          <t>SAMG엔터</t>
        </is>
      </c>
      <c r="B2444" s="6" t="inlineStr">
        <is>
          <t>419530</t>
        </is>
      </c>
      <c r="C2444" s="6" t="inlineStr">
        <is>
          <t>연결</t>
        </is>
      </c>
      <c r="D2444" s="6" t="inlineStr">
        <is>
          <t>2026Q2</t>
        </is>
      </c>
      <c r="E2444" s="6" t="inlineStr"/>
      <c r="F2444" s="7" t="inlineStr"/>
      <c r="G2444" s="8" t="inlineStr"/>
      <c r="H2444" s="8" t="inlineStr"/>
      <c r="I2444" s="9" t="n">
        <v>25310</v>
      </c>
      <c r="J2444" s="10" t="n">
        <v>-5906</v>
      </c>
      <c r="K2444" s="10" t="n">
        <v>-6549</v>
      </c>
      <c r="L2444" s="7" t="n">
        <v>24295</v>
      </c>
      <c r="M2444" s="8" t="n">
        <v>-3739</v>
      </c>
      <c r="N2444" s="8" t="n">
        <v>-9798</v>
      </c>
      <c r="O2444" s="9" t="n">
        <v>24952</v>
      </c>
      <c r="P2444" s="10" t="n">
        <v>-5492</v>
      </c>
      <c r="Q2444" s="10" t="n">
        <v>-6896</v>
      </c>
      <c r="R2444" s="7" t="n">
        <v>41881</v>
      </c>
      <c r="S2444" s="8" t="n">
        <v>9028</v>
      </c>
      <c r="T2444" s="8" t="n">
        <v>3865</v>
      </c>
      <c r="U2444" s="9" t="n">
        <v>35698</v>
      </c>
      <c r="V2444" s="10" t="n">
        <v>6286</v>
      </c>
      <c r="W2444" s="10" t="n">
        <v>5669</v>
      </c>
      <c r="X2444" s="7" t="n">
        <v>35451</v>
      </c>
      <c r="Y2444" s="8" t="n">
        <v>5353</v>
      </c>
      <c r="Z2444" s="8" t="n">
        <v>25550</v>
      </c>
      <c r="AA2444" s="9" t="n">
        <v>21693</v>
      </c>
      <c r="AB2444" s="10" t="n">
        <v>-727</v>
      </c>
      <c r="AC2444" s="10" t="n">
        <v>-1014</v>
      </c>
      <c r="AD2444" s="7" t="n">
        <v>48410</v>
      </c>
      <c r="AE2444" s="8" t="n">
        <v>11721</v>
      </c>
      <c r="AF2444" s="8" t="n">
        <v>-65</v>
      </c>
      <c r="AG2444" s="9" t="n">
        <v>37660</v>
      </c>
      <c r="AH2444" s="10" t="n">
        <v>3884</v>
      </c>
      <c r="AI2444" s="10" t="n">
        <v>4613</v>
      </c>
      <c r="AJ2444" s="11" t="n">
        <v>37458</v>
      </c>
      <c r="AK2444" s="12" t="n">
        <v>2070</v>
      </c>
      <c r="AL2444" s="12" t="n">
        <v>-350</v>
      </c>
      <c r="AM2444" s="13" t="n">
        <v>-0.5</v>
      </c>
      <c r="AN2444" s="13" t="n">
        <v>5.7</v>
      </c>
      <c r="AO2444" s="13" t="n">
        <v>-46.7</v>
      </c>
      <c r="AP2444" s="13" t="n">
        <v>-61.3</v>
      </c>
    </row>
    <row r="2445">
      <c r="A2445" s="5" t="inlineStr">
        <is>
          <t>비스토스</t>
        </is>
      </c>
      <c r="B2445" s="6" t="inlineStr">
        <is>
          <t>419540</t>
        </is>
      </c>
      <c r="C2445" s="6" t="inlineStr">
        <is>
          <t>별도</t>
        </is>
      </c>
      <c r="D2445" s="6" t="inlineStr">
        <is>
          <t>2026Q2</t>
        </is>
      </c>
      <c r="E2445" s="6" t="inlineStr"/>
      <c r="F2445" s="7" t="inlineStr"/>
      <c r="G2445" s="8" t="inlineStr"/>
      <c r="H2445" s="8" t="inlineStr"/>
      <c r="I2445" s="9" t="n">
        <v>5816</v>
      </c>
      <c r="J2445" s="10" t="n">
        <v>265</v>
      </c>
      <c r="K2445" s="10" t="n">
        <v>587</v>
      </c>
      <c r="L2445" s="7" t="n">
        <v>4359</v>
      </c>
      <c r="M2445" s="8" t="n">
        <v>-11</v>
      </c>
      <c r="N2445" s="8" t="n">
        <v>98</v>
      </c>
      <c r="O2445" s="9" t="n">
        <v>3207</v>
      </c>
      <c r="P2445" s="10" t="n">
        <v>-625</v>
      </c>
      <c r="Q2445" s="10" t="n">
        <v>-578</v>
      </c>
      <c r="R2445" s="7" t="n">
        <v>6873</v>
      </c>
      <c r="S2445" s="8" t="n">
        <v>682</v>
      </c>
      <c r="T2445" s="8" t="n">
        <v>741</v>
      </c>
      <c r="U2445" s="9" t="n">
        <v>3712</v>
      </c>
      <c r="V2445" s="10" t="n">
        <v>-578</v>
      </c>
      <c r="W2445" s="10" t="n">
        <v>-546</v>
      </c>
      <c r="X2445" s="7" t="n">
        <v>4479</v>
      </c>
      <c r="Y2445" s="8" t="n">
        <v>7</v>
      </c>
      <c r="Z2445" s="8" t="n">
        <v>18</v>
      </c>
      <c r="AA2445" s="9" t="n">
        <v>4308</v>
      </c>
      <c r="AB2445" s="10" t="n">
        <v>-459</v>
      </c>
      <c r="AC2445" s="10" t="n">
        <v>-477</v>
      </c>
      <c r="AD2445" s="7" t="n">
        <v>4601</v>
      </c>
      <c r="AE2445" s="8" t="n">
        <v>-66</v>
      </c>
      <c r="AF2445" s="8" t="n">
        <v>306</v>
      </c>
      <c r="AG2445" s="9" t="n">
        <v>2972</v>
      </c>
      <c r="AH2445" s="10" t="n">
        <v>-391</v>
      </c>
      <c r="AI2445" s="10" t="n">
        <v>-301</v>
      </c>
      <c r="AJ2445" s="11" t="n">
        <v>4196</v>
      </c>
      <c r="AK2445" s="12" t="n">
        <v>-856</v>
      </c>
      <c r="AL2445" s="12" t="n">
        <v>-536</v>
      </c>
      <c r="AM2445" s="13" t="n">
        <v>41.2</v>
      </c>
      <c r="AN2445" s="13" t="n">
        <v>-6.3</v>
      </c>
      <c r="AO2445" s="13" t="n">
        <v>-118.9</v>
      </c>
      <c r="AP2445" s="13" t="n">
        <v>-12328.6</v>
      </c>
    </row>
    <row r="2446">
      <c r="A2446" s="5" t="inlineStr">
        <is>
          <t>제이투케이바이오</t>
        </is>
      </c>
      <c r="B2446" s="6" t="inlineStr">
        <is>
          <t>420570</t>
        </is>
      </c>
      <c r="C2446" s="6" t="inlineStr">
        <is>
          <t>연결</t>
        </is>
      </c>
      <c r="D2446" s="6" t="inlineStr">
        <is>
          <t>2026Q2</t>
        </is>
      </c>
      <c r="E2446" s="6" t="inlineStr"/>
      <c r="F2446" s="7" t="inlineStr"/>
      <c r="G2446" s="8" t="inlineStr"/>
      <c r="H2446" s="8" t="inlineStr"/>
      <c r="I2446" s="9" t="n">
        <v>7809</v>
      </c>
      <c r="J2446" s="10" t="n">
        <v>843</v>
      </c>
      <c r="K2446" s="10" t="n">
        <v>-4323</v>
      </c>
      <c r="L2446" s="7" t="n">
        <v>12043</v>
      </c>
      <c r="M2446" s="8" t="n">
        <v>2904</v>
      </c>
      <c r="N2446" s="8" t="n">
        <v>2612</v>
      </c>
      <c r="O2446" s="9" t="n">
        <v>6513</v>
      </c>
      <c r="P2446" s="10" t="n">
        <v>-133</v>
      </c>
      <c r="Q2446" s="10" t="n">
        <v>-250</v>
      </c>
      <c r="R2446" s="7" t="n">
        <v>6764</v>
      </c>
      <c r="S2446" s="8" t="n">
        <v>12</v>
      </c>
      <c r="T2446" s="8" t="n">
        <v>290</v>
      </c>
      <c r="U2446" s="9" t="n">
        <v>7268</v>
      </c>
      <c r="V2446" s="10" t="n">
        <v>332</v>
      </c>
      <c r="W2446" s="10" t="n">
        <v>239</v>
      </c>
      <c r="X2446" s="7" t="n">
        <v>8529</v>
      </c>
      <c r="Y2446" s="8" t="n">
        <v>698</v>
      </c>
      <c r="Z2446" s="8" t="n">
        <v>883</v>
      </c>
      <c r="AA2446" s="9" t="n">
        <v>8563</v>
      </c>
      <c r="AB2446" s="10" t="n">
        <v>1249</v>
      </c>
      <c r="AC2446" s="10" t="n">
        <v>838</v>
      </c>
      <c r="AD2446" s="7" t="n">
        <v>8606</v>
      </c>
      <c r="AE2446" s="8" t="n">
        <v>641</v>
      </c>
      <c r="AF2446" s="8" t="n">
        <v>713</v>
      </c>
      <c r="AG2446" s="9" t="n">
        <v>11126</v>
      </c>
      <c r="AH2446" s="10" t="n">
        <v>1915</v>
      </c>
      <c r="AI2446" s="10" t="n">
        <v>1595</v>
      </c>
      <c r="AJ2446" s="11" t="n">
        <v>15605</v>
      </c>
      <c r="AK2446" s="12" t="n">
        <v>2693</v>
      </c>
      <c r="AL2446" s="12" t="n">
        <v>2666</v>
      </c>
      <c r="AM2446" s="13" t="n">
        <v>40.3</v>
      </c>
      <c r="AN2446" s="13" t="n">
        <v>83</v>
      </c>
      <c r="AO2446" s="13" t="n">
        <v>40.6</v>
      </c>
      <c r="AP2446" s="13" t="n">
        <v>285.8</v>
      </c>
    </row>
    <row r="2447">
      <c r="A2447" s="5" t="inlineStr">
        <is>
          <t>기가비스</t>
        </is>
      </c>
      <c r="B2447" s="6" t="inlineStr">
        <is>
          <t>420770</t>
        </is>
      </c>
      <c r="C2447" s="6" t="inlineStr">
        <is>
          <t>연결</t>
        </is>
      </c>
      <c r="D2447" s="6" t="inlineStr">
        <is>
          <t>2026Q2</t>
        </is>
      </c>
      <c r="E2447" s="6" t="inlineStr"/>
      <c r="F2447" s="7" t="inlineStr"/>
      <c r="G2447" s="8" t="inlineStr"/>
      <c r="H2447" s="8" t="inlineStr"/>
      <c r="I2447" s="9" t="n">
        <v>6241</v>
      </c>
      <c r="J2447" s="10" t="n">
        <v>-885</v>
      </c>
      <c r="K2447" s="10" t="n">
        <v>231</v>
      </c>
      <c r="L2447" s="7" t="n">
        <v>9037</v>
      </c>
      <c r="M2447" s="8" t="n">
        <v>347</v>
      </c>
      <c r="N2447" s="8" t="n">
        <v>925</v>
      </c>
      <c r="O2447" s="9" t="n">
        <v>3988</v>
      </c>
      <c r="P2447" s="10" t="n">
        <v>-314</v>
      </c>
      <c r="Q2447" s="10" t="n">
        <v>1344</v>
      </c>
      <c r="R2447" s="7" t="n">
        <v>6867</v>
      </c>
      <c r="S2447" s="8" t="n">
        <v>-935</v>
      </c>
      <c r="T2447" s="8" t="n">
        <v>912</v>
      </c>
      <c r="U2447" s="9" t="n">
        <v>4608</v>
      </c>
      <c r="V2447" s="10" t="n">
        <v>-1928</v>
      </c>
      <c r="W2447" s="10" t="n">
        <v>-293</v>
      </c>
      <c r="X2447" s="7" t="n">
        <v>8894</v>
      </c>
      <c r="Y2447" s="8" t="n">
        <v>2034</v>
      </c>
      <c r="Z2447" s="8" t="n">
        <v>1394</v>
      </c>
      <c r="AA2447" s="9" t="n">
        <v>7226</v>
      </c>
      <c r="AB2447" s="10" t="n">
        <v>866</v>
      </c>
      <c r="AC2447" s="10" t="n">
        <v>2067</v>
      </c>
      <c r="AD2447" s="7" t="n">
        <v>31707</v>
      </c>
      <c r="AE2447" s="8" t="n">
        <v>11129</v>
      </c>
      <c r="AF2447" s="8" t="n">
        <v>12284</v>
      </c>
      <c r="AG2447" s="9" t="n">
        <v>5988</v>
      </c>
      <c r="AH2447" s="10" t="n">
        <v>-971</v>
      </c>
      <c r="AI2447" s="10" t="n">
        <v>636</v>
      </c>
      <c r="AJ2447" s="11" t="n">
        <v>22307</v>
      </c>
      <c r="AK2447" s="12" t="n">
        <v>6611</v>
      </c>
      <c r="AL2447" s="12" t="n">
        <v>5997</v>
      </c>
      <c r="AM2447" s="13" t="n">
        <v>272.5</v>
      </c>
      <c r="AN2447" s="13" t="n">
        <v>150.8</v>
      </c>
      <c r="AO2447" s="13" t="n">
        <v>780.8</v>
      </c>
      <c r="AP2447" s="13" t="n">
        <v>225</v>
      </c>
    </row>
    <row r="2448">
      <c r="A2448" s="5" t="inlineStr">
        <is>
          <t>벨로크</t>
        </is>
      </c>
      <c r="B2448" s="6" t="inlineStr">
        <is>
          <t>424760</t>
        </is>
      </c>
      <c r="C2448" s="6" t="inlineStr">
        <is>
          <t>별도</t>
        </is>
      </c>
      <c r="D2448" s="6" t="inlineStr">
        <is>
          <t>2026Q2</t>
        </is>
      </c>
      <c r="E2448" s="6" t="inlineStr"/>
      <c r="F2448" s="7" t="inlineStr"/>
      <c r="G2448" s="8" t="inlineStr"/>
      <c r="H2448" s="8" t="inlineStr"/>
      <c r="I2448" s="9" t="n">
        <v>3178</v>
      </c>
      <c r="J2448" s="10" t="n">
        <v>-1204</v>
      </c>
      <c r="K2448" s="10" t="n">
        <v>-1064</v>
      </c>
      <c r="L2448" s="7" t="n">
        <v>5171</v>
      </c>
      <c r="M2448" s="8" t="n">
        <v>-800</v>
      </c>
      <c r="N2448" s="8" t="n">
        <v>-25</v>
      </c>
      <c r="O2448" s="9" t="n">
        <v>8431</v>
      </c>
      <c r="P2448" s="10" t="n">
        <v>-523</v>
      </c>
      <c r="Q2448" s="10" t="n">
        <v>-400</v>
      </c>
      <c r="R2448" s="7" t="n">
        <v>14087</v>
      </c>
      <c r="S2448" s="8" t="n">
        <v>562</v>
      </c>
      <c r="T2448" s="8" t="n">
        <v>298</v>
      </c>
      <c r="U2448" s="9" t="n">
        <v>3579</v>
      </c>
      <c r="V2448" s="10" t="n">
        <v>-955</v>
      </c>
      <c r="W2448" s="10" t="n">
        <v>-915</v>
      </c>
      <c r="X2448" s="7" t="n">
        <v>9570</v>
      </c>
      <c r="Y2448" s="8" t="n">
        <v>392</v>
      </c>
      <c r="Z2448" s="8" t="n">
        <v>1373</v>
      </c>
      <c r="AA2448" s="9" t="n">
        <v>7256</v>
      </c>
      <c r="AB2448" s="10" t="n">
        <v>-742</v>
      </c>
      <c r="AC2448" s="10" t="n">
        <v>-304</v>
      </c>
      <c r="AD2448" s="7" t="n">
        <v>14977</v>
      </c>
      <c r="AE2448" s="8" t="n">
        <v>2182</v>
      </c>
      <c r="AF2448" s="8" t="n">
        <v>1971</v>
      </c>
      <c r="AG2448" s="9" t="n">
        <v>3922</v>
      </c>
      <c r="AH2448" s="10" t="n">
        <v>-1304</v>
      </c>
      <c r="AI2448" s="10" t="n">
        <v>-1332</v>
      </c>
      <c r="AJ2448" s="11" t="n">
        <v>6130</v>
      </c>
      <c r="AK2448" s="12" t="n">
        <v>-130</v>
      </c>
      <c r="AL2448" s="12" t="n">
        <v>1242</v>
      </c>
      <c r="AM2448" s="13" t="n">
        <v>56.3</v>
      </c>
      <c r="AN2448" s="13" t="n">
        <v>-35.9</v>
      </c>
      <c r="AO2448" s="13" t="n">
        <v>90</v>
      </c>
      <c r="AP2448" s="13" t="n">
        <v>-133.2</v>
      </c>
    </row>
    <row r="2449">
      <c r="A2449" s="5" t="inlineStr">
        <is>
          <t>이뮨온시아</t>
        </is>
      </c>
      <c r="B2449" s="6" t="inlineStr">
        <is>
          <t>424870</t>
        </is>
      </c>
      <c r="C2449" s="6" t="inlineStr">
        <is>
          <t>별도</t>
        </is>
      </c>
      <c r="D2449" s="6" t="inlineStr">
        <is>
          <t>2026Q2</t>
        </is>
      </c>
      <c r="E2449" s="6" t="inlineStr"/>
      <c r="F2449" s="7" t="inlineStr"/>
      <c r="G2449" s="8" t="inlineStr"/>
      <c r="H2449" s="8" t="inlineStr"/>
      <c r="I2449" s="9" t="inlineStr"/>
      <c r="J2449" s="10" t="inlineStr"/>
      <c r="K2449" s="10" t="inlineStr"/>
      <c r="L2449" s="7" t="inlineStr"/>
      <c r="M2449" s="8" t="inlineStr"/>
      <c r="N2449" s="8" t="inlineStr"/>
      <c r="O2449" s="9" t="inlineStr"/>
      <c r="P2449" s="10" t="inlineStr"/>
      <c r="Q2449" s="10" t="inlineStr"/>
      <c r="R2449" s="7" t="inlineStr"/>
      <c r="S2449" s="8" t="inlineStr"/>
      <c r="T2449" s="8" t="inlineStr"/>
      <c r="U2449" s="9" t="inlineStr"/>
      <c r="V2449" s="10" t="inlineStr"/>
      <c r="W2449" s="10" t="inlineStr"/>
      <c r="X2449" s="7" t="n">
        <v>59</v>
      </c>
      <c r="Y2449" s="8" t="n">
        <v>-3323</v>
      </c>
      <c r="Z2449" s="8" t="n">
        <v>-3072</v>
      </c>
      <c r="AA2449" s="9" t="inlineStr"/>
      <c r="AB2449" s="10" t="n">
        <v>-10596</v>
      </c>
      <c r="AC2449" s="10" t="n">
        <v>-10371</v>
      </c>
      <c r="AD2449" s="7" t="inlineStr"/>
      <c r="AE2449" s="8" t="inlineStr"/>
      <c r="AF2449" s="8" t="inlineStr"/>
      <c r="AG2449" s="9" t="n">
        <v>0</v>
      </c>
      <c r="AH2449" s="10" t="n">
        <v>-5751</v>
      </c>
      <c r="AI2449" s="10" t="n">
        <v>-5618</v>
      </c>
      <c r="AJ2449" s="11" t="n">
        <v>0</v>
      </c>
      <c r="AK2449" s="12" t="n">
        <v>-4274</v>
      </c>
      <c r="AL2449" s="12" t="n">
        <v>-3902</v>
      </c>
      <c r="AM2449" s="13" t="inlineStr"/>
      <c r="AN2449" s="13" t="n">
        <v>-100</v>
      </c>
      <c r="AO2449" s="13" t="n">
        <v>25.7</v>
      </c>
      <c r="AP2449" s="13" t="n">
        <v>-28.6</v>
      </c>
    </row>
    <row r="2450">
      <c r="A2450" s="5" t="inlineStr">
        <is>
          <t>스마트레이더시스템</t>
        </is>
      </c>
      <c r="B2450" s="6" t="inlineStr">
        <is>
          <t>424960</t>
        </is>
      </c>
      <c r="C2450" s="6" t="inlineStr">
        <is>
          <t>연결</t>
        </is>
      </c>
      <c r="D2450" s="6" t="inlineStr">
        <is>
          <t>2026Q2</t>
        </is>
      </c>
      <c r="E2450" s="6" t="inlineStr"/>
      <c r="F2450" s="7" t="inlineStr"/>
      <c r="G2450" s="8" t="inlineStr"/>
      <c r="H2450" s="8" t="inlineStr"/>
      <c r="I2450" s="9" t="n">
        <v>1974</v>
      </c>
      <c r="J2450" s="10" t="n">
        <v>-2004</v>
      </c>
      <c r="K2450" s="10" t="n">
        <v>-1828</v>
      </c>
      <c r="L2450" s="7" t="n">
        <v>911</v>
      </c>
      <c r="M2450" s="8" t="n">
        <v>-1602</v>
      </c>
      <c r="N2450" s="8" t="n">
        <v>93</v>
      </c>
      <c r="O2450" s="9" t="n">
        <v>946</v>
      </c>
      <c r="P2450" s="10" t="n">
        <v>-1443</v>
      </c>
      <c r="Q2450" s="10" t="n">
        <v>-1574</v>
      </c>
      <c r="R2450" s="7" t="n">
        <v>906</v>
      </c>
      <c r="S2450" s="8" t="n">
        <v>-1707</v>
      </c>
      <c r="T2450" s="8" t="n">
        <v>-3150</v>
      </c>
      <c r="U2450" s="9" t="n">
        <v>2045</v>
      </c>
      <c r="V2450" s="10" t="n">
        <v>-2467</v>
      </c>
      <c r="W2450" s="10" t="n">
        <v>-2604</v>
      </c>
      <c r="X2450" s="7" t="n">
        <v>2615</v>
      </c>
      <c r="Y2450" s="8" t="n">
        <v>-1236</v>
      </c>
      <c r="Z2450" s="8" t="n">
        <v>1161</v>
      </c>
      <c r="AA2450" s="9" t="n">
        <v>1826</v>
      </c>
      <c r="AB2450" s="10" t="n">
        <v>-964</v>
      </c>
      <c r="AC2450" s="10" t="n">
        <v>-1227</v>
      </c>
      <c r="AD2450" s="7" t="n">
        <v>2911</v>
      </c>
      <c r="AE2450" s="8" t="n">
        <v>-603</v>
      </c>
      <c r="AF2450" s="8" t="n">
        <v>-297</v>
      </c>
      <c r="AG2450" s="9" t="n">
        <v>1464</v>
      </c>
      <c r="AH2450" s="10" t="n">
        <v>-1474</v>
      </c>
      <c r="AI2450" s="10" t="n">
        <v>-1738</v>
      </c>
      <c r="AJ2450" s="11" t="n">
        <v>1944</v>
      </c>
      <c r="AK2450" s="12" t="n">
        <v>-1798</v>
      </c>
      <c r="AL2450" s="12" t="n">
        <v>-5116</v>
      </c>
      <c r="AM2450" s="13" t="n">
        <v>32.8</v>
      </c>
      <c r="AN2450" s="13" t="n">
        <v>-25.7</v>
      </c>
      <c r="AO2450" s="13" t="n">
        <v>-22</v>
      </c>
      <c r="AP2450" s="13" t="n">
        <v>-45.5</v>
      </c>
    </row>
    <row r="2451">
      <c r="A2451" s="5" t="inlineStr">
        <is>
          <t>마이크로투나노</t>
        </is>
      </c>
      <c r="B2451" s="6" t="inlineStr">
        <is>
          <t>424980</t>
        </is>
      </c>
      <c r="C2451" s="6" t="inlineStr">
        <is>
          <t>별도</t>
        </is>
      </c>
      <c r="D2451" s="6" t="inlineStr">
        <is>
          <t>2026Q2</t>
        </is>
      </c>
      <c r="E2451" s="6" t="inlineStr"/>
      <c r="F2451" s="7" t="inlineStr"/>
      <c r="G2451" s="8" t="inlineStr"/>
      <c r="H2451" s="8" t="inlineStr"/>
      <c r="I2451" s="9" t="n">
        <v>625</v>
      </c>
      <c r="J2451" s="10" t="n">
        <v>-2946</v>
      </c>
      <c r="K2451" s="10" t="n">
        <v>-2243</v>
      </c>
      <c r="L2451" s="7" t="n">
        <v>2161</v>
      </c>
      <c r="M2451" s="8" t="n">
        <v>-3442</v>
      </c>
      <c r="N2451" s="8" t="n">
        <v>-3475</v>
      </c>
      <c r="O2451" s="9" t="n">
        <v>3110</v>
      </c>
      <c r="P2451" s="10" t="n">
        <v>-1204</v>
      </c>
      <c r="Q2451" s="10" t="n">
        <v>-692</v>
      </c>
      <c r="R2451" s="7" t="n">
        <v>4255</v>
      </c>
      <c r="S2451" s="8" t="n">
        <v>-1957</v>
      </c>
      <c r="T2451" s="8" t="n">
        <v>-1450</v>
      </c>
      <c r="U2451" s="9" t="n">
        <v>5471</v>
      </c>
      <c r="V2451" s="10" t="n">
        <v>542</v>
      </c>
      <c r="W2451" s="10" t="n">
        <v>533</v>
      </c>
      <c r="X2451" s="7" t="n">
        <v>5351</v>
      </c>
      <c r="Y2451" s="8" t="n">
        <v>-1136</v>
      </c>
      <c r="Z2451" s="8" t="n">
        <v>-1391</v>
      </c>
      <c r="AA2451" s="9" t="n">
        <v>6853</v>
      </c>
      <c r="AB2451" s="10" t="n">
        <v>-782</v>
      </c>
      <c r="AC2451" s="10" t="n">
        <v>-749</v>
      </c>
      <c r="AD2451" s="7" t="n">
        <v>4553</v>
      </c>
      <c r="AE2451" s="8" t="n">
        <v>-2033</v>
      </c>
      <c r="AF2451" s="8" t="n">
        <v>-3343</v>
      </c>
      <c r="AG2451" s="9" t="n">
        <v>8646</v>
      </c>
      <c r="AH2451" s="10" t="n">
        <v>775</v>
      </c>
      <c r="AI2451" s="10" t="n">
        <v>577</v>
      </c>
      <c r="AJ2451" s="11" t="n">
        <v>11179</v>
      </c>
      <c r="AK2451" s="12" t="n">
        <v>1133</v>
      </c>
      <c r="AL2451" s="12" t="n">
        <v>921</v>
      </c>
      <c r="AM2451" s="13" t="n">
        <v>29.3</v>
      </c>
      <c r="AN2451" s="13" t="n">
        <v>108.9</v>
      </c>
      <c r="AO2451" s="13" t="n">
        <v>46.2</v>
      </c>
      <c r="AP2451" s="13" t="n">
        <v>199.7</v>
      </c>
    </row>
    <row r="2452">
      <c r="A2452" s="5" t="inlineStr">
        <is>
          <t>티이엠씨</t>
        </is>
      </c>
      <c r="B2452" s="6" t="inlineStr">
        <is>
          <t>425040</t>
        </is>
      </c>
      <c r="C2452" s="6" t="inlineStr">
        <is>
          <t>연결</t>
        </is>
      </c>
      <c r="D2452" s="6" t="inlineStr">
        <is>
          <t>2026Q2</t>
        </is>
      </c>
      <c r="E2452" s="6" t="inlineStr"/>
      <c r="F2452" s="7" t="inlineStr"/>
      <c r="G2452" s="8" t="inlineStr"/>
      <c r="H2452" s="8" t="inlineStr"/>
      <c r="I2452" s="9" t="n">
        <v>108630</v>
      </c>
      <c r="J2452" s="10" t="n">
        <v>8673</v>
      </c>
      <c r="K2452" s="10" t="n">
        <v>9524</v>
      </c>
      <c r="L2452" s="7" t="n">
        <v>65451</v>
      </c>
      <c r="M2452" s="8" t="n">
        <v>2931</v>
      </c>
      <c r="N2452" s="8" t="n">
        <v>2055</v>
      </c>
      <c r="O2452" s="9" t="n">
        <v>50387</v>
      </c>
      <c r="P2452" s="10" t="n">
        <v>5871</v>
      </c>
      <c r="Q2452" s="10" t="n">
        <v>1493</v>
      </c>
      <c r="R2452" s="7" t="n">
        <v>85767</v>
      </c>
      <c r="S2452" s="8" t="n">
        <v>2226</v>
      </c>
      <c r="T2452" s="8" t="n">
        <v>4001</v>
      </c>
      <c r="U2452" s="9" t="n">
        <v>63027</v>
      </c>
      <c r="V2452" s="10" t="n">
        <v>6746</v>
      </c>
      <c r="W2452" s="10" t="n">
        <v>4433</v>
      </c>
      <c r="X2452" s="7" t="n">
        <v>76332</v>
      </c>
      <c r="Y2452" s="8" t="n">
        <v>6899</v>
      </c>
      <c r="Z2452" s="8" t="n">
        <v>1758</v>
      </c>
      <c r="AA2452" s="9" t="n">
        <v>57962</v>
      </c>
      <c r="AB2452" s="10" t="n">
        <v>4990</v>
      </c>
      <c r="AC2452" s="10" t="n">
        <v>4378</v>
      </c>
      <c r="AD2452" s="7" t="n">
        <v>82387</v>
      </c>
      <c r="AE2452" s="8" t="n">
        <v>6203</v>
      </c>
      <c r="AF2452" s="8" t="n">
        <v>7131</v>
      </c>
      <c r="AG2452" s="9" t="n">
        <v>49514</v>
      </c>
      <c r="AH2452" s="10" t="n">
        <v>142</v>
      </c>
      <c r="AI2452" s="10" t="n">
        <v>2102</v>
      </c>
      <c r="AJ2452" s="11" t="n">
        <v>86461</v>
      </c>
      <c r="AK2452" s="12" t="n">
        <v>5859</v>
      </c>
      <c r="AL2452" s="12" t="n">
        <v>5292</v>
      </c>
      <c r="AM2452" s="13" t="n">
        <v>74.59999999999999</v>
      </c>
      <c r="AN2452" s="13" t="n">
        <v>13.3</v>
      </c>
      <c r="AO2452" s="13" t="n">
        <v>4026.1</v>
      </c>
      <c r="AP2452" s="13" t="n">
        <v>-15.1</v>
      </c>
    </row>
    <row r="2453">
      <c r="A2453" s="5" t="inlineStr">
        <is>
          <t>티에프이</t>
        </is>
      </c>
      <c r="B2453" s="6" t="inlineStr">
        <is>
          <t>425420</t>
        </is>
      </c>
      <c r="C2453" s="6" t="inlineStr">
        <is>
          <t>연결</t>
        </is>
      </c>
      <c r="D2453" s="6" t="inlineStr">
        <is>
          <t>2026Q2</t>
        </is>
      </c>
      <c r="E2453" s="6" t="inlineStr"/>
      <c r="F2453" s="7" t="inlineStr"/>
      <c r="G2453" s="8" t="inlineStr"/>
      <c r="H2453" s="8" t="inlineStr"/>
      <c r="I2453" s="9" t="n">
        <v>17358</v>
      </c>
      <c r="J2453" s="10" t="n">
        <v>1339</v>
      </c>
      <c r="K2453" s="10" t="n">
        <v>1682</v>
      </c>
      <c r="L2453" s="7" t="n">
        <v>18297</v>
      </c>
      <c r="M2453" s="8" t="n">
        <v>1610</v>
      </c>
      <c r="N2453" s="8" t="n">
        <v>315</v>
      </c>
      <c r="O2453" s="9" t="n">
        <v>17250</v>
      </c>
      <c r="P2453" s="10" t="n">
        <v>243</v>
      </c>
      <c r="Q2453" s="10" t="n">
        <v>261</v>
      </c>
      <c r="R2453" s="7" t="n">
        <v>20722</v>
      </c>
      <c r="S2453" s="8" t="n">
        <v>1199</v>
      </c>
      <c r="T2453" s="8" t="n">
        <v>-806</v>
      </c>
      <c r="U2453" s="9" t="n">
        <v>22012</v>
      </c>
      <c r="V2453" s="10" t="n">
        <v>2976</v>
      </c>
      <c r="W2453" s="10" t="n">
        <v>2624</v>
      </c>
      <c r="X2453" s="7" t="n">
        <v>25062</v>
      </c>
      <c r="Y2453" s="8" t="n">
        <v>3920</v>
      </c>
      <c r="Z2453" s="8" t="n">
        <v>3556</v>
      </c>
      <c r="AA2453" s="9" t="n">
        <v>27220</v>
      </c>
      <c r="AB2453" s="10" t="n">
        <v>4827</v>
      </c>
      <c r="AC2453" s="10" t="n">
        <v>4654</v>
      </c>
      <c r="AD2453" s="7" t="n">
        <v>37448</v>
      </c>
      <c r="AE2453" s="8" t="n">
        <v>7333</v>
      </c>
      <c r="AF2453" s="8" t="n">
        <v>7273</v>
      </c>
      <c r="AG2453" s="9" t="n">
        <v>32317</v>
      </c>
      <c r="AH2453" s="10" t="n">
        <v>3333</v>
      </c>
      <c r="AI2453" s="10" t="n">
        <v>3444</v>
      </c>
      <c r="AJ2453" s="11" t="n">
        <v>33609</v>
      </c>
      <c r="AK2453" s="12" t="n">
        <v>6082</v>
      </c>
      <c r="AL2453" s="12" t="n">
        <v>5947</v>
      </c>
      <c r="AM2453" s="13" t="n">
        <v>4</v>
      </c>
      <c r="AN2453" s="13" t="n">
        <v>34.1</v>
      </c>
      <c r="AO2453" s="13" t="n">
        <v>82.5</v>
      </c>
      <c r="AP2453" s="13" t="n">
        <v>55.2</v>
      </c>
    </row>
    <row r="2454">
      <c r="A2454" s="5" t="inlineStr">
        <is>
          <t>시지트로닉스</t>
        </is>
      </c>
      <c r="B2454" s="6" t="inlineStr">
        <is>
          <t>429270</t>
        </is>
      </c>
      <c r="C2454" s="6" t="inlineStr">
        <is>
          <t>별도</t>
        </is>
      </c>
      <c r="D2454" s="6" t="inlineStr">
        <is>
          <t>2026Q2</t>
        </is>
      </c>
      <c r="E2454" s="6" t="inlineStr"/>
      <c r="F2454" s="7" t="inlineStr"/>
      <c r="G2454" s="8" t="inlineStr"/>
      <c r="H2454" s="8" t="inlineStr"/>
      <c r="I2454" s="9" t="n">
        <v>3031</v>
      </c>
      <c r="J2454" s="10" t="n">
        <v>-1258</v>
      </c>
      <c r="K2454" s="10" t="inlineStr"/>
      <c r="L2454" s="7" t="n">
        <v>3189</v>
      </c>
      <c r="M2454" s="8" t="n">
        <v>-1384</v>
      </c>
      <c r="N2454" s="8" t="inlineStr"/>
      <c r="O2454" s="9" t="n">
        <v>3387</v>
      </c>
      <c r="P2454" s="10" t="n">
        <v>-1500</v>
      </c>
      <c r="Q2454" s="10" t="inlineStr"/>
      <c r="R2454" s="7" t="n">
        <v>2566</v>
      </c>
      <c r="S2454" s="8" t="n">
        <v>-2143</v>
      </c>
      <c r="T2454" s="8" t="inlineStr"/>
      <c r="U2454" s="9" t="n">
        <v>2609</v>
      </c>
      <c r="V2454" s="10" t="n">
        <v>-1527</v>
      </c>
      <c r="W2454" s="10" t="n">
        <v>-1584</v>
      </c>
      <c r="X2454" s="7" t="n">
        <v>3408</v>
      </c>
      <c r="Y2454" s="8" t="n">
        <v>-1904</v>
      </c>
      <c r="Z2454" s="8" t="inlineStr"/>
      <c r="AA2454" s="9" t="n">
        <v>3924</v>
      </c>
      <c r="AB2454" s="10" t="n">
        <v>-1641</v>
      </c>
      <c r="AC2454" s="10" t="inlineStr"/>
      <c r="AD2454" s="7" t="n">
        <v>2808</v>
      </c>
      <c r="AE2454" s="8" t="n">
        <v>-2514</v>
      </c>
      <c r="AF2454" s="8" t="inlineStr"/>
      <c r="AG2454" s="9" t="n">
        <v>3586</v>
      </c>
      <c r="AH2454" s="10" t="n">
        <v>-2262</v>
      </c>
      <c r="AI2454" s="10" t="n">
        <v>-2063</v>
      </c>
      <c r="AJ2454" s="11" t="n">
        <v>3781</v>
      </c>
      <c r="AK2454" s="12" t="n">
        <v>-2137</v>
      </c>
      <c r="AL2454" s="12" t="n">
        <v>-2135</v>
      </c>
      <c r="AM2454" s="13" t="n">
        <v>5.4</v>
      </c>
      <c r="AN2454" s="13" t="n">
        <v>10.9</v>
      </c>
      <c r="AO2454" s="13" t="n">
        <v>5.5</v>
      </c>
      <c r="AP2454" s="13" t="n">
        <v>-12.2</v>
      </c>
    </row>
    <row r="2455">
      <c r="A2455" s="5" t="inlineStr">
        <is>
          <t>한싹</t>
        </is>
      </c>
      <c r="B2455" s="6" t="inlineStr">
        <is>
          <t>430690</t>
        </is>
      </c>
      <c r="C2455" s="6" t="inlineStr">
        <is>
          <t>연결</t>
        </is>
      </c>
      <c r="D2455" s="6" t="inlineStr">
        <is>
          <t>2026Q2</t>
        </is>
      </c>
      <c r="E2455" s="6" t="inlineStr"/>
      <c r="F2455" s="7" t="inlineStr"/>
      <c r="G2455" s="8" t="inlineStr"/>
      <c r="H2455" s="8" t="inlineStr"/>
      <c r="I2455" s="9" t="n">
        <v>3410</v>
      </c>
      <c r="J2455" s="10" t="n">
        <v>-1173</v>
      </c>
      <c r="K2455" s="10" t="n">
        <v>-1050</v>
      </c>
      <c r="L2455" s="7" t="n">
        <v>5561</v>
      </c>
      <c r="M2455" s="8" t="n">
        <v>-728</v>
      </c>
      <c r="N2455" s="8" t="n">
        <v>-137</v>
      </c>
      <c r="O2455" s="9" t="n">
        <v>3999</v>
      </c>
      <c r="P2455" s="10" t="n">
        <v>-1215</v>
      </c>
      <c r="Q2455" s="10" t="n">
        <v>-855</v>
      </c>
      <c r="R2455" s="7" t="n">
        <v>7548</v>
      </c>
      <c r="S2455" s="8" t="n">
        <v>403</v>
      </c>
      <c r="T2455" s="8" t="n">
        <v>2167</v>
      </c>
      <c r="U2455" s="9" t="n">
        <v>4199</v>
      </c>
      <c r="V2455" s="10" t="n">
        <v>-1003</v>
      </c>
      <c r="W2455" s="10" t="n">
        <v>-971</v>
      </c>
      <c r="X2455" s="7" t="n">
        <v>5251</v>
      </c>
      <c r="Y2455" s="8" t="n">
        <v>-690</v>
      </c>
      <c r="Z2455" s="8" t="n">
        <v>-700</v>
      </c>
      <c r="AA2455" s="9" t="n">
        <v>5455</v>
      </c>
      <c r="AB2455" s="10" t="n">
        <v>-996</v>
      </c>
      <c r="AC2455" s="10" t="n">
        <v>-937</v>
      </c>
      <c r="AD2455" s="7" t="n">
        <v>11353</v>
      </c>
      <c r="AE2455" s="8" t="n">
        <v>741</v>
      </c>
      <c r="AF2455" s="8" t="n">
        <v>-151</v>
      </c>
      <c r="AG2455" s="9" t="n">
        <v>3524</v>
      </c>
      <c r="AH2455" s="10" t="n">
        <v>-1809</v>
      </c>
      <c r="AI2455" s="10" t="n">
        <v>-1927</v>
      </c>
      <c r="AJ2455" s="11" t="n">
        <v>7574</v>
      </c>
      <c r="AK2455" s="12" t="n">
        <v>808</v>
      </c>
      <c r="AL2455" s="12" t="n">
        <v>802</v>
      </c>
      <c r="AM2455" s="13" t="n">
        <v>114.9</v>
      </c>
      <c r="AN2455" s="13" t="n">
        <v>44.2</v>
      </c>
      <c r="AO2455" s="13" t="n">
        <v>144.7</v>
      </c>
      <c r="AP2455" s="13" t="n">
        <v>217.1</v>
      </c>
    </row>
    <row r="2456">
      <c r="A2456" s="5" t="inlineStr">
        <is>
          <t>케이쓰리아이</t>
        </is>
      </c>
      <c r="B2456" s="6" t="inlineStr">
        <is>
          <t>431190</t>
        </is>
      </c>
      <c r="C2456" s="6" t="inlineStr">
        <is>
          <t>연결</t>
        </is>
      </c>
      <c r="D2456" s="6" t="inlineStr">
        <is>
          <t>2026Q2</t>
        </is>
      </c>
      <c r="E2456" s="6" t="inlineStr"/>
      <c r="F2456" s="7" t="inlineStr"/>
      <c r="G2456" s="8" t="inlineStr"/>
      <c r="H2456" s="8" t="inlineStr"/>
      <c r="I2456" s="9" t="inlineStr"/>
      <c r="J2456" s="10" t="inlineStr"/>
      <c r="K2456" s="10" t="inlineStr"/>
      <c r="L2456" s="7" t="inlineStr"/>
      <c r="M2456" s="8" t="inlineStr"/>
      <c r="N2456" s="8" t="inlineStr"/>
      <c r="O2456" s="9" t="n">
        <v>2163</v>
      </c>
      <c r="P2456" s="10" t="n">
        <v>-2385</v>
      </c>
      <c r="Q2456" s="10" t="n">
        <v>-2325</v>
      </c>
      <c r="R2456" s="7" t="inlineStr"/>
      <c r="S2456" s="8" t="inlineStr"/>
      <c r="T2456" s="8" t="inlineStr"/>
      <c r="U2456" s="9" t="n">
        <v>3590</v>
      </c>
      <c r="V2456" s="10" t="n">
        <v>-1456</v>
      </c>
      <c r="W2456" s="10" t="n">
        <v>-1212</v>
      </c>
      <c r="X2456" s="7" t="n">
        <v>2508</v>
      </c>
      <c r="Y2456" s="8" t="n">
        <v>-1344</v>
      </c>
      <c r="Z2456" s="8" t="n">
        <v>-1228</v>
      </c>
      <c r="AA2456" s="9" t="n">
        <v>4626</v>
      </c>
      <c r="AB2456" s="10" t="n">
        <v>-130</v>
      </c>
      <c r="AC2456" s="10" t="n">
        <v>-727</v>
      </c>
      <c r="AD2456" s="7" t="n">
        <v>5916</v>
      </c>
      <c r="AE2456" s="8" t="n">
        <v>-576</v>
      </c>
      <c r="AF2456" s="8" t="n">
        <v>-1110</v>
      </c>
      <c r="AG2456" s="9" t="n">
        <v>2963</v>
      </c>
      <c r="AH2456" s="10" t="n">
        <v>-1376</v>
      </c>
      <c r="AI2456" s="10" t="n">
        <v>-1222</v>
      </c>
      <c r="AJ2456" s="11" t="n">
        <v>3140</v>
      </c>
      <c r="AK2456" s="12" t="n">
        <v>-1606</v>
      </c>
      <c r="AL2456" s="12" t="n">
        <v>-1248</v>
      </c>
      <c r="AM2456" s="13" t="n">
        <v>6</v>
      </c>
      <c r="AN2456" s="13" t="n">
        <v>25.2</v>
      </c>
      <c r="AO2456" s="13" t="n">
        <v>-16.7</v>
      </c>
      <c r="AP2456" s="13" t="n">
        <v>-19.5</v>
      </c>
    </row>
    <row r="2457">
      <c r="A2457" s="5" t="inlineStr">
        <is>
          <t>KB스타리츠</t>
        </is>
      </c>
      <c r="B2457" s="6" t="inlineStr">
        <is>
          <t>432320</t>
        </is>
      </c>
      <c r="C2457" s="6" t="inlineStr">
        <is>
          <t>연결</t>
        </is>
      </c>
      <c r="D2457" s="6" t="inlineStr">
        <is>
          <t>2026Q2</t>
        </is>
      </c>
      <c r="E2457" s="6" t="inlineStr"/>
      <c r="F2457" s="7" t="inlineStr"/>
      <c r="G2457" s="8" t="inlineStr"/>
      <c r="H2457" s="8" t="inlineStr"/>
      <c r="I2457" s="9" t="inlineStr"/>
      <c r="J2457" s="10" t="inlineStr"/>
      <c r="K2457" s="10" t="inlineStr"/>
      <c r="L2457" s="7" t="n">
        <v>13050</v>
      </c>
      <c r="M2457" s="8" t="n">
        <v>6683</v>
      </c>
      <c r="N2457" s="8" t="n">
        <v>2077</v>
      </c>
      <c r="O2457" s="9" t="inlineStr"/>
      <c r="P2457" s="10" t="inlineStr"/>
      <c r="Q2457" s="10" t="inlineStr"/>
      <c r="R2457" s="7" t="inlineStr"/>
      <c r="S2457" s="8" t="inlineStr"/>
      <c r="T2457" s="8" t="inlineStr"/>
      <c r="U2457" s="9" t="inlineStr"/>
      <c r="V2457" s="10" t="inlineStr"/>
      <c r="W2457" s="10" t="inlineStr"/>
      <c r="X2457" s="7" t="n">
        <v>14682</v>
      </c>
      <c r="Y2457" s="8" t="n">
        <v>8489</v>
      </c>
      <c r="Z2457" s="8" t="n">
        <v>3072</v>
      </c>
      <c r="AA2457" s="9" t="inlineStr"/>
      <c r="AB2457" s="10" t="inlineStr"/>
      <c r="AC2457" s="10" t="inlineStr"/>
      <c r="AD2457" s="7" t="inlineStr"/>
      <c r="AE2457" s="8" t="inlineStr"/>
      <c r="AF2457" s="8" t="inlineStr"/>
      <c r="AG2457" s="9" t="inlineStr"/>
      <c r="AH2457" s="10" t="inlineStr"/>
      <c r="AI2457" s="10" t="inlineStr"/>
      <c r="AJ2457" s="11" t="n">
        <v>16331</v>
      </c>
      <c r="AK2457" s="12" t="n">
        <v>9958</v>
      </c>
      <c r="AL2457" s="12" t="n">
        <v>2574</v>
      </c>
      <c r="AM2457" s="13" t="inlineStr"/>
      <c r="AN2457" s="13" t="n">
        <v>11.2</v>
      </c>
      <c r="AO2457" s="13" t="inlineStr"/>
      <c r="AP2457" s="13" t="n">
        <v>17.3</v>
      </c>
    </row>
    <row r="2458">
      <c r="A2458" s="5" t="inlineStr">
        <is>
          <t>와이랩</t>
        </is>
      </c>
      <c r="B2458" s="6" t="inlineStr">
        <is>
          <t>432430</t>
        </is>
      </c>
      <c r="C2458" s="6" t="inlineStr">
        <is>
          <t>연결</t>
        </is>
      </c>
      <c r="D2458" s="6" t="inlineStr">
        <is>
          <t>2026Q2</t>
        </is>
      </c>
      <c r="E2458" s="6" t="inlineStr"/>
      <c r="F2458" s="7" t="inlineStr"/>
      <c r="G2458" s="8" t="inlineStr"/>
      <c r="H2458" s="8" t="inlineStr"/>
      <c r="I2458" s="9" t="n">
        <v>6355</v>
      </c>
      <c r="J2458" s="10" t="n">
        <v>-1864</v>
      </c>
      <c r="K2458" s="10" t="n">
        <v>-1745</v>
      </c>
      <c r="L2458" s="7" t="n">
        <v>3355</v>
      </c>
      <c r="M2458" s="8" t="n">
        <v>-2414</v>
      </c>
      <c r="N2458" s="8" t="n">
        <v>-2233</v>
      </c>
      <c r="O2458" s="9" t="n">
        <v>7425</v>
      </c>
      <c r="P2458" s="10" t="n">
        <v>-2507</v>
      </c>
      <c r="Q2458" s="10" t="n">
        <v>-2445</v>
      </c>
      <c r="R2458" s="7" t="n">
        <v>7831</v>
      </c>
      <c r="S2458" s="8" t="n">
        <v>-3254</v>
      </c>
      <c r="T2458" s="8" t="n">
        <v>-3079</v>
      </c>
      <c r="U2458" s="9" t="n">
        <v>14263</v>
      </c>
      <c r="V2458" s="10" t="n">
        <v>-2459</v>
      </c>
      <c r="W2458" s="10" t="n">
        <v>-2432</v>
      </c>
      <c r="X2458" s="7" t="n">
        <v>11570</v>
      </c>
      <c r="Y2458" s="8" t="n">
        <v>-2047</v>
      </c>
      <c r="Z2458" s="8" t="n">
        <v>-1996</v>
      </c>
      <c r="AA2458" s="9" t="n">
        <v>10007</v>
      </c>
      <c r="AB2458" s="10" t="n">
        <v>-2128</v>
      </c>
      <c r="AC2458" s="10" t="n">
        <v>-2065</v>
      </c>
      <c r="AD2458" s="7" t="n">
        <v>1229</v>
      </c>
      <c r="AE2458" s="8" t="n">
        <v>-2104</v>
      </c>
      <c r="AF2458" s="8" t="n">
        <v>-2137</v>
      </c>
      <c r="AG2458" s="9" t="n">
        <v>12809</v>
      </c>
      <c r="AH2458" s="10" t="n">
        <v>-4048</v>
      </c>
      <c r="AI2458" s="10" t="n">
        <v>-4123</v>
      </c>
      <c r="AJ2458" s="11" t="n">
        <v>20450</v>
      </c>
      <c r="AK2458" s="12" t="n">
        <v>-1978</v>
      </c>
      <c r="AL2458" s="12" t="n">
        <v>-2153</v>
      </c>
      <c r="AM2458" s="13" t="n">
        <v>59.7</v>
      </c>
      <c r="AN2458" s="13" t="n">
        <v>76.8</v>
      </c>
      <c r="AO2458" s="13" t="n">
        <v>51.1</v>
      </c>
      <c r="AP2458" s="13" t="n">
        <v>3.4</v>
      </c>
    </row>
    <row r="2459">
      <c r="A2459" s="5" t="inlineStr">
        <is>
          <t>케이엔에스</t>
        </is>
      </c>
      <c r="B2459" s="6" t="inlineStr">
        <is>
          <t>432470</t>
        </is>
      </c>
      <c r="C2459" s="6" t="inlineStr">
        <is>
          <t>연결</t>
        </is>
      </c>
      <c r="D2459" s="6" t="inlineStr">
        <is>
          <t>2026Q2</t>
        </is>
      </c>
      <c r="E2459" s="6" t="inlineStr"/>
      <c r="F2459" s="7" t="inlineStr"/>
      <c r="G2459" s="8" t="inlineStr"/>
      <c r="H2459" s="8" t="inlineStr"/>
      <c r="I2459" s="9" t="n">
        <v>9458</v>
      </c>
      <c r="J2459" s="10" t="n">
        <v>703</v>
      </c>
      <c r="K2459" s="10" t="n">
        <v>900</v>
      </c>
      <c r="L2459" s="7" t="n">
        <v>6528</v>
      </c>
      <c r="M2459" s="8" t="n">
        <v>109</v>
      </c>
      <c r="N2459" s="8" t="n">
        <v>336</v>
      </c>
      <c r="O2459" s="9" t="n">
        <v>7541</v>
      </c>
      <c r="P2459" s="10" t="n">
        <v>375</v>
      </c>
      <c r="Q2459" s="10" t="n">
        <v>440</v>
      </c>
      <c r="R2459" s="7" t="n">
        <v>3429</v>
      </c>
      <c r="S2459" s="8" t="n">
        <v>-379</v>
      </c>
      <c r="T2459" s="8" t="n">
        <v>286</v>
      </c>
      <c r="U2459" s="9" t="n">
        <v>13587</v>
      </c>
      <c r="V2459" s="10" t="n">
        <v>1092</v>
      </c>
      <c r="W2459" s="10" t="n">
        <v>960</v>
      </c>
      <c r="X2459" s="7" t="n">
        <v>13014</v>
      </c>
      <c r="Y2459" s="8" t="n">
        <v>643</v>
      </c>
      <c r="Z2459" s="8" t="n">
        <v>1081</v>
      </c>
      <c r="AA2459" s="9" t="n">
        <v>8500</v>
      </c>
      <c r="AB2459" s="10" t="n">
        <v>-157</v>
      </c>
      <c r="AC2459" s="10" t="n">
        <v>225</v>
      </c>
      <c r="AD2459" s="7" t="n">
        <v>6129</v>
      </c>
      <c r="AE2459" s="8" t="n">
        <v>-3142</v>
      </c>
      <c r="AF2459" s="8" t="n">
        <v>-3311</v>
      </c>
      <c r="AG2459" s="9" t="n">
        <v>13282</v>
      </c>
      <c r="AH2459" s="10" t="n">
        <v>1337</v>
      </c>
      <c r="AI2459" s="10" t="n">
        <v>796</v>
      </c>
      <c r="AJ2459" s="11" t="n">
        <v>17234</v>
      </c>
      <c r="AK2459" s="12" t="n">
        <v>1716</v>
      </c>
      <c r="AL2459" s="12" t="n">
        <v>-21</v>
      </c>
      <c r="AM2459" s="13" t="n">
        <v>29.8</v>
      </c>
      <c r="AN2459" s="13" t="n">
        <v>32.4</v>
      </c>
      <c r="AO2459" s="13" t="n">
        <v>28.3</v>
      </c>
      <c r="AP2459" s="13" t="n">
        <v>166.9</v>
      </c>
    </row>
    <row r="2460">
      <c r="A2460" s="5" t="inlineStr">
        <is>
          <t>퀄리타스반도체</t>
        </is>
      </c>
      <c r="B2460" s="6" t="inlineStr">
        <is>
          <t>432720</t>
        </is>
      </c>
      <c r="C2460" s="6" t="inlineStr">
        <is>
          <t>연결</t>
        </is>
      </c>
      <c r="D2460" s="6" t="inlineStr">
        <is>
          <t>2026Q2</t>
        </is>
      </c>
      <c r="E2460" s="6" t="inlineStr"/>
      <c r="F2460" s="7" t="inlineStr"/>
      <c r="G2460" s="8" t="inlineStr"/>
      <c r="H2460" s="8" t="inlineStr"/>
      <c r="I2460" s="9" t="n">
        <v>743</v>
      </c>
      <c r="J2460" s="10" t="n">
        <v>-5929</v>
      </c>
      <c r="K2460" s="10" t="n">
        <v>-5432</v>
      </c>
      <c r="L2460" s="7" t="n">
        <v>438</v>
      </c>
      <c r="M2460" s="8" t="n">
        <v>-5626</v>
      </c>
      <c r="N2460" s="8" t="n">
        <v>-4457</v>
      </c>
      <c r="O2460" s="9" t="n">
        <v>1177</v>
      </c>
      <c r="P2460" s="10" t="n">
        <v>-5903</v>
      </c>
      <c r="Q2460" s="10" t="n">
        <v>-5548</v>
      </c>
      <c r="R2460" s="7" t="n">
        <v>3717</v>
      </c>
      <c r="S2460" s="8" t="n">
        <v>-5236</v>
      </c>
      <c r="T2460" s="8" t="n">
        <v>-3620</v>
      </c>
      <c r="U2460" s="9" t="n">
        <v>1880</v>
      </c>
      <c r="V2460" s="10" t="n">
        <v>-5043</v>
      </c>
      <c r="W2460" s="10" t="n">
        <v>-4733</v>
      </c>
      <c r="X2460" s="7" t="n">
        <v>915</v>
      </c>
      <c r="Y2460" s="8" t="n">
        <v>-6371</v>
      </c>
      <c r="Z2460" s="8" t="n">
        <v>-5571</v>
      </c>
      <c r="AA2460" s="9" t="n">
        <v>842</v>
      </c>
      <c r="AB2460" s="10" t="n">
        <v>-6570</v>
      </c>
      <c r="AC2460" s="10" t="n">
        <v>-4967</v>
      </c>
      <c r="AD2460" s="7" t="n">
        <v>1713</v>
      </c>
      <c r="AE2460" s="8" t="n">
        <v>-6488</v>
      </c>
      <c r="AF2460" s="8" t="n">
        <v>-7819</v>
      </c>
      <c r="AG2460" s="9" t="n">
        <v>5154</v>
      </c>
      <c r="AH2460" s="10" t="n">
        <v>-4740</v>
      </c>
      <c r="AI2460" s="10" t="n">
        <v>-4161</v>
      </c>
      <c r="AJ2460" s="11" t="n">
        <v>6343</v>
      </c>
      <c r="AK2460" s="12" t="n">
        <v>-865</v>
      </c>
      <c r="AL2460" s="12" t="n">
        <v>-1800</v>
      </c>
      <c r="AM2460" s="13" t="n">
        <v>23.1</v>
      </c>
      <c r="AN2460" s="13" t="n">
        <v>593.2</v>
      </c>
      <c r="AO2460" s="13" t="n">
        <v>81.8</v>
      </c>
      <c r="AP2460" s="13" t="n">
        <v>86.40000000000001</v>
      </c>
    </row>
    <row r="2461">
      <c r="A2461" s="5" t="inlineStr">
        <is>
          <t>엠에프씨</t>
        </is>
      </c>
      <c r="B2461" s="6" t="inlineStr">
        <is>
          <t>432980</t>
        </is>
      </c>
      <c r="C2461" s="6" t="inlineStr">
        <is>
          <t>별도</t>
        </is>
      </c>
      <c r="D2461" s="6" t="inlineStr">
        <is>
          <t>2026Q2</t>
        </is>
      </c>
      <c r="E2461" s="6" t="inlineStr"/>
      <c r="F2461" s="7" t="inlineStr"/>
      <c r="G2461" s="8" t="inlineStr"/>
      <c r="H2461" s="8" t="inlineStr"/>
      <c r="I2461" s="9" t="inlineStr"/>
      <c r="J2461" s="10" t="inlineStr"/>
      <c r="K2461" s="10" t="inlineStr"/>
      <c r="L2461" s="7" t="inlineStr"/>
      <c r="M2461" s="8" t="inlineStr"/>
      <c r="N2461" s="8" t="inlineStr"/>
      <c r="O2461" s="9" t="inlineStr"/>
      <c r="P2461" s="10" t="inlineStr"/>
      <c r="Q2461" s="10" t="inlineStr"/>
      <c r="R2461" s="7" t="inlineStr"/>
      <c r="S2461" s="8" t="inlineStr"/>
      <c r="T2461" s="8" t="inlineStr"/>
      <c r="U2461" s="9" t="n">
        <v>5867</v>
      </c>
      <c r="V2461" s="10" t="n">
        <v>107</v>
      </c>
      <c r="W2461" s="10" t="n">
        <v>32</v>
      </c>
      <c r="X2461" s="7" t="n">
        <v>5408</v>
      </c>
      <c r="Y2461" s="8" t="n">
        <v>643</v>
      </c>
      <c r="Z2461" s="8" t="n">
        <v>1133</v>
      </c>
      <c r="AA2461" s="9" t="n">
        <v>4516</v>
      </c>
      <c r="AB2461" s="10" t="n">
        <v>1</v>
      </c>
      <c r="AC2461" s="10" t="n">
        <v>-188</v>
      </c>
      <c r="AD2461" s="7" t="n">
        <v>5009</v>
      </c>
      <c r="AE2461" s="8" t="n">
        <v>-454</v>
      </c>
      <c r="AF2461" s="8" t="n">
        <v>-155</v>
      </c>
      <c r="AG2461" s="9" t="n">
        <v>3181</v>
      </c>
      <c r="AH2461" s="10" t="n">
        <v>-347</v>
      </c>
      <c r="AI2461" s="10" t="n">
        <v>-565</v>
      </c>
      <c r="AJ2461" s="11" t="n">
        <v>5998</v>
      </c>
      <c r="AK2461" s="12" t="n">
        <v>239</v>
      </c>
      <c r="AL2461" s="12" t="n">
        <v>300</v>
      </c>
      <c r="AM2461" s="13" t="n">
        <v>88.59999999999999</v>
      </c>
      <c r="AN2461" s="13" t="n">
        <v>10.9</v>
      </c>
      <c r="AO2461" s="13" t="n">
        <v>168.9</v>
      </c>
      <c r="AP2461" s="13" t="n">
        <v>-62.8</v>
      </c>
    </row>
    <row r="2462">
      <c r="A2462" s="5" t="inlineStr">
        <is>
          <t>모니터랩</t>
        </is>
      </c>
      <c r="B2462" s="6" t="inlineStr">
        <is>
          <t>434480</t>
        </is>
      </c>
      <c r="C2462" s="6" t="inlineStr">
        <is>
          <t>연결</t>
        </is>
      </c>
      <c r="D2462" s="6" t="inlineStr">
        <is>
          <t>2026Q2</t>
        </is>
      </c>
      <c r="E2462" s="6" t="inlineStr"/>
      <c r="F2462" s="7" t="inlineStr"/>
      <c r="G2462" s="8" t="inlineStr"/>
      <c r="H2462" s="8" t="inlineStr"/>
      <c r="I2462" s="9" t="n">
        <v>3038</v>
      </c>
      <c r="J2462" s="10" t="n">
        <v>-493</v>
      </c>
      <c r="K2462" s="10" t="n">
        <v>-35</v>
      </c>
      <c r="L2462" s="7" t="n">
        <v>3522</v>
      </c>
      <c r="M2462" s="8" t="n">
        <v>-375</v>
      </c>
      <c r="N2462" s="8" t="n">
        <v>756</v>
      </c>
      <c r="O2462" s="9" t="n">
        <v>3411</v>
      </c>
      <c r="P2462" s="10" t="n">
        <v>-230</v>
      </c>
      <c r="Q2462" s="10" t="n">
        <v>-68</v>
      </c>
      <c r="R2462" s="7" t="n">
        <v>4938</v>
      </c>
      <c r="S2462" s="8" t="n">
        <v>454</v>
      </c>
      <c r="T2462" s="8" t="n">
        <v>1427</v>
      </c>
      <c r="U2462" s="9" t="n">
        <v>3430</v>
      </c>
      <c r="V2462" s="10" t="n">
        <v>-464</v>
      </c>
      <c r="W2462" s="10" t="n">
        <v>-299</v>
      </c>
      <c r="X2462" s="7" t="n">
        <v>3805</v>
      </c>
      <c r="Y2462" s="8" t="n">
        <v>-121</v>
      </c>
      <c r="Z2462" s="8" t="n">
        <v>-535</v>
      </c>
      <c r="AA2462" s="9" t="n">
        <v>5109</v>
      </c>
      <c r="AB2462" s="10" t="n">
        <v>442</v>
      </c>
      <c r="AC2462" s="10" t="n">
        <v>608</v>
      </c>
      <c r="AD2462" s="7" t="n">
        <v>6825</v>
      </c>
      <c r="AE2462" s="8" t="n">
        <v>1086</v>
      </c>
      <c r="AF2462" s="8" t="n">
        <v>895</v>
      </c>
      <c r="AG2462" s="9" t="n">
        <v>3639</v>
      </c>
      <c r="AH2462" s="10" t="n">
        <v>-710</v>
      </c>
      <c r="AI2462" s="10" t="n">
        <v>-522</v>
      </c>
      <c r="AJ2462" s="11" t="n">
        <v>5629</v>
      </c>
      <c r="AK2462" s="12" t="n">
        <v>427</v>
      </c>
      <c r="AL2462" s="12" t="n">
        <v>988</v>
      </c>
      <c r="AM2462" s="13" t="n">
        <v>54.7</v>
      </c>
      <c r="AN2462" s="13" t="n">
        <v>47.9</v>
      </c>
      <c r="AO2462" s="13" t="n">
        <v>160.1</v>
      </c>
      <c r="AP2462" s="13" t="n">
        <v>452.9</v>
      </c>
    </row>
    <row r="2463">
      <c r="A2463" s="5" t="inlineStr">
        <is>
          <t>에르코스</t>
        </is>
      </c>
      <c r="B2463" s="6" t="inlineStr">
        <is>
          <t>435570</t>
        </is>
      </c>
      <c r="C2463" s="6" t="inlineStr">
        <is>
          <t>연결</t>
        </is>
      </c>
      <c r="D2463" s="6" t="inlineStr">
        <is>
          <t>2026Q2</t>
        </is>
      </c>
      <c r="E2463" s="6" t="inlineStr"/>
      <c r="F2463" s="7" t="inlineStr"/>
      <c r="G2463" s="8" t="inlineStr"/>
      <c r="H2463" s="8" t="inlineStr"/>
      <c r="I2463" s="9" t="inlineStr"/>
      <c r="J2463" s="10" t="inlineStr"/>
      <c r="K2463" s="10" t="inlineStr"/>
      <c r="L2463" s="7" t="inlineStr"/>
      <c r="M2463" s="8" t="inlineStr"/>
      <c r="N2463" s="8" t="inlineStr"/>
      <c r="O2463" s="9" t="inlineStr"/>
      <c r="P2463" s="10" t="inlineStr"/>
      <c r="Q2463" s="10" t="inlineStr"/>
      <c r="R2463" s="7" t="inlineStr"/>
      <c r="S2463" s="8" t="inlineStr"/>
      <c r="T2463" s="8" t="inlineStr"/>
      <c r="U2463" s="9" t="n">
        <v>8163</v>
      </c>
      <c r="V2463" s="10" t="n">
        <v>398</v>
      </c>
      <c r="W2463" s="10" t="n">
        <v>-2728</v>
      </c>
      <c r="X2463" s="7" t="n">
        <v>8761</v>
      </c>
      <c r="Y2463" s="8" t="n">
        <v>89</v>
      </c>
      <c r="Z2463" s="8" t="n">
        <v>-5314</v>
      </c>
      <c r="AA2463" s="9" t="n">
        <v>8989</v>
      </c>
      <c r="AB2463" s="10" t="n">
        <v>-77</v>
      </c>
      <c r="AC2463" s="10" t="n">
        <v>-306</v>
      </c>
      <c r="AD2463" s="7" t="n">
        <v>9715</v>
      </c>
      <c r="AE2463" s="8" t="n">
        <v>-140</v>
      </c>
      <c r="AF2463" s="8" t="n">
        <v>2155</v>
      </c>
      <c r="AG2463" s="9" t="n">
        <v>8768</v>
      </c>
      <c r="AH2463" s="10" t="n">
        <v>-583</v>
      </c>
      <c r="AI2463" s="10" t="n">
        <v>-916</v>
      </c>
      <c r="AJ2463" s="11" t="n">
        <v>10269</v>
      </c>
      <c r="AK2463" s="12" t="n">
        <v>-478</v>
      </c>
      <c r="AL2463" s="12" t="n">
        <v>-2579</v>
      </c>
      <c r="AM2463" s="13" t="n">
        <v>17.1</v>
      </c>
      <c r="AN2463" s="13" t="n">
        <v>17.2</v>
      </c>
      <c r="AO2463" s="13" t="n">
        <v>18</v>
      </c>
      <c r="AP2463" s="13" t="n">
        <v>-637.1</v>
      </c>
    </row>
    <row r="2464">
      <c r="A2464" s="5" t="inlineStr">
        <is>
          <t>삼현</t>
        </is>
      </c>
      <c r="B2464" s="6" t="inlineStr">
        <is>
          <t>437730</t>
        </is>
      </c>
      <c r="C2464" s="6" t="inlineStr">
        <is>
          <t>연결</t>
        </is>
      </c>
      <c r="D2464" s="6" t="inlineStr">
        <is>
          <t>2026Q2</t>
        </is>
      </c>
      <c r="E2464" s="6" t="inlineStr"/>
      <c r="F2464" s="7" t="inlineStr"/>
      <c r="G2464" s="8" t="inlineStr"/>
      <c r="H2464" s="8" t="inlineStr"/>
      <c r="I2464" s="9" t="n">
        <v>23609</v>
      </c>
      <c r="J2464" s="10" t="n">
        <v>1941</v>
      </c>
      <c r="K2464" s="10" t="n">
        <v>2067</v>
      </c>
      <c r="L2464" s="7" t="n">
        <v>26144</v>
      </c>
      <c r="M2464" s="8" t="n">
        <v>1738</v>
      </c>
      <c r="N2464" s="8" t="n">
        <v>3003</v>
      </c>
      <c r="O2464" s="9" t="n">
        <v>24289</v>
      </c>
      <c r="P2464" s="10" t="n">
        <v>1860</v>
      </c>
      <c r="Q2464" s="10" t="n">
        <v>1960</v>
      </c>
      <c r="R2464" s="7" t="n">
        <v>26406</v>
      </c>
      <c r="S2464" s="8" t="n">
        <v>-22</v>
      </c>
      <c r="T2464" s="8" t="n">
        <v>1284</v>
      </c>
      <c r="U2464" s="9" t="n">
        <v>24327</v>
      </c>
      <c r="V2464" s="10" t="n">
        <v>1902</v>
      </c>
      <c r="W2464" s="10" t="n">
        <v>2537</v>
      </c>
      <c r="X2464" s="7" t="n">
        <v>26860</v>
      </c>
      <c r="Y2464" s="8" t="n">
        <v>1517</v>
      </c>
      <c r="Z2464" s="8" t="n">
        <v>3235</v>
      </c>
      <c r="AA2464" s="9" t="n">
        <v>22487</v>
      </c>
      <c r="AB2464" s="10" t="n">
        <v>-1323</v>
      </c>
      <c r="AC2464" s="10" t="n">
        <v>-446</v>
      </c>
      <c r="AD2464" s="7" t="n">
        <v>21368</v>
      </c>
      <c r="AE2464" s="8" t="n">
        <v>-1291</v>
      </c>
      <c r="AF2464" s="8" t="n">
        <v>4365</v>
      </c>
      <c r="AG2464" s="9" t="n">
        <v>18764</v>
      </c>
      <c r="AH2464" s="10" t="n">
        <v>-2495</v>
      </c>
      <c r="AI2464" s="10" t="n">
        <v>-2671</v>
      </c>
      <c r="AJ2464" s="11" t="n">
        <v>20996</v>
      </c>
      <c r="AK2464" s="12" t="n">
        <v>-5389</v>
      </c>
      <c r="AL2464" s="12" t="n">
        <v>-7018</v>
      </c>
      <c r="AM2464" s="13" t="n">
        <v>11.9</v>
      </c>
      <c r="AN2464" s="13" t="n">
        <v>-21.8</v>
      </c>
      <c r="AO2464" s="13" t="n">
        <v>-116</v>
      </c>
      <c r="AP2464" s="13" t="n">
        <v>-455.2</v>
      </c>
    </row>
    <row r="2465">
      <c r="A2465" s="5" t="inlineStr">
        <is>
          <t>버넥트</t>
        </is>
      </c>
      <c r="B2465" s="6" t="inlineStr">
        <is>
          <t>438700</t>
        </is>
      </c>
      <c r="C2465" s="6" t="inlineStr">
        <is>
          <t>연결</t>
        </is>
      </c>
      <c r="D2465" s="6" t="inlineStr">
        <is>
          <t>2026Q2</t>
        </is>
      </c>
      <c r="E2465" s="6" t="inlineStr"/>
      <c r="F2465" s="7" t="inlineStr"/>
      <c r="G2465" s="8" t="inlineStr"/>
      <c r="H2465" s="8" t="inlineStr"/>
      <c r="I2465" s="9" t="n">
        <v>956</v>
      </c>
      <c r="J2465" s="10" t="n">
        <v>-3713</v>
      </c>
      <c r="K2465" s="10" t="n">
        <v>-3555</v>
      </c>
      <c r="L2465" s="7" t="n">
        <v>693</v>
      </c>
      <c r="M2465" s="8" t="n">
        <v>-3274</v>
      </c>
      <c r="N2465" s="8" t="n">
        <v>-3117</v>
      </c>
      <c r="O2465" s="9" t="n">
        <v>919</v>
      </c>
      <c r="P2465" s="10" t="n">
        <v>-3012</v>
      </c>
      <c r="Q2465" s="10" t="n">
        <v>-3200</v>
      </c>
      <c r="R2465" s="7" t="n">
        <v>2031</v>
      </c>
      <c r="S2465" s="8" t="n">
        <v>-2698</v>
      </c>
      <c r="T2465" s="8" t="n">
        <v>-2769</v>
      </c>
      <c r="U2465" s="9" t="n">
        <v>926</v>
      </c>
      <c r="V2465" s="10" t="n">
        <v>-2936</v>
      </c>
      <c r="W2465" s="10" t="n">
        <v>-2669</v>
      </c>
      <c r="X2465" s="7" t="n">
        <v>583</v>
      </c>
      <c r="Y2465" s="8" t="n">
        <v>-2434</v>
      </c>
      <c r="Z2465" s="8" t="n">
        <v>-1997</v>
      </c>
      <c r="AA2465" s="9" t="n">
        <v>684</v>
      </c>
      <c r="AB2465" s="10" t="n">
        <v>-2392</v>
      </c>
      <c r="AC2465" s="10" t="n">
        <v>-2235</v>
      </c>
      <c r="AD2465" s="7" t="n">
        <v>904</v>
      </c>
      <c r="AE2465" s="8" t="n">
        <v>-729</v>
      </c>
      <c r="AF2465" s="8" t="n">
        <v>1867</v>
      </c>
      <c r="AG2465" s="9" t="n">
        <v>3797</v>
      </c>
      <c r="AH2465" s="10" t="n">
        <v>-1474</v>
      </c>
      <c r="AI2465" s="10" t="n">
        <v>-1707</v>
      </c>
      <c r="AJ2465" s="11" t="n">
        <v>3459</v>
      </c>
      <c r="AK2465" s="12" t="n">
        <v>-1839</v>
      </c>
      <c r="AL2465" s="12" t="n">
        <v>-2091</v>
      </c>
      <c r="AM2465" s="13" t="n">
        <v>-8.9</v>
      </c>
      <c r="AN2465" s="13" t="n">
        <v>493.3</v>
      </c>
      <c r="AO2465" s="13" t="n">
        <v>-24.8</v>
      </c>
      <c r="AP2465" s="13" t="n">
        <v>24.4</v>
      </c>
    </row>
    <row r="2466">
      <c r="A2466" s="5" t="inlineStr">
        <is>
          <t>마녀공장</t>
        </is>
      </c>
      <c r="B2466" s="6" t="inlineStr">
        <is>
          <t>439090</t>
        </is>
      </c>
      <c r="C2466" s="6" t="inlineStr">
        <is>
          <t>연결</t>
        </is>
      </c>
      <c r="D2466" s="6" t="inlineStr">
        <is>
          <t>2026Q2</t>
        </is>
      </c>
      <c r="E2466" s="6" t="inlineStr"/>
      <c r="F2466" s="7" t="inlineStr"/>
      <c r="G2466" s="8" t="inlineStr"/>
      <c r="H2466" s="8" t="inlineStr"/>
      <c r="I2466" s="9" t="n">
        <v>31010</v>
      </c>
      <c r="J2466" s="10" t="n">
        <v>4063</v>
      </c>
      <c r="K2466" s="10" t="n">
        <v>2953</v>
      </c>
      <c r="L2466" s="7" t="n">
        <v>36628</v>
      </c>
      <c r="M2466" s="8" t="n">
        <v>8314</v>
      </c>
      <c r="N2466" s="8" t="n">
        <v>6592</v>
      </c>
      <c r="O2466" s="9" t="n">
        <v>28820</v>
      </c>
      <c r="P2466" s="10" t="n">
        <v>2563</v>
      </c>
      <c r="Q2466" s="10" t="n">
        <v>3210</v>
      </c>
      <c r="R2466" s="7" t="n">
        <v>31461</v>
      </c>
      <c r="S2466" s="8" t="n">
        <v>3617</v>
      </c>
      <c r="T2466" s="8" t="n">
        <v>3613</v>
      </c>
      <c r="U2466" s="9" t="n">
        <v>26869</v>
      </c>
      <c r="V2466" s="10" t="n">
        <v>1419</v>
      </c>
      <c r="W2466" s="10" t="n">
        <v>2780</v>
      </c>
      <c r="X2466" s="7" t="n">
        <v>31693</v>
      </c>
      <c r="Y2466" s="8" t="n">
        <v>2983</v>
      </c>
      <c r="Z2466" s="8" t="n">
        <v>1902</v>
      </c>
      <c r="AA2466" s="9" t="n">
        <v>28702</v>
      </c>
      <c r="AB2466" s="10" t="n">
        <v>4020</v>
      </c>
      <c r="AC2466" s="10" t="n">
        <v>2691</v>
      </c>
      <c r="AD2466" s="7" t="n">
        <v>25752</v>
      </c>
      <c r="AE2466" s="8" t="n">
        <v>2033</v>
      </c>
      <c r="AF2466" s="8" t="n">
        <v>1753</v>
      </c>
      <c r="AG2466" s="9" t="n">
        <v>26915</v>
      </c>
      <c r="AH2466" s="10" t="n">
        <v>6053</v>
      </c>
      <c r="AI2466" s="10" t="n">
        <v>6103</v>
      </c>
      <c r="AJ2466" s="11" t="n">
        <v>25810</v>
      </c>
      <c r="AK2466" s="12" t="n">
        <v>2524</v>
      </c>
      <c r="AL2466" s="12" t="n">
        <v>2807</v>
      </c>
      <c r="AM2466" s="13" t="n">
        <v>-4.1</v>
      </c>
      <c r="AN2466" s="13" t="n">
        <v>-18.6</v>
      </c>
      <c r="AO2466" s="13" t="n">
        <v>-58.3</v>
      </c>
      <c r="AP2466" s="13" t="n">
        <v>-15.4</v>
      </c>
    </row>
    <row r="2467">
      <c r="A2467" s="5" t="inlineStr">
        <is>
          <t>대한조선</t>
        </is>
      </c>
      <c r="B2467" s="6" t="inlineStr">
        <is>
          <t>439260</t>
        </is>
      </c>
      <c r="C2467" s="6" t="inlineStr">
        <is>
          <t>연결</t>
        </is>
      </c>
      <c r="D2467" s="6" t="inlineStr">
        <is>
          <t>2026Q2</t>
        </is>
      </c>
      <c r="E2467" s="6" t="inlineStr">
        <is>
          <t>2025Q4</t>
        </is>
      </c>
      <c r="F2467" s="7" t="inlineStr"/>
      <c r="G2467" s="8" t="inlineStr"/>
      <c r="H2467" s="8" t="inlineStr"/>
      <c r="I2467" s="9" t="inlineStr"/>
      <c r="J2467" s="10" t="inlineStr"/>
      <c r="K2467" s="10" t="inlineStr"/>
      <c r="L2467" s="7" t="inlineStr"/>
      <c r="M2467" s="8" t="inlineStr"/>
      <c r="N2467" s="8" t="inlineStr"/>
      <c r="O2467" s="9" t="inlineStr"/>
      <c r="P2467" s="10" t="inlineStr"/>
      <c r="Q2467" s="10" t="inlineStr"/>
      <c r="R2467" s="7" t="inlineStr"/>
      <c r="S2467" s="8" t="inlineStr"/>
      <c r="T2467" s="8" t="inlineStr"/>
      <c r="U2467" s="9" t="inlineStr"/>
      <c r="V2467" s="10" t="inlineStr"/>
      <c r="W2467" s="10" t="inlineStr"/>
      <c r="X2467" s="7" t="n">
        <v>296048</v>
      </c>
      <c r="Y2467" s="8" t="n">
        <v>62467</v>
      </c>
      <c r="Z2467" s="8" t="n">
        <v>43683</v>
      </c>
      <c r="AA2467" s="9" t="n">
        <v>273973</v>
      </c>
      <c r="AB2467" s="10" t="n">
        <v>66489</v>
      </c>
      <c r="AC2467" s="10" t="n">
        <v>65817</v>
      </c>
      <c r="AD2467" s="14" t="n">
        <v>350400</v>
      </c>
      <c r="AE2467" s="15" t="n">
        <v>95300</v>
      </c>
      <c r="AF2467" s="15" t="n">
        <v>75100</v>
      </c>
      <c r="AG2467" s="9" t="n">
        <v>308271</v>
      </c>
      <c r="AH2467" s="10" t="n">
        <v>82639</v>
      </c>
      <c r="AI2467" s="10" t="n">
        <v>77395</v>
      </c>
      <c r="AJ2467" s="11" t="n">
        <v>354435</v>
      </c>
      <c r="AK2467" s="12" t="n">
        <v>95248</v>
      </c>
      <c r="AL2467" s="12" t="n">
        <v>78724</v>
      </c>
      <c r="AM2467" s="13" t="n">
        <v>15</v>
      </c>
      <c r="AN2467" s="13" t="n">
        <v>19.7</v>
      </c>
      <c r="AO2467" s="13" t="n">
        <v>15.3</v>
      </c>
      <c r="AP2467" s="13" t="n">
        <v>52.5</v>
      </c>
    </row>
    <row r="2468">
      <c r="A2468" s="5" t="inlineStr">
        <is>
          <t>블루엠텍</t>
        </is>
      </c>
      <c r="B2468" s="6" t="inlineStr">
        <is>
          <t>439580</t>
        </is>
      </c>
      <c r="C2468" s="6" t="inlineStr">
        <is>
          <t>연결</t>
        </is>
      </c>
      <c r="D2468" s="6" t="inlineStr">
        <is>
          <t>2026Q2</t>
        </is>
      </c>
      <c r="E2468" s="6" t="inlineStr"/>
      <c r="F2468" s="7" t="inlineStr"/>
      <c r="G2468" s="8" t="inlineStr"/>
      <c r="H2468" s="8" t="inlineStr"/>
      <c r="I2468" s="9" t="n">
        <v>27630</v>
      </c>
      <c r="J2468" s="10" t="n">
        <v>-1767</v>
      </c>
      <c r="K2468" s="10" t="n">
        <v>-1843</v>
      </c>
      <c r="L2468" s="7" t="n">
        <v>25624</v>
      </c>
      <c r="M2468" s="8" t="n">
        <v>-1638</v>
      </c>
      <c r="N2468" s="8" t="n">
        <v>2421</v>
      </c>
      <c r="O2468" s="9" t="n">
        <v>47131</v>
      </c>
      <c r="P2468" s="10" t="n">
        <v>-234</v>
      </c>
      <c r="Q2468" s="10" t="n">
        <v>-3438</v>
      </c>
      <c r="R2468" s="7" t="n">
        <v>32901</v>
      </c>
      <c r="S2468" s="8" t="n">
        <v>-3257</v>
      </c>
      <c r="T2468" s="8" t="n">
        <v>-1942</v>
      </c>
      <c r="U2468" s="9" t="n">
        <v>34175</v>
      </c>
      <c r="V2468" s="10" t="n">
        <v>-1030</v>
      </c>
      <c r="W2468" s="10" t="n">
        <v>-1609</v>
      </c>
      <c r="X2468" s="7" t="n">
        <v>45650</v>
      </c>
      <c r="Y2468" s="8" t="n">
        <v>-800</v>
      </c>
      <c r="Z2468" s="8" t="n">
        <v>-2496</v>
      </c>
      <c r="AA2468" s="9" t="n">
        <v>52137</v>
      </c>
      <c r="AB2468" s="10" t="n">
        <v>347</v>
      </c>
      <c r="AC2468" s="10" t="n">
        <v>-487</v>
      </c>
      <c r="AD2468" s="7" t="n">
        <v>53943</v>
      </c>
      <c r="AE2468" s="8" t="n">
        <v>-488</v>
      </c>
      <c r="AF2468" s="8" t="n">
        <v>79</v>
      </c>
      <c r="AG2468" s="9" t="n">
        <v>44036</v>
      </c>
      <c r="AH2468" s="10" t="n">
        <v>-743</v>
      </c>
      <c r="AI2468" s="10" t="n">
        <v>2642</v>
      </c>
      <c r="AJ2468" s="11" t="n">
        <v>54967</v>
      </c>
      <c r="AK2468" s="12" t="n">
        <v>182</v>
      </c>
      <c r="AL2468" s="12" t="n">
        <v>1976</v>
      </c>
      <c r="AM2468" s="13" t="n">
        <v>24.8</v>
      </c>
      <c r="AN2468" s="13" t="n">
        <v>20.4</v>
      </c>
      <c r="AO2468" s="13" t="n">
        <v>124.5</v>
      </c>
      <c r="AP2468" s="13" t="n">
        <v>122.8</v>
      </c>
    </row>
    <row r="2469">
      <c r="A2469" s="5" t="inlineStr">
        <is>
          <t>코스모로보틱스</t>
        </is>
      </c>
      <c r="B2469" s="6" t="inlineStr">
        <is>
          <t>439960</t>
        </is>
      </c>
      <c r="C2469" s="6" t="inlineStr">
        <is>
          <t>연결</t>
        </is>
      </c>
      <c r="D2469" s="6" t="inlineStr">
        <is>
          <t>2026Q2</t>
        </is>
      </c>
      <c r="E2469" s="6" t="inlineStr"/>
      <c r="F2469" s="7" t="inlineStr"/>
      <c r="G2469" s="8" t="inlineStr"/>
      <c r="H2469" s="8" t="inlineStr"/>
      <c r="I2469" s="9" t="inlineStr"/>
      <c r="J2469" s="10" t="inlineStr"/>
      <c r="K2469" s="10" t="inlineStr"/>
      <c r="L2469" s="7" t="inlineStr"/>
      <c r="M2469" s="8" t="inlineStr"/>
      <c r="N2469" s="8" t="inlineStr"/>
      <c r="O2469" s="9" t="inlineStr"/>
      <c r="P2469" s="10" t="inlineStr"/>
      <c r="Q2469" s="10" t="inlineStr"/>
      <c r="R2469" s="7" t="inlineStr"/>
      <c r="S2469" s="8" t="inlineStr"/>
      <c r="T2469" s="8" t="inlineStr"/>
      <c r="U2469" s="9" t="inlineStr"/>
      <c r="V2469" s="10" t="inlineStr"/>
      <c r="W2469" s="10" t="inlineStr"/>
      <c r="X2469" s="7" t="inlineStr"/>
      <c r="Y2469" s="8" t="inlineStr"/>
      <c r="Z2469" s="8" t="inlineStr"/>
      <c r="AA2469" s="9" t="inlineStr"/>
      <c r="AB2469" s="10" t="inlineStr"/>
      <c r="AC2469" s="10" t="inlineStr"/>
      <c r="AD2469" s="7" t="inlineStr"/>
      <c r="AE2469" s="8" t="inlineStr"/>
      <c r="AF2469" s="8" t="inlineStr"/>
      <c r="AG2469" s="9" t="n">
        <v>1267</v>
      </c>
      <c r="AH2469" s="10" t="n">
        <v>-2677</v>
      </c>
      <c r="AI2469" s="10" t="n">
        <v>-2998</v>
      </c>
      <c r="AJ2469" s="11" t="n">
        <v>1243</v>
      </c>
      <c r="AK2469" s="12" t="n">
        <v>-3317</v>
      </c>
      <c r="AL2469" s="12" t="n">
        <v>-7221</v>
      </c>
      <c r="AM2469" s="13" t="n">
        <v>-1.9</v>
      </c>
      <c r="AN2469" s="13" t="inlineStr"/>
      <c r="AO2469" s="13" t="n">
        <v>-23.9</v>
      </c>
      <c r="AP2469" s="13" t="inlineStr"/>
    </row>
    <row r="2470">
      <c r="A2470" s="5" t="inlineStr">
        <is>
          <t>파두</t>
        </is>
      </c>
      <c r="B2470" s="6" t="inlineStr">
        <is>
          <t>440110</t>
        </is>
      </c>
      <c r="C2470" s="6" t="inlineStr">
        <is>
          <t>연결</t>
        </is>
      </c>
      <c r="D2470" s="6" t="inlineStr">
        <is>
          <t>2026Q2</t>
        </is>
      </c>
      <c r="E2470" s="6" t="inlineStr"/>
      <c r="F2470" s="7" t="inlineStr"/>
      <c r="G2470" s="8" t="inlineStr"/>
      <c r="H2470" s="8" t="inlineStr"/>
      <c r="I2470" s="9" t="n">
        <v>2332</v>
      </c>
      <c r="J2470" s="10" t="n">
        <v>-16229</v>
      </c>
      <c r="K2470" s="10" t="n">
        <v>-15448</v>
      </c>
      <c r="L2470" s="7" t="n">
        <v>7093</v>
      </c>
      <c r="M2470" s="8" t="n">
        <v>-22185</v>
      </c>
      <c r="N2470" s="8" t="n">
        <v>-21481</v>
      </c>
      <c r="O2470" s="9" t="n">
        <v>10095</v>
      </c>
      <c r="P2470" s="10" t="n">
        <v>-30544</v>
      </c>
      <c r="Q2470" s="10" t="n">
        <v>-30667</v>
      </c>
      <c r="R2470" s="7" t="n">
        <v>23983</v>
      </c>
      <c r="S2470" s="8" t="n">
        <v>-26090</v>
      </c>
      <c r="T2470" s="8" t="n">
        <v>-23913</v>
      </c>
      <c r="U2470" s="9" t="n">
        <v>19219</v>
      </c>
      <c r="V2470" s="10" t="n">
        <v>-11986</v>
      </c>
      <c r="W2470" s="10" t="n">
        <v>-12136</v>
      </c>
      <c r="X2470" s="7" t="n">
        <v>23679</v>
      </c>
      <c r="Y2470" s="8" t="n">
        <v>-12564</v>
      </c>
      <c r="Z2470" s="8" t="n">
        <v>-14751</v>
      </c>
      <c r="AA2470" s="9" t="n">
        <v>25644</v>
      </c>
      <c r="AB2470" s="10" t="n">
        <v>-11426</v>
      </c>
      <c r="AC2470" s="10" t="n">
        <v>-10883</v>
      </c>
      <c r="AD2470" s="7" t="n">
        <v>23877</v>
      </c>
      <c r="AE2470" s="8" t="n">
        <v>-29494</v>
      </c>
      <c r="AF2470" s="8" t="n">
        <v>-38448</v>
      </c>
      <c r="AG2470" s="9" t="n">
        <v>59538</v>
      </c>
      <c r="AH2470" s="10" t="n">
        <v>7686</v>
      </c>
      <c r="AI2470" s="10" t="n">
        <v>10215</v>
      </c>
      <c r="AJ2470" s="11" t="n">
        <v>73174</v>
      </c>
      <c r="AK2470" s="12" t="n">
        <v>16224</v>
      </c>
      <c r="AL2470" s="12" t="n">
        <v>-60129</v>
      </c>
      <c r="AM2470" s="13" t="n">
        <v>22.9</v>
      </c>
      <c r="AN2470" s="13" t="n">
        <v>209</v>
      </c>
      <c r="AO2470" s="13" t="n">
        <v>111.1</v>
      </c>
      <c r="AP2470" s="13" t="n">
        <v>229.1</v>
      </c>
    </row>
    <row r="2471">
      <c r="A2471" s="5" t="inlineStr">
        <is>
          <t>HB인베스트먼트</t>
        </is>
      </c>
      <c r="B2471" s="6" t="inlineStr">
        <is>
          <t>440290</t>
        </is>
      </c>
      <c r="C2471" s="6" t="inlineStr">
        <is>
          <t>별도</t>
        </is>
      </c>
      <c r="D2471" s="6" t="inlineStr">
        <is>
          <t>2026Q2</t>
        </is>
      </c>
      <c r="E2471" s="6" t="inlineStr"/>
      <c r="F2471" s="7" t="inlineStr"/>
      <c r="G2471" s="8" t="inlineStr"/>
      <c r="H2471" s="8" t="inlineStr"/>
      <c r="I2471" s="9" t="n">
        <v>4922</v>
      </c>
      <c r="J2471" s="10" t="n">
        <v>2202</v>
      </c>
      <c r="K2471" s="10" t="n">
        <v>1868</v>
      </c>
      <c r="L2471" s="7" t="n">
        <v>1997</v>
      </c>
      <c r="M2471" s="8" t="n">
        <v>-301</v>
      </c>
      <c r="N2471" s="8" t="n">
        <v>-25</v>
      </c>
      <c r="O2471" s="9" t="n">
        <v>3539</v>
      </c>
      <c r="P2471" s="10" t="n">
        <v>3113</v>
      </c>
      <c r="Q2471" s="10" t="n">
        <v>2670</v>
      </c>
      <c r="R2471" s="7" t="n">
        <v>4696</v>
      </c>
      <c r="S2471" s="8" t="n">
        <v>1481</v>
      </c>
      <c r="T2471" s="8" t="n">
        <v>1524</v>
      </c>
      <c r="U2471" s="9" t="n">
        <v>2370</v>
      </c>
      <c r="V2471" s="10" t="n">
        <v>362</v>
      </c>
      <c r="W2471" s="10" t="n">
        <v>444</v>
      </c>
      <c r="X2471" s="7" t="n">
        <v>6577</v>
      </c>
      <c r="Y2471" s="8" t="n">
        <v>3931</v>
      </c>
      <c r="Z2471" s="8" t="n">
        <v>3244</v>
      </c>
      <c r="AA2471" s="9" t="n">
        <v>3659</v>
      </c>
      <c r="AB2471" s="10" t="n">
        <v>1644</v>
      </c>
      <c r="AC2471" s="10" t="n">
        <v>1433</v>
      </c>
      <c r="AD2471" s="7" t="n">
        <v>4795</v>
      </c>
      <c r="AE2471" s="8" t="n">
        <v>1321</v>
      </c>
      <c r="AF2471" s="8" t="n">
        <v>1019</v>
      </c>
      <c r="AG2471" s="9" t="n">
        <v>3184</v>
      </c>
      <c r="AH2471" s="10" t="n">
        <v>883</v>
      </c>
      <c r="AI2471" s="10" t="n">
        <v>829</v>
      </c>
      <c r="AJ2471" s="11" t="n">
        <v>4458</v>
      </c>
      <c r="AK2471" s="12" t="n">
        <v>2842</v>
      </c>
      <c r="AL2471" s="12" t="n">
        <v>2339</v>
      </c>
      <c r="AM2471" s="13" t="n">
        <v>40</v>
      </c>
      <c r="AN2471" s="13" t="n">
        <v>-32.2</v>
      </c>
      <c r="AO2471" s="13" t="n">
        <v>221.9</v>
      </c>
      <c r="AP2471" s="13" t="n">
        <v>-27.7</v>
      </c>
    </row>
    <row r="2472">
      <c r="A2472" s="5" t="inlineStr">
        <is>
          <t>오픈놀</t>
        </is>
      </c>
      <c r="B2472" s="6" t="inlineStr">
        <is>
          <t>440320</t>
        </is>
      </c>
      <c r="C2472" s="6" t="inlineStr">
        <is>
          <t>연결</t>
        </is>
      </c>
      <c r="D2472" s="6" t="inlineStr">
        <is>
          <t>2026Q2</t>
        </is>
      </c>
      <c r="E2472" s="6" t="inlineStr"/>
      <c r="F2472" s="7" t="inlineStr"/>
      <c r="G2472" s="8" t="inlineStr"/>
      <c r="H2472" s="8" t="inlineStr"/>
      <c r="I2472" s="9" t="inlineStr"/>
      <c r="J2472" s="10" t="n">
        <v>121</v>
      </c>
      <c r="K2472" s="10" t="n">
        <v>200</v>
      </c>
      <c r="L2472" s="7" t="inlineStr"/>
      <c r="M2472" s="8" t="n">
        <v>80</v>
      </c>
      <c r="N2472" s="8" t="n">
        <v>473</v>
      </c>
      <c r="O2472" s="9" t="inlineStr"/>
      <c r="P2472" s="10" t="n">
        <v>-66</v>
      </c>
      <c r="Q2472" s="10" t="n">
        <v>56</v>
      </c>
      <c r="R2472" s="7" t="inlineStr"/>
      <c r="S2472" s="8" t="n">
        <v>-34</v>
      </c>
      <c r="T2472" s="8" t="n">
        <v>884</v>
      </c>
      <c r="U2472" s="9" t="n">
        <v>25378</v>
      </c>
      <c r="V2472" s="10" t="n">
        <v>524</v>
      </c>
      <c r="W2472" s="10" t="n">
        <v>575</v>
      </c>
      <c r="X2472" s="7" t="n">
        <v>14553</v>
      </c>
      <c r="Y2472" s="8" t="n">
        <v>-1505</v>
      </c>
      <c r="Z2472" s="8" t="n">
        <v>-1784</v>
      </c>
      <c r="AA2472" s="9" t="n">
        <v>25738</v>
      </c>
      <c r="AB2472" s="10" t="n">
        <v>1293</v>
      </c>
      <c r="AC2472" s="10" t="n">
        <v>881</v>
      </c>
      <c r="AD2472" s="7" t="n">
        <v>22600</v>
      </c>
      <c r="AE2472" s="8" t="n">
        <v>-3076</v>
      </c>
      <c r="AF2472" s="8" t="n">
        <v>-6100</v>
      </c>
      <c r="AG2472" s="9" t="n">
        <v>22090</v>
      </c>
      <c r="AH2472" s="10" t="n">
        <v>997</v>
      </c>
      <c r="AI2472" s="10" t="n">
        <v>785</v>
      </c>
      <c r="AJ2472" s="11" t="n">
        <v>17718</v>
      </c>
      <c r="AK2472" s="12" t="n">
        <v>738</v>
      </c>
      <c r="AL2472" s="12" t="n">
        <v>-1400</v>
      </c>
      <c r="AM2472" s="13" t="n">
        <v>-19.8</v>
      </c>
      <c r="AN2472" s="13" t="n">
        <v>21.7</v>
      </c>
      <c r="AO2472" s="13" t="n">
        <v>-26</v>
      </c>
      <c r="AP2472" s="13" t="n">
        <v>149</v>
      </c>
    </row>
    <row r="2473">
      <c r="A2473" s="5" t="inlineStr">
        <is>
          <t>파인엠텍</t>
        </is>
      </c>
      <c r="B2473" s="6" t="inlineStr">
        <is>
          <t>441270</t>
        </is>
      </c>
      <c r="C2473" s="6" t="inlineStr">
        <is>
          <t>연결</t>
        </is>
      </c>
      <c r="D2473" s="6" t="inlineStr">
        <is>
          <t>2026Q2</t>
        </is>
      </c>
      <c r="E2473" s="6" t="inlineStr"/>
      <c r="F2473" s="7" t="inlineStr"/>
      <c r="G2473" s="8" t="inlineStr"/>
      <c r="H2473" s="8" t="inlineStr"/>
      <c r="I2473" s="9" t="n">
        <v>69548</v>
      </c>
      <c r="J2473" s="10" t="n">
        <v>1118</v>
      </c>
      <c r="K2473" s="10" t="n">
        <v>2780</v>
      </c>
      <c r="L2473" s="7" t="n">
        <v>154769</v>
      </c>
      <c r="M2473" s="8" t="n">
        <v>4526</v>
      </c>
      <c r="N2473" s="8" t="n">
        <v>3362</v>
      </c>
      <c r="O2473" s="9" t="n">
        <v>98838</v>
      </c>
      <c r="P2473" s="10" t="n">
        <v>1008</v>
      </c>
      <c r="Q2473" s="10" t="n">
        <v>-14202</v>
      </c>
      <c r="R2473" s="7" t="n">
        <v>59014</v>
      </c>
      <c r="S2473" s="8" t="n">
        <v>-14562</v>
      </c>
      <c r="T2473" s="8" t="n">
        <v>-7701</v>
      </c>
      <c r="U2473" s="9" t="n">
        <v>43576</v>
      </c>
      <c r="V2473" s="10" t="n">
        <v>-2945</v>
      </c>
      <c r="W2473" s="10" t="n">
        <v>-3839</v>
      </c>
      <c r="X2473" s="7" t="n">
        <v>76510</v>
      </c>
      <c r="Y2473" s="8" t="n">
        <v>5288</v>
      </c>
      <c r="Z2473" s="8" t="n">
        <v>-3495</v>
      </c>
      <c r="AA2473" s="9" t="n">
        <v>57544</v>
      </c>
      <c r="AB2473" s="10" t="n">
        <v>1541</v>
      </c>
      <c r="AC2473" s="10" t="n">
        <v>1257</v>
      </c>
      <c r="AD2473" s="7" t="n">
        <v>61491</v>
      </c>
      <c r="AE2473" s="8" t="n">
        <v>-1949</v>
      </c>
      <c r="AF2473" s="8" t="n">
        <v>-9368</v>
      </c>
      <c r="AG2473" s="9" t="n">
        <v>46069</v>
      </c>
      <c r="AH2473" s="10" t="n">
        <v>-2203</v>
      </c>
      <c r="AI2473" s="10" t="n">
        <v>2549</v>
      </c>
      <c r="AJ2473" s="11" t="n">
        <v>95213</v>
      </c>
      <c r="AK2473" s="12" t="n">
        <v>7331</v>
      </c>
      <c r="AL2473" s="12" t="n">
        <v>-4850</v>
      </c>
      <c r="AM2473" s="13" t="n">
        <v>106.7</v>
      </c>
      <c r="AN2473" s="13" t="n">
        <v>24.4</v>
      </c>
      <c r="AO2473" s="13" t="n">
        <v>432.8</v>
      </c>
      <c r="AP2473" s="13" t="n">
        <v>38.6</v>
      </c>
    </row>
    <row r="2474">
      <c r="A2474" s="5" t="inlineStr">
        <is>
          <t>HD현대마린솔루션</t>
        </is>
      </c>
      <c r="B2474" s="6" t="inlineStr">
        <is>
          <t>443060</t>
        </is>
      </c>
      <c r="C2474" s="6" t="inlineStr">
        <is>
          <t>연결</t>
        </is>
      </c>
      <c r="D2474" s="6" t="inlineStr">
        <is>
          <t>2026Q2</t>
        </is>
      </c>
      <c r="E2474" s="6" t="inlineStr">
        <is>
          <t>2024Q4</t>
        </is>
      </c>
      <c r="F2474" s="7" t="inlineStr"/>
      <c r="G2474" s="8" t="inlineStr"/>
      <c r="H2474" s="8" t="inlineStr"/>
      <c r="I2474" s="9" t="inlineStr"/>
      <c r="J2474" s="10" t="inlineStr"/>
      <c r="K2474" s="10" t="inlineStr"/>
      <c r="L2474" s="7" t="n">
        <v>437855</v>
      </c>
      <c r="M2474" s="8" t="n">
        <v>70986</v>
      </c>
      <c r="N2474" s="8" t="n">
        <v>56679</v>
      </c>
      <c r="O2474" s="9" t="n">
        <v>461261</v>
      </c>
      <c r="P2474" s="10" t="n">
        <v>83383</v>
      </c>
      <c r="Q2474" s="10" t="n">
        <v>58529</v>
      </c>
      <c r="R2474" s="14" t="n">
        <v>463400</v>
      </c>
      <c r="S2474" s="15" t="n">
        <v>65900</v>
      </c>
      <c r="T2474" s="15" t="n">
        <v>68400</v>
      </c>
      <c r="U2474" s="9" t="n">
        <v>485598</v>
      </c>
      <c r="V2474" s="10" t="n">
        <v>83007</v>
      </c>
      <c r="W2474" s="10" t="n">
        <v>63318</v>
      </c>
      <c r="X2474" s="7" t="n">
        <v>467722</v>
      </c>
      <c r="Y2474" s="8" t="n">
        <v>83010</v>
      </c>
      <c r="Z2474" s="8" t="n">
        <v>52997</v>
      </c>
      <c r="AA2474" s="9" t="n">
        <v>513176</v>
      </c>
      <c r="AB2474" s="10" t="n">
        <v>93596</v>
      </c>
      <c r="AC2474" s="10" t="n">
        <v>79752</v>
      </c>
      <c r="AD2474" s="7" t="n">
        <v>516205</v>
      </c>
      <c r="AE2474" s="8" t="n">
        <v>90528</v>
      </c>
      <c r="AF2474" s="8" t="n">
        <v>73504</v>
      </c>
      <c r="AG2474" s="9" t="n">
        <v>574609</v>
      </c>
      <c r="AH2474" s="10" t="n">
        <v>93394</v>
      </c>
      <c r="AI2474" s="10" t="n">
        <v>98139</v>
      </c>
      <c r="AJ2474" s="11" t="n">
        <v>580414</v>
      </c>
      <c r="AK2474" s="12" t="n">
        <v>97625</v>
      </c>
      <c r="AL2474" s="12" t="n">
        <v>83007</v>
      </c>
      <c r="AM2474" s="13" t="n">
        <v>1</v>
      </c>
      <c r="AN2474" s="13" t="n">
        <v>24.1</v>
      </c>
      <c r="AO2474" s="13" t="n">
        <v>4.5</v>
      </c>
      <c r="AP2474" s="13" t="n">
        <v>17.6</v>
      </c>
    </row>
    <row r="2475">
      <c r="A2475" s="5" t="inlineStr">
        <is>
          <t>레뷰코퍼레이션</t>
        </is>
      </c>
      <c r="B2475" s="6" t="inlineStr">
        <is>
          <t>443250</t>
        </is>
      </c>
      <c r="C2475" s="6" t="inlineStr">
        <is>
          <t>연결</t>
        </is>
      </c>
      <c r="D2475" s="6" t="inlineStr">
        <is>
          <t>2026Q2</t>
        </is>
      </c>
      <c r="E2475" s="6" t="inlineStr"/>
      <c r="F2475" s="7" t="inlineStr"/>
      <c r="G2475" s="8" t="inlineStr"/>
      <c r="H2475" s="8" t="inlineStr"/>
      <c r="I2475" s="9" t="n">
        <v>9604</v>
      </c>
      <c r="J2475" s="10" t="n">
        <v>607</v>
      </c>
      <c r="K2475" s="10" t="n">
        <v>-175</v>
      </c>
      <c r="L2475" s="7" t="n">
        <v>11129</v>
      </c>
      <c r="M2475" s="8" t="n">
        <v>1834</v>
      </c>
      <c r="N2475" s="8" t="n">
        <v>1647</v>
      </c>
      <c r="O2475" s="9" t="n">
        <v>12575</v>
      </c>
      <c r="P2475" s="10" t="n">
        <v>2248</v>
      </c>
      <c r="Q2475" s="10" t="n">
        <v>2419</v>
      </c>
      <c r="R2475" s="7" t="n">
        <v>15595</v>
      </c>
      <c r="S2475" s="8" t="n">
        <v>2786</v>
      </c>
      <c r="T2475" s="8" t="n">
        <v>2756</v>
      </c>
      <c r="U2475" s="9" t="n">
        <v>12056</v>
      </c>
      <c r="V2475" s="10" t="n">
        <v>1201</v>
      </c>
      <c r="W2475" s="10" t="n">
        <v>1311</v>
      </c>
      <c r="X2475" s="7" t="n">
        <v>13893</v>
      </c>
      <c r="Y2475" s="8" t="n">
        <v>2283</v>
      </c>
      <c r="Z2475" s="8" t="n">
        <v>1281</v>
      </c>
      <c r="AA2475" s="9" t="n">
        <v>14480</v>
      </c>
      <c r="AB2475" s="10" t="n">
        <v>2693</v>
      </c>
      <c r="AC2475" s="10" t="n">
        <v>2632</v>
      </c>
      <c r="AD2475" s="7" t="n">
        <v>16029</v>
      </c>
      <c r="AE2475" s="8" t="n">
        <v>2702</v>
      </c>
      <c r="AF2475" s="8" t="n">
        <v>1189</v>
      </c>
      <c r="AG2475" s="9" t="n">
        <v>13273</v>
      </c>
      <c r="AH2475" s="10" t="n">
        <v>1284</v>
      </c>
      <c r="AI2475" s="10" t="n">
        <v>1510</v>
      </c>
      <c r="AJ2475" s="11" t="n">
        <v>14793</v>
      </c>
      <c r="AK2475" s="12" t="n">
        <v>1993</v>
      </c>
      <c r="AL2475" s="12" t="n">
        <v>1176</v>
      </c>
      <c r="AM2475" s="13" t="n">
        <v>11.5</v>
      </c>
      <c r="AN2475" s="13" t="n">
        <v>6.5</v>
      </c>
      <c r="AO2475" s="13" t="n">
        <v>55.2</v>
      </c>
      <c r="AP2475" s="13" t="n">
        <v>-12.7</v>
      </c>
    </row>
    <row r="2476">
      <c r="A2476" s="5" t="inlineStr">
        <is>
          <t>에스피소프트</t>
        </is>
      </c>
      <c r="B2476" s="6" t="inlineStr">
        <is>
          <t>443670</t>
        </is>
      </c>
      <c r="C2476" s="6" t="inlineStr">
        <is>
          <t>연결</t>
        </is>
      </c>
      <c r="D2476" s="6" t="inlineStr">
        <is>
          <t>2026Q2</t>
        </is>
      </c>
      <c r="E2476" s="6" t="inlineStr"/>
      <c r="F2476" s="7" t="inlineStr"/>
      <c r="G2476" s="8" t="inlineStr"/>
      <c r="H2476" s="8" t="inlineStr"/>
      <c r="I2476" s="9" t="n">
        <v>8467</v>
      </c>
      <c r="J2476" s="10" t="n">
        <v>624</v>
      </c>
      <c r="K2476" s="10" t="n">
        <v>-2866</v>
      </c>
      <c r="L2476" s="7" t="n">
        <v>8720</v>
      </c>
      <c r="M2476" s="8" t="n">
        <v>781</v>
      </c>
      <c r="N2476" s="8" t="n">
        <v>290</v>
      </c>
      <c r="O2476" s="9" t="n">
        <v>11376</v>
      </c>
      <c r="P2476" s="10" t="n">
        <v>891</v>
      </c>
      <c r="Q2476" s="10" t="n">
        <v>799</v>
      </c>
      <c r="R2476" s="7" t="n">
        <v>16554</v>
      </c>
      <c r="S2476" s="8" t="n">
        <v>1461</v>
      </c>
      <c r="T2476" s="8" t="n">
        <v>2079</v>
      </c>
      <c r="U2476" s="9" t="n">
        <v>13506</v>
      </c>
      <c r="V2476" s="10" t="n">
        <v>643</v>
      </c>
      <c r="W2476" s="10" t="n">
        <v>479</v>
      </c>
      <c r="X2476" s="7" t="n">
        <v>13657</v>
      </c>
      <c r="Y2476" s="8" t="n">
        <v>917</v>
      </c>
      <c r="Z2476" s="8" t="n">
        <v>919</v>
      </c>
      <c r="AA2476" s="9" t="n">
        <v>13173</v>
      </c>
      <c r="AB2476" s="10" t="n">
        <v>1167</v>
      </c>
      <c r="AC2476" s="10" t="n">
        <v>1130</v>
      </c>
      <c r="AD2476" s="7" t="n">
        <v>14147</v>
      </c>
      <c r="AE2476" s="8" t="n">
        <v>890</v>
      </c>
      <c r="AF2476" s="8" t="n">
        <v>1286</v>
      </c>
      <c r="AG2476" s="9" t="n">
        <v>12917</v>
      </c>
      <c r="AH2476" s="10" t="n">
        <v>848</v>
      </c>
      <c r="AI2476" s="10" t="n">
        <v>910</v>
      </c>
      <c r="AJ2476" s="11" t="n">
        <v>13102</v>
      </c>
      <c r="AK2476" s="12" t="n">
        <v>852</v>
      </c>
      <c r="AL2476" s="12" t="n">
        <v>622</v>
      </c>
      <c r="AM2476" s="13" t="n">
        <v>1.4</v>
      </c>
      <c r="AN2476" s="13" t="n">
        <v>-4.1</v>
      </c>
      <c r="AO2476" s="13" t="n">
        <v>0.5</v>
      </c>
      <c r="AP2476" s="13" t="n">
        <v>-7.1</v>
      </c>
    </row>
    <row r="2477">
      <c r="A2477" s="5" t="inlineStr">
        <is>
          <t>심플랫폼</t>
        </is>
      </c>
      <c r="B2477" s="6" t="inlineStr">
        <is>
          <t>444530</t>
        </is>
      </c>
      <c r="C2477" s="6" t="inlineStr">
        <is>
          <t>별도</t>
        </is>
      </c>
      <c r="D2477" s="6" t="inlineStr">
        <is>
          <t>2026Q2</t>
        </is>
      </c>
      <c r="E2477" s="6" t="inlineStr"/>
      <c r="F2477" s="7" t="inlineStr"/>
      <c r="G2477" s="8" t="inlineStr"/>
      <c r="H2477" s="8" t="inlineStr"/>
      <c r="I2477" s="9" t="inlineStr"/>
      <c r="J2477" s="10" t="inlineStr"/>
      <c r="K2477" s="10" t="inlineStr"/>
      <c r="L2477" s="7" t="inlineStr"/>
      <c r="M2477" s="8" t="inlineStr"/>
      <c r="N2477" s="8" t="inlineStr"/>
      <c r="O2477" s="9" t="inlineStr"/>
      <c r="P2477" s="10" t="inlineStr"/>
      <c r="Q2477" s="10" t="inlineStr"/>
      <c r="R2477" s="7" t="inlineStr"/>
      <c r="S2477" s="8" t="inlineStr"/>
      <c r="T2477" s="8" t="inlineStr"/>
      <c r="U2477" s="9" t="inlineStr"/>
      <c r="V2477" s="10" t="n">
        <v>-1094</v>
      </c>
      <c r="W2477" s="10" t="n">
        <v>-1116</v>
      </c>
      <c r="X2477" s="7" t="n">
        <v>908</v>
      </c>
      <c r="Y2477" s="8" t="n">
        <v>-1023</v>
      </c>
      <c r="Z2477" s="8" t="n">
        <v>-973</v>
      </c>
      <c r="AA2477" s="9" t="n">
        <v>1870</v>
      </c>
      <c r="AB2477" s="10" t="n">
        <v>-3056</v>
      </c>
      <c r="AC2477" s="10" t="n">
        <v>-3001</v>
      </c>
      <c r="AD2477" s="7" t="inlineStr"/>
      <c r="AE2477" s="8" t="n">
        <v>2508</v>
      </c>
      <c r="AF2477" s="8" t="n">
        <v>2560</v>
      </c>
      <c r="AG2477" s="9" t="n">
        <v>472</v>
      </c>
      <c r="AH2477" s="10" t="n">
        <v>-2373</v>
      </c>
      <c r="AI2477" s="10" t="n">
        <v>-2324</v>
      </c>
      <c r="AJ2477" s="11" t="n">
        <v>2245</v>
      </c>
      <c r="AK2477" s="12" t="n">
        <v>-1441</v>
      </c>
      <c r="AL2477" s="12" t="n">
        <v>-1395</v>
      </c>
      <c r="AM2477" s="13" t="n">
        <v>375.6</v>
      </c>
      <c r="AN2477" s="13" t="n">
        <v>147.2</v>
      </c>
      <c r="AO2477" s="13" t="n">
        <v>39.3</v>
      </c>
      <c r="AP2477" s="13" t="n">
        <v>-40.9</v>
      </c>
    </row>
    <row r="2478">
      <c r="A2478" s="5" t="inlineStr">
        <is>
          <t>에이직랜드</t>
        </is>
      </c>
      <c r="B2478" s="6" t="inlineStr">
        <is>
          <t>445090</t>
        </is>
      </c>
      <c r="C2478" s="6" t="inlineStr">
        <is>
          <t>연결</t>
        </is>
      </c>
      <c r="D2478" s="6" t="inlineStr">
        <is>
          <t>2026Q2</t>
        </is>
      </c>
      <c r="E2478" s="6" t="inlineStr"/>
      <c r="F2478" s="7" t="inlineStr"/>
      <c r="G2478" s="8" t="inlineStr"/>
      <c r="H2478" s="8" t="inlineStr"/>
      <c r="I2478" s="9" t="n">
        <v>21657</v>
      </c>
      <c r="J2478" s="10" t="n">
        <v>1835</v>
      </c>
      <c r="K2478" s="10" t="n">
        <v>1743</v>
      </c>
      <c r="L2478" s="7" t="n">
        <v>12094</v>
      </c>
      <c r="M2478" s="8" t="n">
        <v>-3954</v>
      </c>
      <c r="N2478" s="8" t="n">
        <v>-1734</v>
      </c>
      <c r="O2478" s="9" t="n">
        <v>14167</v>
      </c>
      <c r="P2478" s="10" t="n">
        <v>-5513</v>
      </c>
      <c r="Q2478" s="10" t="n">
        <v>-5608</v>
      </c>
      <c r="R2478" s="7" t="n">
        <v>46140</v>
      </c>
      <c r="S2478" s="8" t="n">
        <v>-9337</v>
      </c>
      <c r="T2478" s="8" t="n">
        <v>-8409</v>
      </c>
      <c r="U2478" s="9" t="n">
        <v>15767</v>
      </c>
      <c r="V2478" s="10" t="n">
        <v>-7936</v>
      </c>
      <c r="W2478" s="10" t="n">
        <v>-8269</v>
      </c>
      <c r="X2478" s="7" t="n">
        <v>14694</v>
      </c>
      <c r="Y2478" s="8" t="n">
        <v>-5227</v>
      </c>
      <c r="Z2478" s="8" t="n">
        <v>-5135</v>
      </c>
      <c r="AA2478" s="9" t="n">
        <v>16175</v>
      </c>
      <c r="AB2478" s="10" t="n">
        <v>-4478</v>
      </c>
      <c r="AC2478" s="10" t="n">
        <v>-6135</v>
      </c>
      <c r="AD2478" s="7" t="n">
        <v>26214</v>
      </c>
      <c r="AE2478" s="8" t="n">
        <v>-9937</v>
      </c>
      <c r="AF2478" s="8" t="n">
        <v>-7017</v>
      </c>
      <c r="AG2478" s="9" t="n">
        <v>53988</v>
      </c>
      <c r="AH2478" s="10" t="n">
        <v>-2991</v>
      </c>
      <c r="AI2478" s="10" t="n">
        <v>-2681</v>
      </c>
      <c r="AJ2478" s="11" t="n">
        <v>59740</v>
      </c>
      <c r="AK2478" s="12" t="n">
        <v>7980</v>
      </c>
      <c r="AL2478" s="12" t="n">
        <v>9028</v>
      </c>
      <c r="AM2478" s="13" t="n">
        <v>10.7</v>
      </c>
      <c r="AN2478" s="13" t="n">
        <v>306.6</v>
      </c>
      <c r="AO2478" s="13" t="n">
        <v>366.8</v>
      </c>
      <c r="AP2478" s="13" t="n">
        <v>252.7</v>
      </c>
    </row>
    <row r="2479">
      <c r="A2479" s="5" t="inlineStr">
        <is>
          <t>퓨릿</t>
        </is>
      </c>
      <c r="B2479" s="6" t="inlineStr">
        <is>
          <t>445180</t>
        </is>
      </c>
      <c r="C2479" s="6" t="inlineStr">
        <is>
          <t>별도</t>
        </is>
      </c>
      <c r="D2479" s="6" t="inlineStr">
        <is>
          <t>2026Q2</t>
        </is>
      </c>
      <c r="E2479" s="6" t="inlineStr"/>
      <c r="F2479" s="7" t="inlineStr"/>
      <c r="G2479" s="8" t="inlineStr"/>
      <c r="H2479" s="8" t="inlineStr"/>
      <c r="I2479" s="9" t="n">
        <v>28163</v>
      </c>
      <c r="J2479" s="10" t="n">
        <v>2808</v>
      </c>
      <c r="K2479" s="10" t="n">
        <v>2537</v>
      </c>
      <c r="L2479" s="7" t="n">
        <v>29658</v>
      </c>
      <c r="M2479" s="8" t="n">
        <v>3072</v>
      </c>
      <c r="N2479" s="8" t="n">
        <v>2874</v>
      </c>
      <c r="O2479" s="9" t="n">
        <v>31962</v>
      </c>
      <c r="P2479" s="10" t="n">
        <v>3561</v>
      </c>
      <c r="Q2479" s="10" t="n">
        <v>2611</v>
      </c>
      <c r="R2479" s="7" t="n">
        <v>32754</v>
      </c>
      <c r="S2479" s="8" t="n">
        <v>4518</v>
      </c>
      <c r="T2479" s="8" t="n">
        <v>3800</v>
      </c>
      <c r="U2479" s="9" t="n">
        <v>33831</v>
      </c>
      <c r="V2479" s="10" t="n">
        <v>3336</v>
      </c>
      <c r="W2479" s="10" t="n">
        <v>3236</v>
      </c>
      <c r="X2479" s="7" t="n">
        <v>35446</v>
      </c>
      <c r="Y2479" s="8" t="n">
        <v>4222</v>
      </c>
      <c r="Z2479" s="8" t="n">
        <v>3749</v>
      </c>
      <c r="AA2479" s="9" t="n">
        <v>36919</v>
      </c>
      <c r="AB2479" s="10" t="n">
        <v>5250</v>
      </c>
      <c r="AC2479" s="10" t="n">
        <v>4443</v>
      </c>
      <c r="AD2479" s="7" t="n">
        <v>36351</v>
      </c>
      <c r="AE2479" s="8" t="n">
        <v>4410</v>
      </c>
      <c r="AF2479" s="8" t="n">
        <v>3727</v>
      </c>
      <c r="AG2479" s="9" t="n">
        <v>37765</v>
      </c>
      <c r="AH2479" s="10" t="n">
        <v>5963</v>
      </c>
      <c r="AI2479" s="10" t="n">
        <v>4867</v>
      </c>
      <c r="AJ2479" s="11" t="n">
        <v>44880</v>
      </c>
      <c r="AK2479" s="12" t="n">
        <v>6489</v>
      </c>
      <c r="AL2479" s="12" t="n">
        <v>5258</v>
      </c>
      <c r="AM2479" s="13" t="n">
        <v>18.8</v>
      </c>
      <c r="AN2479" s="13" t="n">
        <v>26.6</v>
      </c>
      <c r="AO2479" s="13" t="n">
        <v>8.800000000000001</v>
      </c>
      <c r="AP2479" s="13" t="n">
        <v>53.7</v>
      </c>
    </row>
    <row r="2480">
      <c r="A2480" s="5" t="inlineStr">
        <is>
          <t>큐리옥스바이오시스템즈</t>
        </is>
      </c>
      <c r="B2480" s="6" t="inlineStr">
        <is>
          <t>445680</t>
        </is>
      </c>
      <c r="C2480" s="6" t="inlineStr">
        <is>
          <t>연결</t>
        </is>
      </c>
      <c r="D2480" s="6" t="inlineStr">
        <is>
          <t>2026Q2</t>
        </is>
      </c>
      <c r="E2480" s="6" t="inlineStr"/>
      <c r="F2480" s="7" t="inlineStr"/>
      <c r="G2480" s="8" t="inlineStr"/>
      <c r="H2480" s="8" t="inlineStr"/>
      <c r="I2480" s="9" t="n">
        <v>1588</v>
      </c>
      <c r="J2480" s="10" t="n">
        <v>-3260</v>
      </c>
      <c r="K2480" s="10" t="n">
        <v>-2657</v>
      </c>
      <c r="L2480" s="7" t="n">
        <v>1093</v>
      </c>
      <c r="M2480" s="8" t="n">
        <v>-3229</v>
      </c>
      <c r="N2480" s="8" t="n">
        <v>-3075</v>
      </c>
      <c r="O2480" s="9" t="n">
        <v>951</v>
      </c>
      <c r="P2480" s="10" t="n">
        <v>-3259</v>
      </c>
      <c r="Q2480" s="10" t="n">
        <v>-4019</v>
      </c>
      <c r="R2480" s="7" t="n">
        <v>956</v>
      </c>
      <c r="S2480" s="8" t="n">
        <v>-3630</v>
      </c>
      <c r="T2480" s="8" t="n">
        <v>1662</v>
      </c>
      <c r="U2480" s="9" t="n">
        <v>922</v>
      </c>
      <c r="V2480" s="10" t="n">
        <v>-3024</v>
      </c>
      <c r="W2480" s="10" t="n">
        <v>-3618</v>
      </c>
      <c r="X2480" s="7" t="n">
        <v>996</v>
      </c>
      <c r="Y2480" s="8" t="n">
        <v>-3958</v>
      </c>
      <c r="Z2480" s="8" t="n">
        <v>-18262</v>
      </c>
      <c r="AA2480" s="9" t="n">
        <v>1385</v>
      </c>
      <c r="AB2480" s="10" t="n">
        <v>-2680</v>
      </c>
      <c r="AC2480" s="10" t="n">
        <v>-3030</v>
      </c>
      <c r="AD2480" s="7" t="n">
        <v>1849</v>
      </c>
      <c r="AE2480" s="8" t="n">
        <v>-2652</v>
      </c>
      <c r="AF2480" s="8" t="n">
        <v>-2268</v>
      </c>
      <c r="AG2480" s="9" t="n">
        <v>1325</v>
      </c>
      <c r="AH2480" s="10" t="n">
        <v>-3252</v>
      </c>
      <c r="AI2480" s="10" t="n">
        <v>-2641</v>
      </c>
      <c r="AJ2480" s="11" t="n">
        <v>1176</v>
      </c>
      <c r="AK2480" s="12" t="n">
        <v>-4457</v>
      </c>
      <c r="AL2480" s="12" t="n">
        <v>-4841</v>
      </c>
      <c r="AM2480" s="13" t="n">
        <v>-11.2</v>
      </c>
      <c r="AN2480" s="13" t="n">
        <v>18.1</v>
      </c>
      <c r="AO2480" s="13" t="n">
        <v>-37.1</v>
      </c>
      <c r="AP2480" s="13" t="n">
        <v>-12.6</v>
      </c>
    </row>
    <row r="2481">
      <c r="A2481" s="5" t="inlineStr">
        <is>
          <t>유니드비티플러스</t>
        </is>
      </c>
      <c r="B2481" s="6" t="inlineStr">
        <is>
          <t>446070</t>
        </is>
      </c>
      <c r="C2481" s="6" t="inlineStr">
        <is>
          <t>별도</t>
        </is>
      </c>
      <c r="D2481" s="6" t="inlineStr">
        <is>
          <t>2026Q2</t>
        </is>
      </c>
      <c r="E2481" s="6" t="inlineStr"/>
      <c r="F2481" s="7" t="inlineStr"/>
      <c r="G2481" s="8" t="inlineStr"/>
      <c r="H2481" s="8" t="inlineStr"/>
      <c r="I2481" s="9" t="n">
        <v>51090</v>
      </c>
      <c r="J2481" s="10" t="n">
        <v>-440</v>
      </c>
      <c r="K2481" s="10" t="n">
        <v>1089</v>
      </c>
      <c r="L2481" s="7" t="n">
        <v>51985</v>
      </c>
      <c r="M2481" s="8" t="n">
        <v>3502</v>
      </c>
      <c r="N2481" s="8" t="n">
        <v>3832</v>
      </c>
      <c r="O2481" s="9" t="n">
        <v>45800</v>
      </c>
      <c r="P2481" s="10" t="n">
        <v>47</v>
      </c>
      <c r="Q2481" s="10" t="n">
        <v>1535</v>
      </c>
      <c r="R2481" s="7" t="n">
        <v>46019</v>
      </c>
      <c r="S2481" s="8" t="n">
        <v>-55</v>
      </c>
      <c r="T2481" s="8" t="n">
        <v>-59</v>
      </c>
      <c r="U2481" s="9" t="n">
        <v>45093</v>
      </c>
      <c r="V2481" s="10" t="n">
        <v>-672</v>
      </c>
      <c r="W2481" s="10" t="n">
        <v>495</v>
      </c>
      <c r="X2481" s="7" t="n">
        <v>41222</v>
      </c>
      <c r="Y2481" s="8" t="n">
        <v>-572</v>
      </c>
      <c r="Z2481" s="8" t="n">
        <v>578</v>
      </c>
      <c r="AA2481" s="9" t="n">
        <v>37914</v>
      </c>
      <c r="AB2481" s="10" t="n">
        <v>-1438</v>
      </c>
      <c r="AC2481" s="10" t="n">
        <v>-338</v>
      </c>
      <c r="AD2481" s="7" t="n">
        <v>33302</v>
      </c>
      <c r="AE2481" s="8" t="n">
        <v>-6470</v>
      </c>
      <c r="AF2481" s="8" t="n">
        <v>-4696</v>
      </c>
      <c r="AG2481" s="9" t="n">
        <v>40294</v>
      </c>
      <c r="AH2481" s="10" t="n">
        <v>-1912</v>
      </c>
      <c r="AI2481" s="10" t="n">
        <v>-1462</v>
      </c>
      <c r="AJ2481" s="11" t="n">
        <v>42965</v>
      </c>
      <c r="AK2481" s="12" t="n">
        <v>2019</v>
      </c>
      <c r="AL2481" s="12" t="n">
        <v>3128</v>
      </c>
      <c r="AM2481" s="13" t="n">
        <v>6.6</v>
      </c>
      <c r="AN2481" s="13" t="n">
        <v>4.2</v>
      </c>
      <c r="AO2481" s="13" t="n">
        <v>205.6</v>
      </c>
      <c r="AP2481" s="13" t="n">
        <v>453</v>
      </c>
    </row>
    <row r="2482">
      <c r="A2482" s="5" t="inlineStr">
        <is>
          <t>메가터치</t>
        </is>
      </c>
      <c r="B2482" s="6" t="inlineStr">
        <is>
          <t>446540</t>
        </is>
      </c>
      <c r="C2482" s="6" t="inlineStr">
        <is>
          <t>별도</t>
        </is>
      </c>
      <c r="D2482" s="6" t="inlineStr">
        <is>
          <t>2026Q2</t>
        </is>
      </c>
      <c r="E2482" s="6" t="inlineStr"/>
      <c r="F2482" s="7" t="inlineStr"/>
      <c r="G2482" s="8" t="inlineStr"/>
      <c r="H2482" s="8" t="inlineStr"/>
      <c r="I2482" s="9" t="n">
        <v>10863</v>
      </c>
      <c r="J2482" s="10" t="n">
        <v>839</v>
      </c>
      <c r="K2482" s="10" t="n">
        <v>1373</v>
      </c>
      <c r="L2482" s="7" t="n">
        <v>13120</v>
      </c>
      <c r="M2482" s="8" t="n">
        <v>1429</v>
      </c>
      <c r="N2482" s="8" t="n">
        <v>1376</v>
      </c>
      <c r="O2482" s="9" t="n">
        <v>16919</v>
      </c>
      <c r="P2482" s="10" t="n">
        <v>1503</v>
      </c>
      <c r="Q2482" s="10" t="n">
        <v>959</v>
      </c>
      <c r="R2482" s="7" t="n">
        <v>12090</v>
      </c>
      <c r="S2482" s="8" t="n">
        <v>226</v>
      </c>
      <c r="T2482" s="8" t="n">
        <v>1335</v>
      </c>
      <c r="U2482" s="9" t="n">
        <v>9354</v>
      </c>
      <c r="V2482" s="10" t="n">
        <v>-4727</v>
      </c>
      <c r="W2482" s="10" t="n">
        <v>-3608</v>
      </c>
      <c r="X2482" s="7" t="n">
        <v>12138</v>
      </c>
      <c r="Y2482" s="8" t="n">
        <v>-95</v>
      </c>
      <c r="Z2482" s="8" t="n">
        <v>-679</v>
      </c>
      <c r="AA2482" s="9" t="n">
        <v>10003</v>
      </c>
      <c r="AB2482" s="10" t="n">
        <v>-616</v>
      </c>
      <c r="AC2482" s="10" t="n">
        <v>-357</v>
      </c>
      <c r="AD2482" s="7" t="n">
        <v>11745</v>
      </c>
      <c r="AE2482" s="8" t="n">
        <v>1263</v>
      </c>
      <c r="AF2482" s="8" t="n">
        <v>1785</v>
      </c>
      <c r="AG2482" s="9" t="n">
        <v>15877</v>
      </c>
      <c r="AH2482" s="10" t="n">
        <v>1937</v>
      </c>
      <c r="AI2482" s="10" t="n">
        <v>1999</v>
      </c>
      <c r="AJ2482" s="11" t="n">
        <v>25216</v>
      </c>
      <c r="AK2482" s="12" t="n">
        <v>4772</v>
      </c>
      <c r="AL2482" s="12" t="n">
        <v>4080</v>
      </c>
      <c r="AM2482" s="13" t="n">
        <v>58.8</v>
      </c>
      <c r="AN2482" s="13" t="n">
        <v>107.7</v>
      </c>
      <c r="AO2482" s="13" t="n">
        <v>146.4</v>
      </c>
      <c r="AP2482" s="13" t="n">
        <v>5123.2</v>
      </c>
    </row>
    <row r="2483">
      <c r="A2483" s="5" t="inlineStr">
        <is>
          <t>지슨</t>
        </is>
      </c>
      <c r="B2483" s="6" t="inlineStr">
        <is>
          <t>446840</t>
        </is>
      </c>
      <c r="C2483" s="6" t="inlineStr">
        <is>
          <t>별도</t>
        </is>
      </c>
      <c r="D2483" s="6" t="inlineStr">
        <is>
          <t>2026Q2</t>
        </is>
      </c>
      <c r="E2483" s="6" t="inlineStr"/>
      <c r="F2483" s="7" t="inlineStr"/>
      <c r="G2483" s="8" t="inlineStr"/>
      <c r="H2483" s="8" t="inlineStr"/>
      <c r="I2483" s="9" t="n">
        <v>0</v>
      </c>
      <c r="J2483" s="10" t="n">
        <v>-3</v>
      </c>
      <c r="K2483" s="10" t="n">
        <v>56</v>
      </c>
      <c r="L2483" s="7" t="n">
        <v>0</v>
      </c>
      <c r="M2483" s="8" t="n">
        <v>-5</v>
      </c>
      <c r="N2483" s="8" t="n">
        <v>58</v>
      </c>
      <c r="O2483" s="9" t="n">
        <v>0</v>
      </c>
      <c r="P2483" s="10" t="n">
        <v>-9</v>
      </c>
      <c r="Q2483" s="10" t="n">
        <v>58</v>
      </c>
      <c r="R2483" s="7" t="n">
        <v>0</v>
      </c>
      <c r="S2483" s="8" t="n">
        <v>-9</v>
      </c>
      <c r="T2483" s="8" t="n">
        <v>59</v>
      </c>
      <c r="U2483" s="9" t="n">
        <v>0</v>
      </c>
      <c r="V2483" s="10" t="n">
        <v>-27</v>
      </c>
      <c r="W2483" s="10" t="n">
        <v>37</v>
      </c>
      <c r="X2483" s="7" t="n">
        <v>0</v>
      </c>
      <c r="Y2483" s="8" t="n">
        <v>-39</v>
      </c>
      <c r="Z2483" s="8" t="n">
        <v>24</v>
      </c>
      <c r="AA2483" s="9" t="n">
        <v>3674</v>
      </c>
      <c r="AB2483" s="10" t="n">
        <v>-830</v>
      </c>
      <c r="AC2483" s="10" t="n">
        <v>-4628</v>
      </c>
      <c r="AD2483" s="7" t="n">
        <v>7622</v>
      </c>
      <c r="AE2483" s="8" t="n">
        <v>-5748</v>
      </c>
      <c r="AF2483" s="8" t="n">
        <v>-6162</v>
      </c>
      <c r="AG2483" s="9" t="n">
        <v>2461</v>
      </c>
      <c r="AH2483" s="10" t="n">
        <v>-1890</v>
      </c>
      <c r="AI2483" s="10" t="n">
        <v>-1871</v>
      </c>
      <c r="AJ2483" s="11" t="n">
        <v>4898</v>
      </c>
      <c r="AK2483" s="12" t="n">
        <v>462</v>
      </c>
      <c r="AL2483" s="12" t="n">
        <v>389</v>
      </c>
      <c r="AM2483" s="13" t="n">
        <v>99</v>
      </c>
      <c r="AN2483" s="13" t="inlineStr"/>
      <c r="AO2483" s="13" t="n">
        <v>124.4</v>
      </c>
      <c r="AP2483" s="13" t="n">
        <v>1284.6</v>
      </c>
    </row>
    <row r="2484">
      <c r="A2484" s="5" t="inlineStr">
        <is>
          <t>에코아이</t>
        </is>
      </c>
      <c r="B2484" s="6" t="inlineStr">
        <is>
          <t>448280</t>
        </is>
      </c>
      <c r="C2484" s="6" t="inlineStr">
        <is>
          <t>연결</t>
        </is>
      </c>
      <c r="D2484" s="6" t="inlineStr">
        <is>
          <t>2026Q2</t>
        </is>
      </c>
      <c r="E2484" s="6" t="inlineStr"/>
      <c r="F2484" s="7" t="inlineStr"/>
      <c r="G2484" s="8" t="inlineStr"/>
      <c r="H2484" s="8" t="inlineStr"/>
      <c r="I2484" s="9" t="n">
        <v>5143</v>
      </c>
      <c r="J2484" s="10" t="n">
        <v>304</v>
      </c>
      <c r="K2484" s="10" t="n">
        <v>1019</v>
      </c>
      <c r="L2484" s="7" t="n">
        <v>5745</v>
      </c>
      <c r="M2484" s="8" t="n">
        <v>2077</v>
      </c>
      <c r="N2484" s="8" t="n">
        <v>2193</v>
      </c>
      <c r="O2484" s="9" t="n">
        <v>2489</v>
      </c>
      <c r="P2484" s="10" t="n">
        <v>-1415</v>
      </c>
      <c r="Q2484" s="10" t="n">
        <v>-1072</v>
      </c>
      <c r="R2484" s="7" t="n">
        <v>12392</v>
      </c>
      <c r="S2484" s="8" t="n">
        <v>-767</v>
      </c>
      <c r="T2484" s="8" t="n">
        <v>114</v>
      </c>
      <c r="U2484" s="9" t="n">
        <v>3549</v>
      </c>
      <c r="V2484" s="10" t="n">
        <v>-2268</v>
      </c>
      <c r="W2484" s="10" t="n">
        <v>-1876</v>
      </c>
      <c r="X2484" s="7" t="n">
        <v>5925</v>
      </c>
      <c r="Y2484" s="8" t="n">
        <v>163</v>
      </c>
      <c r="Z2484" s="8" t="n">
        <v>613</v>
      </c>
      <c r="AA2484" s="9" t="n">
        <v>12698</v>
      </c>
      <c r="AB2484" s="10" t="n">
        <v>2128</v>
      </c>
      <c r="AC2484" s="10" t="n">
        <v>1844</v>
      </c>
      <c r="AD2484" s="7" t="n">
        <v>8744</v>
      </c>
      <c r="AE2484" s="8" t="n">
        <v>930</v>
      </c>
      <c r="AF2484" s="8" t="n">
        <v>1204</v>
      </c>
      <c r="AG2484" s="9" t="n">
        <v>5385</v>
      </c>
      <c r="AH2484" s="10" t="n">
        <v>-3713</v>
      </c>
      <c r="AI2484" s="10" t="n">
        <v>-3540</v>
      </c>
      <c r="AJ2484" s="11" t="n">
        <v>17756</v>
      </c>
      <c r="AK2484" s="12" t="n">
        <v>6163</v>
      </c>
      <c r="AL2484" s="12" t="n">
        <v>5809</v>
      </c>
      <c r="AM2484" s="13" t="n">
        <v>229.7</v>
      </c>
      <c r="AN2484" s="13" t="n">
        <v>199.7</v>
      </c>
      <c r="AO2484" s="13" t="n">
        <v>266</v>
      </c>
      <c r="AP2484" s="13" t="n">
        <v>3681</v>
      </c>
    </row>
    <row r="2485">
      <c r="A2485" s="5" t="inlineStr">
        <is>
          <t>코츠테크놀로지</t>
        </is>
      </c>
      <c r="B2485" s="6" t="inlineStr">
        <is>
          <t>448710</t>
        </is>
      </c>
      <c r="C2485" s="6" t="inlineStr">
        <is>
          <t>별도</t>
        </is>
      </c>
      <c r="D2485" s="6" t="inlineStr">
        <is>
          <t>2026Q2</t>
        </is>
      </c>
      <c r="E2485" s="6" t="inlineStr"/>
      <c r="F2485" s="7" t="inlineStr"/>
      <c r="G2485" s="8" t="inlineStr"/>
      <c r="H2485" s="8" t="inlineStr"/>
      <c r="I2485" s="9" t="n">
        <v>9137</v>
      </c>
      <c r="J2485" s="10" t="n">
        <v>1061</v>
      </c>
      <c r="K2485" s="10" t="n">
        <v>941</v>
      </c>
      <c r="L2485" s="7" t="n">
        <v>12940</v>
      </c>
      <c r="M2485" s="8" t="n">
        <v>1230</v>
      </c>
      <c r="N2485" s="8" t="n">
        <v>1018</v>
      </c>
      <c r="O2485" s="9" t="n">
        <v>21006</v>
      </c>
      <c r="P2485" s="10" t="n">
        <v>3546</v>
      </c>
      <c r="Q2485" s="10" t="n">
        <v>2969</v>
      </c>
      <c r="R2485" s="7" t="n">
        <v>21898</v>
      </c>
      <c r="S2485" s="8" t="n">
        <v>3642</v>
      </c>
      <c r="T2485" s="8" t="n">
        <v>3246</v>
      </c>
      <c r="U2485" s="9" t="n">
        <v>13594</v>
      </c>
      <c r="V2485" s="10" t="n">
        <v>1946</v>
      </c>
      <c r="W2485" s="10" t="n">
        <v>1711</v>
      </c>
      <c r="X2485" s="7" t="n">
        <v>13839</v>
      </c>
      <c r="Y2485" s="8" t="n">
        <v>1436</v>
      </c>
      <c r="Z2485" s="8" t="n">
        <v>1280</v>
      </c>
      <c r="AA2485" s="9" t="n">
        <v>21320</v>
      </c>
      <c r="AB2485" s="10" t="n">
        <v>4435</v>
      </c>
      <c r="AC2485" s="10" t="n">
        <v>3675</v>
      </c>
      <c r="AD2485" s="7" t="n">
        <v>19361</v>
      </c>
      <c r="AE2485" s="8" t="n">
        <v>498</v>
      </c>
      <c r="AF2485" s="8" t="n">
        <v>708</v>
      </c>
      <c r="AG2485" s="9" t="n">
        <v>16925</v>
      </c>
      <c r="AH2485" s="10" t="n">
        <v>1366</v>
      </c>
      <c r="AI2485" s="10" t="n">
        <v>1527</v>
      </c>
      <c r="AJ2485" s="11" t="n">
        <v>20748</v>
      </c>
      <c r="AK2485" s="12" t="n">
        <v>2480</v>
      </c>
      <c r="AL2485" s="12" t="n">
        <v>1909</v>
      </c>
      <c r="AM2485" s="13" t="n">
        <v>22.6</v>
      </c>
      <c r="AN2485" s="13" t="n">
        <v>49.9</v>
      </c>
      <c r="AO2485" s="13" t="n">
        <v>81.59999999999999</v>
      </c>
      <c r="AP2485" s="13" t="n">
        <v>72.7</v>
      </c>
    </row>
    <row r="2486">
      <c r="A2486" s="5" t="inlineStr">
        <is>
          <t>한국피아이엠</t>
        </is>
      </c>
      <c r="B2486" s="6" t="inlineStr">
        <is>
          <t>448900</t>
        </is>
      </c>
      <c r="C2486" s="6" t="inlineStr">
        <is>
          <t>연결</t>
        </is>
      </c>
      <c r="D2486" s="6" t="inlineStr">
        <is>
          <t>2026Q2</t>
        </is>
      </c>
      <c r="E2486" s="6" t="inlineStr"/>
      <c r="F2486" s="7" t="inlineStr"/>
      <c r="G2486" s="8" t="inlineStr"/>
      <c r="H2486" s="8" t="inlineStr"/>
      <c r="I2486" s="9" t="inlineStr"/>
      <c r="J2486" s="10" t="inlineStr"/>
      <c r="K2486" s="10" t="inlineStr"/>
      <c r="L2486" s="7" t="inlineStr"/>
      <c r="M2486" s="8" t="inlineStr"/>
      <c r="N2486" s="8" t="inlineStr"/>
      <c r="O2486" s="9" t="inlineStr"/>
      <c r="P2486" s="10" t="inlineStr"/>
      <c r="Q2486" s="10" t="inlineStr"/>
      <c r="R2486" s="7" t="inlineStr"/>
      <c r="S2486" s="8" t="inlineStr"/>
      <c r="T2486" s="8" t="inlineStr"/>
      <c r="U2486" s="9" t="n">
        <v>8635</v>
      </c>
      <c r="V2486" s="10" t="n">
        <v>530</v>
      </c>
      <c r="W2486" s="10" t="n">
        <v>305</v>
      </c>
      <c r="X2486" s="7" t="n">
        <v>8917</v>
      </c>
      <c r="Y2486" s="8" t="n">
        <v>116</v>
      </c>
      <c r="Z2486" s="8" t="n">
        <v>-1824</v>
      </c>
      <c r="AA2486" s="9" t="n">
        <v>11199</v>
      </c>
      <c r="AB2486" s="10" t="n">
        <v>261</v>
      </c>
      <c r="AC2486" s="10" t="n">
        <v>472</v>
      </c>
      <c r="AD2486" s="7" t="n">
        <v>8180</v>
      </c>
      <c r="AE2486" s="8" t="n">
        <v>549</v>
      </c>
      <c r="AF2486" s="8" t="n">
        <v>993</v>
      </c>
      <c r="AG2486" s="9" t="n">
        <v>8313</v>
      </c>
      <c r="AH2486" s="10" t="n">
        <v>-747</v>
      </c>
      <c r="AI2486" s="10" t="n">
        <v>-43</v>
      </c>
      <c r="AJ2486" s="11" t="n">
        <v>10503</v>
      </c>
      <c r="AK2486" s="12" t="n">
        <v>180</v>
      </c>
      <c r="AL2486" s="12" t="n">
        <v>761</v>
      </c>
      <c r="AM2486" s="13" t="n">
        <v>26.3</v>
      </c>
      <c r="AN2486" s="13" t="n">
        <v>17.8</v>
      </c>
      <c r="AO2486" s="13" t="n">
        <v>124.1</v>
      </c>
      <c r="AP2486" s="13" t="n">
        <v>55.2</v>
      </c>
    </row>
    <row r="2487">
      <c r="A2487" s="5" t="inlineStr">
        <is>
          <t>에코프로머티</t>
        </is>
      </c>
      <c r="B2487" s="6" t="inlineStr">
        <is>
          <t>450080</t>
        </is>
      </c>
      <c r="C2487" s="6" t="inlineStr">
        <is>
          <t>연결</t>
        </is>
      </c>
      <c r="D2487" s="6" t="inlineStr">
        <is>
          <t>2026Q2</t>
        </is>
      </c>
      <c r="E2487" s="6" t="inlineStr">
        <is>
          <t>2023Q4</t>
        </is>
      </c>
      <c r="F2487" s="14" t="n">
        <v>188400</v>
      </c>
      <c r="G2487" s="15" t="n">
        <v>136</v>
      </c>
      <c r="H2487" s="15" t="n">
        <v>12913</v>
      </c>
      <c r="I2487" s="9" t="n">
        <v>79185</v>
      </c>
      <c r="J2487" s="10" t="n">
        <v>-12972</v>
      </c>
      <c r="K2487" s="10" t="n">
        <v>-8464</v>
      </c>
      <c r="L2487" s="7" t="n">
        <v>66692</v>
      </c>
      <c r="M2487" s="8" t="n">
        <v>-3667</v>
      </c>
      <c r="N2487" s="8" t="n">
        <v>-847</v>
      </c>
      <c r="O2487" s="9" t="n">
        <v>65875</v>
      </c>
      <c r="P2487" s="10" t="n">
        <v>-38537</v>
      </c>
      <c r="Q2487" s="10" t="n">
        <v>-27739</v>
      </c>
      <c r="R2487" s="7" t="n">
        <v>88094</v>
      </c>
      <c r="S2487" s="8" t="n">
        <v>-9544</v>
      </c>
      <c r="T2487" s="8" t="n">
        <v>-5636</v>
      </c>
      <c r="U2487" s="9" t="n">
        <v>136081</v>
      </c>
      <c r="V2487" s="10" t="n">
        <v>-14784</v>
      </c>
      <c r="W2487" s="10" t="n">
        <v>-7326</v>
      </c>
      <c r="X2487" s="7" t="n">
        <v>78069</v>
      </c>
      <c r="Y2487" s="8" t="n">
        <v>-28790</v>
      </c>
      <c r="Z2487" s="8" t="n">
        <v>-33502</v>
      </c>
      <c r="AA2487" s="9" t="n">
        <v>63154</v>
      </c>
      <c r="AB2487" s="10" t="n">
        <v>-25141</v>
      </c>
      <c r="AC2487" s="10" t="n">
        <v>161588</v>
      </c>
      <c r="AD2487" s="7" t="n">
        <v>115202</v>
      </c>
      <c r="AE2487" s="8" t="n">
        <v>3346</v>
      </c>
      <c r="AF2487" s="8" t="n">
        <v>-96656</v>
      </c>
      <c r="AG2487" s="9" t="n">
        <v>166529</v>
      </c>
      <c r="AH2487" s="10" t="n">
        <v>15678</v>
      </c>
      <c r="AI2487" s="10" t="n">
        <v>24618</v>
      </c>
      <c r="AJ2487" s="11" t="n">
        <v>178788</v>
      </c>
      <c r="AK2487" s="12" t="n">
        <v>-10584</v>
      </c>
      <c r="AL2487" s="12" t="n">
        <v>-12449</v>
      </c>
      <c r="AM2487" s="13" t="n">
        <v>7.4</v>
      </c>
      <c r="AN2487" s="13" t="n">
        <v>129</v>
      </c>
      <c r="AO2487" s="13" t="n">
        <v>-167.5</v>
      </c>
      <c r="AP2487" s="13" t="n">
        <v>63.2</v>
      </c>
    </row>
    <row r="2488">
      <c r="A2488" s="5" t="inlineStr">
        <is>
          <t>하스</t>
        </is>
      </c>
      <c r="B2488" s="6" t="inlineStr">
        <is>
          <t>450330</t>
        </is>
      </c>
      <c r="C2488" s="6" t="inlineStr">
        <is>
          <t>연결</t>
        </is>
      </c>
      <c r="D2488" s="6" t="inlineStr">
        <is>
          <t>2026Q2</t>
        </is>
      </c>
      <c r="E2488" s="6" t="inlineStr"/>
      <c r="F2488" s="7" t="inlineStr"/>
      <c r="G2488" s="8" t="inlineStr"/>
      <c r="H2488" s="8" t="inlineStr"/>
      <c r="I2488" s="9" t="inlineStr"/>
      <c r="J2488" s="10" t="inlineStr"/>
      <c r="K2488" s="10" t="inlineStr"/>
      <c r="L2488" s="7" t="n">
        <v>4076</v>
      </c>
      <c r="M2488" s="8" t="n">
        <v>108</v>
      </c>
      <c r="N2488" s="8" t="n">
        <v>195</v>
      </c>
      <c r="O2488" s="9" t="n">
        <v>3350</v>
      </c>
      <c r="P2488" s="10" t="n">
        <v>-181</v>
      </c>
      <c r="Q2488" s="10" t="n">
        <v>-75</v>
      </c>
      <c r="R2488" s="7" t="inlineStr"/>
      <c r="S2488" s="8" t="inlineStr"/>
      <c r="T2488" s="8" t="inlineStr"/>
      <c r="U2488" s="9" t="n">
        <v>3334</v>
      </c>
      <c r="V2488" s="10" t="n">
        <v>-695</v>
      </c>
      <c r="W2488" s="10" t="n">
        <v>-761</v>
      </c>
      <c r="X2488" s="7" t="n">
        <v>4608</v>
      </c>
      <c r="Y2488" s="8" t="n">
        <v>963</v>
      </c>
      <c r="Z2488" s="8" t="n">
        <v>984</v>
      </c>
      <c r="AA2488" s="9" t="n">
        <v>4831</v>
      </c>
      <c r="AB2488" s="10" t="n">
        <v>305</v>
      </c>
      <c r="AC2488" s="10" t="n">
        <v>308</v>
      </c>
      <c r="AD2488" s="7" t="n">
        <v>3818</v>
      </c>
      <c r="AE2488" s="8" t="n">
        <v>330</v>
      </c>
      <c r="AF2488" s="8" t="n">
        <v>1017</v>
      </c>
      <c r="AG2488" s="9" t="n">
        <v>3318</v>
      </c>
      <c r="AH2488" s="10" t="n">
        <v>-818</v>
      </c>
      <c r="AI2488" s="10" t="n">
        <v>-901</v>
      </c>
      <c r="AJ2488" s="11" t="n">
        <v>4118</v>
      </c>
      <c r="AK2488" s="12" t="n">
        <v>-615</v>
      </c>
      <c r="AL2488" s="12" t="n">
        <v>-580</v>
      </c>
      <c r="AM2488" s="13" t="n">
        <v>24.1</v>
      </c>
      <c r="AN2488" s="13" t="n">
        <v>-10.6</v>
      </c>
      <c r="AO2488" s="13" t="n">
        <v>24.8</v>
      </c>
      <c r="AP2488" s="13" t="n">
        <v>-163.9</v>
      </c>
    </row>
    <row r="2489">
      <c r="A2489" s="5" t="inlineStr">
        <is>
          <t>인스웨이브</t>
        </is>
      </c>
      <c r="B2489" s="6" t="inlineStr">
        <is>
          <t>450520</t>
        </is>
      </c>
      <c r="C2489" s="6" t="inlineStr">
        <is>
          <t>연결</t>
        </is>
      </c>
      <c r="D2489" s="6" t="inlineStr">
        <is>
          <t>2026Q2</t>
        </is>
      </c>
      <c r="E2489" s="6" t="inlineStr"/>
      <c r="F2489" s="7" t="inlineStr"/>
      <c r="G2489" s="8" t="inlineStr"/>
      <c r="H2489" s="8" t="inlineStr"/>
      <c r="I2489" s="9" t="n">
        <v>6985</v>
      </c>
      <c r="J2489" s="10" t="n">
        <v>-1879</v>
      </c>
      <c r="K2489" s="10" t="n">
        <v>-1486</v>
      </c>
      <c r="L2489" s="7" t="n">
        <v>4929</v>
      </c>
      <c r="M2489" s="8" t="n">
        <v>-1848</v>
      </c>
      <c r="N2489" s="8" t="n">
        <v>-1057</v>
      </c>
      <c r="O2489" s="9" t="n">
        <v>9073</v>
      </c>
      <c r="P2489" s="10" t="n">
        <v>148</v>
      </c>
      <c r="Q2489" s="10" t="n">
        <v>525</v>
      </c>
      <c r="R2489" s="7" t="n">
        <v>9426</v>
      </c>
      <c r="S2489" s="8" t="n">
        <v>-14</v>
      </c>
      <c r="T2489" s="8" t="n">
        <v>58</v>
      </c>
      <c r="U2489" s="9" t="n">
        <v>7112</v>
      </c>
      <c r="V2489" s="10" t="n">
        <v>-3390</v>
      </c>
      <c r="W2489" s="10" t="n">
        <v>-2846</v>
      </c>
      <c r="X2489" s="7" t="n">
        <v>10375</v>
      </c>
      <c r="Y2489" s="8" t="n">
        <v>-1072</v>
      </c>
      <c r="Z2489" s="8" t="n">
        <v>-585</v>
      </c>
      <c r="AA2489" s="9" t="n">
        <v>11455</v>
      </c>
      <c r="AB2489" s="10" t="n">
        <v>-884</v>
      </c>
      <c r="AC2489" s="10" t="n">
        <v>-1015</v>
      </c>
      <c r="AD2489" s="7" t="n">
        <v>10016</v>
      </c>
      <c r="AE2489" s="8" t="n">
        <v>491</v>
      </c>
      <c r="AF2489" s="8" t="n">
        <v>969</v>
      </c>
      <c r="AG2489" s="9" t="n">
        <v>11261</v>
      </c>
      <c r="AH2489" s="10" t="n">
        <v>-2808</v>
      </c>
      <c r="AI2489" s="10" t="n">
        <v>-2243</v>
      </c>
      <c r="AJ2489" s="11" t="n">
        <v>15326</v>
      </c>
      <c r="AK2489" s="12" t="n">
        <v>-128</v>
      </c>
      <c r="AL2489" s="12" t="n">
        <v>135</v>
      </c>
      <c r="AM2489" s="13" t="n">
        <v>36.1</v>
      </c>
      <c r="AN2489" s="13" t="n">
        <v>47.7</v>
      </c>
      <c r="AO2489" s="13" t="n">
        <v>95.40000000000001</v>
      </c>
      <c r="AP2489" s="13" t="n">
        <v>88.09999999999999</v>
      </c>
    </row>
    <row r="2490">
      <c r="A2490" s="5" t="inlineStr">
        <is>
          <t>아스테라시스</t>
        </is>
      </c>
      <c r="B2490" s="6" t="inlineStr">
        <is>
          <t>450950</t>
        </is>
      </c>
      <c r="C2490" s="6" t="inlineStr">
        <is>
          <t>연결</t>
        </is>
      </c>
      <c r="D2490" s="6" t="inlineStr">
        <is>
          <t>2026Q2</t>
        </is>
      </c>
      <c r="E2490" s="6" t="inlineStr"/>
      <c r="F2490" s="7" t="inlineStr"/>
      <c r="G2490" s="8" t="inlineStr"/>
      <c r="H2490" s="8" t="inlineStr"/>
      <c r="I2490" s="9" t="inlineStr"/>
      <c r="J2490" s="10" t="inlineStr"/>
      <c r="K2490" s="10" t="inlineStr"/>
      <c r="L2490" s="7" t="inlineStr"/>
      <c r="M2490" s="8" t="inlineStr"/>
      <c r="N2490" s="8" t="inlineStr"/>
      <c r="O2490" s="9" t="inlineStr"/>
      <c r="P2490" s="10" t="inlineStr"/>
      <c r="Q2490" s="10" t="inlineStr"/>
      <c r="R2490" s="7" t="inlineStr"/>
      <c r="S2490" s="8" t="inlineStr"/>
      <c r="T2490" s="8" t="inlineStr"/>
      <c r="U2490" s="9" t="n">
        <v>6690</v>
      </c>
      <c r="V2490" s="10" t="n">
        <v>591</v>
      </c>
      <c r="W2490" s="10" t="n">
        <v>524</v>
      </c>
      <c r="X2490" s="7" t="n">
        <v>10337</v>
      </c>
      <c r="Y2490" s="8" t="n">
        <v>3837</v>
      </c>
      <c r="Z2490" s="8" t="n">
        <v>2939</v>
      </c>
      <c r="AA2490" s="9" t="n">
        <v>8752</v>
      </c>
      <c r="AB2490" s="10" t="n">
        <v>2303</v>
      </c>
      <c r="AC2490" s="10" t="n">
        <v>1906</v>
      </c>
      <c r="AD2490" s="7" t="n">
        <v>12165</v>
      </c>
      <c r="AE2490" s="8" t="n">
        <v>3661</v>
      </c>
      <c r="AF2490" s="8" t="n">
        <v>3841</v>
      </c>
      <c r="AG2490" s="9" t="n">
        <v>7471</v>
      </c>
      <c r="AH2490" s="10" t="n">
        <v>-1783</v>
      </c>
      <c r="AI2490" s="10" t="n">
        <v>-960</v>
      </c>
      <c r="AJ2490" s="11" t="n">
        <v>11222</v>
      </c>
      <c r="AK2490" s="12" t="n">
        <v>79</v>
      </c>
      <c r="AL2490" s="12" t="n">
        <v>1298</v>
      </c>
      <c r="AM2490" s="13" t="n">
        <v>50.2</v>
      </c>
      <c r="AN2490" s="13" t="n">
        <v>8.6</v>
      </c>
      <c r="AO2490" s="13" t="n">
        <v>104.4</v>
      </c>
      <c r="AP2490" s="13" t="n">
        <v>-97.90000000000001</v>
      </c>
    </row>
    <row r="2491">
      <c r="A2491" s="5" t="inlineStr">
        <is>
          <t>아이엠티</t>
        </is>
      </c>
      <c r="B2491" s="6" t="inlineStr">
        <is>
          <t>451220</t>
        </is>
      </c>
      <c r="C2491" s="6" t="inlineStr">
        <is>
          <t>연결</t>
        </is>
      </c>
      <c r="D2491" s="6" t="inlineStr">
        <is>
          <t>2026Q2</t>
        </is>
      </c>
      <c r="E2491" s="6" t="inlineStr"/>
      <c r="F2491" s="7" t="inlineStr"/>
      <c r="G2491" s="8" t="inlineStr"/>
      <c r="H2491" s="8" t="inlineStr"/>
      <c r="I2491" s="9" t="n">
        <v>1727</v>
      </c>
      <c r="J2491" s="10" t="n">
        <v>-665</v>
      </c>
      <c r="K2491" s="10" t="n">
        <v>-399</v>
      </c>
      <c r="L2491" s="7" t="n">
        <v>1647</v>
      </c>
      <c r="M2491" s="8" t="n">
        <v>-674</v>
      </c>
      <c r="N2491" s="8" t="n">
        <v>-875</v>
      </c>
      <c r="O2491" s="9" t="n">
        <v>4731</v>
      </c>
      <c r="P2491" s="10" t="n">
        <v>-410</v>
      </c>
      <c r="Q2491" s="10" t="n">
        <v>-479</v>
      </c>
      <c r="R2491" s="7" t="n">
        <v>5460</v>
      </c>
      <c r="S2491" s="8" t="n">
        <v>-412</v>
      </c>
      <c r="T2491" s="8" t="n">
        <v>-1871</v>
      </c>
      <c r="U2491" s="9" t="n">
        <v>5653</v>
      </c>
      <c r="V2491" s="10" t="n">
        <v>-1032</v>
      </c>
      <c r="W2491" s="10" t="n">
        <v>-1195</v>
      </c>
      <c r="X2491" s="7" t="n">
        <v>7362</v>
      </c>
      <c r="Y2491" s="8" t="n">
        <v>-397</v>
      </c>
      <c r="Z2491" s="8" t="n">
        <v>-772</v>
      </c>
      <c r="AA2491" s="9" t="n">
        <v>9818</v>
      </c>
      <c r="AB2491" s="10" t="n">
        <v>131</v>
      </c>
      <c r="AC2491" s="10" t="n">
        <v>2166</v>
      </c>
      <c r="AD2491" s="7" t="n">
        <v>10111</v>
      </c>
      <c r="AE2491" s="8" t="n">
        <v>1457</v>
      </c>
      <c r="AF2491" s="8" t="n">
        <v>774</v>
      </c>
      <c r="AG2491" s="9" t="n">
        <v>12238</v>
      </c>
      <c r="AH2491" s="10" t="n">
        <v>1052</v>
      </c>
      <c r="AI2491" s="10" t="n">
        <v>844</v>
      </c>
      <c r="AJ2491" s="11" t="n">
        <v>9347</v>
      </c>
      <c r="AK2491" s="12" t="n">
        <v>-163</v>
      </c>
      <c r="AL2491" s="12" t="n">
        <v>-407</v>
      </c>
      <c r="AM2491" s="13" t="n">
        <v>-23.6</v>
      </c>
      <c r="AN2491" s="13" t="n">
        <v>27</v>
      </c>
      <c r="AO2491" s="13" t="n">
        <v>-115.5</v>
      </c>
      <c r="AP2491" s="13" t="n">
        <v>58.9</v>
      </c>
    </row>
    <row r="2492">
      <c r="A2492" s="5" t="inlineStr">
        <is>
          <t>삐아</t>
        </is>
      </c>
      <c r="B2492" s="6" t="inlineStr">
        <is>
          <t>451250</t>
        </is>
      </c>
      <c r="C2492" s="6" t="inlineStr">
        <is>
          <t>연결</t>
        </is>
      </c>
      <c r="D2492" s="6" t="inlineStr">
        <is>
          <t>2026Q2</t>
        </is>
      </c>
      <c r="E2492" s="6" t="inlineStr"/>
      <c r="F2492" s="7" t="inlineStr"/>
      <c r="G2492" s="8" t="inlineStr"/>
      <c r="H2492" s="8" t="inlineStr"/>
      <c r="I2492" s="9" t="n">
        <v>12376</v>
      </c>
      <c r="J2492" s="10" t="n">
        <v>1743</v>
      </c>
      <c r="K2492" s="10" t="n">
        <v>1419</v>
      </c>
      <c r="L2492" s="7" t="n">
        <v>13651</v>
      </c>
      <c r="M2492" s="8" t="n">
        <v>592</v>
      </c>
      <c r="N2492" s="8" t="n">
        <v>-3249</v>
      </c>
      <c r="O2492" s="9" t="n">
        <v>14138</v>
      </c>
      <c r="P2492" s="10" t="n">
        <v>1021</v>
      </c>
      <c r="Q2492" s="10" t="n">
        <v>1688</v>
      </c>
      <c r="R2492" s="7" t="n">
        <v>17480</v>
      </c>
      <c r="S2492" s="8" t="n">
        <v>2184</v>
      </c>
      <c r="T2492" s="8" t="n">
        <v>750</v>
      </c>
      <c r="U2492" s="9" t="n">
        <v>15459</v>
      </c>
      <c r="V2492" s="10" t="n">
        <v>1260</v>
      </c>
      <c r="W2492" s="10" t="n">
        <v>1808</v>
      </c>
      <c r="X2492" s="7" t="n">
        <v>17402</v>
      </c>
      <c r="Y2492" s="8" t="n">
        <v>187</v>
      </c>
      <c r="Z2492" s="8" t="n">
        <v>-180</v>
      </c>
      <c r="AA2492" s="9" t="n">
        <v>18738</v>
      </c>
      <c r="AB2492" s="10" t="n">
        <v>1809</v>
      </c>
      <c r="AC2492" s="10" t="n">
        <v>1441</v>
      </c>
      <c r="AD2492" s="7" t="n">
        <v>16373</v>
      </c>
      <c r="AE2492" s="8" t="n">
        <v>1213</v>
      </c>
      <c r="AF2492" s="8" t="n">
        <v>1687</v>
      </c>
      <c r="AG2492" s="9" t="n">
        <v>20256</v>
      </c>
      <c r="AH2492" s="10" t="n">
        <v>2943</v>
      </c>
      <c r="AI2492" s="10" t="n">
        <v>2334</v>
      </c>
      <c r="AJ2492" s="11" t="n">
        <v>21796</v>
      </c>
      <c r="AK2492" s="12" t="n">
        <v>1770</v>
      </c>
      <c r="AL2492" s="12" t="n">
        <v>1543</v>
      </c>
      <c r="AM2492" s="13" t="n">
        <v>7.6</v>
      </c>
      <c r="AN2492" s="13" t="n">
        <v>25.2</v>
      </c>
      <c r="AO2492" s="13" t="n">
        <v>-39.9</v>
      </c>
      <c r="AP2492" s="13" t="n">
        <v>846.5</v>
      </c>
    </row>
    <row r="2493">
      <c r="A2493" s="5" t="inlineStr">
        <is>
          <t>컨텍</t>
        </is>
      </c>
      <c r="B2493" s="6" t="inlineStr">
        <is>
          <t>451760</t>
        </is>
      </c>
      <c r="C2493" s="6" t="inlineStr">
        <is>
          <t>연결</t>
        </is>
      </c>
      <c r="D2493" s="6" t="inlineStr">
        <is>
          <t>2026Q2</t>
        </is>
      </c>
      <c r="E2493" s="6" t="inlineStr"/>
      <c r="F2493" s="7" t="inlineStr"/>
      <c r="G2493" s="8" t="inlineStr"/>
      <c r="H2493" s="8" t="inlineStr"/>
      <c r="I2493" s="9" t="n">
        <v>9149</v>
      </c>
      <c r="J2493" s="10" t="n">
        <v>-3180</v>
      </c>
      <c r="K2493" s="10" t="n">
        <v>-2320</v>
      </c>
      <c r="L2493" s="7" t="n">
        <v>5059</v>
      </c>
      <c r="M2493" s="8" t="n">
        <v>-4016</v>
      </c>
      <c r="N2493" s="8" t="n">
        <v>-3458</v>
      </c>
      <c r="O2493" s="9" t="n">
        <v>16687</v>
      </c>
      <c r="P2493" s="10" t="n">
        <v>-117</v>
      </c>
      <c r="Q2493" s="10" t="n">
        <v>-1205</v>
      </c>
      <c r="R2493" s="7" t="n">
        <v>38088</v>
      </c>
      <c r="S2493" s="8" t="n">
        <v>-4873</v>
      </c>
      <c r="T2493" s="8" t="n">
        <v>-12145</v>
      </c>
      <c r="U2493" s="9" t="n">
        <v>18783</v>
      </c>
      <c r="V2493" s="10" t="n">
        <v>-5170</v>
      </c>
      <c r="W2493" s="10" t="n">
        <v>-4819</v>
      </c>
      <c r="X2493" s="7" t="n">
        <v>26576</v>
      </c>
      <c r="Y2493" s="8" t="n">
        <v>-5313</v>
      </c>
      <c r="Z2493" s="8" t="n">
        <v>-6312</v>
      </c>
      <c r="AA2493" s="9" t="n">
        <v>15196</v>
      </c>
      <c r="AB2493" s="10" t="n">
        <v>-5023</v>
      </c>
      <c r="AC2493" s="10" t="n">
        <v>-4714</v>
      </c>
      <c r="AD2493" s="7" t="n">
        <v>26343</v>
      </c>
      <c r="AE2493" s="8" t="n">
        <v>-664</v>
      </c>
      <c r="AF2493" s="8" t="n">
        <v>5503</v>
      </c>
      <c r="AG2493" s="9" t="n">
        <v>18223</v>
      </c>
      <c r="AH2493" s="10" t="n">
        <v>-2438</v>
      </c>
      <c r="AI2493" s="10" t="n">
        <v>-731</v>
      </c>
      <c r="AJ2493" s="11" t="n">
        <v>17981</v>
      </c>
      <c r="AK2493" s="12" t="n">
        <v>-7913</v>
      </c>
      <c r="AL2493" s="12" t="n">
        <v>4906</v>
      </c>
      <c r="AM2493" s="13" t="n">
        <v>-1.3</v>
      </c>
      <c r="AN2493" s="13" t="n">
        <v>-32.3</v>
      </c>
      <c r="AO2493" s="13" t="n">
        <v>-224.6</v>
      </c>
      <c r="AP2493" s="13" t="n">
        <v>-48.9</v>
      </c>
    </row>
    <row r="2494">
      <c r="A2494" s="5" t="inlineStr">
        <is>
          <t>한화리츠</t>
        </is>
      </c>
      <c r="B2494" s="6" t="inlineStr">
        <is>
          <t>451800</t>
        </is>
      </c>
      <c r="C2494" s="6" t="inlineStr">
        <is>
          <t>별도</t>
        </is>
      </c>
      <c r="D2494" s="6" t="inlineStr">
        <is>
          <t>2026Q2</t>
        </is>
      </c>
      <c r="E2494" s="6" t="inlineStr"/>
      <c r="F2494" s="7" t="inlineStr"/>
      <c r="G2494" s="8" t="inlineStr"/>
      <c r="H2494" s="8" t="inlineStr"/>
      <c r="I2494" s="9" t="inlineStr"/>
      <c r="J2494" s="10" t="inlineStr"/>
      <c r="K2494" s="10" t="inlineStr"/>
      <c r="L2494" s="7" t="n">
        <v>12092</v>
      </c>
      <c r="M2494" s="8" t="n">
        <v>6503</v>
      </c>
      <c r="N2494" s="8" t="n">
        <v>1457</v>
      </c>
      <c r="O2494" s="9" t="inlineStr"/>
      <c r="P2494" s="10" t="inlineStr"/>
      <c r="Q2494" s="10" t="inlineStr"/>
      <c r="R2494" s="7" t="inlineStr"/>
      <c r="S2494" s="8" t="inlineStr"/>
      <c r="T2494" s="8" t="inlineStr"/>
      <c r="U2494" s="9" t="inlineStr"/>
      <c r="V2494" s="10" t="inlineStr"/>
      <c r="W2494" s="10" t="inlineStr"/>
      <c r="X2494" s="7" t="n">
        <v>26176</v>
      </c>
      <c r="Y2494" s="8" t="n">
        <v>15458</v>
      </c>
      <c r="Z2494" s="8" t="n">
        <v>6033</v>
      </c>
      <c r="AA2494" s="9" t="inlineStr"/>
      <c r="AB2494" s="10" t="inlineStr"/>
      <c r="AC2494" s="10" t="inlineStr"/>
      <c r="AD2494" s="7" t="inlineStr"/>
      <c r="AE2494" s="8" t="inlineStr"/>
      <c r="AF2494" s="8" t="inlineStr"/>
      <c r="AG2494" s="9" t="inlineStr"/>
      <c r="AH2494" s="10" t="inlineStr"/>
      <c r="AI2494" s="10" t="inlineStr"/>
      <c r="AJ2494" s="11" t="n">
        <v>31440</v>
      </c>
      <c r="AK2494" s="12" t="n">
        <v>19458</v>
      </c>
      <c r="AL2494" s="12" t="n">
        <v>8531</v>
      </c>
      <c r="AM2494" s="13" t="inlineStr"/>
      <c r="AN2494" s="13" t="n">
        <v>20.1</v>
      </c>
      <c r="AO2494" s="13" t="inlineStr"/>
      <c r="AP2494" s="13" t="n">
        <v>25.9</v>
      </c>
    </row>
    <row r="2495">
      <c r="A2495" s="5" t="inlineStr">
        <is>
          <t>제이엔비</t>
        </is>
      </c>
      <c r="B2495" s="6" t="inlineStr">
        <is>
          <t>452160</t>
        </is>
      </c>
      <c r="C2495" s="6" t="inlineStr">
        <is>
          <t>연결</t>
        </is>
      </c>
      <c r="D2495" s="6" t="inlineStr">
        <is>
          <t>2026Q2</t>
        </is>
      </c>
      <c r="E2495" s="6" t="inlineStr"/>
      <c r="F2495" s="7" t="inlineStr"/>
      <c r="G2495" s="8" t="inlineStr"/>
      <c r="H2495" s="8" t="inlineStr"/>
      <c r="I2495" s="9" t="n">
        <v>4018</v>
      </c>
      <c r="J2495" s="10" t="n">
        <v>694</v>
      </c>
      <c r="K2495" s="10" t="n">
        <v>485</v>
      </c>
      <c r="L2495" s="7" t="n">
        <v>3771</v>
      </c>
      <c r="M2495" s="8" t="n">
        <v>625</v>
      </c>
      <c r="N2495" s="8" t="n">
        <v>136</v>
      </c>
      <c r="O2495" s="9" t="n">
        <v>4229</v>
      </c>
      <c r="P2495" s="10" t="n">
        <v>1051</v>
      </c>
      <c r="Q2495" s="10" t="n">
        <v>946</v>
      </c>
      <c r="R2495" s="7" t="n">
        <v>4015</v>
      </c>
      <c r="S2495" s="8" t="n">
        <v>995</v>
      </c>
      <c r="T2495" s="8" t="n">
        <v>420</v>
      </c>
      <c r="U2495" s="9" t="n">
        <v>4398</v>
      </c>
      <c r="V2495" s="10" t="n">
        <v>1138</v>
      </c>
      <c r="W2495" s="10" t="n">
        <v>996</v>
      </c>
      <c r="X2495" s="7" t="n">
        <v>3540</v>
      </c>
      <c r="Y2495" s="8" t="n">
        <v>164</v>
      </c>
      <c r="Z2495" s="8" t="n">
        <v>396</v>
      </c>
      <c r="AA2495" s="9" t="n">
        <v>3767</v>
      </c>
      <c r="AB2495" s="10" t="n">
        <v>-653</v>
      </c>
      <c r="AC2495" s="10" t="n">
        <v>-889</v>
      </c>
      <c r="AD2495" s="7" t="n">
        <v>3197</v>
      </c>
      <c r="AE2495" s="8" t="n">
        <v>-474</v>
      </c>
      <c r="AF2495" s="8" t="n">
        <v>-951</v>
      </c>
      <c r="AG2495" s="9" t="n">
        <v>3542</v>
      </c>
      <c r="AH2495" s="10" t="n">
        <v>-369</v>
      </c>
      <c r="AI2495" s="10" t="n">
        <v>-631</v>
      </c>
      <c r="AJ2495" s="11" t="n">
        <v>4929</v>
      </c>
      <c r="AK2495" s="12" t="n">
        <v>265</v>
      </c>
      <c r="AL2495" s="12" t="n">
        <v>-166</v>
      </c>
      <c r="AM2495" s="13" t="n">
        <v>39.2</v>
      </c>
      <c r="AN2495" s="13" t="n">
        <v>39.2</v>
      </c>
      <c r="AO2495" s="13" t="n">
        <v>171.8</v>
      </c>
      <c r="AP2495" s="13" t="n">
        <v>61.6</v>
      </c>
    </row>
    <row r="2496">
      <c r="A2496" s="5" t="inlineStr">
        <is>
          <t>한빛레이저</t>
        </is>
      </c>
      <c r="B2496" s="6" t="inlineStr">
        <is>
          <t>452190</t>
        </is>
      </c>
      <c r="C2496" s="6" t="inlineStr">
        <is>
          <t>연결</t>
        </is>
      </c>
      <c r="D2496" s="6" t="inlineStr">
        <is>
          <t>2026Q2</t>
        </is>
      </c>
      <c r="E2496" s="6" t="inlineStr"/>
      <c r="F2496" s="7" t="inlineStr"/>
      <c r="G2496" s="8" t="inlineStr"/>
      <c r="H2496" s="8" t="inlineStr"/>
      <c r="I2496" s="9" t="n">
        <v>3193</v>
      </c>
      <c r="J2496" s="10" t="n">
        <v>-363</v>
      </c>
      <c r="K2496" s="10" t="n">
        <v>79</v>
      </c>
      <c r="L2496" s="7" t="n">
        <v>3186</v>
      </c>
      <c r="M2496" s="8" t="n">
        <v>-579</v>
      </c>
      <c r="N2496" s="8" t="n">
        <v>-365</v>
      </c>
      <c r="O2496" s="9" t="n">
        <v>4526</v>
      </c>
      <c r="P2496" s="10" t="n">
        <v>-623</v>
      </c>
      <c r="Q2496" s="10" t="n">
        <v>-455</v>
      </c>
      <c r="R2496" s="7" t="n">
        <v>7637</v>
      </c>
      <c r="S2496" s="8" t="n">
        <v>-999</v>
      </c>
      <c r="T2496" s="8" t="n">
        <v>-1365</v>
      </c>
      <c r="U2496" s="9" t="n">
        <v>800</v>
      </c>
      <c r="V2496" s="10" t="n">
        <v>-1229</v>
      </c>
      <c r="W2496" s="10" t="n">
        <v>-1248</v>
      </c>
      <c r="X2496" s="7" t="n">
        <v>8066</v>
      </c>
      <c r="Y2496" s="8" t="n">
        <v>929</v>
      </c>
      <c r="Z2496" s="8" t="n">
        <v>944</v>
      </c>
      <c r="AA2496" s="9" t="n">
        <v>5176</v>
      </c>
      <c r="AB2496" s="10" t="n">
        <v>-337</v>
      </c>
      <c r="AC2496" s="10" t="n">
        <v>-164</v>
      </c>
      <c r="AD2496" s="7" t="n">
        <v>10204</v>
      </c>
      <c r="AE2496" s="8" t="n">
        <v>2599</v>
      </c>
      <c r="AF2496" s="8" t="n">
        <v>2904</v>
      </c>
      <c r="AG2496" s="9" t="n">
        <v>6328</v>
      </c>
      <c r="AH2496" s="10" t="n">
        <v>171</v>
      </c>
      <c r="AI2496" s="10" t="n">
        <v>307</v>
      </c>
      <c r="AJ2496" s="11" t="n">
        <v>4451</v>
      </c>
      <c r="AK2496" s="12" t="n">
        <v>509</v>
      </c>
      <c r="AL2496" s="12" t="n">
        <v>472</v>
      </c>
      <c r="AM2496" s="13" t="n">
        <v>-29.7</v>
      </c>
      <c r="AN2496" s="13" t="n">
        <v>-44.8</v>
      </c>
      <c r="AO2496" s="13" t="n">
        <v>197.7</v>
      </c>
      <c r="AP2496" s="13" t="n">
        <v>-45.2</v>
      </c>
    </row>
    <row r="2497">
      <c r="A2497" s="5" t="inlineStr">
        <is>
          <t>민테크</t>
        </is>
      </c>
      <c r="B2497" s="6" t="inlineStr">
        <is>
          <t>452200</t>
        </is>
      </c>
      <c r="C2497" s="6" t="inlineStr">
        <is>
          <t>연결</t>
        </is>
      </c>
      <c r="D2497" s="6" t="inlineStr">
        <is>
          <t>2026Q2</t>
        </is>
      </c>
      <c r="E2497" s="6" t="inlineStr"/>
      <c r="F2497" s="7" t="inlineStr"/>
      <c r="G2497" s="8" t="inlineStr"/>
      <c r="H2497" s="8" t="inlineStr"/>
      <c r="I2497" s="9" t="inlineStr"/>
      <c r="J2497" s="10" t="inlineStr"/>
      <c r="K2497" s="10" t="inlineStr"/>
      <c r="L2497" s="7" t="n">
        <v>3285</v>
      </c>
      <c r="M2497" s="8" t="n">
        <v>-3222</v>
      </c>
      <c r="N2497" s="8" t="n">
        <v>-11838</v>
      </c>
      <c r="O2497" s="9" t="n">
        <v>3976</v>
      </c>
      <c r="P2497" s="10" t="n">
        <v>-2911</v>
      </c>
      <c r="Q2497" s="10" t="n">
        <v>-3281</v>
      </c>
      <c r="R2497" s="7" t="inlineStr"/>
      <c r="S2497" s="8" t="inlineStr"/>
      <c r="T2497" s="8" t="inlineStr"/>
      <c r="U2497" s="9" t="n">
        <v>990</v>
      </c>
      <c r="V2497" s="10" t="n">
        <v>-4176</v>
      </c>
      <c r="W2497" s="10" t="n">
        <v>-4400</v>
      </c>
      <c r="X2497" s="7" t="n">
        <v>795</v>
      </c>
      <c r="Y2497" s="8" t="n">
        <v>-3458</v>
      </c>
      <c r="Z2497" s="8" t="n">
        <v>-557</v>
      </c>
      <c r="AA2497" s="9" t="n">
        <v>10361</v>
      </c>
      <c r="AB2497" s="10" t="n">
        <v>161</v>
      </c>
      <c r="AC2497" s="10" t="n">
        <v>4258</v>
      </c>
      <c r="AD2497" s="7" t="n">
        <v>8870</v>
      </c>
      <c r="AE2497" s="8" t="n">
        <v>-1327</v>
      </c>
      <c r="AF2497" s="8" t="n">
        <v>-1815</v>
      </c>
      <c r="AG2497" s="9" t="n">
        <v>1615</v>
      </c>
      <c r="AH2497" s="10" t="n">
        <v>-2678</v>
      </c>
      <c r="AI2497" s="10" t="n">
        <v>-2906</v>
      </c>
      <c r="AJ2497" s="11" t="n">
        <v>1540</v>
      </c>
      <c r="AK2497" s="12" t="n">
        <v>-2352</v>
      </c>
      <c r="AL2497" s="12" t="n">
        <v>-2554</v>
      </c>
      <c r="AM2497" s="13" t="n">
        <v>-4.6</v>
      </c>
      <c r="AN2497" s="13" t="n">
        <v>93.7</v>
      </c>
      <c r="AO2497" s="13" t="n">
        <v>12.2</v>
      </c>
      <c r="AP2497" s="13" t="n">
        <v>32</v>
      </c>
    </row>
    <row r="2498">
      <c r="A2498" s="5" t="inlineStr">
        <is>
          <t>한화갤러리아</t>
        </is>
      </c>
      <c r="B2498" s="6" t="inlineStr">
        <is>
          <t>452260</t>
        </is>
      </c>
      <c r="C2498" s="6" t="inlineStr">
        <is>
          <t>연결</t>
        </is>
      </c>
      <c r="D2498" s="6" t="inlineStr">
        <is>
          <t>2026Q2</t>
        </is>
      </c>
      <c r="E2498" s="6" t="inlineStr"/>
      <c r="F2498" s="7" t="inlineStr"/>
      <c r="G2498" s="8" t="inlineStr"/>
      <c r="H2498" s="8" t="inlineStr"/>
      <c r="I2498" s="9" t="n">
        <v>122126</v>
      </c>
      <c r="J2498" s="10" t="n">
        <v>7392</v>
      </c>
      <c r="K2498" s="10" t="n">
        <v>2655</v>
      </c>
      <c r="L2498" s="7" t="n">
        <v>126319</v>
      </c>
      <c r="M2498" s="8" t="n">
        <v>-4481</v>
      </c>
      <c r="N2498" s="8" t="n">
        <v>-845</v>
      </c>
      <c r="O2498" s="9" t="n">
        <v>114704</v>
      </c>
      <c r="P2498" s="10" t="n">
        <v>-1944</v>
      </c>
      <c r="Q2498" s="10" t="n">
        <v>-6852</v>
      </c>
      <c r="R2498" s="7" t="n">
        <v>175165</v>
      </c>
      <c r="S2498" s="8" t="n">
        <v>2162</v>
      </c>
      <c r="T2498" s="8" t="n">
        <v>-13800</v>
      </c>
      <c r="U2498" s="9" t="n">
        <v>129253</v>
      </c>
      <c r="V2498" s="10" t="n">
        <v>1832</v>
      </c>
      <c r="W2498" s="10" t="n">
        <v>-4453</v>
      </c>
      <c r="X2498" s="7" t="n">
        <v>126944</v>
      </c>
      <c r="Y2498" s="8" t="n">
        <v>-4906</v>
      </c>
      <c r="Z2498" s="8" t="n">
        <v>-14260</v>
      </c>
      <c r="AA2498" s="9" t="n">
        <v>125552</v>
      </c>
      <c r="AB2498" s="10" t="n">
        <v>3393</v>
      </c>
      <c r="AC2498" s="10" t="n">
        <v>-2983</v>
      </c>
      <c r="AD2498" s="7" t="n">
        <v>193417</v>
      </c>
      <c r="AE2498" s="8" t="n">
        <v>9095</v>
      </c>
      <c r="AF2498" s="8" t="n">
        <v>25009</v>
      </c>
      <c r="AG2498" s="9" t="n">
        <v>126144</v>
      </c>
      <c r="AH2498" s="10" t="n">
        <v>12346</v>
      </c>
      <c r="AI2498" s="10" t="n">
        <v>-827</v>
      </c>
      <c r="AJ2498" s="11" t="n">
        <v>150904</v>
      </c>
      <c r="AK2498" s="12" t="n">
        <v>15135</v>
      </c>
      <c r="AL2498" s="12" t="n">
        <v>5085</v>
      </c>
      <c r="AM2498" s="13" t="n">
        <v>19.6</v>
      </c>
      <c r="AN2498" s="13" t="n">
        <v>18.9</v>
      </c>
      <c r="AO2498" s="13" t="n">
        <v>22.6</v>
      </c>
      <c r="AP2498" s="13" t="n">
        <v>408.5</v>
      </c>
    </row>
    <row r="2499">
      <c r="A2499" s="5" t="inlineStr">
        <is>
          <t>한선엔지니어링</t>
        </is>
      </c>
      <c r="B2499" s="6" t="inlineStr">
        <is>
          <t>452280</t>
        </is>
      </c>
      <c r="C2499" s="6" t="inlineStr">
        <is>
          <t>별도</t>
        </is>
      </c>
      <c r="D2499" s="6" t="inlineStr">
        <is>
          <t>2026Q2</t>
        </is>
      </c>
      <c r="E2499" s="6" t="inlineStr"/>
      <c r="F2499" s="7" t="inlineStr"/>
      <c r="G2499" s="8" t="inlineStr"/>
      <c r="H2499" s="8" t="inlineStr"/>
      <c r="I2499" s="9" t="n">
        <v>11874</v>
      </c>
      <c r="J2499" s="10" t="n">
        <v>1375</v>
      </c>
      <c r="K2499" s="10" t="n">
        <v>1545</v>
      </c>
      <c r="L2499" s="7" t="n">
        <v>13130</v>
      </c>
      <c r="M2499" s="8" t="n">
        <v>1748</v>
      </c>
      <c r="N2499" s="8" t="n">
        <v>1001</v>
      </c>
      <c r="O2499" s="9" t="n">
        <v>11200</v>
      </c>
      <c r="P2499" s="10" t="n">
        <v>789</v>
      </c>
      <c r="Q2499" s="10" t="n">
        <v>265</v>
      </c>
      <c r="R2499" s="7" t="n">
        <v>12337</v>
      </c>
      <c r="S2499" s="8" t="n">
        <v>1011</v>
      </c>
      <c r="T2499" s="8" t="n">
        <v>1347</v>
      </c>
      <c r="U2499" s="9" t="n">
        <v>13111</v>
      </c>
      <c r="V2499" s="10" t="n">
        <v>1682</v>
      </c>
      <c r="W2499" s="10" t="n">
        <v>1790</v>
      </c>
      <c r="X2499" s="7" t="n">
        <v>15499</v>
      </c>
      <c r="Y2499" s="8" t="n">
        <v>2653</v>
      </c>
      <c r="Z2499" s="8" t="n">
        <v>4321</v>
      </c>
      <c r="AA2499" s="9" t="n">
        <v>16196</v>
      </c>
      <c r="AB2499" s="10" t="n">
        <v>2593</v>
      </c>
      <c r="AC2499" s="10" t="n">
        <v>2699</v>
      </c>
      <c r="AD2499" s="7" t="n">
        <v>18410</v>
      </c>
      <c r="AE2499" s="8" t="n">
        <v>2822</v>
      </c>
      <c r="AF2499" s="8" t="n">
        <v>125</v>
      </c>
      <c r="AG2499" s="9" t="n">
        <v>22381</v>
      </c>
      <c r="AH2499" s="10" t="n">
        <v>6205</v>
      </c>
      <c r="AI2499" s="10" t="n">
        <v>-5126</v>
      </c>
      <c r="AJ2499" s="11" t="n">
        <v>23645</v>
      </c>
      <c r="AK2499" s="12" t="n">
        <v>5603</v>
      </c>
      <c r="AL2499" s="12" t="n">
        <v>2031</v>
      </c>
      <c r="AM2499" s="13" t="n">
        <v>5.6</v>
      </c>
      <c r="AN2499" s="13" t="n">
        <v>52.6</v>
      </c>
      <c r="AO2499" s="13" t="n">
        <v>-9.699999999999999</v>
      </c>
      <c r="AP2499" s="13" t="n">
        <v>111.2</v>
      </c>
    </row>
    <row r="2500">
      <c r="A2500" s="5" t="inlineStr">
        <is>
          <t>캡스톤파트너스</t>
        </is>
      </c>
      <c r="B2500" s="6" t="inlineStr">
        <is>
          <t>452300</t>
        </is>
      </c>
      <c r="C2500" s="6" t="inlineStr">
        <is>
          <t>별도</t>
        </is>
      </c>
      <c r="D2500" s="6" t="inlineStr">
        <is>
          <t>2026Q2</t>
        </is>
      </c>
      <c r="E2500" s="6" t="inlineStr"/>
      <c r="F2500" s="7" t="inlineStr"/>
      <c r="G2500" s="8" t="inlineStr"/>
      <c r="H2500" s="8" t="inlineStr"/>
      <c r="I2500" s="9" t="n">
        <v>1903</v>
      </c>
      <c r="J2500" s="10" t="n">
        <v>657</v>
      </c>
      <c r="K2500" s="10" t="n">
        <v>516</v>
      </c>
      <c r="L2500" s="7" t="n">
        <v>1596</v>
      </c>
      <c r="M2500" s="8" t="n">
        <v>235</v>
      </c>
      <c r="N2500" s="8" t="n">
        <v>179</v>
      </c>
      <c r="O2500" s="9" t="n">
        <v>1581</v>
      </c>
      <c r="P2500" s="10" t="n">
        <v>356</v>
      </c>
      <c r="Q2500" s="10" t="n">
        <v>273</v>
      </c>
      <c r="R2500" s="7" t="n">
        <v>4613</v>
      </c>
      <c r="S2500" s="8" t="n">
        <v>948</v>
      </c>
      <c r="T2500" s="8" t="n">
        <v>865</v>
      </c>
      <c r="U2500" s="9" t="n">
        <v>1495</v>
      </c>
      <c r="V2500" s="10" t="n">
        <v>306</v>
      </c>
      <c r="W2500" s="10" t="n">
        <v>246</v>
      </c>
      <c r="X2500" s="7" t="n">
        <v>1833</v>
      </c>
      <c r="Y2500" s="8" t="n">
        <v>451</v>
      </c>
      <c r="Z2500" s="8" t="n">
        <v>365</v>
      </c>
      <c r="AA2500" s="9" t="n">
        <v>2900</v>
      </c>
      <c r="AB2500" s="10" t="n">
        <v>1716</v>
      </c>
      <c r="AC2500" s="10" t="n">
        <v>1394</v>
      </c>
      <c r="AD2500" s="7" t="n">
        <v>1245</v>
      </c>
      <c r="AE2500" s="8" t="n">
        <v>-134</v>
      </c>
      <c r="AF2500" s="8" t="n">
        <v>299</v>
      </c>
      <c r="AG2500" s="9" t="n">
        <v>1545</v>
      </c>
      <c r="AH2500" s="10" t="n">
        <v>387</v>
      </c>
      <c r="AI2500" s="10" t="n">
        <v>326</v>
      </c>
      <c r="AJ2500" s="11" t="n">
        <v>2202</v>
      </c>
      <c r="AK2500" s="12" t="n">
        <v>1083</v>
      </c>
      <c r="AL2500" s="12" t="n">
        <v>828</v>
      </c>
      <c r="AM2500" s="13" t="n">
        <v>42.5</v>
      </c>
      <c r="AN2500" s="13" t="n">
        <v>20.1</v>
      </c>
      <c r="AO2500" s="13" t="n">
        <v>179.8</v>
      </c>
      <c r="AP2500" s="13" t="n">
        <v>140.1</v>
      </c>
    </row>
    <row r="2501">
      <c r="A2501" s="5" t="inlineStr">
        <is>
          <t>이닉스</t>
        </is>
      </c>
      <c r="B2501" s="6" t="inlineStr">
        <is>
          <t>452400</t>
        </is>
      </c>
      <c r="C2501" s="6" t="inlineStr">
        <is>
          <t>연결</t>
        </is>
      </c>
      <c r="D2501" s="6" t="inlineStr">
        <is>
          <t>2026Q2</t>
        </is>
      </c>
      <c r="E2501" s="6" t="inlineStr"/>
      <c r="F2501" s="7" t="inlineStr"/>
      <c r="G2501" s="8" t="inlineStr"/>
      <c r="H2501" s="8" t="inlineStr"/>
      <c r="I2501" s="9" t="n">
        <v>24699</v>
      </c>
      <c r="J2501" s="10" t="n">
        <v>-1277</v>
      </c>
      <c r="K2501" s="10" t="n">
        <v>-231</v>
      </c>
      <c r="L2501" s="7" t="n">
        <v>24859</v>
      </c>
      <c r="M2501" s="8" t="n">
        <v>392</v>
      </c>
      <c r="N2501" s="8" t="n">
        <v>739</v>
      </c>
      <c r="O2501" s="9" t="n">
        <v>27599</v>
      </c>
      <c r="P2501" s="10" t="n">
        <v>565</v>
      </c>
      <c r="Q2501" s="10" t="n">
        <v>485</v>
      </c>
      <c r="R2501" s="7" t="n">
        <v>27361</v>
      </c>
      <c r="S2501" s="8" t="n">
        <v>-1215</v>
      </c>
      <c r="T2501" s="8" t="n">
        <v>6</v>
      </c>
      <c r="U2501" s="9" t="n">
        <v>28999</v>
      </c>
      <c r="V2501" s="10" t="n">
        <v>140</v>
      </c>
      <c r="W2501" s="10" t="n">
        <v>336</v>
      </c>
      <c r="X2501" s="7" t="n">
        <v>33087</v>
      </c>
      <c r="Y2501" s="8" t="n">
        <v>69</v>
      </c>
      <c r="Z2501" s="8" t="n">
        <v>-10</v>
      </c>
      <c r="AA2501" s="9" t="n">
        <v>34106</v>
      </c>
      <c r="AB2501" s="10" t="n">
        <v>30</v>
      </c>
      <c r="AC2501" s="10" t="n">
        <v>479</v>
      </c>
      <c r="AD2501" s="7" t="n">
        <v>26396</v>
      </c>
      <c r="AE2501" s="8" t="n">
        <v>-1240</v>
      </c>
      <c r="AF2501" s="8" t="n">
        <v>-573</v>
      </c>
      <c r="AG2501" s="9" t="n">
        <v>26607</v>
      </c>
      <c r="AH2501" s="10" t="n">
        <v>-563</v>
      </c>
      <c r="AI2501" s="10" t="n">
        <v>340</v>
      </c>
      <c r="AJ2501" s="11" t="n">
        <v>29361</v>
      </c>
      <c r="AK2501" s="12" t="n">
        <v>98</v>
      </c>
      <c r="AL2501" s="12" t="n">
        <v>477</v>
      </c>
      <c r="AM2501" s="13" t="n">
        <v>10.4</v>
      </c>
      <c r="AN2501" s="13" t="n">
        <v>-11.3</v>
      </c>
      <c r="AO2501" s="13" t="n">
        <v>117.4</v>
      </c>
      <c r="AP2501" s="13" t="n">
        <v>42</v>
      </c>
    </row>
    <row r="2502">
      <c r="A2502" s="5" t="inlineStr">
        <is>
          <t>사피엔반도체</t>
        </is>
      </c>
      <c r="B2502" s="6" t="inlineStr">
        <is>
          <t>452430</t>
        </is>
      </c>
      <c r="C2502" s="6" t="inlineStr">
        <is>
          <t>별도</t>
        </is>
      </c>
      <c r="D2502" s="6" t="inlineStr">
        <is>
          <t>2026Q2</t>
        </is>
      </c>
      <c r="E2502" s="6" t="inlineStr"/>
      <c r="F2502" s="7" t="inlineStr"/>
      <c r="G2502" s="8" t="inlineStr"/>
      <c r="H2502" s="8" t="inlineStr"/>
      <c r="I2502" s="9" t="n">
        <v>82</v>
      </c>
      <c r="J2502" s="10" t="n">
        <v>-3256</v>
      </c>
      <c r="K2502" s="10" t="n">
        <v>-16371</v>
      </c>
      <c r="L2502" s="7" t="n">
        <v>172</v>
      </c>
      <c r="M2502" s="8" t="n">
        <v>-1469</v>
      </c>
      <c r="N2502" s="8" t="n">
        <v>-1599</v>
      </c>
      <c r="O2502" s="9" t="n">
        <v>1051</v>
      </c>
      <c r="P2502" s="10" t="n">
        <v>-710</v>
      </c>
      <c r="Q2502" s="10" t="n">
        <v>-828</v>
      </c>
      <c r="R2502" s="7" t="n">
        <v>6687</v>
      </c>
      <c r="S2502" s="8" t="n">
        <v>1989</v>
      </c>
      <c r="T2502" s="8" t="n">
        <v>1716</v>
      </c>
      <c r="U2502" s="9" t="n">
        <v>1648</v>
      </c>
      <c r="V2502" s="10" t="n">
        <v>-1603</v>
      </c>
      <c r="W2502" s="10" t="n">
        <v>-1699</v>
      </c>
      <c r="X2502" s="7" t="n">
        <v>2017</v>
      </c>
      <c r="Y2502" s="8" t="n">
        <v>-1686</v>
      </c>
      <c r="Z2502" s="8" t="n">
        <v>-2250</v>
      </c>
      <c r="AA2502" s="9" t="n">
        <v>4639</v>
      </c>
      <c r="AB2502" s="10" t="n">
        <v>-1292</v>
      </c>
      <c r="AC2502" s="10" t="n">
        <v>-871</v>
      </c>
      <c r="AD2502" s="7" t="n">
        <v>9008</v>
      </c>
      <c r="AE2502" s="8" t="n">
        <v>16</v>
      </c>
      <c r="AF2502" s="8" t="n">
        <v>32</v>
      </c>
      <c r="AG2502" s="9" t="n">
        <v>7134</v>
      </c>
      <c r="AH2502" s="10" t="n">
        <v>102</v>
      </c>
      <c r="AI2502" s="10" t="n">
        <v>364</v>
      </c>
      <c r="AJ2502" s="11" t="n">
        <v>7215</v>
      </c>
      <c r="AK2502" s="12" t="n">
        <v>312</v>
      </c>
      <c r="AL2502" s="12" t="n">
        <v>104</v>
      </c>
      <c r="AM2502" s="13" t="n">
        <v>1.1</v>
      </c>
      <c r="AN2502" s="13" t="n">
        <v>257.7</v>
      </c>
      <c r="AO2502" s="13" t="n">
        <v>205.9</v>
      </c>
      <c r="AP2502" s="13" t="n">
        <v>118.5</v>
      </c>
    </row>
    <row r="2503">
      <c r="A2503" s="5" t="inlineStr">
        <is>
          <t>피아이이</t>
        </is>
      </c>
      <c r="B2503" s="6" t="inlineStr">
        <is>
          <t>452450</t>
        </is>
      </c>
      <c r="C2503" s="6" t="inlineStr">
        <is>
          <t>연결</t>
        </is>
      </c>
      <c r="D2503" s="6" t="inlineStr">
        <is>
          <t>2026Q2</t>
        </is>
      </c>
      <c r="E2503" s="6" t="inlineStr"/>
      <c r="F2503" s="7" t="inlineStr"/>
      <c r="G2503" s="8" t="inlineStr"/>
      <c r="H2503" s="8" t="inlineStr"/>
      <c r="I2503" s="9" t="inlineStr"/>
      <c r="J2503" s="10" t="inlineStr"/>
      <c r="K2503" s="10" t="inlineStr"/>
      <c r="L2503" s="7" t="inlineStr"/>
      <c r="M2503" s="8" t="inlineStr"/>
      <c r="N2503" s="8" t="inlineStr"/>
      <c r="O2503" s="9" t="inlineStr"/>
      <c r="P2503" s="10" t="inlineStr"/>
      <c r="Q2503" s="10" t="inlineStr"/>
      <c r="R2503" s="7" t="inlineStr"/>
      <c r="S2503" s="8" t="inlineStr"/>
      <c r="T2503" s="8" t="inlineStr"/>
      <c r="U2503" s="9" t="n">
        <v>16635</v>
      </c>
      <c r="V2503" s="10" t="n">
        <v>-3581</v>
      </c>
      <c r="W2503" s="10" t="n">
        <v>-3558</v>
      </c>
      <c r="X2503" s="7" t="n">
        <v>17001</v>
      </c>
      <c r="Y2503" s="8" t="n">
        <v>-4305</v>
      </c>
      <c r="Z2503" s="8" t="n">
        <v>-5193</v>
      </c>
      <c r="AA2503" s="9" t="n">
        <v>14736</v>
      </c>
      <c r="AB2503" s="10" t="n">
        <v>-6880</v>
      </c>
      <c r="AC2503" s="10" t="n">
        <v>-6575</v>
      </c>
      <c r="AD2503" s="7" t="n">
        <v>16716</v>
      </c>
      <c r="AE2503" s="8" t="n">
        <v>-6451</v>
      </c>
      <c r="AF2503" s="8" t="n">
        <v>-9286</v>
      </c>
      <c r="AG2503" s="9" t="n">
        <v>9844</v>
      </c>
      <c r="AH2503" s="10" t="n">
        <v>-3105</v>
      </c>
      <c r="AI2503" s="10" t="n">
        <v>-3140</v>
      </c>
      <c r="AJ2503" s="11" t="n">
        <v>11008</v>
      </c>
      <c r="AK2503" s="12" t="n">
        <v>-2980</v>
      </c>
      <c r="AL2503" s="12" t="n">
        <v>-10565</v>
      </c>
      <c r="AM2503" s="13" t="n">
        <v>11.8</v>
      </c>
      <c r="AN2503" s="13" t="n">
        <v>-35.3</v>
      </c>
      <c r="AO2503" s="13" t="n">
        <v>4</v>
      </c>
      <c r="AP2503" s="13" t="n">
        <v>30.8</v>
      </c>
    </row>
    <row r="2504">
      <c r="A2504" s="5" t="inlineStr">
        <is>
          <t>현대그린푸드</t>
        </is>
      </c>
      <c r="B2504" s="6" t="inlineStr">
        <is>
          <t>453340</t>
        </is>
      </c>
      <c r="C2504" s="6" t="inlineStr">
        <is>
          <t>연결</t>
        </is>
      </c>
      <c r="D2504" s="6" t="inlineStr">
        <is>
          <t>2026Q2</t>
        </is>
      </c>
      <c r="E2504" s="6" t="inlineStr">
        <is>
          <t>2023Q4</t>
        </is>
      </c>
      <c r="F2504" s="14" t="n">
        <v>557400</v>
      </c>
      <c r="G2504" s="15" t="n">
        <v>-1900</v>
      </c>
      <c r="H2504" s="15" t="n">
        <v>-12900</v>
      </c>
      <c r="I2504" s="9" t="n">
        <v>559471</v>
      </c>
      <c r="J2504" s="10" t="n">
        <v>31184</v>
      </c>
      <c r="K2504" s="10" t="n">
        <v>24410</v>
      </c>
      <c r="L2504" s="7" t="n">
        <v>542384</v>
      </c>
      <c r="M2504" s="8" t="n">
        <v>32523</v>
      </c>
      <c r="N2504" s="8" t="n">
        <v>23560</v>
      </c>
      <c r="O2504" s="9" t="n">
        <v>601636</v>
      </c>
      <c r="P2504" s="10" t="n">
        <v>38319</v>
      </c>
      <c r="Q2504" s="10" t="n">
        <v>30541</v>
      </c>
      <c r="R2504" s="7" t="n">
        <v>566929</v>
      </c>
      <c r="S2504" s="8" t="n">
        <v>-5350</v>
      </c>
      <c r="T2504" s="8" t="n">
        <v>-4047</v>
      </c>
      <c r="U2504" s="9" t="n">
        <v>570573</v>
      </c>
      <c r="V2504" s="10" t="n">
        <v>32232</v>
      </c>
      <c r="W2504" s="10" t="n">
        <v>26447</v>
      </c>
      <c r="X2504" s="7" t="n">
        <v>552104</v>
      </c>
      <c r="Y2504" s="8" t="n">
        <v>30907</v>
      </c>
      <c r="Z2504" s="8" t="n">
        <v>23390</v>
      </c>
      <c r="AA2504" s="9" t="n">
        <v>617117</v>
      </c>
      <c r="AB2504" s="10" t="n">
        <v>44489</v>
      </c>
      <c r="AC2504" s="10" t="n">
        <v>37520</v>
      </c>
      <c r="AD2504" s="7" t="n">
        <v>589829</v>
      </c>
      <c r="AE2504" s="8" t="n">
        <v>-833</v>
      </c>
      <c r="AF2504" s="8" t="n">
        <v>381</v>
      </c>
      <c r="AG2504" s="9" t="n">
        <v>621491</v>
      </c>
      <c r="AH2504" s="10" t="n">
        <v>46390</v>
      </c>
      <c r="AI2504" s="10" t="n">
        <v>36183</v>
      </c>
      <c r="AJ2504" s="11" t="n">
        <v>594973</v>
      </c>
      <c r="AK2504" s="12" t="n">
        <v>38127</v>
      </c>
      <c r="AL2504" s="12" t="n">
        <v>30574</v>
      </c>
      <c r="AM2504" s="13" t="n">
        <v>-4.3</v>
      </c>
      <c r="AN2504" s="13" t="n">
        <v>7.8</v>
      </c>
      <c r="AO2504" s="13" t="n">
        <v>-17.8</v>
      </c>
      <c r="AP2504" s="13" t="n">
        <v>23.4</v>
      </c>
    </row>
    <row r="2505">
      <c r="A2505" s="5" t="inlineStr">
        <is>
          <t>그리드위즈</t>
        </is>
      </c>
      <c r="B2505" s="6" t="inlineStr">
        <is>
          <t>453450</t>
        </is>
      </c>
      <c r="C2505" s="6" t="inlineStr">
        <is>
          <t>연결</t>
        </is>
      </c>
      <c r="D2505" s="6" t="inlineStr">
        <is>
          <t>2026Q2</t>
        </is>
      </c>
      <c r="E2505" s="6" t="inlineStr"/>
      <c r="F2505" s="7" t="inlineStr"/>
      <c r="G2505" s="8" t="inlineStr"/>
      <c r="H2505" s="8" t="inlineStr"/>
      <c r="I2505" s="9" t="inlineStr"/>
      <c r="J2505" s="10" t="inlineStr"/>
      <c r="K2505" s="10" t="inlineStr"/>
      <c r="L2505" s="7" t="n">
        <v>18892</v>
      </c>
      <c r="M2505" s="8" t="n">
        <v>-1495</v>
      </c>
      <c r="N2505" s="8" t="n">
        <v>-1204</v>
      </c>
      <c r="O2505" s="9" t="n">
        <v>48742</v>
      </c>
      <c r="P2505" s="10" t="n">
        <v>3558</v>
      </c>
      <c r="Q2505" s="10" t="n">
        <v>2633</v>
      </c>
      <c r="R2505" s="7" t="inlineStr"/>
      <c r="S2505" s="8" t="inlineStr"/>
      <c r="T2505" s="8" t="inlineStr"/>
      <c r="U2505" s="9" t="n">
        <v>22138</v>
      </c>
      <c r="V2505" s="10" t="n">
        <v>-3372</v>
      </c>
      <c r="W2505" s="10" t="n">
        <v>-2992</v>
      </c>
      <c r="X2505" s="7" t="n">
        <v>26112</v>
      </c>
      <c r="Y2505" s="8" t="n">
        <v>1443</v>
      </c>
      <c r="Z2505" s="8" t="n">
        <v>1635</v>
      </c>
      <c r="AA2505" s="9" t="n">
        <v>42693</v>
      </c>
      <c r="AB2505" s="10" t="n">
        <v>3345</v>
      </c>
      <c r="AC2505" s="10" t="n">
        <v>7784</v>
      </c>
      <c r="AD2505" s="7" t="n">
        <v>34666</v>
      </c>
      <c r="AE2505" s="8" t="n">
        <v>-600</v>
      </c>
      <c r="AF2505" s="8" t="n">
        <v>-4408</v>
      </c>
      <c r="AG2505" s="9" t="n">
        <v>20609</v>
      </c>
      <c r="AH2505" s="10" t="n">
        <v>-2198</v>
      </c>
      <c r="AI2505" s="10" t="n">
        <v>-1301</v>
      </c>
      <c r="AJ2505" s="11" t="n">
        <v>20857</v>
      </c>
      <c r="AK2505" s="12" t="n">
        <v>-1652</v>
      </c>
      <c r="AL2505" s="12" t="n">
        <v>-946</v>
      </c>
      <c r="AM2505" s="13" t="n">
        <v>1.2</v>
      </c>
      <c r="AN2505" s="13" t="n">
        <v>-20.1</v>
      </c>
      <c r="AO2505" s="13" t="n">
        <v>24.8</v>
      </c>
      <c r="AP2505" s="13" t="n">
        <v>-214.5</v>
      </c>
    </row>
    <row r="2506">
      <c r="A2506" s="5" t="inlineStr">
        <is>
          <t>에이에스텍</t>
        </is>
      </c>
      <c r="B2506" s="6" t="inlineStr">
        <is>
          <t>453860</t>
        </is>
      </c>
      <c r="C2506" s="6" t="inlineStr">
        <is>
          <t>별도</t>
        </is>
      </c>
      <c r="D2506" s="6" t="inlineStr">
        <is>
          <t>2026Q2</t>
        </is>
      </c>
      <c r="E2506" s="6" t="inlineStr"/>
      <c r="F2506" s="7" t="inlineStr"/>
      <c r="G2506" s="8" t="inlineStr"/>
      <c r="H2506" s="8" t="inlineStr"/>
      <c r="I2506" s="9" t="n">
        <v>15688</v>
      </c>
      <c r="J2506" s="10" t="n">
        <v>3428</v>
      </c>
      <c r="K2506" s="10" t="n">
        <v>3002</v>
      </c>
      <c r="L2506" s="7" t="n">
        <v>11040</v>
      </c>
      <c r="M2506" s="8" t="n">
        <v>3381</v>
      </c>
      <c r="N2506" s="8" t="n">
        <v>4071</v>
      </c>
      <c r="O2506" s="9" t="n">
        <v>9618</v>
      </c>
      <c r="P2506" s="10" t="n">
        <v>1808</v>
      </c>
      <c r="Q2506" s="10" t="n">
        <v>731</v>
      </c>
      <c r="R2506" s="7" t="n">
        <v>6226</v>
      </c>
      <c r="S2506" s="8" t="n">
        <v>84</v>
      </c>
      <c r="T2506" s="8" t="n">
        <v>1681</v>
      </c>
      <c r="U2506" s="9" t="n">
        <v>6204</v>
      </c>
      <c r="V2506" s="10" t="n">
        <v>1008</v>
      </c>
      <c r="W2506" s="10" t="n">
        <v>1180</v>
      </c>
      <c r="X2506" s="7" t="n">
        <v>7741</v>
      </c>
      <c r="Y2506" s="8" t="n">
        <v>593</v>
      </c>
      <c r="Z2506" s="8" t="inlineStr"/>
      <c r="AA2506" s="9" t="n">
        <v>4538</v>
      </c>
      <c r="AB2506" s="10" t="n">
        <v>14</v>
      </c>
      <c r="AC2506" s="10" t="n">
        <v>187</v>
      </c>
      <c r="AD2506" s="7" t="n">
        <v>6077</v>
      </c>
      <c r="AE2506" s="8" t="n">
        <v>-1725</v>
      </c>
      <c r="AF2506" s="8" t="inlineStr"/>
      <c r="AG2506" s="9" t="n">
        <v>4588</v>
      </c>
      <c r="AH2506" s="10" t="n">
        <v>-1734</v>
      </c>
      <c r="AI2506" s="10" t="n">
        <v>-1884</v>
      </c>
      <c r="AJ2506" s="11" t="n">
        <v>4256</v>
      </c>
      <c r="AK2506" s="12" t="n">
        <v>-4893</v>
      </c>
      <c r="AL2506" s="12" t="n">
        <v>-5155</v>
      </c>
      <c r="AM2506" s="13" t="n">
        <v>-7.2</v>
      </c>
      <c r="AN2506" s="13" t="n">
        <v>-45</v>
      </c>
      <c r="AO2506" s="13" t="n">
        <v>-182.2</v>
      </c>
      <c r="AP2506" s="13" t="n">
        <v>-925.1</v>
      </c>
    </row>
    <row r="2507">
      <c r="A2507" s="5" t="inlineStr">
        <is>
          <t>두산로보틱스</t>
        </is>
      </c>
      <c r="B2507" s="6" t="inlineStr">
        <is>
          <t>454910</t>
        </is>
      </c>
      <c r="C2507" s="6" t="inlineStr">
        <is>
          <t>연결</t>
        </is>
      </c>
      <c r="D2507" s="6" t="inlineStr">
        <is>
          <t>2026Q2</t>
        </is>
      </c>
      <c r="E2507" s="6" t="inlineStr"/>
      <c r="F2507" s="7" t="inlineStr"/>
      <c r="G2507" s="8" t="inlineStr"/>
      <c r="H2507" s="8" t="inlineStr"/>
      <c r="I2507" s="9" t="n">
        <v>10882</v>
      </c>
      <c r="J2507" s="10" t="n">
        <v>-6886</v>
      </c>
      <c r="K2507" s="10" t="n">
        <v>-2847</v>
      </c>
      <c r="L2507" s="7" t="n">
        <v>14424</v>
      </c>
      <c r="M2507" s="8" t="n">
        <v>-7871</v>
      </c>
      <c r="N2507" s="8" t="n">
        <v>-3706</v>
      </c>
      <c r="O2507" s="9" t="n">
        <v>10034</v>
      </c>
      <c r="P2507" s="10" t="n">
        <v>-9588</v>
      </c>
      <c r="Q2507" s="10" t="n">
        <v>-6882</v>
      </c>
      <c r="R2507" s="7" t="n">
        <v>11490</v>
      </c>
      <c r="S2507" s="8" t="n">
        <v>-16857</v>
      </c>
      <c r="T2507" s="8" t="n">
        <v>-23126</v>
      </c>
      <c r="U2507" s="9" t="n">
        <v>5280</v>
      </c>
      <c r="V2507" s="10" t="n">
        <v>-12106</v>
      </c>
      <c r="W2507" s="10" t="n">
        <v>-9418</v>
      </c>
      <c r="X2507" s="7" t="n">
        <v>4532</v>
      </c>
      <c r="Y2507" s="8" t="n">
        <v>-15650</v>
      </c>
      <c r="Z2507" s="8" t="n">
        <v>-16567</v>
      </c>
      <c r="AA2507" s="9" t="n">
        <v>10165</v>
      </c>
      <c r="AB2507" s="10" t="n">
        <v>-15265</v>
      </c>
      <c r="AC2507" s="10" t="n">
        <v>-12858</v>
      </c>
      <c r="AD2507" s="7" t="n">
        <v>13001</v>
      </c>
      <c r="AE2507" s="8" t="n">
        <v>-16451</v>
      </c>
      <c r="AF2507" s="8" t="n">
        <v>-16652</v>
      </c>
      <c r="AG2507" s="9" t="n">
        <v>15295</v>
      </c>
      <c r="AH2507" s="10" t="n">
        <v>-12069</v>
      </c>
      <c r="AI2507" s="10" t="n">
        <v>-9165</v>
      </c>
      <c r="AJ2507" s="11" t="n">
        <v>17674</v>
      </c>
      <c r="AK2507" s="12" t="n">
        <v>-14417</v>
      </c>
      <c r="AL2507" s="12" t="n">
        <v>-12792</v>
      </c>
      <c r="AM2507" s="13" t="n">
        <v>15.6</v>
      </c>
      <c r="AN2507" s="13" t="n">
        <v>290</v>
      </c>
      <c r="AO2507" s="13" t="n">
        <v>-19.5</v>
      </c>
      <c r="AP2507" s="13" t="n">
        <v>7.9</v>
      </c>
    </row>
    <row r="2508">
      <c r="A2508" s="5" t="inlineStr">
        <is>
          <t>케이지에이</t>
        </is>
      </c>
      <c r="B2508" s="6" t="inlineStr">
        <is>
          <t>455180</t>
        </is>
      </c>
      <c r="C2508" s="6" t="inlineStr">
        <is>
          <t>연결</t>
        </is>
      </c>
      <c r="D2508" s="6" t="inlineStr">
        <is>
          <t>2026Q2</t>
        </is>
      </c>
      <c r="E2508" s="6" t="inlineStr"/>
      <c r="F2508" s="7" t="inlineStr"/>
      <c r="G2508" s="8" t="inlineStr"/>
      <c r="H2508" s="8" t="inlineStr"/>
      <c r="I2508" s="9" t="inlineStr"/>
      <c r="J2508" s="10" t="inlineStr"/>
      <c r="K2508" s="10" t="inlineStr"/>
      <c r="L2508" s="7" t="inlineStr"/>
      <c r="M2508" s="8" t="inlineStr"/>
      <c r="N2508" s="8" t="inlineStr"/>
      <c r="O2508" s="9" t="inlineStr"/>
      <c r="P2508" s="10" t="inlineStr"/>
      <c r="Q2508" s="10" t="inlineStr"/>
      <c r="R2508" s="7" t="inlineStr"/>
      <c r="S2508" s="8" t="inlineStr"/>
      <c r="T2508" s="8" t="inlineStr"/>
      <c r="U2508" s="9" t="inlineStr"/>
      <c r="V2508" s="10" t="inlineStr"/>
      <c r="W2508" s="10" t="inlineStr"/>
      <c r="X2508" s="7" t="n">
        <v>4586</v>
      </c>
      <c r="Y2508" s="8" t="n">
        <v>839</v>
      </c>
      <c r="Z2508" s="8" t="n">
        <v>-5341</v>
      </c>
      <c r="AA2508" s="9" t="n">
        <v>345</v>
      </c>
      <c r="AB2508" s="10" t="n">
        <v>-1678</v>
      </c>
      <c r="AC2508" s="10" t="n">
        <v>-1651</v>
      </c>
      <c r="AD2508" s="7" t="inlineStr"/>
      <c r="AE2508" s="8" t="inlineStr"/>
      <c r="AF2508" s="8" t="inlineStr"/>
      <c r="AG2508" s="9" t="n">
        <v>899</v>
      </c>
      <c r="AH2508" s="10" t="n">
        <v>-1223</v>
      </c>
      <c r="AI2508" s="10" t="n">
        <v>-1565</v>
      </c>
      <c r="AJ2508" s="11" t="n">
        <v>1659</v>
      </c>
      <c r="AK2508" s="12" t="n">
        <v>-1923</v>
      </c>
      <c r="AL2508" s="12" t="n">
        <v>-1984</v>
      </c>
      <c r="AM2508" s="13" t="n">
        <v>84.5</v>
      </c>
      <c r="AN2508" s="13" t="n">
        <v>-63.8</v>
      </c>
      <c r="AO2508" s="13" t="n">
        <v>-57.2</v>
      </c>
      <c r="AP2508" s="13" t="n">
        <v>-329.2</v>
      </c>
    </row>
    <row r="2509">
      <c r="A2509" s="5" t="inlineStr">
        <is>
          <t>엔젤로보틱스</t>
        </is>
      </c>
      <c r="B2509" s="6" t="inlineStr">
        <is>
          <t>455900</t>
        </is>
      </c>
      <c r="C2509" s="6" t="inlineStr">
        <is>
          <t>별도</t>
        </is>
      </c>
      <c r="D2509" s="6" t="inlineStr">
        <is>
          <t>2026Q2</t>
        </is>
      </c>
      <c r="E2509" s="6" t="inlineStr"/>
      <c r="F2509" s="7" t="inlineStr"/>
      <c r="G2509" s="8" t="inlineStr"/>
      <c r="H2509" s="8" t="inlineStr"/>
      <c r="I2509" s="9" t="n">
        <v>1032</v>
      </c>
      <c r="J2509" s="10" t="n">
        <v>-2291</v>
      </c>
      <c r="K2509" s="10" t="n">
        <v>-2217</v>
      </c>
      <c r="L2509" s="7" t="n">
        <v>1385</v>
      </c>
      <c r="M2509" s="8" t="n">
        <v>-2625</v>
      </c>
      <c r="N2509" s="8" t="n">
        <v>-2271</v>
      </c>
      <c r="O2509" s="9" t="n">
        <v>945</v>
      </c>
      <c r="P2509" s="10" t="n">
        <v>-2388</v>
      </c>
      <c r="Q2509" s="10" t="n">
        <v>-2168</v>
      </c>
      <c r="R2509" s="7" t="n">
        <v>849</v>
      </c>
      <c r="S2509" s="8" t="n">
        <v>-3538</v>
      </c>
      <c r="T2509" s="8" t="n">
        <v>-3350</v>
      </c>
      <c r="U2509" s="9" t="n">
        <v>1072</v>
      </c>
      <c r="V2509" s="10" t="n">
        <v>-2489</v>
      </c>
      <c r="W2509" s="10" t="n">
        <v>-2431</v>
      </c>
      <c r="X2509" s="7" t="n">
        <v>1490</v>
      </c>
      <c r="Y2509" s="8" t="n">
        <v>-2177</v>
      </c>
      <c r="Z2509" s="8" t="n">
        <v>-1974</v>
      </c>
      <c r="AA2509" s="9" t="n">
        <v>806</v>
      </c>
      <c r="AB2509" s="10" t="n">
        <v>-2840</v>
      </c>
      <c r="AC2509" s="10" t="n">
        <v>-2683</v>
      </c>
      <c r="AD2509" s="7" t="n">
        <v>1273</v>
      </c>
      <c r="AE2509" s="8" t="n">
        <v>-2770</v>
      </c>
      <c r="AF2509" s="8" t="n">
        <v>-2627</v>
      </c>
      <c r="AG2509" s="9" t="n">
        <v>507</v>
      </c>
      <c r="AH2509" s="10" t="n">
        <v>-2677</v>
      </c>
      <c r="AI2509" s="10" t="n">
        <v>-2526</v>
      </c>
      <c r="AJ2509" s="11" t="n">
        <v>788</v>
      </c>
      <c r="AK2509" s="12" t="n">
        <v>-3486</v>
      </c>
      <c r="AL2509" s="12" t="n">
        <v>-1139</v>
      </c>
      <c r="AM2509" s="13" t="n">
        <v>55.4</v>
      </c>
      <c r="AN2509" s="13" t="n">
        <v>-47.1</v>
      </c>
      <c r="AO2509" s="13" t="n">
        <v>-30.2</v>
      </c>
      <c r="AP2509" s="13" t="n">
        <v>-60.1</v>
      </c>
    </row>
    <row r="2510">
      <c r="A2510" s="5" t="inlineStr">
        <is>
          <t>아이씨티케이</t>
        </is>
      </c>
      <c r="B2510" s="6" t="inlineStr">
        <is>
          <t>456010</t>
        </is>
      </c>
      <c r="C2510" s="6" t="inlineStr">
        <is>
          <t>연결</t>
        </is>
      </c>
      <c r="D2510" s="6" t="inlineStr">
        <is>
          <t>2026Q2</t>
        </is>
      </c>
      <c r="E2510" s="6" t="inlineStr"/>
      <c r="F2510" s="7" t="inlineStr"/>
      <c r="G2510" s="8" t="inlineStr"/>
      <c r="H2510" s="8" t="inlineStr"/>
      <c r="I2510" s="9" t="n">
        <v>522</v>
      </c>
      <c r="J2510" s="10" t="n">
        <v>-1489</v>
      </c>
      <c r="K2510" s="10" t="n">
        <v>-1478</v>
      </c>
      <c r="L2510" s="7" t="n">
        <v>1639</v>
      </c>
      <c r="M2510" s="8" t="n">
        <v>-1985</v>
      </c>
      <c r="N2510" s="8" t="n">
        <v>-1530</v>
      </c>
      <c r="O2510" s="9" t="n">
        <v>2129</v>
      </c>
      <c r="P2510" s="10" t="n">
        <v>-2011</v>
      </c>
      <c r="Q2510" s="10" t="n">
        <v>-1816</v>
      </c>
      <c r="R2510" s="7" t="n">
        <v>2394</v>
      </c>
      <c r="S2510" s="8" t="n">
        <v>-1201</v>
      </c>
      <c r="T2510" s="8" t="n">
        <v>-994</v>
      </c>
      <c r="U2510" s="9" t="n">
        <v>414</v>
      </c>
      <c r="V2510" s="10" t="n">
        <v>-2608</v>
      </c>
      <c r="W2510" s="10" t="n">
        <v>-2158</v>
      </c>
      <c r="X2510" s="7" t="n">
        <v>830</v>
      </c>
      <c r="Y2510" s="8" t="n">
        <v>-2604</v>
      </c>
      <c r="Z2510" s="8" t="n">
        <v>-4195</v>
      </c>
      <c r="AA2510" s="9" t="n">
        <v>399</v>
      </c>
      <c r="AB2510" s="10" t="n">
        <v>-2886</v>
      </c>
      <c r="AC2510" s="10" t="n">
        <v>-2510</v>
      </c>
      <c r="AD2510" s="7" t="n">
        <v>2377</v>
      </c>
      <c r="AE2510" s="8" t="n">
        <v>-766</v>
      </c>
      <c r="AF2510" s="8" t="n">
        <v>2183</v>
      </c>
      <c r="AG2510" s="9" t="n">
        <v>605</v>
      </c>
      <c r="AH2510" s="10" t="n">
        <v>-3042</v>
      </c>
      <c r="AI2510" s="10" t="n">
        <v>-1145</v>
      </c>
      <c r="AJ2510" s="11" t="n">
        <v>1724</v>
      </c>
      <c r="AK2510" s="12" t="n">
        <v>-1940</v>
      </c>
      <c r="AL2510" s="12" t="n">
        <v>-12813</v>
      </c>
      <c r="AM2510" s="13" t="n">
        <v>185</v>
      </c>
      <c r="AN2510" s="13" t="n">
        <v>107.7</v>
      </c>
      <c r="AO2510" s="13" t="n">
        <v>36.2</v>
      </c>
      <c r="AP2510" s="13" t="n">
        <v>25.5</v>
      </c>
    </row>
    <row r="2511">
      <c r="A2511" s="5" t="inlineStr">
        <is>
          <t>OCI</t>
        </is>
      </c>
      <c r="B2511" s="6" t="inlineStr">
        <is>
          <t>456040</t>
        </is>
      </c>
      <c r="C2511" s="6" t="inlineStr">
        <is>
          <t>연결</t>
        </is>
      </c>
      <c r="D2511" s="6" t="inlineStr">
        <is>
          <t>2026Q2</t>
        </is>
      </c>
      <c r="E2511" s="6" t="inlineStr">
        <is>
          <t>2023Q4</t>
        </is>
      </c>
      <c r="F2511" s="14" t="n">
        <v>496399</v>
      </c>
      <c r="G2511" s="15" t="n">
        <v>20364</v>
      </c>
      <c r="H2511" s="15" t="n">
        <v>16474</v>
      </c>
      <c r="I2511" s="9" t="n">
        <v>540314</v>
      </c>
      <c r="J2511" s="10" t="n">
        <v>38833</v>
      </c>
      <c r="K2511" s="10" t="n">
        <v>38468</v>
      </c>
      <c r="L2511" s="7" t="n">
        <v>566488</v>
      </c>
      <c r="M2511" s="8" t="n">
        <v>33555</v>
      </c>
      <c r="N2511" s="8" t="n">
        <v>24818</v>
      </c>
      <c r="O2511" s="9" t="n">
        <v>588714</v>
      </c>
      <c r="P2511" s="10" t="n">
        <v>17719</v>
      </c>
      <c r="Q2511" s="10" t="n">
        <v>13930</v>
      </c>
      <c r="R2511" s="7" t="n">
        <v>519770</v>
      </c>
      <c r="S2511" s="8" t="n">
        <v>20386</v>
      </c>
      <c r="T2511" s="8" t="n">
        <v>12453</v>
      </c>
      <c r="U2511" s="9" t="n">
        <v>538788</v>
      </c>
      <c r="V2511" s="10" t="n">
        <v>10245</v>
      </c>
      <c r="W2511" s="10" t="n">
        <v>-17350</v>
      </c>
      <c r="X2511" s="7" t="n">
        <v>526975</v>
      </c>
      <c r="Y2511" s="8" t="n">
        <v>-2272</v>
      </c>
      <c r="Z2511" s="8" t="n">
        <v>-2384</v>
      </c>
      <c r="AA2511" s="9" t="n">
        <v>476378</v>
      </c>
      <c r="AB2511" s="10" t="n">
        <v>-10346</v>
      </c>
      <c r="AC2511" s="10" t="n">
        <v>-52228</v>
      </c>
      <c r="AD2511" s="7" t="n">
        <v>467288</v>
      </c>
      <c r="AE2511" s="8" t="n">
        <v>2813</v>
      </c>
      <c r="AF2511" s="8" t="n">
        <v>3478</v>
      </c>
      <c r="AG2511" s="9" t="n">
        <v>506608</v>
      </c>
      <c r="AH2511" s="10" t="n">
        <v>27825</v>
      </c>
      <c r="AI2511" s="10" t="n">
        <v>24768</v>
      </c>
      <c r="AJ2511" s="11" t="n">
        <v>535010</v>
      </c>
      <c r="AK2511" s="12" t="n">
        <v>43261</v>
      </c>
      <c r="AL2511" s="12" t="n">
        <v>29787</v>
      </c>
      <c r="AM2511" s="13" t="n">
        <v>5.6</v>
      </c>
      <c r="AN2511" s="13" t="n">
        <v>1.5</v>
      </c>
      <c r="AO2511" s="13" t="n">
        <v>55.5</v>
      </c>
      <c r="AP2511" s="13" t="n">
        <v>2004.1</v>
      </c>
    </row>
    <row r="2512">
      <c r="A2512" s="5" t="inlineStr">
        <is>
          <t>이엔셀</t>
        </is>
      </c>
      <c r="B2512" s="6" t="inlineStr">
        <is>
          <t>456070</t>
        </is>
      </c>
      <c r="C2512" s="6" t="inlineStr">
        <is>
          <t>별도</t>
        </is>
      </c>
      <c r="D2512" s="6" t="inlineStr">
        <is>
          <t>2026Q2</t>
        </is>
      </c>
      <c r="E2512" s="6" t="inlineStr"/>
      <c r="F2512" s="7" t="inlineStr"/>
      <c r="G2512" s="8" t="inlineStr"/>
      <c r="H2512" s="8" t="inlineStr"/>
      <c r="I2512" s="9" t="inlineStr"/>
      <c r="J2512" s="10" t="inlineStr"/>
      <c r="K2512" s="10" t="inlineStr"/>
      <c r="L2512" s="7" t="inlineStr"/>
      <c r="M2512" s="8" t="inlineStr"/>
      <c r="N2512" s="8" t="inlineStr"/>
      <c r="O2512" s="9" t="n">
        <v>1469</v>
      </c>
      <c r="P2512" s="10" t="n">
        <v>-4153</v>
      </c>
      <c r="Q2512" s="10" t="n">
        <v>-4067</v>
      </c>
      <c r="R2512" s="7" t="inlineStr"/>
      <c r="S2512" s="8" t="inlineStr"/>
      <c r="T2512" s="8" t="inlineStr"/>
      <c r="U2512" s="9" t="n">
        <v>1094</v>
      </c>
      <c r="V2512" s="10" t="n">
        <v>-4767</v>
      </c>
      <c r="W2512" s="10" t="n">
        <v>-4648</v>
      </c>
      <c r="X2512" s="7" t="n">
        <v>1178</v>
      </c>
      <c r="Y2512" s="8" t="n">
        <v>-4474</v>
      </c>
      <c r="Z2512" s="8" t="n">
        <v>-4331</v>
      </c>
      <c r="AA2512" s="9" t="n">
        <v>1546</v>
      </c>
      <c r="AB2512" s="10" t="n">
        <v>-3722</v>
      </c>
      <c r="AC2512" s="10" t="n">
        <v>-3603</v>
      </c>
      <c r="AD2512" s="7" t="n">
        <v>1441</v>
      </c>
      <c r="AE2512" s="8" t="n">
        <v>-4940</v>
      </c>
      <c r="AF2512" s="8" t="n">
        <v>-3526</v>
      </c>
      <c r="AG2512" s="9" t="n">
        <v>309</v>
      </c>
      <c r="AH2512" s="10" t="n">
        <v>-4870</v>
      </c>
      <c r="AI2512" s="10" t="n">
        <v>-5260</v>
      </c>
      <c r="AJ2512" s="11" t="n">
        <v>868</v>
      </c>
      <c r="AK2512" s="12" t="n">
        <v>-4679</v>
      </c>
      <c r="AL2512" s="12" t="n">
        <v>-7231</v>
      </c>
      <c r="AM2512" s="13" t="n">
        <v>180.9</v>
      </c>
      <c r="AN2512" s="13" t="n">
        <v>-26.3</v>
      </c>
      <c r="AO2512" s="13" t="n">
        <v>3.9</v>
      </c>
      <c r="AP2512" s="13" t="n">
        <v>-4.6</v>
      </c>
    </row>
    <row r="2513">
      <c r="A2513" s="5" t="inlineStr">
        <is>
          <t>지투지바이오</t>
        </is>
      </c>
      <c r="B2513" s="6" t="inlineStr">
        <is>
          <t>456160</t>
        </is>
      </c>
      <c r="C2513" s="6" t="inlineStr">
        <is>
          <t>별도</t>
        </is>
      </c>
      <c r="D2513" s="6" t="inlineStr">
        <is>
          <t>2026Q2</t>
        </is>
      </c>
      <c r="E2513" s="6" t="inlineStr"/>
      <c r="F2513" s="7" t="inlineStr"/>
      <c r="G2513" s="8" t="inlineStr"/>
      <c r="H2513" s="8" t="inlineStr"/>
      <c r="I2513" s="9" t="inlineStr"/>
      <c r="J2513" s="10" t="inlineStr"/>
      <c r="K2513" s="10" t="inlineStr"/>
      <c r="L2513" s="7" t="inlineStr"/>
      <c r="M2513" s="8" t="inlineStr"/>
      <c r="N2513" s="8" t="inlineStr"/>
      <c r="O2513" s="9" t="n">
        <v>202</v>
      </c>
      <c r="P2513" s="10" t="n">
        <v>-2837</v>
      </c>
      <c r="Q2513" s="10" t="n">
        <v>-2944</v>
      </c>
      <c r="R2513" s="7" t="inlineStr"/>
      <c r="S2513" s="8" t="inlineStr"/>
      <c r="T2513" s="8" t="inlineStr"/>
      <c r="U2513" s="9" t="n">
        <v>8</v>
      </c>
      <c r="V2513" s="10" t="n">
        <v>-2873</v>
      </c>
      <c r="W2513" s="10" t="n">
        <v>-2897</v>
      </c>
      <c r="X2513" s="7" t="n">
        <v>153</v>
      </c>
      <c r="Y2513" s="8" t="n">
        <v>-2745</v>
      </c>
      <c r="Z2513" s="8" t="n">
        <v>-2852</v>
      </c>
      <c r="AA2513" s="9" t="n">
        <v>58</v>
      </c>
      <c r="AB2513" s="10" t="n">
        <v>-3565</v>
      </c>
      <c r="AC2513" s="10" t="n">
        <v>-3535</v>
      </c>
      <c r="AD2513" s="7" t="n">
        <v>204</v>
      </c>
      <c r="AE2513" s="8" t="n">
        <v>-3019</v>
      </c>
      <c r="AF2513" s="8" t="n">
        <v>-2803</v>
      </c>
      <c r="AG2513" s="9" t="n">
        <v>351</v>
      </c>
      <c r="AH2513" s="10" t="n">
        <v>-3314</v>
      </c>
      <c r="AI2513" s="10" t="n">
        <v>-5536</v>
      </c>
      <c r="AJ2513" s="11" t="n">
        <v>1603</v>
      </c>
      <c r="AK2513" s="12" t="n">
        <v>-2702</v>
      </c>
      <c r="AL2513" s="12" t="n">
        <v>-5710</v>
      </c>
      <c r="AM2513" s="13" t="n">
        <v>356.7</v>
      </c>
      <c r="AN2513" s="13" t="n">
        <v>947.7</v>
      </c>
      <c r="AO2513" s="13" t="n">
        <v>18.5</v>
      </c>
      <c r="AP2513" s="13" t="n">
        <v>1.6</v>
      </c>
    </row>
    <row r="2514">
      <c r="A2514" s="5" t="inlineStr">
        <is>
          <t>이수스페셜티케미컬</t>
        </is>
      </c>
      <c r="B2514" s="6" t="inlineStr">
        <is>
          <t>457190</t>
        </is>
      </c>
      <c r="C2514" s="6" t="inlineStr">
        <is>
          <t>연결</t>
        </is>
      </c>
      <c r="D2514" s="6" t="inlineStr">
        <is>
          <t>2026Q2</t>
        </is>
      </c>
      <c r="E2514" s="6" t="inlineStr"/>
      <c r="F2514" s="7" t="inlineStr"/>
      <c r="G2514" s="8" t="inlineStr"/>
      <c r="H2514" s="8" t="inlineStr"/>
      <c r="I2514" s="9" t="n">
        <v>52180</v>
      </c>
      <c r="J2514" s="10" t="n">
        <v>1391</v>
      </c>
      <c r="K2514" s="10" t="n">
        <v>-237</v>
      </c>
      <c r="L2514" s="7" t="n">
        <v>102399</v>
      </c>
      <c r="M2514" s="8" t="n">
        <v>7946</v>
      </c>
      <c r="N2514" s="8" t="n">
        <v>5070</v>
      </c>
      <c r="O2514" s="9" t="n">
        <v>86909</v>
      </c>
      <c r="P2514" s="10" t="n">
        <v>3949</v>
      </c>
      <c r="Q2514" s="10" t="n">
        <v>1388</v>
      </c>
      <c r="R2514" s="7" t="n">
        <v>90582</v>
      </c>
      <c r="S2514" s="8" t="n">
        <v>920</v>
      </c>
      <c r="T2514" s="8" t="n">
        <v>4291</v>
      </c>
      <c r="U2514" s="9" t="n">
        <v>98898</v>
      </c>
      <c r="V2514" s="10" t="n">
        <v>6097</v>
      </c>
      <c r="W2514" s="10" t="n">
        <v>3767</v>
      </c>
      <c r="X2514" s="7" t="n">
        <v>99708</v>
      </c>
      <c r="Y2514" s="8" t="n">
        <v>-4653</v>
      </c>
      <c r="Z2514" s="8" t="n">
        <v>-4098</v>
      </c>
      <c r="AA2514" s="9" t="n">
        <v>103986</v>
      </c>
      <c r="AB2514" s="10" t="n">
        <v>-1461</v>
      </c>
      <c r="AC2514" s="10" t="n">
        <v>-1815</v>
      </c>
      <c r="AD2514" s="7" t="n">
        <v>108878</v>
      </c>
      <c r="AE2514" s="8" t="n">
        <v>1632</v>
      </c>
      <c r="AF2514" s="8" t="n">
        <v>2916</v>
      </c>
      <c r="AG2514" s="9" t="n">
        <v>108572</v>
      </c>
      <c r="AH2514" s="10" t="n">
        <v>3481</v>
      </c>
      <c r="AI2514" s="10" t="n">
        <v>1884</v>
      </c>
      <c r="AJ2514" s="11" t="n">
        <v>108029</v>
      </c>
      <c r="AK2514" s="12" t="n">
        <v>7737</v>
      </c>
      <c r="AL2514" s="12" t="n">
        <v>3627</v>
      </c>
      <c r="AM2514" s="13" t="n">
        <v>-0.5</v>
      </c>
      <c r="AN2514" s="13" t="n">
        <v>8.300000000000001</v>
      </c>
      <c r="AO2514" s="13" t="n">
        <v>122.3</v>
      </c>
      <c r="AP2514" s="13" t="n">
        <v>266.3</v>
      </c>
    </row>
    <row r="2515">
      <c r="A2515" s="5" t="inlineStr">
        <is>
          <t>한켐</t>
        </is>
      </c>
      <c r="B2515" s="6" t="inlineStr">
        <is>
          <t>457370</t>
        </is>
      </c>
      <c r="C2515" s="6" t="inlineStr">
        <is>
          <t>별도</t>
        </is>
      </c>
      <c r="D2515" s="6" t="inlineStr">
        <is>
          <t>2026Q2</t>
        </is>
      </c>
      <c r="E2515" s="6" t="inlineStr"/>
      <c r="F2515" s="7" t="inlineStr"/>
      <c r="G2515" s="8" t="inlineStr"/>
      <c r="H2515" s="8" t="inlineStr"/>
      <c r="I2515" s="9" t="inlineStr"/>
      <c r="J2515" s="10" t="inlineStr"/>
      <c r="K2515" s="10" t="inlineStr"/>
      <c r="L2515" s="7" t="inlineStr"/>
      <c r="M2515" s="8" t="inlineStr"/>
      <c r="N2515" s="8" t="inlineStr"/>
      <c r="O2515" s="9" t="n">
        <v>9972</v>
      </c>
      <c r="P2515" s="10" t="n">
        <v>2627</v>
      </c>
      <c r="Q2515" s="10" t="n">
        <v>2377</v>
      </c>
      <c r="R2515" s="7" t="inlineStr"/>
      <c r="S2515" s="8" t="inlineStr"/>
      <c r="T2515" s="8" t="inlineStr"/>
      <c r="U2515" s="9" t="n">
        <v>7940</v>
      </c>
      <c r="V2515" s="10" t="n">
        <v>1304</v>
      </c>
      <c r="W2515" s="10" t="n">
        <v>1260</v>
      </c>
      <c r="X2515" s="7" t="n">
        <v>10960</v>
      </c>
      <c r="Y2515" s="8" t="n">
        <v>2021</v>
      </c>
      <c r="Z2515" s="8" t="n">
        <v>1732</v>
      </c>
      <c r="AA2515" s="9" t="n">
        <v>8164</v>
      </c>
      <c r="AB2515" s="10" t="n">
        <v>1294</v>
      </c>
      <c r="AC2515" s="10" t="n">
        <v>1373</v>
      </c>
      <c r="AD2515" s="7" t="n">
        <v>6832</v>
      </c>
      <c r="AE2515" s="8" t="n">
        <v>233</v>
      </c>
      <c r="AF2515" s="8" t="n">
        <v>1408</v>
      </c>
      <c r="AG2515" s="9" t="n">
        <v>6304</v>
      </c>
      <c r="AH2515" s="10" t="n">
        <v>461</v>
      </c>
      <c r="AI2515" s="10" t="n">
        <v>616</v>
      </c>
      <c r="AJ2515" s="11" t="n">
        <v>6658</v>
      </c>
      <c r="AK2515" s="12" t="n">
        <v>414</v>
      </c>
      <c r="AL2515" s="12" t="n">
        <v>417</v>
      </c>
      <c r="AM2515" s="13" t="n">
        <v>5.6</v>
      </c>
      <c r="AN2515" s="13" t="n">
        <v>-39.3</v>
      </c>
      <c r="AO2515" s="13" t="n">
        <v>-10.2</v>
      </c>
      <c r="AP2515" s="13" t="n">
        <v>-79.5</v>
      </c>
    </row>
    <row r="2516">
      <c r="A2516" s="5" t="inlineStr">
        <is>
          <t>우진엔텍</t>
        </is>
      </c>
      <c r="B2516" s="6" t="inlineStr">
        <is>
          <t>457550</t>
        </is>
      </c>
      <c r="C2516" s="6" t="inlineStr">
        <is>
          <t>별도</t>
        </is>
      </c>
      <c r="D2516" s="6" t="inlineStr">
        <is>
          <t>2026Q2</t>
        </is>
      </c>
      <c r="E2516" s="6" t="inlineStr"/>
      <c r="F2516" s="7" t="inlineStr"/>
      <c r="G2516" s="8" t="inlineStr"/>
      <c r="H2516" s="8" t="inlineStr"/>
      <c r="I2516" s="9" t="n">
        <v>10331</v>
      </c>
      <c r="J2516" s="10" t="n">
        <v>1270</v>
      </c>
      <c r="K2516" s="10" t="n">
        <v>1170</v>
      </c>
      <c r="L2516" s="7" t="n">
        <v>12658</v>
      </c>
      <c r="M2516" s="8" t="n">
        <v>1928</v>
      </c>
      <c r="N2516" s="8" t="n">
        <v>1777</v>
      </c>
      <c r="O2516" s="9" t="n">
        <v>9787</v>
      </c>
      <c r="P2516" s="10" t="n">
        <v>969</v>
      </c>
      <c r="Q2516" s="10" t="n">
        <v>1179</v>
      </c>
      <c r="R2516" s="7" t="n">
        <v>11183</v>
      </c>
      <c r="S2516" s="8" t="n">
        <v>1152</v>
      </c>
      <c r="T2516" s="8" t="n">
        <v>1283</v>
      </c>
      <c r="U2516" s="9" t="n">
        <v>8742</v>
      </c>
      <c r="V2516" s="10" t="n">
        <v>192</v>
      </c>
      <c r="W2516" s="10" t="n">
        <v>432</v>
      </c>
      <c r="X2516" s="7" t="n">
        <v>11414</v>
      </c>
      <c r="Y2516" s="8" t="n">
        <v>1534</v>
      </c>
      <c r="Z2516" s="8" t="n">
        <v>1379</v>
      </c>
      <c r="AA2516" s="9" t="n">
        <v>11476</v>
      </c>
      <c r="AB2516" s="10" t="n">
        <v>1945</v>
      </c>
      <c r="AC2516" s="10" t="n">
        <v>2012</v>
      </c>
      <c r="AD2516" s="7" t="n">
        <v>13175</v>
      </c>
      <c r="AE2516" s="8" t="n">
        <v>1387</v>
      </c>
      <c r="AF2516" s="8" t="n">
        <v>1486</v>
      </c>
      <c r="AG2516" s="9" t="n">
        <v>11301</v>
      </c>
      <c r="AH2516" s="10" t="n">
        <v>1872</v>
      </c>
      <c r="AI2516" s="10" t="n">
        <v>1707</v>
      </c>
      <c r="AJ2516" s="11" t="n">
        <v>11378</v>
      </c>
      <c r="AK2516" s="12" t="n">
        <v>1044</v>
      </c>
      <c r="AL2516" s="12" t="n">
        <v>984</v>
      </c>
      <c r="AM2516" s="13" t="n">
        <v>0.7</v>
      </c>
      <c r="AN2516" s="13" t="n">
        <v>-0.3</v>
      </c>
      <c r="AO2516" s="13" t="n">
        <v>-44.2</v>
      </c>
      <c r="AP2516" s="13" t="n">
        <v>-31.9</v>
      </c>
    </row>
    <row r="2517">
      <c r="A2517" s="5" t="inlineStr">
        <is>
          <t>벡트</t>
        </is>
      </c>
      <c r="B2517" s="6" t="inlineStr">
        <is>
          <t>457600</t>
        </is>
      </c>
      <c r="C2517" s="6" t="inlineStr">
        <is>
          <t>연결</t>
        </is>
      </c>
      <c r="D2517" s="6" t="inlineStr">
        <is>
          <t>2026Q2</t>
        </is>
      </c>
      <c r="E2517" s="6" t="inlineStr"/>
      <c r="F2517" s="7" t="inlineStr"/>
      <c r="G2517" s="8" t="inlineStr"/>
      <c r="H2517" s="8" t="inlineStr"/>
      <c r="I2517" s="9" t="inlineStr"/>
      <c r="J2517" s="10" t="inlineStr"/>
      <c r="K2517" s="10" t="inlineStr"/>
      <c r="L2517" s="7" t="inlineStr"/>
      <c r="M2517" s="8" t="inlineStr"/>
      <c r="N2517" s="8" t="inlineStr"/>
      <c r="O2517" s="9" t="inlineStr"/>
      <c r="P2517" s="10" t="inlineStr"/>
      <c r="Q2517" s="10" t="inlineStr"/>
      <c r="R2517" s="7" t="inlineStr"/>
      <c r="S2517" s="8" t="inlineStr"/>
      <c r="T2517" s="8" t="inlineStr"/>
      <c r="U2517" s="9" t="n">
        <v>20325</v>
      </c>
      <c r="V2517" s="10" t="n">
        <v>253</v>
      </c>
      <c r="W2517" s="10" t="n">
        <v>-39</v>
      </c>
      <c r="X2517" s="7" t="n">
        <v>7218</v>
      </c>
      <c r="Y2517" s="8" t="n">
        <v>-1726</v>
      </c>
      <c r="Z2517" s="8" t="n">
        <v>-1948</v>
      </c>
      <c r="AA2517" s="9" t="n">
        <v>8393</v>
      </c>
      <c r="AB2517" s="10" t="n">
        <v>-963</v>
      </c>
      <c r="AC2517" s="10" t="n">
        <v>-1081</v>
      </c>
      <c r="AD2517" s="7" t="n">
        <v>8608</v>
      </c>
      <c r="AE2517" s="8" t="n">
        <v>-993</v>
      </c>
      <c r="AF2517" s="8" t="n">
        <v>-2151</v>
      </c>
      <c r="AG2517" s="9" t="n">
        <v>15691</v>
      </c>
      <c r="AH2517" s="10" t="n">
        <v>-645</v>
      </c>
      <c r="AI2517" s="10" t="n">
        <v>-737</v>
      </c>
      <c r="AJ2517" s="11" t="n">
        <v>6059</v>
      </c>
      <c r="AK2517" s="12" t="n">
        <v>-1714</v>
      </c>
      <c r="AL2517" s="12" t="n">
        <v>-1735</v>
      </c>
      <c r="AM2517" s="13" t="n">
        <v>-61.4</v>
      </c>
      <c r="AN2517" s="13" t="n">
        <v>-16.1</v>
      </c>
      <c r="AO2517" s="13" t="n">
        <v>-165.7</v>
      </c>
      <c r="AP2517" s="13" t="n">
        <v>0.7</v>
      </c>
    </row>
    <row r="2518">
      <c r="A2518" s="5" t="inlineStr">
        <is>
          <t>에스팀</t>
        </is>
      </c>
      <c r="B2518" s="6" t="inlineStr">
        <is>
          <t>458350</t>
        </is>
      </c>
      <c r="C2518" s="6" t="inlineStr">
        <is>
          <t>연결</t>
        </is>
      </c>
      <c r="D2518" s="6" t="inlineStr">
        <is>
          <t>2026Q2</t>
        </is>
      </c>
      <c r="E2518" s="6" t="inlineStr"/>
      <c r="F2518" s="7" t="inlineStr"/>
      <c r="G2518" s="8" t="inlineStr"/>
      <c r="H2518" s="8" t="inlineStr"/>
      <c r="I2518" s="9" t="inlineStr"/>
      <c r="J2518" s="10" t="inlineStr"/>
      <c r="K2518" s="10" t="inlineStr"/>
      <c r="L2518" s="7" t="inlineStr"/>
      <c r="M2518" s="8" t="inlineStr"/>
      <c r="N2518" s="8" t="inlineStr"/>
      <c r="O2518" s="9" t="inlineStr"/>
      <c r="P2518" s="10" t="inlineStr"/>
      <c r="Q2518" s="10" t="inlineStr"/>
      <c r="R2518" s="7" t="inlineStr"/>
      <c r="S2518" s="8" t="inlineStr"/>
      <c r="T2518" s="8" t="inlineStr"/>
      <c r="U2518" s="9" t="inlineStr"/>
      <c r="V2518" s="10" t="inlineStr"/>
      <c r="W2518" s="10" t="inlineStr"/>
      <c r="X2518" s="7" t="inlineStr"/>
      <c r="Y2518" s="8" t="inlineStr"/>
      <c r="Z2518" s="8" t="inlineStr"/>
      <c r="AA2518" s="9" t="inlineStr"/>
      <c r="AB2518" s="10" t="inlineStr"/>
      <c r="AC2518" s="10" t="inlineStr"/>
      <c r="AD2518" s="7" t="inlineStr"/>
      <c r="AE2518" s="8" t="inlineStr"/>
      <c r="AF2518" s="8" t="inlineStr"/>
      <c r="AG2518" s="9" t="n">
        <v>5896</v>
      </c>
      <c r="AH2518" s="10" t="n">
        <v>-568</v>
      </c>
      <c r="AI2518" s="10" t="n">
        <v>-451</v>
      </c>
      <c r="AJ2518" s="11" t="n">
        <v>8640</v>
      </c>
      <c r="AK2518" s="12" t="n">
        <v>-100</v>
      </c>
      <c r="AL2518" s="12" t="n">
        <v>-370</v>
      </c>
      <c r="AM2518" s="13" t="n">
        <v>46.5</v>
      </c>
      <c r="AN2518" s="13" t="inlineStr"/>
      <c r="AO2518" s="13" t="n">
        <v>82.40000000000001</v>
      </c>
      <c r="AP2518" s="13" t="inlineStr"/>
    </row>
    <row r="2519">
      <c r="A2519" s="5" t="inlineStr">
        <is>
          <t>성우</t>
        </is>
      </c>
      <c r="B2519" s="6" t="inlineStr">
        <is>
          <t>458650</t>
        </is>
      </c>
      <c r="C2519" s="6" t="inlineStr">
        <is>
          <t>연결</t>
        </is>
      </c>
      <c r="D2519" s="6" t="inlineStr">
        <is>
          <t>2026Q2</t>
        </is>
      </c>
      <c r="E2519" s="6" t="inlineStr"/>
      <c r="F2519" s="7" t="inlineStr"/>
      <c r="G2519" s="8" t="inlineStr"/>
      <c r="H2519" s="8" t="inlineStr"/>
      <c r="I2519" s="9" t="inlineStr"/>
      <c r="J2519" s="10" t="inlineStr"/>
      <c r="K2519" s="10" t="inlineStr"/>
      <c r="L2519" s="7" t="inlineStr"/>
      <c r="M2519" s="8" t="inlineStr"/>
      <c r="N2519" s="8" t="inlineStr"/>
      <c r="O2519" s="9" t="inlineStr"/>
      <c r="P2519" s="10" t="inlineStr"/>
      <c r="Q2519" s="10" t="inlineStr"/>
      <c r="R2519" s="7" t="inlineStr"/>
      <c r="S2519" s="8" t="inlineStr"/>
      <c r="T2519" s="8" t="inlineStr"/>
      <c r="U2519" s="9" t="n">
        <v>24002</v>
      </c>
      <c r="V2519" s="10" t="n">
        <v>809</v>
      </c>
      <c r="W2519" s="10" t="n">
        <v>1639</v>
      </c>
      <c r="X2519" s="7" t="n">
        <v>20843</v>
      </c>
      <c r="Y2519" s="8" t="n">
        <v>-1370</v>
      </c>
      <c r="Z2519" s="8" t="n">
        <v>-1832</v>
      </c>
      <c r="AA2519" s="9" t="n">
        <v>21312</v>
      </c>
      <c r="AB2519" s="10" t="n">
        <v>272</v>
      </c>
      <c r="AC2519" s="10" t="n">
        <v>1495</v>
      </c>
      <c r="AD2519" s="7" t="n">
        <v>19393</v>
      </c>
      <c r="AE2519" s="8" t="n">
        <v>1330</v>
      </c>
      <c r="AF2519" s="8" t="n">
        <v>3604</v>
      </c>
      <c r="AG2519" s="9" t="n">
        <v>23857</v>
      </c>
      <c r="AH2519" s="10" t="n">
        <v>218</v>
      </c>
      <c r="AI2519" s="10" t="n">
        <v>1577</v>
      </c>
      <c r="AJ2519" s="11" t="n">
        <v>24715</v>
      </c>
      <c r="AK2519" s="12" t="n">
        <v>764</v>
      </c>
      <c r="AL2519" s="12" t="n">
        <v>1939</v>
      </c>
      <c r="AM2519" s="13" t="n">
        <v>3.6</v>
      </c>
      <c r="AN2519" s="13" t="n">
        <v>18.6</v>
      </c>
      <c r="AO2519" s="13" t="n">
        <v>250.5</v>
      </c>
      <c r="AP2519" s="13" t="n">
        <v>155.8</v>
      </c>
    </row>
    <row r="2520">
      <c r="A2520" s="5" t="inlineStr">
        <is>
          <t>씨어스</t>
        </is>
      </c>
      <c r="B2520" s="6" t="inlineStr">
        <is>
          <t>458870</t>
        </is>
      </c>
      <c r="C2520" s="6" t="inlineStr">
        <is>
          <t>연결</t>
        </is>
      </c>
      <c r="D2520" s="6" t="inlineStr">
        <is>
          <t>2026Q2</t>
        </is>
      </c>
      <c r="E2520" s="6" t="inlineStr"/>
      <c r="F2520" s="7" t="inlineStr"/>
      <c r="G2520" s="8" t="inlineStr"/>
      <c r="H2520" s="8" t="inlineStr"/>
      <c r="I2520" s="9" t="inlineStr"/>
      <c r="J2520" s="10" t="inlineStr"/>
      <c r="K2520" s="10" t="inlineStr"/>
      <c r="L2520" s="7" t="n">
        <v>884</v>
      </c>
      <c r="M2520" s="8" t="n">
        <v>-2891</v>
      </c>
      <c r="N2520" s="8" t="n">
        <v>-3015</v>
      </c>
      <c r="O2520" s="9" t="n">
        <v>984</v>
      </c>
      <c r="P2520" s="10" t="n">
        <v>-3534</v>
      </c>
      <c r="Q2520" s="10" t="n">
        <v>-3453</v>
      </c>
      <c r="R2520" s="7" t="inlineStr"/>
      <c r="S2520" s="8" t="inlineStr"/>
      <c r="T2520" s="8" t="inlineStr"/>
      <c r="U2520" s="9" t="n">
        <v>4068</v>
      </c>
      <c r="V2520" s="10" t="n">
        <v>-588</v>
      </c>
      <c r="W2520" s="10" t="n">
        <v>-593</v>
      </c>
      <c r="X2520" s="7" t="n">
        <v>7954</v>
      </c>
      <c r="Y2520" s="8" t="n">
        <v>1485</v>
      </c>
      <c r="Z2520" s="8" t="n">
        <v>1500</v>
      </c>
      <c r="AA2520" s="9" t="n">
        <v>15737</v>
      </c>
      <c r="AB2520" s="10" t="n">
        <v>6726</v>
      </c>
      <c r="AC2520" s="10" t="n">
        <v>6726</v>
      </c>
      <c r="AD2520" s="7" t="n">
        <v>20412</v>
      </c>
      <c r="AE2520" s="8" t="n">
        <v>8704</v>
      </c>
      <c r="AF2520" s="8" t="n">
        <v>8413</v>
      </c>
      <c r="AG2520" s="9" t="n">
        <v>32526</v>
      </c>
      <c r="AH2520" s="10" t="n">
        <v>13854</v>
      </c>
      <c r="AI2520" s="10" t="n">
        <v>13725</v>
      </c>
      <c r="AJ2520" s="11" t="n">
        <v>28376</v>
      </c>
      <c r="AK2520" s="12" t="n">
        <v>12950</v>
      </c>
      <c r="AL2520" s="12" t="n">
        <v>12940</v>
      </c>
      <c r="AM2520" s="13" t="n">
        <v>-12.8</v>
      </c>
      <c r="AN2520" s="13" t="n">
        <v>256.8</v>
      </c>
      <c r="AO2520" s="13" t="n">
        <v>-6.5</v>
      </c>
      <c r="AP2520" s="13" t="n">
        <v>772.1</v>
      </c>
    </row>
    <row r="2521">
      <c r="A2521" s="5" t="inlineStr">
        <is>
          <t>위츠</t>
        </is>
      </c>
      <c r="B2521" s="6" t="inlineStr">
        <is>
          <t>459100</t>
        </is>
      </c>
      <c r="C2521" s="6" t="inlineStr">
        <is>
          <t>연결</t>
        </is>
      </c>
      <c r="D2521" s="6" t="inlineStr">
        <is>
          <t>2026Q2</t>
        </is>
      </c>
      <c r="E2521" s="6" t="inlineStr"/>
      <c r="F2521" s="7" t="inlineStr"/>
      <c r="G2521" s="8" t="inlineStr"/>
      <c r="H2521" s="8" t="inlineStr"/>
      <c r="I2521" s="9" t="inlineStr"/>
      <c r="J2521" s="10" t="inlineStr"/>
      <c r="K2521" s="10" t="inlineStr"/>
      <c r="L2521" s="7" t="inlineStr"/>
      <c r="M2521" s="8" t="inlineStr"/>
      <c r="N2521" s="8" t="inlineStr"/>
      <c r="O2521" s="9" t="inlineStr"/>
      <c r="P2521" s="10" t="inlineStr"/>
      <c r="Q2521" s="10" t="inlineStr"/>
      <c r="R2521" s="7" t="inlineStr"/>
      <c r="S2521" s="8" t="inlineStr"/>
      <c r="T2521" s="8" t="inlineStr"/>
      <c r="U2521" s="9" t="n">
        <v>32169</v>
      </c>
      <c r="V2521" s="10" t="n">
        <v>770</v>
      </c>
      <c r="W2521" s="10" t="n">
        <v>122</v>
      </c>
      <c r="X2521" s="7" t="n">
        <v>36244</v>
      </c>
      <c r="Y2521" s="8" t="n">
        <v>2225</v>
      </c>
      <c r="Z2521" s="8" t="n">
        <v>161</v>
      </c>
      <c r="AA2521" s="9" t="n">
        <v>55709</v>
      </c>
      <c r="AB2521" s="10" t="n">
        <v>1579</v>
      </c>
      <c r="AC2521" s="10" t="n">
        <v>1332</v>
      </c>
      <c r="AD2521" s="7" t="n">
        <v>44600</v>
      </c>
      <c r="AE2521" s="8" t="n">
        <v>-1983</v>
      </c>
      <c r="AF2521" s="8" t="n">
        <v>1235</v>
      </c>
      <c r="AG2521" s="9" t="n">
        <v>54906</v>
      </c>
      <c r="AH2521" s="10" t="n">
        <v>1497</v>
      </c>
      <c r="AI2521" s="10" t="n">
        <v>2505</v>
      </c>
      <c r="AJ2521" s="11" t="n">
        <v>42713</v>
      </c>
      <c r="AK2521" s="12" t="n">
        <v>-1242</v>
      </c>
      <c r="AL2521" s="12" t="n">
        <v>-2107</v>
      </c>
      <c r="AM2521" s="13" t="n">
        <v>-22.2</v>
      </c>
      <c r="AN2521" s="13" t="n">
        <v>17.8</v>
      </c>
      <c r="AO2521" s="13" t="n">
        <v>-183</v>
      </c>
      <c r="AP2521" s="13" t="n">
        <v>-155.8</v>
      </c>
    </row>
    <row r="2522">
      <c r="A2522" s="5" t="inlineStr">
        <is>
          <t>나우로보틱스</t>
        </is>
      </c>
      <c r="B2522" s="6" t="inlineStr">
        <is>
          <t>459510</t>
        </is>
      </c>
      <c r="C2522" s="6" t="inlineStr">
        <is>
          <t>연결</t>
        </is>
      </c>
      <c r="D2522" s="6" t="inlineStr">
        <is>
          <t>2026Q2</t>
        </is>
      </c>
      <c r="E2522" s="6" t="inlineStr"/>
      <c r="F2522" s="7" t="inlineStr"/>
      <c r="G2522" s="8" t="inlineStr"/>
      <c r="H2522" s="8" t="inlineStr"/>
      <c r="I2522" s="9" t="inlineStr"/>
      <c r="J2522" s="10" t="inlineStr"/>
      <c r="K2522" s="10" t="inlineStr"/>
      <c r="L2522" s="7" t="inlineStr"/>
      <c r="M2522" s="8" t="inlineStr"/>
      <c r="N2522" s="8" t="inlineStr"/>
      <c r="O2522" s="9" t="inlineStr"/>
      <c r="P2522" s="10" t="inlineStr"/>
      <c r="Q2522" s="10" t="inlineStr"/>
      <c r="R2522" s="7" t="inlineStr"/>
      <c r="S2522" s="8" t="inlineStr"/>
      <c r="T2522" s="8" t="inlineStr"/>
      <c r="U2522" s="9" t="inlineStr"/>
      <c r="V2522" s="10" t="inlineStr"/>
      <c r="W2522" s="10" t="inlineStr"/>
      <c r="X2522" s="7" t="n">
        <v>2231</v>
      </c>
      <c r="Y2522" s="8" t="n">
        <v>-1761</v>
      </c>
      <c r="Z2522" s="8" t="n">
        <v>-1785</v>
      </c>
      <c r="AA2522" s="9" t="n">
        <v>4091</v>
      </c>
      <c r="AB2522" s="10" t="n">
        <v>-2797</v>
      </c>
      <c r="AC2522" s="10" t="n">
        <v>-2855</v>
      </c>
      <c r="AD2522" s="7" t="inlineStr"/>
      <c r="AE2522" s="8" t="inlineStr"/>
      <c r="AF2522" s="8" t="inlineStr"/>
      <c r="AG2522" s="9" t="n">
        <v>3018</v>
      </c>
      <c r="AH2522" s="10" t="n">
        <v>-2632</v>
      </c>
      <c r="AI2522" s="10" t="n">
        <v>-3201</v>
      </c>
      <c r="AJ2522" s="11" t="n">
        <v>6165</v>
      </c>
      <c r="AK2522" s="12" t="n">
        <v>-4155</v>
      </c>
      <c r="AL2522" s="12" t="n">
        <v>-8274</v>
      </c>
      <c r="AM2522" s="13" t="n">
        <v>104.3</v>
      </c>
      <c r="AN2522" s="13" t="n">
        <v>176.3</v>
      </c>
      <c r="AO2522" s="13" t="n">
        <v>-57.9</v>
      </c>
      <c r="AP2522" s="13" t="n">
        <v>-135.9</v>
      </c>
    </row>
    <row r="2523">
      <c r="A2523" s="5" t="inlineStr">
        <is>
          <t>알트</t>
        </is>
      </c>
      <c r="B2523" s="6" t="inlineStr">
        <is>
          <t>459550</t>
        </is>
      </c>
      <c r="C2523" s="6" t="inlineStr">
        <is>
          <t>연결</t>
        </is>
      </c>
      <c r="D2523" s="6" t="inlineStr">
        <is>
          <t>2026Q2</t>
        </is>
      </c>
      <c r="E2523" s="6" t="inlineStr"/>
      <c r="F2523" s="7" t="inlineStr"/>
      <c r="G2523" s="8" t="inlineStr"/>
      <c r="H2523" s="8" t="inlineStr"/>
      <c r="I2523" s="9" t="inlineStr"/>
      <c r="J2523" s="10" t="inlineStr"/>
      <c r="K2523" s="10" t="inlineStr"/>
      <c r="L2523" s="7" t="inlineStr"/>
      <c r="M2523" s="8" t="inlineStr"/>
      <c r="N2523" s="8" t="inlineStr"/>
      <c r="O2523" s="9" t="inlineStr"/>
      <c r="P2523" s="10" t="inlineStr"/>
      <c r="Q2523" s="10" t="inlineStr"/>
      <c r="R2523" s="7" t="inlineStr"/>
      <c r="S2523" s="8" t="inlineStr"/>
      <c r="T2523" s="8" t="inlineStr"/>
      <c r="U2523" s="9" t="inlineStr"/>
      <c r="V2523" s="10" t="inlineStr"/>
      <c r="W2523" s="10" t="inlineStr"/>
      <c r="X2523" s="7" t="inlineStr"/>
      <c r="Y2523" s="8" t="inlineStr"/>
      <c r="Z2523" s="8" t="inlineStr"/>
      <c r="AA2523" s="9" t="n">
        <v>18600</v>
      </c>
      <c r="AB2523" s="10" t="n">
        <v>596</v>
      </c>
      <c r="AC2523" s="10" t="n">
        <v>-825</v>
      </c>
      <c r="AD2523" s="7" t="inlineStr"/>
      <c r="AE2523" s="8" t="inlineStr"/>
      <c r="AF2523" s="8" t="inlineStr"/>
      <c r="AG2523" s="9" t="n">
        <v>18128</v>
      </c>
      <c r="AH2523" s="10" t="n">
        <v>-788</v>
      </c>
      <c r="AI2523" s="10" t="n">
        <v>-1685</v>
      </c>
      <c r="AJ2523" s="11" t="n">
        <v>8291</v>
      </c>
      <c r="AK2523" s="12" t="n">
        <v>-448</v>
      </c>
      <c r="AL2523" s="12" t="n">
        <v>818</v>
      </c>
      <c r="AM2523" s="13" t="n">
        <v>-54.3</v>
      </c>
      <c r="AN2523" s="13" t="inlineStr"/>
      <c r="AO2523" s="13" t="n">
        <v>43.1</v>
      </c>
      <c r="AP2523" s="13" t="inlineStr"/>
    </row>
    <row r="2524">
      <c r="A2524" s="5" t="inlineStr">
        <is>
          <t>아이빔테크놀로지</t>
        </is>
      </c>
      <c r="B2524" s="6" t="inlineStr">
        <is>
          <t>460470</t>
        </is>
      </c>
      <c r="C2524" s="6" t="inlineStr">
        <is>
          <t>별도</t>
        </is>
      </c>
      <c r="D2524" s="6" t="inlineStr">
        <is>
          <t>2026Q2</t>
        </is>
      </c>
      <c r="E2524" s="6" t="inlineStr"/>
      <c r="F2524" s="7" t="inlineStr"/>
      <c r="G2524" s="8" t="inlineStr"/>
      <c r="H2524" s="8" t="inlineStr"/>
      <c r="I2524" s="9" t="inlineStr"/>
      <c r="J2524" s="10" t="inlineStr"/>
      <c r="K2524" s="10" t="inlineStr"/>
      <c r="L2524" s="7" t="n">
        <v>809</v>
      </c>
      <c r="M2524" s="8" t="n">
        <v>-1013</v>
      </c>
      <c r="N2524" s="8" t="n">
        <v>-1008</v>
      </c>
      <c r="O2524" s="9" t="n">
        <v>596</v>
      </c>
      <c r="P2524" s="10" t="n">
        <v>-1621</v>
      </c>
      <c r="Q2524" s="10" t="n">
        <v>-1615</v>
      </c>
      <c r="R2524" s="7" t="inlineStr"/>
      <c r="S2524" s="8" t="inlineStr"/>
      <c r="T2524" s="8" t="inlineStr"/>
      <c r="U2524" s="9" t="n">
        <v>150</v>
      </c>
      <c r="V2524" s="10" t="n">
        <v>-1520</v>
      </c>
      <c r="W2524" s="10" t="n">
        <v>-1408</v>
      </c>
      <c r="X2524" s="7" t="n">
        <v>722</v>
      </c>
      <c r="Y2524" s="8" t="n">
        <v>-1184</v>
      </c>
      <c r="Z2524" s="8" t="n">
        <v>-1187</v>
      </c>
      <c r="AA2524" s="9" t="n">
        <v>1654</v>
      </c>
      <c r="AB2524" s="10" t="n">
        <v>-704</v>
      </c>
      <c r="AC2524" s="10" t="n">
        <v>-588</v>
      </c>
      <c r="AD2524" s="7" t="n">
        <v>1850</v>
      </c>
      <c r="AE2524" s="8" t="n">
        <v>-745</v>
      </c>
      <c r="AF2524" s="8" t="n">
        <v>-620</v>
      </c>
      <c r="AG2524" s="9" t="n">
        <v>77</v>
      </c>
      <c r="AH2524" s="10" t="n">
        <v>-1457</v>
      </c>
      <c r="AI2524" s="10" t="n">
        <v>-1360</v>
      </c>
      <c r="AJ2524" s="11" t="n">
        <v>2977</v>
      </c>
      <c r="AK2524" s="12" t="n">
        <v>-195</v>
      </c>
      <c r="AL2524" s="12" t="n">
        <v>-114</v>
      </c>
      <c r="AM2524" s="13" t="n">
        <v>3766.2</v>
      </c>
      <c r="AN2524" s="13" t="n">
        <v>312.3</v>
      </c>
      <c r="AO2524" s="13" t="n">
        <v>86.59999999999999</v>
      </c>
      <c r="AP2524" s="13" t="n">
        <v>83.5</v>
      </c>
    </row>
    <row r="2525">
      <c r="A2525" s="5" t="inlineStr">
        <is>
          <t>동국씨엠</t>
        </is>
      </c>
      <c r="B2525" s="6" t="inlineStr">
        <is>
          <t>460850</t>
        </is>
      </c>
      <c r="C2525" s="6" t="inlineStr">
        <is>
          <t>연결</t>
        </is>
      </c>
      <c r="D2525" s="6" t="inlineStr">
        <is>
          <t>2026Q2</t>
        </is>
      </c>
      <c r="E2525" s="6" t="inlineStr">
        <is>
          <t>2023Q4</t>
        </is>
      </c>
      <c r="F2525" s="14" t="n">
        <v>524413</v>
      </c>
      <c r="G2525" s="15" t="n">
        <v>-10170</v>
      </c>
      <c r="H2525" s="15" t="n">
        <v>-17353</v>
      </c>
      <c r="I2525" s="9" t="n">
        <v>556456</v>
      </c>
      <c r="J2525" s="10" t="n">
        <v>23840</v>
      </c>
      <c r="K2525" s="10" t="n">
        <v>21326</v>
      </c>
      <c r="L2525" s="7" t="n">
        <v>562796</v>
      </c>
      <c r="M2525" s="8" t="n">
        <v>29089</v>
      </c>
      <c r="N2525" s="8" t="n">
        <v>22884</v>
      </c>
      <c r="O2525" s="9" t="n">
        <v>538349</v>
      </c>
      <c r="P2525" s="10" t="n">
        <v>21534</v>
      </c>
      <c r="Q2525" s="10" t="n">
        <v>12250</v>
      </c>
      <c r="R2525" s="7" t="n">
        <v>506160</v>
      </c>
      <c r="S2525" s="8" t="n">
        <v>2867</v>
      </c>
      <c r="T2525" s="8" t="n">
        <v>7322</v>
      </c>
      <c r="U2525" s="9" t="n">
        <v>746011</v>
      </c>
      <c r="V2525" s="10" t="n">
        <v>4867</v>
      </c>
      <c r="W2525" s="10" t="n">
        <v>-11021</v>
      </c>
      <c r="X2525" s="7" t="n">
        <v>690801</v>
      </c>
      <c r="Y2525" s="8" t="n">
        <v>-20069</v>
      </c>
      <c r="Z2525" s="8" t="n">
        <v>-32721</v>
      </c>
      <c r="AA2525" s="9" t="n">
        <v>667941</v>
      </c>
      <c r="AB2525" s="10" t="n">
        <v>1731</v>
      </c>
      <c r="AC2525" s="10" t="n">
        <v>844</v>
      </c>
      <c r="AD2525" s="7" t="n">
        <v>663950</v>
      </c>
      <c r="AE2525" s="8" t="n">
        <v>-25357</v>
      </c>
      <c r="AF2525" s="8" t="n">
        <v>-26967</v>
      </c>
      <c r="AG2525" s="9" t="n">
        <v>686958</v>
      </c>
      <c r="AH2525" s="10" t="n">
        <v>7985</v>
      </c>
      <c r="AI2525" s="10" t="n">
        <v>-2134</v>
      </c>
      <c r="AJ2525" s="11" t="n">
        <v>773358</v>
      </c>
      <c r="AK2525" s="12" t="n">
        <v>22032</v>
      </c>
      <c r="AL2525" s="12" t="n">
        <v>5623</v>
      </c>
      <c r="AM2525" s="13" t="n">
        <v>12.6</v>
      </c>
      <c r="AN2525" s="13" t="n">
        <v>12</v>
      </c>
      <c r="AO2525" s="13" t="n">
        <v>175.9</v>
      </c>
      <c r="AP2525" s="13" t="n">
        <v>209.8</v>
      </c>
    </row>
    <row r="2526">
      <c r="A2526" s="5" t="inlineStr">
        <is>
          <t>동국제강</t>
        </is>
      </c>
      <c r="B2526" s="6" t="inlineStr">
        <is>
          <t>460860</t>
        </is>
      </c>
      <c r="C2526" s="6" t="inlineStr">
        <is>
          <t>별도</t>
        </is>
      </c>
      <c r="D2526" s="6" t="inlineStr">
        <is>
          <t>2026Q2</t>
        </is>
      </c>
      <c r="E2526" s="6" t="inlineStr">
        <is>
          <t>2023Q4</t>
        </is>
      </c>
      <c r="F2526" s="14" t="n">
        <v>1122628</v>
      </c>
      <c r="G2526" s="15" t="n">
        <v>78562</v>
      </c>
      <c r="H2526" s="15" t="n">
        <v>43927</v>
      </c>
      <c r="I2526" s="9" t="n">
        <v>927257</v>
      </c>
      <c r="J2526" s="10" t="n">
        <v>52538</v>
      </c>
      <c r="K2526" s="10" t="n">
        <v>29136</v>
      </c>
      <c r="L2526" s="7" t="n">
        <v>940166</v>
      </c>
      <c r="M2526" s="8" t="n">
        <v>40473</v>
      </c>
      <c r="N2526" s="8" t="n">
        <v>23150</v>
      </c>
      <c r="O2526" s="9" t="n">
        <v>838556</v>
      </c>
      <c r="P2526" s="10" t="n">
        <v>21491</v>
      </c>
      <c r="Q2526" s="10" t="n">
        <v>9508</v>
      </c>
      <c r="R2526" s="7" t="n">
        <v>821547</v>
      </c>
      <c r="S2526" s="8" t="n">
        <v>-12028</v>
      </c>
      <c r="T2526" s="8" t="n">
        <v>-26959</v>
      </c>
      <c r="U2526" s="9" t="n">
        <v>725549</v>
      </c>
      <c r="V2526" s="10" t="n">
        <v>4255</v>
      </c>
      <c r="W2526" s="10" t="n">
        <v>2451</v>
      </c>
      <c r="X2526" s="7" t="n">
        <v>893658</v>
      </c>
      <c r="Y2526" s="8" t="n">
        <v>29915</v>
      </c>
      <c r="Z2526" s="8" t="n">
        <v>9183</v>
      </c>
      <c r="AA2526" s="9" t="n">
        <v>769215</v>
      </c>
      <c r="AB2526" s="10" t="n">
        <v>24492</v>
      </c>
      <c r="AC2526" s="10" t="n">
        <v>10060</v>
      </c>
      <c r="AD2526" s="7" t="n">
        <v>815009</v>
      </c>
      <c r="AE2526" s="8" t="n">
        <v>718</v>
      </c>
      <c r="AF2526" s="8" t="n">
        <v>-13462</v>
      </c>
      <c r="AG2526" s="9" t="n">
        <v>857157</v>
      </c>
      <c r="AH2526" s="10" t="n">
        <v>21441</v>
      </c>
      <c r="AI2526" s="10" t="n">
        <v>6209</v>
      </c>
      <c r="AJ2526" s="11" t="n">
        <v>995515</v>
      </c>
      <c r="AK2526" s="12" t="n">
        <v>45563</v>
      </c>
      <c r="AL2526" s="12" t="n">
        <v>11645</v>
      </c>
      <c r="AM2526" s="13" t="n">
        <v>16.1</v>
      </c>
      <c r="AN2526" s="13" t="n">
        <v>11.4</v>
      </c>
      <c r="AO2526" s="13" t="n">
        <v>112.5</v>
      </c>
      <c r="AP2526" s="13" t="n">
        <v>52.3</v>
      </c>
    </row>
    <row r="2527">
      <c r="A2527" s="5" t="inlineStr">
        <is>
          <t>에스엠씨지</t>
        </is>
      </c>
      <c r="B2527" s="6" t="inlineStr">
        <is>
          <t>460870</t>
        </is>
      </c>
      <c r="C2527" s="6" t="inlineStr">
        <is>
          <t>별도</t>
        </is>
      </c>
      <c r="D2527" s="6" t="inlineStr">
        <is>
          <t>2026Q2</t>
        </is>
      </c>
      <c r="E2527" s="6" t="inlineStr"/>
      <c r="F2527" s="7" t="inlineStr"/>
      <c r="G2527" s="8" t="inlineStr"/>
      <c r="H2527" s="8" t="inlineStr"/>
      <c r="I2527" s="9" t="inlineStr"/>
      <c r="J2527" s="10" t="inlineStr"/>
      <c r="K2527" s="10" t="inlineStr"/>
      <c r="L2527" s="7" t="inlineStr"/>
      <c r="M2527" s="8" t="inlineStr"/>
      <c r="N2527" s="8" t="inlineStr"/>
      <c r="O2527" s="9" t="inlineStr"/>
      <c r="P2527" s="10" t="inlineStr"/>
      <c r="Q2527" s="10" t="inlineStr"/>
      <c r="R2527" s="7" t="inlineStr"/>
      <c r="S2527" s="8" t="inlineStr"/>
      <c r="T2527" s="8" t="inlineStr"/>
      <c r="U2527" s="9" t="n">
        <v>13166</v>
      </c>
      <c r="V2527" s="10" t="n">
        <v>1001</v>
      </c>
      <c r="W2527" s="10" t="n">
        <v>-1619</v>
      </c>
      <c r="X2527" s="7" t="n">
        <v>16123</v>
      </c>
      <c r="Y2527" s="8" t="n">
        <v>1728</v>
      </c>
      <c r="Z2527" s="8" t="n">
        <v>1373</v>
      </c>
      <c r="AA2527" s="9" t="n">
        <v>12721</v>
      </c>
      <c r="AB2527" s="10" t="n">
        <v>1096</v>
      </c>
      <c r="AC2527" s="10" t="n">
        <v>675</v>
      </c>
      <c r="AD2527" s="7" t="n">
        <v>13778</v>
      </c>
      <c r="AE2527" s="8" t="n">
        <v>1118</v>
      </c>
      <c r="AF2527" s="8" t="n">
        <v>904</v>
      </c>
      <c r="AG2527" s="9" t="n">
        <v>15041</v>
      </c>
      <c r="AH2527" s="10" t="n">
        <v>1357</v>
      </c>
      <c r="AI2527" s="10" t="n">
        <v>937</v>
      </c>
      <c r="AJ2527" s="11" t="n">
        <v>17323</v>
      </c>
      <c r="AK2527" s="12" t="n">
        <v>1660</v>
      </c>
      <c r="AL2527" s="12" t="n">
        <v>1418</v>
      </c>
      <c r="AM2527" s="13" t="n">
        <v>15.2</v>
      </c>
      <c r="AN2527" s="13" t="n">
        <v>7.4</v>
      </c>
      <c r="AO2527" s="13" t="n">
        <v>22.3</v>
      </c>
      <c r="AP2527" s="13" t="n">
        <v>-3.9</v>
      </c>
    </row>
    <row r="2528">
      <c r="A2528" s="5" t="inlineStr">
        <is>
          <t>현대힘스</t>
        </is>
      </c>
      <c r="B2528" s="6" t="inlineStr">
        <is>
          <t>460930</t>
        </is>
      </c>
      <c r="C2528" s="6" t="inlineStr">
        <is>
          <t>연결</t>
        </is>
      </c>
      <c r="D2528" s="6" t="inlineStr">
        <is>
          <t>2026Q2</t>
        </is>
      </c>
      <c r="E2528" s="6" t="inlineStr"/>
      <c r="F2528" s="7" t="inlineStr"/>
      <c r="G2528" s="8" t="inlineStr"/>
      <c r="H2528" s="8" t="inlineStr"/>
      <c r="I2528" s="9" t="n">
        <v>55103</v>
      </c>
      <c r="J2528" s="10" t="n">
        <v>5920</v>
      </c>
      <c r="K2528" s="10" t="n">
        <v>4284</v>
      </c>
      <c r="L2528" s="7" t="n">
        <v>57616</v>
      </c>
      <c r="M2528" s="8" t="n">
        <v>6864</v>
      </c>
      <c r="N2528" s="8" t="n">
        <v>5071</v>
      </c>
      <c r="O2528" s="9" t="n">
        <v>54088</v>
      </c>
      <c r="P2528" s="10" t="n">
        <v>4144</v>
      </c>
      <c r="Q2528" s="10" t="n">
        <v>3856</v>
      </c>
      <c r="R2528" s="7" t="n">
        <v>56357</v>
      </c>
      <c r="S2528" s="8" t="n">
        <v>4621</v>
      </c>
      <c r="T2528" s="8" t="n">
        <v>3347</v>
      </c>
      <c r="U2528" s="9" t="n">
        <v>58358</v>
      </c>
      <c r="V2528" s="10" t="n">
        <v>7240</v>
      </c>
      <c r="W2528" s="10" t="n">
        <v>5498</v>
      </c>
      <c r="X2528" s="7" t="n">
        <v>62312</v>
      </c>
      <c r="Y2528" s="8" t="n">
        <v>8259</v>
      </c>
      <c r="Z2528" s="8" t="n">
        <v>6256</v>
      </c>
      <c r="AA2528" s="9" t="n">
        <v>60592</v>
      </c>
      <c r="AB2528" s="10" t="n">
        <v>6788</v>
      </c>
      <c r="AC2528" s="10" t="n">
        <v>5053</v>
      </c>
      <c r="AD2528" s="7" t="n">
        <v>66942</v>
      </c>
      <c r="AE2528" s="8" t="n">
        <v>6477</v>
      </c>
      <c r="AF2528" s="8" t="n">
        <v>4591</v>
      </c>
      <c r="AG2528" s="9" t="n">
        <v>64610</v>
      </c>
      <c r="AH2528" s="10" t="n">
        <v>8530</v>
      </c>
      <c r="AI2528" s="10" t="n">
        <v>6552</v>
      </c>
      <c r="AJ2528" s="11" t="n">
        <v>72768</v>
      </c>
      <c r="AK2528" s="12" t="n">
        <v>12183</v>
      </c>
      <c r="AL2528" s="12" t="n">
        <v>8714</v>
      </c>
      <c r="AM2528" s="13" t="n">
        <v>12.6</v>
      </c>
      <c r="AN2528" s="13" t="n">
        <v>16.8</v>
      </c>
      <c r="AO2528" s="13" t="n">
        <v>42.8</v>
      </c>
      <c r="AP2528" s="13" t="n">
        <v>47.5</v>
      </c>
    </row>
    <row r="2529">
      <c r="A2529" s="5" t="inlineStr">
        <is>
          <t>피앤에스로보틱스</t>
        </is>
      </c>
      <c r="B2529" s="6" t="inlineStr">
        <is>
          <t>460940</t>
        </is>
      </c>
      <c r="C2529" s="6" t="inlineStr">
        <is>
          <t>연결</t>
        </is>
      </c>
      <c r="D2529" s="6" t="inlineStr">
        <is>
          <t>2026Q2</t>
        </is>
      </c>
      <c r="E2529" s="6" t="inlineStr"/>
      <c r="F2529" s="7" t="inlineStr"/>
      <c r="G2529" s="8" t="inlineStr"/>
      <c r="H2529" s="8" t="inlineStr"/>
      <c r="I2529" s="9" t="inlineStr"/>
      <c r="J2529" s="10" t="inlineStr"/>
      <c r="K2529" s="10" t="inlineStr"/>
      <c r="L2529" s="7" t="n">
        <v>1684</v>
      </c>
      <c r="M2529" s="8" t="n">
        <v>521</v>
      </c>
      <c r="N2529" s="8" t="n">
        <v>484</v>
      </c>
      <c r="O2529" s="9" t="n">
        <v>1427</v>
      </c>
      <c r="P2529" s="10" t="n">
        <v>17</v>
      </c>
      <c r="Q2529" s="10" t="n">
        <v>175</v>
      </c>
      <c r="R2529" s="7" t="inlineStr"/>
      <c r="S2529" s="8" t="inlineStr"/>
      <c r="T2529" s="8" t="inlineStr"/>
      <c r="U2529" s="9" t="n">
        <v>2089</v>
      </c>
      <c r="V2529" s="10" t="n">
        <v>281</v>
      </c>
      <c r="W2529" s="10" t="n">
        <v>468</v>
      </c>
      <c r="X2529" s="7" t="n">
        <v>2648</v>
      </c>
      <c r="Y2529" s="8" t="n">
        <v>1213</v>
      </c>
      <c r="Z2529" s="8" t="n">
        <v>1152</v>
      </c>
      <c r="AA2529" s="9" t="n">
        <v>784</v>
      </c>
      <c r="AB2529" s="10" t="n">
        <v>-818</v>
      </c>
      <c r="AC2529" s="10" t="n">
        <v>-156</v>
      </c>
      <c r="AD2529" s="7" t="n">
        <v>2118</v>
      </c>
      <c r="AE2529" s="8" t="n">
        <v>326</v>
      </c>
      <c r="AF2529" s="8" t="n">
        <v>1286</v>
      </c>
      <c r="AG2529" s="9" t="n">
        <v>932</v>
      </c>
      <c r="AH2529" s="10" t="n">
        <v>-357</v>
      </c>
      <c r="AI2529" s="10" t="n">
        <v>-58</v>
      </c>
      <c r="AJ2529" s="11" t="n">
        <v>1729</v>
      </c>
      <c r="AK2529" s="12" t="n">
        <v>-458</v>
      </c>
      <c r="AL2529" s="12" t="n">
        <v>218</v>
      </c>
      <c r="AM2529" s="13" t="n">
        <v>85.5</v>
      </c>
      <c r="AN2529" s="13" t="n">
        <v>-34.7</v>
      </c>
      <c r="AO2529" s="13" t="n">
        <v>-28.3</v>
      </c>
      <c r="AP2529" s="13" t="n">
        <v>-137.8</v>
      </c>
    </row>
    <row r="2530">
      <c r="A2530" s="5" t="inlineStr">
        <is>
          <t>아이엠비디엑스</t>
        </is>
      </c>
      <c r="B2530" s="6" t="inlineStr">
        <is>
          <t>461030</t>
        </is>
      </c>
      <c r="C2530" s="6" t="inlineStr">
        <is>
          <t>별도</t>
        </is>
      </c>
      <c r="D2530" s="6" t="inlineStr">
        <is>
          <t>2026Q2</t>
        </is>
      </c>
      <c r="E2530" s="6" t="inlineStr"/>
      <c r="F2530" s="7" t="inlineStr"/>
      <c r="G2530" s="8" t="inlineStr"/>
      <c r="H2530" s="8" t="inlineStr"/>
      <c r="I2530" s="9" t="n">
        <v>902</v>
      </c>
      <c r="J2530" s="10" t="n">
        <v>-2996</v>
      </c>
      <c r="K2530" s="10" t="n">
        <v>-2960</v>
      </c>
      <c r="L2530" s="7" t="n">
        <v>1185</v>
      </c>
      <c r="M2530" s="8" t="n">
        <v>-2628</v>
      </c>
      <c r="N2530" s="8" t="n">
        <v>-2299</v>
      </c>
      <c r="O2530" s="9" t="n">
        <v>687</v>
      </c>
      <c r="P2530" s="10" t="n">
        <v>-2483</v>
      </c>
      <c r="Q2530" s="10" t="n">
        <v>-2292</v>
      </c>
      <c r="R2530" s="7" t="n">
        <v>633</v>
      </c>
      <c r="S2530" s="8" t="n">
        <v>-2505</v>
      </c>
      <c r="T2530" s="8" t="n">
        <v>-2026</v>
      </c>
      <c r="U2530" s="9" t="n">
        <v>1003</v>
      </c>
      <c r="V2530" s="10" t="n">
        <v>-2007</v>
      </c>
      <c r="W2530" s="10" t="n">
        <v>-1771</v>
      </c>
      <c r="X2530" s="7" t="n">
        <v>1510</v>
      </c>
      <c r="Y2530" s="8" t="n">
        <v>-1913</v>
      </c>
      <c r="Z2530" s="8" t="n">
        <v>-1881</v>
      </c>
      <c r="AA2530" s="9" t="n">
        <v>1115</v>
      </c>
      <c r="AB2530" s="10" t="n">
        <v>-2568</v>
      </c>
      <c r="AC2530" s="10" t="n">
        <v>-2309</v>
      </c>
      <c r="AD2530" s="7" t="n">
        <v>1701</v>
      </c>
      <c r="AE2530" s="8" t="n">
        <v>-2176</v>
      </c>
      <c r="AF2530" s="8" t="n">
        <v>-1973</v>
      </c>
      <c r="AG2530" s="9" t="n">
        <v>1274</v>
      </c>
      <c r="AH2530" s="10" t="n">
        <v>-2458</v>
      </c>
      <c r="AI2530" s="10" t="n">
        <v>-2245</v>
      </c>
      <c r="AJ2530" s="11" t="n">
        <v>1509</v>
      </c>
      <c r="AK2530" s="12" t="n">
        <v>-1407</v>
      </c>
      <c r="AL2530" s="12" t="n">
        <v>-1062</v>
      </c>
      <c r="AM2530" s="13" t="n">
        <v>18.4</v>
      </c>
      <c r="AN2530" s="13" t="n">
        <v>-0.1</v>
      </c>
      <c r="AO2530" s="13" t="n">
        <v>42.8</v>
      </c>
      <c r="AP2530" s="13" t="n">
        <v>26.5</v>
      </c>
    </row>
    <row r="2531">
      <c r="A2531" s="5" t="inlineStr">
        <is>
          <t>아이스크림미디어</t>
        </is>
      </c>
      <c r="B2531" s="6" t="inlineStr">
        <is>
          <t>461300</t>
        </is>
      </c>
      <c r="C2531" s="6" t="inlineStr">
        <is>
          <t>별도</t>
        </is>
      </c>
      <c r="D2531" s="6" t="inlineStr">
        <is>
          <t>2026Q2</t>
        </is>
      </c>
      <c r="E2531" s="6" t="inlineStr"/>
      <c r="F2531" s="7" t="inlineStr"/>
      <c r="G2531" s="8" t="inlineStr"/>
      <c r="H2531" s="8" t="inlineStr"/>
      <c r="I2531" s="9" t="inlineStr"/>
      <c r="J2531" s="10" t="inlineStr"/>
      <c r="K2531" s="10" t="inlineStr"/>
      <c r="L2531" s="7" t="inlineStr"/>
      <c r="M2531" s="8" t="inlineStr"/>
      <c r="N2531" s="8" t="inlineStr"/>
      <c r="O2531" s="9" t="n">
        <v>14899</v>
      </c>
      <c r="P2531" s="10" t="n">
        <v>-4854</v>
      </c>
      <c r="Q2531" s="10" t="n">
        <v>-3430</v>
      </c>
      <c r="R2531" s="7" t="inlineStr"/>
      <c r="S2531" s="8" t="inlineStr"/>
      <c r="T2531" s="8" t="inlineStr"/>
      <c r="U2531" s="9" t="n">
        <v>13348</v>
      </c>
      <c r="V2531" s="10" t="n">
        <v>-9524</v>
      </c>
      <c r="W2531" s="10" t="n">
        <v>-7415</v>
      </c>
      <c r="X2531" s="7" t="n">
        <v>64689</v>
      </c>
      <c r="Y2531" s="8" t="n">
        <v>24058</v>
      </c>
      <c r="Z2531" s="8" t="n">
        <v>19006</v>
      </c>
      <c r="AA2531" s="9" t="n">
        <v>15869</v>
      </c>
      <c r="AB2531" s="10" t="n">
        <v>-8066</v>
      </c>
      <c r="AC2531" s="10" t="n">
        <v>-4052</v>
      </c>
      <c r="AD2531" s="7" t="n">
        <v>102005</v>
      </c>
      <c r="AE2531" s="8" t="n">
        <v>55295</v>
      </c>
      <c r="AF2531" s="8" t="n">
        <v>41630</v>
      </c>
      <c r="AG2531" s="9" t="n">
        <v>15297</v>
      </c>
      <c r="AH2531" s="10" t="n">
        <v>-8427</v>
      </c>
      <c r="AI2531" s="10" t="n">
        <v>-7339</v>
      </c>
      <c r="AJ2531" s="11" t="n">
        <v>77184</v>
      </c>
      <c r="AK2531" s="12" t="n">
        <v>32329</v>
      </c>
      <c r="AL2531" s="12" t="n">
        <v>41806</v>
      </c>
      <c r="AM2531" s="13" t="n">
        <v>404.6</v>
      </c>
      <c r="AN2531" s="13" t="n">
        <v>19.3</v>
      </c>
      <c r="AO2531" s="13" t="n">
        <v>483.6</v>
      </c>
      <c r="AP2531" s="13" t="n">
        <v>34.4</v>
      </c>
    </row>
    <row r="2532">
      <c r="A2532" s="5" t="inlineStr">
        <is>
          <t>뉴키즈온</t>
        </is>
      </c>
      <c r="B2532" s="6" t="inlineStr">
        <is>
          <t>462310</t>
        </is>
      </c>
      <c r="C2532" s="6" t="inlineStr">
        <is>
          <t>연결</t>
        </is>
      </c>
      <c r="D2532" s="6" t="inlineStr">
        <is>
          <t>2026Q2</t>
        </is>
      </c>
      <c r="E2532" s="6" t="inlineStr"/>
      <c r="F2532" s="7" t="inlineStr"/>
      <c r="G2532" s="8" t="inlineStr"/>
      <c r="H2532" s="8" t="inlineStr"/>
      <c r="I2532" s="9" t="inlineStr"/>
      <c r="J2532" s="10" t="inlineStr"/>
      <c r="K2532" s="10" t="inlineStr"/>
      <c r="L2532" s="7" t="inlineStr"/>
      <c r="M2532" s="8" t="inlineStr"/>
      <c r="N2532" s="8" t="inlineStr"/>
      <c r="O2532" s="9" t="inlineStr"/>
      <c r="P2532" s="10" t="inlineStr"/>
      <c r="Q2532" s="10" t="inlineStr"/>
      <c r="R2532" s="7" t="inlineStr"/>
      <c r="S2532" s="8" t="inlineStr"/>
      <c r="T2532" s="8" t="inlineStr"/>
      <c r="U2532" s="9" t="inlineStr"/>
      <c r="V2532" s="10" t="inlineStr"/>
      <c r="W2532" s="10" t="inlineStr"/>
      <c r="X2532" s="7" t="n">
        <v>12421</v>
      </c>
      <c r="Y2532" s="8" t="n">
        <v>184</v>
      </c>
      <c r="Z2532" s="8" t="n">
        <v>-3607</v>
      </c>
      <c r="AA2532" s="9" t="n">
        <v>6975</v>
      </c>
      <c r="AB2532" s="10" t="n">
        <v>-1406</v>
      </c>
      <c r="AC2532" s="10" t="n">
        <v>-1154</v>
      </c>
      <c r="AD2532" s="7" t="inlineStr"/>
      <c r="AE2532" s="8" t="inlineStr"/>
      <c r="AF2532" s="8" t="inlineStr"/>
      <c r="AG2532" s="9" t="n">
        <v>10305</v>
      </c>
      <c r="AH2532" s="10" t="n">
        <v>-509</v>
      </c>
      <c r="AI2532" s="10" t="n">
        <v>-468</v>
      </c>
      <c r="AJ2532" s="11" t="n">
        <v>16776</v>
      </c>
      <c r="AK2532" s="12" t="n">
        <v>1560</v>
      </c>
      <c r="AL2532" s="12" t="n">
        <v>1254</v>
      </c>
      <c r="AM2532" s="13" t="n">
        <v>62.8</v>
      </c>
      <c r="AN2532" s="13" t="n">
        <v>35.1</v>
      </c>
      <c r="AO2532" s="13" t="n">
        <v>406.5</v>
      </c>
      <c r="AP2532" s="13" t="n">
        <v>747.8</v>
      </c>
    </row>
    <row r="2533">
      <c r="A2533" s="5" t="inlineStr">
        <is>
          <t>이노스페이스</t>
        </is>
      </c>
      <c r="B2533" s="6" t="inlineStr">
        <is>
          <t>462350</t>
        </is>
      </c>
      <c r="C2533" s="6" t="inlineStr">
        <is>
          <t>연결</t>
        </is>
      </c>
      <c r="D2533" s="6" t="inlineStr">
        <is>
          <t>2026Q2</t>
        </is>
      </c>
      <c r="E2533" s="6" t="inlineStr"/>
      <c r="F2533" s="7" t="inlineStr"/>
      <c r="G2533" s="8" t="inlineStr"/>
      <c r="H2533" s="8" t="inlineStr"/>
      <c r="I2533" s="9" t="inlineStr"/>
      <c r="J2533" s="10" t="n">
        <v>-4588</v>
      </c>
      <c r="K2533" s="10" t="n">
        <v>-4595</v>
      </c>
      <c r="L2533" s="7" t="inlineStr"/>
      <c r="M2533" s="8" t="n">
        <v>-5708</v>
      </c>
      <c r="N2533" s="8" t="n">
        <v>-6171</v>
      </c>
      <c r="O2533" s="9" t="inlineStr"/>
      <c r="P2533" s="10" t="n">
        <v>-7335</v>
      </c>
      <c r="Q2533" s="10" t="n">
        <v>-7174</v>
      </c>
      <c r="R2533" s="7" t="inlineStr"/>
      <c r="S2533" s="8" t="n">
        <v>-15273</v>
      </c>
      <c r="T2533" s="8" t="n">
        <v>-15406</v>
      </c>
      <c r="U2533" s="9" t="n">
        <v>240</v>
      </c>
      <c r="V2533" s="10" t="n">
        <v>-13872</v>
      </c>
      <c r="W2533" s="10" t="n">
        <v>-13946</v>
      </c>
      <c r="X2533" s="7" t="n">
        <v>452</v>
      </c>
      <c r="Y2533" s="8" t="n">
        <v>-16740</v>
      </c>
      <c r="Z2533" s="8" t="n">
        <v>-16756</v>
      </c>
      <c r="AA2533" s="9" t="n">
        <v>1095</v>
      </c>
      <c r="AB2533" s="10" t="n">
        <v>-18641</v>
      </c>
      <c r="AC2533" s="10" t="n">
        <v>-18756</v>
      </c>
      <c r="AD2533" s="7" t="n">
        <v>959</v>
      </c>
      <c r="AE2533" s="8" t="n">
        <v>-22993</v>
      </c>
      <c r="AF2533" s="8" t="n">
        <v>-25639</v>
      </c>
      <c r="AG2533" s="9" t="n">
        <v>1397</v>
      </c>
      <c r="AH2533" s="10" t="n">
        <v>-12374</v>
      </c>
      <c r="AI2533" s="10" t="n">
        <v>-12506</v>
      </c>
      <c r="AJ2533" s="11" t="n">
        <v>2472</v>
      </c>
      <c r="AK2533" s="12" t="n">
        <v>-15819</v>
      </c>
      <c r="AL2533" s="12" t="n">
        <v>-15967</v>
      </c>
      <c r="AM2533" s="13" t="n">
        <v>77</v>
      </c>
      <c r="AN2533" s="13" t="n">
        <v>446.9</v>
      </c>
      <c r="AO2533" s="13" t="n">
        <v>-27.8</v>
      </c>
      <c r="AP2533" s="13" t="n">
        <v>5.5</v>
      </c>
    </row>
    <row r="2534">
      <c r="A2534" s="5" t="inlineStr">
        <is>
          <t>라메디텍</t>
        </is>
      </c>
      <c r="B2534" s="6" t="inlineStr">
        <is>
          <t>462510</t>
        </is>
      </c>
      <c r="C2534" s="6" t="inlineStr">
        <is>
          <t>별도</t>
        </is>
      </c>
      <c r="D2534" s="6" t="inlineStr">
        <is>
          <t>2026Q2</t>
        </is>
      </c>
      <c r="E2534" s="6" t="inlineStr"/>
      <c r="F2534" s="7" t="inlineStr"/>
      <c r="G2534" s="8" t="inlineStr"/>
      <c r="H2534" s="8" t="inlineStr"/>
      <c r="I2534" s="9" t="inlineStr"/>
      <c r="J2534" s="10" t="inlineStr"/>
      <c r="K2534" s="10" t="inlineStr"/>
      <c r="L2534" s="7" t="n">
        <v>1858</v>
      </c>
      <c r="M2534" s="8" t="n">
        <v>-2771</v>
      </c>
      <c r="N2534" s="8" t="n">
        <v>-2752</v>
      </c>
      <c r="O2534" s="9" t="n">
        <v>1693</v>
      </c>
      <c r="P2534" s="10" t="n">
        <v>-2495</v>
      </c>
      <c r="Q2534" s="10" t="n">
        <v>-2324</v>
      </c>
      <c r="R2534" s="7" t="inlineStr"/>
      <c r="S2534" s="8" t="inlineStr"/>
      <c r="T2534" s="8" t="inlineStr"/>
      <c r="U2534" s="9" t="n">
        <v>1925</v>
      </c>
      <c r="V2534" s="10" t="n">
        <v>-2869</v>
      </c>
      <c r="W2534" s="10" t="n">
        <v>-2756</v>
      </c>
      <c r="X2534" s="7" t="n">
        <v>1650</v>
      </c>
      <c r="Y2534" s="8" t="n">
        <v>-2619</v>
      </c>
      <c r="Z2534" s="8" t="n">
        <v>-2582</v>
      </c>
      <c r="AA2534" s="9" t="n">
        <v>1758</v>
      </c>
      <c r="AB2534" s="10" t="n">
        <v>-2953</v>
      </c>
      <c r="AC2534" s="10" t="n">
        <v>-3014</v>
      </c>
      <c r="AD2534" s="7" t="n">
        <v>1854</v>
      </c>
      <c r="AE2534" s="8" t="n">
        <v>-3403</v>
      </c>
      <c r="AF2534" s="8" t="n">
        <v>-3015</v>
      </c>
      <c r="AG2534" s="9" t="n">
        <v>815</v>
      </c>
      <c r="AH2534" s="10" t="n">
        <v>-2760</v>
      </c>
      <c r="AI2534" s="10" t="n">
        <v>-2896</v>
      </c>
      <c r="AJ2534" s="11" t="n">
        <v>1134</v>
      </c>
      <c r="AK2534" s="12" t="n">
        <v>-1694</v>
      </c>
      <c r="AL2534" s="12" t="n">
        <v>-829</v>
      </c>
      <c r="AM2534" s="13" t="n">
        <v>39.1</v>
      </c>
      <c r="AN2534" s="13" t="n">
        <v>-31.3</v>
      </c>
      <c r="AO2534" s="13" t="n">
        <v>38.6</v>
      </c>
      <c r="AP2534" s="13" t="n">
        <v>35.3</v>
      </c>
    </row>
    <row r="2535">
      <c r="A2535" s="5" t="inlineStr">
        <is>
          <t>조선내화</t>
        </is>
      </c>
      <c r="B2535" s="6" t="inlineStr">
        <is>
          <t>462520</t>
        </is>
      </c>
      <c r="C2535" s="6" t="inlineStr">
        <is>
          <t>연결</t>
        </is>
      </c>
      <c r="D2535" s="6" t="inlineStr">
        <is>
          <t>2026Q2</t>
        </is>
      </c>
      <c r="E2535" s="6" t="inlineStr"/>
      <c r="F2535" s="7" t="inlineStr"/>
      <c r="G2535" s="8" t="inlineStr"/>
      <c r="H2535" s="8" t="inlineStr"/>
      <c r="I2535" s="9" t="n">
        <v>126000</v>
      </c>
      <c r="J2535" s="10" t="n">
        <v>7833</v>
      </c>
      <c r="K2535" s="10" t="n">
        <v>5310</v>
      </c>
      <c r="L2535" s="7" t="n">
        <v>127396</v>
      </c>
      <c r="M2535" s="8" t="n">
        <v>5170</v>
      </c>
      <c r="N2535" s="8" t="n">
        <v>2369</v>
      </c>
      <c r="O2535" s="9" t="n">
        <v>126960</v>
      </c>
      <c r="P2535" s="10" t="n">
        <v>11058</v>
      </c>
      <c r="Q2535" s="10" t="n">
        <v>8199</v>
      </c>
      <c r="R2535" s="7" t="n">
        <v>120284</v>
      </c>
      <c r="S2535" s="8" t="n">
        <v>-4042</v>
      </c>
      <c r="T2535" s="8" t="n">
        <v>-9236</v>
      </c>
      <c r="U2535" s="9" t="n">
        <v>130787</v>
      </c>
      <c r="V2535" s="10" t="n">
        <v>5808</v>
      </c>
      <c r="W2535" s="10" t="n">
        <v>-1883</v>
      </c>
      <c r="X2535" s="7" t="n">
        <v>136342</v>
      </c>
      <c r="Y2535" s="8" t="n">
        <v>5589</v>
      </c>
      <c r="Z2535" s="8" t="n">
        <v>5061</v>
      </c>
      <c r="AA2535" s="9" t="n">
        <v>135525</v>
      </c>
      <c r="AB2535" s="10" t="n">
        <v>10186</v>
      </c>
      <c r="AC2535" s="10" t="n">
        <v>-1145</v>
      </c>
      <c r="AD2535" s="7" t="n">
        <v>129379</v>
      </c>
      <c r="AE2535" s="8" t="n">
        <v>2277</v>
      </c>
      <c r="AF2535" s="8" t="n">
        <v>1070</v>
      </c>
      <c r="AG2535" s="9" t="n">
        <v>131868</v>
      </c>
      <c r="AH2535" s="10" t="n">
        <v>8960</v>
      </c>
      <c r="AI2535" s="10" t="n">
        <v>7468</v>
      </c>
      <c r="AJ2535" s="11" t="n">
        <v>126216</v>
      </c>
      <c r="AK2535" s="12" t="n">
        <v>1005</v>
      </c>
      <c r="AL2535" s="12" t="n">
        <v>-4560</v>
      </c>
      <c r="AM2535" s="13" t="n">
        <v>-4.3</v>
      </c>
      <c r="AN2535" s="13" t="n">
        <v>-7.4</v>
      </c>
      <c r="AO2535" s="13" t="n">
        <v>-88.8</v>
      </c>
      <c r="AP2535" s="13" t="n">
        <v>-82</v>
      </c>
    </row>
    <row r="2536">
      <c r="A2536" s="5" t="inlineStr">
        <is>
          <t>더즌</t>
        </is>
      </c>
      <c r="B2536" s="6" t="inlineStr">
        <is>
          <t>462860</t>
        </is>
      </c>
      <c r="C2536" s="6" t="inlineStr">
        <is>
          <t>연결</t>
        </is>
      </c>
      <c r="D2536" s="6" t="inlineStr">
        <is>
          <t>2026Q2</t>
        </is>
      </c>
      <c r="E2536" s="6" t="inlineStr"/>
      <c r="F2536" s="7" t="inlineStr"/>
      <c r="G2536" s="8" t="inlineStr"/>
      <c r="H2536" s="8" t="inlineStr"/>
      <c r="I2536" s="9" t="inlineStr"/>
      <c r="J2536" s="10" t="inlineStr"/>
      <c r="K2536" s="10" t="inlineStr"/>
      <c r="L2536" s="7" t="inlineStr"/>
      <c r="M2536" s="8" t="inlineStr"/>
      <c r="N2536" s="8" t="inlineStr"/>
      <c r="O2536" s="9" t="inlineStr"/>
      <c r="P2536" s="10" t="inlineStr"/>
      <c r="Q2536" s="10" t="inlineStr"/>
      <c r="R2536" s="7" t="inlineStr"/>
      <c r="S2536" s="8" t="inlineStr"/>
      <c r="T2536" s="8" t="inlineStr"/>
      <c r="U2536" s="9" t="n">
        <v>15394</v>
      </c>
      <c r="V2536" s="10" t="n">
        <v>2608</v>
      </c>
      <c r="W2536" s="10" t="n">
        <v>2395</v>
      </c>
      <c r="X2536" s="7" t="n">
        <v>14609</v>
      </c>
      <c r="Y2536" s="8" t="n">
        <v>3108</v>
      </c>
      <c r="Z2536" s="8" t="n">
        <v>2788</v>
      </c>
      <c r="AA2536" s="9" t="n">
        <v>15094</v>
      </c>
      <c r="AB2536" s="10" t="n">
        <v>3969</v>
      </c>
      <c r="AC2536" s="10" t="n">
        <v>3496</v>
      </c>
      <c r="AD2536" s="7" t="n">
        <v>14874</v>
      </c>
      <c r="AE2536" s="8" t="n">
        <v>3943</v>
      </c>
      <c r="AF2536" s="8" t="n">
        <v>2060</v>
      </c>
      <c r="AG2536" s="9" t="n">
        <v>15685</v>
      </c>
      <c r="AH2536" s="10" t="n">
        <v>3896</v>
      </c>
      <c r="AI2536" s="10" t="n">
        <v>3066</v>
      </c>
      <c r="AJ2536" s="11" t="n">
        <v>15007</v>
      </c>
      <c r="AK2536" s="12" t="n">
        <v>3640</v>
      </c>
      <c r="AL2536" s="12" t="n">
        <v>2731</v>
      </c>
      <c r="AM2536" s="13" t="n">
        <v>-4.3</v>
      </c>
      <c r="AN2536" s="13" t="n">
        <v>2.7</v>
      </c>
      <c r="AO2536" s="13" t="n">
        <v>-6.6</v>
      </c>
      <c r="AP2536" s="13" t="n">
        <v>17.1</v>
      </c>
    </row>
    <row r="2537">
      <c r="A2537" s="5" t="inlineStr">
        <is>
          <t>시프트업</t>
        </is>
      </c>
      <c r="B2537" s="6" t="inlineStr">
        <is>
          <t>462870</t>
        </is>
      </c>
      <c r="C2537" s="6" t="inlineStr">
        <is>
          <t>연결</t>
        </is>
      </c>
      <c r="D2537" s="6" t="inlineStr">
        <is>
          <t>2026Q2</t>
        </is>
      </c>
      <c r="E2537" s="6" t="inlineStr">
        <is>
          <t>2024Q2, 2024Q4</t>
        </is>
      </c>
      <c r="F2537" s="7" t="inlineStr"/>
      <c r="G2537" s="8" t="inlineStr"/>
      <c r="H2537" s="8" t="inlineStr"/>
      <c r="I2537" s="9" t="inlineStr"/>
      <c r="J2537" s="10" t="inlineStr"/>
      <c r="K2537" s="10" t="inlineStr"/>
      <c r="L2537" s="14" t="n">
        <v>65202</v>
      </c>
      <c r="M2537" s="15" t="n">
        <v>45108</v>
      </c>
      <c r="N2537" s="15" t="n">
        <v>40362</v>
      </c>
      <c r="O2537" s="9" t="n">
        <v>58018</v>
      </c>
      <c r="P2537" s="10" t="n">
        <v>35577</v>
      </c>
      <c r="Q2537" s="10" t="n">
        <v>23484</v>
      </c>
      <c r="R2537" s="14" t="n">
        <v>59258</v>
      </c>
      <c r="S2537" s="15" t="n">
        <v>42062</v>
      </c>
      <c r="T2537" s="15" t="n">
        <v>54168</v>
      </c>
      <c r="U2537" s="9" t="n">
        <v>42235</v>
      </c>
      <c r="V2537" s="10" t="n">
        <v>26251</v>
      </c>
      <c r="W2537" s="10" t="n">
        <v>26846</v>
      </c>
      <c r="X2537" s="7" t="n">
        <v>112383</v>
      </c>
      <c r="Y2537" s="8" t="n">
        <v>68215</v>
      </c>
      <c r="Z2537" s="8" t="n">
        <v>51306</v>
      </c>
      <c r="AA2537" s="9" t="n">
        <v>75499</v>
      </c>
      <c r="AB2537" s="10" t="n">
        <v>49548</v>
      </c>
      <c r="AC2537" s="10" t="n">
        <v>54628</v>
      </c>
      <c r="AD2537" s="7" t="n">
        <v>64429</v>
      </c>
      <c r="AE2537" s="8" t="n">
        <v>37404</v>
      </c>
      <c r="AF2537" s="8" t="n">
        <v>58650</v>
      </c>
      <c r="AG2537" s="9" t="n">
        <v>47309</v>
      </c>
      <c r="AH2537" s="10" t="n">
        <v>21506</v>
      </c>
      <c r="AI2537" s="10" t="n">
        <v>37796</v>
      </c>
      <c r="AJ2537" s="11" t="n">
        <v>55724</v>
      </c>
      <c r="AK2537" s="12" t="n">
        <v>28118</v>
      </c>
      <c r="AL2537" s="12" t="n">
        <v>41736</v>
      </c>
      <c r="AM2537" s="13" t="n">
        <v>17.8</v>
      </c>
      <c r="AN2537" s="13" t="n">
        <v>-50.4</v>
      </c>
      <c r="AO2537" s="13" t="n">
        <v>30.7</v>
      </c>
      <c r="AP2537" s="13" t="n">
        <v>-58.8</v>
      </c>
    </row>
    <row r="2538">
      <c r="A2538" s="5" t="inlineStr">
        <is>
          <t>아이지넷</t>
        </is>
      </c>
      <c r="B2538" s="6" t="inlineStr">
        <is>
          <t>462980</t>
        </is>
      </c>
      <c r="C2538" s="6" t="inlineStr">
        <is>
          <t>연결</t>
        </is>
      </c>
      <c r="D2538" s="6" t="inlineStr">
        <is>
          <t>2026Q2</t>
        </is>
      </c>
      <c r="E2538" s="6" t="inlineStr"/>
      <c r="F2538" s="7" t="inlineStr"/>
      <c r="G2538" s="8" t="inlineStr"/>
      <c r="H2538" s="8" t="inlineStr"/>
      <c r="I2538" s="9" t="inlineStr"/>
      <c r="J2538" s="10" t="inlineStr"/>
      <c r="K2538" s="10" t="inlineStr"/>
      <c r="L2538" s="7" t="inlineStr"/>
      <c r="M2538" s="8" t="inlineStr"/>
      <c r="N2538" s="8" t="inlineStr"/>
      <c r="O2538" s="9" t="inlineStr"/>
      <c r="P2538" s="10" t="inlineStr"/>
      <c r="Q2538" s="10" t="inlineStr"/>
      <c r="R2538" s="7" t="inlineStr"/>
      <c r="S2538" s="8" t="inlineStr"/>
      <c r="T2538" s="8" t="inlineStr"/>
      <c r="U2538" s="9" t="n">
        <v>7554</v>
      </c>
      <c r="V2538" s="10" t="n">
        <v>25</v>
      </c>
      <c r="W2538" s="10" t="n">
        <v>54</v>
      </c>
      <c r="X2538" s="7" t="n">
        <v>7765</v>
      </c>
      <c r="Y2538" s="8" t="n">
        <v>-124</v>
      </c>
      <c r="Z2538" s="8" t="n">
        <v>12</v>
      </c>
      <c r="AA2538" s="9" t="n">
        <v>8947</v>
      </c>
      <c r="AB2538" s="10" t="n">
        <v>607</v>
      </c>
      <c r="AC2538" s="10" t="n">
        <v>679</v>
      </c>
      <c r="AD2538" s="7" t="n">
        <v>14753</v>
      </c>
      <c r="AE2538" s="8" t="n">
        <v>2822</v>
      </c>
      <c r="AF2538" s="8" t="n">
        <v>1812</v>
      </c>
      <c r="AG2538" s="9" t="n">
        <v>8728</v>
      </c>
      <c r="AH2538" s="10" t="n">
        <v>636</v>
      </c>
      <c r="AI2538" s="10" t="n">
        <v>484</v>
      </c>
      <c r="AJ2538" s="11" t="n">
        <v>9207</v>
      </c>
      <c r="AK2538" s="12" t="n">
        <v>1105</v>
      </c>
      <c r="AL2538" s="12" t="n">
        <v>859</v>
      </c>
      <c r="AM2538" s="13" t="n">
        <v>5.5</v>
      </c>
      <c r="AN2538" s="13" t="n">
        <v>18.6</v>
      </c>
      <c r="AO2538" s="13" t="n">
        <v>73.7</v>
      </c>
      <c r="AP2538" s="13" t="n">
        <v>991.1</v>
      </c>
    </row>
    <row r="2539">
      <c r="A2539" s="5" t="inlineStr">
        <is>
          <t>뉴엔AI</t>
        </is>
      </c>
      <c r="B2539" s="6" t="inlineStr">
        <is>
          <t>463020</t>
        </is>
      </c>
      <c r="C2539" s="6" t="inlineStr">
        <is>
          <t>별도</t>
        </is>
      </c>
      <c r="D2539" s="6" t="inlineStr">
        <is>
          <t>2026Q2</t>
        </is>
      </c>
      <c r="E2539" s="6" t="inlineStr"/>
      <c r="F2539" s="7" t="inlineStr"/>
      <c r="G2539" s="8" t="inlineStr"/>
      <c r="H2539" s="8" t="inlineStr"/>
      <c r="I2539" s="9" t="inlineStr"/>
      <c r="J2539" s="10" t="inlineStr"/>
      <c r="K2539" s="10" t="inlineStr"/>
      <c r="L2539" s="7" t="inlineStr"/>
      <c r="M2539" s="8" t="inlineStr"/>
      <c r="N2539" s="8" t="inlineStr"/>
      <c r="O2539" s="9" t="inlineStr"/>
      <c r="P2539" s="10" t="inlineStr"/>
      <c r="Q2539" s="10" t="inlineStr"/>
      <c r="R2539" s="7" t="inlineStr"/>
      <c r="S2539" s="8" t="inlineStr"/>
      <c r="T2539" s="8" t="inlineStr"/>
      <c r="U2539" s="9" t="inlineStr"/>
      <c r="V2539" s="10" t="inlineStr"/>
      <c r="W2539" s="10" t="inlineStr"/>
      <c r="X2539" s="7" t="n">
        <v>4409</v>
      </c>
      <c r="Y2539" s="8" t="n">
        <v>-711</v>
      </c>
      <c r="Z2539" s="8" t="n">
        <v>-699</v>
      </c>
      <c r="AA2539" s="9" t="n">
        <v>4821</v>
      </c>
      <c r="AB2539" s="10" t="n">
        <v>-149</v>
      </c>
      <c r="AC2539" s="10" t="n">
        <v>-172</v>
      </c>
      <c r="AD2539" s="7" t="inlineStr"/>
      <c r="AE2539" s="8" t="inlineStr"/>
      <c r="AF2539" s="8" t="inlineStr"/>
      <c r="AG2539" s="9" t="n">
        <v>4342</v>
      </c>
      <c r="AH2539" s="10" t="n">
        <v>-745</v>
      </c>
      <c r="AI2539" s="10" t="n">
        <v>-293</v>
      </c>
      <c r="AJ2539" s="11" t="n">
        <v>5311</v>
      </c>
      <c r="AK2539" s="12" t="n">
        <v>227</v>
      </c>
      <c r="AL2539" s="12" t="n">
        <v>412</v>
      </c>
      <c r="AM2539" s="13" t="n">
        <v>22.3</v>
      </c>
      <c r="AN2539" s="13" t="n">
        <v>20.5</v>
      </c>
      <c r="AO2539" s="13" t="n">
        <v>130.5</v>
      </c>
      <c r="AP2539" s="13" t="n">
        <v>131.9</v>
      </c>
    </row>
    <row r="2540">
      <c r="A2540" s="5" t="inlineStr">
        <is>
          <t>모티브링크</t>
        </is>
      </c>
      <c r="B2540" s="6" t="inlineStr">
        <is>
          <t>463480</t>
        </is>
      </c>
      <c r="C2540" s="6" t="inlineStr">
        <is>
          <t>연결</t>
        </is>
      </c>
      <c r="D2540" s="6" t="inlineStr">
        <is>
          <t>2026Q2</t>
        </is>
      </c>
      <c r="E2540" s="6" t="inlineStr"/>
      <c r="F2540" s="7" t="inlineStr"/>
      <c r="G2540" s="8" t="inlineStr"/>
      <c r="H2540" s="8" t="inlineStr"/>
      <c r="I2540" s="9" t="inlineStr"/>
      <c r="J2540" s="10" t="inlineStr"/>
      <c r="K2540" s="10" t="inlineStr"/>
      <c r="L2540" s="7" t="inlineStr"/>
      <c r="M2540" s="8" t="inlineStr"/>
      <c r="N2540" s="8" t="inlineStr"/>
      <c r="O2540" s="9" t="inlineStr"/>
      <c r="P2540" s="10" t="inlineStr"/>
      <c r="Q2540" s="10" t="inlineStr"/>
      <c r="R2540" s="7" t="inlineStr"/>
      <c r="S2540" s="8" t="inlineStr"/>
      <c r="T2540" s="8" t="inlineStr"/>
      <c r="U2540" s="9" t="n">
        <v>16976</v>
      </c>
      <c r="V2540" s="10" t="n">
        <v>19</v>
      </c>
      <c r="W2540" s="10" t="n">
        <v>45</v>
      </c>
      <c r="X2540" s="7" t="n">
        <v>20480</v>
      </c>
      <c r="Y2540" s="8" t="n">
        <v>110</v>
      </c>
      <c r="Z2540" s="8" t="n">
        <v>630</v>
      </c>
      <c r="AA2540" s="9" t="n">
        <v>16929</v>
      </c>
      <c r="AB2540" s="10" t="n">
        <v>-538</v>
      </c>
      <c r="AC2540" s="10" t="n">
        <v>-143</v>
      </c>
      <c r="AD2540" s="7" t="n">
        <v>13026</v>
      </c>
      <c r="AE2540" s="8" t="n">
        <v>-1314</v>
      </c>
      <c r="AF2540" s="8" t="n">
        <v>-645</v>
      </c>
      <c r="AG2540" s="9" t="n">
        <v>17688</v>
      </c>
      <c r="AH2540" s="10" t="n">
        <v>-1441</v>
      </c>
      <c r="AI2540" s="10" t="n">
        <v>-1006</v>
      </c>
      <c r="AJ2540" s="11" t="n">
        <v>20223</v>
      </c>
      <c r="AK2540" s="12" t="n">
        <v>-1119</v>
      </c>
      <c r="AL2540" s="12" t="n">
        <v>-1117</v>
      </c>
      <c r="AM2540" s="13" t="n">
        <v>14.3</v>
      </c>
      <c r="AN2540" s="13" t="n">
        <v>-1.3</v>
      </c>
      <c r="AO2540" s="13" t="n">
        <v>22.3</v>
      </c>
      <c r="AP2540" s="13" t="n">
        <v>-1117.3</v>
      </c>
    </row>
    <row r="2541">
      <c r="A2541" s="5" t="inlineStr">
        <is>
          <t>에스오에스랩</t>
        </is>
      </c>
      <c r="B2541" s="6" t="inlineStr">
        <is>
          <t>464080</t>
        </is>
      </c>
      <c r="C2541" s="6" t="inlineStr">
        <is>
          <t>별도</t>
        </is>
      </c>
      <c r="D2541" s="6" t="inlineStr">
        <is>
          <t>2026Q2</t>
        </is>
      </c>
      <c r="E2541" s="6" t="inlineStr"/>
      <c r="F2541" s="7" t="inlineStr"/>
      <c r="G2541" s="8" t="inlineStr"/>
      <c r="H2541" s="8" t="inlineStr"/>
      <c r="I2541" s="9" t="inlineStr"/>
      <c r="J2541" s="10" t="inlineStr"/>
      <c r="K2541" s="10" t="inlineStr"/>
      <c r="L2541" s="7" t="n">
        <v>468</v>
      </c>
      <c r="M2541" s="8" t="n">
        <v>-3224</v>
      </c>
      <c r="N2541" s="8" t="n">
        <v>-3134</v>
      </c>
      <c r="O2541" s="9" t="n">
        <v>946</v>
      </c>
      <c r="P2541" s="10" t="n">
        <v>-3421</v>
      </c>
      <c r="Q2541" s="10" t="n">
        <v>-3005</v>
      </c>
      <c r="R2541" s="7" t="inlineStr"/>
      <c r="S2541" s="8" t="inlineStr"/>
      <c r="T2541" s="8" t="inlineStr"/>
      <c r="U2541" s="9" t="n">
        <v>821</v>
      </c>
      <c r="V2541" s="10" t="n">
        <v>-4376</v>
      </c>
      <c r="W2541" s="10" t="n">
        <v>-4272</v>
      </c>
      <c r="X2541" s="7" t="n">
        <v>1273</v>
      </c>
      <c r="Y2541" s="8" t="n">
        <v>-4248</v>
      </c>
      <c r="Z2541" s="8" t="n">
        <v>-4416</v>
      </c>
      <c r="AA2541" s="9" t="n">
        <v>1467</v>
      </c>
      <c r="AB2541" s="10" t="n">
        <v>-3988</v>
      </c>
      <c r="AC2541" s="10" t="n">
        <v>-4506</v>
      </c>
      <c r="AD2541" s="7" t="n">
        <v>2525</v>
      </c>
      <c r="AE2541" s="8" t="n">
        <v>-3519</v>
      </c>
      <c r="AF2541" s="8" t="n">
        <v>-4508</v>
      </c>
      <c r="AG2541" s="9" t="n">
        <v>581</v>
      </c>
      <c r="AH2541" s="10" t="n">
        <v>-5502</v>
      </c>
      <c r="AI2541" s="10" t="n">
        <v>-6469</v>
      </c>
      <c r="AJ2541" s="11" t="n">
        <v>456</v>
      </c>
      <c r="AK2541" s="12" t="n">
        <v>-5177</v>
      </c>
      <c r="AL2541" s="12" t="n">
        <v>-6243</v>
      </c>
      <c r="AM2541" s="13" t="n">
        <v>-21.5</v>
      </c>
      <c r="AN2541" s="13" t="n">
        <v>-64.2</v>
      </c>
      <c r="AO2541" s="13" t="n">
        <v>5.9</v>
      </c>
      <c r="AP2541" s="13" t="n">
        <v>-21.9</v>
      </c>
    </row>
    <row r="2542">
      <c r="A2542" s="5" t="inlineStr">
        <is>
          <t>티디에스팜</t>
        </is>
      </c>
      <c r="B2542" s="6" t="inlineStr">
        <is>
          <t>464280</t>
        </is>
      </c>
      <c r="C2542" s="6" t="inlineStr">
        <is>
          <t>별도</t>
        </is>
      </c>
      <c r="D2542" s="6" t="inlineStr">
        <is>
          <t>2026Q2</t>
        </is>
      </c>
      <c r="E2542" s="6" t="inlineStr"/>
      <c r="F2542" s="7" t="inlineStr"/>
      <c r="G2542" s="8" t="inlineStr"/>
      <c r="H2542" s="8" t="inlineStr"/>
      <c r="I2542" s="9" t="inlineStr"/>
      <c r="J2542" s="10" t="inlineStr"/>
      <c r="K2542" s="10" t="inlineStr"/>
      <c r="L2542" s="7" t="inlineStr"/>
      <c r="M2542" s="8" t="inlineStr"/>
      <c r="N2542" s="8" t="inlineStr"/>
      <c r="O2542" s="9" t="n">
        <v>6465</v>
      </c>
      <c r="P2542" s="10" t="n">
        <v>847</v>
      </c>
      <c r="Q2542" s="10" t="n">
        <v>847</v>
      </c>
      <c r="R2542" s="7" t="inlineStr"/>
      <c r="S2542" s="8" t="inlineStr"/>
      <c r="T2542" s="8" t="inlineStr"/>
      <c r="U2542" s="9" t="n">
        <v>5277</v>
      </c>
      <c r="V2542" s="10" t="n">
        <v>189</v>
      </c>
      <c r="W2542" s="10" t="n">
        <v>366</v>
      </c>
      <c r="X2542" s="7" t="n">
        <v>5583</v>
      </c>
      <c r="Y2542" s="8" t="n">
        <v>323</v>
      </c>
      <c r="Z2542" s="8" t="n">
        <v>859</v>
      </c>
      <c r="AA2542" s="9" t="n">
        <v>8082</v>
      </c>
      <c r="AB2542" s="10" t="n">
        <v>1640</v>
      </c>
      <c r="AC2542" s="10" t="n">
        <v>1460</v>
      </c>
      <c r="AD2542" s="7" t="n">
        <v>8679</v>
      </c>
      <c r="AE2542" s="8" t="n">
        <v>1613</v>
      </c>
      <c r="AF2542" s="8" t="n">
        <v>1590</v>
      </c>
      <c r="AG2542" s="9" t="n">
        <v>8068</v>
      </c>
      <c r="AH2542" s="10" t="n">
        <v>1344</v>
      </c>
      <c r="AI2542" s="10" t="n">
        <v>1146</v>
      </c>
      <c r="AJ2542" s="11" t="n">
        <v>8077</v>
      </c>
      <c r="AK2542" s="12" t="n">
        <v>1043</v>
      </c>
      <c r="AL2542" s="12" t="n">
        <v>959</v>
      </c>
      <c r="AM2542" s="13" t="n">
        <v>0.1</v>
      </c>
      <c r="AN2542" s="13" t="n">
        <v>44.7</v>
      </c>
      <c r="AO2542" s="13" t="n">
        <v>-22.4</v>
      </c>
      <c r="AP2542" s="13" t="n">
        <v>222.9</v>
      </c>
    </row>
    <row r="2543">
      <c r="A2543" s="5" t="inlineStr">
        <is>
          <t>쿼드메디슨</t>
        </is>
      </c>
      <c r="B2543" s="6" t="inlineStr">
        <is>
          <t>464490</t>
        </is>
      </c>
      <c r="C2543" s="6" t="inlineStr">
        <is>
          <t>연결</t>
        </is>
      </c>
      <c r="D2543" s="6" t="inlineStr">
        <is>
          <t>2026Q2</t>
        </is>
      </c>
      <c r="E2543" s="6" t="inlineStr"/>
      <c r="F2543" s="7" t="inlineStr"/>
      <c r="G2543" s="8" t="inlineStr"/>
      <c r="H2543" s="8" t="inlineStr"/>
      <c r="I2543" s="9" t="inlineStr"/>
      <c r="J2543" s="10" t="inlineStr"/>
      <c r="K2543" s="10" t="inlineStr"/>
      <c r="L2543" s="7" t="inlineStr"/>
      <c r="M2543" s="8" t="n">
        <v>-1374</v>
      </c>
      <c r="N2543" s="8" t="n">
        <v>-1424</v>
      </c>
      <c r="O2543" s="9" t="inlineStr"/>
      <c r="P2543" s="10" t="n">
        <v>-895</v>
      </c>
      <c r="Q2543" s="10" t="n">
        <v>-1288</v>
      </c>
      <c r="R2543" s="7" t="inlineStr"/>
      <c r="S2543" s="8" t="inlineStr"/>
      <c r="T2543" s="8" t="inlineStr"/>
      <c r="U2543" s="9" t="inlineStr"/>
      <c r="V2543" s="10" t="n">
        <v>-3350</v>
      </c>
      <c r="W2543" s="10" t="n">
        <v>-3410</v>
      </c>
      <c r="X2543" s="7" t="inlineStr"/>
      <c r="Y2543" s="8" t="n">
        <v>34</v>
      </c>
      <c r="Z2543" s="8" t="n">
        <v>-370</v>
      </c>
      <c r="AA2543" s="9" t="inlineStr"/>
      <c r="AB2543" s="10" t="inlineStr"/>
      <c r="AC2543" s="10" t="inlineStr"/>
      <c r="AD2543" s="7" t="inlineStr"/>
      <c r="AE2543" s="8" t="inlineStr"/>
      <c r="AF2543" s="8" t="inlineStr"/>
      <c r="AG2543" s="9" t="inlineStr"/>
      <c r="AH2543" s="10" t="n">
        <v>-4415</v>
      </c>
      <c r="AI2543" s="10" t="n">
        <v>-4608</v>
      </c>
      <c r="AJ2543" s="11" t="inlineStr"/>
      <c r="AK2543" s="12" t="n">
        <v>-2370</v>
      </c>
      <c r="AL2543" s="12" t="n">
        <v>-2349</v>
      </c>
      <c r="AM2543" s="13" t="inlineStr"/>
      <c r="AN2543" s="13" t="inlineStr"/>
      <c r="AO2543" s="13" t="n">
        <v>46.3</v>
      </c>
      <c r="AP2543" s="13" t="n">
        <v>-7070.6</v>
      </c>
    </row>
    <row r="2544">
      <c r="A2544" s="5" t="inlineStr">
        <is>
          <t>아이언디바이스</t>
        </is>
      </c>
      <c r="B2544" s="6" t="inlineStr">
        <is>
          <t>464500</t>
        </is>
      </c>
      <c r="C2544" s="6" t="inlineStr">
        <is>
          <t>연결</t>
        </is>
      </c>
      <c r="D2544" s="6" t="inlineStr">
        <is>
          <t>2026Q2</t>
        </is>
      </c>
      <c r="E2544" s="6" t="inlineStr"/>
      <c r="F2544" s="7" t="inlineStr"/>
      <c r="G2544" s="8" t="inlineStr"/>
      <c r="H2544" s="8" t="inlineStr"/>
      <c r="I2544" s="9" t="inlineStr"/>
      <c r="J2544" s="10" t="inlineStr"/>
      <c r="K2544" s="10" t="inlineStr"/>
      <c r="L2544" s="7" t="inlineStr"/>
      <c r="M2544" s="8" t="inlineStr"/>
      <c r="N2544" s="8" t="inlineStr"/>
      <c r="O2544" s="9" t="n">
        <v>2361</v>
      </c>
      <c r="P2544" s="10" t="n">
        <v>-1274</v>
      </c>
      <c r="Q2544" s="10" t="n">
        <v>-1292</v>
      </c>
      <c r="R2544" s="7" t="inlineStr"/>
      <c r="S2544" s="8" t="inlineStr"/>
      <c r="T2544" s="8" t="inlineStr"/>
      <c r="U2544" s="9" t="n">
        <v>1063</v>
      </c>
      <c r="V2544" s="10" t="n">
        <v>-1143</v>
      </c>
      <c r="W2544" s="10" t="n">
        <v>-941</v>
      </c>
      <c r="X2544" s="7" t="n">
        <v>890</v>
      </c>
      <c r="Y2544" s="8" t="n">
        <v>-1482</v>
      </c>
      <c r="Z2544" s="8" t="n">
        <v>-1574</v>
      </c>
      <c r="AA2544" s="9" t="n">
        <v>3113</v>
      </c>
      <c r="AB2544" s="10" t="n">
        <v>-1400</v>
      </c>
      <c r="AC2544" s="10" t="n">
        <v>-950</v>
      </c>
      <c r="AD2544" s="7" t="n">
        <v>5061</v>
      </c>
      <c r="AE2544" s="8" t="n">
        <v>-1549</v>
      </c>
      <c r="AF2544" s="8" t="n">
        <v>-1075</v>
      </c>
      <c r="AG2544" s="9" t="n">
        <v>4702</v>
      </c>
      <c r="AH2544" s="10" t="n">
        <v>-1002</v>
      </c>
      <c r="AI2544" s="10" t="n">
        <v>-608</v>
      </c>
      <c r="AJ2544" s="11" t="n">
        <v>5680</v>
      </c>
      <c r="AK2544" s="12" t="n">
        <v>-1326</v>
      </c>
      <c r="AL2544" s="12" t="n">
        <v>-1076</v>
      </c>
      <c r="AM2544" s="13" t="n">
        <v>20.8</v>
      </c>
      <c r="AN2544" s="13" t="n">
        <v>538.2</v>
      </c>
      <c r="AO2544" s="13" t="n">
        <v>-32.3</v>
      </c>
      <c r="AP2544" s="13" t="n">
        <v>10.5</v>
      </c>
    </row>
    <row r="2545">
      <c r="A2545" s="5" t="inlineStr">
        <is>
          <t>닷밀</t>
        </is>
      </c>
      <c r="B2545" s="6" t="inlineStr">
        <is>
          <t>464580</t>
        </is>
      </c>
      <c r="C2545" s="6" t="inlineStr">
        <is>
          <t>별도</t>
        </is>
      </c>
      <c r="D2545" s="6" t="inlineStr">
        <is>
          <t>2026Q2</t>
        </is>
      </c>
      <c r="E2545" s="6" t="inlineStr"/>
      <c r="F2545" s="7" t="inlineStr"/>
      <c r="G2545" s="8" t="inlineStr"/>
      <c r="H2545" s="8" t="inlineStr"/>
      <c r="I2545" s="9" t="inlineStr"/>
      <c r="J2545" s="10" t="inlineStr"/>
      <c r="K2545" s="10" t="inlineStr"/>
      <c r="L2545" s="7" t="inlineStr"/>
      <c r="M2545" s="8" t="inlineStr"/>
      <c r="N2545" s="8" t="inlineStr"/>
      <c r="O2545" s="9" t="inlineStr"/>
      <c r="P2545" s="10" t="inlineStr"/>
      <c r="Q2545" s="10" t="inlineStr"/>
      <c r="R2545" s="7" t="inlineStr"/>
      <c r="S2545" s="8" t="inlineStr"/>
      <c r="T2545" s="8" t="inlineStr"/>
      <c r="U2545" s="9" t="n">
        <v>5423</v>
      </c>
      <c r="V2545" s="10" t="n">
        <v>-1283</v>
      </c>
      <c r="W2545" s="10" t="n">
        <v>-1252</v>
      </c>
      <c r="X2545" s="7" t="n">
        <v>5731</v>
      </c>
      <c r="Y2545" s="8" t="n">
        <v>-502</v>
      </c>
      <c r="Z2545" s="8" t="n">
        <v>-570</v>
      </c>
      <c r="AA2545" s="9" t="n">
        <v>13790</v>
      </c>
      <c r="AB2545" s="10" t="n">
        <v>1798</v>
      </c>
      <c r="AC2545" s="10" t="n">
        <v>1874</v>
      </c>
      <c r="AD2545" s="7" t="n">
        <v>8897</v>
      </c>
      <c r="AE2545" s="8" t="n">
        <v>110</v>
      </c>
      <c r="AF2545" s="8" t="n">
        <v>744</v>
      </c>
      <c r="AG2545" s="9" t="n">
        <v>6039</v>
      </c>
      <c r="AH2545" s="10" t="n">
        <v>-1536</v>
      </c>
      <c r="AI2545" s="10" t="n">
        <v>-1457</v>
      </c>
      <c r="AJ2545" s="11" t="n">
        <v>5205</v>
      </c>
      <c r="AK2545" s="12" t="n">
        <v>-1684</v>
      </c>
      <c r="AL2545" s="12" t="n">
        <v>-1692</v>
      </c>
      <c r="AM2545" s="13" t="n">
        <v>-13.8</v>
      </c>
      <c r="AN2545" s="13" t="n">
        <v>-9.199999999999999</v>
      </c>
      <c r="AO2545" s="13" t="n">
        <v>-9.6</v>
      </c>
      <c r="AP2545" s="13" t="n">
        <v>-235.5</v>
      </c>
    </row>
    <row r="2546">
      <c r="A2546" s="5" t="inlineStr">
        <is>
          <t>교보15호스팩</t>
        </is>
      </c>
      <c r="B2546" s="6" t="inlineStr">
        <is>
          <t>465320</t>
        </is>
      </c>
      <c r="C2546" s="6" t="inlineStr">
        <is>
          <t>별도</t>
        </is>
      </c>
      <c r="D2546" s="6" t="inlineStr">
        <is>
          <t>2026Q2</t>
        </is>
      </c>
      <c r="E2546" s="6" t="inlineStr"/>
      <c r="F2546" s="7" t="inlineStr"/>
      <c r="G2546" s="8" t="inlineStr"/>
      <c r="H2546" s="8" t="inlineStr"/>
      <c r="I2546" s="9" t="n">
        <v>0</v>
      </c>
      <c r="J2546" s="10" t="n">
        <v>-27</v>
      </c>
      <c r="K2546" s="10" t="n">
        <v>22</v>
      </c>
      <c r="L2546" s="7" t="n">
        <v>0</v>
      </c>
      <c r="M2546" s="8" t="n">
        <v>-5</v>
      </c>
      <c r="N2546" s="8" t="n">
        <v>43</v>
      </c>
      <c r="O2546" s="9" t="n">
        <v>0</v>
      </c>
      <c r="P2546" s="10" t="n">
        <v>-9</v>
      </c>
      <c r="Q2546" s="10" t="n">
        <v>39</v>
      </c>
      <c r="R2546" s="7" t="n">
        <v>0</v>
      </c>
      <c r="S2546" s="8" t="n">
        <v>-4</v>
      </c>
      <c r="T2546" s="8" t="n">
        <v>41</v>
      </c>
      <c r="U2546" s="9" t="n">
        <v>0</v>
      </c>
      <c r="V2546" s="10" t="n">
        <v>-20</v>
      </c>
      <c r="W2546" s="10" t="n">
        <v>19</v>
      </c>
      <c r="X2546" s="7" t="n">
        <v>0</v>
      </c>
      <c r="Y2546" s="8" t="n">
        <v>-5</v>
      </c>
      <c r="Z2546" s="8" t="n">
        <v>33</v>
      </c>
      <c r="AA2546" s="9" t="n">
        <v>0</v>
      </c>
      <c r="AB2546" s="10" t="n">
        <v>-58</v>
      </c>
      <c r="AC2546" s="10" t="n">
        <v>-16</v>
      </c>
      <c r="AD2546" s="7" t="n">
        <v>0</v>
      </c>
      <c r="AE2546" s="8" t="n">
        <v>-4</v>
      </c>
      <c r="AF2546" s="8" t="n">
        <v>30</v>
      </c>
      <c r="AG2546" s="9" t="n">
        <v>0</v>
      </c>
      <c r="AH2546" s="10" t="n">
        <v>-19</v>
      </c>
      <c r="AI2546" s="10" t="n">
        <v>13</v>
      </c>
      <c r="AJ2546" s="11" t="n">
        <v>0</v>
      </c>
      <c r="AK2546" s="12" t="n">
        <v>-6</v>
      </c>
      <c r="AL2546" s="12" t="n">
        <v>25</v>
      </c>
      <c r="AM2546" s="13" t="inlineStr"/>
      <c r="AN2546" s="13" t="inlineStr"/>
      <c r="AO2546" s="13" t="n">
        <v>68.40000000000001</v>
      </c>
      <c r="AP2546" s="13" t="n">
        <v>-20</v>
      </c>
    </row>
    <row r="2547">
      <c r="A2547" s="5" t="inlineStr">
        <is>
          <t>인스피언</t>
        </is>
      </c>
      <c r="B2547" s="6" t="inlineStr">
        <is>
          <t>465480</t>
        </is>
      </c>
      <c r="C2547" s="6" t="inlineStr">
        <is>
          <t>별도</t>
        </is>
      </c>
      <c r="D2547" s="6" t="inlineStr">
        <is>
          <t>2026Q2</t>
        </is>
      </c>
      <c r="E2547" s="6" t="inlineStr"/>
      <c r="F2547" s="7" t="inlineStr"/>
      <c r="G2547" s="8" t="inlineStr"/>
      <c r="H2547" s="8" t="inlineStr"/>
      <c r="I2547" s="9" t="inlineStr"/>
      <c r="J2547" s="10" t="inlineStr"/>
      <c r="K2547" s="10" t="inlineStr"/>
      <c r="L2547" s="7" t="inlineStr"/>
      <c r="M2547" s="8" t="inlineStr"/>
      <c r="N2547" s="8" t="inlineStr"/>
      <c r="O2547" s="9" t="inlineStr"/>
      <c r="P2547" s="10" t="inlineStr"/>
      <c r="Q2547" s="10" t="inlineStr"/>
      <c r="R2547" s="7" t="inlineStr"/>
      <c r="S2547" s="8" t="inlineStr"/>
      <c r="T2547" s="8" t="inlineStr"/>
      <c r="U2547" s="9" t="n">
        <v>3687</v>
      </c>
      <c r="V2547" s="10" t="n">
        <v>32</v>
      </c>
      <c r="W2547" s="10" t="n">
        <v>827</v>
      </c>
      <c r="X2547" s="7" t="n">
        <v>4028</v>
      </c>
      <c r="Y2547" s="8" t="n">
        <v>-417</v>
      </c>
      <c r="Z2547" s="8" t="n">
        <v>-1822</v>
      </c>
      <c r="AA2547" s="9" t="n">
        <v>4622</v>
      </c>
      <c r="AB2547" s="10" t="n">
        <v>-243</v>
      </c>
      <c r="AC2547" s="10" t="n">
        <v>1271</v>
      </c>
      <c r="AD2547" s="7" t="n">
        <v>7685</v>
      </c>
      <c r="AE2547" s="8" t="n">
        <v>3178</v>
      </c>
      <c r="AF2547" s="8" t="n">
        <v>2400</v>
      </c>
      <c r="AG2547" s="9" t="n">
        <v>3983</v>
      </c>
      <c r="AH2547" s="10" t="n">
        <v>192</v>
      </c>
      <c r="AI2547" s="10" t="n">
        <v>767</v>
      </c>
      <c r="AJ2547" s="11" t="n">
        <v>4760</v>
      </c>
      <c r="AK2547" s="12" t="n">
        <v>1050</v>
      </c>
      <c r="AL2547" s="12" t="n">
        <v>3879</v>
      </c>
      <c r="AM2547" s="13" t="n">
        <v>19.5</v>
      </c>
      <c r="AN2547" s="13" t="n">
        <v>18.2</v>
      </c>
      <c r="AO2547" s="13" t="n">
        <v>446.9</v>
      </c>
      <c r="AP2547" s="13" t="n">
        <v>351.8</v>
      </c>
    </row>
    <row r="2548">
      <c r="A2548" s="5" t="inlineStr">
        <is>
          <t>STX그린로지스</t>
        </is>
      </c>
      <c r="B2548" s="6" t="inlineStr">
        <is>
          <t>465770</t>
        </is>
      </c>
      <c r="C2548" s="6" t="inlineStr">
        <is>
          <t>연결</t>
        </is>
      </c>
      <c r="D2548" s="6" t="inlineStr">
        <is>
          <t>2026Q2</t>
        </is>
      </c>
      <c r="E2548" s="6" t="inlineStr"/>
      <c r="F2548" s="7" t="inlineStr"/>
      <c r="G2548" s="8" t="inlineStr"/>
      <c r="H2548" s="8" t="inlineStr"/>
      <c r="I2548" s="9" t="n">
        <v>13248</v>
      </c>
      <c r="J2548" s="10" t="n">
        <v>2381</v>
      </c>
      <c r="K2548" s="10" t="n">
        <v>2706</v>
      </c>
      <c r="L2548" s="7" t="n">
        <v>8583</v>
      </c>
      <c r="M2548" s="8" t="n">
        <v>1240</v>
      </c>
      <c r="N2548" s="8" t="n">
        <v>652</v>
      </c>
      <c r="O2548" s="9" t="n">
        <v>16319</v>
      </c>
      <c r="P2548" s="10" t="n">
        <v>3023</v>
      </c>
      <c r="Q2548" s="10" t="n">
        <v>23095</v>
      </c>
      <c r="R2548" s="7" t="n">
        <v>32394</v>
      </c>
      <c r="S2548" s="8" t="n">
        <v>514</v>
      </c>
      <c r="T2548" s="8" t="n">
        <v>-894</v>
      </c>
      <c r="U2548" s="9" t="n">
        <v>47873</v>
      </c>
      <c r="V2548" s="10" t="n">
        <v>-470</v>
      </c>
      <c r="W2548" s="10" t="n">
        <v>-910</v>
      </c>
      <c r="X2548" s="7" t="n">
        <v>43580</v>
      </c>
      <c r="Y2548" s="8" t="n">
        <v>-5041</v>
      </c>
      <c r="Z2548" s="8" t="n">
        <v>-8212</v>
      </c>
      <c r="AA2548" s="9" t="n">
        <v>49849</v>
      </c>
      <c r="AB2548" s="10" t="n">
        <v>-7010</v>
      </c>
      <c r="AC2548" s="10" t="n">
        <v>-7254</v>
      </c>
      <c r="AD2548" s="7" t="n">
        <v>50082</v>
      </c>
      <c r="AE2548" s="8" t="n">
        <v>48</v>
      </c>
      <c r="AF2548" s="8" t="n">
        <v>-21363</v>
      </c>
      <c r="AG2548" s="9" t="n">
        <v>15934</v>
      </c>
      <c r="AH2548" s="10" t="n">
        <v>-1375</v>
      </c>
      <c r="AI2548" s="10" t="n">
        <v>-2115</v>
      </c>
      <c r="AJ2548" s="11" t="n">
        <v>14827</v>
      </c>
      <c r="AK2548" s="12" t="n">
        <v>-104</v>
      </c>
      <c r="AL2548" s="12" t="n">
        <v>13148</v>
      </c>
      <c r="AM2548" s="13" t="n">
        <v>-6.9</v>
      </c>
      <c r="AN2548" s="13" t="n">
        <v>-66</v>
      </c>
      <c r="AO2548" s="13" t="n">
        <v>92.40000000000001</v>
      </c>
      <c r="AP2548" s="13" t="n">
        <v>97.90000000000001</v>
      </c>
    </row>
    <row r="2549">
      <c r="A2549" s="5" t="inlineStr">
        <is>
          <t>클로봇</t>
        </is>
      </c>
      <c r="B2549" s="6" t="inlineStr">
        <is>
          <t>466100</t>
        </is>
      </c>
      <c r="C2549" s="6" t="inlineStr">
        <is>
          <t>연결</t>
        </is>
      </c>
      <c r="D2549" s="6" t="inlineStr">
        <is>
          <t>2026Q2</t>
        </is>
      </c>
      <c r="E2549" s="6" t="inlineStr"/>
      <c r="F2549" s="7" t="inlineStr"/>
      <c r="G2549" s="8" t="inlineStr"/>
      <c r="H2549" s="8" t="inlineStr"/>
      <c r="I2549" s="9" t="inlineStr"/>
      <c r="J2549" s="10" t="inlineStr"/>
      <c r="K2549" s="10" t="inlineStr"/>
      <c r="L2549" s="7" t="inlineStr"/>
      <c r="M2549" s="8" t="inlineStr"/>
      <c r="N2549" s="8" t="inlineStr"/>
      <c r="O2549" s="9" t="inlineStr"/>
      <c r="P2549" s="10" t="inlineStr"/>
      <c r="Q2549" s="10" t="inlineStr"/>
      <c r="R2549" s="7" t="inlineStr"/>
      <c r="S2549" s="8" t="inlineStr"/>
      <c r="T2549" s="8" t="inlineStr"/>
      <c r="U2549" s="9" t="n">
        <v>4923</v>
      </c>
      <c r="V2549" s="10" t="n">
        <v>-3383</v>
      </c>
      <c r="W2549" s="10" t="n">
        <v>-2964</v>
      </c>
      <c r="X2549" s="7" t="n">
        <v>7849</v>
      </c>
      <c r="Y2549" s="8" t="n">
        <v>-1878</v>
      </c>
      <c r="Z2549" s="8" t="n">
        <v>-1351</v>
      </c>
      <c r="AA2549" s="9" t="n">
        <v>10734</v>
      </c>
      <c r="AB2549" s="10" t="n">
        <v>811</v>
      </c>
      <c r="AC2549" s="10" t="n">
        <v>1174</v>
      </c>
      <c r="AD2549" s="7" t="n">
        <v>17900</v>
      </c>
      <c r="AE2549" s="8" t="n">
        <v>1269</v>
      </c>
      <c r="AF2549" s="8" t="inlineStr"/>
      <c r="AG2549" s="9" t="n">
        <v>8120</v>
      </c>
      <c r="AH2549" s="10" t="n">
        <v>-2501</v>
      </c>
      <c r="AI2549" s="10" t="n">
        <v>-2206</v>
      </c>
      <c r="AJ2549" s="11" t="n">
        <v>8859</v>
      </c>
      <c r="AK2549" s="12" t="n">
        <v>-2840</v>
      </c>
      <c r="AL2549" s="12" t="n">
        <v>-2633</v>
      </c>
      <c r="AM2549" s="13" t="n">
        <v>9.1</v>
      </c>
      <c r="AN2549" s="13" t="n">
        <v>12.9</v>
      </c>
      <c r="AO2549" s="13" t="n">
        <v>-13.6</v>
      </c>
      <c r="AP2549" s="13" t="n">
        <v>-51.2</v>
      </c>
    </row>
    <row r="2550">
      <c r="A2550" s="5" t="inlineStr">
        <is>
          <t>사이냅소프트</t>
        </is>
      </c>
      <c r="B2550" s="6" t="inlineStr">
        <is>
          <t>466410</t>
        </is>
      </c>
      <c r="C2550" s="6" t="inlineStr">
        <is>
          <t>별도</t>
        </is>
      </c>
      <c r="D2550" s="6" t="inlineStr">
        <is>
          <t>2026Q2</t>
        </is>
      </c>
      <c r="E2550" s="6" t="inlineStr">
        <is>
          <t>2024Q4</t>
        </is>
      </c>
      <c r="F2550" s="7" t="inlineStr"/>
      <c r="G2550" s="8" t="inlineStr"/>
      <c r="H2550" s="8" t="inlineStr"/>
      <c r="I2550" s="9" t="inlineStr"/>
      <c r="J2550" s="10" t="inlineStr"/>
      <c r="K2550" s="10" t="inlineStr"/>
      <c r="L2550" s="7" t="inlineStr"/>
      <c r="M2550" s="8" t="inlineStr"/>
      <c r="N2550" s="8" t="inlineStr"/>
      <c r="O2550" s="9" t="inlineStr"/>
      <c r="P2550" s="10" t="inlineStr"/>
      <c r="Q2550" s="10" t="inlineStr"/>
      <c r="R2550" s="14" t="n">
        <v>13253</v>
      </c>
      <c r="S2550" s="15" t="n">
        <v>5074</v>
      </c>
      <c r="T2550" s="15" t="n">
        <v>5993</v>
      </c>
      <c r="U2550" s="9" t="n">
        <v>2832</v>
      </c>
      <c r="V2550" s="10" t="n">
        <v>900</v>
      </c>
      <c r="W2550" s="10" t="n">
        <v>1190</v>
      </c>
      <c r="X2550" s="7" t="n">
        <v>3018</v>
      </c>
      <c r="Y2550" s="8" t="n">
        <v>831</v>
      </c>
      <c r="Z2550" s="8" t="n">
        <v>1202</v>
      </c>
      <c r="AA2550" s="9" t="n">
        <v>3137</v>
      </c>
      <c r="AB2550" s="10" t="n">
        <v>926</v>
      </c>
      <c r="AC2550" s="10" t="n">
        <v>1307</v>
      </c>
      <c r="AD2550" s="7" t="n">
        <v>4485</v>
      </c>
      <c r="AE2550" s="8" t="n">
        <v>2017</v>
      </c>
      <c r="AF2550" s="8" t="n">
        <v>2004</v>
      </c>
      <c r="AG2550" s="9" t="n">
        <v>3438</v>
      </c>
      <c r="AH2550" s="10" t="n">
        <v>1093</v>
      </c>
      <c r="AI2550" s="10" t="n">
        <v>1451</v>
      </c>
      <c r="AJ2550" s="11" t="n">
        <v>2862</v>
      </c>
      <c r="AK2550" s="12" t="n">
        <v>489</v>
      </c>
      <c r="AL2550" s="12" t="n">
        <v>893</v>
      </c>
      <c r="AM2550" s="13" t="n">
        <v>-16.8</v>
      </c>
      <c r="AN2550" s="13" t="n">
        <v>-5.2</v>
      </c>
      <c r="AO2550" s="13" t="n">
        <v>-55.3</v>
      </c>
      <c r="AP2550" s="13" t="n">
        <v>-41.2</v>
      </c>
    </row>
    <row r="2551">
      <c r="A2551" s="5" t="inlineStr">
        <is>
          <t>키움히어로제1호스팩</t>
        </is>
      </c>
      <c r="B2551" s="6" t="inlineStr">
        <is>
          <t>466690</t>
        </is>
      </c>
      <c r="C2551" s="6" t="inlineStr">
        <is>
          <t>별도</t>
        </is>
      </c>
      <c r="D2551" s="6" t="inlineStr">
        <is>
          <t>2026Q2</t>
        </is>
      </c>
      <c r="E2551" s="6" t="inlineStr"/>
      <c r="F2551" s="7" t="inlineStr"/>
      <c r="G2551" s="8" t="inlineStr"/>
      <c r="H2551" s="8" t="inlineStr"/>
      <c r="I2551" s="9" t="inlineStr"/>
      <c r="J2551" s="10" t="inlineStr"/>
      <c r="K2551" s="10" t="inlineStr"/>
      <c r="L2551" s="7" t="inlineStr"/>
      <c r="M2551" s="8" t="inlineStr"/>
      <c r="N2551" s="8" t="inlineStr"/>
      <c r="O2551" s="9" t="inlineStr"/>
      <c r="P2551" s="10" t="inlineStr"/>
      <c r="Q2551" s="10" t="inlineStr"/>
      <c r="R2551" s="7" t="inlineStr"/>
      <c r="S2551" s="8" t="inlineStr"/>
      <c r="T2551" s="8" t="inlineStr"/>
      <c r="U2551" s="9" t="inlineStr"/>
      <c r="V2551" s="10" t="inlineStr"/>
      <c r="W2551" s="10" t="inlineStr"/>
      <c r="X2551" s="7" t="inlineStr"/>
      <c r="Y2551" s="8" t="inlineStr"/>
      <c r="Z2551" s="8" t="inlineStr"/>
      <c r="AA2551" s="9" t="inlineStr"/>
      <c r="AB2551" s="10" t="inlineStr"/>
      <c r="AC2551" s="10" t="inlineStr"/>
      <c r="AD2551" s="7" t="inlineStr"/>
      <c r="AE2551" s="8" t="inlineStr"/>
      <c r="AF2551" s="8" t="inlineStr"/>
      <c r="AG2551" s="9" t="inlineStr"/>
      <c r="AH2551" s="10" t="n">
        <v>-16</v>
      </c>
      <c r="AI2551" s="10" t="n">
        <v>29</v>
      </c>
      <c r="AJ2551" s="11" t="n">
        <v>0</v>
      </c>
      <c r="AK2551" s="12" t="n">
        <v>-8</v>
      </c>
      <c r="AL2551" s="12" t="n">
        <v>43</v>
      </c>
      <c r="AM2551" s="13" t="inlineStr"/>
      <c r="AN2551" s="13" t="inlineStr"/>
      <c r="AO2551" s="13" t="n">
        <v>50</v>
      </c>
      <c r="AP2551" s="13" t="inlineStr"/>
    </row>
    <row r="2552">
      <c r="A2552" s="5" t="inlineStr">
        <is>
          <t>IBKS제23호스팩</t>
        </is>
      </c>
      <c r="B2552" s="6" t="inlineStr">
        <is>
          <t>467930</t>
        </is>
      </c>
      <c r="C2552" s="6" t="inlineStr">
        <is>
          <t>별도</t>
        </is>
      </c>
      <c r="D2552" s="6" t="inlineStr">
        <is>
          <t>2026Q1</t>
        </is>
      </c>
      <c r="E2552" s="6" t="inlineStr"/>
      <c r="F2552" s="7" t="inlineStr"/>
      <c r="G2552" s="8" t="inlineStr"/>
      <c r="H2552" s="8" t="inlineStr"/>
      <c r="I2552" s="9" t="n">
        <v>0</v>
      </c>
      <c r="J2552" s="10" t="n">
        <v>-24</v>
      </c>
      <c r="K2552" s="10" t="n">
        <v>29</v>
      </c>
      <c r="L2552" s="7" t="n">
        <v>0</v>
      </c>
      <c r="M2552" s="8" t="n">
        <v>-8</v>
      </c>
      <c r="N2552" s="8" t="n">
        <v>45</v>
      </c>
      <c r="O2552" s="9" t="n">
        <v>0</v>
      </c>
      <c r="P2552" s="10" t="n">
        <v>-17</v>
      </c>
      <c r="Q2552" s="10" t="n">
        <v>36</v>
      </c>
      <c r="R2552" s="7" t="n">
        <v>0</v>
      </c>
      <c r="S2552" s="8" t="n">
        <v>-5</v>
      </c>
      <c r="T2552" s="8" t="n">
        <v>12</v>
      </c>
      <c r="U2552" s="9" t="n">
        <v>0</v>
      </c>
      <c r="V2552" s="10" t="n">
        <v>-17</v>
      </c>
      <c r="W2552" s="10" t="n">
        <v>23</v>
      </c>
      <c r="X2552" s="7" t="n">
        <v>0</v>
      </c>
      <c r="Y2552" s="8" t="n">
        <v>-17</v>
      </c>
      <c r="Z2552" s="8" t="n">
        <v>23</v>
      </c>
      <c r="AA2552" s="9" t="n">
        <v>0</v>
      </c>
      <c r="AB2552" s="10" t="n">
        <v>-8</v>
      </c>
      <c r="AC2552" s="10" t="n">
        <v>30</v>
      </c>
      <c r="AD2552" s="7" t="n">
        <v>0</v>
      </c>
      <c r="AE2552" s="8" t="n">
        <v>8</v>
      </c>
      <c r="AF2552" s="8" t="n">
        <v>62</v>
      </c>
      <c r="AG2552" s="9" t="n">
        <v>0</v>
      </c>
      <c r="AH2552" s="10" t="n">
        <v>-15</v>
      </c>
      <c r="AI2552" s="10" t="n">
        <v>20</v>
      </c>
      <c r="AJ2552" s="11" t="inlineStr"/>
      <c r="AK2552" s="12" t="inlineStr"/>
      <c r="AL2552" s="12" t="inlineStr"/>
      <c r="AM2552" s="13" t="inlineStr"/>
      <c r="AN2552" s="13" t="inlineStr"/>
      <c r="AO2552" s="13" t="inlineStr"/>
      <c r="AP2552" s="13" t="inlineStr"/>
    </row>
    <row r="2553">
      <c r="A2553" s="5" t="inlineStr">
        <is>
          <t>프로티나</t>
        </is>
      </c>
      <c r="B2553" s="6" t="inlineStr">
        <is>
          <t>468530</t>
        </is>
      </c>
      <c r="C2553" s="6" t="inlineStr">
        <is>
          <t>별도</t>
        </is>
      </c>
      <c r="D2553" s="6" t="inlineStr">
        <is>
          <t>2026Q2</t>
        </is>
      </c>
      <c r="E2553" s="6" t="inlineStr"/>
      <c r="F2553" s="7" t="inlineStr"/>
      <c r="G2553" s="8" t="inlineStr"/>
      <c r="H2553" s="8" t="inlineStr"/>
      <c r="I2553" s="9" t="inlineStr"/>
      <c r="J2553" s="10" t="inlineStr"/>
      <c r="K2553" s="10" t="inlineStr"/>
      <c r="L2553" s="7" t="inlineStr"/>
      <c r="M2553" s="8" t="inlineStr"/>
      <c r="N2553" s="8" t="inlineStr"/>
      <c r="O2553" s="9" t="inlineStr"/>
      <c r="P2553" s="10" t="inlineStr"/>
      <c r="Q2553" s="10" t="inlineStr"/>
      <c r="R2553" s="7" t="inlineStr"/>
      <c r="S2553" s="8" t="inlineStr"/>
      <c r="T2553" s="8" t="inlineStr"/>
      <c r="U2553" s="9" t="inlineStr"/>
      <c r="V2553" s="10" t="inlineStr"/>
      <c r="W2553" s="10" t="inlineStr"/>
      <c r="X2553" s="7" t="n">
        <v>964</v>
      </c>
      <c r="Y2553" s="8" t="n">
        <v>-2397</v>
      </c>
      <c r="Z2553" s="8" t="n">
        <v>-1957</v>
      </c>
      <c r="AA2553" s="9" t="n">
        <v>582</v>
      </c>
      <c r="AB2553" s="10" t="n">
        <v>-2948</v>
      </c>
      <c r="AC2553" s="10" t="n">
        <v>-2566</v>
      </c>
      <c r="AD2553" s="7" t="inlineStr"/>
      <c r="AE2553" s="8" t="inlineStr"/>
      <c r="AF2553" s="8" t="inlineStr"/>
      <c r="AG2553" s="9" t="n">
        <v>169</v>
      </c>
      <c r="AH2553" s="10" t="n">
        <v>-4712</v>
      </c>
      <c r="AI2553" s="10" t="n">
        <v>-3282</v>
      </c>
      <c r="AJ2553" s="11" t="n">
        <v>349</v>
      </c>
      <c r="AK2553" s="12" t="n">
        <v>-3956</v>
      </c>
      <c r="AL2553" s="12" t="n">
        <v>-3112</v>
      </c>
      <c r="AM2553" s="13" t="n">
        <v>106.5</v>
      </c>
      <c r="AN2553" s="13" t="n">
        <v>-63.8</v>
      </c>
      <c r="AO2553" s="13" t="n">
        <v>16</v>
      </c>
      <c r="AP2553" s="13" t="n">
        <v>-65</v>
      </c>
    </row>
    <row r="2554">
      <c r="A2554" s="5" t="inlineStr">
        <is>
          <t>유진스팩10호</t>
        </is>
      </c>
      <c r="B2554" s="6" t="inlineStr">
        <is>
          <t>468760</t>
        </is>
      </c>
      <c r="C2554" s="6" t="inlineStr">
        <is>
          <t>별도</t>
        </is>
      </c>
      <c r="D2554" s="6" t="inlineStr">
        <is>
          <t>2026Q2</t>
        </is>
      </c>
      <c r="E2554" s="6" t="inlineStr"/>
      <c r="F2554" s="7" t="inlineStr"/>
      <c r="G2554" s="8" t="inlineStr"/>
      <c r="H2554" s="8" t="inlineStr"/>
      <c r="I2554" s="9" t="n">
        <v>0</v>
      </c>
      <c r="J2554" s="10" t="n">
        <v>-12</v>
      </c>
      <c r="K2554" s="10" t="n">
        <v>14</v>
      </c>
      <c r="L2554" s="7" t="n">
        <v>0</v>
      </c>
      <c r="M2554" s="8" t="n">
        <v>-14</v>
      </c>
      <c r="N2554" s="8" t="n">
        <v>32</v>
      </c>
      <c r="O2554" s="9" t="n">
        <v>0</v>
      </c>
      <c r="P2554" s="10" t="n">
        <v>-10</v>
      </c>
      <c r="Q2554" s="10" t="n">
        <v>41</v>
      </c>
      <c r="R2554" s="7" t="n">
        <v>0</v>
      </c>
      <c r="S2554" s="8" t="n">
        <v>-7</v>
      </c>
      <c r="T2554" s="8" t="n">
        <v>44</v>
      </c>
      <c r="U2554" s="9" t="n">
        <v>0</v>
      </c>
      <c r="V2554" s="10" t="n">
        <v>-15</v>
      </c>
      <c r="W2554" s="10" t="n">
        <v>51</v>
      </c>
      <c r="X2554" s="7" t="n">
        <v>0</v>
      </c>
      <c r="Y2554" s="8" t="n">
        <v>-9</v>
      </c>
      <c r="Z2554" s="8" t="n">
        <v>19</v>
      </c>
      <c r="AA2554" s="9" t="n">
        <v>0</v>
      </c>
      <c r="AB2554" s="10" t="n">
        <v>-12</v>
      </c>
      <c r="AC2554" s="10" t="n">
        <v>32</v>
      </c>
      <c r="AD2554" s="7" t="n">
        <v>0</v>
      </c>
      <c r="AE2554" s="8" t="n">
        <v>-7</v>
      </c>
      <c r="AF2554" s="8" t="n">
        <v>26</v>
      </c>
      <c r="AG2554" s="9" t="n">
        <v>0</v>
      </c>
      <c r="AH2554" s="10" t="n">
        <v>-19</v>
      </c>
      <c r="AI2554" s="10" t="n">
        <v>25</v>
      </c>
      <c r="AJ2554" s="11" t="n">
        <v>0</v>
      </c>
      <c r="AK2554" s="12" t="n">
        <v>-46</v>
      </c>
      <c r="AL2554" s="12" t="n">
        <v>4</v>
      </c>
      <c r="AM2554" s="13" t="inlineStr"/>
      <c r="AN2554" s="13" t="inlineStr"/>
      <c r="AO2554" s="13" t="n">
        <v>-142.1</v>
      </c>
      <c r="AP2554" s="13" t="n">
        <v>-411.1</v>
      </c>
    </row>
    <row r="2555">
      <c r="A2555" s="5" t="inlineStr">
        <is>
          <t>IBKS제24호스팩</t>
        </is>
      </c>
      <c r="B2555" s="6" t="inlineStr">
        <is>
          <t>469480</t>
        </is>
      </c>
      <c r="C2555" s="6" t="inlineStr">
        <is>
          <t>별도</t>
        </is>
      </c>
      <c r="D2555" s="6" t="inlineStr">
        <is>
          <t>2026Q2</t>
        </is>
      </c>
      <c r="E2555" s="6" t="inlineStr"/>
      <c r="F2555" s="7" t="inlineStr"/>
      <c r="G2555" s="8" t="inlineStr"/>
      <c r="H2555" s="8" t="inlineStr"/>
      <c r="I2555" s="9" t="n">
        <v>0</v>
      </c>
      <c r="J2555" s="10" t="n">
        <v>-21</v>
      </c>
      <c r="K2555" s="10" t="n">
        <v>8</v>
      </c>
      <c r="L2555" s="7" t="n">
        <v>0</v>
      </c>
      <c r="M2555" s="8" t="n">
        <v>-9</v>
      </c>
      <c r="N2555" s="8" t="n">
        <v>39</v>
      </c>
      <c r="O2555" s="9" t="n">
        <v>0</v>
      </c>
      <c r="P2555" s="10" t="n">
        <v>-8</v>
      </c>
      <c r="Q2555" s="10" t="n">
        <v>39</v>
      </c>
      <c r="R2555" s="7" t="inlineStr"/>
      <c r="S2555" s="8" t="n">
        <v>-5</v>
      </c>
      <c r="T2555" s="8" t="n">
        <v>43</v>
      </c>
      <c r="U2555" s="9" t="n">
        <v>0</v>
      </c>
      <c r="V2555" s="10" t="inlineStr"/>
      <c r="W2555" s="10" t="inlineStr"/>
      <c r="X2555" s="7" t="inlineStr"/>
      <c r="Y2555" s="8" t="n">
        <v>-9</v>
      </c>
      <c r="Z2555" s="8" t="n">
        <v>30</v>
      </c>
      <c r="AA2555" s="9" t="inlineStr"/>
      <c r="AB2555" s="10" t="n">
        <v>-8</v>
      </c>
      <c r="AC2555" s="10" t="n">
        <v>29</v>
      </c>
      <c r="AD2555" s="7" t="inlineStr"/>
      <c r="AE2555" s="8" t="inlineStr"/>
      <c r="AF2555" s="8" t="inlineStr"/>
      <c r="AG2555" s="9" t="n">
        <v>12</v>
      </c>
      <c r="AH2555" s="10" t="n">
        <v>-12</v>
      </c>
      <c r="AI2555" s="10" t="n">
        <v>23</v>
      </c>
      <c r="AJ2555" s="11" t="inlineStr"/>
      <c r="AK2555" s="12" t="n">
        <v>-71</v>
      </c>
      <c r="AL2555" s="12" t="n">
        <v>-29</v>
      </c>
      <c r="AM2555" s="13" t="inlineStr"/>
      <c r="AN2555" s="13" t="inlineStr"/>
      <c r="AO2555" s="13" t="n">
        <v>-491.7</v>
      </c>
      <c r="AP2555" s="13" t="n">
        <v>-688.9</v>
      </c>
    </row>
    <row r="2556">
      <c r="A2556" s="5" t="inlineStr">
        <is>
          <t>이노테크</t>
        </is>
      </c>
      <c r="B2556" s="6" t="inlineStr">
        <is>
          <t>469610</t>
        </is>
      </c>
      <c r="C2556" s="6" t="inlineStr">
        <is>
          <t>연결</t>
        </is>
      </c>
      <c r="D2556" s="6" t="inlineStr">
        <is>
          <t>2026Q2</t>
        </is>
      </c>
      <c r="E2556" s="6" t="inlineStr"/>
      <c r="F2556" s="7" t="inlineStr"/>
      <c r="G2556" s="8" t="inlineStr"/>
      <c r="H2556" s="8" t="inlineStr"/>
      <c r="I2556" s="9" t="inlineStr"/>
      <c r="J2556" s="10" t="inlineStr"/>
      <c r="K2556" s="10" t="inlineStr"/>
      <c r="L2556" s="7" t="inlineStr"/>
      <c r="M2556" s="8" t="inlineStr"/>
      <c r="N2556" s="8" t="inlineStr"/>
      <c r="O2556" s="9" t="inlineStr"/>
      <c r="P2556" s="10" t="inlineStr"/>
      <c r="Q2556" s="10" t="inlineStr"/>
      <c r="R2556" s="7" t="inlineStr"/>
      <c r="S2556" s="8" t="inlineStr"/>
      <c r="T2556" s="8" t="inlineStr"/>
      <c r="U2556" s="9" t="inlineStr"/>
      <c r="V2556" s="10" t="inlineStr"/>
      <c r="W2556" s="10" t="inlineStr"/>
      <c r="X2556" s="7" t="inlineStr"/>
      <c r="Y2556" s="8" t="inlineStr"/>
      <c r="Z2556" s="8" t="inlineStr"/>
      <c r="AA2556" s="9" t="n">
        <v>18736</v>
      </c>
      <c r="AB2556" s="10" t="n">
        <v>1467</v>
      </c>
      <c r="AC2556" s="10" t="n">
        <v>1694</v>
      </c>
      <c r="AD2556" s="7" t="inlineStr"/>
      <c r="AE2556" s="8" t="inlineStr"/>
      <c r="AF2556" s="8" t="inlineStr"/>
      <c r="AG2556" s="9" t="n">
        <v>19859</v>
      </c>
      <c r="AH2556" s="10" t="n">
        <v>3049</v>
      </c>
      <c r="AI2556" s="10" t="n">
        <v>4054</v>
      </c>
      <c r="AJ2556" s="11" t="n">
        <v>19559</v>
      </c>
      <c r="AK2556" s="12" t="n">
        <v>894</v>
      </c>
      <c r="AL2556" s="12" t="n">
        <v>3206</v>
      </c>
      <c r="AM2556" s="13" t="n">
        <v>-1.5</v>
      </c>
      <c r="AN2556" s="13" t="inlineStr"/>
      <c r="AO2556" s="13" t="n">
        <v>-70.7</v>
      </c>
      <c r="AP2556" s="13" t="inlineStr"/>
    </row>
    <row r="2557">
      <c r="A2557" s="5" t="inlineStr">
        <is>
          <t>아이비젼웍스</t>
        </is>
      </c>
      <c r="B2557" s="6" t="inlineStr">
        <is>
          <t>469750</t>
        </is>
      </c>
      <c r="C2557" s="6" t="inlineStr">
        <is>
          <t>별도</t>
        </is>
      </c>
      <c r="D2557" s="6" t="inlineStr">
        <is>
          <t>2026Q2</t>
        </is>
      </c>
      <c r="E2557" s="6" t="inlineStr"/>
      <c r="F2557" s="7" t="inlineStr"/>
      <c r="G2557" s="8" t="inlineStr"/>
      <c r="H2557" s="8" t="inlineStr"/>
      <c r="I2557" s="9" t="inlineStr"/>
      <c r="J2557" s="10" t="inlineStr"/>
      <c r="K2557" s="10" t="inlineStr"/>
      <c r="L2557" s="7" t="inlineStr"/>
      <c r="M2557" s="8" t="inlineStr"/>
      <c r="N2557" s="8" t="inlineStr"/>
      <c r="O2557" s="9" t="n">
        <v>8497</v>
      </c>
      <c r="P2557" s="10" t="n">
        <v>287</v>
      </c>
      <c r="Q2557" s="10" t="n">
        <v>-7215</v>
      </c>
      <c r="R2557" s="7" t="inlineStr"/>
      <c r="S2557" s="8" t="inlineStr"/>
      <c r="T2557" s="8" t="inlineStr"/>
      <c r="U2557" s="9" t="n">
        <v>5328</v>
      </c>
      <c r="V2557" s="10" t="n">
        <v>-635</v>
      </c>
      <c r="W2557" s="10" t="n">
        <v>-520</v>
      </c>
      <c r="X2557" s="7" t="n">
        <v>3156</v>
      </c>
      <c r="Y2557" s="8" t="n">
        <v>-364</v>
      </c>
      <c r="Z2557" s="8" t="n">
        <v>-750</v>
      </c>
      <c r="AA2557" s="9" t="n">
        <v>10122</v>
      </c>
      <c r="AB2557" s="10" t="n">
        <v>1340</v>
      </c>
      <c r="AC2557" s="10" t="n">
        <v>1465</v>
      </c>
      <c r="AD2557" s="7" t="n">
        <v>4395</v>
      </c>
      <c r="AE2557" s="8" t="n">
        <v>-732</v>
      </c>
      <c r="AF2557" s="8" t="n">
        <v>-587</v>
      </c>
      <c r="AG2557" s="9" t="n">
        <v>4491</v>
      </c>
      <c r="AH2557" s="10" t="n">
        <v>-467</v>
      </c>
      <c r="AI2557" s="10" t="n">
        <v>-243</v>
      </c>
      <c r="AJ2557" s="11" t="n">
        <v>4760</v>
      </c>
      <c r="AK2557" s="12" t="n">
        <v>10</v>
      </c>
      <c r="AL2557" s="12" t="n">
        <v>275</v>
      </c>
      <c r="AM2557" s="13" t="n">
        <v>6</v>
      </c>
      <c r="AN2557" s="13" t="n">
        <v>50.8</v>
      </c>
      <c r="AO2557" s="13" t="n">
        <v>102.1</v>
      </c>
      <c r="AP2557" s="13" t="n">
        <v>102.7</v>
      </c>
    </row>
    <row r="2558">
      <c r="A2558" s="5" t="inlineStr">
        <is>
          <t>하나30호스팩</t>
        </is>
      </c>
      <c r="B2558" s="6" t="inlineStr">
        <is>
          <t>469880</t>
        </is>
      </c>
      <c r="C2558" s="6" t="inlineStr">
        <is>
          <t>별도</t>
        </is>
      </c>
      <c r="D2558" s="6" t="inlineStr">
        <is>
          <t>2026Q2</t>
        </is>
      </c>
      <c r="E2558" s="6" t="inlineStr"/>
      <c r="F2558" s="7" t="inlineStr"/>
      <c r="G2558" s="8" t="inlineStr"/>
      <c r="H2558" s="8" t="inlineStr"/>
      <c r="I2558" s="9" t="n">
        <v>0</v>
      </c>
      <c r="J2558" s="10" t="n">
        <v>-17</v>
      </c>
      <c r="K2558" s="10" t="n">
        <v>88</v>
      </c>
      <c r="L2558" s="7" t="n">
        <v>0</v>
      </c>
      <c r="M2558" s="8" t="n">
        <v>-12</v>
      </c>
      <c r="N2558" s="8" t="n">
        <v>97</v>
      </c>
      <c r="O2558" s="9" t="n">
        <v>0</v>
      </c>
      <c r="P2558" s="10" t="n">
        <v>-6</v>
      </c>
      <c r="Q2558" s="10" t="n">
        <v>103</v>
      </c>
      <c r="R2558" s="7" t="n">
        <v>0</v>
      </c>
      <c r="S2558" s="8" t="n">
        <v>-6</v>
      </c>
      <c r="T2558" s="8" t="n">
        <v>79</v>
      </c>
      <c r="U2558" s="9" t="n">
        <v>0</v>
      </c>
      <c r="V2558" s="10" t="n">
        <v>-10</v>
      </c>
      <c r="W2558" s="10" t="n">
        <v>58</v>
      </c>
      <c r="X2558" s="7" t="n">
        <v>0</v>
      </c>
      <c r="Y2558" s="8" t="n">
        <v>-12</v>
      </c>
      <c r="Z2558" s="8" t="n">
        <v>53</v>
      </c>
      <c r="AA2558" s="9" t="n">
        <v>0</v>
      </c>
      <c r="AB2558" s="10" t="n">
        <v>-8</v>
      </c>
      <c r="AC2558" s="10" t="n">
        <v>57</v>
      </c>
      <c r="AD2558" s="7" t="n">
        <v>0</v>
      </c>
      <c r="AE2558" s="8" t="n">
        <v>-3</v>
      </c>
      <c r="AF2558" s="8" t="n">
        <v>82</v>
      </c>
      <c r="AG2558" s="9" t="n">
        <v>0</v>
      </c>
      <c r="AH2558" s="10" t="n">
        <v>-13</v>
      </c>
      <c r="AI2558" s="10" t="n">
        <v>36</v>
      </c>
      <c r="AJ2558" s="11" t="n">
        <v>0</v>
      </c>
      <c r="AK2558" s="12" t="n">
        <v>-11</v>
      </c>
      <c r="AL2558" s="12" t="n">
        <v>38</v>
      </c>
      <c r="AM2558" s="13" t="inlineStr"/>
      <c r="AN2558" s="13" t="inlineStr"/>
      <c r="AO2558" s="13" t="n">
        <v>15.4</v>
      </c>
      <c r="AP2558" s="13" t="n">
        <v>8.300000000000001</v>
      </c>
    </row>
    <row r="2559">
      <c r="A2559" s="5" t="inlineStr">
        <is>
          <t>하나31호스팩</t>
        </is>
      </c>
      <c r="B2559" s="6" t="inlineStr">
        <is>
          <t>469900</t>
        </is>
      </c>
      <c r="C2559" s="6" t="inlineStr">
        <is>
          <t>별도</t>
        </is>
      </c>
      <c r="D2559" s="6" t="inlineStr">
        <is>
          <t>2026Q2</t>
        </is>
      </c>
      <c r="E2559" s="6" t="inlineStr"/>
      <c r="F2559" s="7" t="inlineStr"/>
      <c r="G2559" s="8" t="inlineStr"/>
      <c r="H2559" s="8" t="inlineStr"/>
      <c r="I2559" s="9" t="n">
        <v>0</v>
      </c>
      <c r="J2559" s="10" t="n">
        <v>-27</v>
      </c>
      <c r="K2559" s="10" t="n">
        <v>-5</v>
      </c>
      <c r="L2559" s="7" t="n">
        <v>0</v>
      </c>
      <c r="M2559" s="8" t="n">
        <v>-6</v>
      </c>
      <c r="N2559" s="8" t="n">
        <v>65</v>
      </c>
      <c r="O2559" s="9" t="n">
        <v>0</v>
      </c>
      <c r="P2559" s="10" t="n">
        <v>-6</v>
      </c>
      <c r="Q2559" s="10" t="n">
        <v>66</v>
      </c>
      <c r="R2559" s="7" t="n">
        <v>0</v>
      </c>
      <c r="S2559" s="8" t="n">
        <v>-7</v>
      </c>
      <c r="T2559" s="8" t="n">
        <v>65</v>
      </c>
      <c r="U2559" s="9" t="n">
        <v>0</v>
      </c>
      <c r="V2559" s="10" t="n">
        <v>-8</v>
      </c>
      <c r="W2559" s="10" t="n">
        <v>35</v>
      </c>
      <c r="X2559" s="7" t="n">
        <v>0</v>
      </c>
      <c r="Y2559" s="8" t="n">
        <v>-11</v>
      </c>
      <c r="Z2559" s="8" t="n">
        <v>38</v>
      </c>
      <c r="AA2559" s="9" t="n">
        <v>0</v>
      </c>
      <c r="AB2559" s="10" t="n">
        <v>-8</v>
      </c>
      <c r="AC2559" s="10" t="n">
        <v>48</v>
      </c>
      <c r="AD2559" s="7" t="n">
        <v>0</v>
      </c>
      <c r="AE2559" s="8" t="n">
        <v>-4</v>
      </c>
      <c r="AF2559" s="8" t="n">
        <v>50</v>
      </c>
      <c r="AG2559" s="9" t="n">
        <v>0</v>
      </c>
      <c r="AH2559" s="10" t="n">
        <v>-13</v>
      </c>
      <c r="AI2559" s="10" t="n">
        <v>29</v>
      </c>
      <c r="AJ2559" s="11" t="inlineStr"/>
      <c r="AK2559" s="12" t="n">
        <v>-11</v>
      </c>
      <c r="AL2559" s="12" t="n">
        <v>54</v>
      </c>
      <c r="AM2559" s="13" t="inlineStr"/>
      <c r="AN2559" s="13" t="inlineStr"/>
      <c r="AO2559" s="13" t="n">
        <v>15.4</v>
      </c>
      <c r="AP2559" s="13" t="n">
        <v>0</v>
      </c>
    </row>
    <row r="2560">
      <c r="A2560" s="5" t="inlineStr">
        <is>
          <t>대신밸런스제17호스팩</t>
        </is>
      </c>
      <c r="B2560" s="6" t="inlineStr">
        <is>
          <t>471050</t>
        </is>
      </c>
      <c r="C2560" s="6" t="inlineStr">
        <is>
          <t>별도</t>
        </is>
      </c>
      <c r="D2560" s="6" t="inlineStr">
        <is>
          <t>2026Q2</t>
        </is>
      </c>
      <c r="E2560" s="6" t="inlineStr"/>
      <c r="F2560" s="7" t="inlineStr"/>
      <c r="G2560" s="8" t="inlineStr"/>
      <c r="H2560" s="8" t="inlineStr"/>
      <c r="I2560" s="9" t="inlineStr"/>
      <c r="J2560" s="10" t="n">
        <v>-42</v>
      </c>
      <c r="K2560" s="10" t="n">
        <v>1</v>
      </c>
      <c r="L2560" s="7" t="inlineStr"/>
      <c r="M2560" s="8" t="n">
        <v>-5</v>
      </c>
      <c r="N2560" s="8" t="n">
        <v>54</v>
      </c>
      <c r="O2560" s="9" t="inlineStr"/>
      <c r="P2560" s="10" t="n">
        <v>-9</v>
      </c>
      <c r="Q2560" s="10" t="n">
        <v>52</v>
      </c>
      <c r="R2560" s="7" t="inlineStr"/>
      <c r="S2560" s="8" t="n">
        <v>-8</v>
      </c>
      <c r="T2560" s="8" t="n">
        <v>51</v>
      </c>
      <c r="U2560" s="9" t="n">
        <v>0</v>
      </c>
      <c r="V2560" s="10" t="n">
        <v>-9</v>
      </c>
      <c r="W2560" s="10" t="n">
        <v>48</v>
      </c>
      <c r="X2560" s="7" t="inlineStr"/>
      <c r="Y2560" s="8" t="n">
        <v>-10</v>
      </c>
      <c r="Z2560" s="8" t="n">
        <v>108</v>
      </c>
      <c r="AA2560" s="9" t="inlineStr"/>
      <c r="AB2560" s="10" t="n">
        <v>-53</v>
      </c>
      <c r="AC2560" s="10" t="n">
        <v>-5</v>
      </c>
      <c r="AD2560" s="7" t="inlineStr"/>
      <c r="AE2560" s="8" t="n">
        <v>-8</v>
      </c>
      <c r="AF2560" s="8" t="n">
        <v>6</v>
      </c>
      <c r="AG2560" s="9" t="n">
        <v>0</v>
      </c>
      <c r="AH2560" s="10" t="n">
        <v>-9</v>
      </c>
      <c r="AI2560" s="10" t="n">
        <v>104</v>
      </c>
      <c r="AJ2560" s="11" t="n">
        <v>0</v>
      </c>
      <c r="AK2560" s="12" t="n">
        <v>-10</v>
      </c>
      <c r="AL2560" s="12" t="n">
        <v>-62</v>
      </c>
      <c r="AM2560" s="13" t="inlineStr"/>
      <c r="AN2560" s="13" t="inlineStr"/>
      <c r="AO2560" s="13" t="n">
        <v>-11.1</v>
      </c>
      <c r="AP2560" s="13" t="n">
        <v>0</v>
      </c>
    </row>
    <row r="2561">
      <c r="A2561" s="5" t="inlineStr">
        <is>
          <t>셀로맥스사이언스</t>
        </is>
      </c>
      <c r="B2561" s="6" t="inlineStr">
        <is>
          <t>471820</t>
        </is>
      </c>
      <c r="C2561" s="6" t="inlineStr">
        <is>
          <t>연결</t>
        </is>
      </c>
      <c r="D2561" s="6" t="inlineStr">
        <is>
          <t>2026Q2</t>
        </is>
      </c>
      <c r="E2561" s="6" t="inlineStr"/>
      <c r="F2561" s="7" t="inlineStr"/>
      <c r="G2561" s="8" t="inlineStr"/>
      <c r="H2561" s="8" t="inlineStr"/>
      <c r="I2561" s="9" t="inlineStr"/>
      <c r="J2561" s="10" t="inlineStr"/>
      <c r="K2561" s="10" t="inlineStr"/>
      <c r="L2561" s="7" t="inlineStr"/>
      <c r="M2561" s="8" t="inlineStr"/>
      <c r="N2561" s="8" t="inlineStr"/>
      <c r="O2561" s="9" t="inlineStr"/>
      <c r="P2561" s="10" t="inlineStr"/>
      <c r="Q2561" s="10" t="inlineStr"/>
      <c r="R2561" s="7" t="inlineStr"/>
      <c r="S2561" s="8" t="inlineStr"/>
      <c r="T2561" s="8" t="inlineStr"/>
      <c r="U2561" s="9" t="n">
        <v>5914</v>
      </c>
      <c r="V2561" s="10" t="n">
        <v>853</v>
      </c>
      <c r="W2561" s="10" t="n">
        <v>739</v>
      </c>
      <c r="X2561" s="7" t="n">
        <v>6460</v>
      </c>
      <c r="Y2561" s="8" t="n">
        <v>1159</v>
      </c>
      <c r="Z2561" s="8" t="n">
        <v>1155</v>
      </c>
      <c r="AA2561" s="9" t="n">
        <v>5335</v>
      </c>
      <c r="AB2561" s="10" t="n">
        <v>737</v>
      </c>
      <c r="AC2561" s="10" t="n">
        <v>757</v>
      </c>
      <c r="AD2561" s="7" t="n">
        <v>4475</v>
      </c>
      <c r="AE2561" s="8" t="n">
        <v>86</v>
      </c>
      <c r="AF2561" s="8" t="n">
        <v>439</v>
      </c>
      <c r="AG2561" s="9" t="n">
        <v>4706</v>
      </c>
      <c r="AH2561" s="10" t="n">
        <v>348</v>
      </c>
      <c r="AI2561" s="10" t="n">
        <v>1228</v>
      </c>
      <c r="AJ2561" s="11" t="n">
        <v>5087</v>
      </c>
      <c r="AK2561" s="12" t="n">
        <v>981</v>
      </c>
      <c r="AL2561" s="12" t="n">
        <v>592</v>
      </c>
      <c r="AM2561" s="13" t="n">
        <v>8.1</v>
      </c>
      <c r="AN2561" s="13" t="n">
        <v>-21.3</v>
      </c>
      <c r="AO2561" s="13" t="n">
        <v>181.9</v>
      </c>
      <c r="AP2561" s="13" t="n">
        <v>-15.4</v>
      </c>
    </row>
    <row r="2562">
      <c r="A2562" s="5" t="inlineStr">
        <is>
          <t>신영스팩10호</t>
        </is>
      </c>
      <c r="B2562" s="6" t="inlineStr">
        <is>
          <t>472220</t>
        </is>
      </c>
      <c r="C2562" s="6" t="inlineStr">
        <is>
          <t>별도</t>
        </is>
      </c>
      <c r="D2562" s="6" t="inlineStr">
        <is>
          <t>2026Q2</t>
        </is>
      </c>
      <c r="E2562" s="6" t="inlineStr"/>
      <c r="F2562" s="7" t="inlineStr"/>
      <c r="G2562" s="8" t="inlineStr"/>
      <c r="H2562" s="8" t="inlineStr"/>
      <c r="I2562" s="9" t="n">
        <v>0</v>
      </c>
      <c r="J2562" s="10" t="n">
        <v>-31</v>
      </c>
      <c r="K2562" s="10" t="n">
        <v>5</v>
      </c>
      <c r="L2562" s="7" t="n">
        <v>0</v>
      </c>
      <c r="M2562" s="8" t="n">
        <v>-5</v>
      </c>
      <c r="N2562" s="8" t="n">
        <v>48</v>
      </c>
      <c r="O2562" s="9" t="n">
        <v>0</v>
      </c>
      <c r="P2562" s="10" t="n">
        <v>-5</v>
      </c>
      <c r="Q2562" s="10" t="n">
        <v>48</v>
      </c>
      <c r="R2562" s="7" t="n">
        <v>0</v>
      </c>
      <c r="S2562" s="8" t="n">
        <v>-4</v>
      </c>
      <c r="T2562" s="8" t="n">
        <v>49</v>
      </c>
      <c r="U2562" s="9" t="n">
        <v>0</v>
      </c>
      <c r="V2562" s="10" t="n">
        <v>-16</v>
      </c>
      <c r="W2562" s="10" t="n">
        <v>-2</v>
      </c>
      <c r="X2562" s="7" t="n">
        <v>0</v>
      </c>
      <c r="Y2562" s="8" t="n">
        <v>-12</v>
      </c>
      <c r="Z2562" s="8" t="n">
        <v>69</v>
      </c>
      <c r="AA2562" s="9" t="n">
        <v>0</v>
      </c>
      <c r="AB2562" s="10" t="n">
        <v>-6</v>
      </c>
      <c r="AC2562" s="10" t="n">
        <v>3</v>
      </c>
      <c r="AD2562" s="7" t="n">
        <v>0</v>
      </c>
      <c r="AE2562" s="8" t="n">
        <v>-7</v>
      </c>
      <c r="AF2562" s="8" t="n">
        <v>79</v>
      </c>
      <c r="AG2562" s="9" t="n">
        <v>0</v>
      </c>
      <c r="AH2562" s="10" t="n">
        <v>-15</v>
      </c>
      <c r="AI2562" s="10" t="n">
        <v>14</v>
      </c>
      <c r="AJ2562" s="11" t="n">
        <v>0</v>
      </c>
      <c r="AK2562" s="12" t="n">
        <v>-12</v>
      </c>
      <c r="AL2562" s="12" t="n">
        <v>27</v>
      </c>
      <c r="AM2562" s="13" t="inlineStr"/>
      <c r="AN2562" s="13" t="inlineStr"/>
      <c r="AO2562" s="13" t="n">
        <v>20</v>
      </c>
      <c r="AP2562" s="13" t="n">
        <v>0</v>
      </c>
    </row>
    <row r="2563">
      <c r="A2563" s="5" t="inlineStr">
        <is>
          <t>SK증권제11호스팩</t>
        </is>
      </c>
      <c r="B2563" s="6" t="inlineStr">
        <is>
          <t>472230</t>
        </is>
      </c>
      <c r="C2563" s="6" t="inlineStr">
        <is>
          <t>별도</t>
        </is>
      </c>
      <c r="D2563" s="6" t="inlineStr">
        <is>
          <t>2026Q2</t>
        </is>
      </c>
      <c r="E2563" s="6" t="inlineStr"/>
      <c r="F2563" s="7" t="inlineStr"/>
      <c r="G2563" s="8" t="inlineStr"/>
      <c r="H2563" s="8" t="inlineStr"/>
      <c r="I2563" s="9" t="inlineStr"/>
      <c r="J2563" s="10" t="n">
        <v>-21</v>
      </c>
      <c r="K2563" s="10" t="n">
        <v>-15</v>
      </c>
      <c r="L2563" s="7" t="inlineStr"/>
      <c r="M2563" s="8" t="n">
        <v>-7</v>
      </c>
      <c r="N2563" s="8" t="n">
        <v>32</v>
      </c>
      <c r="O2563" s="9" t="inlineStr"/>
      <c r="P2563" s="10" t="n">
        <v>-9</v>
      </c>
      <c r="Q2563" s="10" t="n">
        <v>31</v>
      </c>
      <c r="R2563" s="7" t="inlineStr"/>
      <c r="S2563" s="8" t="n">
        <v>3</v>
      </c>
      <c r="T2563" s="8" t="n">
        <v>43</v>
      </c>
      <c r="U2563" s="9" t="inlineStr"/>
      <c r="V2563" s="10" t="n">
        <v>-14</v>
      </c>
      <c r="W2563" s="10" t="n">
        <v>35</v>
      </c>
      <c r="X2563" s="7" t="inlineStr"/>
      <c r="Y2563" s="8" t="n">
        <v>-11</v>
      </c>
      <c r="Z2563" s="8" t="n">
        <v>9</v>
      </c>
      <c r="AA2563" s="9" t="inlineStr"/>
      <c r="AB2563" s="10" t="n">
        <v>-21</v>
      </c>
      <c r="AC2563" s="10" t="n">
        <v>63</v>
      </c>
      <c r="AD2563" s="7" t="inlineStr"/>
      <c r="AE2563" s="8" t="n">
        <v>10</v>
      </c>
      <c r="AF2563" s="8" t="n">
        <v>-7</v>
      </c>
      <c r="AG2563" s="9" t="inlineStr"/>
      <c r="AH2563" s="10" t="n">
        <v>-14</v>
      </c>
      <c r="AI2563" s="10" t="n">
        <v>14</v>
      </c>
      <c r="AJ2563" s="11" t="inlineStr"/>
      <c r="AK2563" s="12" t="n">
        <v>-8</v>
      </c>
      <c r="AL2563" s="12" t="n">
        <v>19</v>
      </c>
      <c r="AM2563" s="13" t="inlineStr"/>
      <c r="AN2563" s="13" t="inlineStr"/>
      <c r="AO2563" s="13" t="n">
        <v>42.9</v>
      </c>
      <c r="AP2563" s="13" t="n">
        <v>27.3</v>
      </c>
    </row>
    <row r="2564">
      <c r="A2564" s="5" t="inlineStr">
        <is>
          <t>폰드그룹</t>
        </is>
      </c>
      <c r="B2564" s="6" t="inlineStr">
        <is>
          <t>472850</t>
        </is>
      </c>
      <c r="C2564" s="6" t="inlineStr">
        <is>
          <t>연결</t>
        </is>
      </c>
      <c r="D2564" s="6" t="inlineStr">
        <is>
          <t>2026Q2</t>
        </is>
      </c>
      <c r="E2564" s="6" t="inlineStr">
        <is>
          <t>2023Q4</t>
        </is>
      </c>
      <c r="F2564" s="14" t="n">
        <v>3622</v>
      </c>
      <c r="G2564" s="15" t="n">
        <v>605</v>
      </c>
      <c r="H2564" s="15" t="n">
        <v>-186</v>
      </c>
      <c r="I2564" s="9" t="n">
        <v>75592</v>
      </c>
      <c r="J2564" s="10" t="n">
        <v>10276</v>
      </c>
      <c r="K2564" s="10" t="n">
        <v>6350</v>
      </c>
      <c r="L2564" s="7" t="n">
        <v>82843</v>
      </c>
      <c r="M2564" s="8" t="n">
        <v>11011</v>
      </c>
      <c r="N2564" s="8" t="n">
        <v>5335</v>
      </c>
      <c r="O2564" s="9" t="n">
        <v>72556</v>
      </c>
      <c r="P2564" s="10" t="n">
        <v>5349</v>
      </c>
      <c r="Q2564" s="10" t="n">
        <v>1736</v>
      </c>
      <c r="R2564" s="7" t="n">
        <v>137662</v>
      </c>
      <c r="S2564" s="8" t="n">
        <v>14687</v>
      </c>
      <c r="T2564" s="8" t="n">
        <v>13735</v>
      </c>
      <c r="U2564" s="9" t="n">
        <v>106527</v>
      </c>
      <c r="V2564" s="10" t="n">
        <v>14429</v>
      </c>
      <c r="W2564" s="10" t="n">
        <v>9238</v>
      </c>
      <c r="X2564" s="7" t="n">
        <v>112050</v>
      </c>
      <c r="Y2564" s="8" t="n">
        <v>15755</v>
      </c>
      <c r="Z2564" s="8" t="n">
        <v>11328</v>
      </c>
      <c r="AA2564" s="9" t="n">
        <v>90777</v>
      </c>
      <c r="AB2564" s="10" t="n">
        <v>7050</v>
      </c>
      <c r="AC2564" s="10" t="n">
        <v>5441</v>
      </c>
      <c r="AD2564" s="7" t="n">
        <v>176215</v>
      </c>
      <c r="AE2564" s="8" t="n">
        <v>20143</v>
      </c>
      <c r="AF2564" s="8" t="n">
        <v>18231</v>
      </c>
      <c r="AG2564" s="9" t="n">
        <v>116903</v>
      </c>
      <c r="AH2564" s="10" t="n">
        <v>16973</v>
      </c>
      <c r="AI2564" s="10" t="n">
        <v>12332</v>
      </c>
      <c r="AJ2564" s="11" t="n">
        <v>149183</v>
      </c>
      <c r="AK2564" s="12" t="n">
        <v>21711</v>
      </c>
      <c r="AL2564" s="12" t="n">
        <v>16282</v>
      </c>
      <c r="AM2564" s="13" t="n">
        <v>27.6</v>
      </c>
      <c r="AN2564" s="13" t="n">
        <v>33.1</v>
      </c>
      <c r="AO2564" s="13" t="n">
        <v>27.9</v>
      </c>
      <c r="AP2564" s="13" t="n">
        <v>37.8</v>
      </c>
    </row>
    <row r="2565">
      <c r="A2565" s="5" t="inlineStr">
        <is>
          <t>SK증권제12호스팩</t>
        </is>
      </c>
      <c r="B2565" s="6" t="inlineStr">
        <is>
          <t>473000</t>
        </is>
      </c>
      <c r="C2565" s="6" t="inlineStr">
        <is>
          <t>별도</t>
        </is>
      </c>
      <c r="D2565" s="6" t="inlineStr">
        <is>
          <t>2026Q2</t>
        </is>
      </c>
      <c r="E2565" s="6" t="inlineStr"/>
      <c r="F2565" s="7" t="inlineStr"/>
      <c r="G2565" s="8" t="inlineStr"/>
      <c r="H2565" s="8" t="inlineStr"/>
      <c r="I2565" s="9" t="inlineStr"/>
      <c r="J2565" s="10" t="inlineStr"/>
      <c r="K2565" s="10" t="inlineStr"/>
      <c r="L2565" s="7" t="inlineStr"/>
      <c r="M2565" s="8" t="n">
        <v>-9</v>
      </c>
      <c r="N2565" s="8" t="n">
        <v>41</v>
      </c>
      <c r="O2565" s="9" t="inlineStr"/>
      <c r="P2565" s="10" t="n">
        <v>-7</v>
      </c>
      <c r="Q2565" s="10" t="n">
        <v>21</v>
      </c>
      <c r="R2565" s="7" t="inlineStr"/>
      <c r="S2565" s="8" t="inlineStr"/>
      <c r="T2565" s="8" t="inlineStr"/>
      <c r="U2565" s="9" t="inlineStr"/>
      <c r="V2565" s="10" t="n">
        <v>-11</v>
      </c>
      <c r="W2565" s="10" t="n">
        <v>16</v>
      </c>
      <c r="X2565" s="7" t="inlineStr"/>
      <c r="Y2565" s="8" t="n">
        <v>-11</v>
      </c>
      <c r="Z2565" s="8" t="n">
        <v>-2</v>
      </c>
      <c r="AA2565" s="9" t="inlineStr"/>
      <c r="AB2565" s="10" t="n">
        <v>-7</v>
      </c>
      <c r="AC2565" s="10" t="n">
        <v>14</v>
      </c>
      <c r="AD2565" s="7" t="inlineStr"/>
      <c r="AE2565" s="8" t="n">
        <v>-5</v>
      </c>
      <c r="AF2565" s="8" t="n">
        <v>11</v>
      </c>
      <c r="AG2565" s="9" t="inlineStr"/>
      <c r="AH2565" s="10" t="n">
        <v>-14</v>
      </c>
      <c r="AI2565" s="10" t="n">
        <v>1</v>
      </c>
      <c r="AJ2565" s="11" t="inlineStr"/>
      <c r="AK2565" s="12" t="n">
        <v>-8</v>
      </c>
      <c r="AL2565" s="12" t="n">
        <v>-2</v>
      </c>
      <c r="AM2565" s="13" t="inlineStr"/>
      <c r="AN2565" s="13" t="inlineStr"/>
      <c r="AO2565" s="13" t="n">
        <v>42.9</v>
      </c>
      <c r="AP2565" s="13" t="n">
        <v>27.3</v>
      </c>
    </row>
    <row r="2566">
      <c r="A2566" s="5" t="inlineStr">
        <is>
          <t>유안타제15호스팩</t>
        </is>
      </c>
      <c r="B2566" s="6" t="inlineStr">
        <is>
          <t>473050</t>
        </is>
      </c>
      <c r="C2566" s="6" t="inlineStr">
        <is>
          <t>별도</t>
        </is>
      </c>
      <c r="D2566" s="6" t="inlineStr">
        <is>
          <t>2026Q2</t>
        </is>
      </c>
      <c r="E2566" s="6" t="inlineStr"/>
      <c r="F2566" s="7" t="inlineStr"/>
      <c r="G2566" s="8" t="inlineStr"/>
      <c r="H2566" s="8" t="inlineStr"/>
      <c r="I2566" s="9" t="inlineStr"/>
      <c r="J2566" s="10" t="n">
        <v>-13</v>
      </c>
      <c r="K2566" s="10" t="n">
        <v>11</v>
      </c>
      <c r="L2566" s="7" t="inlineStr"/>
      <c r="M2566" s="8" t="n">
        <v>-9</v>
      </c>
      <c r="N2566" s="8" t="n">
        <v>72</v>
      </c>
      <c r="O2566" s="9" t="inlineStr"/>
      <c r="P2566" s="10" t="n">
        <v>-7</v>
      </c>
      <c r="Q2566" s="10" t="n">
        <v>74</v>
      </c>
      <c r="R2566" s="7" t="inlineStr"/>
      <c r="S2566" s="8" t="n">
        <v>-4</v>
      </c>
      <c r="T2566" s="8" t="n">
        <v>77</v>
      </c>
      <c r="U2566" s="9" t="inlineStr"/>
      <c r="V2566" s="10" t="n">
        <v>-10</v>
      </c>
      <c r="W2566" s="10" t="n">
        <v>63</v>
      </c>
      <c r="X2566" s="7" t="inlineStr"/>
      <c r="Y2566" s="8" t="n">
        <v>-10</v>
      </c>
      <c r="Z2566" s="8" t="n">
        <v>84</v>
      </c>
      <c r="AA2566" s="9" t="inlineStr"/>
      <c r="AB2566" s="10" t="n">
        <v>-14</v>
      </c>
      <c r="AC2566" s="10" t="n">
        <v>77</v>
      </c>
      <c r="AD2566" s="7" t="inlineStr"/>
      <c r="AE2566" s="8" t="n">
        <v>-4</v>
      </c>
      <c r="AF2566" s="8" t="n">
        <v>17</v>
      </c>
      <c r="AG2566" s="9" t="n">
        <v>0</v>
      </c>
      <c r="AH2566" s="10" t="n">
        <v>-16</v>
      </c>
      <c r="AI2566" s="10" t="n">
        <v>47</v>
      </c>
      <c r="AJ2566" s="11" t="n">
        <v>0</v>
      </c>
      <c r="AK2566" s="12" t="n">
        <v>-10</v>
      </c>
      <c r="AL2566" s="12" t="n">
        <v>77</v>
      </c>
      <c r="AM2566" s="13" t="inlineStr"/>
      <c r="AN2566" s="13" t="inlineStr"/>
      <c r="AO2566" s="13" t="n">
        <v>37.5</v>
      </c>
      <c r="AP2566" s="13" t="n">
        <v>0</v>
      </c>
    </row>
    <row r="2567">
      <c r="A2567" s="5" t="inlineStr">
        <is>
          <t>SK증권제13호스팩</t>
        </is>
      </c>
      <c r="B2567" s="6" t="inlineStr">
        <is>
          <t>473950</t>
        </is>
      </c>
      <c r="C2567" s="6" t="inlineStr">
        <is>
          <t>별도</t>
        </is>
      </c>
      <c r="D2567" s="6" t="inlineStr">
        <is>
          <t>2026Q2</t>
        </is>
      </c>
      <c r="E2567" s="6" t="inlineStr"/>
      <c r="F2567" s="7" t="inlineStr"/>
      <c r="G2567" s="8" t="inlineStr"/>
      <c r="H2567" s="8" t="inlineStr"/>
      <c r="I2567" s="9" t="inlineStr"/>
      <c r="J2567" s="10" t="inlineStr"/>
      <c r="K2567" s="10" t="inlineStr"/>
      <c r="L2567" s="7" t="inlineStr"/>
      <c r="M2567" s="8" t="inlineStr"/>
      <c r="N2567" s="8" t="inlineStr"/>
      <c r="O2567" s="9" t="inlineStr"/>
      <c r="P2567" s="10" t="n">
        <v>-9</v>
      </c>
      <c r="Q2567" s="10" t="n">
        <v>51</v>
      </c>
      <c r="R2567" s="7" t="inlineStr"/>
      <c r="S2567" s="8" t="inlineStr"/>
      <c r="T2567" s="8" t="inlineStr"/>
      <c r="U2567" s="9" t="inlineStr"/>
      <c r="V2567" s="10" t="n">
        <v>-13</v>
      </c>
      <c r="W2567" s="10" t="n">
        <v>30</v>
      </c>
      <c r="X2567" s="7" t="inlineStr"/>
      <c r="Y2567" s="8" t="n">
        <v>-13</v>
      </c>
      <c r="Z2567" s="8" t="n">
        <v>31</v>
      </c>
      <c r="AA2567" s="9" t="inlineStr"/>
      <c r="AB2567" s="10" t="n">
        <v>-9</v>
      </c>
      <c r="AC2567" s="10" t="n">
        <v>9</v>
      </c>
      <c r="AD2567" s="7" t="inlineStr"/>
      <c r="AE2567" s="8" t="n">
        <v>-5</v>
      </c>
      <c r="AF2567" s="8" t="n">
        <v>25</v>
      </c>
      <c r="AG2567" s="9" t="inlineStr"/>
      <c r="AH2567" s="10" t="n">
        <v>-16</v>
      </c>
      <c r="AI2567" s="10" t="n">
        <v>10</v>
      </c>
      <c r="AJ2567" s="11" t="inlineStr"/>
      <c r="AK2567" s="12" t="n">
        <v>-10</v>
      </c>
      <c r="AL2567" s="12" t="n">
        <v>9</v>
      </c>
      <c r="AM2567" s="13" t="inlineStr"/>
      <c r="AN2567" s="13" t="inlineStr"/>
      <c r="AO2567" s="13" t="n">
        <v>37.5</v>
      </c>
      <c r="AP2567" s="13" t="n">
        <v>23.1</v>
      </c>
    </row>
    <row r="2568">
      <c r="A2568" s="5" t="inlineStr">
        <is>
          <t>노머스</t>
        </is>
      </c>
      <c r="B2568" s="6" t="inlineStr">
        <is>
          <t>473980</t>
        </is>
      </c>
      <c r="C2568" s="6" t="inlineStr">
        <is>
          <t>연결</t>
        </is>
      </c>
      <c r="D2568" s="6" t="inlineStr">
        <is>
          <t>2026Q2</t>
        </is>
      </c>
      <c r="E2568" s="6" t="inlineStr">
        <is>
          <t>2024Q3</t>
        </is>
      </c>
      <c r="F2568" s="7" t="inlineStr"/>
      <c r="G2568" s="8" t="inlineStr"/>
      <c r="H2568" s="8" t="inlineStr"/>
      <c r="I2568" s="9" t="inlineStr"/>
      <c r="J2568" s="10" t="inlineStr"/>
      <c r="K2568" s="10" t="inlineStr"/>
      <c r="L2568" s="7" t="inlineStr"/>
      <c r="M2568" s="8" t="inlineStr"/>
      <c r="N2568" s="8" t="inlineStr"/>
      <c r="O2568" s="14" t="n">
        <v>26397</v>
      </c>
      <c r="P2568" s="15" t="n">
        <v>3738</v>
      </c>
      <c r="Q2568" s="15" t="n">
        <v>4005</v>
      </c>
      <c r="R2568" s="7" t="inlineStr"/>
      <c r="S2568" s="8" t="inlineStr"/>
      <c r="T2568" s="8" t="inlineStr"/>
      <c r="U2568" s="9" t="n">
        <v>19144</v>
      </c>
      <c r="V2568" s="10" t="n">
        <v>4596</v>
      </c>
      <c r="W2568" s="10" t="n">
        <v>4754</v>
      </c>
      <c r="X2568" s="7" t="n">
        <v>16034</v>
      </c>
      <c r="Y2568" s="8" t="n">
        <v>4219</v>
      </c>
      <c r="Z2568" s="8" t="n">
        <v>3000</v>
      </c>
      <c r="AA2568" s="9" t="n">
        <v>27645</v>
      </c>
      <c r="AB2568" s="10" t="n">
        <v>5431</v>
      </c>
      <c r="AC2568" s="10" t="n">
        <v>5897</v>
      </c>
      <c r="AD2568" s="7" t="n">
        <v>12903</v>
      </c>
      <c r="AE2568" s="8" t="n">
        <v>-1906</v>
      </c>
      <c r="AF2568" s="8" t="n">
        <v>1196</v>
      </c>
      <c r="AG2568" s="9" t="n">
        <v>18580</v>
      </c>
      <c r="AH2568" s="10" t="n">
        <v>3999</v>
      </c>
      <c r="AI2568" s="10" t="n">
        <v>4058</v>
      </c>
      <c r="AJ2568" s="11" t="n">
        <v>16147</v>
      </c>
      <c r="AK2568" s="12" t="n">
        <v>3548</v>
      </c>
      <c r="AL2568" s="12" t="n">
        <v>4594</v>
      </c>
      <c r="AM2568" s="13" t="n">
        <v>-13.1</v>
      </c>
      <c r="AN2568" s="13" t="n">
        <v>0.7</v>
      </c>
      <c r="AO2568" s="13" t="n">
        <v>-11.3</v>
      </c>
      <c r="AP2568" s="13" t="n">
        <v>-15.9</v>
      </c>
    </row>
    <row r="2569">
      <c r="A2569" s="5" t="inlineStr">
        <is>
          <t>루미르</t>
        </is>
      </c>
      <c r="B2569" s="6" t="inlineStr">
        <is>
          <t>474170</t>
        </is>
      </c>
      <c r="C2569" s="6" t="inlineStr">
        <is>
          <t>별도</t>
        </is>
      </c>
      <c r="D2569" s="6" t="inlineStr">
        <is>
          <t>2026Q2</t>
        </is>
      </c>
      <c r="E2569" s="6" t="inlineStr"/>
      <c r="F2569" s="7" t="inlineStr"/>
      <c r="G2569" s="8" t="inlineStr"/>
      <c r="H2569" s="8" t="inlineStr"/>
      <c r="I2569" s="9" t="inlineStr"/>
      <c r="J2569" s="10" t="inlineStr"/>
      <c r="K2569" s="10" t="inlineStr"/>
      <c r="L2569" s="7" t="inlineStr"/>
      <c r="M2569" s="8" t="inlineStr"/>
      <c r="N2569" s="8" t="inlineStr"/>
      <c r="O2569" s="9" t="inlineStr"/>
      <c r="P2569" s="10" t="inlineStr"/>
      <c r="Q2569" s="10" t="inlineStr"/>
      <c r="R2569" s="7" t="inlineStr"/>
      <c r="S2569" s="8" t="inlineStr"/>
      <c r="T2569" s="8" t="inlineStr"/>
      <c r="U2569" s="9" t="n">
        <v>1413</v>
      </c>
      <c r="V2569" s="10" t="n">
        <v>-811</v>
      </c>
      <c r="W2569" s="10" t="n">
        <v>-562</v>
      </c>
      <c r="X2569" s="7" t="n">
        <v>2011</v>
      </c>
      <c r="Y2569" s="8" t="n">
        <v>309</v>
      </c>
      <c r="Z2569" s="8" t="n">
        <v>494</v>
      </c>
      <c r="AA2569" s="9" t="n">
        <v>3427</v>
      </c>
      <c r="AB2569" s="10" t="n">
        <v>-328</v>
      </c>
      <c r="AC2569" s="10" t="n">
        <v>-217</v>
      </c>
      <c r="AD2569" s="7" t="n">
        <v>3718</v>
      </c>
      <c r="AE2569" s="8" t="n">
        <v>236</v>
      </c>
      <c r="AF2569" s="8" t="n">
        <v>331</v>
      </c>
      <c r="AG2569" s="9" t="n">
        <v>1898</v>
      </c>
      <c r="AH2569" s="10" t="n">
        <v>-250</v>
      </c>
      <c r="AI2569" s="10" t="n">
        <v>-198</v>
      </c>
      <c r="AJ2569" s="11" t="n">
        <v>4235</v>
      </c>
      <c r="AK2569" s="12" t="n">
        <v>-1056</v>
      </c>
      <c r="AL2569" s="12" t="n">
        <v>-880</v>
      </c>
      <c r="AM2569" s="13" t="n">
        <v>123.1</v>
      </c>
      <c r="AN2569" s="13" t="n">
        <v>110.6</v>
      </c>
      <c r="AO2569" s="13" t="n">
        <v>-322.4</v>
      </c>
      <c r="AP2569" s="13" t="n">
        <v>-441.7</v>
      </c>
    </row>
    <row r="2570">
      <c r="A2570" s="5" t="inlineStr">
        <is>
          <t>유안타제16호스팩</t>
        </is>
      </c>
      <c r="B2570" s="6" t="inlineStr">
        <is>
          <t>474490</t>
        </is>
      </c>
      <c r="C2570" s="6" t="inlineStr">
        <is>
          <t>별도</t>
        </is>
      </c>
      <c r="D2570" s="6" t="inlineStr">
        <is>
          <t>2026Q2</t>
        </is>
      </c>
      <c r="E2570" s="6" t="inlineStr"/>
      <c r="F2570" s="7" t="inlineStr"/>
      <c r="G2570" s="8" t="inlineStr"/>
      <c r="H2570" s="8" t="inlineStr"/>
      <c r="I2570" s="9" t="inlineStr"/>
      <c r="J2570" s="10" t="inlineStr"/>
      <c r="K2570" s="10" t="inlineStr"/>
      <c r="L2570" s="7" t="n">
        <v>0</v>
      </c>
      <c r="M2570" s="8" t="n">
        <v>-7</v>
      </c>
      <c r="N2570" s="8" t="n">
        <v>46</v>
      </c>
      <c r="O2570" s="9" t="n">
        <v>0</v>
      </c>
      <c r="P2570" s="10" t="n">
        <v>-7</v>
      </c>
      <c r="Q2570" s="10" t="n">
        <v>66</v>
      </c>
      <c r="R2570" s="7" t="inlineStr"/>
      <c r="S2570" s="8" t="inlineStr"/>
      <c r="T2570" s="8" t="inlineStr"/>
      <c r="U2570" s="9" t="n">
        <v>0</v>
      </c>
      <c r="V2570" s="10" t="n">
        <v>-17</v>
      </c>
      <c r="W2570" s="10" t="n">
        <v>55</v>
      </c>
      <c r="X2570" s="7" t="n">
        <v>0</v>
      </c>
      <c r="Y2570" s="8" t="n">
        <v>-8</v>
      </c>
      <c r="Z2570" s="8" t="n">
        <v>53</v>
      </c>
      <c r="AA2570" s="9" t="n">
        <v>0</v>
      </c>
      <c r="AB2570" s="10" t="n">
        <v>-4</v>
      </c>
      <c r="AC2570" s="10" t="n">
        <v>56</v>
      </c>
      <c r="AD2570" s="7" t="n">
        <v>0</v>
      </c>
      <c r="AE2570" s="8" t="n">
        <v>-8</v>
      </c>
      <c r="AF2570" s="8" t="n">
        <v>47</v>
      </c>
      <c r="AG2570" s="9" t="n">
        <v>0</v>
      </c>
      <c r="AH2570" s="10" t="n">
        <v>-15</v>
      </c>
      <c r="AI2570" s="10" t="n">
        <v>39</v>
      </c>
      <c r="AJ2570" s="11" t="n">
        <v>0</v>
      </c>
      <c r="AK2570" s="12" t="n">
        <v>-13</v>
      </c>
      <c r="AL2570" s="12" t="n">
        <v>49</v>
      </c>
      <c r="AM2570" s="13" t="inlineStr"/>
      <c r="AN2570" s="13" t="inlineStr"/>
      <c r="AO2570" s="13" t="n">
        <v>13.3</v>
      </c>
      <c r="AP2570" s="13" t="n">
        <v>-62.5</v>
      </c>
    </row>
    <row r="2571">
      <c r="A2571" s="5" t="inlineStr">
        <is>
          <t>RF시스템즈</t>
        </is>
      </c>
      <c r="B2571" s="6" t="inlineStr">
        <is>
          <t>474610</t>
        </is>
      </c>
      <c r="C2571" s="6" t="inlineStr">
        <is>
          <t>별도</t>
        </is>
      </c>
      <c r="D2571" s="6" t="inlineStr">
        <is>
          <t>2026Q2</t>
        </is>
      </c>
      <c r="E2571" s="6" t="inlineStr"/>
      <c r="F2571" s="7" t="inlineStr"/>
      <c r="G2571" s="8" t="inlineStr"/>
      <c r="H2571" s="8" t="inlineStr"/>
      <c r="I2571" s="9" t="inlineStr"/>
      <c r="J2571" s="10" t="inlineStr"/>
      <c r="K2571" s="10" t="inlineStr"/>
      <c r="L2571" s="7" t="inlineStr"/>
      <c r="M2571" s="8" t="inlineStr"/>
      <c r="N2571" s="8" t="inlineStr"/>
      <c r="O2571" s="9" t="inlineStr"/>
      <c r="P2571" s="10" t="inlineStr"/>
      <c r="Q2571" s="10" t="inlineStr"/>
      <c r="R2571" s="7" t="inlineStr"/>
      <c r="S2571" s="8" t="inlineStr"/>
      <c r="T2571" s="8" t="inlineStr"/>
      <c r="U2571" s="9" t="n">
        <v>6654</v>
      </c>
      <c r="V2571" s="10" t="n">
        <v>291</v>
      </c>
      <c r="W2571" s="10" t="n">
        <v>411</v>
      </c>
      <c r="X2571" s="7" t="n">
        <v>10399</v>
      </c>
      <c r="Y2571" s="8" t="n">
        <v>1582</v>
      </c>
      <c r="Z2571" s="8" t="n">
        <v>1937</v>
      </c>
      <c r="AA2571" s="9" t="n">
        <v>7601</v>
      </c>
      <c r="AB2571" s="10" t="n">
        <v>613</v>
      </c>
      <c r="AC2571" s="10" t="n">
        <v>904</v>
      </c>
      <c r="AD2571" s="7" t="n">
        <v>13520</v>
      </c>
      <c r="AE2571" s="8" t="n">
        <v>1570</v>
      </c>
      <c r="AF2571" s="8" t="n">
        <v>1905</v>
      </c>
      <c r="AG2571" s="9" t="n">
        <v>10004</v>
      </c>
      <c r="AH2571" s="10" t="n">
        <v>1122</v>
      </c>
      <c r="AI2571" s="10" t="n">
        <v>1392</v>
      </c>
      <c r="AJ2571" s="11" t="n">
        <v>11584</v>
      </c>
      <c r="AK2571" s="12" t="n">
        <v>1666</v>
      </c>
      <c r="AL2571" s="12" t="n">
        <v>2101</v>
      </c>
      <c r="AM2571" s="13" t="n">
        <v>15.8</v>
      </c>
      <c r="AN2571" s="13" t="n">
        <v>11.4</v>
      </c>
      <c r="AO2571" s="13" t="n">
        <v>48.5</v>
      </c>
      <c r="AP2571" s="13" t="n">
        <v>5.3</v>
      </c>
    </row>
    <row r="2572">
      <c r="A2572" s="5" t="inlineStr">
        <is>
          <t>링크솔루션</t>
        </is>
      </c>
      <c r="B2572" s="6" t="inlineStr">
        <is>
          <t>474650</t>
        </is>
      </c>
      <c r="C2572" s="6" t="inlineStr">
        <is>
          <t>연결</t>
        </is>
      </c>
      <c r="D2572" s="6" t="inlineStr">
        <is>
          <t>2026Q2</t>
        </is>
      </c>
      <c r="E2572" s="6" t="inlineStr"/>
      <c r="F2572" s="7" t="inlineStr"/>
      <c r="G2572" s="8" t="inlineStr"/>
      <c r="H2572" s="8" t="inlineStr"/>
      <c r="I2572" s="9" t="inlineStr"/>
      <c r="J2572" s="10" t="inlineStr"/>
      <c r="K2572" s="10" t="inlineStr"/>
      <c r="L2572" s="7" t="inlineStr"/>
      <c r="M2572" s="8" t="inlineStr"/>
      <c r="N2572" s="8" t="inlineStr"/>
      <c r="O2572" s="9" t="n">
        <v>577</v>
      </c>
      <c r="P2572" s="10" t="n">
        <v>-2193</v>
      </c>
      <c r="Q2572" s="10" t="n">
        <v>-1650</v>
      </c>
      <c r="R2572" s="7" t="inlineStr"/>
      <c r="S2572" s="8" t="inlineStr"/>
      <c r="T2572" s="8" t="inlineStr"/>
      <c r="U2572" s="9" t="n">
        <v>1429</v>
      </c>
      <c r="V2572" s="10" t="n">
        <v>-1697</v>
      </c>
      <c r="W2572" s="10" t="n">
        <v>-1349</v>
      </c>
      <c r="X2572" s="7" t="n">
        <v>1932</v>
      </c>
      <c r="Y2572" s="8" t="n">
        <v>-2260</v>
      </c>
      <c r="Z2572" s="8" t="n">
        <v>-2048</v>
      </c>
      <c r="AA2572" s="9" t="n">
        <v>1931</v>
      </c>
      <c r="AB2572" s="10" t="n">
        <v>-1394</v>
      </c>
      <c r="AC2572" s="10" t="n">
        <v>-1189</v>
      </c>
      <c r="AD2572" s="7" t="n">
        <v>7833</v>
      </c>
      <c r="AE2572" s="8" t="n">
        <v>-2027</v>
      </c>
      <c r="AF2572" s="8" t="n">
        <v>-2399</v>
      </c>
      <c r="AG2572" s="9" t="n">
        <v>1569</v>
      </c>
      <c r="AH2572" s="10" t="n">
        <v>-3692</v>
      </c>
      <c r="AI2572" s="10" t="n">
        <v>-3814</v>
      </c>
      <c r="AJ2572" s="11" t="n">
        <v>4269</v>
      </c>
      <c r="AK2572" s="12" t="n">
        <v>-4636</v>
      </c>
      <c r="AL2572" s="12" t="n">
        <v>57</v>
      </c>
      <c r="AM2572" s="13" t="n">
        <v>172.1</v>
      </c>
      <c r="AN2572" s="13" t="n">
        <v>121</v>
      </c>
      <c r="AO2572" s="13" t="n">
        <v>-25.6</v>
      </c>
      <c r="AP2572" s="13" t="n">
        <v>-105.1</v>
      </c>
    </row>
    <row r="2573">
      <c r="A2573" s="5" t="inlineStr">
        <is>
          <t>신한제12호스팩</t>
        </is>
      </c>
      <c r="B2573" s="6" t="inlineStr">
        <is>
          <t>474660</t>
        </is>
      </c>
      <c r="C2573" s="6" t="inlineStr">
        <is>
          <t>별도</t>
        </is>
      </c>
      <c r="D2573" s="6" t="inlineStr">
        <is>
          <t>2026Q2</t>
        </is>
      </c>
      <c r="E2573" s="6" t="inlineStr"/>
      <c r="F2573" s="7" t="inlineStr"/>
      <c r="G2573" s="8" t="inlineStr"/>
      <c r="H2573" s="8" t="inlineStr"/>
      <c r="I2573" s="9" t="inlineStr"/>
      <c r="J2573" s="10" t="inlineStr"/>
      <c r="K2573" s="10" t="inlineStr"/>
      <c r="L2573" s="7" t="n">
        <v>0</v>
      </c>
      <c r="M2573" s="8" t="n">
        <v>-198</v>
      </c>
      <c r="N2573" s="8" t="n">
        <v>-100</v>
      </c>
      <c r="O2573" s="9" t="inlineStr"/>
      <c r="P2573" s="10" t="n">
        <v>-12</v>
      </c>
      <c r="Q2573" s="10" t="n">
        <v>55</v>
      </c>
      <c r="R2573" s="7" t="inlineStr"/>
      <c r="S2573" s="8" t="inlineStr"/>
      <c r="T2573" s="8" t="inlineStr"/>
      <c r="U2573" s="9" t="inlineStr"/>
      <c r="V2573" s="10" t="n">
        <v>-22</v>
      </c>
      <c r="W2573" s="10" t="n">
        <v>36</v>
      </c>
      <c r="X2573" s="7" t="inlineStr"/>
      <c r="Y2573" s="8" t="n">
        <v>-7</v>
      </c>
      <c r="Z2573" s="8" t="n">
        <v>84</v>
      </c>
      <c r="AA2573" s="9" t="inlineStr"/>
      <c r="AB2573" s="10" t="n">
        <v>-10</v>
      </c>
      <c r="AC2573" s="10" t="n">
        <v>29</v>
      </c>
      <c r="AD2573" s="7" t="inlineStr"/>
      <c r="AE2573" s="8" t="n">
        <v>-8</v>
      </c>
      <c r="AF2573" s="8" t="n">
        <v>50</v>
      </c>
      <c r="AG2573" s="9" t="inlineStr"/>
      <c r="AH2573" s="10" t="inlineStr"/>
      <c r="AI2573" s="10" t="inlineStr"/>
      <c r="AJ2573" s="11" t="inlineStr"/>
      <c r="AK2573" s="12" t="n">
        <v>-9</v>
      </c>
      <c r="AL2573" s="12" t="n">
        <v>35</v>
      </c>
      <c r="AM2573" s="13" t="inlineStr"/>
      <c r="AN2573" s="13" t="inlineStr"/>
      <c r="AO2573" s="13" t="inlineStr"/>
      <c r="AP2573" s="13" t="n">
        <v>-28.6</v>
      </c>
    </row>
    <row r="2574">
      <c r="A2574" s="5" t="inlineStr">
        <is>
          <t>신한제13호스팩</t>
        </is>
      </c>
      <c r="B2574" s="6" t="inlineStr">
        <is>
          <t>474930</t>
        </is>
      </c>
      <c r="C2574" s="6" t="inlineStr">
        <is>
          <t>별도</t>
        </is>
      </c>
      <c r="D2574" s="6" t="inlineStr">
        <is>
          <t>2026Q2</t>
        </is>
      </c>
      <c r="E2574" s="6" t="inlineStr"/>
      <c r="F2574" s="7" t="inlineStr"/>
      <c r="G2574" s="8" t="inlineStr"/>
      <c r="H2574" s="8" t="inlineStr"/>
      <c r="I2574" s="9" t="inlineStr"/>
      <c r="J2574" s="10" t="inlineStr"/>
      <c r="K2574" s="10" t="inlineStr"/>
      <c r="L2574" s="7" t="inlineStr"/>
      <c r="M2574" s="8" t="n">
        <v>-7</v>
      </c>
      <c r="N2574" s="8" t="n">
        <v>24</v>
      </c>
      <c r="O2574" s="9" t="inlineStr"/>
      <c r="P2574" s="10" t="n">
        <v>-8</v>
      </c>
      <c r="Q2574" s="10" t="n">
        <v>31</v>
      </c>
      <c r="R2574" s="7" t="inlineStr"/>
      <c r="S2574" s="8" t="inlineStr"/>
      <c r="T2574" s="8" t="inlineStr"/>
      <c r="U2574" s="9" t="inlineStr"/>
      <c r="V2574" s="10" t="n">
        <v>-16</v>
      </c>
      <c r="W2574" s="10" t="n">
        <v>27</v>
      </c>
      <c r="X2574" s="7" t="inlineStr"/>
      <c r="Y2574" s="8" t="n">
        <v>-8</v>
      </c>
      <c r="Z2574" s="8" t="n">
        <v>40</v>
      </c>
      <c r="AA2574" s="9" t="inlineStr"/>
      <c r="AB2574" s="10" t="n">
        <v>-8</v>
      </c>
      <c r="AC2574" s="10" t="n">
        <v>23</v>
      </c>
      <c r="AD2574" s="7" t="inlineStr"/>
      <c r="AE2574" s="8" t="n">
        <v>-5</v>
      </c>
      <c r="AF2574" s="8" t="n">
        <v>31</v>
      </c>
      <c r="AG2574" s="9" t="n">
        <v>0</v>
      </c>
      <c r="AH2574" s="10" t="n">
        <v>-10</v>
      </c>
      <c r="AI2574" s="10" t="n">
        <v>23</v>
      </c>
      <c r="AJ2574" s="11" t="n">
        <v>0</v>
      </c>
      <c r="AK2574" s="12" t="n">
        <v>-16</v>
      </c>
      <c r="AL2574" s="12" t="n">
        <v>36</v>
      </c>
      <c r="AM2574" s="13" t="inlineStr"/>
      <c r="AN2574" s="13" t="inlineStr"/>
      <c r="AO2574" s="13" t="n">
        <v>-60</v>
      </c>
      <c r="AP2574" s="13" t="n">
        <v>-100</v>
      </c>
    </row>
    <row r="2575">
      <c r="A2575" s="5" t="inlineStr">
        <is>
          <t>스트라드비젼</t>
        </is>
      </c>
      <c r="B2575" s="6" t="inlineStr">
        <is>
          <t>475040</t>
        </is>
      </c>
      <c r="C2575" s="6" t="inlineStr">
        <is>
          <t>연결</t>
        </is>
      </c>
      <c r="D2575" s="6" t="inlineStr">
        <is>
          <t>2026Q2</t>
        </is>
      </c>
      <c r="E2575" s="6" t="inlineStr"/>
      <c r="F2575" s="7" t="inlineStr"/>
      <c r="G2575" s="8" t="inlineStr"/>
      <c r="H2575" s="8" t="inlineStr"/>
      <c r="I2575" s="9" t="inlineStr"/>
      <c r="J2575" s="10" t="inlineStr"/>
      <c r="K2575" s="10" t="inlineStr"/>
      <c r="L2575" s="7" t="inlineStr"/>
      <c r="M2575" s="8" t="inlineStr"/>
      <c r="N2575" s="8" t="inlineStr"/>
      <c r="O2575" s="9" t="inlineStr"/>
      <c r="P2575" s="10" t="inlineStr"/>
      <c r="Q2575" s="10" t="inlineStr"/>
      <c r="R2575" s="7" t="inlineStr"/>
      <c r="S2575" s="8" t="inlineStr"/>
      <c r="T2575" s="8" t="inlineStr"/>
      <c r="U2575" s="9" t="n">
        <v>3483</v>
      </c>
      <c r="V2575" s="10" t="n">
        <v>-15161</v>
      </c>
      <c r="W2575" s="10" t="n">
        <v>-21924</v>
      </c>
      <c r="X2575" s="7" t="n">
        <v>3092</v>
      </c>
      <c r="Y2575" s="8" t="n">
        <v>-14839</v>
      </c>
      <c r="Z2575" s="8" t="n">
        <v>-12070</v>
      </c>
      <c r="AA2575" s="9" t="n">
        <v>1153</v>
      </c>
      <c r="AB2575" s="10" t="n">
        <v>-19909</v>
      </c>
      <c r="AC2575" s="10" t="n">
        <v>-19477</v>
      </c>
      <c r="AD2575" s="7" t="n">
        <v>10381</v>
      </c>
      <c r="AE2575" s="8" t="n">
        <v>-8686</v>
      </c>
      <c r="AF2575" s="8" t="n">
        <v>-8761</v>
      </c>
      <c r="AG2575" s="9" t="n">
        <v>3568</v>
      </c>
      <c r="AH2575" s="10" t="n">
        <v>-13170</v>
      </c>
      <c r="AI2575" s="10" t="n">
        <v>-13057</v>
      </c>
      <c r="AJ2575" s="11" t="n">
        <v>6420</v>
      </c>
      <c r="AK2575" s="12" t="n">
        <v>-11149</v>
      </c>
      <c r="AL2575" s="12" t="n">
        <v>-11308</v>
      </c>
      <c r="AM2575" s="13" t="n">
        <v>79.90000000000001</v>
      </c>
      <c r="AN2575" s="13" t="n">
        <v>107.6</v>
      </c>
      <c r="AO2575" s="13" t="n">
        <v>15.3</v>
      </c>
      <c r="AP2575" s="13" t="n">
        <v>24.9</v>
      </c>
    </row>
    <row r="2576">
      <c r="A2576" s="5" t="inlineStr">
        <is>
          <t>SK이터닉스</t>
        </is>
      </c>
      <c r="B2576" s="6" t="inlineStr">
        <is>
          <t>475150</t>
        </is>
      </c>
      <c r="C2576" s="6" t="inlineStr">
        <is>
          <t>연결</t>
        </is>
      </c>
      <c r="D2576" s="6" t="inlineStr">
        <is>
          <t>2026Q2</t>
        </is>
      </c>
      <c r="E2576" s="6" t="inlineStr"/>
      <c r="F2576" s="7" t="inlineStr"/>
      <c r="G2576" s="8" t="inlineStr"/>
      <c r="H2576" s="8" t="inlineStr"/>
      <c r="I2576" s="9" t="n">
        <v>4816</v>
      </c>
      <c r="J2576" s="10" t="n">
        <v>417</v>
      </c>
      <c r="K2576" s="10" t="n">
        <v>-1451</v>
      </c>
      <c r="L2576" s="7" t="n">
        <v>13995</v>
      </c>
      <c r="M2576" s="8" t="n">
        <v>-2357</v>
      </c>
      <c r="N2576" s="8" t="n">
        <v>-2696</v>
      </c>
      <c r="O2576" s="9" t="n">
        <v>160292</v>
      </c>
      <c r="P2576" s="10" t="n">
        <v>14429</v>
      </c>
      <c r="Q2576" s="10" t="n">
        <v>6755</v>
      </c>
      <c r="R2576" s="7" t="n">
        <v>153049</v>
      </c>
      <c r="S2576" s="8" t="n">
        <v>25148</v>
      </c>
      <c r="T2576" s="8" t="n">
        <v>19773</v>
      </c>
      <c r="U2576" s="9" t="n">
        <v>25933</v>
      </c>
      <c r="V2576" s="10" t="n">
        <v>1062</v>
      </c>
      <c r="W2576" s="10" t="n">
        <v>979</v>
      </c>
      <c r="X2576" s="7" t="n">
        <v>65324</v>
      </c>
      <c r="Y2576" s="8" t="n">
        <v>9594</v>
      </c>
      <c r="Z2576" s="8" t="n">
        <v>14299</v>
      </c>
      <c r="AA2576" s="9" t="n">
        <v>46428</v>
      </c>
      <c r="AB2576" s="10" t="n">
        <v>1170</v>
      </c>
      <c r="AC2576" s="10" t="n">
        <v>-5052</v>
      </c>
      <c r="AD2576" s="7" t="n">
        <v>247956</v>
      </c>
      <c r="AE2576" s="8" t="n">
        <v>41172</v>
      </c>
      <c r="AF2576" s="8" t="n">
        <v>20496</v>
      </c>
      <c r="AG2576" s="9" t="n">
        <v>27523</v>
      </c>
      <c r="AH2576" s="10" t="n">
        <v>4909</v>
      </c>
      <c r="AI2576" s="10" t="n">
        <v>-5112</v>
      </c>
      <c r="AJ2576" s="11" t="n">
        <v>240892</v>
      </c>
      <c r="AK2576" s="12" t="n">
        <v>4683</v>
      </c>
      <c r="AL2576" s="12" t="n">
        <v>-2893</v>
      </c>
      <c r="AM2576" s="13" t="n">
        <v>775.2</v>
      </c>
      <c r="AN2576" s="13" t="n">
        <v>268.8</v>
      </c>
      <c r="AO2576" s="13" t="n">
        <v>-4.6</v>
      </c>
      <c r="AP2576" s="13" t="n">
        <v>-51.2</v>
      </c>
    </row>
    <row r="2577">
      <c r="A2577" s="5" t="inlineStr">
        <is>
          <t>엔알비</t>
        </is>
      </c>
      <c r="B2577" s="6" t="inlineStr">
        <is>
          <t>475230</t>
        </is>
      </c>
      <c r="C2577" s="6" t="inlineStr">
        <is>
          <t>연결</t>
        </is>
      </c>
      <c r="D2577" s="6" t="inlineStr">
        <is>
          <t>2026Q2</t>
        </is>
      </c>
      <c r="E2577" s="6" t="inlineStr"/>
      <c r="F2577" s="7" t="inlineStr"/>
      <c r="G2577" s="8" t="inlineStr"/>
      <c r="H2577" s="8" t="inlineStr"/>
      <c r="I2577" s="9" t="inlineStr"/>
      <c r="J2577" s="10" t="inlineStr"/>
      <c r="K2577" s="10" t="inlineStr"/>
      <c r="L2577" s="7" t="inlineStr"/>
      <c r="M2577" s="8" t="inlineStr"/>
      <c r="N2577" s="8" t="inlineStr"/>
      <c r="O2577" s="9" t="inlineStr"/>
      <c r="P2577" s="10" t="inlineStr"/>
      <c r="Q2577" s="10" t="inlineStr"/>
      <c r="R2577" s="7" t="inlineStr"/>
      <c r="S2577" s="8" t="inlineStr"/>
      <c r="T2577" s="8" t="inlineStr"/>
      <c r="U2577" s="9" t="inlineStr"/>
      <c r="V2577" s="10" t="inlineStr"/>
      <c r="W2577" s="10" t="inlineStr"/>
      <c r="X2577" s="7" t="n">
        <v>12106</v>
      </c>
      <c r="Y2577" s="8" t="n">
        <v>1099</v>
      </c>
      <c r="Z2577" s="8" t="n">
        <v>-2308</v>
      </c>
      <c r="AA2577" s="9" t="n">
        <v>10898</v>
      </c>
      <c r="AB2577" s="10" t="n">
        <v>2178</v>
      </c>
      <c r="AC2577" s="10" t="n">
        <v>2319</v>
      </c>
      <c r="AD2577" s="7" t="inlineStr"/>
      <c r="AE2577" s="8" t="inlineStr"/>
      <c r="AF2577" s="8" t="inlineStr"/>
      <c r="AG2577" s="9" t="n">
        <v>17161</v>
      </c>
      <c r="AH2577" s="10" t="n">
        <v>1465</v>
      </c>
      <c r="AI2577" s="10" t="n">
        <v>-3218</v>
      </c>
      <c r="AJ2577" s="11" t="n">
        <v>19853</v>
      </c>
      <c r="AK2577" s="12" t="n">
        <v>1875</v>
      </c>
      <c r="AL2577" s="12" t="n">
        <v>5975</v>
      </c>
      <c r="AM2577" s="13" t="n">
        <v>15.7</v>
      </c>
      <c r="AN2577" s="13" t="n">
        <v>64</v>
      </c>
      <c r="AO2577" s="13" t="n">
        <v>28</v>
      </c>
      <c r="AP2577" s="13" t="n">
        <v>70.59999999999999</v>
      </c>
    </row>
    <row r="2578">
      <c r="A2578" s="5" t="inlineStr">
        <is>
          <t>하나32호스팩</t>
        </is>
      </c>
      <c r="B2578" s="6" t="inlineStr">
        <is>
          <t>475240</t>
        </is>
      </c>
      <c r="C2578" s="6" t="inlineStr">
        <is>
          <t>별도</t>
        </is>
      </c>
      <c r="D2578" s="6" t="inlineStr">
        <is>
          <t>2026Q2</t>
        </is>
      </c>
      <c r="E2578" s="6" t="inlineStr"/>
      <c r="F2578" s="7" t="inlineStr"/>
      <c r="G2578" s="8" t="inlineStr"/>
      <c r="H2578" s="8" t="inlineStr"/>
      <c r="I2578" s="9" t="n">
        <v>0</v>
      </c>
      <c r="J2578" s="10" t="n">
        <v>-24</v>
      </c>
      <c r="K2578" s="10" t="n">
        <v>-18</v>
      </c>
      <c r="L2578" s="7" t="n">
        <v>0</v>
      </c>
      <c r="M2578" s="8" t="n">
        <v>-3</v>
      </c>
      <c r="N2578" s="8" t="n">
        <v>32</v>
      </c>
      <c r="O2578" s="9" t="inlineStr"/>
      <c r="P2578" s="10" t="n">
        <v>-8</v>
      </c>
      <c r="Q2578" s="10" t="n">
        <v>35</v>
      </c>
      <c r="R2578" s="7" t="inlineStr"/>
      <c r="S2578" s="8" t="n">
        <v>-3</v>
      </c>
      <c r="T2578" s="8" t="n">
        <v>40</v>
      </c>
      <c r="U2578" s="9" t="n">
        <v>0</v>
      </c>
      <c r="V2578" s="10" t="n">
        <v>-11</v>
      </c>
      <c r="W2578" s="10" t="n">
        <v>31</v>
      </c>
      <c r="X2578" s="7" t="n">
        <v>0</v>
      </c>
      <c r="Y2578" s="8" t="n">
        <v>-13</v>
      </c>
      <c r="Z2578" s="8" t="n">
        <v>19</v>
      </c>
      <c r="AA2578" s="9" t="inlineStr"/>
      <c r="AB2578" s="10" t="n">
        <v>-8</v>
      </c>
      <c r="AC2578" s="10" t="n">
        <v>24</v>
      </c>
      <c r="AD2578" s="7" t="inlineStr"/>
      <c r="AE2578" s="8" t="n">
        <v>-3</v>
      </c>
      <c r="AF2578" s="8" t="n">
        <v>27</v>
      </c>
      <c r="AG2578" s="9" t="n">
        <v>0</v>
      </c>
      <c r="AH2578" s="10" t="n">
        <v>-10</v>
      </c>
      <c r="AI2578" s="10" t="n">
        <v>21</v>
      </c>
      <c r="AJ2578" s="11" t="n">
        <v>0</v>
      </c>
      <c r="AK2578" s="12" t="n">
        <v>-12</v>
      </c>
      <c r="AL2578" s="12" t="n">
        <v>20</v>
      </c>
      <c r="AM2578" s="13" t="inlineStr"/>
      <c r="AN2578" s="13" t="inlineStr"/>
      <c r="AO2578" s="13" t="n">
        <v>-20</v>
      </c>
      <c r="AP2578" s="13" t="n">
        <v>7.7</v>
      </c>
    </row>
    <row r="2579">
      <c r="A2579" s="5" t="inlineStr">
        <is>
          <t>하나33호스팩</t>
        </is>
      </c>
      <c r="B2579" s="6" t="inlineStr">
        <is>
          <t>475250</t>
        </is>
      </c>
      <c r="C2579" s="6" t="inlineStr">
        <is>
          <t>별도</t>
        </is>
      </c>
      <c r="D2579" s="6" t="inlineStr">
        <is>
          <t>2026Q2</t>
        </is>
      </c>
      <c r="E2579" s="6" t="inlineStr"/>
      <c r="F2579" s="7" t="inlineStr"/>
      <c r="G2579" s="8" t="inlineStr"/>
      <c r="H2579" s="8" t="inlineStr"/>
      <c r="I2579" s="9" t="inlineStr"/>
      <c r="J2579" s="10" t="inlineStr"/>
      <c r="K2579" s="10" t="inlineStr"/>
      <c r="L2579" s="7" t="n">
        <v>0</v>
      </c>
      <c r="M2579" s="8" t="n">
        <v>-12</v>
      </c>
      <c r="N2579" s="8" t="n">
        <v>22</v>
      </c>
      <c r="O2579" s="9" t="n">
        <v>0</v>
      </c>
      <c r="P2579" s="10" t="n">
        <v>-5</v>
      </c>
      <c r="Q2579" s="10" t="n">
        <v>40</v>
      </c>
      <c r="R2579" s="7" t="inlineStr"/>
      <c r="S2579" s="8" t="inlineStr"/>
      <c r="T2579" s="8" t="inlineStr"/>
      <c r="U2579" s="9" t="inlineStr"/>
      <c r="V2579" s="10" t="n">
        <v>-18</v>
      </c>
      <c r="W2579" s="10" t="n">
        <v>29</v>
      </c>
      <c r="X2579" s="7" t="inlineStr"/>
      <c r="Y2579" s="8" t="n">
        <v>-11</v>
      </c>
      <c r="Z2579" s="8" t="n">
        <v>37</v>
      </c>
      <c r="AA2579" s="9" t="inlineStr"/>
      <c r="AB2579" s="10" t="n">
        <v>-4</v>
      </c>
      <c r="AC2579" s="10" t="n">
        <v>28</v>
      </c>
      <c r="AD2579" s="7" t="inlineStr"/>
      <c r="AE2579" s="8" t="n">
        <v>0</v>
      </c>
      <c r="AF2579" s="8" t="n">
        <v>44</v>
      </c>
      <c r="AG2579" s="9" t="inlineStr"/>
      <c r="AH2579" s="10" t="n">
        <v>-7</v>
      </c>
      <c r="AI2579" s="10" t="n">
        <v>23</v>
      </c>
      <c r="AJ2579" s="11" t="inlineStr"/>
      <c r="AK2579" s="12" t="n">
        <v>-10</v>
      </c>
      <c r="AL2579" s="12" t="n">
        <v>44</v>
      </c>
      <c r="AM2579" s="13" t="inlineStr"/>
      <c r="AN2579" s="13" t="inlineStr"/>
      <c r="AO2579" s="13" t="n">
        <v>-42.9</v>
      </c>
      <c r="AP2579" s="13" t="n">
        <v>9.1</v>
      </c>
    </row>
    <row r="2580">
      <c r="A2580" s="5" t="inlineStr">
        <is>
          <t>씨메스로보틱스</t>
        </is>
      </c>
      <c r="B2580" s="6" t="inlineStr">
        <is>
          <t>475400</t>
        </is>
      </c>
      <c r="C2580" s="6" t="inlineStr">
        <is>
          <t>연결</t>
        </is>
      </c>
      <c r="D2580" s="6" t="inlineStr">
        <is>
          <t>2026Q2</t>
        </is>
      </c>
      <c r="E2580" s="6" t="inlineStr"/>
      <c r="F2580" s="7" t="inlineStr"/>
      <c r="G2580" s="8" t="inlineStr"/>
      <c r="H2580" s="8" t="inlineStr"/>
      <c r="I2580" s="9" t="inlineStr"/>
      <c r="J2580" s="10" t="inlineStr"/>
      <c r="K2580" s="10" t="inlineStr"/>
      <c r="L2580" s="7" t="inlineStr"/>
      <c r="M2580" s="8" t="inlineStr"/>
      <c r="N2580" s="8" t="inlineStr"/>
      <c r="O2580" s="9" t="inlineStr"/>
      <c r="P2580" s="10" t="inlineStr"/>
      <c r="Q2580" s="10" t="inlineStr"/>
      <c r="R2580" s="7" t="inlineStr"/>
      <c r="S2580" s="8" t="inlineStr"/>
      <c r="T2580" s="8" t="inlineStr"/>
      <c r="U2580" s="9" t="n">
        <v>872</v>
      </c>
      <c r="V2580" s="10" t="n">
        <v>-5311</v>
      </c>
      <c r="W2580" s="10" t="n">
        <v>-5224</v>
      </c>
      <c r="X2580" s="7" t="n">
        <v>3859</v>
      </c>
      <c r="Y2580" s="8" t="n">
        <v>-3786</v>
      </c>
      <c r="Z2580" s="8" t="n">
        <v>-3014</v>
      </c>
      <c r="AA2580" s="9" t="n">
        <v>3888</v>
      </c>
      <c r="AB2580" s="10" t="n">
        <v>-3800</v>
      </c>
      <c r="AC2580" s="10" t="n">
        <v>-3427</v>
      </c>
      <c r="AD2580" s="7" t="n">
        <v>4437</v>
      </c>
      <c r="AE2580" s="8" t="n">
        <v>-5514</v>
      </c>
      <c r="AF2580" s="8" t="n">
        <v>-5111</v>
      </c>
      <c r="AG2580" s="9" t="n">
        <v>5772</v>
      </c>
      <c r="AH2580" s="10" t="n">
        <v>-5135</v>
      </c>
      <c r="AI2580" s="10" t="n">
        <v>-4774</v>
      </c>
      <c r="AJ2580" s="11" t="n">
        <v>3744</v>
      </c>
      <c r="AK2580" s="12" t="n">
        <v>-4771</v>
      </c>
      <c r="AL2580" s="12" t="n">
        <v>-4301</v>
      </c>
      <c r="AM2580" s="13" t="n">
        <v>-35.1</v>
      </c>
      <c r="AN2580" s="13" t="n">
        <v>-3</v>
      </c>
      <c r="AO2580" s="13" t="n">
        <v>7.1</v>
      </c>
      <c r="AP2580" s="13" t="n">
        <v>-26</v>
      </c>
    </row>
    <row r="2581">
      <c r="A2581" s="5" t="inlineStr">
        <is>
          <t>키스트론</t>
        </is>
      </c>
      <c r="B2581" s="6" t="inlineStr">
        <is>
          <t>475430</t>
        </is>
      </c>
      <c r="C2581" s="6" t="inlineStr">
        <is>
          <t>별도</t>
        </is>
      </c>
      <c r="D2581" s="6" t="inlineStr">
        <is>
          <t>2026Q2</t>
        </is>
      </c>
      <c r="E2581" s="6" t="inlineStr"/>
      <c r="F2581" s="7" t="inlineStr"/>
      <c r="G2581" s="8" t="inlineStr"/>
      <c r="H2581" s="8" t="inlineStr"/>
      <c r="I2581" s="9" t="inlineStr"/>
      <c r="J2581" s="10" t="inlineStr"/>
      <c r="K2581" s="10" t="inlineStr"/>
      <c r="L2581" s="7" t="inlineStr"/>
      <c r="M2581" s="8" t="inlineStr"/>
      <c r="N2581" s="8" t="inlineStr"/>
      <c r="O2581" s="9" t="inlineStr"/>
      <c r="P2581" s="10" t="inlineStr"/>
      <c r="Q2581" s="10" t="inlineStr"/>
      <c r="R2581" s="7" t="inlineStr"/>
      <c r="S2581" s="8" t="inlineStr"/>
      <c r="T2581" s="8" t="inlineStr"/>
      <c r="U2581" s="9" t="inlineStr"/>
      <c r="V2581" s="10" t="inlineStr"/>
      <c r="W2581" s="10" t="inlineStr"/>
      <c r="X2581" s="7" t="n">
        <v>19103</v>
      </c>
      <c r="Y2581" s="8" t="n">
        <v>2177</v>
      </c>
      <c r="Z2581" s="8" t="n">
        <v>2181</v>
      </c>
      <c r="AA2581" s="9" t="n">
        <v>16635</v>
      </c>
      <c r="AB2581" s="10" t="n">
        <v>1976</v>
      </c>
      <c r="AC2581" s="10" t="n">
        <v>2085</v>
      </c>
      <c r="AD2581" s="7" t="inlineStr"/>
      <c r="AE2581" s="8" t="inlineStr"/>
      <c r="AF2581" s="8" t="inlineStr"/>
      <c r="AG2581" s="9" t="n">
        <v>19792</v>
      </c>
      <c r="AH2581" s="10" t="n">
        <v>2073</v>
      </c>
      <c r="AI2581" s="10" t="n">
        <v>2961</v>
      </c>
      <c r="AJ2581" s="11" t="n">
        <v>24848</v>
      </c>
      <c r="AK2581" s="12" t="n">
        <v>3277</v>
      </c>
      <c r="AL2581" s="12" t="n">
        <v>5814</v>
      </c>
      <c r="AM2581" s="13" t="n">
        <v>25.5</v>
      </c>
      <c r="AN2581" s="13" t="n">
        <v>30.1</v>
      </c>
      <c r="AO2581" s="13" t="n">
        <v>58.1</v>
      </c>
      <c r="AP2581" s="13" t="n">
        <v>50.5</v>
      </c>
    </row>
    <row r="2582">
      <c r="A2582" s="5" t="inlineStr">
        <is>
          <t>미트박스</t>
        </is>
      </c>
      <c r="B2582" s="6" t="inlineStr">
        <is>
          <t>475460</t>
        </is>
      </c>
      <c r="C2582" s="6" t="inlineStr">
        <is>
          <t>연결</t>
        </is>
      </c>
      <c r="D2582" s="6" t="inlineStr">
        <is>
          <t>2026Q2</t>
        </is>
      </c>
      <c r="E2582" s="6" t="inlineStr"/>
      <c r="F2582" s="7" t="inlineStr"/>
      <c r="G2582" s="8" t="inlineStr"/>
      <c r="H2582" s="8" t="inlineStr"/>
      <c r="I2582" s="9" t="inlineStr"/>
      <c r="J2582" s="10" t="inlineStr"/>
      <c r="K2582" s="10" t="inlineStr"/>
      <c r="L2582" s="7" t="inlineStr"/>
      <c r="M2582" s="8" t="inlineStr"/>
      <c r="N2582" s="8" t="inlineStr"/>
      <c r="O2582" s="9" t="inlineStr"/>
      <c r="P2582" s="10" t="inlineStr"/>
      <c r="Q2582" s="10" t="inlineStr"/>
      <c r="R2582" s="7" t="inlineStr"/>
      <c r="S2582" s="8" t="inlineStr"/>
      <c r="T2582" s="8" t="inlineStr"/>
      <c r="U2582" s="9" t="inlineStr"/>
      <c r="V2582" s="10" t="n">
        <v>219</v>
      </c>
      <c r="W2582" s="10" t="n">
        <v>287</v>
      </c>
      <c r="X2582" s="7" t="inlineStr"/>
      <c r="Y2582" s="8" t="n">
        <v>-289</v>
      </c>
      <c r="Z2582" s="8" t="n">
        <v>-376</v>
      </c>
      <c r="AA2582" s="9" t="inlineStr"/>
      <c r="AB2582" s="10" t="n">
        <v>942</v>
      </c>
      <c r="AC2582" s="10" t="n">
        <v>692</v>
      </c>
      <c r="AD2582" s="7" t="inlineStr"/>
      <c r="AE2582" s="8" t="n">
        <v>2034</v>
      </c>
      <c r="AF2582" s="8" t="n">
        <v>1133</v>
      </c>
      <c r="AG2582" s="9" t="inlineStr"/>
      <c r="AH2582" s="10" t="n">
        <v>1589</v>
      </c>
      <c r="AI2582" s="10" t="n">
        <v>804</v>
      </c>
      <c r="AJ2582" s="11" t="inlineStr"/>
      <c r="AK2582" s="12" t="n">
        <v>871</v>
      </c>
      <c r="AL2582" s="12" t="n">
        <v>324</v>
      </c>
      <c r="AM2582" s="13" t="inlineStr"/>
      <c r="AN2582" s="13" t="inlineStr"/>
      <c r="AO2582" s="13" t="n">
        <v>-45.2</v>
      </c>
      <c r="AP2582" s="13" t="n">
        <v>401.4</v>
      </c>
    </row>
    <row r="2583">
      <c r="A2583" s="5" t="inlineStr">
        <is>
          <t>더본코리아</t>
        </is>
      </c>
      <c r="B2583" s="6" t="inlineStr">
        <is>
          <t>475560</t>
        </is>
      </c>
      <c r="C2583" s="6" t="inlineStr">
        <is>
          <t>연결</t>
        </is>
      </c>
      <c r="D2583" s="6" t="inlineStr">
        <is>
          <t>2026Q2</t>
        </is>
      </c>
      <c r="E2583" s="6" t="inlineStr"/>
      <c r="F2583" s="7" t="inlineStr"/>
      <c r="G2583" s="8" t="inlineStr"/>
      <c r="H2583" s="8" t="inlineStr"/>
      <c r="I2583" s="9" t="inlineStr"/>
      <c r="J2583" s="10" t="inlineStr"/>
      <c r="K2583" s="10" t="inlineStr"/>
      <c r="L2583" s="7" t="inlineStr"/>
      <c r="M2583" s="8" t="inlineStr"/>
      <c r="N2583" s="8" t="inlineStr"/>
      <c r="O2583" s="9" t="inlineStr"/>
      <c r="P2583" s="10" t="inlineStr"/>
      <c r="Q2583" s="10" t="inlineStr"/>
      <c r="R2583" s="7" t="inlineStr"/>
      <c r="S2583" s="8" t="inlineStr"/>
      <c r="T2583" s="8" t="inlineStr"/>
      <c r="U2583" s="9" t="n">
        <v>110715</v>
      </c>
      <c r="V2583" s="10" t="n">
        <v>6196</v>
      </c>
      <c r="W2583" s="10" t="n">
        <v>6328</v>
      </c>
      <c r="X2583" s="7" t="n">
        <v>74188</v>
      </c>
      <c r="Y2583" s="8" t="n">
        <v>-22475</v>
      </c>
      <c r="Z2583" s="8" t="n">
        <v>-23805</v>
      </c>
      <c r="AA2583" s="9" t="n">
        <v>87379</v>
      </c>
      <c r="AB2583" s="10" t="n">
        <v>-4364</v>
      </c>
      <c r="AC2583" s="10" t="n">
        <v>-2659</v>
      </c>
      <c r="AD2583" s="7" t="n">
        <v>88957</v>
      </c>
      <c r="AE2583" s="8" t="n">
        <v>-3036</v>
      </c>
      <c r="AF2583" s="8" t="n">
        <v>2742</v>
      </c>
      <c r="AG2583" s="9" t="n">
        <v>79606</v>
      </c>
      <c r="AH2583" s="10" t="n">
        <v>-4194</v>
      </c>
      <c r="AI2583" s="10" t="n">
        <v>-2257</v>
      </c>
      <c r="AJ2583" s="11" t="n">
        <v>83217</v>
      </c>
      <c r="AK2583" s="12" t="n">
        <v>-5562</v>
      </c>
      <c r="AL2583" s="12" t="n">
        <v>-4406</v>
      </c>
      <c r="AM2583" s="13" t="n">
        <v>4.5</v>
      </c>
      <c r="AN2583" s="13" t="n">
        <v>12.2</v>
      </c>
      <c r="AO2583" s="13" t="n">
        <v>-32.6</v>
      </c>
      <c r="AP2583" s="13" t="n">
        <v>75.3</v>
      </c>
    </row>
    <row r="2584">
      <c r="A2584" s="5" t="inlineStr">
        <is>
          <t>에이럭스</t>
        </is>
      </c>
      <c r="B2584" s="6" t="inlineStr">
        <is>
          <t>475580</t>
        </is>
      </c>
      <c r="C2584" s="6" t="inlineStr">
        <is>
          <t>연결</t>
        </is>
      </c>
      <c r="D2584" s="6" t="inlineStr">
        <is>
          <t>2026Q2</t>
        </is>
      </c>
      <c r="E2584" s="6" t="inlineStr"/>
      <c r="F2584" s="7" t="inlineStr"/>
      <c r="G2584" s="8" t="inlineStr"/>
      <c r="H2584" s="8" t="inlineStr"/>
      <c r="I2584" s="9" t="inlineStr"/>
      <c r="J2584" s="10" t="inlineStr"/>
      <c r="K2584" s="10" t="inlineStr"/>
      <c r="L2584" s="7" t="inlineStr"/>
      <c r="M2584" s="8" t="inlineStr"/>
      <c r="N2584" s="8" t="inlineStr"/>
      <c r="O2584" s="9" t="inlineStr"/>
      <c r="P2584" s="10" t="inlineStr"/>
      <c r="Q2584" s="10" t="inlineStr"/>
      <c r="R2584" s="7" t="inlineStr"/>
      <c r="S2584" s="8" t="inlineStr"/>
      <c r="T2584" s="8" t="inlineStr"/>
      <c r="U2584" s="9" t="n">
        <v>11182</v>
      </c>
      <c r="V2584" s="10" t="n">
        <v>-1681</v>
      </c>
      <c r="W2584" s="10" t="n">
        <v>-1602</v>
      </c>
      <c r="X2584" s="7" t="n">
        <v>12726</v>
      </c>
      <c r="Y2584" s="8" t="n">
        <v>-3861</v>
      </c>
      <c r="Z2584" s="8" t="n">
        <v>-3606</v>
      </c>
      <c r="AA2584" s="9" t="n">
        <v>18712</v>
      </c>
      <c r="AB2584" s="10" t="n">
        <v>-671</v>
      </c>
      <c r="AC2584" s="10" t="n">
        <v>589</v>
      </c>
      <c r="AD2584" s="7" t="n">
        <v>20396</v>
      </c>
      <c r="AE2584" s="8" t="n">
        <v>-4261</v>
      </c>
      <c r="AF2584" s="8" t="n">
        <v>-4805</v>
      </c>
      <c r="AG2584" s="9" t="n">
        <v>15236</v>
      </c>
      <c r="AH2584" s="10" t="n">
        <v>-2514</v>
      </c>
      <c r="AI2584" s="10" t="n">
        <v>-3274</v>
      </c>
      <c r="AJ2584" s="11" t="n">
        <v>21913</v>
      </c>
      <c r="AK2584" s="12" t="n">
        <v>-1260</v>
      </c>
      <c r="AL2584" s="12" t="n">
        <v>-33</v>
      </c>
      <c r="AM2584" s="13" t="n">
        <v>43.8</v>
      </c>
      <c r="AN2584" s="13" t="n">
        <v>72.2</v>
      </c>
      <c r="AO2584" s="13" t="n">
        <v>49.9</v>
      </c>
      <c r="AP2584" s="13" t="n">
        <v>67.40000000000001</v>
      </c>
    </row>
    <row r="2585">
      <c r="A2585" s="5" t="inlineStr">
        <is>
          <t>에스켐</t>
        </is>
      </c>
      <c r="B2585" s="6" t="inlineStr">
        <is>
          <t>475660</t>
        </is>
      </c>
      <c r="C2585" s="6" t="inlineStr">
        <is>
          <t>별도</t>
        </is>
      </c>
      <c r="D2585" s="6" t="inlineStr">
        <is>
          <t>2026Q2</t>
        </is>
      </c>
      <c r="E2585" s="6" t="inlineStr"/>
      <c r="F2585" s="7" t="inlineStr"/>
      <c r="G2585" s="8" t="inlineStr"/>
      <c r="H2585" s="8" t="inlineStr"/>
      <c r="I2585" s="9" t="inlineStr"/>
      <c r="J2585" s="10" t="inlineStr"/>
      <c r="K2585" s="10" t="inlineStr"/>
      <c r="L2585" s="7" t="inlineStr"/>
      <c r="M2585" s="8" t="inlineStr"/>
      <c r="N2585" s="8" t="inlineStr"/>
      <c r="O2585" s="9" t="inlineStr"/>
      <c r="P2585" s="10" t="inlineStr"/>
      <c r="Q2585" s="10" t="inlineStr"/>
      <c r="R2585" s="7" t="inlineStr"/>
      <c r="S2585" s="8" t="inlineStr"/>
      <c r="T2585" s="8" t="inlineStr"/>
      <c r="U2585" s="9" t="n">
        <v>5133</v>
      </c>
      <c r="V2585" s="10" t="n">
        <v>438</v>
      </c>
      <c r="W2585" s="10" t="n">
        <v>465</v>
      </c>
      <c r="X2585" s="7" t="n">
        <v>3870</v>
      </c>
      <c r="Y2585" s="8" t="n">
        <v>-1004</v>
      </c>
      <c r="Z2585" s="8" t="n">
        <v>-939</v>
      </c>
      <c r="AA2585" s="9" t="n">
        <v>6546</v>
      </c>
      <c r="AB2585" s="10" t="n">
        <v>-980</v>
      </c>
      <c r="AC2585" s="10" t="n">
        <v>-1182</v>
      </c>
      <c r="AD2585" s="7" t="n">
        <v>6550</v>
      </c>
      <c r="AE2585" s="8" t="n">
        <v>-484</v>
      </c>
      <c r="AF2585" s="8" t="n">
        <v>-513</v>
      </c>
      <c r="AG2585" s="9" t="n">
        <v>6665</v>
      </c>
      <c r="AH2585" s="10" t="n">
        <v>302</v>
      </c>
      <c r="AI2585" s="10" t="n">
        <v>488</v>
      </c>
      <c r="AJ2585" s="11" t="n">
        <v>6527</v>
      </c>
      <c r="AK2585" s="12" t="n">
        <v>-1010</v>
      </c>
      <c r="AL2585" s="12" t="n">
        <v>-1088</v>
      </c>
      <c r="AM2585" s="13" t="n">
        <v>-2.1</v>
      </c>
      <c r="AN2585" s="13" t="n">
        <v>68.7</v>
      </c>
      <c r="AO2585" s="13" t="n">
        <v>-434.4</v>
      </c>
      <c r="AP2585" s="13" t="n">
        <v>-0.6</v>
      </c>
    </row>
    <row r="2586">
      <c r="A2586" s="5" t="inlineStr">
        <is>
          <t>오름테라퓨틱</t>
        </is>
      </c>
      <c r="B2586" s="6" t="inlineStr">
        <is>
          <t>475830</t>
        </is>
      </c>
      <c r="C2586" s="6" t="inlineStr">
        <is>
          <t>연결</t>
        </is>
      </c>
      <c r="D2586" s="6" t="inlineStr">
        <is>
          <t>2026Q2</t>
        </is>
      </c>
      <c r="E2586" s="6" t="inlineStr"/>
      <c r="F2586" s="7" t="inlineStr"/>
      <c r="G2586" s="8" t="inlineStr"/>
      <c r="H2586" s="8" t="inlineStr"/>
      <c r="I2586" s="9" t="inlineStr"/>
      <c r="J2586" s="10" t="inlineStr"/>
      <c r="K2586" s="10" t="inlineStr"/>
      <c r="L2586" s="7" t="inlineStr"/>
      <c r="M2586" s="8" t="inlineStr"/>
      <c r="N2586" s="8" t="inlineStr"/>
      <c r="O2586" s="9" t="inlineStr"/>
      <c r="P2586" s="10" t="inlineStr"/>
      <c r="Q2586" s="10" t="inlineStr"/>
      <c r="R2586" s="7" t="inlineStr"/>
      <c r="S2586" s="8" t="inlineStr"/>
      <c r="T2586" s="8" t="inlineStr"/>
      <c r="U2586" s="9" t="n">
        <v>3</v>
      </c>
      <c r="V2586" s="10" t="n">
        <v>-9570</v>
      </c>
      <c r="W2586" s="10" t="n">
        <v>-8602</v>
      </c>
      <c r="X2586" s="7" t="n">
        <v>4</v>
      </c>
      <c r="Y2586" s="8" t="n">
        <v>-9996</v>
      </c>
      <c r="Z2586" s="8" t="n">
        <v>-3772</v>
      </c>
      <c r="AA2586" s="9" t="n">
        <v>16</v>
      </c>
      <c r="AB2586" s="10" t="n">
        <v>-13939</v>
      </c>
      <c r="AC2586" s="10" t="n">
        <v>-13620</v>
      </c>
      <c r="AD2586" s="7" t="n">
        <v>1</v>
      </c>
      <c r="AE2586" s="8" t="n">
        <v>-18254</v>
      </c>
      <c r="AF2586" s="8" t="n">
        <v>-15975</v>
      </c>
      <c r="AG2586" s="9" t="n">
        <v>0</v>
      </c>
      <c r="AH2586" s="10" t="n">
        <v>-18076</v>
      </c>
      <c r="AI2586" s="10" t="n">
        <v>-15278</v>
      </c>
      <c r="AJ2586" s="11" t="n">
        <v>24</v>
      </c>
      <c r="AK2586" s="12" t="n">
        <v>-15353</v>
      </c>
      <c r="AL2586" s="12" t="n">
        <v>63384</v>
      </c>
      <c r="AM2586" s="13" t="inlineStr"/>
      <c r="AN2586" s="13" t="n">
        <v>500</v>
      </c>
      <c r="AO2586" s="13" t="n">
        <v>15.1</v>
      </c>
      <c r="AP2586" s="13" t="n">
        <v>-53.6</v>
      </c>
    </row>
    <row r="2587">
      <c r="A2587" s="5" t="inlineStr">
        <is>
          <t>토모큐브</t>
        </is>
      </c>
      <c r="B2587" s="6" t="inlineStr">
        <is>
          <t>475960</t>
        </is>
      </c>
      <c r="C2587" s="6" t="inlineStr">
        <is>
          <t>연결</t>
        </is>
      </c>
      <c r="D2587" s="6" t="inlineStr">
        <is>
          <t>2026Q2</t>
        </is>
      </c>
      <c r="E2587" s="6" t="inlineStr"/>
      <c r="F2587" s="7" t="inlineStr"/>
      <c r="G2587" s="8" t="inlineStr"/>
      <c r="H2587" s="8" t="inlineStr"/>
      <c r="I2587" s="9" t="inlineStr"/>
      <c r="J2587" s="10" t="inlineStr"/>
      <c r="K2587" s="10" t="inlineStr"/>
      <c r="L2587" s="7" t="inlineStr"/>
      <c r="M2587" s="8" t="inlineStr"/>
      <c r="N2587" s="8" t="inlineStr"/>
      <c r="O2587" s="9" t="inlineStr"/>
      <c r="P2587" s="10" t="inlineStr"/>
      <c r="Q2587" s="10" t="inlineStr"/>
      <c r="R2587" s="7" t="inlineStr"/>
      <c r="S2587" s="8" t="inlineStr"/>
      <c r="T2587" s="8" t="inlineStr"/>
      <c r="U2587" s="9" t="n">
        <v>653</v>
      </c>
      <c r="V2587" s="10" t="n">
        <v>-3012</v>
      </c>
      <c r="W2587" s="10" t="n">
        <v>-2786</v>
      </c>
      <c r="X2587" s="7" t="n">
        <v>3143</v>
      </c>
      <c r="Y2587" s="8" t="n">
        <v>-1126</v>
      </c>
      <c r="Z2587" s="8" t="n">
        <v>-1130</v>
      </c>
      <c r="AA2587" s="9" t="n">
        <v>2522</v>
      </c>
      <c r="AB2587" s="10" t="n">
        <v>-1829</v>
      </c>
      <c r="AC2587" s="10" t="n">
        <v>-1537</v>
      </c>
      <c r="AD2587" s="7" t="n">
        <v>4989</v>
      </c>
      <c r="AE2587" s="8" t="n">
        <v>398</v>
      </c>
      <c r="AF2587" s="8" t="n">
        <v>643</v>
      </c>
      <c r="AG2587" s="9" t="n">
        <v>2746</v>
      </c>
      <c r="AH2587" s="10" t="n">
        <v>-1865</v>
      </c>
      <c r="AI2587" s="10" t="n">
        <v>-1355</v>
      </c>
      <c r="AJ2587" s="11" t="n">
        <v>4964</v>
      </c>
      <c r="AK2587" s="12" t="n">
        <v>-587</v>
      </c>
      <c r="AL2587" s="12" t="n">
        <v>-203</v>
      </c>
      <c r="AM2587" s="13" t="n">
        <v>80.8</v>
      </c>
      <c r="AN2587" s="13" t="n">
        <v>57.9</v>
      </c>
      <c r="AO2587" s="13" t="n">
        <v>68.5</v>
      </c>
      <c r="AP2587" s="13" t="n">
        <v>47.9</v>
      </c>
    </row>
    <row r="2588">
      <c r="A2588" s="5" t="inlineStr">
        <is>
          <t>오가노이드사이언스</t>
        </is>
      </c>
      <c r="B2588" s="6" t="inlineStr">
        <is>
          <t>476040</t>
        </is>
      </c>
      <c r="C2588" s="6" t="inlineStr">
        <is>
          <t>연결</t>
        </is>
      </c>
      <c r="D2588" s="6" t="inlineStr">
        <is>
          <t>2026Q2</t>
        </is>
      </c>
      <c r="E2588" s="6" t="inlineStr"/>
      <c r="F2588" s="7" t="inlineStr"/>
      <c r="G2588" s="8" t="inlineStr"/>
      <c r="H2588" s="8" t="inlineStr"/>
      <c r="I2588" s="9" t="inlineStr"/>
      <c r="J2588" s="10" t="inlineStr"/>
      <c r="K2588" s="10" t="inlineStr"/>
      <c r="L2588" s="7" t="inlineStr"/>
      <c r="M2588" s="8" t="inlineStr"/>
      <c r="N2588" s="8" t="inlineStr"/>
      <c r="O2588" s="9" t="inlineStr"/>
      <c r="P2588" s="10" t="inlineStr"/>
      <c r="Q2588" s="10" t="inlineStr"/>
      <c r="R2588" s="7" t="inlineStr"/>
      <c r="S2588" s="8" t="inlineStr"/>
      <c r="T2588" s="8" t="inlineStr"/>
      <c r="U2588" s="9" t="inlineStr"/>
      <c r="V2588" s="10" t="inlineStr"/>
      <c r="W2588" s="10" t="inlineStr"/>
      <c r="X2588" s="7" t="n">
        <v>605</v>
      </c>
      <c r="Y2588" s="8" t="n">
        <v>-4697</v>
      </c>
      <c r="Z2588" s="8" t="n">
        <v>-4524</v>
      </c>
      <c r="AA2588" s="9" t="n">
        <v>320</v>
      </c>
      <c r="AB2588" s="10" t="n">
        <v>-3907</v>
      </c>
      <c r="AC2588" s="10" t="n">
        <v>-3882</v>
      </c>
      <c r="AD2588" s="7" t="inlineStr"/>
      <c r="AE2588" s="8" t="inlineStr"/>
      <c r="AF2588" s="8" t="inlineStr"/>
      <c r="AG2588" s="9" t="n">
        <v>144</v>
      </c>
      <c r="AH2588" s="10" t="n">
        <v>-4243</v>
      </c>
      <c r="AI2588" s="10" t="n">
        <v>-4387</v>
      </c>
      <c r="AJ2588" s="11" t="n">
        <v>598</v>
      </c>
      <c r="AK2588" s="12" t="n">
        <v>-4354</v>
      </c>
      <c r="AL2588" s="12" t="n">
        <v>-6953</v>
      </c>
      <c r="AM2588" s="13" t="n">
        <v>315.3</v>
      </c>
      <c r="AN2588" s="13" t="n">
        <v>-1.2</v>
      </c>
      <c r="AO2588" s="13" t="n">
        <v>-2.6</v>
      </c>
      <c r="AP2588" s="13" t="n">
        <v>7.3</v>
      </c>
    </row>
    <row r="2589">
      <c r="A2589" s="5" t="inlineStr">
        <is>
          <t>온코닉테라퓨틱스</t>
        </is>
      </c>
      <c r="B2589" s="6" t="inlineStr">
        <is>
          <t>476060</t>
        </is>
      </c>
      <c r="C2589" s="6" t="inlineStr">
        <is>
          <t>별도</t>
        </is>
      </c>
      <c r="D2589" s="6" t="inlineStr">
        <is>
          <t>2026Q2</t>
        </is>
      </c>
      <c r="E2589" s="6" t="inlineStr"/>
      <c r="F2589" s="7" t="inlineStr"/>
      <c r="G2589" s="8" t="inlineStr"/>
      <c r="H2589" s="8" t="inlineStr"/>
      <c r="I2589" s="9" t="inlineStr"/>
      <c r="J2589" s="10" t="inlineStr"/>
      <c r="K2589" s="10" t="inlineStr"/>
      <c r="L2589" s="7" t="inlineStr"/>
      <c r="M2589" s="8" t="inlineStr"/>
      <c r="N2589" s="8" t="inlineStr"/>
      <c r="O2589" s="9" t="inlineStr"/>
      <c r="P2589" s="10" t="inlineStr"/>
      <c r="Q2589" s="10" t="inlineStr"/>
      <c r="R2589" s="7" t="inlineStr"/>
      <c r="S2589" s="8" t="inlineStr"/>
      <c r="T2589" s="8" t="inlineStr"/>
      <c r="U2589" s="9" t="inlineStr"/>
      <c r="V2589" s="10" t="n">
        <v>1578</v>
      </c>
      <c r="W2589" s="10" t="n">
        <v>1878</v>
      </c>
      <c r="X2589" s="7" t="inlineStr"/>
      <c r="Y2589" s="8" t="n">
        <v>1113</v>
      </c>
      <c r="Z2589" s="8" t="n">
        <v>-156</v>
      </c>
      <c r="AA2589" s="14" t="n">
        <v>19213</v>
      </c>
      <c r="AB2589" s="10" t="n">
        <v>8317</v>
      </c>
      <c r="AC2589" s="10" t="n">
        <v>9402</v>
      </c>
      <c r="AD2589" s="7" t="inlineStr"/>
      <c r="AE2589" s="8" t="n">
        <v>1611</v>
      </c>
      <c r="AF2589" s="8" t="n">
        <v>4660</v>
      </c>
      <c r="AG2589" s="9" t="inlineStr"/>
      <c r="AH2589" s="10" t="n">
        <v>4586</v>
      </c>
      <c r="AI2589" s="10" t="n">
        <v>6422</v>
      </c>
      <c r="AJ2589" s="11" t="inlineStr"/>
      <c r="AK2589" s="12" t="n">
        <v>2789</v>
      </c>
      <c r="AL2589" s="12" t="n">
        <v>3768</v>
      </c>
      <c r="AM2589" s="13" t="inlineStr"/>
      <c r="AN2589" s="13" t="inlineStr"/>
      <c r="AO2589" s="13" t="n">
        <v>-39.2</v>
      </c>
      <c r="AP2589" s="13" t="n">
        <v>150.6</v>
      </c>
    </row>
    <row r="2590">
      <c r="A2590" s="5" t="inlineStr">
        <is>
          <t>M83</t>
        </is>
      </c>
      <c r="B2590" s="6" t="inlineStr">
        <is>
          <t>476080</t>
        </is>
      </c>
      <c r="C2590" s="6" t="inlineStr">
        <is>
          <t>연결</t>
        </is>
      </c>
      <c r="D2590" s="6" t="inlineStr">
        <is>
          <t>2026Q2</t>
        </is>
      </c>
      <c r="E2590" s="6" t="inlineStr"/>
      <c r="F2590" s="7" t="inlineStr"/>
      <c r="G2590" s="8" t="inlineStr"/>
      <c r="H2590" s="8" t="inlineStr"/>
      <c r="I2590" s="9" t="inlineStr"/>
      <c r="J2590" s="10" t="inlineStr"/>
      <c r="K2590" s="10" t="inlineStr"/>
      <c r="L2590" s="7" t="inlineStr"/>
      <c r="M2590" s="8" t="inlineStr"/>
      <c r="N2590" s="8" t="inlineStr"/>
      <c r="O2590" s="9" t="n">
        <v>10661</v>
      </c>
      <c r="P2590" s="10" t="n">
        <v>1010</v>
      </c>
      <c r="Q2590" s="10" t="n">
        <v>916</v>
      </c>
      <c r="R2590" s="7" t="inlineStr"/>
      <c r="S2590" s="8" t="inlineStr"/>
      <c r="T2590" s="8" t="inlineStr"/>
      <c r="U2590" s="9" t="n">
        <v>10826</v>
      </c>
      <c r="V2590" s="10" t="n">
        <v>-2988</v>
      </c>
      <c r="W2590" s="10" t="n">
        <v>-2602</v>
      </c>
      <c r="X2590" s="7" t="n">
        <v>31731</v>
      </c>
      <c r="Y2590" s="8" t="n">
        <v>-1761</v>
      </c>
      <c r="Z2590" s="8" t="n">
        <v>-1858</v>
      </c>
      <c r="AA2590" s="9" t="n">
        <v>32961</v>
      </c>
      <c r="AB2590" s="10" t="n">
        <v>-2177</v>
      </c>
      <c r="AC2590" s="10" t="n">
        <v>-1610</v>
      </c>
      <c r="AD2590" s="7" t="n">
        <v>56878</v>
      </c>
      <c r="AE2590" s="8" t="n">
        <v>-2041</v>
      </c>
      <c r="AF2590" s="8" t="n">
        <v>-2786</v>
      </c>
      <c r="AG2590" s="9" t="n">
        <v>66879</v>
      </c>
      <c r="AH2590" s="10" t="n">
        <v>-2580</v>
      </c>
      <c r="AI2590" s="10" t="n">
        <v>-2889</v>
      </c>
      <c r="AJ2590" s="11" t="n">
        <v>48963</v>
      </c>
      <c r="AK2590" s="12" t="n">
        <v>1593</v>
      </c>
      <c r="AL2590" s="12" t="n">
        <v>1196</v>
      </c>
      <c r="AM2590" s="13" t="n">
        <v>-26.8</v>
      </c>
      <c r="AN2590" s="13" t="n">
        <v>54.3</v>
      </c>
      <c r="AO2590" s="13" t="n">
        <v>161.7</v>
      </c>
      <c r="AP2590" s="13" t="n">
        <v>190.5</v>
      </c>
    </row>
    <row r="2591">
      <c r="A2591" s="5" t="inlineStr">
        <is>
          <t>알지노믹스</t>
        </is>
      </c>
      <c r="B2591" s="6" t="inlineStr">
        <is>
          <t>476830</t>
        </is>
      </c>
      <c r="C2591" s="6" t="inlineStr">
        <is>
          <t>별도</t>
        </is>
      </c>
      <c r="D2591" s="6" t="inlineStr">
        <is>
          <t>2026Q2</t>
        </is>
      </c>
      <c r="E2591" s="6" t="inlineStr"/>
      <c r="F2591" s="7" t="inlineStr"/>
      <c r="G2591" s="8" t="inlineStr"/>
      <c r="H2591" s="8" t="inlineStr"/>
      <c r="I2591" s="9" t="n">
        <v>0</v>
      </c>
      <c r="J2591" s="10" t="n">
        <v>-3372</v>
      </c>
      <c r="K2591" s="10" t="n">
        <v>-4334</v>
      </c>
      <c r="L2591" s="7" t="inlineStr"/>
      <c r="M2591" s="8" t="n">
        <v>-3420</v>
      </c>
      <c r="N2591" s="8" t="n">
        <v>-4492</v>
      </c>
      <c r="O2591" s="9" t="n">
        <v>0</v>
      </c>
      <c r="P2591" s="10" t="n">
        <v>-3445</v>
      </c>
      <c r="Q2591" s="10" t="n">
        <v>-4447</v>
      </c>
      <c r="R2591" s="7" t="inlineStr"/>
      <c r="S2591" s="8" t="n">
        <v>-2625</v>
      </c>
      <c r="T2591" s="8" t="n">
        <v>-5577</v>
      </c>
      <c r="U2591" s="9" t="inlineStr"/>
      <c r="V2591" s="10" t="n">
        <v>-4131</v>
      </c>
      <c r="W2591" s="10" t="n">
        <v>-5263</v>
      </c>
      <c r="X2591" s="7" t="inlineStr"/>
      <c r="Y2591" s="8" t="n">
        <v>3056</v>
      </c>
      <c r="Z2591" s="8" t="n">
        <v>-85067</v>
      </c>
      <c r="AA2591" s="9" t="inlineStr"/>
      <c r="AB2591" s="10" t="n">
        <v>-8082</v>
      </c>
      <c r="AC2591" s="10" t="n">
        <v>-8150</v>
      </c>
      <c r="AD2591" s="7" t="inlineStr"/>
      <c r="AE2591" s="8" t="n">
        <v>-5440</v>
      </c>
      <c r="AF2591" s="8" t="n">
        <v>-5330</v>
      </c>
      <c r="AG2591" s="9" t="inlineStr"/>
      <c r="AH2591" s="10" t="n">
        <v>-8058</v>
      </c>
      <c r="AI2591" s="10" t="n">
        <v>-7761</v>
      </c>
      <c r="AJ2591" s="11" t="n">
        <v>808</v>
      </c>
      <c r="AK2591" s="12" t="n">
        <v>-6852</v>
      </c>
      <c r="AL2591" s="12" t="n">
        <v>-6367</v>
      </c>
      <c r="AM2591" s="13" t="inlineStr"/>
      <c r="AN2591" s="13" t="inlineStr"/>
      <c r="AO2591" s="13" t="n">
        <v>15</v>
      </c>
      <c r="AP2591" s="13" t="n">
        <v>-324.2</v>
      </c>
    </row>
    <row r="2592">
      <c r="A2592" s="5" t="inlineStr">
        <is>
          <t>에이치엠씨제7호스팩</t>
        </is>
      </c>
      <c r="B2592" s="6" t="inlineStr">
        <is>
          <t>477340</t>
        </is>
      </c>
      <c r="C2592" s="6" t="inlineStr">
        <is>
          <t>별도</t>
        </is>
      </c>
      <c r="D2592" s="6" t="inlineStr">
        <is>
          <t>2026Q2</t>
        </is>
      </c>
      <c r="E2592" s="6" t="inlineStr"/>
      <c r="F2592" s="7" t="inlineStr"/>
      <c r="G2592" s="8" t="inlineStr"/>
      <c r="H2592" s="8" t="inlineStr"/>
      <c r="I2592" s="9" t="inlineStr"/>
      <c r="J2592" s="10" t="inlineStr"/>
      <c r="K2592" s="10" t="inlineStr"/>
      <c r="L2592" s="7" t="n">
        <v>0</v>
      </c>
      <c r="M2592" s="8" t="n">
        <v>-14</v>
      </c>
      <c r="N2592" s="8" t="n">
        <v>-7</v>
      </c>
      <c r="O2592" s="9" t="n">
        <v>0</v>
      </c>
      <c r="P2592" s="10" t="n">
        <v>-7</v>
      </c>
      <c r="Q2592" s="10" t="n">
        <v>89</v>
      </c>
      <c r="R2592" s="7" t="inlineStr"/>
      <c r="S2592" s="8" t="inlineStr"/>
      <c r="T2592" s="8" t="inlineStr"/>
      <c r="U2592" s="9" t="n">
        <v>0</v>
      </c>
      <c r="V2592" s="10" t="n">
        <v>-11</v>
      </c>
      <c r="W2592" s="10" t="n">
        <v>73</v>
      </c>
      <c r="X2592" s="7" t="n">
        <v>0</v>
      </c>
      <c r="Y2592" s="8" t="n">
        <v>-7</v>
      </c>
      <c r="Z2592" s="8" t="n">
        <v>160</v>
      </c>
      <c r="AA2592" s="9" t="n">
        <v>0</v>
      </c>
      <c r="AB2592" s="10" t="n">
        <v>-6</v>
      </c>
      <c r="AC2592" s="10" t="n">
        <v>52</v>
      </c>
      <c r="AD2592" s="7" t="n">
        <v>0</v>
      </c>
      <c r="AE2592" s="8" t="n">
        <v>-7</v>
      </c>
      <c r="AF2592" s="8" t="n">
        <v>-14</v>
      </c>
      <c r="AG2592" s="9" t="n">
        <v>0</v>
      </c>
      <c r="AH2592" s="10" t="n">
        <v>-9</v>
      </c>
      <c r="AI2592" s="10" t="n">
        <v>46</v>
      </c>
      <c r="AJ2592" s="11" t="n">
        <v>0</v>
      </c>
      <c r="AK2592" s="12" t="n">
        <v>-6</v>
      </c>
      <c r="AL2592" s="12" t="n">
        <v>68</v>
      </c>
      <c r="AM2592" s="13" t="inlineStr"/>
      <c r="AN2592" s="13" t="inlineStr"/>
      <c r="AO2592" s="13" t="n">
        <v>33.3</v>
      </c>
      <c r="AP2592" s="13" t="n">
        <v>14.3</v>
      </c>
    </row>
    <row r="2593">
      <c r="A2593" s="5" t="inlineStr">
        <is>
          <t>미래에셋비전스팩4호</t>
        </is>
      </c>
      <c r="B2593" s="6" t="inlineStr">
        <is>
          <t>477380</t>
        </is>
      </c>
      <c r="C2593" s="6" t="inlineStr">
        <is>
          <t>별도</t>
        </is>
      </c>
      <c r="D2593" s="6" t="inlineStr">
        <is>
          <t>2026Q2</t>
        </is>
      </c>
      <c r="E2593" s="6" t="inlineStr"/>
      <c r="F2593" s="7" t="inlineStr"/>
      <c r="G2593" s="8" t="inlineStr"/>
      <c r="H2593" s="8" t="inlineStr"/>
      <c r="I2593" s="9" t="inlineStr"/>
      <c r="J2593" s="10" t="inlineStr"/>
      <c r="K2593" s="10" t="inlineStr"/>
      <c r="L2593" s="7" t="inlineStr"/>
      <c r="M2593" s="8" t="n">
        <v>-15</v>
      </c>
      <c r="N2593" s="8" t="n">
        <v>29</v>
      </c>
      <c r="O2593" s="9" t="inlineStr"/>
      <c r="P2593" s="10" t="n">
        <v>-4</v>
      </c>
      <c r="Q2593" s="10" t="n">
        <v>89</v>
      </c>
      <c r="R2593" s="7" t="inlineStr"/>
      <c r="S2593" s="8" t="inlineStr"/>
      <c r="T2593" s="8" t="inlineStr"/>
      <c r="U2593" s="9" t="inlineStr"/>
      <c r="V2593" s="10" t="n">
        <v>-20</v>
      </c>
      <c r="W2593" s="10" t="n">
        <v>78</v>
      </c>
      <c r="X2593" s="7" t="inlineStr"/>
      <c r="Y2593" s="8" t="n">
        <v>-8</v>
      </c>
      <c r="Z2593" s="8" t="n">
        <v>96</v>
      </c>
      <c r="AA2593" s="9" t="inlineStr"/>
      <c r="AB2593" s="10" t="n">
        <v>-8</v>
      </c>
      <c r="AC2593" s="10" t="n">
        <v>57</v>
      </c>
      <c r="AD2593" s="7" t="inlineStr"/>
      <c r="AE2593" s="8" t="n">
        <v>-4</v>
      </c>
      <c r="AF2593" s="8" t="n">
        <v>63</v>
      </c>
      <c r="AG2593" s="9" t="inlineStr"/>
      <c r="AH2593" s="10" t="n">
        <v>-20</v>
      </c>
      <c r="AI2593" s="10" t="n">
        <v>47</v>
      </c>
      <c r="AJ2593" s="11" t="inlineStr"/>
      <c r="AK2593" s="12" t="n">
        <v>-6</v>
      </c>
      <c r="AL2593" s="12" t="n">
        <v>84</v>
      </c>
      <c r="AM2593" s="13" t="inlineStr"/>
      <c r="AN2593" s="13" t="inlineStr"/>
      <c r="AO2593" s="13" t="n">
        <v>70</v>
      </c>
      <c r="AP2593" s="13" t="n">
        <v>25</v>
      </c>
    </row>
    <row r="2594">
      <c r="A2594" s="5" t="inlineStr">
        <is>
          <t>미래에셋비전스팩5호</t>
        </is>
      </c>
      <c r="B2594" s="6" t="inlineStr">
        <is>
          <t>477470</t>
        </is>
      </c>
      <c r="C2594" s="6" t="inlineStr">
        <is>
          <t>별도</t>
        </is>
      </c>
      <c r="D2594" s="6" t="inlineStr">
        <is>
          <t>2026Q2</t>
        </is>
      </c>
      <c r="E2594" s="6" t="inlineStr"/>
      <c r="F2594" s="7" t="inlineStr"/>
      <c r="G2594" s="8" t="inlineStr"/>
      <c r="H2594" s="8" t="inlineStr"/>
      <c r="I2594" s="9" t="inlineStr"/>
      <c r="J2594" s="10" t="inlineStr"/>
      <c r="K2594" s="10" t="inlineStr"/>
      <c r="L2594" s="7" t="inlineStr"/>
      <c r="M2594" s="8" t="n">
        <v>-13</v>
      </c>
      <c r="N2594" s="8" t="n">
        <v>-10</v>
      </c>
      <c r="O2594" s="9" t="inlineStr"/>
      <c r="P2594" s="10" t="n">
        <v>-7</v>
      </c>
      <c r="Q2594" s="10" t="n">
        <v>71</v>
      </c>
      <c r="R2594" s="7" t="inlineStr"/>
      <c r="S2594" s="8" t="inlineStr"/>
      <c r="T2594" s="8" t="inlineStr"/>
      <c r="U2594" s="9" t="inlineStr"/>
      <c r="V2594" s="10" t="n">
        <v>-20</v>
      </c>
      <c r="W2594" s="10" t="n">
        <v>46</v>
      </c>
      <c r="X2594" s="7" t="inlineStr"/>
      <c r="Y2594" s="8" t="n">
        <v>-8</v>
      </c>
      <c r="Z2594" s="8" t="n">
        <v>57</v>
      </c>
      <c r="AA2594" s="9" t="n">
        <v>0</v>
      </c>
      <c r="AB2594" s="10" t="n">
        <v>-10</v>
      </c>
      <c r="AC2594" s="10" t="n">
        <v>52</v>
      </c>
      <c r="AD2594" s="7" t="inlineStr"/>
      <c r="AE2594" s="8" t="n">
        <v>-7</v>
      </c>
      <c r="AF2594" s="8" t="n">
        <v>36</v>
      </c>
      <c r="AG2594" s="9" t="inlineStr"/>
      <c r="AH2594" s="10" t="n">
        <v>-22</v>
      </c>
      <c r="AI2594" s="10" t="n">
        <v>30</v>
      </c>
      <c r="AJ2594" s="11" t="inlineStr"/>
      <c r="AK2594" s="12" t="n">
        <v>-11</v>
      </c>
      <c r="AL2594" s="12" t="n">
        <v>45</v>
      </c>
      <c r="AM2594" s="13" t="inlineStr"/>
      <c r="AN2594" s="13" t="inlineStr"/>
      <c r="AO2594" s="13" t="n">
        <v>50</v>
      </c>
      <c r="AP2594" s="13" t="n">
        <v>-37.5</v>
      </c>
    </row>
    <row r="2595">
      <c r="A2595" s="5" t="inlineStr">
        <is>
          <t>디비금융스팩12호</t>
        </is>
      </c>
      <c r="B2595" s="6" t="inlineStr">
        <is>
          <t>477760</t>
        </is>
      </c>
      <c r="C2595" s="6" t="inlineStr">
        <is>
          <t>별도</t>
        </is>
      </c>
      <c r="D2595" s="6" t="inlineStr">
        <is>
          <t>2026Q2</t>
        </is>
      </c>
      <c r="E2595" s="6" t="inlineStr"/>
      <c r="F2595" s="7" t="inlineStr"/>
      <c r="G2595" s="8" t="inlineStr"/>
      <c r="H2595" s="8" t="inlineStr"/>
      <c r="I2595" s="9" t="inlineStr"/>
      <c r="J2595" s="10" t="inlineStr"/>
      <c r="K2595" s="10" t="inlineStr"/>
      <c r="L2595" s="7" t="n">
        <v>0</v>
      </c>
      <c r="M2595" s="8" t="n">
        <v>-25</v>
      </c>
      <c r="N2595" s="8" t="n">
        <v>-17</v>
      </c>
      <c r="O2595" s="9" t="n">
        <v>0</v>
      </c>
      <c r="P2595" s="10" t="n">
        <v>-10</v>
      </c>
      <c r="Q2595" s="10" t="n">
        <v>67</v>
      </c>
      <c r="R2595" s="7" t="inlineStr"/>
      <c r="S2595" s="8" t="inlineStr"/>
      <c r="T2595" s="8" t="inlineStr"/>
      <c r="U2595" s="9" t="n">
        <v>0</v>
      </c>
      <c r="V2595" s="10" t="n">
        <v>-15</v>
      </c>
      <c r="W2595" s="10" t="n">
        <v>59</v>
      </c>
      <c r="X2595" s="7" t="n">
        <v>0</v>
      </c>
      <c r="Y2595" s="8" t="n">
        <v>-7</v>
      </c>
      <c r="Z2595" s="8" t="n">
        <v>50</v>
      </c>
      <c r="AA2595" s="9" t="n">
        <v>0</v>
      </c>
      <c r="AB2595" s="10" t="n">
        <v>-6</v>
      </c>
      <c r="AC2595" s="10" t="n">
        <v>47</v>
      </c>
      <c r="AD2595" s="7" t="n">
        <v>0</v>
      </c>
      <c r="AE2595" s="8" t="n">
        <v>-4</v>
      </c>
      <c r="AF2595" s="8" t="n">
        <v>84</v>
      </c>
      <c r="AG2595" s="9" t="n">
        <v>0</v>
      </c>
      <c r="AH2595" s="10" t="n">
        <v>-14</v>
      </c>
      <c r="AI2595" s="10" t="n">
        <v>-2</v>
      </c>
      <c r="AJ2595" s="11" t="n">
        <v>0</v>
      </c>
      <c r="AK2595" s="12" t="n">
        <v>-7</v>
      </c>
      <c r="AL2595" s="12" t="n">
        <v>53</v>
      </c>
      <c r="AM2595" s="13" t="inlineStr"/>
      <c r="AN2595" s="13" t="inlineStr"/>
      <c r="AO2595" s="13" t="n">
        <v>50</v>
      </c>
      <c r="AP2595" s="13" t="n">
        <v>0</v>
      </c>
    </row>
    <row r="2596">
      <c r="A2596" s="5" t="inlineStr">
        <is>
          <t>마키나락스</t>
        </is>
      </c>
      <c r="B2596" s="6" t="inlineStr">
        <is>
          <t>477850</t>
        </is>
      </c>
      <c r="C2596" s="6" t="inlineStr">
        <is>
          <t>연결</t>
        </is>
      </c>
      <c r="D2596" s="6" t="inlineStr">
        <is>
          <t>2026Q2</t>
        </is>
      </c>
      <c r="E2596" s="6" t="inlineStr"/>
      <c r="F2596" s="7" t="inlineStr"/>
      <c r="G2596" s="8" t="inlineStr"/>
      <c r="H2596" s="8" t="inlineStr"/>
      <c r="I2596" s="9" t="inlineStr"/>
      <c r="J2596" s="10" t="inlineStr"/>
      <c r="K2596" s="10" t="inlineStr"/>
      <c r="L2596" s="7" t="inlineStr"/>
      <c r="M2596" s="8" t="inlineStr"/>
      <c r="N2596" s="8" t="inlineStr"/>
      <c r="O2596" s="9" t="inlineStr"/>
      <c r="P2596" s="10" t="inlineStr"/>
      <c r="Q2596" s="10" t="inlineStr"/>
      <c r="R2596" s="7" t="inlineStr"/>
      <c r="S2596" s="8" t="inlineStr"/>
      <c r="T2596" s="8" t="inlineStr"/>
      <c r="U2596" s="9" t="inlineStr"/>
      <c r="V2596" s="10" t="inlineStr"/>
      <c r="W2596" s="10" t="inlineStr"/>
      <c r="X2596" s="7" t="inlineStr"/>
      <c r="Y2596" s="8" t="inlineStr"/>
      <c r="Z2596" s="8" t="inlineStr"/>
      <c r="AA2596" s="9" t="inlineStr"/>
      <c r="AB2596" s="10" t="inlineStr"/>
      <c r="AC2596" s="10" t="inlineStr"/>
      <c r="AD2596" s="7" t="inlineStr"/>
      <c r="AE2596" s="8" t="inlineStr"/>
      <c r="AF2596" s="8" t="inlineStr"/>
      <c r="AG2596" s="9" t="n">
        <v>3035</v>
      </c>
      <c r="AH2596" s="10" t="n">
        <v>-2433</v>
      </c>
      <c r="AI2596" s="10" t="n">
        <v>-2373</v>
      </c>
      <c r="AJ2596" s="11" t="n">
        <v>3992</v>
      </c>
      <c r="AK2596" s="12" t="n">
        <v>-1802</v>
      </c>
      <c r="AL2596" s="12" t="n">
        <v>-1547</v>
      </c>
      <c r="AM2596" s="13" t="n">
        <v>31.5</v>
      </c>
      <c r="AN2596" s="13" t="inlineStr"/>
      <c r="AO2596" s="13" t="n">
        <v>25.9</v>
      </c>
      <c r="AP2596" s="13" t="inlineStr"/>
    </row>
    <row r="2597">
      <c r="A2597" s="5" t="inlineStr">
        <is>
          <t>이베스트스팩6호</t>
        </is>
      </c>
      <c r="B2597" s="6" t="inlineStr">
        <is>
          <t>478110</t>
        </is>
      </c>
      <c r="C2597" s="6" t="inlineStr">
        <is>
          <t>별도</t>
        </is>
      </c>
      <c r="D2597" s="6" t="inlineStr">
        <is>
          <t>2026Q2</t>
        </is>
      </c>
      <c r="E2597" s="6" t="inlineStr"/>
      <c r="F2597" s="7" t="inlineStr"/>
      <c r="G2597" s="8" t="inlineStr"/>
      <c r="H2597" s="8" t="inlineStr"/>
      <c r="I2597" s="9" t="inlineStr"/>
      <c r="J2597" s="10" t="inlineStr"/>
      <c r="K2597" s="10" t="inlineStr"/>
      <c r="L2597" s="7" t="inlineStr"/>
      <c r="M2597" s="8" t="inlineStr"/>
      <c r="N2597" s="8" t="inlineStr"/>
      <c r="O2597" s="9" t="n">
        <v>0</v>
      </c>
      <c r="P2597" s="10" t="n">
        <v>-13</v>
      </c>
      <c r="Q2597" s="10" t="n">
        <v>29</v>
      </c>
      <c r="R2597" s="7" t="inlineStr"/>
      <c r="S2597" s="8" t="inlineStr"/>
      <c r="T2597" s="8" t="inlineStr"/>
      <c r="U2597" s="9" t="n">
        <v>0</v>
      </c>
      <c r="V2597" s="10" t="n">
        <v>-14</v>
      </c>
      <c r="W2597" s="10" t="n">
        <v>32</v>
      </c>
      <c r="X2597" s="7" t="n">
        <v>0</v>
      </c>
      <c r="Y2597" s="8" t="n">
        <v>-12</v>
      </c>
      <c r="Z2597" s="8" t="n">
        <v>34</v>
      </c>
      <c r="AA2597" s="9" t="n">
        <v>0</v>
      </c>
      <c r="AB2597" s="10" t="n">
        <v>-8</v>
      </c>
      <c r="AC2597" s="10" t="n">
        <v>41</v>
      </c>
      <c r="AD2597" s="7" t="n">
        <v>0</v>
      </c>
      <c r="AE2597" s="8" t="n">
        <v>1</v>
      </c>
      <c r="AF2597" s="8" t="n">
        <v>37</v>
      </c>
      <c r="AG2597" s="9" t="n">
        <v>0</v>
      </c>
      <c r="AH2597" s="10" t="n">
        <v>-9</v>
      </c>
      <c r="AI2597" s="10" t="n">
        <v>23</v>
      </c>
      <c r="AJ2597" s="11" t="n">
        <v>0</v>
      </c>
      <c r="AK2597" s="12" t="n">
        <v>-13</v>
      </c>
      <c r="AL2597" s="12" t="n">
        <v>20</v>
      </c>
      <c r="AM2597" s="13" t="inlineStr"/>
      <c r="AN2597" s="13" t="inlineStr"/>
      <c r="AO2597" s="13" t="n">
        <v>-44.4</v>
      </c>
      <c r="AP2597" s="13" t="n">
        <v>-8.300000000000001</v>
      </c>
    </row>
    <row r="2598">
      <c r="A2598" s="5" t="inlineStr">
        <is>
          <t>나라스페이스테크놀로지</t>
        </is>
      </c>
      <c r="B2598" s="6" t="inlineStr">
        <is>
          <t>478340</t>
        </is>
      </c>
      <c r="C2598" s="6" t="inlineStr">
        <is>
          <t>별도</t>
        </is>
      </c>
      <c r="D2598" s="6" t="inlineStr">
        <is>
          <t>2026Q2</t>
        </is>
      </c>
      <c r="E2598" s="6" t="inlineStr"/>
      <c r="F2598" s="7" t="inlineStr"/>
      <c r="G2598" s="8" t="inlineStr"/>
      <c r="H2598" s="8" t="inlineStr"/>
      <c r="I2598" s="9" t="inlineStr"/>
      <c r="J2598" s="10" t="inlineStr"/>
      <c r="K2598" s="10" t="inlineStr"/>
      <c r="L2598" s="7" t="inlineStr"/>
      <c r="M2598" s="8" t="inlineStr"/>
      <c r="N2598" s="8" t="inlineStr"/>
      <c r="O2598" s="9" t="inlineStr"/>
      <c r="P2598" s="10" t="inlineStr"/>
      <c r="Q2598" s="10" t="inlineStr"/>
      <c r="R2598" s="7" t="inlineStr"/>
      <c r="S2598" s="8" t="inlineStr"/>
      <c r="T2598" s="8" t="inlineStr"/>
      <c r="U2598" s="9" t="inlineStr"/>
      <c r="V2598" s="10" t="inlineStr"/>
      <c r="W2598" s="10" t="inlineStr"/>
      <c r="X2598" s="7" t="inlineStr"/>
      <c r="Y2598" s="8" t="inlineStr"/>
      <c r="Z2598" s="8" t="inlineStr"/>
      <c r="AA2598" s="9" t="n">
        <v>3841</v>
      </c>
      <c r="AB2598" s="10" t="n">
        <v>-975</v>
      </c>
      <c r="AC2598" s="10" t="n">
        <v>-896</v>
      </c>
      <c r="AD2598" s="7" t="inlineStr"/>
      <c r="AE2598" s="8" t="inlineStr"/>
      <c r="AF2598" s="8" t="inlineStr"/>
      <c r="AG2598" s="9" t="n">
        <v>413</v>
      </c>
      <c r="AH2598" s="10" t="n">
        <v>-3031</v>
      </c>
      <c r="AI2598" s="10" t="n">
        <v>-2918</v>
      </c>
      <c r="AJ2598" s="11" t="n">
        <v>1947</v>
      </c>
      <c r="AK2598" s="12" t="n">
        <v>-3667</v>
      </c>
      <c r="AL2598" s="12" t="n">
        <v>-3509</v>
      </c>
      <c r="AM2598" s="13" t="n">
        <v>371.4</v>
      </c>
      <c r="AN2598" s="13" t="inlineStr"/>
      <c r="AO2598" s="13" t="n">
        <v>-21</v>
      </c>
      <c r="AP2598" s="13" t="inlineStr"/>
    </row>
    <row r="2599">
      <c r="A2599" s="5" t="inlineStr">
        <is>
          <t>KB제29호스팩</t>
        </is>
      </c>
      <c r="B2599" s="6" t="inlineStr">
        <is>
          <t>478390</t>
        </is>
      </c>
      <c r="C2599" s="6" t="inlineStr">
        <is>
          <t>별도</t>
        </is>
      </c>
      <c r="D2599" s="6" t="inlineStr">
        <is>
          <t>2026Q2</t>
        </is>
      </c>
      <c r="E2599" s="6" t="inlineStr"/>
      <c r="F2599" s="7" t="inlineStr"/>
      <c r="G2599" s="8" t="inlineStr"/>
      <c r="H2599" s="8" t="inlineStr"/>
      <c r="I2599" s="9" t="inlineStr"/>
      <c r="J2599" s="10" t="inlineStr"/>
      <c r="K2599" s="10" t="inlineStr"/>
      <c r="L2599" s="7" t="n">
        <v>0</v>
      </c>
      <c r="M2599" s="8" t="n">
        <v>-15</v>
      </c>
      <c r="N2599" s="8" t="n">
        <v>-5</v>
      </c>
      <c r="O2599" s="9" t="n">
        <v>0</v>
      </c>
      <c r="P2599" s="10" t="n">
        <v>-9</v>
      </c>
      <c r="Q2599" s="10" t="n">
        <v>68</v>
      </c>
      <c r="R2599" s="7" t="inlineStr"/>
      <c r="S2599" s="8" t="inlineStr"/>
      <c r="T2599" s="8" t="inlineStr"/>
      <c r="U2599" s="9" t="n">
        <v>0</v>
      </c>
      <c r="V2599" s="10" t="n">
        <v>-13</v>
      </c>
      <c r="W2599" s="10" t="n">
        <v>63</v>
      </c>
      <c r="X2599" s="7" t="n">
        <v>0</v>
      </c>
      <c r="Y2599" s="8" t="n">
        <v>-14</v>
      </c>
      <c r="Z2599" s="8" t="n">
        <v>69</v>
      </c>
      <c r="AA2599" s="9" t="n">
        <v>0</v>
      </c>
      <c r="AB2599" s="10" t="n">
        <v>-7</v>
      </c>
      <c r="AC2599" s="10" t="n">
        <v>53</v>
      </c>
      <c r="AD2599" s="7" t="n">
        <v>0</v>
      </c>
      <c r="AE2599" s="8" t="n">
        <v>-5</v>
      </c>
      <c r="AF2599" s="8" t="n">
        <v>54</v>
      </c>
      <c r="AG2599" s="9" t="n">
        <v>0</v>
      </c>
      <c r="AH2599" s="10" t="n">
        <v>-6</v>
      </c>
      <c r="AI2599" s="10" t="n">
        <v>46</v>
      </c>
      <c r="AJ2599" s="11" t="n">
        <v>0</v>
      </c>
      <c r="AK2599" s="12" t="n">
        <v>-18</v>
      </c>
      <c r="AL2599" s="12" t="n">
        <v>47</v>
      </c>
      <c r="AM2599" s="13" t="inlineStr"/>
      <c r="AN2599" s="13" t="inlineStr"/>
      <c r="AO2599" s="13" t="n">
        <v>-200</v>
      </c>
      <c r="AP2599" s="13" t="n">
        <v>-28.6</v>
      </c>
    </row>
    <row r="2600">
      <c r="A2600" s="5" t="inlineStr">
        <is>
          <t>미래에셋비전스팩6호</t>
        </is>
      </c>
      <c r="B2600" s="6" t="inlineStr">
        <is>
          <t>478440</t>
        </is>
      </c>
      <c r="C2600" s="6" t="inlineStr">
        <is>
          <t>별도</t>
        </is>
      </c>
      <c r="D2600" s="6" t="inlineStr">
        <is>
          <t>2026Q2</t>
        </is>
      </c>
      <c r="E2600" s="6" t="inlineStr"/>
      <c r="F2600" s="7" t="inlineStr"/>
      <c r="G2600" s="8" t="inlineStr"/>
      <c r="H2600" s="8" t="inlineStr"/>
      <c r="I2600" s="9" t="inlineStr"/>
      <c r="J2600" s="10" t="inlineStr"/>
      <c r="K2600" s="10" t="inlineStr"/>
      <c r="L2600" s="7" t="n">
        <v>0</v>
      </c>
      <c r="M2600" s="8" t="n">
        <v>-12</v>
      </c>
      <c r="N2600" s="8" t="n">
        <v>-15</v>
      </c>
      <c r="O2600" s="9" t="n">
        <v>0</v>
      </c>
      <c r="P2600" s="10" t="n">
        <v>-4</v>
      </c>
      <c r="Q2600" s="10" t="n">
        <v>75</v>
      </c>
      <c r="R2600" s="7" t="inlineStr"/>
      <c r="S2600" s="8" t="inlineStr"/>
      <c r="T2600" s="8" t="inlineStr"/>
      <c r="U2600" s="9" t="n">
        <v>0</v>
      </c>
      <c r="V2600" s="10" t="n">
        <v>-19</v>
      </c>
      <c r="W2600" s="10" t="n">
        <v>61</v>
      </c>
      <c r="X2600" s="7" t="n">
        <v>0</v>
      </c>
      <c r="Y2600" s="8" t="n">
        <v>-10</v>
      </c>
      <c r="Z2600" s="8" t="n">
        <v>78</v>
      </c>
      <c r="AA2600" s="9" t="n">
        <v>0</v>
      </c>
      <c r="AB2600" s="10" t="n">
        <v>-4</v>
      </c>
      <c r="AC2600" s="10" t="n">
        <v>54</v>
      </c>
      <c r="AD2600" s="7" t="n">
        <v>0</v>
      </c>
      <c r="AE2600" s="8" t="n">
        <v>-6</v>
      </c>
      <c r="AF2600" s="8" t="n">
        <v>53</v>
      </c>
      <c r="AG2600" s="9" t="n">
        <v>0</v>
      </c>
      <c r="AH2600" s="10" t="n">
        <v>-17</v>
      </c>
      <c r="AI2600" s="10" t="n">
        <v>36</v>
      </c>
      <c r="AJ2600" s="11" t="n">
        <v>0</v>
      </c>
      <c r="AK2600" s="12" t="n">
        <v>-10</v>
      </c>
      <c r="AL2600" s="12" t="n">
        <v>55</v>
      </c>
      <c r="AM2600" s="13" t="inlineStr"/>
      <c r="AN2600" s="13" t="inlineStr"/>
      <c r="AO2600" s="13" t="n">
        <v>41.2</v>
      </c>
      <c r="AP2600" s="13" t="n">
        <v>0</v>
      </c>
    </row>
    <row r="2601">
      <c r="A2601" s="5" t="inlineStr">
        <is>
          <t>블랙야크아이앤씨</t>
        </is>
      </c>
      <c r="B2601" s="6" t="inlineStr">
        <is>
          <t>478560</t>
        </is>
      </c>
      <c r="C2601" s="6" t="inlineStr">
        <is>
          <t>연결</t>
        </is>
      </c>
      <c r="D2601" s="6" t="inlineStr">
        <is>
          <t>2026Q2</t>
        </is>
      </c>
      <c r="E2601" s="6" t="inlineStr">
        <is>
          <t>2024Q4</t>
        </is>
      </c>
      <c r="F2601" s="7" t="inlineStr"/>
      <c r="G2601" s="8" t="inlineStr"/>
      <c r="H2601" s="8" t="inlineStr"/>
      <c r="I2601" s="9" t="inlineStr"/>
      <c r="J2601" s="10" t="inlineStr"/>
      <c r="K2601" s="10" t="inlineStr"/>
      <c r="L2601" s="7" t="inlineStr"/>
      <c r="M2601" s="8" t="inlineStr"/>
      <c r="N2601" s="8" t="inlineStr"/>
      <c r="O2601" s="9" t="inlineStr"/>
      <c r="P2601" s="10" t="inlineStr"/>
      <c r="Q2601" s="10" t="inlineStr"/>
      <c r="R2601" s="14" t="n">
        <v>37686</v>
      </c>
      <c r="S2601" s="15" t="n">
        <v>8299</v>
      </c>
      <c r="T2601" s="15" t="n">
        <v>6822</v>
      </c>
      <c r="U2601" s="9" t="n">
        <v>6936</v>
      </c>
      <c r="V2601" s="10" t="n">
        <v>1105</v>
      </c>
      <c r="W2601" s="10" t="n">
        <v>-2273</v>
      </c>
      <c r="X2601" s="7" t="n">
        <v>14218</v>
      </c>
      <c r="Y2601" s="8" t="n">
        <v>2908</v>
      </c>
      <c r="Z2601" s="8" t="n">
        <v>-2561</v>
      </c>
      <c r="AA2601" s="9" t="n">
        <v>15889</v>
      </c>
      <c r="AB2601" s="10" t="n">
        <v>2470</v>
      </c>
      <c r="AC2601" s="10" t="n">
        <v>1225</v>
      </c>
      <c r="AD2601" s="7" t="n">
        <v>20215</v>
      </c>
      <c r="AE2601" s="8" t="n">
        <v>2797</v>
      </c>
      <c r="AF2601" s="8" t="n">
        <v>-2033</v>
      </c>
      <c r="AG2601" s="9" t="n">
        <v>16692</v>
      </c>
      <c r="AH2601" s="10" t="n">
        <v>2589</v>
      </c>
      <c r="AI2601" s="10" t="n">
        <v>994</v>
      </c>
      <c r="AJ2601" s="11" t="n">
        <v>24876</v>
      </c>
      <c r="AK2601" s="12" t="n">
        <v>5868</v>
      </c>
      <c r="AL2601" s="12" t="n">
        <v>4958</v>
      </c>
      <c r="AM2601" s="13" t="n">
        <v>49</v>
      </c>
      <c r="AN2601" s="13" t="n">
        <v>75</v>
      </c>
      <c r="AO2601" s="13" t="n">
        <v>126.7</v>
      </c>
      <c r="AP2601" s="13" t="n">
        <v>101.8</v>
      </c>
    </row>
    <row r="2602">
      <c r="A2602" s="5" t="inlineStr">
        <is>
          <t>한국제15호스팩</t>
        </is>
      </c>
      <c r="B2602" s="6" t="inlineStr">
        <is>
          <t>479880</t>
        </is>
      </c>
      <c r="C2602" s="6" t="inlineStr">
        <is>
          <t>별도</t>
        </is>
      </c>
      <c r="D2602" s="6" t="inlineStr">
        <is>
          <t>2026Q2</t>
        </is>
      </c>
      <c r="E2602" s="6" t="inlineStr"/>
      <c r="F2602" s="7" t="inlineStr"/>
      <c r="G2602" s="8" t="inlineStr"/>
      <c r="H2602" s="8" t="inlineStr"/>
      <c r="I2602" s="9" t="inlineStr"/>
      <c r="J2602" s="10" t="inlineStr"/>
      <c r="K2602" s="10" t="inlineStr"/>
      <c r="L2602" s="7" t="inlineStr"/>
      <c r="M2602" s="8" t="n">
        <v>-15</v>
      </c>
      <c r="N2602" s="8" t="n">
        <v>14</v>
      </c>
      <c r="O2602" s="9" t="inlineStr"/>
      <c r="P2602" s="10" t="n">
        <v>-6</v>
      </c>
      <c r="Q2602" s="10" t="n">
        <v>87</v>
      </c>
      <c r="R2602" s="7" t="inlineStr"/>
      <c r="S2602" s="8" t="inlineStr"/>
      <c r="T2602" s="8" t="inlineStr"/>
      <c r="U2602" s="9" t="inlineStr"/>
      <c r="V2602" s="10" t="n">
        <v>-13</v>
      </c>
      <c r="W2602" s="10" t="n">
        <v>78</v>
      </c>
      <c r="X2602" s="7" t="inlineStr"/>
      <c r="Y2602" s="8" t="n">
        <v>-20</v>
      </c>
      <c r="Z2602" s="8" t="n">
        <v>30</v>
      </c>
      <c r="AA2602" s="9" t="inlineStr"/>
      <c r="AB2602" s="10" t="n">
        <v>-12</v>
      </c>
      <c r="AC2602" s="10" t="n">
        <v>63</v>
      </c>
      <c r="AD2602" s="7" t="inlineStr"/>
      <c r="AE2602" s="8" t="n">
        <v>-7</v>
      </c>
      <c r="AF2602" s="8" t="n">
        <v>70</v>
      </c>
      <c r="AG2602" s="9" t="inlineStr"/>
      <c r="AH2602" s="10" t="n">
        <v>-14</v>
      </c>
      <c r="AI2602" s="10" t="n">
        <v>219</v>
      </c>
      <c r="AJ2602" s="11" t="inlineStr"/>
      <c r="AK2602" s="12" t="n">
        <v>-29</v>
      </c>
      <c r="AL2602" s="12" t="n">
        <v>-146</v>
      </c>
      <c r="AM2602" s="13" t="inlineStr"/>
      <c r="AN2602" s="13" t="inlineStr"/>
      <c r="AO2602" s="13" t="n">
        <v>-107.1</v>
      </c>
      <c r="AP2602" s="13" t="n">
        <v>-45</v>
      </c>
    </row>
    <row r="2603">
      <c r="A2603" s="5" t="inlineStr">
        <is>
          <t>위너스일렉</t>
        </is>
      </c>
      <c r="B2603" s="6" t="inlineStr">
        <is>
          <t>479960</t>
        </is>
      </c>
      <c r="C2603" s="6" t="inlineStr">
        <is>
          <t>별도</t>
        </is>
      </c>
      <c r="D2603" s="6" t="inlineStr">
        <is>
          <t>2026Q2</t>
        </is>
      </c>
      <c r="E2603" s="6" t="inlineStr"/>
      <c r="F2603" s="7" t="inlineStr"/>
      <c r="G2603" s="8" t="inlineStr"/>
      <c r="H2603" s="8" t="inlineStr"/>
      <c r="I2603" s="9" t="inlineStr"/>
      <c r="J2603" s="10" t="inlineStr"/>
      <c r="K2603" s="10" t="inlineStr"/>
      <c r="L2603" s="7" t="inlineStr"/>
      <c r="M2603" s="8" t="inlineStr"/>
      <c r="N2603" s="8" t="inlineStr"/>
      <c r="O2603" s="9" t="inlineStr"/>
      <c r="P2603" s="10" t="inlineStr"/>
      <c r="Q2603" s="10" t="inlineStr"/>
      <c r="R2603" s="7" t="inlineStr"/>
      <c r="S2603" s="8" t="inlineStr"/>
      <c r="T2603" s="8" t="inlineStr"/>
      <c r="U2603" s="9" t="n">
        <v>6422</v>
      </c>
      <c r="V2603" s="10" t="n">
        <v>593</v>
      </c>
      <c r="W2603" s="10" t="n">
        <v>617</v>
      </c>
      <c r="X2603" s="7" t="n">
        <v>8127</v>
      </c>
      <c r="Y2603" s="8" t="n">
        <v>1601</v>
      </c>
      <c r="Z2603" s="8" t="n">
        <v>1414</v>
      </c>
      <c r="AA2603" s="9" t="n">
        <v>8691</v>
      </c>
      <c r="AB2603" s="10" t="n">
        <v>744</v>
      </c>
      <c r="AC2603" s="10" t="n">
        <v>712</v>
      </c>
      <c r="AD2603" s="7" t="n">
        <v>8007</v>
      </c>
      <c r="AE2603" s="8" t="n">
        <v>2333</v>
      </c>
      <c r="AF2603" s="8" t="n">
        <v>1908</v>
      </c>
      <c r="AG2603" s="9" t="n">
        <v>7325</v>
      </c>
      <c r="AH2603" s="10" t="n">
        <v>619</v>
      </c>
      <c r="AI2603" s="10" t="n">
        <v>560</v>
      </c>
      <c r="AJ2603" s="11" t="n">
        <v>8157</v>
      </c>
      <c r="AK2603" s="12" t="n">
        <v>1146</v>
      </c>
      <c r="AL2603" s="12" t="n">
        <v>917</v>
      </c>
      <c r="AM2603" s="13" t="n">
        <v>11.4</v>
      </c>
      <c r="AN2603" s="13" t="n">
        <v>0.4</v>
      </c>
      <c r="AO2603" s="13" t="n">
        <v>85.09999999999999</v>
      </c>
      <c r="AP2603" s="13" t="n">
        <v>-28.4</v>
      </c>
    </row>
    <row r="2604">
      <c r="A2604" s="5" t="inlineStr">
        <is>
          <t>씨케이솔루션</t>
        </is>
      </c>
      <c r="B2604" s="6" t="inlineStr">
        <is>
          <t>480370</t>
        </is>
      </c>
      <c r="C2604" s="6" t="inlineStr">
        <is>
          <t>연결</t>
        </is>
      </c>
      <c r="D2604" s="6" t="inlineStr">
        <is>
          <t>2026Q2</t>
        </is>
      </c>
      <c r="E2604" s="6" t="inlineStr"/>
      <c r="F2604" s="7" t="inlineStr"/>
      <c r="G2604" s="8" t="inlineStr"/>
      <c r="H2604" s="8" t="inlineStr"/>
      <c r="I2604" s="9" t="inlineStr"/>
      <c r="J2604" s="10" t="inlineStr"/>
      <c r="K2604" s="10" t="inlineStr"/>
      <c r="L2604" s="7" t="inlineStr"/>
      <c r="M2604" s="8" t="inlineStr"/>
      <c r="N2604" s="8" t="inlineStr"/>
      <c r="O2604" s="9" t="inlineStr"/>
      <c r="P2604" s="10" t="inlineStr"/>
      <c r="Q2604" s="10" t="inlineStr"/>
      <c r="R2604" s="7" t="inlineStr"/>
      <c r="S2604" s="8" t="inlineStr"/>
      <c r="T2604" s="8" t="inlineStr"/>
      <c r="U2604" s="9" t="n">
        <v>78952</v>
      </c>
      <c r="V2604" s="10" t="n">
        <v>-7990</v>
      </c>
      <c r="W2604" s="10" t="n">
        <v>-6902</v>
      </c>
      <c r="X2604" s="7" t="n">
        <v>58519</v>
      </c>
      <c r="Y2604" s="8" t="n">
        <v>-9410</v>
      </c>
      <c r="Z2604" s="8" t="n">
        <v>-11118</v>
      </c>
      <c r="AA2604" s="9" t="n">
        <v>66982</v>
      </c>
      <c r="AB2604" s="10" t="n">
        <v>-9018</v>
      </c>
      <c r="AC2604" s="10" t="n">
        <v>-6911</v>
      </c>
      <c r="AD2604" s="7" t="n">
        <v>86557</v>
      </c>
      <c r="AE2604" s="8" t="n">
        <v>-10187</v>
      </c>
      <c r="AF2604" s="8" t="n">
        <v>-15213</v>
      </c>
      <c r="AG2604" s="9" t="n">
        <v>54316</v>
      </c>
      <c r="AH2604" s="10" t="n">
        <v>-16189</v>
      </c>
      <c r="AI2604" s="10" t="n">
        <v>-11078</v>
      </c>
      <c r="AJ2604" s="11" t="n">
        <v>84960</v>
      </c>
      <c r="AK2604" s="12" t="n">
        <v>608</v>
      </c>
      <c r="AL2604" s="12" t="n">
        <v>-1171</v>
      </c>
      <c r="AM2604" s="13" t="n">
        <v>56.4</v>
      </c>
      <c r="AN2604" s="13" t="n">
        <v>45.2</v>
      </c>
      <c r="AO2604" s="13" t="n">
        <v>103.8</v>
      </c>
      <c r="AP2604" s="13" t="n">
        <v>106.5</v>
      </c>
    </row>
    <row r="2605">
      <c r="A2605" s="5" t="inlineStr">
        <is>
          <t>에이유브랜즈</t>
        </is>
      </c>
      <c r="B2605" s="6" t="inlineStr">
        <is>
          <t>481070</t>
        </is>
      </c>
      <c r="C2605" s="6" t="inlineStr">
        <is>
          <t>연결</t>
        </is>
      </c>
      <c r="D2605" s="6" t="inlineStr">
        <is>
          <t>2026Q2</t>
        </is>
      </c>
      <c r="E2605" s="6" t="inlineStr"/>
      <c r="F2605" s="7" t="inlineStr"/>
      <c r="G2605" s="8" t="inlineStr"/>
      <c r="H2605" s="8" t="inlineStr"/>
      <c r="I2605" s="9" t="inlineStr"/>
      <c r="J2605" s="10" t="inlineStr"/>
      <c r="K2605" s="10" t="inlineStr"/>
      <c r="L2605" s="7" t="inlineStr"/>
      <c r="M2605" s="8" t="inlineStr"/>
      <c r="N2605" s="8" t="inlineStr"/>
      <c r="O2605" s="9" t="inlineStr"/>
      <c r="P2605" s="10" t="inlineStr"/>
      <c r="Q2605" s="10" t="inlineStr"/>
      <c r="R2605" s="7" t="inlineStr"/>
      <c r="S2605" s="8" t="inlineStr"/>
      <c r="T2605" s="8" t="inlineStr"/>
      <c r="U2605" s="9" t="n">
        <v>7830</v>
      </c>
      <c r="V2605" s="10" t="n">
        <v>796</v>
      </c>
      <c r="W2605" s="10" t="n">
        <v>739</v>
      </c>
      <c r="X2605" s="7" t="n">
        <v>13837</v>
      </c>
      <c r="Y2605" s="8" t="n">
        <v>2577</v>
      </c>
      <c r="Z2605" s="8" t="n">
        <v>2724</v>
      </c>
      <c r="AA2605" s="9" t="n">
        <v>11917</v>
      </c>
      <c r="AB2605" s="10" t="n">
        <v>813</v>
      </c>
      <c r="AC2605" s="10" t="n">
        <v>788</v>
      </c>
      <c r="AD2605" s="7" t="n">
        <v>26425</v>
      </c>
      <c r="AE2605" s="8" t="n">
        <v>5895</v>
      </c>
      <c r="AF2605" s="8" t="n">
        <v>4511</v>
      </c>
      <c r="AG2605" s="9" t="n">
        <v>18485</v>
      </c>
      <c r="AH2605" s="10" t="n">
        <v>2023</v>
      </c>
      <c r="AI2605" s="10" t="n">
        <v>3424</v>
      </c>
      <c r="AJ2605" s="11" t="n">
        <v>30273</v>
      </c>
      <c r="AK2605" s="12" t="n">
        <v>6274</v>
      </c>
      <c r="AL2605" s="12" t="n">
        <v>4733</v>
      </c>
      <c r="AM2605" s="13" t="n">
        <v>63.8</v>
      </c>
      <c r="AN2605" s="13" t="n">
        <v>118.8</v>
      </c>
      <c r="AO2605" s="13" t="n">
        <v>210.1</v>
      </c>
      <c r="AP2605" s="13" t="n">
        <v>143.5</v>
      </c>
    </row>
    <row r="2606">
      <c r="A2606" s="5" t="inlineStr">
        <is>
          <t>신한글로벌액티브리츠</t>
        </is>
      </c>
      <c r="B2606" s="6" t="inlineStr">
        <is>
          <t>481850</t>
        </is>
      </c>
      <c r="C2606" s="6" t="inlineStr">
        <is>
          <t>연결</t>
        </is>
      </c>
      <c r="D2606" s="6" t="inlineStr">
        <is>
          <t>2026Q2</t>
        </is>
      </c>
      <c r="E2606" s="6" t="inlineStr"/>
      <c r="F2606" s="7" t="inlineStr"/>
      <c r="G2606" s="8" t="inlineStr"/>
      <c r="H2606" s="8" t="inlineStr"/>
      <c r="I2606" s="9" t="inlineStr"/>
      <c r="J2606" s="10" t="inlineStr"/>
      <c r="K2606" s="10" t="inlineStr"/>
      <c r="L2606" s="7" t="n">
        <v>1681</v>
      </c>
      <c r="M2606" s="8" t="n">
        <v>886</v>
      </c>
      <c r="N2606" s="8" t="n">
        <v>-2073</v>
      </c>
      <c r="O2606" s="9" t="inlineStr"/>
      <c r="P2606" s="10" t="inlineStr"/>
      <c r="Q2606" s="10" t="inlineStr"/>
      <c r="R2606" s="7" t="inlineStr"/>
      <c r="S2606" s="8" t="inlineStr"/>
      <c r="T2606" s="8" t="inlineStr"/>
      <c r="U2606" s="9" t="inlineStr"/>
      <c r="V2606" s="10" t="inlineStr"/>
      <c r="W2606" s="10" t="inlineStr"/>
      <c r="X2606" s="7" t="n">
        <v>1050</v>
      </c>
      <c r="Y2606" s="8" t="n">
        <v>563</v>
      </c>
      <c r="Z2606" s="8" t="n">
        <v>-462</v>
      </c>
      <c r="AA2606" s="9" t="inlineStr"/>
      <c r="AB2606" s="10" t="inlineStr"/>
      <c r="AC2606" s="10" t="inlineStr"/>
      <c r="AD2606" s="7" t="inlineStr"/>
      <c r="AE2606" s="8" t="inlineStr"/>
      <c r="AF2606" s="8" t="inlineStr"/>
      <c r="AG2606" s="9" t="inlineStr"/>
      <c r="AH2606" s="10" t="inlineStr"/>
      <c r="AI2606" s="10" t="inlineStr"/>
      <c r="AJ2606" s="11" t="n">
        <v>1300</v>
      </c>
      <c r="AK2606" s="12" t="n">
        <v>1154</v>
      </c>
      <c r="AL2606" s="12" t="n">
        <v>1150</v>
      </c>
      <c r="AM2606" s="13" t="inlineStr"/>
      <c r="AN2606" s="13" t="n">
        <v>23.8</v>
      </c>
      <c r="AO2606" s="13" t="inlineStr"/>
      <c r="AP2606" s="13" t="n">
        <v>105</v>
      </c>
    </row>
    <row r="2607">
      <c r="A2607" s="5" t="inlineStr">
        <is>
          <t>엔에이치스팩31호</t>
        </is>
      </c>
      <c r="B2607" s="6" t="inlineStr">
        <is>
          <t>481890</t>
        </is>
      </c>
      <c r="C2607" s="6" t="inlineStr">
        <is>
          <t>별도</t>
        </is>
      </c>
      <c r="D2607" s="6" t="inlineStr">
        <is>
          <t>2026Q2</t>
        </is>
      </c>
      <c r="E2607" s="6" t="inlineStr"/>
      <c r="F2607" s="7" t="inlineStr"/>
      <c r="G2607" s="8" t="inlineStr"/>
      <c r="H2607" s="8" t="inlineStr"/>
      <c r="I2607" s="9" t="inlineStr"/>
      <c r="J2607" s="10" t="inlineStr"/>
      <c r="K2607" s="10" t="inlineStr"/>
      <c r="L2607" s="7" t="inlineStr"/>
      <c r="M2607" s="8" t="inlineStr"/>
      <c r="N2607" s="8" t="inlineStr"/>
      <c r="O2607" s="9" t="inlineStr"/>
      <c r="P2607" s="10" t="n">
        <v>-21</v>
      </c>
      <c r="Q2607" s="10" t="n">
        <v>50</v>
      </c>
      <c r="R2607" s="7" t="inlineStr"/>
      <c r="S2607" s="8" t="inlineStr"/>
      <c r="T2607" s="8" t="inlineStr"/>
      <c r="U2607" s="9" t="n">
        <v>0</v>
      </c>
      <c r="V2607" s="10" t="n">
        <v>-11</v>
      </c>
      <c r="W2607" s="10" t="n">
        <v>70</v>
      </c>
      <c r="X2607" s="7" t="n">
        <v>0</v>
      </c>
      <c r="Y2607" s="8" t="n">
        <v>-17</v>
      </c>
      <c r="Z2607" s="8" t="n">
        <v>64</v>
      </c>
      <c r="AA2607" s="9" t="n">
        <v>0</v>
      </c>
      <c r="AB2607" s="10" t="n">
        <v>-6</v>
      </c>
      <c r="AC2607" s="10" t="n">
        <v>62</v>
      </c>
      <c r="AD2607" s="7" t="n">
        <v>0</v>
      </c>
      <c r="AE2607" s="8" t="n">
        <v>-16</v>
      </c>
      <c r="AF2607" s="8" t="n">
        <v>34</v>
      </c>
      <c r="AG2607" s="9" t="n">
        <v>0</v>
      </c>
      <c r="AH2607" s="10" t="n">
        <v>-12</v>
      </c>
      <c r="AI2607" s="10" t="n">
        <v>40</v>
      </c>
      <c r="AJ2607" s="11" t="n">
        <v>0</v>
      </c>
      <c r="AK2607" s="12" t="n">
        <v>-17</v>
      </c>
      <c r="AL2607" s="12" t="n">
        <v>40</v>
      </c>
      <c r="AM2607" s="13" t="inlineStr"/>
      <c r="AN2607" s="13" t="inlineStr"/>
      <c r="AO2607" s="13" t="n">
        <v>-41.7</v>
      </c>
      <c r="AP2607" s="13" t="n">
        <v>0</v>
      </c>
    </row>
    <row r="2608">
      <c r="A2608" s="5" t="inlineStr">
        <is>
          <t>교보16호스팩</t>
        </is>
      </c>
      <c r="B2608" s="6" t="inlineStr">
        <is>
          <t>482520</t>
        </is>
      </c>
      <c r="C2608" s="6" t="inlineStr">
        <is>
          <t>별도</t>
        </is>
      </c>
      <c r="D2608" s="6" t="inlineStr">
        <is>
          <t>2026Q2</t>
        </is>
      </c>
      <c r="E2608" s="6" t="inlineStr"/>
      <c r="F2608" s="7" t="inlineStr"/>
      <c r="G2608" s="8" t="inlineStr"/>
      <c r="H2608" s="8" t="inlineStr"/>
      <c r="I2608" s="9" t="inlineStr"/>
      <c r="J2608" s="10" t="inlineStr"/>
      <c r="K2608" s="10" t="inlineStr"/>
      <c r="L2608" s="7" t="inlineStr"/>
      <c r="M2608" s="8" t="inlineStr"/>
      <c r="N2608" s="8" t="inlineStr"/>
      <c r="O2608" s="9" t="n">
        <v>0</v>
      </c>
      <c r="P2608" s="10" t="n">
        <v>-23</v>
      </c>
      <c r="Q2608" s="10" t="n">
        <v>4</v>
      </c>
      <c r="R2608" s="7" t="inlineStr"/>
      <c r="S2608" s="8" t="inlineStr"/>
      <c r="T2608" s="8" t="inlineStr"/>
      <c r="U2608" s="9" t="n">
        <v>0</v>
      </c>
      <c r="V2608" s="10" t="n">
        <v>-20</v>
      </c>
      <c r="W2608" s="10" t="n">
        <v>35</v>
      </c>
      <c r="X2608" s="7" t="n">
        <v>0</v>
      </c>
      <c r="Y2608" s="8" t="n">
        <v>-13</v>
      </c>
      <c r="Z2608" s="8" t="n">
        <v>53</v>
      </c>
      <c r="AA2608" s="9" t="n">
        <v>0</v>
      </c>
      <c r="AB2608" s="10" t="n">
        <v>-7</v>
      </c>
      <c r="AC2608" s="10" t="n">
        <v>40</v>
      </c>
      <c r="AD2608" s="7" t="n">
        <v>0</v>
      </c>
      <c r="AE2608" s="8" t="n">
        <v>-57</v>
      </c>
      <c r="AF2608" s="8" t="n">
        <v>-12</v>
      </c>
      <c r="AG2608" s="9" t="n">
        <v>0</v>
      </c>
      <c r="AH2608" s="10" t="n">
        <v>-22</v>
      </c>
      <c r="AI2608" s="10" t="n">
        <v>14</v>
      </c>
      <c r="AJ2608" s="11" t="n">
        <v>0</v>
      </c>
      <c r="AK2608" s="12" t="n">
        <v>-38</v>
      </c>
      <c r="AL2608" s="12" t="n">
        <v>3</v>
      </c>
      <c r="AM2608" s="13" t="inlineStr"/>
      <c r="AN2608" s="13" t="inlineStr"/>
      <c r="AO2608" s="13" t="n">
        <v>-72.7</v>
      </c>
      <c r="AP2608" s="13" t="n">
        <v>-192.3</v>
      </c>
    </row>
    <row r="2609">
      <c r="A2609" s="5" t="inlineStr">
        <is>
          <t>삼양엔씨켐</t>
        </is>
      </c>
      <c r="B2609" s="6" t="inlineStr">
        <is>
          <t>482630</t>
        </is>
      </c>
      <c r="C2609" s="6" t="inlineStr">
        <is>
          <t>별도</t>
        </is>
      </c>
      <c r="D2609" s="6" t="inlineStr">
        <is>
          <t>2026Q2</t>
        </is>
      </c>
      <c r="E2609" s="6" t="inlineStr"/>
      <c r="F2609" s="7" t="inlineStr"/>
      <c r="G2609" s="8" t="inlineStr"/>
      <c r="H2609" s="8" t="inlineStr"/>
      <c r="I2609" s="9" t="inlineStr"/>
      <c r="J2609" s="10" t="inlineStr"/>
      <c r="K2609" s="10" t="inlineStr"/>
      <c r="L2609" s="7" t="inlineStr"/>
      <c r="M2609" s="8" t="inlineStr"/>
      <c r="N2609" s="8" t="inlineStr"/>
      <c r="O2609" s="9" t="inlineStr"/>
      <c r="P2609" s="10" t="inlineStr"/>
      <c r="Q2609" s="10" t="inlineStr"/>
      <c r="R2609" s="7" t="inlineStr"/>
      <c r="S2609" s="8" t="inlineStr"/>
      <c r="T2609" s="8" t="inlineStr"/>
      <c r="U2609" s="9" t="n">
        <v>30613</v>
      </c>
      <c r="V2609" s="10" t="n">
        <v>4479</v>
      </c>
      <c r="W2609" s="10" t="n">
        <v>3775</v>
      </c>
      <c r="X2609" s="7" t="n">
        <v>30664</v>
      </c>
      <c r="Y2609" s="8" t="n">
        <v>4291</v>
      </c>
      <c r="Z2609" s="8" t="n">
        <v>3496</v>
      </c>
      <c r="AA2609" s="9" t="n">
        <v>28516</v>
      </c>
      <c r="AB2609" s="10" t="n">
        <v>4058</v>
      </c>
      <c r="AC2609" s="10" t="n">
        <v>3586</v>
      </c>
      <c r="AD2609" s="7" t="n">
        <v>35593</v>
      </c>
      <c r="AE2609" s="8" t="n">
        <v>4804</v>
      </c>
      <c r="AF2609" s="8" t="n">
        <v>4043</v>
      </c>
      <c r="AG2609" s="9" t="n">
        <v>40683</v>
      </c>
      <c r="AH2609" s="10" t="n">
        <v>6512</v>
      </c>
      <c r="AI2609" s="10" t="n">
        <v>5666</v>
      </c>
      <c r="AJ2609" s="11" t="n">
        <v>38008</v>
      </c>
      <c r="AK2609" s="12" t="n">
        <v>5587</v>
      </c>
      <c r="AL2609" s="12" t="n">
        <v>7128</v>
      </c>
      <c r="AM2609" s="13" t="n">
        <v>-6.6</v>
      </c>
      <c r="AN2609" s="13" t="n">
        <v>23.9</v>
      </c>
      <c r="AO2609" s="13" t="n">
        <v>-14.2</v>
      </c>
      <c r="AP2609" s="13" t="n">
        <v>30.2</v>
      </c>
    </row>
    <row r="2610">
      <c r="A2610" s="5" t="inlineStr">
        <is>
          <t>미래에셋비전스팩7호</t>
        </is>
      </c>
      <c r="B2610" s="6" t="inlineStr">
        <is>
          <t>482680</t>
        </is>
      </c>
      <c r="C2610" s="6" t="inlineStr">
        <is>
          <t>별도</t>
        </is>
      </c>
      <c r="D2610" s="6" t="inlineStr">
        <is>
          <t>2026Q2</t>
        </is>
      </c>
      <c r="E2610" s="6" t="inlineStr"/>
      <c r="F2610" s="7" t="inlineStr"/>
      <c r="G2610" s="8" t="inlineStr"/>
      <c r="H2610" s="8" t="inlineStr"/>
      <c r="I2610" s="9" t="inlineStr"/>
      <c r="J2610" s="10" t="inlineStr"/>
      <c r="K2610" s="10" t="inlineStr"/>
      <c r="L2610" s="7" t="inlineStr"/>
      <c r="M2610" s="8" t="inlineStr"/>
      <c r="N2610" s="8" t="inlineStr"/>
      <c r="O2610" s="9" t="n">
        <v>0</v>
      </c>
      <c r="P2610" s="10" t="n">
        <v>-7</v>
      </c>
      <c r="Q2610" s="10" t="n">
        <v>-4</v>
      </c>
      <c r="R2610" s="7" t="inlineStr"/>
      <c r="S2610" s="8" t="inlineStr"/>
      <c r="T2610" s="8" t="inlineStr"/>
      <c r="U2610" s="9" t="n">
        <v>0</v>
      </c>
      <c r="V2610" s="10" t="n">
        <v>-10</v>
      </c>
      <c r="W2610" s="10" t="n">
        <v>66</v>
      </c>
      <c r="X2610" s="7" t="n">
        <v>0</v>
      </c>
      <c r="Y2610" s="8" t="n">
        <v>-19</v>
      </c>
      <c r="Z2610" s="8" t="n">
        <v>61</v>
      </c>
      <c r="AA2610" s="9" t="n">
        <v>0</v>
      </c>
      <c r="AB2610" s="10" t="n">
        <v>-4</v>
      </c>
      <c r="AC2610" s="10" t="n">
        <v>82</v>
      </c>
      <c r="AD2610" s="7" t="inlineStr"/>
      <c r="AE2610" s="8" t="n">
        <v>-5</v>
      </c>
      <c r="AF2610" s="8" t="n">
        <v>52</v>
      </c>
      <c r="AG2610" s="9" t="n">
        <v>0</v>
      </c>
      <c r="AH2610" s="10" t="n">
        <v>-48</v>
      </c>
      <c r="AI2610" s="10" t="n">
        <v>8</v>
      </c>
      <c r="AJ2610" s="11" t="n">
        <v>0</v>
      </c>
      <c r="AK2610" s="12" t="n">
        <v>-5</v>
      </c>
      <c r="AL2610" s="12" t="n">
        <v>43</v>
      </c>
      <c r="AM2610" s="13" t="inlineStr"/>
      <c r="AN2610" s="13" t="inlineStr"/>
      <c r="AO2610" s="13" t="n">
        <v>89.59999999999999</v>
      </c>
      <c r="AP2610" s="13" t="n">
        <v>73.7</v>
      </c>
    </row>
    <row r="2611">
      <c r="A2611" s="5" t="inlineStr">
        <is>
          <t>대신밸런스제19호스팩</t>
        </is>
      </c>
      <c r="B2611" s="6" t="inlineStr">
        <is>
          <t>482690</t>
        </is>
      </c>
      <c r="C2611" s="6" t="inlineStr">
        <is>
          <t>별도</t>
        </is>
      </c>
      <c r="D2611" s="6" t="inlineStr">
        <is>
          <t>2026Q2</t>
        </is>
      </c>
      <c r="E2611" s="6" t="inlineStr"/>
      <c r="F2611" s="7" t="inlineStr"/>
      <c r="G2611" s="8" t="inlineStr"/>
      <c r="H2611" s="8" t="inlineStr"/>
      <c r="I2611" s="9" t="inlineStr"/>
      <c r="J2611" s="10" t="inlineStr"/>
      <c r="K2611" s="10" t="inlineStr"/>
      <c r="L2611" s="7" t="inlineStr"/>
      <c r="M2611" s="8" t="inlineStr"/>
      <c r="N2611" s="8" t="inlineStr"/>
      <c r="O2611" s="9" t="inlineStr"/>
      <c r="P2611" s="10" t="inlineStr"/>
      <c r="Q2611" s="10" t="inlineStr"/>
      <c r="R2611" s="7" t="inlineStr"/>
      <c r="S2611" s="8" t="inlineStr"/>
      <c r="T2611" s="8" t="inlineStr"/>
      <c r="U2611" s="9" t="inlineStr"/>
      <c r="V2611" s="10" t="inlineStr"/>
      <c r="W2611" s="10" t="inlineStr"/>
      <c r="X2611" s="7" t="inlineStr"/>
      <c r="Y2611" s="8" t="n">
        <v>-11</v>
      </c>
      <c r="Z2611" s="8" t="n">
        <v>32</v>
      </c>
      <c r="AA2611" s="9" t="inlineStr"/>
      <c r="AB2611" s="10" t="n">
        <v>-2</v>
      </c>
      <c r="AC2611" s="10" t="n">
        <v>42</v>
      </c>
      <c r="AD2611" s="7" t="inlineStr"/>
      <c r="AE2611" s="8" t="inlineStr"/>
      <c r="AF2611" s="8" t="inlineStr"/>
      <c r="AG2611" s="9" t="inlineStr"/>
      <c r="AH2611" s="10" t="inlineStr"/>
      <c r="AI2611" s="10" t="inlineStr"/>
      <c r="AJ2611" s="11" t="n">
        <v>0</v>
      </c>
      <c r="AK2611" s="12" t="n">
        <v>-8</v>
      </c>
      <c r="AL2611" s="12" t="n">
        <v>27</v>
      </c>
      <c r="AM2611" s="13" t="inlineStr"/>
      <c r="AN2611" s="13" t="inlineStr"/>
      <c r="AO2611" s="13" t="inlineStr"/>
      <c r="AP2611" s="13" t="n">
        <v>27.3</v>
      </c>
    </row>
    <row r="2612">
      <c r="A2612" s="5" t="inlineStr">
        <is>
          <t>딜리셔스</t>
        </is>
      </c>
      <c r="B2612" s="6" t="inlineStr">
        <is>
          <t>483350</t>
        </is>
      </c>
      <c r="C2612" s="6" t="inlineStr">
        <is>
          <t>연결</t>
        </is>
      </c>
      <c r="D2612" s="6" t="inlineStr">
        <is>
          <t>2026Q2</t>
        </is>
      </c>
      <c r="E2612" s="6" t="inlineStr"/>
      <c r="F2612" s="7" t="inlineStr"/>
      <c r="G2612" s="8" t="inlineStr"/>
      <c r="H2612" s="8" t="inlineStr"/>
      <c r="I2612" s="9" t="inlineStr"/>
      <c r="J2612" s="10" t="inlineStr"/>
      <c r="K2612" s="10" t="inlineStr"/>
      <c r="L2612" s="7" t="inlineStr"/>
      <c r="M2612" s="8" t="inlineStr"/>
      <c r="N2612" s="8" t="inlineStr"/>
      <c r="O2612" s="9" t="inlineStr"/>
      <c r="P2612" s="10" t="inlineStr"/>
      <c r="Q2612" s="10" t="inlineStr"/>
      <c r="R2612" s="7" t="inlineStr"/>
      <c r="S2612" s="8" t="inlineStr"/>
      <c r="T2612" s="8" t="inlineStr"/>
      <c r="U2612" s="9" t="inlineStr"/>
      <c r="V2612" s="10" t="inlineStr"/>
      <c r="W2612" s="10" t="inlineStr"/>
      <c r="X2612" s="7" t="inlineStr"/>
      <c r="Y2612" s="8" t="inlineStr"/>
      <c r="Z2612" s="8" t="inlineStr"/>
      <c r="AA2612" s="9" t="inlineStr"/>
      <c r="AB2612" s="10" t="inlineStr"/>
      <c r="AC2612" s="10" t="inlineStr"/>
      <c r="AD2612" s="7" t="inlineStr"/>
      <c r="AE2612" s="8" t="inlineStr"/>
      <c r="AF2612" s="8" t="inlineStr"/>
      <c r="AG2612" s="9" t="inlineStr"/>
      <c r="AH2612" s="10" t="inlineStr"/>
      <c r="AI2612" s="10" t="inlineStr"/>
      <c r="AJ2612" s="11" t="n">
        <v>9751</v>
      </c>
      <c r="AK2612" s="12" t="n">
        <v>2558</v>
      </c>
      <c r="AL2612" s="12" t="n">
        <v>2651</v>
      </c>
      <c r="AM2612" s="13" t="inlineStr"/>
      <c r="AN2612" s="13" t="inlineStr"/>
      <c r="AO2612" s="13" t="inlineStr"/>
      <c r="AP2612" s="13" t="inlineStr"/>
    </row>
    <row r="2613">
      <c r="A2613" s="5" t="inlineStr">
        <is>
          <t>달바글로벌</t>
        </is>
      </c>
      <c r="B2613" s="6" t="inlineStr">
        <is>
          <t>483650</t>
        </is>
      </c>
      <c r="C2613" s="6" t="inlineStr">
        <is>
          <t>연결</t>
        </is>
      </c>
      <c r="D2613" s="6" t="inlineStr">
        <is>
          <t>2026Q2</t>
        </is>
      </c>
      <c r="E2613" s="6" t="inlineStr"/>
      <c r="F2613" s="7" t="inlineStr"/>
      <c r="G2613" s="8" t="inlineStr"/>
      <c r="H2613" s="8" t="inlineStr"/>
      <c r="I2613" s="9" t="inlineStr"/>
      <c r="J2613" s="10" t="inlineStr"/>
      <c r="K2613" s="10" t="inlineStr"/>
      <c r="L2613" s="7" t="inlineStr"/>
      <c r="M2613" s="8" t="inlineStr"/>
      <c r="N2613" s="8" t="inlineStr"/>
      <c r="O2613" s="9" t="n">
        <v>73672</v>
      </c>
      <c r="P2613" s="10" t="n">
        <v>14044</v>
      </c>
      <c r="Q2613" s="10" t="n">
        <v>9617</v>
      </c>
      <c r="R2613" s="7" t="inlineStr"/>
      <c r="S2613" s="8" t="inlineStr"/>
      <c r="T2613" s="8" t="inlineStr"/>
      <c r="U2613" s="9" t="n">
        <v>113760</v>
      </c>
      <c r="V2613" s="10" t="n">
        <v>30051</v>
      </c>
      <c r="W2613" s="10" t="n">
        <v>24749</v>
      </c>
      <c r="X2613" s="7" t="n">
        <v>128373</v>
      </c>
      <c r="Y2613" s="8" t="n">
        <v>29230</v>
      </c>
      <c r="Z2613" s="8" t="n">
        <v>19803</v>
      </c>
      <c r="AA2613" s="9" t="n">
        <v>114166</v>
      </c>
      <c r="AB2613" s="10" t="n">
        <v>16652</v>
      </c>
      <c r="AC2613" s="10" t="n">
        <v>14014</v>
      </c>
      <c r="AD2613" s="7" t="n">
        <v>163436</v>
      </c>
      <c r="AE2613" s="8" t="n">
        <v>25536</v>
      </c>
      <c r="AF2613" s="8" t="n">
        <v>20488</v>
      </c>
      <c r="AG2613" s="9" t="n">
        <v>171242</v>
      </c>
      <c r="AH2613" s="10" t="n">
        <v>45090</v>
      </c>
      <c r="AI2613" s="10" t="n">
        <v>36337</v>
      </c>
      <c r="AJ2613" s="11" t="n">
        <v>186861</v>
      </c>
      <c r="AK2613" s="12" t="n">
        <v>47241</v>
      </c>
      <c r="AL2613" s="12" t="n">
        <v>38060</v>
      </c>
      <c r="AM2613" s="13" t="n">
        <v>9.1</v>
      </c>
      <c r="AN2613" s="13" t="n">
        <v>45.6</v>
      </c>
      <c r="AO2613" s="13" t="n">
        <v>4.8</v>
      </c>
      <c r="AP2613" s="13" t="n">
        <v>61.6</v>
      </c>
    </row>
    <row r="2614">
      <c r="A2614" s="5" t="inlineStr">
        <is>
          <t>도우인시스</t>
        </is>
      </c>
      <c r="B2614" s="6" t="inlineStr">
        <is>
          <t>484120</t>
        </is>
      </c>
      <c r="C2614" s="6" t="inlineStr">
        <is>
          <t>연결</t>
        </is>
      </c>
      <c r="D2614" s="6" t="inlineStr">
        <is>
          <t>2026Q2</t>
        </is>
      </c>
      <c r="E2614" s="6" t="inlineStr"/>
      <c r="F2614" s="7" t="inlineStr"/>
      <c r="G2614" s="8" t="inlineStr"/>
      <c r="H2614" s="8" t="inlineStr"/>
      <c r="I2614" s="9" t="inlineStr"/>
      <c r="J2614" s="10" t="inlineStr"/>
      <c r="K2614" s="10" t="inlineStr"/>
      <c r="L2614" s="7" t="inlineStr"/>
      <c r="M2614" s="8" t="inlineStr"/>
      <c r="N2614" s="8" t="inlineStr"/>
      <c r="O2614" s="9" t="inlineStr"/>
      <c r="P2614" s="10" t="inlineStr"/>
      <c r="Q2614" s="10" t="inlineStr"/>
      <c r="R2614" s="7" t="inlineStr"/>
      <c r="S2614" s="8" t="inlineStr"/>
      <c r="T2614" s="8" t="inlineStr"/>
      <c r="U2614" s="9" t="inlineStr"/>
      <c r="V2614" s="10" t="inlineStr"/>
      <c r="W2614" s="10" t="inlineStr"/>
      <c r="X2614" s="7" t="n">
        <v>53180</v>
      </c>
      <c r="Y2614" s="8" t="n">
        <v>3642</v>
      </c>
      <c r="Z2614" s="8" t="n">
        <v>-5851</v>
      </c>
      <c r="AA2614" s="9" t="n">
        <v>29781</v>
      </c>
      <c r="AB2614" s="10" t="n">
        <v>-2085</v>
      </c>
      <c r="AC2614" s="10" t="n">
        <v>1539</v>
      </c>
      <c r="AD2614" s="7" t="inlineStr"/>
      <c r="AE2614" s="8" t="inlineStr"/>
      <c r="AF2614" s="8" t="inlineStr"/>
      <c r="AG2614" s="9" t="n">
        <v>26829</v>
      </c>
      <c r="AH2614" s="10" t="n">
        <v>1820</v>
      </c>
      <c r="AI2614" s="10" t="n">
        <v>5742</v>
      </c>
      <c r="AJ2614" s="11" t="n">
        <v>58892</v>
      </c>
      <c r="AK2614" s="12" t="n">
        <v>8200</v>
      </c>
      <c r="AL2614" s="12" t="n">
        <v>9822</v>
      </c>
      <c r="AM2614" s="13" t="n">
        <v>119.5</v>
      </c>
      <c r="AN2614" s="13" t="n">
        <v>10.7</v>
      </c>
      <c r="AO2614" s="13" t="n">
        <v>350.5</v>
      </c>
      <c r="AP2614" s="13" t="n">
        <v>125.2</v>
      </c>
    </row>
    <row r="2615">
      <c r="A2615" s="5" t="inlineStr">
        <is>
          <t>하나34호스팩</t>
        </is>
      </c>
      <c r="B2615" s="6" t="inlineStr">
        <is>
          <t>484130</t>
        </is>
      </c>
      <c r="C2615" s="6" t="inlineStr">
        <is>
          <t>별도</t>
        </is>
      </c>
      <c r="D2615" s="6" t="inlineStr">
        <is>
          <t>2026Q2</t>
        </is>
      </c>
      <c r="E2615" s="6" t="inlineStr"/>
      <c r="F2615" s="7" t="inlineStr"/>
      <c r="G2615" s="8" t="inlineStr"/>
      <c r="H2615" s="8" t="inlineStr"/>
      <c r="I2615" s="9" t="inlineStr"/>
      <c r="J2615" s="10" t="inlineStr"/>
      <c r="K2615" s="10" t="inlineStr"/>
      <c r="L2615" s="7" t="inlineStr"/>
      <c r="M2615" s="8" t="inlineStr"/>
      <c r="N2615" s="8" t="inlineStr"/>
      <c r="O2615" s="9" t="inlineStr"/>
      <c r="P2615" s="10" t="inlineStr"/>
      <c r="Q2615" s="10" t="inlineStr"/>
      <c r="R2615" s="7" t="inlineStr"/>
      <c r="S2615" s="8" t="inlineStr"/>
      <c r="T2615" s="8" t="inlineStr"/>
      <c r="U2615" s="9" t="n">
        <v>0</v>
      </c>
      <c r="V2615" s="10" t="n">
        <v>-11042190</v>
      </c>
      <c r="W2615" s="10" t="n">
        <v>27693145</v>
      </c>
      <c r="X2615" s="7" t="n">
        <v>0</v>
      </c>
      <c r="Y2615" s="8" t="n">
        <v>-15</v>
      </c>
      <c r="Z2615" s="8" t="n">
        <v>31</v>
      </c>
      <c r="AA2615" s="9" t="n">
        <v>0</v>
      </c>
      <c r="AB2615" s="10" t="n">
        <v>-9</v>
      </c>
      <c r="AC2615" s="10" t="n">
        <v>38</v>
      </c>
      <c r="AD2615" s="7" t="n">
        <v>0</v>
      </c>
      <c r="AE2615" s="8" t="n">
        <v>11042174</v>
      </c>
      <c r="AF2615" s="8" t="n">
        <v>-27693054</v>
      </c>
      <c r="AG2615" s="9" t="n">
        <v>0</v>
      </c>
      <c r="AH2615" s="10" t="n">
        <v>-12</v>
      </c>
      <c r="AI2615" s="10" t="n">
        <v>21</v>
      </c>
      <c r="AJ2615" s="11" t="inlineStr"/>
      <c r="AK2615" s="12" t="n">
        <v>-14</v>
      </c>
      <c r="AL2615" s="12" t="n">
        <v>13</v>
      </c>
      <c r="AM2615" s="13" t="inlineStr"/>
      <c r="AN2615" s="13" t="inlineStr"/>
      <c r="AO2615" s="13" t="n">
        <v>-16.7</v>
      </c>
      <c r="AP2615" s="13" t="n">
        <v>6.7</v>
      </c>
    </row>
    <row r="2616">
      <c r="A2616" s="5" t="inlineStr">
        <is>
          <t>삼양컴텍</t>
        </is>
      </c>
      <c r="B2616" s="6" t="inlineStr">
        <is>
          <t>484590</t>
        </is>
      </c>
      <c r="C2616" s="6" t="inlineStr">
        <is>
          <t>별도</t>
        </is>
      </c>
      <c r="D2616" s="6" t="inlineStr">
        <is>
          <t>2026Q2</t>
        </is>
      </c>
      <c r="E2616" s="6" t="inlineStr"/>
      <c r="F2616" s="7" t="inlineStr"/>
      <c r="G2616" s="8" t="inlineStr"/>
      <c r="H2616" s="8" t="inlineStr"/>
      <c r="I2616" s="9" t="inlineStr"/>
      <c r="J2616" s="10" t="inlineStr"/>
      <c r="K2616" s="10" t="inlineStr"/>
      <c r="L2616" s="7" t="inlineStr"/>
      <c r="M2616" s="8" t="inlineStr"/>
      <c r="N2616" s="8" t="inlineStr"/>
      <c r="O2616" s="9" t="inlineStr"/>
      <c r="P2616" s="10" t="inlineStr"/>
      <c r="Q2616" s="10" t="inlineStr"/>
      <c r="R2616" s="7" t="inlineStr"/>
      <c r="S2616" s="8" t="inlineStr"/>
      <c r="T2616" s="8" t="inlineStr"/>
      <c r="U2616" s="9" t="inlineStr"/>
      <c r="V2616" s="10" t="inlineStr"/>
      <c r="W2616" s="10" t="inlineStr"/>
      <c r="X2616" s="7" t="n">
        <v>35471</v>
      </c>
      <c r="Y2616" s="8" t="n">
        <v>7847</v>
      </c>
      <c r="Z2616" s="8" t="n">
        <v>5861</v>
      </c>
      <c r="AA2616" s="9" t="n">
        <v>36676</v>
      </c>
      <c r="AB2616" s="10" t="n">
        <v>4997</v>
      </c>
      <c r="AC2616" s="10" t="n">
        <v>3532</v>
      </c>
      <c r="AD2616" s="7" t="inlineStr"/>
      <c r="AE2616" s="8" t="inlineStr"/>
      <c r="AF2616" s="8" t="inlineStr"/>
      <c r="AG2616" s="9" t="n">
        <v>16526</v>
      </c>
      <c r="AH2616" s="10" t="n">
        <v>1996</v>
      </c>
      <c r="AI2616" s="10" t="n">
        <v>2382</v>
      </c>
      <c r="AJ2616" s="11" t="n">
        <v>46790</v>
      </c>
      <c r="AK2616" s="12" t="n">
        <v>11483</v>
      </c>
      <c r="AL2616" s="12" t="n">
        <v>9292</v>
      </c>
      <c r="AM2616" s="13" t="n">
        <v>183.1</v>
      </c>
      <c r="AN2616" s="13" t="n">
        <v>31.9</v>
      </c>
      <c r="AO2616" s="13" t="n">
        <v>475.3</v>
      </c>
      <c r="AP2616" s="13" t="n">
        <v>46.3</v>
      </c>
    </row>
    <row r="2617">
      <c r="A2617" s="5" t="inlineStr">
        <is>
          <t>티엑스알로보틱스</t>
        </is>
      </c>
      <c r="B2617" s="6" t="inlineStr">
        <is>
          <t>484810</t>
        </is>
      </c>
      <c r="C2617" s="6" t="inlineStr">
        <is>
          <t>별도</t>
        </is>
      </c>
      <c r="D2617" s="6" t="inlineStr">
        <is>
          <t>2026Q2</t>
        </is>
      </c>
      <c r="E2617" s="6" t="inlineStr"/>
      <c r="F2617" s="7" t="inlineStr"/>
      <c r="G2617" s="8" t="inlineStr"/>
      <c r="H2617" s="8" t="inlineStr"/>
      <c r="I2617" s="9" t="inlineStr"/>
      <c r="J2617" s="10" t="inlineStr"/>
      <c r="K2617" s="10" t="inlineStr"/>
      <c r="L2617" s="7" t="inlineStr"/>
      <c r="M2617" s="8" t="inlineStr"/>
      <c r="N2617" s="8" t="inlineStr"/>
      <c r="O2617" s="9" t="inlineStr"/>
      <c r="P2617" s="10" t="inlineStr"/>
      <c r="Q2617" s="10" t="inlineStr"/>
      <c r="R2617" s="7" t="inlineStr"/>
      <c r="S2617" s="8" t="inlineStr"/>
      <c r="T2617" s="8" t="inlineStr"/>
      <c r="U2617" s="9" t="n">
        <v>7175</v>
      </c>
      <c r="V2617" s="10" t="n">
        <v>-1408</v>
      </c>
      <c r="W2617" s="10" t="n">
        <v>-1194</v>
      </c>
      <c r="X2617" s="7" t="n">
        <v>9317</v>
      </c>
      <c r="Y2617" s="8" t="n">
        <v>-226</v>
      </c>
      <c r="Z2617" s="8" t="n">
        <v>-307</v>
      </c>
      <c r="AA2617" s="9" t="n">
        <v>7890</v>
      </c>
      <c r="AB2617" s="10" t="n">
        <v>-975</v>
      </c>
      <c r="AC2617" s="10" t="n">
        <v>-874</v>
      </c>
      <c r="AD2617" s="7" t="n">
        <v>32251</v>
      </c>
      <c r="AE2617" s="8" t="n">
        <v>1837</v>
      </c>
      <c r="AF2617" s="8" t="n">
        <v>-12933</v>
      </c>
      <c r="AG2617" s="9" t="n">
        <v>11005</v>
      </c>
      <c r="AH2617" s="10" t="n">
        <v>-1239</v>
      </c>
      <c r="AI2617" s="10" t="n">
        <v>-1302</v>
      </c>
      <c r="AJ2617" s="11" t="n">
        <v>10143</v>
      </c>
      <c r="AK2617" s="12" t="n">
        <v>-1561</v>
      </c>
      <c r="AL2617" s="12" t="n">
        <v>-1443</v>
      </c>
      <c r="AM2617" s="13" t="n">
        <v>-7.8</v>
      </c>
      <c r="AN2617" s="13" t="n">
        <v>8.9</v>
      </c>
      <c r="AO2617" s="13" t="n">
        <v>-26</v>
      </c>
      <c r="AP2617" s="13" t="n">
        <v>-590.7</v>
      </c>
    </row>
    <row r="2618">
      <c r="A2618" s="5" t="inlineStr">
        <is>
          <t>엠앤씨솔루션</t>
        </is>
      </c>
      <c r="B2618" s="6" t="inlineStr">
        <is>
          <t>484870</t>
        </is>
      </c>
      <c r="C2618" s="6" t="inlineStr">
        <is>
          <t>별도</t>
        </is>
      </c>
      <c r="D2618" s="6" t="inlineStr">
        <is>
          <t>2026Q2</t>
        </is>
      </c>
      <c r="E2618" s="6" t="inlineStr">
        <is>
          <t>2024Q4</t>
        </is>
      </c>
      <c r="F2618" s="7" t="inlineStr"/>
      <c r="G2618" s="8" t="inlineStr"/>
      <c r="H2618" s="8" t="inlineStr"/>
      <c r="I2618" s="9" t="inlineStr"/>
      <c r="J2618" s="10" t="inlineStr"/>
      <c r="K2618" s="10" t="inlineStr"/>
      <c r="L2618" s="7" t="inlineStr"/>
      <c r="M2618" s="8" t="inlineStr"/>
      <c r="N2618" s="8" t="inlineStr"/>
      <c r="O2618" s="9" t="inlineStr"/>
      <c r="P2618" s="10" t="inlineStr"/>
      <c r="Q2618" s="10" t="inlineStr"/>
      <c r="R2618" s="14" t="n">
        <v>94315</v>
      </c>
      <c r="S2618" s="15" t="n">
        <v>17620</v>
      </c>
      <c r="T2618" s="15" t="n">
        <v>13592</v>
      </c>
      <c r="U2618" s="9" t="n">
        <v>75106</v>
      </c>
      <c r="V2618" s="10" t="n">
        <v>9508</v>
      </c>
      <c r="W2618" s="10" t="n">
        <v>7896</v>
      </c>
      <c r="X2618" s="7" t="n">
        <v>97427</v>
      </c>
      <c r="Y2618" s="8" t="n">
        <v>13449</v>
      </c>
      <c r="Z2618" s="8" t="n">
        <v>10836</v>
      </c>
      <c r="AA2618" s="9" t="n">
        <v>87591</v>
      </c>
      <c r="AB2618" s="10" t="n">
        <v>11485</v>
      </c>
      <c r="AC2618" s="10" t="n">
        <v>9577</v>
      </c>
      <c r="AD2618" s="7" t="n">
        <v>143225</v>
      </c>
      <c r="AE2618" s="8" t="n">
        <v>21623</v>
      </c>
      <c r="AF2618" s="8" t="n">
        <v>17279</v>
      </c>
      <c r="AG2618" s="9" t="n">
        <v>66076</v>
      </c>
      <c r="AH2618" s="10" t="n">
        <v>7967</v>
      </c>
      <c r="AI2618" s="10" t="n">
        <v>6119</v>
      </c>
      <c r="AJ2618" s="11" t="n">
        <v>93509</v>
      </c>
      <c r="AK2618" s="12" t="n">
        <v>12509</v>
      </c>
      <c r="AL2618" s="12" t="n">
        <v>9897</v>
      </c>
      <c r="AM2618" s="13" t="n">
        <v>41.5</v>
      </c>
      <c r="AN2618" s="13" t="n">
        <v>-4</v>
      </c>
      <c r="AO2618" s="13" t="n">
        <v>57</v>
      </c>
      <c r="AP2618" s="13" t="n">
        <v>-7</v>
      </c>
    </row>
    <row r="2619">
      <c r="A2619" s="5" t="inlineStr">
        <is>
          <t>KB제30호스팩</t>
        </is>
      </c>
      <c r="B2619" s="6" t="inlineStr">
        <is>
          <t>486630</t>
        </is>
      </c>
      <c r="C2619" s="6" t="inlineStr">
        <is>
          <t>별도</t>
        </is>
      </c>
      <c r="D2619" s="6" t="inlineStr">
        <is>
          <t>2026Q2</t>
        </is>
      </c>
      <c r="E2619" s="6" t="inlineStr"/>
      <c r="F2619" s="7" t="inlineStr"/>
      <c r="G2619" s="8" t="inlineStr"/>
      <c r="H2619" s="8" t="inlineStr"/>
      <c r="I2619" s="9" t="inlineStr"/>
      <c r="J2619" s="10" t="inlineStr"/>
      <c r="K2619" s="10" t="inlineStr"/>
      <c r="L2619" s="7" t="inlineStr"/>
      <c r="M2619" s="8" t="inlineStr"/>
      <c r="N2619" s="8" t="inlineStr"/>
      <c r="O2619" s="9" t="n">
        <v>0</v>
      </c>
      <c r="P2619" s="10" t="n">
        <v>-10</v>
      </c>
      <c r="Q2619" s="10" t="n">
        <v>-3</v>
      </c>
      <c r="R2619" s="7" t="inlineStr"/>
      <c r="S2619" s="8" t="inlineStr"/>
      <c r="T2619" s="8" t="inlineStr"/>
      <c r="U2619" s="9" t="n">
        <v>0</v>
      </c>
      <c r="V2619" s="10" t="n">
        <v>0</v>
      </c>
      <c r="W2619" s="10" t="n">
        <v>0</v>
      </c>
      <c r="X2619" s="7" t="n">
        <v>0</v>
      </c>
      <c r="Y2619" s="8" t="n">
        <v>-15</v>
      </c>
      <c r="Z2619" s="8" t="n">
        <v>49</v>
      </c>
      <c r="AA2619" s="9" t="n">
        <v>0</v>
      </c>
      <c r="AB2619" s="10" t="n">
        <v>-6</v>
      </c>
      <c r="AC2619" s="10" t="n">
        <v>55</v>
      </c>
      <c r="AD2619" s="7" t="n">
        <v>0</v>
      </c>
      <c r="AE2619" s="8" t="n">
        <v>-10</v>
      </c>
      <c r="AF2619" s="8" t="n">
        <v>114</v>
      </c>
      <c r="AG2619" s="9" t="n">
        <v>0</v>
      </c>
      <c r="AH2619" s="10" t="n">
        <v>-8</v>
      </c>
      <c r="AI2619" s="10" t="n">
        <v>34</v>
      </c>
      <c r="AJ2619" s="11" t="n">
        <v>0</v>
      </c>
      <c r="AK2619" s="12" t="n">
        <v>-12</v>
      </c>
      <c r="AL2619" s="12" t="n">
        <v>31</v>
      </c>
      <c r="AM2619" s="13" t="inlineStr"/>
      <c r="AN2619" s="13" t="inlineStr"/>
      <c r="AO2619" s="13" t="n">
        <v>-50</v>
      </c>
      <c r="AP2619" s="13" t="n">
        <v>20</v>
      </c>
    </row>
    <row r="2620">
      <c r="A2620" s="5" t="inlineStr">
        <is>
          <t>노타</t>
        </is>
      </c>
      <c r="B2620" s="6" t="inlineStr">
        <is>
          <t>486990</t>
        </is>
      </c>
      <c r="C2620" s="6" t="inlineStr">
        <is>
          <t>연결</t>
        </is>
      </c>
      <c r="D2620" s="6" t="inlineStr">
        <is>
          <t>2026Q2</t>
        </is>
      </c>
      <c r="E2620" s="6" t="inlineStr"/>
      <c r="F2620" s="7" t="inlineStr"/>
      <c r="G2620" s="8" t="inlineStr"/>
      <c r="H2620" s="8" t="inlineStr"/>
      <c r="I2620" s="9" t="inlineStr"/>
      <c r="J2620" s="10" t="inlineStr"/>
      <c r="K2620" s="10" t="inlineStr"/>
      <c r="L2620" s="7" t="inlineStr"/>
      <c r="M2620" s="8" t="inlineStr"/>
      <c r="N2620" s="8" t="inlineStr"/>
      <c r="O2620" s="9" t="inlineStr"/>
      <c r="P2620" s="10" t="inlineStr"/>
      <c r="Q2620" s="10" t="inlineStr"/>
      <c r="R2620" s="7" t="inlineStr"/>
      <c r="S2620" s="8" t="inlineStr"/>
      <c r="T2620" s="8" t="inlineStr"/>
      <c r="U2620" s="9" t="inlineStr"/>
      <c r="V2620" s="10" t="inlineStr"/>
      <c r="W2620" s="10" t="inlineStr"/>
      <c r="X2620" s="7" t="inlineStr"/>
      <c r="Y2620" s="8" t="inlineStr"/>
      <c r="Z2620" s="8" t="inlineStr"/>
      <c r="AA2620" s="9" t="n">
        <v>3029</v>
      </c>
      <c r="AB2620" s="10" t="n">
        <v>-4286</v>
      </c>
      <c r="AC2620" s="10" t="n">
        <v>-4363</v>
      </c>
      <c r="AD2620" s="7" t="inlineStr"/>
      <c r="AE2620" s="8" t="inlineStr"/>
      <c r="AF2620" s="8" t="inlineStr"/>
      <c r="AG2620" s="9" t="n">
        <v>3585</v>
      </c>
      <c r="AH2620" s="10" t="n">
        <v>-4198</v>
      </c>
      <c r="AI2620" s="10" t="n">
        <v>-4015</v>
      </c>
      <c r="AJ2620" s="11" t="n">
        <v>3823</v>
      </c>
      <c r="AK2620" s="12" t="n">
        <v>-6191</v>
      </c>
      <c r="AL2620" s="12" t="n">
        <v>-6196</v>
      </c>
      <c r="AM2620" s="13" t="n">
        <v>6.6</v>
      </c>
      <c r="AN2620" s="13" t="inlineStr"/>
      <c r="AO2620" s="13" t="n">
        <v>-47.5</v>
      </c>
      <c r="AP2620" s="13" t="inlineStr"/>
    </row>
    <row r="2621">
      <c r="A2621" s="5" t="inlineStr">
        <is>
          <t>신한제14호스팩</t>
        </is>
      </c>
      <c r="B2621" s="6" t="inlineStr">
        <is>
          <t>487360</t>
        </is>
      </c>
      <c r="C2621" s="6" t="inlineStr">
        <is>
          <t>별도</t>
        </is>
      </c>
      <c r="D2621" s="6" t="inlineStr">
        <is>
          <t>2026Q2</t>
        </is>
      </c>
      <c r="E2621" s="6" t="inlineStr"/>
      <c r="F2621" s="7" t="inlineStr"/>
      <c r="G2621" s="8" t="inlineStr"/>
      <c r="H2621" s="8" t="inlineStr"/>
      <c r="I2621" s="9" t="inlineStr"/>
      <c r="J2621" s="10" t="inlineStr"/>
      <c r="K2621" s="10" t="inlineStr"/>
      <c r="L2621" s="7" t="inlineStr"/>
      <c r="M2621" s="8" t="inlineStr"/>
      <c r="N2621" s="8" t="inlineStr"/>
      <c r="O2621" s="9" t="inlineStr"/>
      <c r="P2621" s="10" t="inlineStr"/>
      <c r="Q2621" s="10" t="inlineStr"/>
      <c r="R2621" s="7" t="inlineStr"/>
      <c r="S2621" s="8" t="inlineStr"/>
      <c r="T2621" s="8" t="inlineStr"/>
      <c r="U2621" s="9" t="inlineStr"/>
      <c r="V2621" s="10" t="n">
        <v>-22</v>
      </c>
      <c r="W2621" s="10" t="n">
        <v>34</v>
      </c>
      <c r="X2621" s="7" t="inlineStr"/>
      <c r="Y2621" s="8" t="n">
        <v>-8</v>
      </c>
      <c r="Z2621" s="8" t="n">
        <v>50</v>
      </c>
      <c r="AA2621" s="9" t="inlineStr"/>
      <c r="AB2621" s="10" t="n">
        <v>-8</v>
      </c>
      <c r="AC2621" s="10" t="n">
        <v>47</v>
      </c>
      <c r="AD2621" s="7" t="inlineStr"/>
      <c r="AE2621" s="8" t="n">
        <v>-9</v>
      </c>
      <c r="AF2621" s="8" t="n">
        <v>54</v>
      </c>
      <c r="AG2621" s="9" t="n">
        <v>0</v>
      </c>
      <c r="AH2621" s="10" t="n">
        <v>-27</v>
      </c>
      <c r="AI2621" s="10" t="n">
        <v>49</v>
      </c>
      <c r="AJ2621" s="11" t="inlineStr"/>
      <c r="AK2621" s="12" t="n">
        <v>-12</v>
      </c>
      <c r="AL2621" s="12" t="n">
        <v>45</v>
      </c>
      <c r="AM2621" s="13" t="inlineStr"/>
      <c r="AN2621" s="13" t="inlineStr"/>
      <c r="AO2621" s="13" t="n">
        <v>55.6</v>
      </c>
      <c r="AP2621" s="13" t="n">
        <v>-50</v>
      </c>
    </row>
    <row r="2622">
      <c r="A2622" s="5" t="inlineStr">
        <is>
          <t>케이앤에스아이앤씨</t>
        </is>
      </c>
      <c r="B2622" s="6" t="inlineStr">
        <is>
          <t>487400</t>
        </is>
      </c>
      <c r="C2622" s="6" t="inlineStr">
        <is>
          <t>별도</t>
        </is>
      </c>
      <c r="D2622" s="6" t="inlineStr">
        <is>
          <t>2026Q2</t>
        </is>
      </c>
      <c r="E2622" s="6" t="inlineStr"/>
      <c r="F2622" s="7" t="inlineStr"/>
      <c r="G2622" s="8" t="inlineStr"/>
      <c r="H2622" s="8" t="inlineStr"/>
      <c r="I2622" s="9" t="inlineStr"/>
      <c r="J2622" s="10" t="inlineStr"/>
      <c r="K2622" s="10" t="inlineStr"/>
      <c r="L2622" s="7" t="inlineStr"/>
      <c r="M2622" s="8" t="inlineStr"/>
      <c r="N2622" s="8" t="inlineStr"/>
      <c r="O2622" s="9" t="inlineStr"/>
      <c r="P2622" s="10" t="inlineStr"/>
      <c r="Q2622" s="10" t="inlineStr"/>
      <c r="R2622" s="7" t="inlineStr"/>
      <c r="S2622" s="8" t="inlineStr"/>
      <c r="T2622" s="8" t="inlineStr"/>
      <c r="U2622" s="9" t="inlineStr"/>
      <c r="V2622" s="10" t="inlineStr"/>
      <c r="W2622" s="10" t="inlineStr"/>
      <c r="X2622" s="7" t="inlineStr"/>
      <c r="Y2622" s="8" t="inlineStr"/>
      <c r="Z2622" s="8" t="inlineStr"/>
      <c r="AA2622" s="9" t="inlineStr"/>
      <c r="AB2622" s="10" t="inlineStr"/>
      <c r="AC2622" s="10" t="inlineStr"/>
      <c r="AD2622" s="7" t="inlineStr"/>
      <c r="AE2622" s="8" t="inlineStr"/>
      <c r="AF2622" s="8" t="inlineStr"/>
      <c r="AG2622" s="9" t="inlineStr"/>
      <c r="AH2622" s="10" t="inlineStr"/>
      <c r="AI2622" s="10" t="inlineStr"/>
      <c r="AJ2622" s="11" t="n">
        <v>3795</v>
      </c>
      <c r="AK2622" s="12" t="n">
        <v>-1475</v>
      </c>
      <c r="AL2622" s="12" t="n">
        <v>-1536</v>
      </c>
      <c r="AM2622" s="13" t="inlineStr"/>
      <c r="AN2622" s="13" t="inlineStr"/>
      <c r="AO2622" s="13" t="inlineStr"/>
      <c r="AP2622" s="13" t="inlineStr"/>
    </row>
    <row r="2623">
      <c r="A2623" s="5" t="inlineStr">
        <is>
          <t>HS효성</t>
        </is>
      </c>
      <c r="B2623" s="6" t="inlineStr">
        <is>
          <t>487570</t>
        </is>
      </c>
      <c r="C2623" s="6" t="inlineStr">
        <is>
          <t>연결</t>
        </is>
      </c>
      <c r="D2623" s="6" t="inlineStr">
        <is>
          <t>2026Q2</t>
        </is>
      </c>
      <c r="E2623" s="6" t="inlineStr">
        <is>
          <t>2024Q4</t>
        </is>
      </c>
      <c r="F2623" s="7" t="inlineStr"/>
      <c r="G2623" s="8" t="inlineStr"/>
      <c r="H2623" s="8" t="inlineStr"/>
      <c r="I2623" s="9" t="inlineStr"/>
      <c r="J2623" s="10" t="inlineStr"/>
      <c r="K2623" s="10" t="inlineStr"/>
      <c r="L2623" s="7" t="inlineStr"/>
      <c r="M2623" s="8" t="inlineStr"/>
      <c r="N2623" s="8" t="inlineStr"/>
      <c r="O2623" s="9" t="n">
        <v>454089</v>
      </c>
      <c r="P2623" s="10" t="n">
        <v>9451</v>
      </c>
      <c r="Q2623" s="10" t="n">
        <v>541</v>
      </c>
      <c r="R2623" s="14" t="n">
        <v>456300</v>
      </c>
      <c r="S2623" s="15" t="n">
        <v>7817</v>
      </c>
      <c r="T2623" s="15" t="n">
        <v>1839</v>
      </c>
      <c r="U2623" s="9" t="n">
        <v>454530</v>
      </c>
      <c r="V2623" s="10" t="n">
        <v>9567</v>
      </c>
      <c r="W2623" s="10" t="n">
        <v>-399</v>
      </c>
      <c r="X2623" s="7" t="n">
        <v>387928</v>
      </c>
      <c r="Y2623" s="8" t="n">
        <v>10779</v>
      </c>
      <c r="Z2623" s="8" t="n">
        <v>5886</v>
      </c>
      <c r="AA2623" s="9" t="n">
        <v>408726</v>
      </c>
      <c r="AB2623" s="10" t="n">
        <v>12650</v>
      </c>
      <c r="AC2623" s="10" t="n">
        <v>5635</v>
      </c>
      <c r="AD2623" s="7" t="n">
        <v>158713</v>
      </c>
      <c r="AE2623" s="8" t="n">
        <v>13438</v>
      </c>
      <c r="AF2623" s="8" t="n">
        <v>8943</v>
      </c>
      <c r="AG2623" s="9" t="n">
        <v>366981</v>
      </c>
      <c r="AH2623" s="10" t="n">
        <v>12543</v>
      </c>
      <c r="AI2623" s="10" t="n">
        <v>7390</v>
      </c>
      <c r="AJ2623" s="11" t="n">
        <v>430921</v>
      </c>
      <c r="AK2623" s="12" t="n">
        <v>35763</v>
      </c>
      <c r="AL2623" s="12" t="n">
        <v>27112</v>
      </c>
      <c r="AM2623" s="13" t="n">
        <v>17.4</v>
      </c>
      <c r="AN2623" s="13" t="n">
        <v>11.1</v>
      </c>
      <c r="AO2623" s="13" t="n">
        <v>185.1</v>
      </c>
      <c r="AP2623" s="13" t="n">
        <v>231.8</v>
      </c>
    </row>
    <row r="2624">
      <c r="A2624" s="5" t="inlineStr">
        <is>
          <t>폴레드</t>
        </is>
      </c>
      <c r="B2624" s="6" t="inlineStr">
        <is>
          <t>487580</t>
        </is>
      </c>
      <c r="C2624" s="6" t="inlineStr">
        <is>
          <t>연결</t>
        </is>
      </c>
      <c r="D2624" s="6" t="inlineStr">
        <is>
          <t>2026Q2</t>
        </is>
      </c>
      <c r="E2624" s="6" t="inlineStr"/>
      <c r="F2624" s="7" t="inlineStr"/>
      <c r="G2624" s="8" t="inlineStr"/>
      <c r="H2624" s="8" t="inlineStr"/>
      <c r="I2624" s="9" t="inlineStr"/>
      <c r="J2624" s="10" t="inlineStr"/>
      <c r="K2624" s="10" t="inlineStr"/>
      <c r="L2624" s="7" t="inlineStr"/>
      <c r="M2624" s="8" t="inlineStr"/>
      <c r="N2624" s="8" t="inlineStr"/>
      <c r="O2624" s="9" t="inlineStr"/>
      <c r="P2624" s="10" t="inlineStr"/>
      <c r="Q2624" s="10" t="inlineStr"/>
      <c r="R2624" s="7" t="inlineStr"/>
      <c r="S2624" s="8" t="inlineStr"/>
      <c r="T2624" s="8" t="inlineStr"/>
      <c r="U2624" s="9" t="inlineStr"/>
      <c r="V2624" s="10" t="inlineStr"/>
      <c r="W2624" s="10" t="inlineStr"/>
      <c r="X2624" s="7" t="inlineStr"/>
      <c r="Y2624" s="8" t="inlineStr"/>
      <c r="Z2624" s="8" t="inlineStr"/>
      <c r="AA2624" s="9" t="inlineStr"/>
      <c r="AB2624" s="10" t="inlineStr"/>
      <c r="AC2624" s="10" t="inlineStr"/>
      <c r="AD2624" s="7" t="inlineStr"/>
      <c r="AE2624" s="8" t="inlineStr"/>
      <c r="AF2624" s="8" t="inlineStr"/>
      <c r="AG2624" s="9" t="n">
        <v>25336</v>
      </c>
      <c r="AH2624" s="10" t="n">
        <v>4500</v>
      </c>
      <c r="AI2624" s="10" t="n">
        <v>5212</v>
      </c>
      <c r="AJ2624" s="11" t="n">
        <v>25266</v>
      </c>
      <c r="AK2624" s="12" t="n">
        <v>2064</v>
      </c>
      <c r="AL2624" s="12" t="n">
        <v>1667</v>
      </c>
      <c r="AM2624" s="13" t="n">
        <v>-0.3</v>
      </c>
      <c r="AN2624" s="13" t="inlineStr"/>
      <c r="AO2624" s="13" t="n">
        <v>-54.1</v>
      </c>
      <c r="AP2624" s="13" t="inlineStr"/>
    </row>
    <row r="2625">
      <c r="A2625" s="5" t="inlineStr">
        <is>
          <t>키움제10호스팩</t>
        </is>
      </c>
      <c r="B2625" s="6" t="inlineStr">
        <is>
          <t>487720</t>
        </is>
      </c>
      <c r="C2625" s="6" t="inlineStr">
        <is>
          <t>별도</t>
        </is>
      </c>
      <c r="D2625" s="6" t="inlineStr">
        <is>
          <t>2026Q2</t>
        </is>
      </c>
      <c r="E2625" s="6" t="inlineStr"/>
      <c r="F2625" s="7" t="inlineStr"/>
      <c r="G2625" s="8" t="inlineStr"/>
      <c r="H2625" s="8" t="inlineStr"/>
      <c r="I2625" s="9" t="inlineStr"/>
      <c r="J2625" s="10" t="inlineStr"/>
      <c r="K2625" s="10" t="inlineStr"/>
      <c r="L2625" s="7" t="inlineStr"/>
      <c r="M2625" s="8" t="inlineStr"/>
      <c r="N2625" s="8" t="inlineStr"/>
      <c r="O2625" s="9" t="inlineStr"/>
      <c r="P2625" s="10" t="inlineStr"/>
      <c r="Q2625" s="10" t="inlineStr"/>
      <c r="R2625" s="7" t="inlineStr"/>
      <c r="S2625" s="8" t="inlineStr"/>
      <c r="T2625" s="8" t="inlineStr"/>
      <c r="U2625" s="9" t="n">
        <v>0</v>
      </c>
      <c r="V2625" s="10" t="n">
        <v>-8</v>
      </c>
      <c r="W2625" s="10" t="n">
        <v>28</v>
      </c>
      <c r="X2625" s="7" t="n">
        <v>0</v>
      </c>
      <c r="Y2625" s="8" t="n">
        <v>-3</v>
      </c>
      <c r="Z2625" s="8" t="n">
        <v>34</v>
      </c>
      <c r="AA2625" s="9" t="n">
        <v>0</v>
      </c>
      <c r="AB2625" s="10" t="n">
        <v>-2</v>
      </c>
      <c r="AC2625" s="10" t="n">
        <v>34</v>
      </c>
      <c r="AD2625" s="7" t="n">
        <v>0</v>
      </c>
      <c r="AE2625" s="8" t="n">
        <v>-2</v>
      </c>
      <c r="AF2625" s="8" t="n">
        <v>56</v>
      </c>
      <c r="AG2625" s="9" t="n">
        <v>0</v>
      </c>
      <c r="AH2625" s="10" t="n">
        <v>-8</v>
      </c>
      <c r="AI2625" s="10" t="n">
        <v>24</v>
      </c>
      <c r="AJ2625" s="11" t="n">
        <v>0</v>
      </c>
      <c r="AK2625" s="12" t="n">
        <v>-12</v>
      </c>
      <c r="AL2625" s="12" t="n">
        <v>21</v>
      </c>
      <c r="AM2625" s="13" t="inlineStr"/>
      <c r="AN2625" s="13" t="inlineStr"/>
      <c r="AO2625" s="13" t="n">
        <v>-50</v>
      </c>
      <c r="AP2625" s="13" t="n">
        <v>-300</v>
      </c>
    </row>
    <row r="2626">
      <c r="A2626" s="5" t="inlineStr">
        <is>
          <t>신한제15호스팩</t>
        </is>
      </c>
      <c r="B2626" s="6" t="inlineStr">
        <is>
          <t>487830</t>
        </is>
      </c>
      <c r="C2626" s="6" t="inlineStr">
        <is>
          <t>별도</t>
        </is>
      </c>
      <c r="D2626" s="6" t="inlineStr">
        <is>
          <t>2026Q2</t>
        </is>
      </c>
      <c r="E2626" s="6" t="inlineStr"/>
      <c r="F2626" s="7" t="inlineStr"/>
      <c r="G2626" s="8" t="inlineStr"/>
      <c r="H2626" s="8" t="inlineStr"/>
      <c r="I2626" s="9" t="inlineStr"/>
      <c r="J2626" s="10" t="inlineStr"/>
      <c r="K2626" s="10" t="inlineStr"/>
      <c r="L2626" s="7" t="inlineStr"/>
      <c r="M2626" s="8" t="inlineStr"/>
      <c r="N2626" s="8" t="inlineStr"/>
      <c r="O2626" s="9" t="inlineStr"/>
      <c r="P2626" s="10" t="inlineStr"/>
      <c r="Q2626" s="10" t="inlineStr"/>
      <c r="R2626" s="7" t="inlineStr"/>
      <c r="S2626" s="8" t="inlineStr"/>
      <c r="T2626" s="8" t="inlineStr"/>
      <c r="U2626" s="9" t="inlineStr"/>
      <c r="V2626" s="10" t="n">
        <v>-20</v>
      </c>
      <c r="W2626" s="10" t="n">
        <v>22</v>
      </c>
      <c r="X2626" s="7" t="inlineStr"/>
      <c r="Y2626" s="8" t="n">
        <v>-11</v>
      </c>
      <c r="Z2626" s="8" t="n">
        <v>53</v>
      </c>
      <c r="AA2626" s="9" t="inlineStr"/>
      <c r="AB2626" s="10" t="n">
        <v>-11</v>
      </c>
      <c r="AC2626" s="10" t="n">
        <v>29</v>
      </c>
      <c r="AD2626" s="7" t="inlineStr"/>
      <c r="AE2626" s="8" t="n">
        <v>-8</v>
      </c>
      <c r="AF2626" s="8" t="n">
        <v>64</v>
      </c>
      <c r="AG2626" s="9" t="inlineStr"/>
      <c r="AH2626" s="10" t="n">
        <v>-18</v>
      </c>
      <c r="AI2626" s="10" t="n">
        <v>16</v>
      </c>
      <c r="AJ2626" s="11" t="n">
        <v>0</v>
      </c>
      <c r="AK2626" s="12" t="n">
        <v>-11</v>
      </c>
      <c r="AL2626" s="12" t="n">
        <v>30</v>
      </c>
      <c r="AM2626" s="13" t="inlineStr"/>
      <c r="AN2626" s="13" t="inlineStr"/>
      <c r="AO2626" s="13" t="n">
        <v>38.9</v>
      </c>
      <c r="AP2626" s="13" t="n">
        <v>0</v>
      </c>
    </row>
    <row r="2627">
      <c r="A2627" s="5" t="inlineStr">
        <is>
          <t>유진스팩11호</t>
        </is>
      </c>
      <c r="B2627" s="6" t="inlineStr">
        <is>
          <t>488060</t>
        </is>
      </c>
      <c r="C2627" s="6" t="inlineStr">
        <is>
          <t>별도</t>
        </is>
      </c>
      <c r="D2627" s="6" t="inlineStr">
        <is>
          <t>2026Q2</t>
        </is>
      </c>
      <c r="E2627" s="6" t="inlineStr"/>
      <c r="F2627" s="7" t="inlineStr"/>
      <c r="G2627" s="8" t="inlineStr"/>
      <c r="H2627" s="8" t="inlineStr"/>
      <c r="I2627" s="9" t="inlineStr"/>
      <c r="J2627" s="10" t="inlineStr"/>
      <c r="K2627" s="10" t="inlineStr"/>
      <c r="L2627" s="7" t="inlineStr"/>
      <c r="M2627" s="8" t="inlineStr"/>
      <c r="N2627" s="8" t="inlineStr"/>
      <c r="O2627" s="9" t="inlineStr"/>
      <c r="P2627" s="10" t="inlineStr"/>
      <c r="Q2627" s="10" t="inlineStr"/>
      <c r="R2627" s="7" t="inlineStr"/>
      <c r="S2627" s="8" t="inlineStr"/>
      <c r="T2627" s="8" t="inlineStr"/>
      <c r="U2627" s="9" t="n">
        <v>0</v>
      </c>
      <c r="V2627" s="10" t="n">
        <v>-20</v>
      </c>
      <c r="W2627" s="10" t="n">
        <v>37</v>
      </c>
      <c r="X2627" s="7" t="n">
        <v>0</v>
      </c>
      <c r="Y2627" s="8" t="n">
        <v>-9</v>
      </c>
      <c r="Z2627" s="8" t="n">
        <v>45</v>
      </c>
      <c r="AA2627" s="9" t="inlineStr"/>
      <c r="AB2627" s="10" t="n">
        <v>-11</v>
      </c>
      <c r="AC2627" s="10" t="n">
        <v>22</v>
      </c>
      <c r="AD2627" s="7" t="inlineStr"/>
      <c r="AE2627" s="8" t="n">
        <v>-7</v>
      </c>
      <c r="AF2627" s="8" t="n">
        <v>74</v>
      </c>
      <c r="AG2627" s="9" t="n">
        <v>0</v>
      </c>
      <c r="AH2627" s="10" t="n">
        <v>-19</v>
      </c>
      <c r="AI2627" s="10" t="n">
        <v>24</v>
      </c>
      <c r="AJ2627" s="11" t="n">
        <v>0</v>
      </c>
      <c r="AK2627" s="12" t="n">
        <v>-7</v>
      </c>
      <c r="AL2627" s="12" t="n">
        <v>33</v>
      </c>
      <c r="AM2627" s="13" t="inlineStr"/>
      <c r="AN2627" s="13" t="inlineStr"/>
      <c r="AO2627" s="13" t="n">
        <v>63.2</v>
      </c>
      <c r="AP2627" s="13" t="n">
        <v>22.2</v>
      </c>
    </row>
    <row r="2628">
      <c r="A2628" s="5" t="inlineStr">
        <is>
          <t>에스투더블유</t>
        </is>
      </c>
      <c r="B2628" s="6" t="inlineStr">
        <is>
          <t>488280</t>
        </is>
      </c>
      <c r="C2628" s="6" t="inlineStr">
        <is>
          <t>연결</t>
        </is>
      </c>
      <c r="D2628" s="6" t="inlineStr">
        <is>
          <t>2026Q2</t>
        </is>
      </c>
      <c r="E2628" s="6" t="inlineStr"/>
      <c r="F2628" s="7" t="inlineStr"/>
      <c r="G2628" s="8" t="inlineStr"/>
      <c r="H2628" s="8" t="inlineStr"/>
      <c r="I2628" s="9" t="inlineStr"/>
      <c r="J2628" s="10" t="inlineStr"/>
      <c r="K2628" s="10" t="inlineStr"/>
      <c r="L2628" s="7" t="inlineStr"/>
      <c r="M2628" s="8" t="inlineStr"/>
      <c r="N2628" s="8" t="inlineStr"/>
      <c r="O2628" s="9" t="inlineStr"/>
      <c r="P2628" s="10" t="inlineStr"/>
      <c r="Q2628" s="10" t="inlineStr"/>
      <c r="R2628" s="7" t="inlineStr"/>
      <c r="S2628" s="8" t="inlineStr"/>
      <c r="T2628" s="8" t="inlineStr"/>
      <c r="U2628" s="9" t="inlineStr"/>
      <c r="V2628" s="10" t="inlineStr"/>
      <c r="W2628" s="10" t="inlineStr"/>
      <c r="X2628" s="7" t="inlineStr"/>
      <c r="Y2628" s="8" t="inlineStr"/>
      <c r="Z2628" s="8" t="inlineStr"/>
      <c r="AA2628" s="9" t="n">
        <v>2272</v>
      </c>
      <c r="AB2628" s="10" t="n">
        <v>-2190</v>
      </c>
      <c r="AC2628" s="10" t="n">
        <v>-2116</v>
      </c>
      <c r="AD2628" s="7" t="inlineStr"/>
      <c r="AE2628" s="8" t="inlineStr"/>
      <c r="AF2628" s="8" t="inlineStr"/>
      <c r="AG2628" s="9" t="n">
        <v>2177</v>
      </c>
      <c r="AH2628" s="10" t="n">
        <v>-2252</v>
      </c>
      <c r="AI2628" s="10" t="n">
        <v>-1955</v>
      </c>
      <c r="AJ2628" s="11" t="n">
        <v>2085</v>
      </c>
      <c r="AK2628" s="12" t="n">
        <v>-3163</v>
      </c>
      <c r="AL2628" s="12" t="n">
        <v>-3069</v>
      </c>
      <c r="AM2628" s="13" t="n">
        <v>-4.2</v>
      </c>
      <c r="AN2628" s="13" t="inlineStr"/>
      <c r="AO2628" s="13" t="n">
        <v>-40.5</v>
      </c>
      <c r="AP2628" s="13" t="inlineStr"/>
    </row>
    <row r="2629">
      <c r="A2629" s="5" t="inlineStr">
        <is>
          <t>비츠로넥스텍</t>
        </is>
      </c>
      <c r="B2629" s="6" t="inlineStr">
        <is>
          <t>488900</t>
        </is>
      </c>
      <c r="C2629" s="6" t="inlineStr">
        <is>
          <t>별도</t>
        </is>
      </c>
      <c r="D2629" s="6" t="inlineStr">
        <is>
          <t>2026Q2</t>
        </is>
      </c>
      <c r="E2629" s="6" t="inlineStr"/>
      <c r="F2629" s="7" t="inlineStr"/>
      <c r="G2629" s="8" t="inlineStr"/>
      <c r="H2629" s="8" t="inlineStr"/>
      <c r="I2629" s="9" t="inlineStr"/>
      <c r="J2629" s="10" t="inlineStr"/>
      <c r="K2629" s="10" t="inlineStr"/>
      <c r="L2629" s="7" t="inlineStr"/>
      <c r="M2629" s="8" t="inlineStr"/>
      <c r="N2629" s="8" t="inlineStr"/>
      <c r="O2629" s="9" t="inlineStr"/>
      <c r="P2629" s="10" t="inlineStr"/>
      <c r="Q2629" s="10" t="inlineStr"/>
      <c r="R2629" s="7" t="inlineStr"/>
      <c r="S2629" s="8" t="inlineStr"/>
      <c r="T2629" s="8" t="inlineStr"/>
      <c r="U2629" s="9" t="inlineStr"/>
      <c r="V2629" s="10" t="inlineStr"/>
      <c r="W2629" s="10" t="inlineStr"/>
      <c r="X2629" s="7" t="inlineStr"/>
      <c r="Y2629" s="8" t="inlineStr"/>
      <c r="Z2629" s="8" t="inlineStr"/>
      <c r="AA2629" s="9" t="inlineStr"/>
      <c r="AB2629" s="10" t="inlineStr"/>
      <c r="AC2629" s="10" t="inlineStr"/>
      <c r="AD2629" s="7" t="inlineStr"/>
      <c r="AE2629" s="8" t="inlineStr"/>
      <c r="AF2629" s="8" t="inlineStr"/>
      <c r="AG2629" s="9" t="n">
        <v>7121</v>
      </c>
      <c r="AH2629" s="10" t="n">
        <v>-3369</v>
      </c>
      <c r="AI2629" s="10" t="n">
        <v>-2963</v>
      </c>
      <c r="AJ2629" s="11" t="n">
        <v>6670</v>
      </c>
      <c r="AK2629" s="12" t="n">
        <v>-3120</v>
      </c>
      <c r="AL2629" s="12" t="n">
        <v>-2437</v>
      </c>
      <c r="AM2629" s="13" t="n">
        <v>-6.3</v>
      </c>
      <c r="AN2629" s="13" t="inlineStr"/>
      <c r="AO2629" s="13" t="n">
        <v>7.4</v>
      </c>
      <c r="AP2629" s="13" t="inlineStr"/>
    </row>
    <row r="2630">
      <c r="A2630" s="5" t="inlineStr">
        <is>
          <t>교보17호스팩</t>
        </is>
      </c>
      <c r="B2630" s="6" t="inlineStr">
        <is>
          <t>489210</t>
        </is>
      </c>
      <c r="C2630" s="6" t="inlineStr">
        <is>
          <t>별도</t>
        </is>
      </c>
      <c r="D2630" s="6" t="inlineStr">
        <is>
          <t>2026Q2</t>
        </is>
      </c>
      <c r="E2630" s="6" t="inlineStr"/>
      <c r="F2630" s="7" t="inlineStr"/>
      <c r="G2630" s="8" t="inlineStr"/>
      <c r="H2630" s="8" t="inlineStr"/>
      <c r="I2630" s="9" t="inlineStr"/>
      <c r="J2630" s="10" t="inlineStr"/>
      <c r="K2630" s="10" t="inlineStr"/>
      <c r="L2630" s="7" t="inlineStr"/>
      <c r="M2630" s="8" t="inlineStr"/>
      <c r="N2630" s="8" t="inlineStr"/>
      <c r="O2630" s="9" t="inlineStr"/>
      <c r="P2630" s="10" t="inlineStr"/>
      <c r="Q2630" s="10" t="inlineStr"/>
      <c r="R2630" s="7" t="inlineStr"/>
      <c r="S2630" s="8" t="inlineStr"/>
      <c r="T2630" s="8" t="inlineStr"/>
      <c r="U2630" s="9" t="n">
        <v>0</v>
      </c>
      <c r="V2630" s="10" t="n">
        <v>-23</v>
      </c>
      <c r="W2630" s="10" t="n">
        <v>38</v>
      </c>
      <c r="X2630" s="7" t="n">
        <v>0</v>
      </c>
      <c r="Y2630" s="8" t="n">
        <v>-12</v>
      </c>
      <c r="Z2630" s="8" t="n">
        <v>50</v>
      </c>
      <c r="AA2630" s="9" t="n">
        <v>0</v>
      </c>
      <c r="AB2630" s="10" t="n">
        <v>-9</v>
      </c>
      <c r="AC2630" s="10" t="n">
        <v>52</v>
      </c>
      <c r="AD2630" s="7" t="n">
        <v>0</v>
      </c>
      <c r="AE2630" s="8" t="n">
        <v>-3</v>
      </c>
      <c r="AF2630" s="8" t="n">
        <v>46</v>
      </c>
      <c r="AG2630" s="9" t="n">
        <v>0</v>
      </c>
      <c r="AH2630" s="10" t="n">
        <v>-20</v>
      </c>
      <c r="AI2630" s="10" t="n">
        <v>31</v>
      </c>
      <c r="AJ2630" s="11" t="n">
        <v>0</v>
      </c>
      <c r="AK2630" s="12" t="n">
        <v>-6</v>
      </c>
      <c r="AL2630" s="12" t="n">
        <v>45</v>
      </c>
      <c r="AM2630" s="13" t="inlineStr"/>
      <c r="AN2630" s="13" t="inlineStr"/>
      <c r="AO2630" s="13" t="n">
        <v>70</v>
      </c>
      <c r="AP2630" s="13" t="n">
        <v>50</v>
      </c>
    </row>
    <row r="2631">
      <c r="A2631" s="5" t="inlineStr">
        <is>
          <t>바이오비쥬</t>
        </is>
      </c>
      <c r="B2631" s="6" t="inlineStr">
        <is>
          <t>489460</t>
        </is>
      </c>
      <c r="C2631" s="6" t="inlineStr">
        <is>
          <t>연결</t>
        </is>
      </c>
      <c r="D2631" s="6" t="inlineStr">
        <is>
          <t>2026Q2</t>
        </is>
      </c>
      <c r="E2631" s="6" t="inlineStr"/>
      <c r="F2631" s="7" t="inlineStr"/>
      <c r="G2631" s="8" t="inlineStr"/>
      <c r="H2631" s="8" t="inlineStr"/>
      <c r="I2631" s="9" t="inlineStr"/>
      <c r="J2631" s="10" t="inlineStr"/>
      <c r="K2631" s="10" t="inlineStr"/>
      <c r="L2631" s="7" t="inlineStr"/>
      <c r="M2631" s="8" t="inlineStr"/>
      <c r="N2631" s="8" t="inlineStr"/>
      <c r="O2631" s="9" t="inlineStr"/>
      <c r="P2631" s="10" t="inlineStr"/>
      <c r="Q2631" s="10" t="inlineStr"/>
      <c r="R2631" s="7" t="inlineStr"/>
      <c r="S2631" s="8" t="inlineStr"/>
      <c r="T2631" s="8" t="inlineStr"/>
      <c r="U2631" s="9" t="inlineStr"/>
      <c r="V2631" s="10" t="inlineStr"/>
      <c r="W2631" s="10" t="inlineStr"/>
      <c r="X2631" s="7" t="n">
        <v>6237</v>
      </c>
      <c r="Y2631" s="8" t="n">
        <v>1628</v>
      </c>
      <c r="Z2631" s="8" t="n">
        <v>575</v>
      </c>
      <c r="AA2631" s="9" t="n">
        <v>6640</v>
      </c>
      <c r="AB2631" s="10" t="n">
        <v>2449</v>
      </c>
      <c r="AC2631" s="10" t="n">
        <v>2438</v>
      </c>
      <c r="AD2631" s="7" t="inlineStr"/>
      <c r="AE2631" s="8" t="inlineStr"/>
      <c r="AF2631" s="8" t="inlineStr"/>
      <c r="AG2631" s="9" t="n">
        <v>8015</v>
      </c>
      <c r="AH2631" s="10" t="n">
        <v>2594</v>
      </c>
      <c r="AI2631" s="10" t="n">
        <v>2903</v>
      </c>
      <c r="AJ2631" s="11" t="n">
        <v>9876</v>
      </c>
      <c r="AK2631" s="12" t="n">
        <v>2701</v>
      </c>
      <c r="AL2631" s="12" t="n">
        <v>2529</v>
      </c>
      <c r="AM2631" s="13" t="n">
        <v>23.2</v>
      </c>
      <c r="AN2631" s="13" t="n">
        <v>58.3</v>
      </c>
      <c r="AO2631" s="13" t="n">
        <v>4.1</v>
      </c>
      <c r="AP2631" s="13" t="n">
        <v>65.90000000000001</v>
      </c>
    </row>
    <row r="2632">
      <c r="A2632" s="5" t="inlineStr">
        <is>
          <t>키움제11호스팩</t>
        </is>
      </c>
      <c r="B2632" s="6" t="inlineStr">
        <is>
          <t>489480</t>
        </is>
      </c>
      <c r="C2632" s="6" t="inlineStr">
        <is>
          <t>별도</t>
        </is>
      </c>
      <c r="D2632" s="6" t="inlineStr">
        <is>
          <t>2026Q2</t>
        </is>
      </c>
      <c r="E2632" s="6" t="inlineStr"/>
      <c r="F2632" s="7" t="inlineStr"/>
      <c r="G2632" s="8" t="inlineStr"/>
      <c r="H2632" s="8" t="inlineStr"/>
      <c r="I2632" s="9" t="inlineStr"/>
      <c r="J2632" s="10" t="inlineStr"/>
      <c r="K2632" s="10" t="inlineStr"/>
      <c r="L2632" s="7" t="inlineStr"/>
      <c r="M2632" s="8" t="inlineStr"/>
      <c r="N2632" s="8" t="inlineStr"/>
      <c r="O2632" s="9" t="inlineStr"/>
      <c r="P2632" s="10" t="inlineStr"/>
      <c r="Q2632" s="10" t="inlineStr"/>
      <c r="R2632" s="7" t="inlineStr"/>
      <c r="S2632" s="8" t="inlineStr"/>
      <c r="T2632" s="8" t="inlineStr"/>
      <c r="U2632" s="9" t="n">
        <v>0</v>
      </c>
      <c r="V2632" s="10" t="n">
        <v>-6</v>
      </c>
      <c r="W2632" s="10" t="n">
        <v>60</v>
      </c>
      <c r="X2632" s="7" t="n">
        <v>0</v>
      </c>
      <c r="Y2632" s="8" t="n">
        <v>-13</v>
      </c>
      <c r="Z2632" s="8" t="n">
        <v>55</v>
      </c>
      <c r="AA2632" s="9" t="n">
        <v>0</v>
      </c>
      <c r="AB2632" s="10" t="n">
        <v>-1</v>
      </c>
      <c r="AC2632" s="10" t="n">
        <v>66</v>
      </c>
      <c r="AD2632" s="7" t="n">
        <v>0</v>
      </c>
      <c r="AE2632" s="8" t="n">
        <v>0</v>
      </c>
      <c r="AF2632" s="8" t="n">
        <v>50</v>
      </c>
      <c r="AG2632" s="9" t="n">
        <v>0</v>
      </c>
      <c r="AH2632" s="10" t="n">
        <v>-6</v>
      </c>
      <c r="AI2632" s="10" t="n">
        <v>47</v>
      </c>
      <c r="AJ2632" s="11" t="n">
        <v>0</v>
      </c>
      <c r="AK2632" s="12" t="n">
        <v>-12</v>
      </c>
      <c r="AL2632" s="12" t="n">
        <v>44</v>
      </c>
      <c r="AM2632" s="13" t="inlineStr"/>
      <c r="AN2632" s="13" t="inlineStr"/>
      <c r="AO2632" s="13" t="n">
        <v>-100</v>
      </c>
      <c r="AP2632" s="13" t="n">
        <v>7.7</v>
      </c>
    </row>
    <row r="2633">
      <c r="A2633" s="5" t="inlineStr">
        <is>
          <t>엘케이켐</t>
        </is>
      </c>
      <c r="B2633" s="6" t="inlineStr">
        <is>
          <t>489500</t>
        </is>
      </c>
      <c r="C2633" s="6" t="inlineStr">
        <is>
          <t>연결</t>
        </is>
      </c>
      <c r="D2633" s="6" t="inlineStr">
        <is>
          <t>2026Q2</t>
        </is>
      </c>
      <c r="E2633" s="6" t="inlineStr"/>
      <c r="F2633" s="7" t="inlineStr"/>
      <c r="G2633" s="8" t="inlineStr"/>
      <c r="H2633" s="8" t="inlineStr"/>
      <c r="I2633" s="9" t="inlineStr"/>
      <c r="J2633" s="10" t="inlineStr"/>
      <c r="K2633" s="10" t="inlineStr"/>
      <c r="L2633" s="7" t="inlineStr"/>
      <c r="M2633" s="8" t="inlineStr"/>
      <c r="N2633" s="8" t="inlineStr"/>
      <c r="O2633" s="9" t="inlineStr"/>
      <c r="P2633" s="10" t="inlineStr"/>
      <c r="Q2633" s="10" t="inlineStr"/>
      <c r="R2633" s="7" t="inlineStr"/>
      <c r="S2633" s="8" t="inlineStr"/>
      <c r="T2633" s="8" t="inlineStr"/>
      <c r="U2633" s="9" t="n">
        <v>3374</v>
      </c>
      <c r="V2633" s="10" t="n">
        <v>480</v>
      </c>
      <c r="W2633" s="10" t="n">
        <v>434</v>
      </c>
      <c r="X2633" s="7" t="n">
        <v>5761</v>
      </c>
      <c r="Y2633" s="8" t="n">
        <v>1745</v>
      </c>
      <c r="Z2633" s="8" t="n">
        <v>1030</v>
      </c>
      <c r="AA2633" s="9" t="n">
        <v>5555</v>
      </c>
      <c r="AB2633" s="10" t="n">
        <v>1556</v>
      </c>
      <c r="AC2633" s="10" t="n">
        <v>1565</v>
      </c>
      <c r="AD2633" s="7" t="n">
        <v>5490</v>
      </c>
      <c r="AE2633" s="8" t="n">
        <v>789</v>
      </c>
      <c r="AF2633" s="8" t="n">
        <v>1294</v>
      </c>
      <c r="AG2633" s="9" t="n">
        <v>6060</v>
      </c>
      <c r="AH2633" s="10" t="n">
        <v>1107</v>
      </c>
      <c r="AI2633" s="10" t="n">
        <v>1333</v>
      </c>
      <c r="AJ2633" s="11" t="n">
        <v>7644</v>
      </c>
      <c r="AK2633" s="12" t="n">
        <v>1900</v>
      </c>
      <c r="AL2633" s="12" t="n">
        <v>1857</v>
      </c>
      <c r="AM2633" s="13" t="n">
        <v>26.1</v>
      </c>
      <c r="AN2633" s="13" t="n">
        <v>32.7</v>
      </c>
      <c r="AO2633" s="13" t="n">
        <v>71.59999999999999</v>
      </c>
      <c r="AP2633" s="13" t="n">
        <v>8.9</v>
      </c>
    </row>
    <row r="2634">
      <c r="A2634" s="5" t="inlineStr">
        <is>
          <t>디비금융제13호스팩</t>
        </is>
      </c>
      <c r="B2634" s="6" t="inlineStr">
        <is>
          <t>489730</t>
        </is>
      </c>
      <c r="C2634" s="6" t="inlineStr">
        <is>
          <t>별도</t>
        </is>
      </c>
      <c r="D2634" s="6" t="inlineStr">
        <is>
          <t>2026Q2</t>
        </is>
      </c>
      <c r="E2634" s="6" t="inlineStr"/>
      <c r="F2634" s="7" t="inlineStr"/>
      <c r="G2634" s="8" t="inlineStr"/>
      <c r="H2634" s="8" t="inlineStr"/>
      <c r="I2634" s="9" t="inlineStr"/>
      <c r="J2634" s="10" t="inlineStr"/>
      <c r="K2634" s="10" t="inlineStr"/>
      <c r="L2634" s="7" t="inlineStr"/>
      <c r="M2634" s="8" t="inlineStr"/>
      <c r="N2634" s="8" t="inlineStr"/>
      <c r="O2634" s="9" t="inlineStr"/>
      <c r="P2634" s="10" t="inlineStr"/>
      <c r="Q2634" s="10" t="inlineStr"/>
      <c r="R2634" s="7" t="inlineStr"/>
      <c r="S2634" s="8" t="inlineStr"/>
      <c r="T2634" s="8" t="inlineStr"/>
      <c r="U2634" s="9" t="n">
        <v>0</v>
      </c>
      <c r="V2634" s="10" t="n">
        <v>-18</v>
      </c>
      <c r="W2634" s="10" t="n">
        <v>60</v>
      </c>
      <c r="X2634" s="7" t="n">
        <v>0</v>
      </c>
      <c r="Y2634" s="8" t="n">
        <v>-6</v>
      </c>
      <c r="Z2634" s="8" t="n">
        <v>65</v>
      </c>
      <c r="AA2634" s="9" t="n">
        <v>0</v>
      </c>
      <c r="AB2634" s="10" t="n">
        <v>-9</v>
      </c>
      <c r="AC2634" s="10" t="n">
        <v>51</v>
      </c>
      <c r="AD2634" s="7" t="n">
        <v>0</v>
      </c>
      <c r="AE2634" s="8" t="n">
        <v>-3</v>
      </c>
      <c r="AF2634" s="8" t="n">
        <v>69</v>
      </c>
      <c r="AG2634" s="9" t="n">
        <v>0</v>
      </c>
      <c r="AH2634" s="10" t="n">
        <v>-17</v>
      </c>
      <c r="AI2634" s="10" t="n">
        <v>68</v>
      </c>
      <c r="AJ2634" s="11" t="n">
        <v>0</v>
      </c>
      <c r="AK2634" s="12" t="n">
        <v>-5</v>
      </c>
      <c r="AL2634" s="12" t="n">
        <v>51</v>
      </c>
      <c r="AM2634" s="13" t="inlineStr"/>
      <c r="AN2634" s="13" t="inlineStr"/>
      <c r="AO2634" s="13" t="n">
        <v>70.59999999999999</v>
      </c>
      <c r="AP2634" s="13" t="n">
        <v>16.7</v>
      </c>
    </row>
    <row r="2635">
      <c r="A2635" s="5" t="inlineStr">
        <is>
          <t>한화비전</t>
        </is>
      </c>
      <c r="B2635" s="6" t="inlineStr">
        <is>
          <t>489790</t>
        </is>
      </c>
      <c r="C2635" s="6" t="inlineStr">
        <is>
          <t>연결</t>
        </is>
      </c>
      <c r="D2635" s="6" t="inlineStr">
        <is>
          <t>2026Q2</t>
        </is>
      </c>
      <c r="E2635" s="6" t="inlineStr"/>
      <c r="F2635" s="7" t="inlineStr"/>
      <c r="G2635" s="8" t="inlineStr"/>
      <c r="H2635" s="8" t="inlineStr"/>
      <c r="I2635" s="9" t="inlineStr"/>
      <c r="J2635" s="10" t="inlineStr"/>
      <c r="K2635" s="10" t="inlineStr"/>
      <c r="L2635" s="7" t="inlineStr"/>
      <c r="M2635" s="8" t="inlineStr"/>
      <c r="N2635" s="8" t="inlineStr"/>
      <c r="O2635" s="9" t="n">
        <v>139525</v>
      </c>
      <c r="P2635" s="10" t="n">
        <v>5424</v>
      </c>
      <c r="Q2635" s="10" t="n">
        <v>-13091</v>
      </c>
      <c r="R2635" s="7" t="inlineStr"/>
      <c r="S2635" s="8" t="inlineStr"/>
      <c r="T2635" s="8" t="inlineStr"/>
      <c r="U2635" s="9" t="n">
        <v>451806</v>
      </c>
      <c r="V2635" s="10" t="n">
        <v>44297</v>
      </c>
      <c r="W2635" s="10" t="n">
        <v>-3304</v>
      </c>
      <c r="X2635" s="7" t="n">
        <v>457162</v>
      </c>
      <c r="Y2635" s="8" t="n">
        <v>56268</v>
      </c>
      <c r="Z2635" s="8" t="n">
        <v>-10188</v>
      </c>
      <c r="AA2635" s="9" t="n">
        <v>422742</v>
      </c>
      <c r="AB2635" s="10" t="n">
        <v>31157</v>
      </c>
      <c r="AC2635" s="10" t="n">
        <v>-6750</v>
      </c>
      <c r="AD2635" s="7" t="n">
        <v>459212</v>
      </c>
      <c r="AE2635" s="8" t="n">
        <v>30545</v>
      </c>
      <c r="AF2635" s="8" t="n">
        <v>62862</v>
      </c>
      <c r="AG2635" s="9" t="n">
        <v>441378</v>
      </c>
      <c r="AH2635" s="10" t="n">
        <v>22093</v>
      </c>
      <c r="AI2635" s="10" t="n">
        <v>-14048</v>
      </c>
      <c r="AJ2635" s="11" t="n">
        <v>542289</v>
      </c>
      <c r="AK2635" s="12" t="n">
        <v>65578</v>
      </c>
      <c r="AL2635" s="12" t="n">
        <v>75295</v>
      </c>
      <c r="AM2635" s="13" t="n">
        <v>22.9</v>
      </c>
      <c r="AN2635" s="13" t="n">
        <v>18.6</v>
      </c>
      <c r="AO2635" s="13" t="n">
        <v>196.8</v>
      </c>
      <c r="AP2635" s="13" t="n">
        <v>16.5</v>
      </c>
    </row>
    <row r="2636">
      <c r="A2636" s="5" t="inlineStr">
        <is>
          <t>세미파이브</t>
        </is>
      </c>
      <c r="B2636" s="6" t="inlineStr">
        <is>
          <t>490470</t>
        </is>
      </c>
      <c r="C2636" s="6" t="inlineStr">
        <is>
          <t>연결</t>
        </is>
      </c>
      <c r="D2636" s="6" t="inlineStr">
        <is>
          <t>2026Q2</t>
        </is>
      </c>
      <c r="E2636" s="6" t="inlineStr"/>
      <c r="F2636" s="7" t="inlineStr"/>
      <c r="G2636" s="8" t="inlineStr"/>
      <c r="H2636" s="8" t="inlineStr"/>
      <c r="I2636" s="9" t="inlineStr"/>
      <c r="J2636" s="10" t="inlineStr"/>
      <c r="K2636" s="10" t="inlineStr"/>
      <c r="L2636" s="7" t="inlineStr"/>
      <c r="M2636" s="8" t="inlineStr"/>
      <c r="N2636" s="8" t="inlineStr"/>
      <c r="O2636" s="9" t="inlineStr"/>
      <c r="P2636" s="10" t="inlineStr"/>
      <c r="Q2636" s="10" t="inlineStr"/>
      <c r="R2636" s="7" t="inlineStr"/>
      <c r="S2636" s="8" t="inlineStr"/>
      <c r="T2636" s="8" t="inlineStr"/>
      <c r="U2636" s="9" t="inlineStr"/>
      <c r="V2636" s="10" t="inlineStr"/>
      <c r="W2636" s="10" t="inlineStr"/>
      <c r="X2636" s="7" t="inlineStr"/>
      <c r="Y2636" s="8" t="inlineStr"/>
      <c r="Z2636" s="8" t="inlineStr"/>
      <c r="AA2636" s="9" t="inlineStr"/>
      <c r="AB2636" s="10" t="inlineStr"/>
      <c r="AC2636" s="10" t="inlineStr"/>
      <c r="AD2636" s="7" t="inlineStr"/>
      <c r="AE2636" s="8" t="inlineStr"/>
      <c r="AF2636" s="8" t="inlineStr"/>
      <c r="AG2636" s="9" t="n">
        <v>47875</v>
      </c>
      <c r="AH2636" s="10" t="n">
        <v>105</v>
      </c>
      <c r="AI2636" s="10" t="n">
        <v>1344</v>
      </c>
      <c r="AJ2636" s="11" t="n">
        <v>46802</v>
      </c>
      <c r="AK2636" s="12" t="n">
        <v>-11038</v>
      </c>
      <c r="AL2636" s="12" t="n">
        <v>-12232</v>
      </c>
      <c r="AM2636" s="13" t="n">
        <v>-2.2</v>
      </c>
      <c r="AN2636" s="13" t="inlineStr"/>
      <c r="AO2636" s="13" t="n">
        <v>-10612.4</v>
      </c>
      <c r="AP2636" s="13" t="inlineStr"/>
    </row>
    <row r="2637">
      <c r="A2637" s="5" t="inlineStr">
        <is>
          <t>리브스메드</t>
        </is>
      </c>
      <c r="B2637" s="6" t="inlineStr">
        <is>
          <t>491000</t>
        </is>
      </c>
      <c r="C2637" s="6" t="inlineStr">
        <is>
          <t>연결</t>
        </is>
      </c>
      <c r="D2637" s="6" t="inlineStr">
        <is>
          <t>2026Q2</t>
        </is>
      </c>
      <c r="E2637" s="6" t="inlineStr"/>
      <c r="F2637" s="7" t="inlineStr"/>
      <c r="G2637" s="8" t="inlineStr"/>
      <c r="H2637" s="8" t="inlineStr"/>
      <c r="I2637" s="9" t="inlineStr"/>
      <c r="J2637" s="10" t="inlineStr"/>
      <c r="K2637" s="10" t="inlineStr"/>
      <c r="L2637" s="7" t="inlineStr"/>
      <c r="M2637" s="8" t="inlineStr"/>
      <c r="N2637" s="8" t="inlineStr"/>
      <c r="O2637" s="9" t="inlineStr"/>
      <c r="P2637" s="10" t="inlineStr"/>
      <c r="Q2637" s="10" t="inlineStr"/>
      <c r="R2637" s="7" t="inlineStr"/>
      <c r="S2637" s="8" t="inlineStr"/>
      <c r="T2637" s="8" t="inlineStr"/>
      <c r="U2637" s="9" t="inlineStr"/>
      <c r="V2637" s="10" t="inlineStr"/>
      <c r="W2637" s="10" t="inlineStr"/>
      <c r="X2637" s="7" t="inlineStr"/>
      <c r="Y2637" s="8" t="inlineStr"/>
      <c r="Z2637" s="8" t="inlineStr"/>
      <c r="AA2637" s="9" t="inlineStr"/>
      <c r="AB2637" s="10" t="inlineStr"/>
      <c r="AC2637" s="10" t="inlineStr"/>
      <c r="AD2637" s="7" t="inlineStr"/>
      <c r="AE2637" s="8" t="inlineStr"/>
      <c r="AF2637" s="8" t="inlineStr"/>
      <c r="AG2637" s="9" t="n">
        <v>10263</v>
      </c>
      <c r="AH2637" s="10" t="n">
        <v>-8367</v>
      </c>
      <c r="AI2637" s="10" t="n">
        <v>-5878</v>
      </c>
      <c r="AJ2637" s="11" t="n">
        <v>12507</v>
      </c>
      <c r="AK2637" s="12" t="n">
        <v>-12190</v>
      </c>
      <c r="AL2637" s="12" t="n">
        <v>-11028</v>
      </c>
      <c r="AM2637" s="13" t="n">
        <v>21.9</v>
      </c>
      <c r="AN2637" s="13" t="inlineStr"/>
      <c r="AO2637" s="13" t="n">
        <v>-45.7</v>
      </c>
      <c r="AP2637" s="13" t="inlineStr"/>
    </row>
    <row r="2638">
      <c r="A2638" s="5" t="inlineStr">
        <is>
          <t>KB제31호스팩</t>
        </is>
      </c>
      <c r="B2638" s="6" t="inlineStr">
        <is>
          <t>492220</t>
        </is>
      </c>
      <c r="C2638" s="6" t="inlineStr">
        <is>
          <t>별도</t>
        </is>
      </c>
      <c r="D2638" s="6" t="inlineStr">
        <is>
          <t>2026Q2</t>
        </is>
      </c>
      <c r="E2638" s="6" t="inlineStr"/>
      <c r="F2638" s="7" t="inlineStr"/>
      <c r="G2638" s="8" t="inlineStr"/>
      <c r="H2638" s="8" t="inlineStr"/>
      <c r="I2638" s="9" t="inlineStr"/>
      <c r="J2638" s="10" t="inlineStr"/>
      <c r="K2638" s="10" t="inlineStr"/>
      <c r="L2638" s="7" t="inlineStr"/>
      <c r="M2638" s="8" t="inlineStr"/>
      <c r="N2638" s="8" t="inlineStr"/>
      <c r="O2638" s="9" t="inlineStr"/>
      <c r="P2638" s="10" t="inlineStr"/>
      <c r="Q2638" s="10" t="inlineStr"/>
      <c r="R2638" s="7" t="inlineStr"/>
      <c r="S2638" s="8" t="inlineStr"/>
      <c r="T2638" s="8" t="inlineStr"/>
      <c r="U2638" s="9" t="n">
        <v>0</v>
      </c>
      <c r="V2638" s="10" t="n">
        <v>-6</v>
      </c>
      <c r="W2638" s="10" t="n">
        <v>64</v>
      </c>
      <c r="X2638" s="7" t="n">
        <v>0</v>
      </c>
      <c r="Y2638" s="8" t="n">
        <v>-71</v>
      </c>
      <c r="Z2638" s="8" t="n">
        <v>14</v>
      </c>
      <c r="AA2638" s="9" t="n">
        <v>0</v>
      </c>
      <c r="AB2638" s="10" t="n">
        <v>-4</v>
      </c>
      <c r="AC2638" s="10" t="n">
        <v>67</v>
      </c>
      <c r="AD2638" s="7" t="n">
        <v>0</v>
      </c>
      <c r="AE2638" s="8" t="n">
        <v>-5</v>
      </c>
      <c r="AF2638" s="8" t="n">
        <v>85</v>
      </c>
      <c r="AG2638" s="9" t="n">
        <v>0</v>
      </c>
      <c r="AH2638" s="10" t="n">
        <v>-8</v>
      </c>
      <c r="AI2638" s="10" t="n">
        <v>49</v>
      </c>
      <c r="AJ2638" s="11" t="n">
        <v>0</v>
      </c>
      <c r="AK2638" s="12" t="n">
        <v>-13</v>
      </c>
      <c r="AL2638" s="12" t="n">
        <v>45</v>
      </c>
      <c r="AM2638" s="13" t="inlineStr"/>
      <c r="AN2638" s="13" t="inlineStr"/>
      <c r="AO2638" s="13" t="n">
        <v>-62.5</v>
      </c>
      <c r="AP2638" s="13" t="n">
        <v>81.7</v>
      </c>
    </row>
    <row r="2639">
      <c r="A2639" s="5" t="inlineStr">
        <is>
          <t>아이엠바이오로직스</t>
        </is>
      </c>
      <c r="B2639" s="6" t="inlineStr">
        <is>
          <t>493280</t>
        </is>
      </c>
      <c r="C2639" s="6" t="inlineStr">
        <is>
          <t>별도</t>
        </is>
      </c>
      <c r="D2639" s="6" t="inlineStr">
        <is>
          <t>2026Q2</t>
        </is>
      </c>
      <c r="E2639" s="6" t="inlineStr"/>
      <c r="F2639" s="7" t="inlineStr"/>
      <c r="G2639" s="8" t="inlineStr"/>
      <c r="H2639" s="8" t="inlineStr"/>
      <c r="I2639" s="9" t="inlineStr"/>
      <c r="J2639" s="10" t="inlineStr"/>
      <c r="K2639" s="10" t="inlineStr"/>
      <c r="L2639" s="7" t="inlineStr"/>
      <c r="M2639" s="8" t="inlineStr"/>
      <c r="N2639" s="8" t="inlineStr"/>
      <c r="O2639" s="9" t="inlineStr"/>
      <c r="P2639" s="10" t="inlineStr"/>
      <c r="Q2639" s="10" t="inlineStr"/>
      <c r="R2639" s="7" t="inlineStr"/>
      <c r="S2639" s="8" t="inlineStr"/>
      <c r="T2639" s="8" t="inlineStr"/>
      <c r="U2639" s="9" t="inlineStr"/>
      <c r="V2639" s="10" t="inlineStr"/>
      <c r="W2639" s="10" t="inlineStr"/>
      <c r="X2639" s="7" t="inlineStr"/>
      <c r="Y2639" s="8" t="inlineStr"/>
      <c r="Z2639" s="8" t="inlineStr"/>
      <c r="AA2639" s="9" t="inlineStr"/>
      <c r="AB2639" s="10" t="inlineStr"/>
      <c r="AC2639" s="10" t="inlineStr"/>
      <c r="AD2639" s="7" t="inlineStr"/>
      <c r="AE2639" s="8" t="inlineStr"/>
      <c r="AF2639" s="8" t="inlineStr"/>
      <c r="AG2639" s="9" t="n">
        <v>7227</v>
      </c>
      <c r="AH2639" s="10" t="n">
        <v>2733</v>
      </c>
      <c r="AI2639" s="10" t="n">
        <v>3835</v>
      </c>
      <c r="AJ2639" s="11" t="inlineStr"/>
      <c r="AK2639" s="12" t="n">
        <v>-2678</v>
      </c>
      <c r="AL2639" s="12" t="n">
        <v>-2122</v>
      </c>
      <c r="AM2639" s="13" t="inlineStr"/>
      <c r="AN2639" s="13" t="inlineStr"/>
      <c r="AO2639" s="13" t="n">
        <v>-198</v>
      </c>
      <c r="AP2639" s="13" t="inlineStr"/>
    </row>
    <row r="2640">
      <c r="A2640" s="5" t="inlineStr">
        <is>
          <t>지에프아이</t>
        </is>
      </c>
      <c r="B2640" s="6" t="inlineStr">
        <is>
          <t>493330</t>
        </is>
      </c>
      <c r="C2640" s="6" t="inlineStr">
        <is>
          <t>연결</t>
        </is>
      </c>
      <c r="D2640" s="6" t="inlineStr">
        <is>
          <t>2026Q2</t>
        </is>
      </c>
      <c r="E2640" s="6" t="inlineStr"/>
      <c r="F2640" s="7" t="inlineStr"/>
      <c r="G2640" s="8" t="inlineStr"/>
      <c r="H2640" s="8" t="inlineStr"/>
      <c r="I2640" s="9" t="inlineStr"/>
      <c r="J2640" s="10" t="inlineStr"/>
      <c r="K2640" s="10" t="inlineStr"/>
      <c r="L2640" s="7" t="inlineStr"/>
      <c r="M2640" s="8" t="inlineStr"/>
      <c r="N2640" s="8" t="inlineStr"/>
      <c r="O2640" s="9" t="inlineStr"/>
      <c r="P2640" s="10" t="inlineStr"/>
      <c r="Q2640" s="10" t="inlineStr"/>
      <c r="R2640" s="7" t="inlineStr"/>
      <c r="S2640" s="8" t="inlineStr"/>
      <c r="T2640" s="8" t="inlineStr"/>
      <c r="U2640" s="9" t="inlineStr"/>
      <c r="V2640" s="10" t="inlineStr"/>
      <c r="W2640" s="10" t="inlineStr"/>
      <c r="X2640" s="7" t="inlineStr"/>
      <c r="Y2640" s="8" t="inlineStr"/>
      <c r="Z2640" s="8" t="inlineStr"/>
      <c r="AA2640" s="9" t="n">
        <v>13794</v>
      </c>
      <c r="AB2640" s="10" t="n">
        <v>1385</v>
      </c>
      <c r="AC2640" s="10" t="n">
        <v>1615</v>
      </c>
      <c r="AD2640" s="7" t="inlineStr"/>
      <c r="AE2640" s="8" t="inlineStr"/>
      <c r="AF2640" s="8" t="inlineStr"/>
      <c r="AG2640" s="9" t="n">
        <v>19474</v>
      </c>
      <c r="AH2640" s="10" t="n">
        <v>2902</v>
      </c>
      <c r="AI2640" s="10" t="n">
        <v>2997</v>
      </c>
      <c r="AJ2640" s="11" t="n">
        <v>15538</v>
      </c>
      <c r="AK2640" s="12" t="n">
        <v>2955</v>
      </c>
      <c r="AL2640" s="12" t="n">
        <v>2284</v>
      </c>
      <c r="AM2640" s="13" t="n">
        <v>-20.2</v>
      </c>
      <c r="AN2640" s="13" t="inlineStr"/>
      <c r="AO2640" s="13" t="n">
        <v>1.8</v>
      </c>
      <c r="AP2640" s="13" t="inlineStr"/>
    </row>
    <row r="2641">
      <c r="A2641" s="5" t="inlineStr">
        <is>
          <t>유안타제17호스팩</t>
        </is>
      </c>
      <c r="B2641" s="6" t="inlineStr">
        <is>
          <t>493790</t>
        </is>
      </c>
      <c r="C2641" s="6" t="inlineStr">
        <is>
          <t>별도</t>
        </is>
      </c>
      <c r="D2641" s="6" t="inlineStr">
        <is>
          <t>2026Q2</t>
        </is>
      </c>
      <c r="E2641" s="6" t="inlineStr"/>
      <c r="F2641" s="7" t="inlineStr"/>
      <c r="G2641" s="8" t="inlineStr"/>
      <c r="H2641" s="8" t="inlineStr"/>
      <c r="I2641" s="9" t="inlineStr"/>
      <c r="J2641" s="10" t="inlineStr"/>
      <c r="K2641" s="10" t="inlineStr"/>
      <c r="L2641" s="7" t="inlineStr"/>
      <c r="M2641" s="8" t="inlineStr"/>
      <c r="N2641" s="8" t="inlineStr"/>
      <c r="O2641" s="9" t="inlineStr"/>
      <c r="P2641" s="10" t="inlineStr"/>
      <c r="Q2641" s="10" t="inlineStr"/>
      <c r="R2641" s="7" t="inlineStr"/>
      <c r="S2641" s="8" t="inlineStr"/>
      <c r="T2641" s="8" t="inlineStr"/>
      <c r="U2641" s="9" t="inlineStr"/>
      <c r="V2641" s="10" t="n">
        <v>-28</v>
      </c>
      <c r="W2641" s="10" t="n">
        <v>14</v>
      </c>
      <c r="X2641" s="7" t="inlineStr"/>
      <c r="Y2641" s="8" t="n">
        <v>-12</v>
      </c>
      <c r="Z2641" s="8" t="n">
        <v>35</v>
      </c>
      <c r="AA2641" s="9" t="inlineStr"/>
      <c r="AB2641" s="10" t="n">
        <v>-14</v>
      </c>
      <c r="AC2641" s="10" t="n">
        <v>36</v>
      </c>
      <c r="AD2641" s="7" t="inlineStr"/>
      <c r="AE2641" s="8" t="n">
        <v>8</v>
      </c>
      <c r="AF2641" s="8" t="n">
        <v>53</v>
      </c>
      <c r="AG2641" s="9" t="n">
        <v>0</v>
      </c>
      <c r="AH2641" s="10" t="n">
        <v>-17</v>
      </c>
      <c r="AI2641" s="10" t="n">
        <v>44</v>
      </c>
      <c r="AJ2641" s="11" t="n">
        <v>0</v>
      </c>
      <c r="AK2641" s="12" t="n">
        <v>-8</v>
      </c>
      <c r="AL2641" s="12" t="n">
        <v>41</v>
      </c>
      <c r="AM2641" s="13" t="inlineStr"/>
      <c r="AN2641" s="13" t="inlineStr"/>
      <c r="AO2641" s="13" t="n">
        <v>52.9</v>
      </c>
      <c r="AP2641" s="13" t="n">
        <v>33.3</v>
      </c>
    </row>
    <row r="2642">
      <c r="A2642" s="5" t="inlineStr">
        <is>
          <t>큐리오시스</t>
        </is>
      </c>
      <c r="B2642" s="6" t="inlineStr">
        <is>
          <t>494120</t>
        </is>
      </c>
      <c r="C2642" s="6" t="inlineStr">
        <is>
          <t>연결</t>
        </is>
      </c>
      <c r="D2642" s="6" t="inlineStr">
        <is>
          <t>2026Q2</t>
        </is>
      </c>
      <c r="E2642" s="6" t="inlineStr"/>
      <c r="F2642" s="7" t="inlineStr"/>
      <c r="G2642" s="8" t="inlineStr"/>
      <c r="H2642" s="8" t="inlineStr"/>
      <c r="I2642" s="9" t="inlineStr"/>
      <c r="J2642" s="10" t="inlineStr"/>
      <c r="K2642" s="10" t="inlineStr"/>
      <c r="L2642" s="7" t="inlineStr"/>
      <c r="M2642" s="8" t="inlineStr"/>
      <c r="N2642" s="8" t="inlineStr"/>
      <c r="O2642" s="9" t="inlineStr"/>
      <c r="P2642" s="10" t="inlineStr"/>
      <c r="Q2642" s="10" t="inlineStr"/>
      <c r="R2642" s="7" t="inlineStr"/>
      <c r="S2642" s="8" t="inlineStr"/>
      <c r="T2642" s="8" t="inlineStr"/>
      <c r="U2642" s="9" t="n">
        <v>1537</v>
      </c>
      <c r="V2642" s="10" t="n">
        <v>-1834</v>
      </c>
      <c r="W2642" s="10" t="n">
        <v>-2196</v>
      </c>
      <c r="X2642" s="7" t="n">
        <v>2009</v>
      </c>
      <c r="Y2642" s="8" t="n">
        <v>-1322</v>
      </c>
      <c r="Z2642" s="8" t="n">
        <v>-1338</v>
      </c>
      <c r="AA2642" s="9" t="n">
        <v>1151</v>
      </c>
      <c r="AB2642" s="10" t="n">
        <v>-2080</v>
      </c>
      <c r="AC2642" s="10" t="n">
        <v>-2071</v>
      </c>
      <c r="AD2642" s="7" t="n">
        <v>2606</v>
      </c>
      <c r="AE2642" s="8" t="n">
        <v>-2290</v>
      </c>
      <c r="AF2642" s="8" t="n">
        <v>-2259</v>
      </c>
      <c r="AG2642" s="9" t="n">
        <v>1146</v>
      </c>
      <c r="AH2642" s="10" t="n">
        <v>-1606</v>
      </c>
      <c r="AI2642" s="10" t="n">
        <v>-1475</v>
      </c>
      <c r="AJ2642" s="11" t="n">
        <v>3473</v>
      </c>
      <c r="AK2642" s="12" t="n">
        <v>-1869</v>
      </c>
      <c r="AL2642" s="12" t="n">
        <v>-2082</v>
      </c>
      <c r="AM2642" s="13" t="n">
        <v>203.1</v>
      </c>
      <c r="AN2642" s="13" t="n">
        <v>72.90000000000001</v>
      </c>
      <c r="AO2642" s="13" t="n">
        <v>-16.4</v>
      </c>
      <c r="AP2642" s="13" t="n">
        <v>-41.4</v>
      </c>
    </row>
    <row r="2643">
      <c r="A2643" s="5" t="inlineStr">
        <is>
          <t>신한제16호스팩</t>
        </is>
      </c>
      <c r="B2643" s="6" t="inlineStr">
        <is>
          <t>496070</t>
        </is>
      </c>
      <c r="C2643" s="6" t="inlineStr">
        <is>
          <t>별도</t>
        </is>
      </c>
      <c r="D2643" s="6" t="inlineStr">
        <is>
          <t>2026Q2</t>
        </is>
      </c>
      <c r="E2643" s="6" t="inlineStr"/>
      <c r="F2643" s="7" t="inlineStr"/>
      <c r="G2643" s="8" t="inlineStr"/>
      <c r="H2643" s="8" t="inlineStr"/>
      <c r="I2643" s="9" t="inlineStr"/>
      <c r="J2643" s="10" t="inlineStr"/>
      <c r="K2643" s="10" t="inlineStr"/>
      <c r="L2643" s="7" t="inlineStr"/>
      <c r="M2643" s="8" t="inlineStr"/>
      <c r="N2643" s="8" t="inlineStr"/>
      <c r="O2643" s="9" t="inlineStr"/>
      <c r="P2643" s="10" t="inlineStr"/>
      <c r="Q2643" s="10" t="inlineStr"/>
      <c r="R2643" s="7" t="inlineStr"/>
      <c r="S2643" s="8" t="inlineStr"/>
      <c r="T2643" s="8" t="inlineStr"/>
      <c r="U2643" s="9" t="inlineStr"/>
      <c r="V2643" s="10" t="inlineStr"/>
      <c r="W2643" s="10" t="inlineStr"/>
      <c r="X2643" s="7" t="inlineStr"/>
      <c r="Y2643" s="8" t="n">
        <v>-11</v>
      </c>
      <c r="Z2643" s="8" t="n">
        <v>12</v>
      </c>
      <c r="AA2643" s="9" t="inlineStr"/>
      <c r="AB2643" s="10" t="n">
        <v>-10</v>
      </c>
      <c r="AC2643" s="10" t="n">
        <v>40</v>
      </c>
      <c r="AD2643" s="7" t="inlineStr"/>
      <c r="AE2643" s="8" t="inlineStr"/>
      <c r="AF2643" s="8" t="inlineStr"/>
      <c r="AG2643" s="9" t="inlineStr"/>
      <c r="AH2643" s="10" t="n">
        <v>-12</v>
      </c>
      <c r="AI2643" s="10" t="n">
        <v>30</v>
      </c>
      <c r="AJ2643" s="11" t="inlineStr"/>
      <c r="AK2643" s="12" t="n">
        <v>-10</v>
      </c>
      <c r="AL2643" s="12" t="n">
        <v>60</v>
      </c>
      <c r="AM2643" s="13" t="inlineStr"/>
      <c r="AN2643" s="13" t="inlineStr"/>
      <c r="AO2643" s="13" t="n">
        <v>16.7</v>
      </c>
      <c r="AP2643" s="13" t="n">
        <v>9.1</v>
      </c>
    </row>
    <row r="2644">
      <c r="A2644" s="5" t="inlineStr">
        <is>
          <t>한화플러스제5호스팩</t>
        </is>
      </c>
      <c r="B2644" s="6" t="inlineStr">
        <is>
          <t>498390</t>
        </is>
      </c>
      <c r="C2644" s="6" t="inlineStr">
        <is>
          <t>별도</t>
        </is>
      </c>
      <c r="D2644" s="6" t="inlineStr">
        <is>
          <t>2026Q2</t>
        </is>
      </c>
      <c r="E2644" s="6" t="inlineStr"/>
      <c r="F2644" s="7" t="inlineStr"/>
      <c r="G2644" s="8" t="inlineStr"/>
      <c r="H2644" s="8" t="inlineStr"/>
      <c r="I2644" s="9" t="inlineStr"/>
      <c r="J2644" s="10" t="inlineStr"/>
      <c r="K2644" s="10" t="inlineStr"/>
      <c r="L2644" s="7" t="inlineStr"/>
      <c r="M2644" s="8" t="inlineStr"/>
      <c r="N2644" s="8" t="inlineStr"/>
      <c r="O2644" s="9" t="inlineStr"/>
      <c r="P2644" s="10" t="inlineStr"/>
      <c r="Q2644" s="10" t="inlineStr"/>
      <c r="R2644" s="7" t="inlineStr"/>
      <c r="S2644" s="8" t="inlineStr"/>
      <c r="T2644" s="8" t="inlineStr"/>
      <c r="U2644" s="9" t="inlineStr"/>
      <c r="V2644" s="10" t="n">
        <v>-11</v>
      </c>
      <c r="W2644" s="10" t="n">
        <v>-28</v>
      </c>
      <c r="X2644" s="7" t="inlineStr"/>
      <c r="Y2644" s="8" t="n">
        <v>-186</v>
      </c>
      <c r="Z2644" s="8" t="n">
        <v>-202</v>
      </c>
      <c r="AA2644" s="9" t="inlineStr"/>
      <c r="AB2644" s="10" t="n">
        <v>-10</v>
      </c>
      <c r="AC2644" s="10" t="n">
        <v>-28</v>
      </c>
      <c r="AD2644" s="7" t="inlineStr"/>
      <c r="AE2644" s="8" t="n">
        <v>-5</v>
      </c>
      <c r="AF2644" s="8" t="n">
        <v>202</v>
      </c>
      <c r="AG2644" s="9" t="inlineStr"/>
      <c r="AH2644" s="10" t="n">
        <v>-17</v>
      </c>
      <c r="AI2644" s="10" t="n">
        <v>-35</v>
      </c>
      <c r="AJ2644" s="11" t="inlineStr"/>
      <c r="AK2644" s="12" t="n">
        <v>-56</v>
      </c>
      <c r="AL2644" s="12" t="n">
        <v>-73</v>
      </c>
      <c r="AM2644" s="13" t="inlineStr"/>
      <c r="AN2644" s="13" t="inlineStr"/>
      <c r="AO2644" s="13" t="n">
        <v>-229.4</v>
      </c>
      <c r="AP2644" s="13" t="n">
        <v>69.90000000000001</v>
      </c>
    </row>
    <row r="2645">
      <c r="A2645" s="5" t="inlineStr">
        <is>
          <t>GS피앤엘</t>
        </is>
      </c>
      <c r="B2645" s="6" t="inlineStr">
        <is>
          <t>499790</t>
        </is>
      </c>
      <c r="C2645" s="6" t="inlineStr">
        <is>
          <t>연결</t>
        </is>
      </c>
      <c r="D2645" s="6" t="inlineStr">
        <is>
          <t>2026Q2</t>
        </is>
      </c>
      <c r="E2645" s="6" t="inlineStr"/>
      <c r="F2645" s="7" t="inlineStr"/>
      <c r="G2645" s="8" t="inlineStr"/>
      <c r="H2645" s="8" t="inlineStr"/>
      <c r="I2645" s="9" t="inlineStr"/>
      <c r="J2645" s="10" t="inlineStr"/>
      <c r="K2645" s="10" t="inlineStr"/>
      <c r="L2645" s="7" t="inlineStr"/>
      <c r="M2645" s="8" t="inlineStr"/>
      <c r="N2645" s="8" t="inlineStr"/>
      <c r="O2645" s="9" t="inlineStr"/>
      <c r="P2645" s="10" t="inlineStr"/>
      <c r="Q2645" s="10" t="inlineStr"/>
      <c r="R2645" s="7" t="inlineStr"/>
      <c r="S2645" s="8" t="inlineStr"/>
      <c r="T2645" s="8" t="inlineStr"/>
      <c r="U2645" s="9" t="n">
        <v>94476</v>
      </c>
      <c r="V2645" s="10" t="n">
        <v>15216</v>
      </c>
      <c r="W2645" s="10" t="n">
        <v>8338</v>
      </c>
      <c r="X2645" s="7" t="n">
        <v>112145</v>
      </c>
      <c r="Y2645" s="8" t="n">
        <v>11564</v>
      </c>
      <c r="Z2645" s="8" t="n">
        <v>6014</v>
      </c>
      <c r="AA2645" s="9" t="n">
        <v>121962</v>
      </c>
      <c r="AB2645" s="10" t="n">
        <v>19929</v>
      </c>
      <c r="AC2645" s="10" t="n">
        <v>12784</v>
      </c>
      <c r="AD2645" s="7" t="n">
        <v>153100</v>
      </c>
      <c r="AE2645" s="8" t="n">
        <v>31314</v>
      </c>
      <c r="AF2645" s="8" t="n">
        <v>2808</v>
      </c>
      <c r="AG2645" s="9" t="n">
        <v>130366</v>
      </c>
      <c r="AH2645" s="10" t="n">
        <v>24162</v>
      </c>
      <c r="AI2645" s="10" t="n">
        <v>14064</v>
      </c>
      <c r="AJ2645" s="11" t="n">
        <v>158961</v>
      </c>
      <c r="AK2645" s="12" t="n">
        <v>29360</v>
      </c>
      <c r="AL2645" s="12" t="n">
        <v>19222</v>
      </c>
      <c r="AM2645" s="13" t="n">
        <v>21.9</v>
      </c>
      <c r="AN2645" s="13" t="n">
        <v>41.7</v>
      </c>
      <c r="AO2645" s="13" t="n">
        <v>21.5</v>
      </c>
      <c r="AP2645" s="13" t="n">
        <v>153.9</v>
      </c>
    </row>
    <row r="2646">
      <c r="A2646" s="5" t="inlineStr">
        <is>
          <t>글로벌에스엠</t>
        </is>
      </c>
      <c r="B2646" s="6" t="inlineStr">
        <is>
          <t>900070</t>
        </is>
      </c>
      <c r="C2646" s="6" t="inlineStr">
        <is>
          <t>연결</t>
        </is>
      </c>
      <c r="D2646" s="6" t="inlineStr">
        <is>
          <t>2026Q2</t>
        </is>
      </c>
      <c r="E2646" s="6" t="inlineStr"/>
      <c r="F2646" s="7" t="inlineStr"/>
      <c r="G2646" s="8" t="inlineStr"/>
      <c r="H2646" s="8" t="inlineStr"/>
      <c r="I2646" s="9" t="n">
        <v>23</v>
      </c>
      <c r="J2646" s="10" t="n">
        <v>1</v>
      </c>
      <c r="K2646" s="10" t="n">
        <v>0</v>
      </c>
      <c r="L2646" s="7" t="n">
        <v>23</v>
      </c>
      <c r="M2646" s="8" t="n">
        <v>1</v>
      </c>
      <c r="N2646" s="8" t="n">
        <v>1</v>
      </c>
      <c r="O2646" s="9" t="n">
        <v>23</v>
      </c>
      <c r="P2646" s="10" t="n">
        <v>1</v>
      </c>
      <c r="Q2646" s="10" t="n">
        <v>1</v>
      </c>
      <c r="R2646" s="7" t="n">
        <v>21</v>
      </c>
      <c r="S2646" s="8" t="n">
        <v>1</v>
      </c>
      <c r="T2646" s="8" t="n">
        <v>-1</v>
      </c>
      <c r="U2646" s="9" t="n">
        <v>21</v>
      </c>
      <c r="V2646" s="10" t="n">
        <v>1</v>
      </c>
      <c r="W2646" s="10" t="n">
        <v>1</v>
      </c>
      <c r="X2646" s="7" t="n">
        <v>23</v>
      </c>
      <c r="Y2646" s="8" t="n">
        <v>2</v>
      </c>
      <c r="Z2646" s="8" t="n">
        <v>3</v>
      </c>
      <c r="AA2646" s="9" t="n">
        <v>23</v>
      </c>
      <c r="AB2646" s="10" t="n">
        <v>1</v>
      </c>
      <c r="AC2646" s="10" t="n">
        <v>1</v>
      </c>
      <c r="AD2646" s="7" t="n">
        <v>24</v>
      </c>
      <c r="AE2646" s="8" t="n">
        <v>2</v>
      </c>
      <c r="AF2646" s="8" t="n">
        <v>1</v>
      </c>
      <c r="AG2646" s="9" t="n">
        <v>23</v>
      </c>
      <c r="AH2646" s="10" t="n">
        <v>1</v>
      </c>
      <c r="AI2646" s="10" t="n">
        <v>0</v>
      </c>
      <c r="AJ2646" s="11" t="n">
        <v>25</v>
      </c>
      <c r="AK2646" s="12" t="n">
        <v>2</v>
      </c>
      <c r="AL2646" s="12" t="n">
        <v>1</v>
      </c>
      <c r="AM2646" s="13" t="n">
        <v>8.699999999999999</v>
      </c>
      <c r="AN2646" s="13" t="n">
        <v>8.699999999999999</v>
      </c>
      <c r="AO2646" s="13" t="n">
        <v>100</v>
      </c>
      <c r="AP2646" s="13" t="n">
        <v>0</v>
      </c>
    </row>
    <row r="2647">
      <c r="A2647" s="5" t="inlineStr">
        <is>
          <t>파이온엑스</t>
        </is>
      </c>
      <c r="B2647" s="6" t="inlineStr">
        <is>
          <t>900100</t>
        </is>
      </c>
      <c r="C2647" s="6" t="inlineStr">
        <is>
          <t>연결</t>
        </is>
      </c>
      <c r="D2647" s="6" t="inlineStr">
        <is>
          <t>2026Q2</t>
        </is>
      </c>
      <c r="E2647" s="6" t="inlineStr"/>
      <c r="F2647" s="7" t="inlineStr"/>
      <c r="G2647" s="8" t="inlineStr"/>
      <c r="H2647" s="8" t="inlineStr"/>
      <c r="I2647" s="9" t="n">
        <v>4</v>
      </c>
      <c r="J2647" s="10" t="n">
        <v>-3</v>
      </c>
      <c r="K2647" s="10" t="n">
        <v>-3</v>
      </c>
      <c r="L2647" s="7" t="n">
        <v>4</v>
      </c>
      <c r="M2647" s="8" t="n">
        <v>-3</v>
      </c>
      <c r="N2647" s="8" t="n">
        <v>-4</v>
      </c>
      <c r="O2647" s="9" t="n">
        <v>3</v>
      </c>
      <c r="P2647" s="10" t="n">
        <v>-2</v>
      </c>
      <c r="Q2647" s="10" t="n">
        <v>-3</v>
      </c>
      <c r="R2647" s="7" t="n">
        <v>3</v>
      </c>
      <c r="S2647" s="8" t="n">
        <v>0</v>
      </c>
      <c r="T2647" s="8" t="n">
        <v>-2</v>
      </c>
      <c r="U2647" s="9" t="n">
        <v>2</v>
      </c>
      <c r="V2647" s="10" t="n">
        <v>-2</v>
      </c>
      <c r="W2647" s="10" t="n">
        <v>-2</v>
      </c>
      <c r="X2647" s="7" t="n">
        <v>1</v>
      </c>
      <c r="Y2647" s="8" t="n">
        <v>-1</v>
      </c>
      <c r="Z2647" s="8" t="n">
        <v>-3</v>
      </c>
      <c r="AA2647" s="9" t="n">
        <v>1</v>
      </c>
      <c r="AB2647" s="10" t="n">
        <v>-1</v>
      </c>
      <c r="AC2647" s="10" t="n">
        <v>-2</v>
      </c>
      <c r="AD2647" s="7" t="n">
        <v>0</v>
      </c>
      <c r="AE2647" s="8" t="n">
        <v>-2</v>
      </c>
      <c r="AF2647" s="8" t="n">
        <v>-1</v>
      </c>
      <c r="AG2647" s="9" t="n">
        <v>1</v>
      </c>
      <c r="AH2647" s="10" t="n">
        <v>-1</v>
      </c>
      <c r="AI2647" s="10" t="n">
        <v>-1</v>
      </c>
      <c r="AJ2647" s="11" t="n">
        <v>2</v>
      </c>
      <c r="AK2647" s="12" t="n">
        <v>-1</v>
      </c>
      <c r="AL2647" s="12" t="n">
        <v>-1</v>
      </c>
      <c r="AM2647" s="13" t="n">
        <v>100</v>
      </c>
      <c r="AN2647" s="13" t="n">
        <v>100</v>
      </c>
      <c r="AO2647" s="13" t="n">
        <v>0</v>
      </c>
      <c r="AP2647" s="13" t="n">
        <v>0</v>
      </c>
    </row>
    <row r="2648">
      <c r="A2648" s="5" t="inlineStr">
        <is>
          <t>딥커머스</t>
        </is>
      </c>
      <c r="B2648" s="6" t="inlineStr">
        <is>
          <t>900110</t>
        </is>
      </c>
      <c r="C2648" s="6" t="inlineStr">
        <is>
          <t>연결</t>
        </is>
      </c>
      <c r="D2648" s="6" t="inlineStr">
        <is>
          <t>2026Q2</t>
        </is>
      </c>
      <c r="E2648" s="6" t="inlineStr"/>
      <c r="F2648" s="7" t="inlineStr"/>
      <c r="G2648" s="8" t="inlineStr"/>
      <c r="H2648" s="8" t="inlineStr"/>
      <c r="I2648" s="9" t="n">
        <v>66</v>
      </c>
      <c r="J2648" s="10" t="n">
        <v>0</v>
      </c>
      <c r="K2648" s="10" t="n">
        <v>2</v>
      </c>
      <c r="L2648" s="7" t="n">
        <v>105</v>
      </c>
      <c r="M2648" s="8" t="n">
        <v>15</v>
      </c>
      <c r="N2648" s="8" t="n">
        <v>13</v>
      </c>
      <c r="O2648" s="9" t="n">
        <v>93</v>
      </c>
      <c r="P2648" s="10" t="n">
        <v>9</v>
      </c>
      <c r="Q2648" s="10" t="n">
        <v>9</v>
      </c>
      <c r="R2648" s="7" t="n">
        <v>128</v>
      </c>
      <c r="S2648" s="8" t="n">
        <v>19</v>
      </c>
      <c r="T2648" s="8" t="n">
        <v>3</v>
      </c>
      <c r="U2648" s="9" t="n">
        <v>65</v>
      </c>
      <c r="V2648" s="10" t="n">
        <v>3</v>
      </c>
      <c r="W2648" s="10" t="n">
        <v>3</v>
      </c>
      <c r="X2648" s="7" t="n">
        <v>86</v>
      </c>
      <c r="Y2648" s="8" t="n">
        <v>11</v>
      </c>
      <c r="Z2648" s="8" t="n">
        <v>11</v>
      </c>
      <c r="AA2648" s="9" t="n">
        <v>92</v>
      </c>
      <c r="AB2648" s="10" t="n">
        <v>17</v>
      </c>
      <c r="AC2648" s="10" t="n">
        <v>15</v>
      </c>
      <c r="AD2648" s="7" t="n">
        <v>114</v>
      </c>
      <c r="AE2648" s="8" t="n">
        <v>17</v>
      </c>
      <c r="AF2648" s="8" t="n">
        <v>25</v>
      </c>
      <c r="AG2648" s="9" t="n">
        <v>72</v>
      </c>
      <c r="AH2648" s="10" t="n">
        <v>8</v>
      </c>
      <c r="AI2648" s="10" t="n">
        <v>8</v>
      </c>
      <c r="AJ2648" s="11" t="n">
        <v>74</v>
      </c>
      <c r="AK2648" s="12" t="n">
        <v>12</v>
      </c>
      <c r="AL2648" s="12" t="n">
        <v>11</v>
      </c>
      <c r="AM2648" s="13" t="n">
        <v>2.8</v>
      </c>
      <c r="AN2648" s="13" t="n">
        <v>-14</v>
      </c>
      <c r="AO2648" s="13" t="n">
        <v>50</v>
      </c>
      <c r="AP2648" s="13" t="n">
        <v>9.1</v>
      </c>
    </row>
    <row r="2649">
      <c r="A2649" s="5" t="inlineStr">
        <is>
          <t>씨엑스아이</t>
        </is>
      </c>
      <c r="B2649" s="6" t="inlineStr">
        <is>
          <t>900120</t>
        </is>
      </c>
      <c r="C2649" s="6" t="inlineStr">
        <is>
          <t>연결</t>
        </is>
      </c>
      <c r="D2649" s="6" t="inlineStr">
        <is>
          <t>2025Q4</t>
        </is>
      </c>
      <c r="E2649" s="6" t="inlineStr"/>
      <c r="F2649" s="7" t="inlineStr"/>
      <c r="G2649" s="8" t="inlineStr"/>
      <c r="H2649" s="8" t="inlineStr"/>
      <c r="I2649" s="9" t="n">
        <v>96</v>
      </c>
      <c r="J2649" s="10" t="n">
        <v>31</v>
      </c>
      <c r="K2649" s="10" t="n">
        <v>33</v>
      </c>
      <c r="L2649" s="7" t="n">
        <v>48</v>
      </c>
      <c r="M2649" s="8" t="n">
        <v>-13</v>
      </c>
      <c r="N2649" s="8" t="n">
        <v>-13</v>
      </c>
      <c r="O2649" s="9" t="n">
        <v>71</v>
      </c>
      <c r="P2649" s="10" t="n">
        <v>-7</v>
      </c>
      <c r="Q2649" s="10" t="n">
        <v>15</v>
      </c>
      <c r="R2649" s="7" t="n">
        <v>162</v>
      </c>
      <c r="S2649" s="8" t="n">
        <v>91</v>
      </c>
      <c r="T2649" s="8" t="n">
        <v>124</v>
      </c>
      <c r="U2649" s="9" t="n">
        <v>84</v>
      </c>
      <c r="V2649" s="10" t="n">
        <v>25</v>
      </c>
      <c r="W2649" s="10" t="n">
        <v>24</v>
      </c>
      <c r="X2649" s="7" t="n">
        <v>37</v>
      </c>
      <c r="Y2649" s="8" t="n">
        <v>-19</v>
      </c>
      <c r="Z2649" s="8" t="n">
        <v>-19</v>
      </c>
      <c r="AA2649" s="9" t="n">
        <v>53</v>
      </c>
      <c r="AB2649" s="10" t="n">
        <v>-8</v>
      </c>
      <c r="AC2649" s="10" t="n">
        <v>-8</v>
      </c>
      <c r="AD2649" s="7" t="n">
        <v>123</v>
      </c>
      <c r="AE2649" s="8" t="n">
        <v>52</v>
      </c>
      <c r="AF2649" s="8" t="n">
        <v>69</v>
      </c>
      <c r="AG2649" s="9" t="inlineStr"/>
      <c r="AH2649" s="10" t="inlineStr"/>
      <c r="AI2649" s="10" t="inlineStr"/>
      <c r="AJ2649" s="11" t="inlineStr"/>
      <c r="AK2649" s="12" t="inlineStr"/>
      <c r="AL2649" s="12" t="inlineStr"/>
      <c r="AM2649" s="13" t="inlineStr"/>
      <c r="AN2649" s="13" t="inlineStr"/>
      <c r="AO2649" s="13" t="inlineStr"/>
      <c r="AP2649" s="13" t="inlineStr"/>
    </row>
    <row r="2650">
      <c r="A2650" s="5" t="inlineStr">
        <is>
          <t>엘브이엠씨</t>
        </is>
      </c>
      <c r="B2650" s="6" t="inlineStr">
        <is>
          <t>900140</t>
        </is>
      </c>
      <c r="C2650" s="6" t="inlineStr">
        <is>
          <t>연결</t>
        </is>
      </c>
      <c r="D2650" s="6" t="inlineStr">
        <is>
          <t>2026Q2</t>
        </is>
      </c>
      <c r="E2650" s="6" t="inlineStr"/>
      <c r="F2650" s="7" t="inlineStr"/>
      <c r="G2650" s="8" t="inlineStr"/>
      <c r="H2650" s="8" t="inlineStr"/>
      <c r="I2650" s="9" t="n">
        <v>55</v>
      </c>
      <c r="J2650" s="10" t="n">
        <v>2</v>
      </c>
      <c r="K2650" s="10" t="n">
        <v>0</v>
      </c>
      <c r="L2650" s="7" t="n">
        <v>46</v>
      </c>
      <c r="M2650" s="8" t="n">
        <v>3</v>
      </c>
      <c r="N2650" s="8" t="n">
        <v>-2</v>
      </c>
      <c r="O2650" s="9" t="n">
        <v>43</v>
      </c>
      <c r="P2650" s="10" t="n">
        <v>0</v>
      </c>
      <c r="Q2650" s="10" t="n">
        <v>-6</v>
      </c>
      <c r="R2650" s="7" t="n">
        <v>73</v>
      </c>
      <c r="S2650" s="8" t="n">
        <v>7</v>
      </c>
      <c r="T2650" s="8" t="n">
        <v>11</v>
      </c>
      <c r="U2650" s="9" t="n">
        <v>72</v>
      </c>
      <c r="V2650" s="10" t="n">
        <v>8</v>
      </c>
      <c r="W2650" s="10" t="n">
        <v>3</v>
      </c>
      <c r="X2650" s="7" t="n">
        <v>71</v>
      </c>
      <c r="Y2650" s="8" t="n">
        <v>5</v>
      </c>
      <c r="Z2650" s="8" t="n">
        <v>1</v>
      </c>
      <c r="AA2650" s="9" t="n">
        <v>60</v>
      </c>
      <c r="AB2650" s="10" t="n">
        <v>4</v>
      </c>
      <c r="AC2650" s="10" t="n">
        <v>3</v>
      </c>
      <c r="AD2650" s="7" t="n">
        <v>73</v>
      </c>
      <c r="AE2650" s="8" t="n">
        <v>10</v>
      </c>
      <c r="AF2650" s="8" t="n">
        <v>3</v>
      </c>
      <c r="AG2650" s="9" t="n">
        <v>88</v>
      </c>
      <c r="AH2650" s="10" t="n">
        <v>14</v>
      </c>
      <c r="AI2650" s="10" t="n">
        <v>12</v>
      </c>
      <c r="AJ2650" s="11" t="n">
        <v>73</v>
      </c>
      <c r="AK2650" s="12" t="n">
        <v>12</v>
      </c>
      <c r="AL2650" s="12" t="n">
        <v>5</v>
      </c>
      <c r="AM2650" s="13" t="n">
        <v>-17</v>
      </c>
      <c r="AN2650" s="13" t="n">
        <v>2.8</v>
      </c>
      <c r="AO2650" s="13" t="n">
        <v>-14.3</v>
      </c>
      <c r="AP2650" s="13" t="n">
        <v>140</v>
      </c>
    </row>
    <row r="2651">
      <c r="A2651" s="5" t="inlineStr">
        <is>
          <t>크리스탈신소재</t>
        </is>
      </c>
      <c r="B2651" s="6" t="inlineStr">
        <is>
          <t>900250</t>
        </is>
      </c>
      <c r="C2651" s="6" t="inlineStr">
        <is>
          <t>연결</t>
        </is>
      </c>
      <c r="D2651" s="6" t="inlineStr">
        <is>
          <t>2026Q2</t>
        </is>
      </c>
      <c r="E2651" s="6" t="inlineStr"/>
      <c r="F2651" s="7" t="inlineStr"/>
      <c r="G2651" s="8" t="inlineStr"/>
      <c r="H2651" s="8" t="inlineStr"/>
      <c r="I2651" s="9" t="n">
        <v>110</v>
      </c>
      <c r="J2651" s="10" t="n">
        <v>25</v>
      </c>
      <c r="K2651" s="10" t="n">
        <v>19</v>
      </c>
      <c r="L2651" s="7" t="n">
        <v>136</v>
      </c>
      <c r="M2651" s="8" t="n">
        <v>27</v>
      </c>
      <c r="N2651" s="8" t="n">
        <v>-15</v>
      </c>
      <c r="O2651" s="9" t="n">
        <v>140</v>
      </c>
      <c r="P2651" s="10" t="n">
        <v>29</v>
      </c>
      <c r="Q2651" s="10" t="n">
        <v>1</v>
      </c>
      <c r="R2651" s="7" t="n">
        <v>133</v>
      </c>
      <c r="S2651" s="8" t="n">
        <v>19</v>
      </c>
      <c r="T2651" s="8" t="n">
        <v>40</v>
      </c>
      <c r="U2651" s="9" t="n">
        <v>113</v>
      </c>
      <c r="V2651" s="10" t="n">
        <v>13</v>
      </c>
      <c r="W2651" s="10" t="n">
        <v>10</v>
      </c>
      <c r="X2651" s="7" t="n">
        <v>148</v>
      </c>
      <c r="Y2651" s="8" t="n">
        <v>30</v>
      </c>
      <c r="Z2651" s="8" t="n">
        <v>26</v>
      </c>
      <c r="AA2651" s="9" t="n">
        <v>142</v>
      </c>
      <c r="AB2651" s="10" t="n">
        <v>23</v>
      </c>
      <c r="AC2651" s="10" t="n">
        <v>20</v>
      </c>
      <c r="AD2651" s="7" t="n">
        <v>-50</v>
      </c>
      <c r="AE2651" s="8" t="n">
        <v>-12</v>
      </c>
      <c r="AF2651" s="8" t="n">
        <v>-65</v>
      </c>
      <c r="AG2651" s="9" t="n">
        <v>55</v>
      </c>
      <c r="AH2651" s="10" t="n">
        <v>3</v>
      </c>
      <c r="AI2651" s="10" t="n">
        <v>2</v>
      </c>
      <c r="AJ2651" s="11" t="n">
        <v>90</v>
      </c>
      <c r="AK2651" s="12" t="n">
        <v>12</v>
      </c>
      <c r="AL2651" s="12" t="n">
        <v>8</v>
      </c>
      <c r="AM2651" s="13" t="n">
        <v>63.6</v>
      </c>
      <c r="AN2651" s="13" t="n">
        <v>-39.2</v>
      </c>
      <c r="AO2651" s="13" t="n">
        <v>300</v>
      </c>
      <c r="AP2651" s="13" t="n">
        <v>-60</v>
      </c>
    </row>
    <row r="2652">
      <c r="A2652" s="5" t="inlineStr">
        <is>
          <t>로스웰</t>
        </is>
      </c>
      <c r="B2652" s="6" t="inlineStr">
        <is>
          <t>900260</t>
        </is>
      </c>
      <c r="C2652" s="6" t="inlineStr">
        <is>
          <t>연결</t>
        </is>
      </c>
      <c r="D2652" s="6" t="inlineStr">
        <is>
          <t>2026Q2</t>
        </is>
      </c>
      <c r="E2652" s="6" t="inlineStr"/>
      <c r="F2652" s="7" t="inlineStr"/>
      <c r="G2652" s="8" t="inlineStr"/>
      <c r="H2652" s="8" t="inlineStr"/>
      <c r="I2652" s="9" t="n">
        <v>699</v>
      </c>
      <c r="J2652" s="10" t="n">
        <v>48</v>
      </c>
      <c r="K2652" s="10" t="n">
        <v>53</v>
      </c>
      <c r="L2652" s="7" t="n">
        <v>682</v>
      </c>
      <c r="M2652" s="8" t="n">
        <v>27</v>
      </c>
      <c r="N2652" s="8" t="n">
        <v>12</v>
      </c>
      <c r="O2652" s="9" t="n">
        <v>643</v>
      </c>
      <c r="P2652" s="10" t="n">
        <v>12</v>
      </c>
      <c r="Q2652" s="10" t="n">
        <v>11</v>
      </c>
      <c r="R2652" s="7" t="n">
        <v>669</v>
      </c>
      <c r="S2652" s="8" t="n">
        <v>16</v>
      </c>
      <c r="T2652" s="8" t="n">
        <v>16</v>
      </c>
      <c r="U2652" s="9" t="n">
        <v>618</v>
      </c>
      <c r="V2652" s="10" t="n">
        <v>1</v>
      </c>
      <c r="W2652" s="10" t="n">
        <v>5</v>
      </c>
      <c r="X2652" s="7" t="n">
        <v>655</v>
      </c>
      <c r="Y2652" s="8" t="n">
        <v>11</v>
      </c>
      <c r="Z2652" s="8" t="n">
        <v>24</v>
      </c>
      <c r="AA2652" s="9" t="n">
        <v>692</v>
      </c>
      <c r="AB2652" s="10" t="n">
        <v>10</v>
      </c>
      <c r="AC2652" s="10" t="n">
        <v>14</v>
      </c>
      <c r="AD2652" s="7" t="n">
        <v>1853</v>
      </c>
      <c r="AE2652" s="8" t="n">
        <v>34</v>
      </c>
      <c r="AF2652" s="8" t="n">
        <v>56</v>
      </c>
      <c r="AG2652" s="9" t="n">
        <v>1240</v>
      </c>
      <c r="AH2652" s="10" t="n">
        <v>33</v>
      </c>
      <c r="AI2652" s="10" t="n">
        <v>43</v>
      </c>
      <c r="AJ2652" s="11" t="n">
        <v>1083</v>
      </c>
      <c r="AK2652" s="12" t="n">
        <v>27</v>
      </c>
      <c r="AL2652" s="12" t="n">
        <v>34</v>
      </c>
      <c r="AM2652" s="13" t="n">
        <v>-12.7</v>
      </c>
      <c r="AN2652" s="13" t="n">
        <v>65.3</v>
      </c>
      <c r="AO2652" s="13" t="n">
        <v>-18.2</v>
      </c>
      <c r="AP2652" s="13" t="n">
        <v>145.5</v>
      </c>
    </row>
    <row r="2653">
      <c r="A2653" s="5" t="inlineStr">
        <is>
          <t>헝셩그룹</t>
        </is>
      </c>
      <c r="B2653" s="6" t="inlineStr">
        <is>
          <t>900270</t>
        </is>
      </c>
      <c r="C2653" s="6" t="inlineStr">
        <is>
          <t>연결</t>
        </is>
      </c>
      <c r="D2653" s="6" t="inlineStr">
        <is>
          <t>2026Q2</t>
        </is>
      </c>
      <c r="E2653" s="6" t="inlineStr"/>
      <c r="F2653" s="7" t="inlineStr"/>
      <c r="G2653" s="8" t="inlineStr"/>
      <c r="H2653" s="8" t="inlineStr"/>
      <c r="I2653" s="9" t="n">
        <v>124</v>
      </c>
      <c r="J2653" s="10" t="n">
        <v>-1</v>
      </c>
      <c r="K2653" s="10" t="n">
        <v>0</v>
      </c>
      <c r="L2653" s="7" t="n">
        <v>188</v>
      </c>
      <c r="M2653" s="8" t="n">
        <v>14</v>
      </c>
      <c r="N2653" s="8" t="n">
        <v>8</v>
      </c>
      <c r="O2653" s="9" t="n">
        <v>209</v>
      </c>
      <c r="P2653" s="10" t="n">
        <v>23</v>
      </c>
      <c r="Q2653" s="10" t="n">
        <v>20</v>
      </c>
      <c r="R2653" s="7" t="n">
        <v>98</v>
      </c>
      <c r="S2653" s="8" t="n">
        <v>3</v>
      </c>
      <c r="T2653" s="8" t="n">
        <v>-16</v>
      </c>
      <c r="U2653" s="9" t="n">
        <v>93</v>
      </c>
      <c r="V2653" s="10" t="n">
        <v>-6</v>
      </c>
      <c r="W2653" s="10" t="n">
        <v>-4</v>
      </c>
      <c r="X2653" s="7" t="n">
        <v>140</v>
      </c>
      <c r="Y2653" s="8" t="n">
        <v>-1</v>
      </c>
      <c r="Z2653" s="8" t="n">
        <v>4</v>
      </c>
      <c r="AA2653" s="9" t="n">
        <v>151</v>
      </c>
      <c r="AB2653" s="10" t="n">
        <v>7</v>
      </c>
      <c r="AC2653" s="10" t="n">
        <v>4</v>
      </c>
      <c r="AD2653" s="7" t="n">
        <v>166</v>
      </c>
      <c r="AE2653" s="8" t="n">
        <v>-1</v>
      </c>
      <c r="AF2653" s="8" t="n">
        <v>-27</v>
      </c>
      <c r="AG2653" s="9" t="n">
        <v>105</v>
      </c>
      <c r="AH2653" s="10" t="n">
        <v>0</v>
      </c>
      <c r="AI2653" s="10" t="n">
        <v>8</v>
      </c>
      <c r="AJ2653" s="11" t="n">
        <v>134</v>
      </c>
      <c r="AK2653" s="12" t="n">
        <v>0</v>
      </c>
      <c r="AL2653" s="12" t="n">
        <v>8</v>
      </c>
      <c r="AM2653" s="13" t="n">
        <v>27.6</v>
      </c>
      <c r="AN2653" s="13" t="n">
        <v>-4.3</v>
      </c>
      <c r="AO2653" s="13" t="inlineStr"/>
      <c r="AP2653" s="13" t="n">
        <v>100</v>
      </c>
    </row>
    <row r="2654">
      <c r="A2654" s="5" t="inlineStr">
        <is>
          <t>GRT</t>
        </is>
      </c>
      <c r="B2654" s="6" t="inlineStr">
        <is>
          <t>900290</t>
        </is>
      </c>
      <c r="C2654" s="6" t="inlineStr">
        <is>
          <t>연결</t>
        </is>
      </c>
      <c r="D2654" s="6" t="inlineStr">
        <is>
          <t>2025Q4</t>
        </is>
      </c>
      <c r="E2654" s="6" t="inlineStr"/>
      <c r="F2654" s="7" t="inlineStr"/>
      <c r="G2654" s="8" t="inlineStr"/>
      <c r="H2654" s="8" t="inlineStr"/>
      <c r="I2654" s="9" t="n">
        <v>1281</v>
      </c>
      <c r="J2654" s="10" t="n">
        <v>167</v>
      </c>
      <c r="K2654" s="10" t="n">
        <v>123</v>
      </c>
      <c r="L2654" s="7" t="n">
        <v>1317</v>
      </c>
      <c r="M2654" s="8" t="n">
        <v>204</v>
      </c>
      <c r="N2654" s="8" t="n">
        <v>145</v>
      </c>
      <c r="O2654" s="9" t="n">
        <v>1056</v>
      </c>
      <c r="P2654" s="10" t="n">
        <v>173</v>
      </c>
      <c r="Q2654" s="10" t="n">
        <v>130</v>
      </c>
      <c r="R2654" s="7" t="n">
        <v>920</v>
      </c>
      <c r="S2654" s="8" t="n">
        <v>254</v>
      </c>
      <c r="T2654" s="8" t="n">
        <v>202</v>
      </c>
      <c r="U2654" s="9" t="n">
        <v>1359</v>
      </c>
      <c r="V2654" s="10" t="n">
        <v>222</v>
      </c>
      <c r="W2654" s="10" t="n">
        <v>177</v>
      </c>
      <c r="X2654" s="7" t="n">
        <v>1499</v>
      </c>
      <c r="Y2654" s="8" t="n">
        <v>235</v>
      </c>
      <c r="Z2654" s="8" t="n">
        <v>168</v>
      </c>
      <c r="AA2654" s="9" t="n">
        <v>1070</v>
      </c>
      <c r="AB2654" s="10" t="n">
        <v>145</v>
      </c>
      <c r="AC2654" s="10" t="n">
        <v>118</v>
      </c>
      <c r="AD2654" s="7" t="n">
        <v>1015</v>
      </c>
      <c r="AE2654" s="8" t="n">
        <v>106</v>
      </c>
      <c r="AF2654" s="8" t="n">
        <v>33</v>
      </c>
      <c r="AG2654" s="9" t="inlineStr"/>
      <c r="AH2654" s="10" t="inlineStr"/>
      <c r="AI2654" s="10" t="inlineStr"/>
      <c r="AJ2654" s="11" t="inlineStr"/>
      <c r="AK2654" s="12" t="inlineStr"/>
      <c r="AL2654" s="12" t="inlineStr"/>
      <c r="AM2654" s="13" t="inlineStr"/>
      <c r="AN2654" s="13" t="inlineStr"/>
      <c r="AO2654" s="13" t="inlineStr"/>
      <c r="AP2654" s="13" t="inlineStr"/>
    </row>
    <row r="2655">
      <c r="A2655" s="5" t="inlineStr">
        <is>
          <t>오가닉티코스메틱</t>
        </is>
      </c>
      <c r="B2655" s="6" t="inlineStr">
        <is>
          <t>900300</t>
        </is>
      </c>
      <c r="C2655" s="6" t="inlineStr">
        <is>
          <t>연결</t>
        </is>
      </c>
      <c r="D2655" s="6" t="inlineStr">
        <is>
          <t>2026Q2</t>
        </is>
      </c>
      <c r="E2655" s="6" t="inlineStr"/>
      <c r="F2655" s="7" t="inlineStr"/>
      <c r="G2655" s="8" t="inlineStr"/>
      <c r="H2655" s="8" t="inlineStr"/>
      <c r="I2655" s="9" t="n">
        <v>139</v>
      </c>
      <c r="J2655" s="10" t="n">
        <v>-41</v>
      </c>
      <c r="K2655" s="10" t="n">
        <v>-42</v>
      </c>
      <c r="L2655" s="7" t="n">
        <v>207</v>
      </c>
      <c r="M2655" s="8" t="n">
        <v>-120</v>
      </c>
      <c r="N2655" s="8" t="n">
        <v>-111</v>
      </c>
      <c r="O2655" s="9" t="n">
        <v>271</v>
      </c>
      <c r="P2655" s="10" t="n">
        <v>-133</v>
      </c>
      <c r="Q2655" s="10" t="n">
        <v>-141</v>
      </c>
      <c r="R2655" s="7" t="n">
        <v>254</v>
      </c>
      <c r="S2655" s="8" t="n">
        <v>-46</v>
      </c>
      <c r="T2655" s="8" t="n">
        <v>43</v>
      </c>
      <c r="U2655" s="9" t="n">
        <v>157</v>
      </c>
      <c r="V2655" s="10" t="n">
        <v>-49</v>
      </c>
      <c r="W2655" s="10" t="n">
        <v>-47</v>
      </c>
      <c r="X2655" s="7" t="n">
        <v>234</v>
      </c>
      <c r="Y2655" s="8" t="n">
        <v>-95</v>
      </c>
      <c r="Z2655" s="8" t="n">
        <v>-174</v>
      </c>
      <c r="AA2655" s="9" t="n">
        <v>234</v>
      </c>
      <c r="AB2655" s="10" t="n">
        <v>-142</v>
      </c>
      <c r="AC2655" s="10" t="n">
        <v>-127</v>
      </c>
      <c r="AD2655" s="7" t="n">
        <v>302</v>
      </c>
      <c r="AE2655" s="8" t="n">
        <v>-25</v>
      </c>
      <c r="AF2655" s="8" t="n">
        <v>-41</v>
      </c>
      <c r="AG2655" s="9" t="n">
        <v>195</v>
      </c>
      <c r="AH2655" s="10" t="n">
        <v>-35</v>
      </c>
      <c r="AI2655" s="10" t="n">
        <v>-41</v>
      </c>
      <c r="AJ2655" s="11" t="n">
        <v>365</v>
      </c>
      <c r="AK2655" s="12" t="n">
        <v>65</v>
      </c>
      <c r="AL2655" s="12" t="n">
        <v>65</v>
      </c>
      <c r="AM2655" s="13" t="n">
        <v>87.2</v>
      </c>
      <c r="AN2655" s="13" t="n">
        <v>56</v>
      </c>
      <c r="AO2655" s="13" t="n">
        <v>285.7</v>
      </c>
      <c r="AP2655" s="13" t="n">
        <v>168.4</v>
      </c>
    </row>
    <row r="2656">
      <c r="A2656" s="5" t="inlineStr">
        <is>
          <t>컬러레이</t>
        </is>
      </c>
      <c r="B2656" s="6" t="inlineStr">
        <is>
          <t>900310</t>
        </is>
      </c>
      <c r="C2656" s="6" t="inlineStr">
        <is>
          <t>연결</t>
        </is>
      </c>
      <c r="D2656" s="6" t="inlineStr">
        <is>
          <t>2026Q2</t>
        </is>
      </c>
      <c r="E2656" s="6" t="inlineStr"/>
      <c r="F2656" s="7" t="inlineStr"/>
      <c r="G2656" s="8" t="inlineStr"/>
      <c r="H2656" s="8" t="inlineStr"/>
      <c r="I2656" s="9" t="n">
        <v>41</v>
      </c>
      <c r="J2656" s="10" t="n">
        <v>-5</v>
      </c>
      <c r="K2656" s="10" t="n">
        <v>-5</v>
      </c>
      <c r="L2656" s="7" t="n">
        <v>63</v>
      </c>
      <c r="M2656" s="8" t="n">
        <v>9</v>
      </c>
      <c r="N2656" s="8" t="n">
        <v>20</v>
      </c>
      <c r="O2656" s="9" t="n">
        <v>57</v>
      </c>
      <c r="P2656" s="10" t="n">
        <v>-2</v>
      </c>
      <c r="Q2656" s="10" t="n">
        <v>-8</v>
      </c>
      <c r="R2656" s="7" t="n">
        <v>80</v>
      </c>
      <c r="S2656" s="8" t="n">
        <v>-1</v>
      </c>
      <c r="T2656" s="8" t="n">
        <v>-3</v>
      </c>
      <c r="U2656" s="9" t="n">
        <v>60</v>
      </c>
      <c r="V2656" s="10" t="n">
        <v>4</v>
      </c>
      <c r="W2656" s="10" t="n">
        <v>2</v>
      </c>
      <c r="X2656" s="7" t="n">
        <v>56</v>
      </c>
      <c r="Y2656" s="8" t="n">
        <v>2</v>
      </c>
      <c r="Z2656" s="8" t="n">
        <v>3</v>
      </c>
      <c r="AA2656" s="9" t="n">
        <v>70</v>
      </c>
      <c r="AB2656" s="10" t="n">
        <v>3</v>
      </c>
      <c r="AC2656" s="10" t="n">
        <v>1</v>
      </c>
      <c r="AD2656" s="7" t="n">
        <v>35</v>
      </c>
      <c r="AE2656" s="8" t="n">
        <v>-8</v>
      </c>
      <c r="AF2656" s="8" t="n">
        <v>-10</v>
      </c>
      <c r="AG2656" s="9" t="n">
        <v>61</v>
      </c>
      <c r="AH2656" s="10" t="n">
        <v>7</v>
      </c>
      <c r="AI2656" s="10" t="n">
        <v>3</v>
      </c>
      <c r="AJ2656" s="11" t="n">
        <v>47</v>
      </c>
      <c r="AK2656" s="12" t="n">
        <v>3</v>
      </c>
      <c r="AL2656" s="12" t="n">
        <v>1</v>
      </c>
      <c r="AM2656" s="13" t="n">
        <v>-23</v>
      </c>
      <c r="AN2656" s="13" t="n">
        <v>-16.1</v>
      </c>
      <c r="AO2656" s="13" t="n">
        <v>-57.1</v>
      </c>
      <c r="AP2656" s="13" t="n">
        <v>50</v>
      </c>
    </row>
    <row r="2657">
      <c r="A2657" s="5" t="inlineStr">
        <is>
          <t>윙입푸드</t>
        </is>
      </c>
      <c r="B2657" s="6" t="inlineStr">
        <is>
          <t>900340</t>
        </is>
      </c>
      <c r="C2657" s="6" t="inlineStr">
        <is>
          <t>연결</t>
        </is>
      </c>
      <c r="D2657" s="6" t="inlineStr">
        <is>
          <t>2026Q2</t>
        </is>
      </c>
      <c r="E2657" s="6" t="inlineStr"/>
      <c r="F2657" s="7" t="inlineStr"/>
      <c r="G2657" s="8" t="inlineStr"/>
      <c r="H2657" s="8" t="inlineStr"/>
      <c r="I2657" s="9" t="n">
        <v>243</v>
      </c>
      <c r="J2657" s="10" t="n">
        <v>41</v>
      </c>
      <c r="K2657" s="10" t="n">
        <v>31</v>
      </c>
      <c r="L2657" s="7" t="n">
        <v>252</v>
      </c>
      <c r="M2657" s="8" t="n">
        <v>28</v>
      </c>
      <c r="N2657" s="8" t="n">
        <v>28</v>
      </c>
      <c r="O2657" s="9" t="n">
        <v>266</v>
      </c>
      <c r="P2657" s="10" t="n">
        <v>19</v>
      </c>
      <c r="Q2657" s="10" t="n">
        <v>14</v>
      </c>
      <c r="R2657" s="7" t="n">
        <v>280</v>
      </c>
      <c r="S2657" s="8" t="n">
        <v>20</v>
      </c>
      <c r="T2657" s="8" t="n">
        <v>3</v>
      </c>
      <c r="U2657" s="9" t="n">
        <v>250</v>
      </c>
      <c r="V2657" s="10" t="n">
        <v>30</v>
      </c>
      <c r="W2657" s="10" t="n">
        <v>17</v>
      </c>
      <c r="X2657" s="7" t="n">
        <v>259</v>
      </c>
      <c r="Y2657" s="8" t="n">
        <v>18</v>
      </c>
      <c r="Z2657" s="8" t="n">
        <v>15</v>
      </c>
      <c r="AA2657" s="9" t="n">
        <v>230</v>
      </c>
      <c r="AB2657" s="10" t="n">
        <v>0</v>
      </c>
      <c r="AC2657" s="10" t="n">
        <v>-1</v>
      </c>
      <c r="AD2657" s="7" t="n">
        <v>233</v>
      </c>
      <c r="AE2657" s="8" t="n">
        <v>27</v>
      </c>
      <c r="AF2657" s="8" t="n">
        <v>25</v>
      </c>
      <c r="AG2657" s="9" t="n">
        <v>219</v>
      </c>
      <c r="AH2657" s="10" t="n">
        <v>13</v>
      </c>
      <c r="AI2657" s="10" t="n">
        <v>3</v>
      </c>
      <c r="AJ2657" s="11" t="n">
        <v>218</v>
      </c>
      <c r="AK2657" s="12" t="n">
        <v>27</v>
      </c>
      <c r="AL2657" s="12" t="n">
        <v>14</v>
      </c>
      <c r="AM2657" s="13" t="n">
        <v>-0.5</v>
      </c>
      <c r="AN2657" s="13" t="n">
        <v>-15.8</v>
      </c>
      <c r="AO2657" s="13" t="n">
        <v>107.7</v>
      </c>
      <c r="AP2657" s="13" t="n">
        <v>50</v>
      </c>
    </row>
    <row r="2658">
      <c r="A2658" s="5" t="inlineStr">
        <is>
          <t>엑세스바이오</t>
        </is>
      </c>
      <c r="B2658" s="6" t="inlineStr">
        <is>
          <t>950130</t>
        </is>
      </c>
      <c r="C2658" s="6" t="inlineStr">
        <is>
          <t>연결</t>
        </is>
      </c>
      <c r="D2658" s="6" t="inlineStr">
        <is>
          <t>2026Q2</t>
        </is>
      </c>
      <c r="E2658" s="6" t="inlineStr"/>
      <c r="F2658" s="7" t="inlineStr"/>
      <c r="G2658" s="8" t="inlineStr"/>
      <c r="H2658" s="8" t="inlineStr"/>
      <c r="I2658" s="9" t="n">
        <v>26</v>
      </c>
      <c r="J2658" s="10" t="n">
        <v>2</v>
      </c>
      <c r="K2658" s="10" t="n">
        <v>2</v>
      </c>
      <c r="L2658" s="7" t="n">
        <v>19</v>
      </c>
      <c r="M2658" s="8" t="n">
        <v>-2</v>
      </c>
      <c r="N2658" s="8" t="n">
        <v>1</v>
      </c>
      <c r="O2658" s="9" t="n">
        <v>16</v>
      </c>
      <c r="P2658" s="10" t="n">
        <v>-6</v>
      </c>
      <c r="Q2658" s="10" t="n">
        <v>-4</v>
      </c>
      <c r="R2658" s="7" t="n">
        <v>21</v>
      </c>
      <c r="S2658" s="8" t="n">
        <v>3</v>
      </c>
      <c r="T2658" s="8" t="n">
        <v>0</v>
      </c>
      <c r="U2658" s="9" t="n">
        <v>15</v>
      </c>
      <c r="V2658" s="10" t="n">
        <v>-6</v>
      </c>
      <c r="W2658" s="10" t="n">
        <v>-5</v>
      </c>
      <c r="X2658" s="7" t="n">
        <v>1</v>
      </c>
      <c r="Y2658" s="8" t="n">
        <v>-14</v>
      </c>
      <c r="Z2658" s="8" t="n">
        <v>-8</v>
      </c>
      <c r="AA2658" s="9" t="n">
        <v>3</v>
      </c>
      <c r="AB2658" s="10" t="n">
        <v>-10</v>
      </c>
      <c r="AC2658" s="10" t="n">
        <v>-8</v>
      </c>
      <c r="AD2658" s="7" t="n">
        <v>3</v>
      </c>
      <c r="AE2658" s="8" t="n">
        <v>-15</v>
      </c>
      <c r="AF2658" s="8" t="n">
        <v>-37</v>
      </c>
      <c r="AG2658" s="9" t="n">
        <v>4</v>
      </c>
      <c r="AH2658" s="10" t="n">
        <v>-8</v>
      </c>
      <c r="AI2658" s="10" t="n">
        <v>-5</v>
      </c>
      <c r="AJ2658" s="11" t="n">
        <v>6</v>
      </c>
      <c r="AK2658" s="12" t="n">
        <v>-16</v>
      </c>
      <c r="AL2658" s="12" t="n">
        <v>-26</v>
      </c>
      <c r="AM2658" s="13" t="n">
        <v>50</v>
      </c>
      <c r="AN2658" s="13" t="n">
        <v>500</v>
      </c>
      <c r="AO2658" s="13" t="n">
        <v>-100</v>
      </c>
      <c r="AP2658" s="13" t="n">
        <v>-14.3</v>
      </c>
    </row>
    <row r="2659">
      <c r="A2659" s="5" t="inlineStr">
        <is>
          <t>잉글우드랩</t>
        </is>
      </c>
      <c r="B2659" s="6" t="inlineStr">
        <is>
          <t>950140</t>
        </is>
      </c>
      <c r="C2659" s="6" t="inlineStr">
        <is>
          <t>연결</t>
        </is>
      </c>
      <c r="D2659" s="6" t="inlineStr">
        <is>
          <t>2026Q2</t>
        </is>
      </c>
      <c r="E2659" s="6" t="inlineStr">
        <is>
          <t>2023Q4</t>
        </is>
      </c>
      <c r="F2659" s="14" t="n">
        <v>57218</v>
      </c>
      <c r="G2659" s="15" t="n">
        <v>7959</v>
      </c>
      <c r="H2659" s="15" t="n">
        <v>3019</v>
      </c>
      <c r="I2659" s="9" t="n">
        <v>40</v>
      </c>
      <c r="J2659" s="10" t="n">
        <v>5</v>
      </c>
      <c r="K2659" s="10" t="n">
        <v>5</v>
      </c>
      <c r="L2659" s="7" t="n">
        <v>34</v>
      </c>
      <c r="M2659" s="8" t="n">
        <v>3</v>
      </c>
      <c r="N2659" s="8" t="n">
        <v>3</v>
      </c>
      <c r="O2659" s="9" t="n">
        <v>30</v>
      </c>
      <c r="P2659" s="10" t="n">
        <v>3</v>
      </c>
      <c r="Q2659" s="10" t="n">
        <v>0</v>
      </c>
      <c r="R2659" s="7" t="n">
        <v>30</v>
      </c>
      <c r="S2659" s="8" t="n">
        <v>3</v>
      </c>
      <c r="T2659" s="8" t="n">
        <v>6</v>
      </c>
      <c r="U2659" s="9" t="n">
        <v>29</v>
      </c>
      <c r="V2659" s="10" t="n">
        <v>3</v>
      </c>
      <c r="W2659" s="10" t="n">
        <v>2</v>
      </c>
      <c r="X2659" s="7" t="n">
        <v>41</v>
      </c>
      <c r="Y2659" s="8" t="n">
        <v>7</v>
      </c>
      <c r="Z2659" s="8" t="n">
        <v>2</v>
      </c>
      <c r="AA2659" s="9" t="n">
        <v>45</v>
      </c>
      <c r="AB2659" s="10" t="n">
        <v>10</v>
      </c>
      <c r="AC2659" s="10" t="n">
        <v>8</v>
      </c>
      <c r="AD2659" s="7" t="n">
        <v>37</v>
      </c>
      <c r="AE2659" s="8" t="n">
        <v>6</v>
      </c>
      <c r="AF2659" s="8" t="n">
        <v>5</v>
      </c>
      <c r="AG2659" s="9" t="n">
        <v>34</v>
      </c>
      <c r="AH2659" s="10" t="n">
        <v>4</v>
      </c>
      <c r="AI2659" s="10" t="n">
        <v>5</v>
      </c>
      <c r="AJ2659" s="11" t="n">
        <v>35</v>
      </c>
      <c r="AK2659" s="12" t="n">
        <v>6</v>
      </c>
      <c r="AL2659" s="12" t="n">
        <v>4</v>
      </c>
      <c r="AM2659" s="13" t="n">
        <v>2.9</v>
      </c>
      <c r="AN2659" s="13" t="n">
        <v>-14.6</v>
      </c>
      <c r="AO2659" s="13" t="n">
        <v>50</v>
      </c>
      <c r="AP2659" s="13" t="n">
        <v>-14.3</v>
      </c>
    </row>
    <row r="2660">
      <c r="A2660" s="5" t="inlineStr">
        <is>
          <t>코오롱티슈진</t>
        </is>
      </c>
      <c r="B2660" s="6" t="inlineStr">
        <is>
          <t>950160</t>
        </is>
      </c>
      <c r="C2660" s="6" t="inlineStr">
        <is>
          <t>별도</t>
        </is>
      </c>
      <c r="D2660" s="6" t="inlineStr">
        <is>
          <t>2026Q2</t>
        </is>
      </c>
      <c r="E2660" s="6" t="inlineStr"/>
      <c r="F2660" s="7" t="inlineStr"/>
      <c r="G2660" s="8" t="inlineStr"/>
      <c r="H2660" s="8" t="inlineStr"/>
      <c r="I2660" s="9" t="n">
        <v>1</v>
      </c>
      <c r="J2660" s="10" t="n">
        <v>-3</v>
      </c>
      <c r="K2660" s="10" t="n">
        <v>-3</v>
      </c>
      <c r="L2660" s="7" t="n">
        <v>1</v>
      </c>
      <c r="M2660" s="8" t="n">
        <v>-4</v>
      </c>
      <c r="N2660" s="8" t="n">
        <v>-4</v>
      </c>
      <c r="O2660" s="9" t="n">
        <v>2</v>
      </c>
      <c r="P2660" s="10" t="n">
        <v>-4</v>
      </c>
      <c r="Q2660" s="10" t="n">
        <v>-4</v>
      </c>
      <c r="R2660" s="7" t="n">
        <v>0</v>
      </c>
      <c r="S2660" s="8" t="n">
        <v>-5</v>
      </c>
      <c r="T2660" s="8" t="n">
        <v>-14</v>
      </c>
      <c r="U2660" s="9" t="n">
        <v>1</v>
      </c>
      <c r="V2660" s="10" t="n">
        <v>-4</v>
      </c>
      <c r="W2660" s="10" t="n">
        <v>-4</v>
      </c>
      <c r="X2660" s="7" t="n">
        <v>1</v>
      </c>
      <c r="Y2660" s="8" t="n">
        <v>-4</v>
      </c>
      <c r="Z2660" s="8" t="n">
        <v>-40</v>
      </c>
      <c r="AA2660" s="9" t="n">
        <v>1</v>
      </c>
      <c r="AB2660" s="10" t="n">
        <v>-3</v>
      </c>
      <c r="AC2660" s="10" t="n">
        <v>-4</v>
      </c>
      <c r="AD2660" s="7" t="n">
        <v>1</v>
      </c>
      <c r="AE2660" s="8" t="n">
        <v>-5</v>
      </c>
      <c r="AF2660" s="8" t="n">
        <v>-87</v>
      </c>
      <c r="AG2660" s="9" t="n">
        <v>1</v>
      </c>
      <c r="AH2660" s="10" t="n">
        <v>-4</v>
      </c>
      <c r="AI2660" s="10" t="n">
        <v>-68</v>
      </c>
      <c r="AJ2660" s="11" t="n">
        <v>1</v>
      </c>
      <c r="AK2660" s="12" t="n">
        <v>-5</v>
      </c>
      <c r="AL2660" s="12" t="n">
        <v>33</v>
      </c>
      <c r="AM2660" s="13" t="n">
        <v>0</v>
      </c>
      <c r="AN2660" s="13" t="n">
        <v>0</v>
      </c>
      <c r="AO2660" s="13" t="n">
        <v>-25</v>
      </c>
      <c r="AP2660" s="13" t="n">
        <v>-25</v>
      </c>
    </row>
    <row r="2661">
      <c r="A2661" s="5" t="inlineStr">
        <is>
          <t>JTC</t>
        </is>
      </c>
      <c r="B2661" s="6" t="inlineStr">
        <is>
          <t>950170</t>
        </is>
      </c>
      <c r="C2661" s="6" t="inlineStr">
        <is>
          <t>연결</t>
        </is>
      </c>
      <c r="D2661" s="6" t="inlineStr">
        <is>
          <t>2026Q1</t>
        </is>
      </c>
      <c r="E2661" s="6" t="inlineStr"/>
      <c r="F2661" s="7" t="inlineStr"/>
      <c r="G2661" s="8" t="inlineStr"/>
      <c r="H2661" s="8" t="inlineStr"/>
      <c r="I2661" s="9" t="n">
        <v>9265</v>
      </c>
      <c r="J2661" s="10" t="n">
        <v>1254</v>
      </c>
      <c r="K2661" s="10" t="n">
        <v>1299</v>
      </c>
      <c r="L2661" s="7" t="n">
        <v>8704</v>
      </c>
      <c r="M2661" s="8" t="n">
        <v>1029</v>
      </c>
      <c r="N2661" s="8" t="n">
        <v>798</v>
      </c>
      <c r="O2661" s="9" t="n">
        <v>8165</v>
      </c>
      <c r="P2661" s="10" t="n">
        <v>871</v>
      </c>
      <c r="Q2661" s="10" t="n">
        <v>745</v>
      </c>
      <c r="R2661" s="7" t="n">
        <v>-9866</v>
      </c>
      <c r="S2661" s="8" t="n">
        <v>-779</v>
      </c>
      <c r="T2661" s="8" t="n">
        <v>-624</v>
      </c>
      <c r="U2661" s="9" t="n">
        <v>10048</v>
      </c>
      <c r="V2661" s="10" t="n">
        <v>1169</v>
      </c>
      <c r="W2661" s="10" t="n">
        <v>837</v>
      </c>
      <c r="X2661" s="7" t="n">
        <v>7876</v>
      </c>
      <c r="Y2661" s="8" t="n">
        <v>200</v>
      </c>
      <c r="Z2661" s="8" t="n">
        <v>89</v>
      </c>
      <c r="AA2661" s="9" t="n">
        <v>9157</v>
      </c>
      <c r="AB2661" s="10" t="n">
        <v>767</v>
      </c>
      <c r="AC2661" s="10" t="n">
        <v>575</v>
      </c>
      <c r="AD2661" s="7" t="n">
        <v>6946</v>
      </c>
      <c r="AE2661" s="8" t="n">
        <v>3107</v>
      </c>
      <c r="AF2661" s="8" t="n">
        <v>7014</v>
      </c>
      <c r="AG2661" s="9" t="n">
        <v>4902</v>
      </c>
      <c r="AH2661" s="10" t="n">
        <v>228</v>
      </c>
      <c r="AI2661" s="10" t="n">
        <v>106</v>
      </c>
      <c r="AJ2661" s="11" t="inlineStr"/>
      <c r="AK2661" s="12" t="inlineStr"/>
      <c r="AL2661" s="12" t="inlineStr"/>
      <c r="AM2661" s="13" t="inlineStr"/>
      <c r="AN2661" s="13" t="inlineStr"/>
      <c r="AO2661" s="13" t="inlineStr"/>
      <c r="AP2661" s="13" t="inlineStr"/>
    </row>
    <row r="2662">
      <c r="A2662" s="5" t="inlineStr">
        <is>
          <t>고스트스튜디오</t>
        </is>
      </c>
      <c r="B2662" s="6" t="inlineStr">
        <is>
          <t>950190</t>
        </is>
      </c>
      <c r="C2662" s="6" t="inlineStr">
        <is>
          <t>연결</t>
        </is>
      </c>
      <c r="D2662" s="6" t="inlineStr">
        <is>
          <t>2026Q2</t>
        </is>
      </c>
      <c r="E2662" s="6" t="inlineStr">
        <is>
          <t>2023Q4</t>
        </is>
      </c>
      <c r="F2662" s="14" t="n">
        <v>25341</v>
      </c>
      <c r="G2662" s="15" t="n">
        <v>4162</v>
      </c>
      <c r="H2662" s="15" t="n">
        <v>2432</v>
      </c>
      <c r="I2662" s="9" t="n">
        <v>17</v>
      </c>
      <c r="J2662" s="10" t="n">
        <v>4</v>
      </c>
      <c r="K2662" s="10" t="n">
        <v>4</v>
      </c>
      <c r="L2662" s="7" t="n">
        <v>16</v>
      </c>
      <c r="M2662" s="8" t="n">
        <v>4</v>
      </c>
      <c r="N2662" s="8" t="n">
        <v>4</v>
      </c>
      <c r="O2662" s="9" t="n">
        <v>15</v>
      </c>
      <c r="P2662" s="10" t="n">
        <v>2</v>
      </c>
      <c r="Q2662" s="10" t="n">
        <v>3</v>
      </c>
      <c r="R2662" s="7" t="n">
        <v>15</v>
      </c>
      <c r="S2662" s="8" t="n">
        <v>1</v>
      </c>
      <c r="T2662" s="8" t="n">
        <v>-5</v>
      </c>
      <c r="U2662" s="9" t="n">
        <v>14</v>
      </c>
      <c r="V2662" s="10" t="n">
        <v>3</v>
      </c>
      <c r="W2662" s="10" t="n">
        <v>3</v>
      </c>
      <c r="X2662" s="7" t="n">
        <v>15</v>
      </c>
      <c r="Y2662" s="8" t="n">
        <v>3</v>
      </c>
      <c r="Z2662" s="8" t="n">
        <v>2</v>
      </c>
      <c r="AA2662" s="9" t="n">
        <v>15</v>
      </c>
      <c r="AB2662" s="10" t="n">
        <v>3</v>
      </c>
      <c r="AC2662" s="10" t="n">
        <v>3</v>
      </c>
      <c r="AD2662" s="7" t="n">
        <v>35</v>
      </c>
      <c r="AE2662" s="8" t="n">
        <v>2</v>
      </c>
      <c r="AF2662" s="8" t="n">
        <v>-2</v>
      </c>
      <c r="AG2662" s="9" t="n">
        <v>14</v>
      </c>
      <c r="AH2662" s="10" t="n">
        <v>3</v>
      </c>
      <c r="AI2662" s="10" t="n">
        <v>3</v>
      </c>
      <c r="AJ2662" s="11" t="n">
        <v>15</v>
      </c>
      <c r="AK2662" s="12" t="n">
        <v>3</v>
      </c>
      <c r="AL2662" s="12" t="n">
        <v>3</v>
      </c>
      <c r="AM2662" s="13" t="n">
        <v>7.1</v>
      </c>
      <c r="AN2662" s="13" t="n">
        <v>0</v>
      </c>
      <c r="AO2662" s="13" t="n">
        <v>0</v>
      </c>
      <c r="AP2662" s="13" t="n">
        <v>0</v>
      </c>
    </row>
    <row r="2663">
      <c r="A2663" s="5" t="inlineStr">
        <is>
          <t>소마젠</t>
        </is>
      </c>
      <c r="B2663" s="6" t="inlineStr">
        <is>
          <t>950200</t>
        </is>
      </c>
      <c r="C2663" s="6" t="inlineStr">
        <is>
          <t>별도</t>
        </is>
      </c>
      <c r="D2663" s="6" t="inlineStr">
        <is>
          <t>2026Q2</t>
        </is>
      </c>
      <c r="E2663" s="6" t="inlineStr"/>
      <c r="F2663" s="7" t="inlineStr"/>
      <c r="G2663" s="8" t="inlineStr"/>
      <c r="H2663" s="8" t="inlineStr"/>
      <c r="I2663" s="9" t="n">
        <v>7</v>
      </c>
      <c r="J2663" s="10" t="n">
        <v>-2</v>
      </c>
      <c r="K2663" s="10" t="n">
        <v>-1</v>
      </c>
      <c r="L2663" s="7" t="n">
        <v>6</v>
      </c>
      <c r="M2663" s="8" t="n">
        <v>-1</v>
      </c>
      <c r="N2663" s="8" t="n">
        <v>-1</v>
      </c>
      <c r="O2663" s="9" t="n">
        <v>9</v>
      </c>
      <c r="P2663" s="10" t="n">
        <v>-1</v>
      </c>
      <c r="Q2663" s="10" t="n">
        <v>-1</v>
      </c>
      <c r="R2663" s="7" t="n">
        <v>10</v>
      </c>
      <c r="S2663" s="8" t="n">
        <v>0</v>
      </c>
      <c r="T2663" s="8" t="n">
        <v>-2</v>
      </c>
      <c r="U2663" s="9" t="n">
        <v>8</v>
      </c>
      <c r="V2663" s="10" t="n">
        <v>-1</v>
      </c>
      <c r="W2663" s="10" t="n">
        <v>-1</v>
      </c>
      <c r="X2663" s="7" t="n">
        <v>11</v>
      </c>
      <c r="Y2663" s="8" t="n">
        <v>0</v>
      </c>
      <c r="Z2663" s="8" t="n">
        <v>-1</v>
      </c>
      <c r="AA2663" s="9" t="n">
        <v>11</v>
      </c>
      <c r="AB2663" s="10" t="n">
        <v>0</v>
      </c>
      <c r="AC2663" s="10" t="n">
        <v>0</v>
      </c>
      <c r="AD2663" s="7" t="n">
        <v>12</v>
      </c>
      <c r="AE2663" s="8" t="n">
        <v>-1</v>
      </c>
      <c r="AF2663" s="8" t="n">
        <v>-1</v>
      </c>
      <c r="AG2663" s="9" t="n">
        <v>9</v>
      </c>
      <c r="AH2663" s="10" t="n">
        <v>0</v>
      </c>
      <c r="AI2663" s="10" t="n">
        <v>0</v>
      </c>
      <c r="AJ2663" s="11" t="n">
        <v>8</v>
      </c>
      <c r="AK2663" s="12" t="n">
        <v>0</v>
      </c>
      <c r="AL2663" s="12" t="n">
        <v>2</v>
      </c>
      <c r="AM2663" s="13" t="n">
        <v>-11.1</v>
      </c>
      <c r="AN2663" s="13" t="n">
        <v>-27.3</v>
      </c>
      <c r="AO2663" s="13" t="inlineStr"/>
      <c r="AP2663" s="13" t="inlineStr"/>
    </row>
    <row r="2664">
      <c r="A2664" s="5" t="inlineStr">
        <is>
          <t>프레스티지바이오파마</t>
        </is>
      </c>
      <c r="B2664" s="6" t="inlineStr">
        <is>
          <t>950210</t>
        </is>
      </c>
      <c r="C2664" s="6" t="inlineStr">
        <is>
          <t>연결</t>
        </is>
      </c>
      <c r="D2664" s="6" t="inlineStr">
        <is>
          <t>2025Q4</t>
        </is>
      </c>
      <c r="E2664" s="6" t="inlineStr"/>
      <c r="F2664" s="7" t="inlineStr"/>
      <c r="G2664" s="8" t="inlineStr"/>
      <c r="H2664" s="8" t="inlineStr"/>
      <c r="I2664" s="9" t="inlineStr"/>
      <c r="J2664" s="10" t="n">
        <v>-11</v>
      </c>
      <c r="K2664" s="10" t="n">
        <v>-8</v>
      </c>
      <c r="L2664" s="7" t="n">
        <v>0</v>
      </c>
      <c r="M2664" s="8" t="n">
        <v>-15</v>
      </c>
      <c r="N2664" s="8" t="n">
        <v>-16</v>
      </c>
      <c r="O2664" s="9" t="n">
        <v>0</v>
      </c>
      <c r="P2664" s="10" t="n">
        <v>-13</v>
      </c>
      <c r="Q2664" s="10" t="n">
        <v>-10</v>
      </c>
      <c r="R2664" s="7" t="inlineStr"/>
      <c r="S2664" s="8" t="n">
        <v>-8</v>
      </c>
      <c r="T2664" s="8" t="n">
        <v>-7</v>
      </c>
      <c r="U2664" s="9" t="n">
        <v>2</v>
      </c>
      <c r="V2664" s="10" t="n">
        <v>-18</v>
      </c>
      <c r="W2664" s="10" t="n">
        <v>-15</v>
      </c>
      <c r="X2664" s="7" t="n">
        <v>5</v>
      </c>
      <c r="Y2664" s="8" t="n">
        <v>-13</v>
      </c>
      <c r="Z2664" s="8" t="n">
        <v>-14</v>
      </c>
      <c r="AA2664" s="9" t="n">
        <v>0</v>
      </c>
      <c r="AB2664" s="10" t="n">
        <v>-11</v>
      </c>
      <c r="AC2664" s="10" t="n">
        <v>33</v>
      </c>
      <c r="AD2664" s="7" t="n">
        <v>3</v>
      </c>
      <c r="AE2664" s="8" t="n">
        <v>-6</v>
      </c>
      <c r="AF2664" s="8" t="n">
        <v>-1</v>
      </c>
      <c r="AG2664" s="9" t="inlineStr"/>
      <c r="AH2664" s="10" t="inlineStr"/>
      <c r="AI2664" s="10" t="inlineStr"/>
      <c r="AJ2664" s="11" t="inlineStr"/>
      <c r="AK2664" s="12" t="inlineStr"/>
      <c r="AL2664" s="12" t="inlineStr"/>
      <c r="AM2664" s="13" t="inlineStr"/>
      <c r="AN2664" s="13" t="inlineStr"/>
      <c r="AO2664" s="13" t="inlineStr"/>
      <c r="AP2664" s="13" t="inlineStr"/>
    </row>
    <row r="2665">
      <c r="A2665" s="5" t="inlineStr">
        <is>
          <t>네오이뮨텍</t>
        </is>
      </c>
      <c r="B2665" s="6" t="inlineStr">
        <is>
          <t>950220</t>
        </is>
      </c>
      <c r="C2665" s="6" t="inlineStr">
        <is>
          <t>연결</t>
        </is>
      </c>
      <c r="D2665" s="6" t="inlineStr">
        <is>
          <t>2026Q2</t>
        </is>
      </c>
      <c r="E2665" s="6" t="inlineStr"/>
      <c r="F2665" s="7" t="inlineStr"/>
      <c r="G2665" s="8" t="inlineStr"/>
      <c r="H2665" s="8" t="inlineStr"/>
      <c r="I2665" s="9" t="n">
        <v>0</v>
      </c>
      <c r="J2665" s="10" t="n">
        <v>-8</v>
      </c>
      <c r="K2665" s="10" t="n">
        <v>-9</v>
      </c>
      <c r="L2665" s="7" t="n">
        <v>0</v>
      </c>
      <c r="M2665" s="8" t="n">
        <v>-7</v>
      </c>
      <c r="N2665" s="8" t="n">
        <v>-7</v>
      </c>
      <c r="O2665" s="9" t="n">
        <v>1</v>
      </c>
      <c r="P2665" s="10" t="n">
        <v>-8</v>
      </c>
      <c r="Q2665" s="10" t="n">
        <v>-8</v>
      </c>
      <c r="R2665" s="7" t="n">
        <v>-1</v>
      </c>
      <c r="S2665" s="8" t="n">
        <v>-6</v>
      </c>
      <c r="T2665" s="8" t="n">
        <v>-6</v>
      </c>
      <c r="U2665" s="9" t="n">
        <v>0</v>
      </c>
      <c r="V2665" s="10" t="n">
        <v>-6</v>
      </c>
      <c r="W2665" s="10" t="n">
        <v>-6</v>
      </c>
      <c r="X2665" s="7" t="n">
        <v>0</v>
      </c>
      <c r="Y2665" s="8" t="n">
        <v>-5</v>
      </c>
      <c r="Z2665" s="8" t="n">
        <v>-5</v>
      </c>
      <c r="AA2665" s="9" t="n">
        <v>0</v>
      </c>
      <c r="AB2665" s="10" t="n">
        <v>-3</v>
      </c>
      <c r="AC2665" s="10" t="n">
        <v>-4</v>
      </c>
      <c r="AD2665" s="7" t="n">
        <v>0</v>
      </c>
      <c r="AE2665" s="8" t="n">
        <v>-4</v>
      </c>
      <c r="AF2665" s="8" t="n">
        <v>-7</v>
      </c>
      <c r="AG2665" s="9" t="n">
        <v>0</v>
      </c>
      <c r="AH2665" s="10" t="n">
        <v>-4</v>
      </c>
      <c r="AI2665" s="10" t="n">
        <v>-5</v>
      </c>
      <c r="AJ2665" s="11" t="n">
        <v>1</v>
      </c>
      <c r="AK2665" s="12" t="n">
        <v>-3</v>
      </c>
      <c r="AL2665" s="12" t="n">
        <v>0</v>
      </c>
      <c r="AM2665" s="13" t="inlineStr"/>
      <c r="AN2665" s="13" t="inlineStr"/>
      <c r="AO2665" s="13" t="n">
        <v>25</v>
      </c>
      <c r="AP2665" s="13" t="n">
        <v>40</v>
      </c>
    </row>
    <row r="2666">
      <c r="A2666" s="5" t="inlineStr">
        <is>
          <t>테라뷰</t>
        </is>
      </c>
      <c r="B2666" s="6" t="inlineStr">
        <is>
          <t>950250</t>
        </is>
      </c>
      <c r="C2666" s="6" t="inlineStr">
        <is>
          <t>연결</t>
        </is>
      </c>
      <c r="D2666" s="6" t="inlineStr">
        <is>
          <t>2026Q1</t>
        </is>
      </c>
      <c r="E2666" s="6" t="inlineStr"/>
      <c r="F2666" s="7" t="inlineStr"/>
      <c r="G2666" s="8" t="inlineStr"/>
      <c r="H2666" s="8" t="inlineStr"/>
      <c r="I2666" s="9" t="inlineStr"/>
      <c r="J2666" s="10" t="inlineStr"/>
      <c r="K2666" s="10" t="inlineStr"/>
      <c r="L2666" s="7" t="inlineStr"/>
      <c r="M2666" s="8" t="inlineStr"/>
      <c r="N2666" s="8" t="inlineStr"/>
      <c r="O2666" s="9" t="inlineStr"/>
      <c r="P2666" s="10" t="inlineStr"/>
      <c r="Q2666" s="10" t="inlineStr"/>
      <c r="R2666" s="7" t="inlineStr"/>
      <c r="S2666" s="8" t="inlineStr"/>
      <c r="T2666" s="8" t="inlineStr"/>
      <c r="U2666" s="9" t="inlineStr"/>
      <c r="V2666" s="10" t="inlineStr"/>
      <c r="W2666" s="10" t="inlineStr"/>
      <c r="X2666" s="7" t="n">
        <v>1</v>
      </c>
      <c r="Y2666" s="8" t="n">
        <v>-1</v>
      </c>
      <c r="Z2666" s="8" t="n">
        <v>-1</v>
      </c>
      <c r="AA2666" s="9" t="inlineStr"/>
      <c r="AB2666" s="10" t="inlineStr"/>
      <c r="AC2666" s="10" t="inlineStr"/>
      <c r="AD2666" s="7" t="inlineStr"/>
      <c r="AE2666" s="8" t="inlineStr"/>
      <c r="AF2666" s="8" t="inlineStr"/>
      <c r="AG2666" s="9" t="n">
        <v>1</v>
      </c>
      <c r="AH2666" s="10" t="n">
        <v>-2</v>
      </c>
      <c r="AI2666" s="10" t="n">
        <v>-1</v>
      </c>
      <c r="AJ2666" s="11" t="inlineStr"/>
      <c r="AK2666" s="12" t="inlineStr"/>
      <c r="AL2666" s="12" t="inlineStr"/>
      <c r="AM2666" s="13" t="inlineStr"/>
      <c r="AN2666" s="13" t="inlineStr"/>
      <c r="AO2666" s="13" t="inlineStr"/>
      <c r="AP2666" s="13" t="inlineStr"/>
    </row>
    <row r="2667">
      <c r="A2667" s="5" t="inlineStr">
        <is>
          <t>인제니아테라퓨틱스</t>
        </is>
      </c>
      <c r="B2667" s="6" t="inlineStr">
        <is>
          <t>950260</t>
        </is>
      </c>
      <c r="C2667" s="6" t="inlineStr">
        <is>
          <t>연결</t>
        </is>
      </c>
      <c r="D2667" s="6" t="inlineStr">
        <is>
          <t>2026Q2</t>
        </is>
      </c>
      <c r="E2667" s="6" t="inlineStr"/>
      <c r="F2667" s="7" t="inlineStr"/>
      <c r="G2667" s="8" t="inlineStr"/>
      <c r="H2667" s="8" t="inlineStr"/>
      <c r="I2667" s="9" t="inlineStr"/>
      <c r="J2667" s="10" t="inlineStr"/>
      <c r="K2667" s="10" t="inlineStr"/>
      <c r="L2667" s="7" t="inlineStr"/>
      <c r="M2667" s="8" t="inlineStr"/>
      <c r="N2667" s="8" t="inlineStr"/>
      <c r="O2667" s="9" t="inlineStr"/>
      <c r="P2667" s="10" t="inlineStr"/>
      <c r="Q2667" s="10" t="inlineStr"/>
      <c r="R2667" s="7" t="inlineStr"/>
      <c r="S2667" s="8" t="inlineStr"/>
      <c r="T2667" s="8" t="inlineStr"/>
      <c r="U2667" s="9" t="inlineStr"/>
      <c r="V2667" s="10" t="inlineStr"/>
      <c r="W2667" s="10" t="inlineStr"/>
      <c r="X2667" s="7" t="inlineStr"/>
      <c r="Y2667" s="8" t="inlineStr"/>
      <c r="Z2667" s="8" t="inlineStr"/>
      <c r="AA2667" s="9" t="inlineStr"/>
      <c r="AB2667" s="10" t="inlineStr"/>
      <c r="AC2667" s="10" t="inlineStr"/>
      <c r="AD2667" s="7" t="inlineStr"/>
      <c r="AE2667" s="8" t="inlineStr"/>
      <c r="AF2667" s="8" t="inlineStr"/>
      <c r="AG2667" s="9" t="inlineStr"/>
      <c r="AH2667" s="10" t="inlineStr"/>
      <c r="AI2667" s="10" t="inlineStr"/>
      <c r="AJ2667" s="11" t="inlineStr"/>
      <c r="AK2667" s="12" t="n">
        <v>0</v>
      </c>
      <c r="AL2667" s="12" t="n">
        <v>0</v>
      </c>
      <c r="AM2667" s="13" t="inlineStr"/>
      <c r="AN2667" s="13" t="inlineStr"/>
      <c r="AO2667" s="13" t="inlineStr"/>
      <c r="AP2667" s="13" t="inlineStr"/>
    </row>
  </sheetData>
  <autoFilter ref="A1:AP266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766E"/>
    <outlinePr summaryBelow="1" summaryRight="1"/>
    <pageSetUpPr/>
  </sheetPr>
  <dimension ref="A1:V921"/>
  <sheetViews>
    <sheetView showGridLines="0" zoomScale="9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8" customHeight="1"/>
  <cols>
    <col width="20" customWidth="1" min="1" max="1"/>
    <col width="10" customWidth="1" min="2" max="2"/>
    <col width="11" customWidth="1" min="3" max="3"/>
    <col width="11" customWidth="1" min="4" max="4"/>
    <col width="14" customWidth="1" min="5" max="5"/>
    <col width="14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8" customWidth="1" min="20" max="20"/>
    <col width="45" customWidth="1" min="21" max="21"/>
    <col width="11" customWidth="1" min="22" max="22"/>
  </cols>
  <sheetData>
    <row r="1" ht="32" customHeight="1">
      <c r="A1" s="1" t="inlineStr">
        <is>
          <t>회사명</t>
        </is>
      </c>
      <c r="B1" s="1" t="inlineStr">
        <is>
          <t>종목코드</t>
        </is>
      </c>
      <c r="C1" s="1" t="inlineStr">
        <is>
          <t>최신보고서</t>
        </is>
      </c>
      <c r="D1" s="1" t="inlineStr">
        <is>
          <t>접수일자</t>
        </is>
      </c>
      <c r="E1" s="1" t="inlineStr">
        <is>
          <t>수주총액</t>
        </is>
      </c>
      <c r="F1" s="1" t="inlineStr">
        <is>
          <t>기납품액</t>
        </is>
      </c>
      <c r="G1" s="1" t="inlineStr">
        <is>
          <t>수주잔고</t>
        </is>
      </c>
      <c r="H1" s="1" t="inlineStr">
        <is>
          <t>단위</t>
        </is>
      </c>
      <c r="I1" s="1" t="inlineStr">
        <is>
          <t>잔고QoQ%</t>
        </is>
      </c>
      <c r="J1" s="2" t="inlineStr">
        <is>
          <t>24Q1 잔고</t>
        </is>
      </c>
      <c r="K1" s="3" t="inlineStr">
        <is>
          <t>24Q2 잔고</t>
        </is>
      </c>
      <c r="L1" s="2" t="inlineStr">
        <is>
          <t>24Q3 잔고</t>
        </is>
      </c>
      <c r="M1" s="3" t="inlineStr">
        <is>
          <t>24Q4 잔고</t>
        </is>
      </c>
      <c r="N1" s="2" t="inlineStr">
        <is>
          <t>25Q1 잔고</t>
        </is>
      </c>
      <c r="O1" s="3" t="inlineStr">
        <is>
          <t>25Q2 잔고</t>
        </is>
      </c>
      <c r="P1" s="2" t="inlineStr">
        <is>
          <t>25Q3 잔고</t>
        </is>
      </c>
      <c r="Q1" s="3" t="inlineStr">
        <is>
          <t>25Q4 잔고</t>
        </is>
      </c>
      <c r="R1" s="2" t="inlineStr">
        <is>
          <t>26Q1 잔고</t>
        </is>
      </c>
      <c r="S1" s="4" t="inlineStr">
        <is>
          <t>26Q2 잔고</t>
        </is>
      </c>
      <c r="T1" s="2" t="inlineStr">
        <is>
          <t>품목수</t>
        </is>
      </c>
      <c r="U1" s="2" t="inlineStr">
        <is>
          <t>주요품목</t>
        </is>
      </c>
      <c r="V1" s="2" t="inlineStr">
        <is>
          <t>DART링크</t>
        </is>
      </c>
    </row>
    <row r="2">
      <c r="A2" s="5" t="inlineStr">
        <is>
          <t>유한양행</t>
        </is>
      </c>
      <c r="B2" s="6" t="inlineStr">
        <is>
          <t>000100</t>
        </is>
      </c>
      <c r="C2" s="6" t="inlineStr">
        <is>
          <t>2026Q2</t>
        </is>
      </c>
      <c r="D2" s="6" t="inlineStr">
        <is>
          <t>20260814</t>
        </is>
      </c>
      <c r="E2" s="16" t="n">
        <v>364</v>
      </c>
      <c r="F2" s="16" t="n">
        <v>30.6</v>
      </c>
      <c r="G2" s="16" t="n">
        <v>333.4</v>
      </c>
      <c r="H2" s="6" t="inlineStr">
        <is>
          <t>백만달러</t>
        </is>
      </c>
      <c r="I2" s="17" t="n">
        <v>79.59999999999999</v>
      </c>
      <c r="J2" s="18" t="inlineStr"/>
      <c r="K2" s="19" t="inlineStr"/>
      <c r="L2" s="18" t="n">
        <v>81</v>
      </c>
      <c r="M2" s="19" t="n">
        <v>81</v>
      </c>
      <c r="N2" s="18" t="n">
        <v>81</v>
      </c>
      <c r="O2" s="19" t="n">
        <v>134</v>
      </c>
      <c r="P2" s="18" t="n">
        <v>217</v>
      </c>
      <c r="Q2" s="19" t="n">
        <v>217</v>
      </c>
      <c r="R2" s="18" t="n">
        <v>185.6</v>
      </c>
      <c r="S2" s="20" t="n">
        <v>333.4</v>
      </c>
      <c r="T2" s="6" t="n">
        <v>5</v>
      </c>
      <c r="U2" s="5" t="inlineStr">
        <is>
          <t>원료의약품(API) / 2026.05.19 / 2027 | HCV 치료제 / 2025.08.26 / 2027.05 | HIV 치료제 / 2025.05.21 / 2026.12</t>
        </is>
      </c>
      <c r="V2" s="21">
        <f>HYPERLINK("https://dart.fss.or.kr/dsaf001/main.do?rcpNo=20260814002038", "공시열람")</f>
        <v/>
      </c>
    </row>
    <row r="3">
      <c r="A3" s="5" t="inlineStr">
        <is>
          <t>두산</t>
        </is>
      </c>
      <c r="B3" s="6" t="inlineStr">
        <is>
          <t>000150</t>
        </is>
      </c>
      <c r="C3" s="6" t="inlineStr">
        <is>
          <t>2026Q2</t>
        </is>
      </c>
      <c r="D3" s="6" t="inlineStr">
        <is>
          <t>20260814</t>
        </is>
      </c>
      <c r="E3" s="16" t="n">
        <v>39245858</v>
      </c>
      <c r="F3" s="16" t="n">
        <v>28683994</v>
      </c>
      <c r="G3" s="16" t="n">
        <v>10561864</v>
      </c>
      <c r="H3" s="6" t="inlineStr">
        <is>
          <t>백만원,%</t>
        </is>
      </c>
      <c r="I3" s="17" t="n">
        <v>3.4</v>
      </c>
      <c r="J3" s="18" t="n">
        <v>8146861</v>
      </c>
      <c r="K3" s="19" t="n">
        <v>6464303</v>
      </c>
      <c r="L3" s="18" t="n">
        <v>5822425</v>
      </c>
      <c r="M3" s="19" t="n">
        <v>5922087</v>
      </c>
      <c r="N3" s="18" t="n">
        <v>5504817</v>
      </c>
      <c r="O3" s="19" t="n">
        <v>6412455</v>
      </c>
      <c r="P3" s="18" t="n">
        <v>5999757</v>
      </c>
      <c r="Q3" s="19" t="n">
        <v>10949504</v>
      </c>
      <c r="R3" s="18" t="n">
        <v>10217844</v>
      </c>
      <c r="S3" s="20" t="n">
        <v>10561864</v>
      </c>
      <c r="T3" s="6" t="n">
        <v>22</v>
      </c>
      <c r="U3" s="5" t="inlineStr">
        <is>
          <t>체코 Dukovany 5,6호기 NSSS / 한국수력원 | El-Dabaa NPP / 한국수력원자력(주) / 20 | 신한울 3,4호기 원자로설비 / 한국수력원자력(주) /</t>
        </is>
      </c>
      <c r="V3" s="21">
        <f>HYPERLINK("https://dart.fss.or.kr/dsaf001/main.do?rcpNo=20260814004047", "공시열람")</f>
        <v/>
      </c>
    </row>
    <row r="4">
      <c r="A4" s="5" t="inlineStr">
        <is>
          <t>DL</t>
        </is>
      </c>
      <c r="B4" s="6" t="inlineStr">
        <is>
          <t>000210</t>
        </is>
      </c>
      <c r="C4" s="6" t="inlineStr">
        <is>
          <t>2026Q2</t>
        </is>
      </c>
      <c r="D4" s="6" t="inlineStr">
        <is>
          <t>20260814</t>
        </is>
      </c>
      <c r="E4" s="16" t="n">
        <v>40867535</v>
      </c>
      <c r="F4" s="16" t="n">
        <v>15227906</v>
      </c>
      <c r="G4" s="16" t="n">
        <v>25639629</v>
      </c>
      <c r="H4" s="6" t="inlineStr">
        <is>
          <t>백만원</t>
        </is>
      </c>
      <c r="I4" s="17" t="n">
        <v>15.4</v>
      </c>
      <c r="J4" s="18" t="n">
        <v>21748252</v>
      </c>
      <c r="K4" s="19" t="n">
        <v>21553212</v>
      </c>
      <c r="L4" s="18" t="n">
        <v>21322311</v>
      </c>
      <c r="M4" s="19" t="n">
        <v>21872078</v>
      </c>
      <c r="N4" s="18" t="n">
        <v>21652989</v>
      </c>
      <c r="O4" s="19" t="n">
        <v>20621363</v>
      </c>
      <c r="P4" s="18" t="n">
        <v>20570366</v>
      </c>
      <c r="Q4" s="19" t="n">
        <v>22436982</v>
      </c>
      <c r="R4" s="18" t="n">
        <v>22225195</v>
      </c>
      <c r="S4" s="20" t="n">
        <v>25639629</v>
      </c>
      <c r="T4" s="6" t="n">
        <v>114</v>
      </c>
      <c r="U4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4" s="21">
        <f>HYPERLINK("https://dart.fss.or.kr/dsaf001/main.do?rcpNo=20260814003266", "공시열람")</f>
        <v/>
      </c>
    </row>
    <row r="5">
      <c r="A5" s="5" t="inlineStr">
        <is>
          <t>일동홀딩스</t>
        </is>
      </c>
      <c r="B5" s="6" t="inlineStr">
        <is>
          <t>000230</t>
        </is>
      </c>
      <c r="C5" s="6" t="inlineStr">
        <is>
          <t>2024Q4</t>
        </is>
      </c>
      <c r="D5" s="6" t="inlineStr">
        <is>
          <t>20250318</t>
        </is>
      </c>
      <c r="E5" s="16" t="n">
        <v>983585</v>
      </c>
      <c r="F5" s="16" t="n">
        <v>983585</v>
      </c>
      <c r="G5" s="16" t="n">
        <v>0</v>
      </c>
      <c r="H5" s="6" t="inlineStr">
        <is>
          <t>천원</t>
        </is>
      </c>
      <c r="I5" s="17" t="inlineStr"/>
      <c r="J5" s="18" t="n">
        <v>0</v>
      </c>
      <c r="K5" s="19" t="n">
        <v>0</v>
      </c>
      <c r="L5" s="18" t="n">
        <v>0</v>
      </c>
      <c r="M5" s="19" t="n">
        <v>0</v>
      </c>
      <c r="N5" s="18" t="inlineStr"/>
      <c r="O5" s="19" t="inlineStr"/>
      <c r="P5" s="18" t="inlineStr"/>
      <c r="Q5" s="19" t="inlineStr"/>
      <c r="R5" s="18" t="inlineStr"/>
      <c r="S5" s="20" t="inlineStr"/>
      <c r="T5" s="6" t="n">
        <v>3</v>
      </c>
      <c r="U5" s="5" t="inlineStr">
        <is>
          <t>일동제약RFID태그 / 2024-01-01 / 2024 | 경동제약RFID태그 / 2024-01-01 / 2024 | 제노스RFID태그 / 2024-01-01 / 2024-</t>
        </is>
      </c>
      <c r="V5" s="21">
        <f>HYPERLINK("https://dart.fss.or.kr/dsaf001/main.do?rcpNo=20250318001009", "공시열람")</f>
        <v/>
      </c>
    </row>
    <row r="6">
      <c r="A6" s="5" t="inlineStr">
        <is>
          <t>노루홀딩스</t>
        </is>
      </c>
      <c r="B6" s="6" t="inlineStr">
        <is>
          <t>000320</t>
        </is>
      </c>
      <c r="C6" s="6" t="inlineStr">
        <is>
          <t>2026Q2</t>
        </is>
      </c>
      <c r="D6" s="6" t="inlineStr">
        <is>
          <t>20260814</t>
        </is>
      </c>
      <c r="E6" s="16" t="n">
        <v>81620</v>
      </c>
      <c r="F6" s="16" t="n">
        <v>47283</v>
      </c>
      <c r="G6" s="16" t="n">
        <v>34337</v>
      </c>
      <c r="H6" s="6" t="inlineStr">
        <is>
          <t>톤,백만원</t>
        </is>
      </c>
      <c r="I6" s="17" t="n">
        <v>-41.8</v>
      </c>
      <c r="J6" s="18" t="n">
        <v>61881</v>
      </c>
      <c r="K6" s="19" t="n">
        <v>40789</v>
      </c>
      <c r="L6" s="18" t="n">
        <v>18406</v>
      </c>
      <c r="M6" s="19" t="inlineStr"/>
      <c r="N6" s="18" t="n">
        <v>65415</v>
      </c>
      <c r="O6" s="19" t="n">
        <v>41911</v>
      </c>
      <c r="P6" s="18" t="n">
        <v>20122</v>
      </c>
      <c r="Q6" s="19" t="inlineStr"/>
      <c r="R6" s="18" t="n">
        <v>59021</v>
      </c>
      <c r="S6" s="20" t="n">
        <v>34337</v>
      </c>
      <c r="T6" s="6" t="n">
        <v>1</v>
      </c>
      <c r="U6" s="5" t="inlineStr">
        <is>
          <t>칼라강판용 도료 및 관련제품(주1) / 2026-05-</t>
        </is>
      </c>
      <c r="V6" s="21">
        <f>HYPERLINK("https://dart.fss.or.kr/dsaf001/main.do?rcpNo=20260814002880", "공시열람")</f>
        <v/>
      </c>
    </row>
    <row r="7">
      <c r="A7" s="5" t="inlineStr">
        <is>
          <t>시알홀딩스</t>
        </is>
      </c>
      <c r="B7" s="6" t="inlineStr">
        <is>
          <t>000480</t>
        </is>
      </c>
      <c r="C7" s="6" t="inlineStr">
        <is>
          <t>2024Q4</t>
        </is>
      </c>
      <c r="D7" s="6" t="inlineStr">
        <is>
          <t>20250311</t>
        </is>
      </c>
      <c r="E7" s="16" t="inlineStr"/>
      <c r="F7" s="16" t="inlineStr"/>
      <c r="G7" s="16" t="n">
        <v>119000</v>
      </c>
      <c r="H7" s="6" t="inlineStr">
        <is>
          <t>천원</t>
        </is>
      </c>
      <c r="I7" s="17" t="n">
        <v>-99.90000000000001</v>
      </c>
      <c r="J7" s="18" t="n">
        <v>127123234</v>
      </c>
      <c r="K7" s="19" t="n">
        <v>127123234</v>
      </c>
      <c r="L7" s="18" t="n">
        <v>124678018</v>
      </c>
      <c r="M7" s="19" t="n">
        <v>119000</v>
      </c>
      <c r="N7" s="18" t="inlineStr"/>
      <c r="O7" s="19" t="inlineStr"/>
      <c r="P7" s="18" t="inlineStr"/>
      <c r="Q7" s="19" t="inlineStr"/>
      <c r="R7" s="18" t="inlineStr"/>
      <c r="S7" s="20" t="inlineStr"/>
      <c r="T7" s="6" t="n">
        <v>1</v>
      </c>
      <c r="U7" s="5" t="inlineStr">
        <is>
          <t>종속기업 / 국내플랜트공사</t>
        </is>
      </c>
      <c r="V7" s="21">
        <f>HYPERLINK("https://dart.fss.or.kr/dsaf001/main.do?rcpNo=20250311001197", "공시열람")</f>
        <v/>
      </c>
    </row>
    <row r="8">
      <c r="A8" s="5" t="inlineStr">
        <is>
          <t>대동</t>
        </is>
      </c>
      <c r="B8" s="6" t="inlineStr">
        <is>
          <t>000490</t>
        </is>
      </c>
      <c r="C8" s="6" t="inlineStr">
        <is>
          <t>2026Q2</t>
        </is>
      </c>
      <c r="D8" s="6" t="inlineStr">
        <is>
          <t>20260814</t>
        </is>
      </c>
      <c r="E8" s="16" t="inlineStr"/>
      <c r="F8" s="16" t="inlineStr"/>
      <c r="G8" s="16" t="n">
        <v>80600000</v>
      </c>
      <c r="H8" s="6" t="inlineStr">
        <is>
          <t>각1단위</t>
        </is>
      </c>
      <c r="I8" s="17" t="n">
        <v>-17.6</v>
      </c>
      <c r="J8" s="18" t="n">
        <v>76000000</v>
      </c>
      <c r="K8" s="19" t="n">
        <v>114000000</v>
      </c>
      <c r="L8" s="18" t="n">
        <v>108000000</v>
      </c>
      <c r="M8" s="19" t="n">
        <v>119600000</v>
      </c>
      <c r="N8" s="18" t="n">
        <v>130250000</v>
      </c>
      <c r="O8" s="19" t="n">
        <v>161800000</v>
      </c>
      <c r="P8" s="18" t="n">
        <v>149350000</v>
      </c>
      <c r="Q8" s="19" t="n">
        <v>112300000</v>
      </c>
      <c r="R8" s="18" t="n">
        <v>97800000</v>
      </c>
      <c r="S8" s="20" t="n">
        <v>80600000</v>
      </c>
      <c r="T8" s="6" t="n">
        <v>6</v>
      </c>
      <c r="U8" s="5" t="inlineStr">
        <is>
          <t>하나은행 / 2026-02-02 ~ 2026-04-28 | 국민은행 / 2026-02-11 ~ 2026-05-28 | 농협은행 / 2026-02-25 ~ 2026-06-09</t>
        </is>
      </c>
      <c r="V8" s="21">
        <f>HYPERLINK("https://dart.fss.or.kr/dsaf001/main.do?rcpNo=20260814001489", "공시열람")</f>
        <v/>
      </c>
    </row>
    <row r="9">
      <c r="A9" s="5" t="inlineStr">
        <is>
          <t>엔비알모션</t>
        </is>
      </c>
      <c r="B9" s="6" t="inlineStr">
        <is>
          <t>0004V0</t>
        </is>
      </c>
      <c r="C9" s="6" t="inlineStr">
        <is>
          <t>2026Q2</t>
        </is>
      </c>
      <c r="D9" s="6" t="inlineStr">
        <is>
          <t>20260814</t>
        </is>
      </c>
      <c r="E9" s="16" t="n">
        <v>1232</v>
      </c>
      <c r="F9" s="16" t="inlineStr"/>
      <c r="G9" s="16" t="n">
        <v>911</v>
      </c>
      <c r="H9" s="6" t="inlineStr">
        <is>
          <t>억원</t>
        </is>
      </c>
      <c r="I9" s="17" t="n">
        <v>-3.2</v>
      </c>
      <c r="J9" s="18" t="inlineStr"/>
      <c r="K9" s="19" t="inlineStr"/>
      <c r="L9" s="18" t="inlineStr"/>
      <c r="M9" s="19" t="inlineStr"/>
      <c r="N9" s="18" t="inlineStr"/>
      <c r="O9" s="19" t="inlineStr"/>
      <c r="P9" s="18" t="n">
        <v>85977</v>
      </c>
      <c r="Q9" s="19" t="n">
        <v>847</v>
      </c>
      <c r="R9" s="18" t="n">
        <v>941</v>
      </c>
      <c r="S9" s="20" t="n">
        <v>911</v>
      </c>
      <c r="T9" s="6" t="n">
        <v>13</v>
      </c>
      <c r="U9" s="5" t="inlineStr">
        <is>
          <t>테이퍼롤러 고정밀 / 2027년 / 2027년 12월말 | G10/G20등급 / 2027년 / 2027년까지 매월 | 테이퍼롤러 75종 / 2025년 / 2027년 12월말</t>
        </is>
      </c>
      <c r="V9" s="21">
        <f>HYPERLINK("https://dart.fss.or.kr/dsaf001/main.do?rcpNo=20260814003100", "공시열람")</f>
        <v/>
      </c>
    </row>
    <row r="10">
      <c r="A10" s="5" t="inlineStr">
        <is>
          <t>가온전선</t>
        </is>
      </c>
      <c r="B10" s="6" t="inlineStr">
        <is>
          <t>000500</t>
        </is>
      </c>
      <c r="C10" s="6" t="inlineStr">
        <is>
          <t>2026Q2</t>
        </is>
      </c>
      <c r="D10" s="6" t="inlineStr">
        <is>
          <t>20260814</t>
        </is>
      </c>
      <c r="E10" s="16" t="n">
        <v>2230791</v>
      </c>
      <c r="F10" s="16" t="n">
        <v>1632967</v>
      </c>
      <c r="G10" s="16" t="n">
        <v>597824</v>
      </c>
      <c r="H10" s="6" t="inlineStr">
        <is>
          <t>톤,백만원</t>
        </is>
      </c>
      <c r="I10" s="17" t="n">
        <v>125.3</v>
      </c>
      <c r="J10" s="18" t="n">
        <v>94287</v>
      </c>
      <c r="K10" s="19" t="n">
        <v>176557</v>
      </c>
      <c r="L10" s="18" t="n">
        <v>190989</v>
      </c>
      <c r="M10" s="19" t="n">
        <v>247984</v>
      </c>
      <c r="N10" s="18" t="n">
        <v>71280</v>
      </c>
      <c r="O10" s="19" t="n">
        <v>168310</v>
      </c>
      <c r="P10" s="18" t="n">
        <v>153171</v>
      </c>
      <c r="Q10" s="19" t="n">
        <v>209499</v>
      </c>
      <c r="R10" s="18" t="n">
        <v>265349</v>
      </c>
      <c r="S10" s="20" t="n">
        <v>597824</v>
      </c>
      <c r="T10" s="6" t="n">
        <v>6</v>
      </c>
      <c r="U10" s="5" t="inlineStr">
        <is>
          <t>전력 / 종속회사 / ~ '26.06 | 전력 / 가온전선 / ~ '26.06 | 통신 / 가온전선 / ~ '26.06</t>
        </is>
      </c>
      <c r="V10" s="21">
        <f>HYPERLINK("https://dart.fss.or.kr/dsaf001/main.do?rcpNo=20260814000919", "공시열람")</f>
        <v/>
      </c>
    </row>
    <row r="11">
      <c r="A11" s="5" t="inlineStr">
        <is>
          <t>동아쏘시오홀딩스</t>
        </is>
      </c>
      <c r="B11" s="6" t="inlineStr">
        <is>
          <t>000640</t>
        </is>
      </c>
      <c r="C11" s="6" t="inlineStr">
        <is>
          <t>2023Q4</t>
        </is>
      </c>
      <c r="D11" s="6" t="inlineStr">
        <is>
          <t>20240320</t>
        </is>
      </c>
      <c r="E11" s="16" t="inlineStr"/>
      <c r="F11" s="16" t="inlineStr"/>
      <c r="G11" s="16" t="n">
        <v>134455116</v>
      </c>
      <c r="H11" s="6" t="inlineStr">
        <is>
          <t>천원</t>
        </is>
      </c>
      <c r="I11" s="17" t="inlineStr"/>
      <c r="J11" s="18" t="inlineStr"/>
      <c r="K11" s="19" t="inlineStr"/>
      <c r="L11" s="18" t="inlineStr"/>
      <c r="M11" s="19" t="inlineStr"/>
      <c r="N11" s="18" t="inlineStr"/>
      <c r="O11" s="19" t="inlineStr"/>
      <c r="P11" s="18" t="inlineStr"/>
      <c r="Q11" s="19" t="inlineStr"/>
      <c r="R11" s="18" t="inlineStr"/>
      <c r="S11" s="20" t="inlineStr"/>
      <c r="T11" s="6" t="n">
        <v>2</v>
      </c>
      <c r="U11" s="5" t="inlineStr">
        <is>
          <t>건축 부문 | 기타</t>
        </is>
      </c>
      <c r="V11" s="21">
        <f>HYPERLINK("https://dart.fss.or.kr/dsaf001/main.do?rcpNo=20240320001846", "공시열람")</f>
        <v/>
      </c>
    </row>
    <row r="12">
      <c r="A12" s="5" t="inlineStr">
        <is>
          <t>영풍</t>
        </is>
      </c>
      <c r="B12" s="6" t="inlineStr">
        <is>
          <t>000670</t>
        </is>
      </c>
      <c r="C12" s="6" t="inlineStr">
        <is>
          <t>2026Q2</t>
        </is>
      </c>
      <c r="D12" s="6" t="inlineStr">
        <is>
          <t>20260814</t>
        </is>
      </c>
      <c r="E12" s="16" t="n">
        <v>1579483</v>
      </c>
      <c r="F12" s="16" t="n">
        <v>1156557</v>
      </c>
      <c r="G12" s="16" t="n">
        <v>426469</v>
      </c>
      <c r="H12" s="6" t="inlineStr">
        <is>
          <t>M/T,천㎡,천개/백만원</t>
        </is>
      </c>
      <c r="I12" s="17" t="n">
        <v>199.7</v>
      </c>
      <c r="J12" s="18" t="n">
        <v>224872</v>
      </c>
      <c r="K12" s="19" t="n">
        <v>368289</v>
      </c>
      <c r="L12" s="18" t="n">
        <v>390488</v>
      </c>
      <c r="M12" s="19" t="n">
        <v>537111</v>
      </c>
      <c r="N12" s="18" t="n">
        <v>138375</v>
      </c>
      <c r="O12" s="19" t="n">
        <v>205367</v>
      </c>
      <c r="P12" s="18" t="n">
        <v>203707</v>
      </c>
      <c r="Q12" s="19" t="n">
        <v>259958</v>
      </c>
      <c r="R12" s="18" t="n">
        <v>142321</v>
      </c>
      <c r="S12" s="20" t="n">
        <v>426469</v>
      </c>
      <c r="T12" s="6" t="n">
        <v>5</v>
      </c>
      <c r="U12" s="5" t="inlineStr">
        <is>
          <t>㈜코리아써키트 / PCB / 2026.01.01~202 | ㈜인터플렉스 / FPCB / 2026.01.01~202 | ㈜테라닉스 / PCB / 2026.01.01~2026.</t>
        </is>
      </c>
      <c r="V12" s="21">
        <f>HYPERLINK("https://dart.fss.or.kr/dsaf001/main.do?rcpNo=20260814002751", "공시열람")</f>
        <v/>
      </c>
    </row>
    <row r="13">
      <c r="A13" s="5" t="inlineStr">
        <is>
          <t>LS네트웍스</t>
        </is>
      </c>
      <c r="B13" s="6" t="inlineStr">
        <is>
          <t>000680</t>
        </is>
      </c>
      <c r="C13" s="6" t="inlineStr">
        <is>
          <t>2026Q2</t>
        </is>
      </c>
      <c r="D13" s="6" t="inlineStr">
        <is>
          <t>20260814</t>
        </is>
      </c>
      <c r="E13" s="16" t="n">
        <v>22707</v>
      </c>
      <c r="F13" s="16" t="n">
        <v>9540</v>
      </c>
      <c r="G13" s="16" t="n">
        <v>13167</v>
      </c>
      <c r="H13" s="6" t="inlineStr">
        <is>
          <t>백만원</t>
        </is>
      </c>
      <c r="I13" s="17" t="n">
        <v>0</v>
      </c>
      <c r="J13" s="18" t="n">
        <v>15710</v>
      </c>
      <c r="K13" s="19" t="n">
        <v>15262</v>
      </c>
      <c r="L13" s="18" t="n">
        <v>15175</v>
      </c>
      <c r="M13" s="19" t="n">
        <v>14970</v>
      </c>
      <c r="N13" s="18" t="n">
        <v>14087</v>
      </c>
      <c r="O13" s="19" t="n">
        <v>13408</v>
      </c>
      <c r="P13" s="18" t="n">
        <v>13167</v>
      </c>
      <c r="Q13" s="19" t="n">
        <v>13408</v>
      </c>
      <c r="R13" s="18" t="n">
        <v>13167</v>
      </c>
      <c r="S13" s="20" t="n">
        <v>13167</v>
      </c>
      <c r="T13" s="6" t="n">
        <v>2</v>
      </c>
      <c r="U13" s="5" t="inlineStr">
        <is>
          <t>우드펠릿(펠릿) / 2020.11.01 / 2028.1 | 우드펠릿(원재료) / 2020.11.01 / 2028.</t>
        </is>
      </c>
      <c r="V13" s="21">
        <f>HYPERLINK("https://dart.fss.or.kr/dsaf001/main.do?rcpNo=20260814003314", "공시열람")</f>
        <v/>
      </c>
    </row>
    <row r="14">
      <c r="A14" s="5" t="inlineStr">
        <is>
          <t>현대건설</t>
        </is>
      </c>
      <c r="B14" s="6" t="inlineStr">
        <is>
          <t>000720</t>
        </is>
      </c>
      <c r="C14" s="6" t="inlineStr">
        <is>
          <t>2026Q2</t>
        </is>
      </c>
      <c r="D14" s="6" t="inlineStr">
        <is>
          <t>20260814</t>
        </is>
      </c>
      <c r="E14" s="16" t="n">
        <v>160043360</v>
      </c>
      <c r="F14" s="16" t="n">
        <v>84322517</v>
      </c>
      <c r="G14" s="16" t="n">
        <v>75720842</v>
      </c>
      <c r="H14" s="6" t="inlineStr">
        <is>
          <t>백만원</t>
        </is>
      </c>
      <c r="I14" s="17" t="n">
        <v>10.4</v>
      </c>
      <c r="J14" s="18" t="n">
        <v>58479400</v>
      </c>
      <c r="K14" s="19" t="n">
        <v>59646700</v>
      </c>
      <c r="L14" s="18" t="n">
        <v>58839000</v>
      </c>
      <c r="M14" s="19" t="n">
        <v>60905021</v>
      </c>
      <c r="N14" s="18" t="n">
        <v>63937460</v>
      </c>
      <c r="O14" s="19" t="n">
        <v>64078477</v>
      </c>
      <c r="P14" s="18" t="n">
        <v>68865963</v>
      </c>
      <c r="Q14" s="19" t="n">
        <v>69735574</v>
      </c>
      <c r="R14" s="18" t="n">
        <v>68618204</v>
      </c>
      <c r="S14" s="20" t="n">
        <v>75720842</v>
      </c>
      <c r="T14" s="6" t="n">
        <v>58</v>
      </c>
      <c r="U14" s="5" t="inlineStr">
        <is>
          <t>국내 / 기타 | 해외 / 미국 전기로 제철소 건설공사 / HYUNDAI | 해외 / 이라크 해수처리시설 공사 / Total Ene</t>
        </is>
      </c>
      <c r="V14" s="21">
        <f>HYPERLINK("https://dart.fss.or.kr/dsaf001/main.do?rcpNo=20260814003360", "공시열람")</f>
        <v/>
      </c>
    </row>
    <row r="15">
      <c r="A15" s="5" t="inlineStr">
        <is>
          <t>아크릴</t>
        </is>
      </c>
      <c r="B15" s="6" t="inlineStr">
        <is>
          <t>0007C0</t>
        </is>
      </c>
      <c r="C15" s="6" t="inlineStr">
        <is>
          <t>2026Q2</t>
        </is>
      </c>
      <c r="D15" s="6" t="inlineStr">
        <is>
          <t>20260814</t>
        </is>
      </c>
      <c r="E15" s="16" t="n">
        <v>34017</v>
      </c>
      <c r="F15" s="16" t="n">
        <v>12047</v>
      </c>
      <c r="G15" s="16" t="n">
        <v>21946</v>
      </c>
      <c r="H15" s="6" t="inlineStr">
        <is>
          <t>백만원</t>
        </is>
      </c>
      <c r="I15" s="17" t="n">
        <v>54.8</v>
      </c>
      <c r="J15" s="18" t="inlineStr"/>
      <c r="K15" s="19" t="inlineStr"/>
      <c r="L15" s="18" t="inlineStr"/>
      <c r="M15" s="19" t="inlineStr"/>
      <c r="N15" s="18" t="inlineStr"/>
      <c r="O15" s="19" t="inlineStr"/>
      <c r="P15" s="18" t="inlineStr"/>
      <c r="Q15" s="19" t="n">
        <v>11733</v>
      </c>
      <c r="R15" s="18" t="n">
        <v>14174</v>
      </c>
      <c r="S15" s="20" t="n">
        <v>21946</v>
      </c>
      <c r="T15" s="6" t="n">
        <v>4</v>
      </c>
      <c r="U15" s="5" t="inlineStr">
        <is>
          <t>정부보조금 | 조나단 | 용역</t>
        </is>
      </c>
      <c r="V15" s="21">
        <f>HYPERLINK("https://dart.fss.or.kr/dsaf001/main.do?rcpNo=20260814003765", "공시열람")</f>
        <v/>
      </c>
    </row>
    <row r="16">
      <c r="A16" s="5" t="inlineStr">
        <is>
          <t>화천기공</t>
        </is>
      </c>
      <c r="B16" s="6" t="inlineStr">
        <is>
          <t>000850</t>
        </is>
      </c>
      <c r="C16" s="6" t="inlineStr">
        <is>
          <t>2026Q2</t>
        </is>
      </c>
      <c r="D16" s="6" t="inlineStr">
        <is>
          <t>20260814</t>
        </is>
      </c>
      <c r="E16" s="16" t="n">
        <v>157720</v>
      </c>
      <c r="F16" s="16" t="n">
        <v>65846</v>
      </c>
      <c r="G16" s="16" t="n">
        <v>91874</v>
      </c>
      <c r="H16" s="6" t="inlineStr">
        <is>
          <t>백만원</t>
        </is>
      </c>
      <c r="I16" s="17" t="n">
        <v>119.6</v>
      </c>
      <c r="J16" s="18" t="n">
        <v>32774</v>
      </c>
      <c r="K16" s="19" t="n">
        <v>42343</v>
      </c>
      <c r="L16" s="18" t="n">
        <v>42306</v>
      </c>
      <c r="M16" s="19" t="n">
        <v>37913</v>
      </c>
      <c r="N16" s="18" t="n">
        <v>27573</v>
      </c>
      <c r="O16" s="19" t="n">
        <v>19340</v>
      </c>
      <c r="P16" s="18" t="n">
        <v>35851</v>
      </c>
      <c r="Q16" s="19" t="n">
        <v>51839</v>
      </c>
      <c r="R16" s="18" t="n">
        <v>41835</v>
      </c>
      <c r="S16" s="20" t="n">
        <v>91874</v>
      </c>
      <c r="T16" s="6" t="n">
        <v>2</v>
      </c>
      <c r="U16" s="5" t="inlineStr">
        <is>
          <t>CNC선반, 밀링 및 MC / 01월 ~ 06월 | 주물 / 01월 ~ 06월</t>
        </is>
      </c>
      <c r="V16" s="21">
        <f>HYPERLINK("https://dart.fss.or.kr/dsaf001/main.do?rcpNo=20260814002873", "공시열람")</f>
        <v/>
      </c>
    </row>
    <row r="17">
      <c r="A17" s="5" t="inlineStr">
        <is>
          <t>한화</t>
        </is>
      </c>
      <c r="B17" s="6" t="inlineStr">
        <is>
          <t>000880</t>
        </is>
      </c>
      <c r="C17" s="6" t="inlineStr">
        <is>
          <t>2026Q2</t>
        </is>
      </c>
      <c r="D17" s="6" t="inlineStr">
        <is>
          <t>20260831</t>
        </is>
      </c>
      <c r="E17" s="16" t="n">
        <v>192153501</v>
      </c>
      <c r="F17" s="16" t="n">
        <v>54782734</v>
      </c>
      <c r="G17" s="16" t="n">
        <v>137370767</v>
      </c>
      <c r="H17" s="6" t="inlineStr">
        <is>
          <t>백만원</t>
        </is>
      </c>
      <c r="I17" s="17" t="n">
        <v>-2.3</v>
      </c>
      <c r="J17" s="18" t="n">
        <v>88684130</v>
      </c>
      <c r="K17" s="19" t="n">
        <v>90645918</v>
      </c>
      <c r="L17" s="18" t="n">
        <v>90228777</v>
      </c>
      <c r="M17" s="19" t="n">
        <v>125580735</v>
      </c>
      <c r="N17" s="18" t="n">
        <v>125739771</v>
      </c>
      <c r="O17" s="19" t="n">
        <v>122196481</v>
      </c>
      <c r="P17" s="18" t="n">
        <v>124633734</v>
      </c>
      <c r="Q17" s="19" t="n">
        <v>138860595</v>
      </c>
      <c r="R17" s="18" t="n">
        <v>140623959</v>
      </c>
      <c r="S17" s="20" t="n">
        <v>137370767</v>
      </c>
      <c r="T17" s="6" t="n">
        <v>10</v>
      </c>
      <c r="U17" s="5" t="inlineStr">
        <is>
          <t>한화에어로 스페이스㈜ 및 해외생산법인 / 방산 / 상세 | 한화오션㈜ 및 종속회사 / 해양 / 상세내역 참조 | 한화에어로 스페이스㈜ 및 해외생산법인 / 항공 / 상세</t>
        </is>
      </c>
      <c r="V17" s="21">
        <f>HYPERLINK("https://dart.fss.or.kr/dsaf001/main.do?rcpNo=20260831001249", "공시열람")</f>
        <v/>
      </c>
    </row>
    <row r="18">
      <c r="A18" s="5" t="inlineStr">
        <is>
          <t>에스엔시스</t>
        </is>
      </c>
      <c r="B18" s="6" t="inlineStr">
        <is>
          <t>0008Z0</t>
        </is>
      </c>
      <c r="C18" s="6" t="inlineStr">
        <is>
          <t>2026Q2</t>
        </is>
      </c>
      <c r="D18" s="6" t="inlineStr">
        <is>
          <t>20260814</t>
        </is>
      </c>
      <c r="E18" s="16" t="inlineStr"/>
      <c r="F18" s="16" t="inlineStr"/>
      <c r="G18" s="16" t="n">
        <v>283333</v>
      </c>
      <c r="H18" s="6" t="inlineStr">
        <is>
          <t>백만원</t>
        </is>
      </c>
      <c r="I18" s="17" t="n">
        <v>7.2</v>
      </c>
      <c r="J18" s="18" t="inlineStr"/>
      <c r="K18" s="19" t="inlineStr"/>
      <c r="L18" s="18" t="inlineStr"/>
      <c r="M18" s="19" t="inlineStr"/>
      <c r="N18" s="18" t="inlineStr"/>
      <c r="O18" s="19" t="n">
        <v>246668</v>
      </c>
      <c r="P18" s="18" t="n">
        <v>260281</v>
      </c>
      <c r="Q18" s="19" t="n">
        <v>243401</v>
      </c>
      <c r="R18" s="18" t="n">
        <v>264199</v>
      </c>
      <c r="S18" s="20" t="n">
        <v>283333</v>
      </c>
      <c r="T18" s="6" t="n">
        <v>3</v>
      </c>
      <c r="U18" s="5" t="inlineStr">
        <is>
          <t>파워솔루션 / 고압배전반, 저압배전반 등 | 운항제어솔루션 / IAS, ICMS 등 | 에코솔루션 / BMWS, LFSS 등</t>
        </is>
      </c>
      <c r="V18" s="21">
        <f>HYPERLINK("https://dart.fss.or.kr/dsaf001/main.do?rcpNo=20260814000091", "공시열람")</f>
        <v/>
      </c>
    </row>
    <row r="19">
      <c r="A19" s="5" t="inlineStr">
        <is>
          <t>한국주철관공업</t>
        </is>
      </c>
      <c r="B19" s="6" t="inlineStr">
        <is>
          <t>000970</t>
        </is>
      </c>
      <c r="C19" s="6" t="inlineStr">
        <is>
          <t>2026Q2</t>
        </is>
      </c>
      <c r="D19" s="6" t="inlineStr">
        <is>
          <t>20260814</t>
        </is>
      </c>
      <c r="E19" s="16" t="n">
        <v>48797</v>
      </c>
      <c r="F19" s="16" t="n">
        <v>26935</v>
      </c>
      <c r="G19" s="16" t="n">
        <v>21862</v>
      </c>
      <c r="H19" s="6" t="inlineStr">
        <is>
          <t>톤,백만원</t>
        </is>
      </c>
      <c r="I19" s="17" t="n">
        <v>53.5</v>
      </c>
      <c r="J19" s="18" t="n">
        <v>19997</v>
      </c>
      <c r="K19" s="19" t="n">
        <v>46305</v>
      </c>
      <c r="L19" s="18" t="n">
        <v>51220</v>
      </c>
      <c r="M19" s="19" t="n">
        <v>62951</v>
      </c>
      <c r="N19" s="18" t="n">
        <v>14057</v>
      </c>
      <c r="O19" s="19" t="n">
        <v>46305</v>
      </c>
      <c r="P19" s="18" t="n">
        <v>33840</v>
      </c>
      <c r="Q19" s="19" t="n">
        <v>35742</v>
      </c>
      <c r="R19" s="18" t="n">
        <v>14238</v>
      </c>
      <c r="S19" s="20" t="n">
        <v>21862</v>
      </c>
      <c r="T19" s="6" t="n">
        <v>2</v>
      </c>
      <c r="U19" s="5" t="inlineStr">
        <is>
          <t xml:space="preserve">주철관 / 2026.01.01~ 2026.06.30 / | 강관 / 2026.01.01~ 2026.06.30 / </t>
        </is>
      </c>
      <c r="V19" s="21">
        <f>HYPERLINK("https://dart.fss.or.kr/dsaf001/main.do?rcpNo=20260814000843", "공시열람")</f>
        <v/>
      </c>
    </row>
    <row r="20">
      <c r="A20" s="5" t="inlineStr">
        <is>
          <t>DB하이텍</t>
        </is>
      </c>
      <c r="B20" s="6" t="inlineStr">
        <is>
          <t>000990</t>
        </is>
      </c>
      <c r="C20" s="6" t="inlineStr">
        <is>
          <t>2025Q1</t>
        </is>
      </c>
      <c r="D20" s="6" t="inlineStr">
        <is>
          <t>20250515</t>
        </is>
      </c>
      <c r="E20" s="16" t="n">
        <v>281462</v>
      </c>
      <c r="F20" s="16" t="n">
        <v>179030</v>
      </c>
      <c r="G20" s="16" t="n">
        <v>102432</v>
      </c>
      <c r="H20" s="6" t="inlineStr">
        <is>
          <t>wafer,K$</t>
        </is>
      </c>
      <c r="I20" s="17" t="n">
        <v>91</v>
      </c>
      <c r="J20" s="18" t="n">
        <v>63264</v>
      </c>
      <c r="K20" s="19" t="n">
        <v>59902</v>
      </c>
      <c r="L20" s="18" t="n">
        <v>62731</v>
      </c>
      <c r="M20" s="19" t="n">
        <v>53639</v>
      </c>
      <c r="N20" s="18" t="n">
        <v>102432</v>
      </c>
      <c r="O20" s="19" t="inlineStr"/>
      <c r="P20" s="18" t="inlineStr"/>
      <c r="Q20" s="19" t="inlineStr"/>
      <c r="R20" s="18" t="inlineStr"/>
      <c r="S20" s="20" t="inlineStr"/>
      <c r="T20" s="6" t="n">
        <v>1</v>
      </c>
      <c r="U20" s="5" t="inlineStr">
        <is>
          <t>Fabricated System -LSI Wafer /</t>
        </is>
      </c>
      <c r="V20" s="21">
        <f>HYPERLINK("https://dart.fss.or.kr/dsaf001/main.do?rcpNo=20250515001979", "공시열람")</f>
        <v/>
      </c>
    </row>
    <row r="21">
      <c r="A21" s="5" t="inlineStr">
        <is>
          <t>페이퍼코리아</t>
        </is>
      </c>
      <c r="B21" s="6" t="inlineStr">
        <is>
          <t>001020</t>
        </is>
      </c>
      <c r="C21" s="6" t="inlineStr">
        <is>
          <t>2023Q4</t>
        </is>
      </c>
      <c r="D21" s="6" t="inlineStr">
        <is>
          <t>20240321</t>
        </is>
      </c>
      <c r="E21" s="16" t="inlineStr"/>
      <c r="F21" s="16" t="inlineStr"/>
      <c r="G21" s="16" t="n">
        <v>73305359</v>
      </c>
      <c r="H21" s="6" t="inlineStr">
        <is>
          <t>천원</t>
        </is>
      </c>
      <c r="I21" s="17" t="inlineStr"/>
      <c r="J21" s="18" t="inlineStr"/>
      <c r="K21" s="19" t="inlineStr"/>
      <c r="L21" s="18" t="inlineStr"/>
      <c r="M21" s="19" t="inlineStr"/>
      <c r="N21" s="18" t="inlineStr"/>
      <c r="O21" s="19" t="inlineStr"/>
      <c r="P21" s="18" t="inlineStr"/>
      <c r="Q21" s="19" t="inlineStr"/>
      <c r="R21" s="18" t="inlineStr"/>
      <c r="S21" s="20" t="inlineStr"/>
      <c r="T21" s="6" t="n">
        <v>2</v>
      </c>
      <c r="U21" s="5" t="inlineStr">
        <is>
          <t>군산 디오션시티 A5블럭공동주택 신축사업(*2) / 진 | 군산 디오션시티 A5블럭공동주택 신축사업(*2) / 완</t>
        </is>
      </c>
      <c r="V21" s="21">
        <f>HYPERLINK("https://dart.fss.or.kr/dsaf001/main.do?rcpNo=20240321001475", "공시열람")</f>
        <v/>
      </c>
    </row>
    <row r="22">
      <c r="A22" s="5" t="inlineStr">
        <is>
          <t>CJ</t>
        </is>
      </c>
      <c r="B22" s="6" t="inlineStr">
        <is>
          <t>001040</t>
        </is>
      </c>
      <c r="C22" s="6" t="inlineStr">
        <is>
          <t>2026Q2</t>
        </is>
      </c>
      <c r="D22" s="6" t="inlineStr">
        <is>
          <t>20260814</t>
        </is>
      </c>
      <c r="E22" s="16" t="n">
        <v>463318</v>
      </c>
      <c r="F22" s="16" t="n">
        <v>152856</v>
      </c>
      <c r="G22" s="16" t="n">
        <v>310462</v>
      </c>
      <c r="H22" s="6" t="inlineStr">
        <is>
          <t>백만원</t>
        </is>
      </c>
      <c r="I22" s="17" t="n">
        <v>30</v>
      </c>
      <c r="J22" s="18" t="inlineStr"/>
      <c r="K22" s="19" t="inlineStr"/>
      <c r="L22" s="18" t="inlineStr"/>
      <c r="M22" s="19" t="inlineStr"/>
      <c r="N22" s="18" t="n">
        <v>254827</v>
      </c>
      <c r="O22" s="19" t="n">
        <v>270808</v>
      </c>
      <c r="P22" s="18" t="n">
        <v>267100</v>
      </c>
      <c r="Q22" s="19" t="n">
        <v>253404</v>
      </c>
      <c r="R22" s="18" t="n">
        <v>238739</v>
      </c>
      <c r="S22" s="20" t="n">
        <v>310462</v>
      </c>
      <c r="T22" s="6" t="n">
        <v>1</v>
      </c>
      <c r="U22" s="5" t="inlineStr">
        <is>
          <t>시스템구축 등 / -</t>
        </is>
      </c>
      <c r="V22" s="21">
        <f>HYPERLINK("https://dart.fss.or.kr/dsaf001/main.do?rcpNo=20260814002852", "공시열람")</f>
        <v/>
      </c>
    </row>
    <row r="23">
      <c r="A23" s="5" t="inlineStr">
        <is>
          <t>채비</t>
        </is>
      </c>
      <c r="B23" s="6" t="inlineStr">
        <is>
          <t>0011T0</t>
        </is>
      </c>
      <c r="C23" s="6" t="inlineStr">
        <is>
          <t>2026Q2</t>
        </is>
      </c>
      <c r="D23" s="6" t="inlineStr">
        <is>
          <t>20260814</t>
        </is>
      </c>
      <c r="E23" s="16" t="n">
        <v>10305</v>
      </c>
      <c r="F23" s="16" t="inlineStr"/>
      <c r="G23" s="16" t="n">
        <v>10305</v>
      </c>
      <c r="H23" s="6" t="inlineStr">
        <is>
          <t>백만원</t>
        </is>
      </c>
      <c r="I23" s="17" t="inlineStr"/>
      <c r="J23" s="18" t="inlineStr"/>
      <c r="K23" s="19" t="inlineStr"/>
      <c r="L23" s="18" t="inlineStr"/>
      <c r="M23" s="19" t="inlineStr"/>
      <c r="N23" s="18" t="inlineStr"/>
      <c r="O23" s="19" t="inlineStr"/>
      <c r="P23" s="18" t="inlineStr"/>
      <c r="Q23" s="19" t="inlineStr"/>
      <c r="R23" s="18" t="inlineStr"/>
      <c r="S23" s="20" t="n">
        <v>10305</v>
      </c>
      <c r="T23" s="6" t="n">
        <v>1</v>
      </c>
      <c r="U23" s="5" t="inlineStr">
        <is>
          <t>2026년 전기자동차 공공급속충전기 제작·구매 / 20</t>
        </is>
      </c>
      <c r="V23" s="21">
        <f>HYPERLINK("https://dart.fss.or.kr/dsaf001/main.do?rcpNo=20260814003357", "공시열람")</f>
        <v/>
      </c>
    </row>
    <row r="24">
      <c r="A24" s="5" t="inlineStr">
        <is>
          <t>금호전기</t>
        </is>
      </c>
      <c r="B24" s="6" t="inlineStr">
        <is>
          <t>001210</t>
        </is>
      </c>
      <c r="C24" s="6" t="inlineStr">
        <is>
          <t>2025Q4</t>
        </is>
      </c>
      <c r="D24" s="6" t="inlineStr">
        <is>
          <t>20260318</t>
        </is>
      </c>
      <c r="E24" s="16" t="n">
        <v>1201300</v>
      </c>
      <c r="F24" s="16" t="n">
        <v>489709</v>
      </c>
      <c r="G24" s="16" t="n">
        <v>711591</v>
      </c>
      <c r="H24" s="6" t="inlineStr">
        <is>
          <t>천원</t>
        </is>
      </c>
      <c r="I24" s="17" t="n">
        <v>-43.2</v>
      </c>
      <c r="J24" s="18" t="n">
        <v>5223212</v>
      </c>
      <c r="K24" s="19" t="n">
        <v>4056242</v>
      </c>
      <c r="L24" s="18" t="n">
        <v>3538922</v>
      </c>
      <c r="M24" s="19" t="n">
        <v>2503042</v>
      </c>
      <c r="N24" s="18" t="n">
        <v>378880</v>
      </c>
      <c r="O24" s="19" t="n">
        <v>1252515</v>
      </c>
      <c r="P24" s="18" t="inlineStr"/>
      <c r="Q24" s="19" t="n">
        <v>711591</v>
      </c>
      <c r="R24" s="18" t="inlineStr"/>
      <c r="S24" s="20" t="inlineStr"/>
      <c r="T24" s="6" t="n">
        <v>7</v>
      </c>
      <c r="U24" s="5" t="inlineStr">
        <is>
          <t>B2C BE 개발 / 2024-09-01 / - | 게임개발 / 2024-12-10 / - | 플랫폼 앱 개발 / 2025-10-01 / -</t>
        </is>
      </c>
      <c r="V24" s="21">
        <f>HYPERLINK("https://dart.fss.or.kr/dsaf001/main.do?rcpNo=20260318001105", "공시열람")</f>
        <v/>
      </c>
    </row>
    <row r="25">
      <c r="A25" s="5" t="inlineStr">
        <is>
          <t>동국홀딩스</t>
        </is>
      </c>
      <c r="B25" s="6" t="inlineStr">
        <is>
          <t>001230</t>
        </is>
      </c>
      <c r="C25" s="6" t="inlineStr">
        <is>
          <t>2026Q2</t>
        </is>
      </c>
      <c r="D25" s="6" t="inlineStr">
        <is>
          <t>20260814</t>
        </is>
      </c>
      <c r="E25" s="16" t="n">
        <v>699010</v>
      </c>
      <c r="F25" s="16" t="n">
        <v>87896</v>
      </c>
      <c r="G25" s="16" t="n">
        <v>611114</v>
      </c>
      <c r="H25" s="6" t="inlineStr">
        <is>
          <t>톤,백만원</t>
        </is>
      </c>
      <c r="I25" s="17" t="n">
        <v>3460</v>
      </c>
      <c r="J25" s="18" t="n">
        <v>21604</v>
      </c>
      <c r="K25" s="19" t="n">
        <v>26273</v>
      </c>
      <c r="L25" s="18" t="n">
        <v>11606</v>
      </c>
      <c r="M25" s="19" t="n">
        <v>24532</v>
      </c>
      <c r="N25" s="18" t="n">
        <v>9014</v>
      </c>
      <c r="O25" s="19" t="n">
        <v>27299</v>
      </c>
      <c r="P25" s="18" t="n">
        <v>71808</v>
      </c>
      <c r="Q25" s="19" t="n">
        <v>31051</v>
      </c>
      <c r="R25" s="18" t="n">
        <v>17166</v>
      </c>
      <c r="S25" s="20" t="n">
        <v>611114</v>
      </c>
      <c r="T25" s="6" t="n">
        <v>1</v>
      </c>
      <c r="U25" s="5" t="inlineStr">
        <is>
          <t>이형철근 / 2025.10.29 / 2027.09.30</t>
        </is>
      </c>
      <c r="V25" s="21">
        <f>HYPERLINK("https://dart.fss.or.kr/dsaf001/main.do?rcpNo=20260814001615", "공시열람")</f>
        <v/>
      </c>
    </row>
    <row r="26">
      <c r="A26" s="5" t="inlineStr">
        <is>
          <t>GS글로벌</t>
        </is>
      </c>
      <c r="B26" s="6" t="inlineStr">
        <is>
          <t>001250</t>
        </is>
      </c>
      <c r="C26" s="6" t="inlineStr">
        <is>
          <t>2026Q2</t>
        </is>
      </c>
      <c r="D26" s="6" t="inlineStr">
        <is>
          <t>20260813</t>
        </is>
      </c>
      <c r="E26" s="16" t="n">
        <v>234885</v>
      </c>
      <c r="F26" s="16" t="n">
        <v>233821</v>
      </c>
      <c r="G26" s="16" t="n">
        <v>1064</v>
      </c>
      <c r="H26" s="6" t="inlineStr">
        <is>
          <t>백만원</t>
        </is>
      </c>
      <c r="I26" s="17" t="n">
        <v>-86.3</v>
      </c>
      <c r="J26" s="18" t="n">
        <v>266020</v>
      </c>
      <c r="K26" s="19" t="n">
        <v>205116</v>
      </c>
      <c r="L26" s="18" t="n">
        <v>142771</v>
      </c>
      <c r="M26" s="19" t="n">
        <v>81643</v>
      </c>
      <c r="N26" s="18" t="n">
        <v>46641</v>
      </c>
      <c r="O26" s="19" t="n">
        <v>22342</v>
      </c>
      <c r="P26" s="18" t="n">
        <v>14578</v>
      </c>
      <c r="Q26" s="19" t="n">
        <v>11091</v>
      </c>
      <c r="R26" s="18" t="n">
        <v>7779</v>
      </c>
      <c r="S26" s="20" t="n">
        <v>1064</v>
      </c>
      <c r="T26" s="6" t="n">
        <v>3</v>
      </c>
      <c r="U26" s="5" t="inlineStr">
        <is>
          <t>풍력 / 2023-11-09 / 2025-10-15 | 플랜트 / 2023-11-09 / 2026-07-30 | 플랜트 / 2026-04-27 / 2026-07-09</t>
        </is>
      </c>
      <c r="V26" s="21">
        <f>HYPERLINK("https://dart.fss.or.kr/dsaf001/main.do?rcpNo=20260813000856", "공시열람")</f>
        <v/>
      </c>
    </row>
    <row r="27">
      <c r="A27" s="5" t="inlineStr">
        <is>
          <t>남광토건</t>
        </is>
      </c>
      <c r="B27" s="6" t="inlineStr">
        <is>
          <t>001260</t>
        </is>
      </c>
      <c r="C27" s="6" t="inlineStr">
        <is>
          <t>2026Q2</t>
        </is>
      </c>
      <c r="D27" s="6" t="inlineStr">
        <is>
          <t>20260814</t>
        </is>
      </c>
      <c r="E27" s="16" t="n">
        <v>5032697192</v>
      </c>
      <c r="F27" s="16" t="n">
        <v>2272602365</v>
      </c>
      <c r="G27" s="16" t="n">
        <v>2760094827</v>
      </c>
      <c r="H27" s="6" t="inlineStr">
        <is>
          <t>천원</t>
        </is>
      </c>
      <c r="I27" s="17" t="n">
        <v>-0.5</v>
      </c>
      <c r="J27" s="18" t="n">
        <v>1692313839</v>
      </c>
      <c r="K27" s="19" t="n">
        <v>1833849877</v>
      </c>
      <c r="L27" s="18" t="n">
        <v>1768533855</v>
      </c>
      <c r="M27" s="19" t="n">
        <v>1894847303</v>
      </c>
      <c r="N27" s="18" t="n">
        <v>2085092513</v>
      </c>
      <c r="O27" s="19" t="n">
        <v>1992781830</v>
      </c>
      <c r="P27" s="18" t="n">
        <v>2571492411</v>
      </c>
      <c r="Q27" s="19" t="n">
        <v>2519400401</v>
      </c>
      <c r="R27" s="18" t="n">
        <v>2772649504</v>
      </c>
      <c r="S27" s="20" t="n">
        <v>2760094827</v>
      </c>
      <c r="T27" s="6" t="n">
        <v>34</v>
      </c>
      <c r="U27" s="5" t="inlineStr">
        <is>
          <t>기타현장 / - | 대구산업선철도2공구 / 국가철도공단 / 2025.06. | 남부내륙철도4-2 / 국가철도공단 / 2026.01.2</t>
        </is>
      </c>
      <c r="V27" s="21">
        <f>HYPERLINK("https://dart.fss.or.kr/dsaf001/main.do?rcpNo=20260814002027", "공시열람")</f>
        <v/>
      </c>
    </row>
    <row r="28">
      <c r="A28" s="5" t="inlineStr">
        <is>
          <t>PKC</t>
        </is>
      </c>
      <c r="B28" s="6" t="inlineStr">
        <is>
          <t>001340</t>
        </is>
      </c>
      <c r="C28" s="6" t="inlineStr">
        <is>
          <t>2024Q4</t>
        </is>
      </c>
      <c r="D28" s="6" t="inlineStr">
        <is>
          <t>20250318</t>
        </is>
      </c>
      <c r="E28" s="16" t="n">
        <v>415700</v>
      </c>
      <c r="F28" s="16" t="n">
        <v>45521</v>
      </c>
      <c r="G28" s="16" t="n">
        <v>372557</v>
      </c>
      <c r="H28" s="6" t="inlineStr"/>
      <c r="I28" s="17" t="inlineStr"/>
      <c r="J28" s="18" t="inlineStr"/>
      <c r="K28" s="19" t="inlineStr"/>
      <c r="L28" s="18" t="inlineStr"/>
      <c r="M28" s="19" t="n">
        <v>372557</v>
      </c>
      <c r="N28" s="18" t="inlineStr"/>
      <c r="O28" s="19" t="inlineStr"/>
      <c r="P28" s="18" t="inlineStr"/>
      <c r="Q28" s="19" t="inlineStr"/>
      <c r="R28" s="18" t="inlineStr"/>
      <c r="S28" s="20" t="inlineStr"/>
      <c r="T28" s="6" t="n">
        <v>1</v>
      </c>
      <c r="U28" s="5" t="inlineStr">
        <is>
          <t>가성소다 / 2024.01.01~2038.12.31 /</t>
        </is>
      </c>
      <c r="V28" s="21">
        <f>HYPERLINK("https://dart.fss.or.kr/dsaf001/main.do?rcpNo=20250318001326", "공시열람")</f>
        <v/>
      </c>
    </row>
    <row r="29">
      <c r="A29" s="5" t="inlineStr">
        <is>
          <t>KG케미칼</t>
        </is>
      </c>
      <c r="B29" s="6" t="inlineStr">
        <is>
          <t>001390</t>
        </is>
      </c>
      <c r="C29" s="6" t="inlineStr">
        <is>
          <t>2026Q2</t>
        </is>
      </c>
      <c r="D29" s="6" t="inlineStr">
        <is>
          <t>20260814</t>
        </is>
      </c>
      <c r="E29" s="16" t="n">
        <v>52755</v>
      </c>
      <c r="F29" s="16" t="n">
        <v>24096</v>
      </c>
      <c r="G29" s="16" t="n">
        <v>28659</v>
      </c>
      <c r="H29" s="6" t="inlineStr">
        <is>
          <t>톤,백만원</t>
        </is>
      </c>
      <c r="I29" s="17" t="n">
        <v>-36</v>
      </c>
      <c r="J29" s="18" t="n">
        <v>49373</v>
      </c>
      <c r="K29" s="19" t="n">
        <v>61937</v>
      </c>
      <c r="L29" s="18" t="n">
        <v>42830</v>
      </c>
      <c r="M29" s="19" t="n">
        <v>42175</v>
      </c>
      <c r="N29" s="18" t="n">
        <v>18885</v>
      </c>
      <c r="O29" s="19" t="n">
        <v>13601</v>
      </c>
      <c r="P29" s="18" t="n">
        <v>17958</v>
      </c>
      <c r="Q29" s="19" t="n">
        <v>14085</v>
      </c>
      <c r="R29" s="18" t="n">
        <v>44813</v>
      </c>
      <c r="S29" s="20" t="n">
        <v>28659</v>
      </c>
      <c r="T29" s="6" t="n">
        <v>13</v>
      </c>
      <c r="U29" s="5" t="inlineStr">
        <is>
          <t>일반철골공사 / 2026-01-01 / 2026-12- | 미생물 올코팅 플러스 / 2026-01-01 / 202 | 미생물완효성 / 2026-01-01 / 2026-12-</t>
        </is>
      </c>
      <c r="V29" s="21">
        <f>HYPERLINK("https://dart.fss.or.kr/dsaf001/main.do?rcpNo=20260814004254", "공시열람")</f>
        <v/>
      </c>
    </row>
    <row r="30">
      <c r="A30" s="5" t="inlineStr">
        <is>
          <t>세아베스틸지주</t>
        </is>
      </c>
      <c r="B30" s="6" t="inlineStr">
        <is>
          <t>001430</t>
        </is>
      </c>
      <c r="C30" s="6" t="inlineStr">
        <is>
          <t>2026Q2</t>
        </is>
      </c>
      <c r="D30" s="6" t="inlineStr">
        <is>
          <t>20260814</t>
        </is>
      </c>
      <c r="E30" s="16" t="n">
        <v>972741</v>
      </c>
      <c r="F30" s="16" t="n">
        <v>615251</v>
      </c>
      <c r="G30" s="16" t="n">
        <v>357490</v>
      </c>
      <c r="H30" s="6" t="inlineStr">
        <is>
          <t>톤,백만원</t>
        </is>
      </c>
      <c r="I30" s="17" t="n">
        <v>179.9</v>
      </c>
      <c r="J30" s="18" t="n">
        <v>39880</v>
      </c>
      <c r="K30" s="19" t="n">
        <v>40055</v>
      </c>
      <c r="L30" s="18" t="n">
        <v>37121</v>
      </c>
      <c r="M30" s="19" t="n">
        <v>36952</v>
      </c>
      <c r="N30" s="18" t="n">
        <v>58158</v>
      </c>
      <c r="O30" s="19" t="n">
        <v>34210</v>
      </c>
      <c r="P30" s="18" t="n">
        <v>44365</v>
      </c>
      <c r="Q30" s="19" t="n">
        <v>93564</v>
      </c>
      <c r="R30" s="18" t="n">
        <v>127725</v>
      </c>
      <c r="S30" s="20" t="n">
        <v>357490</v>
      </c>
      <c r="T30" s="6" t="n">
        <v>1</v>
      </c>
      <c r="U30" s="5" t="inlineStr">
        <is>
          <t>선재, 봉강,강관,반제품 등 / 2026.01.01~2</t>
        </is>
      </c>
      <c r="V30" s="21">
        <f>HYPERLINK("https://dart.fss.or.kr/dsaf001/main.do?rcpNo=20260814003802", "공시열람")</f>
        <v/>
      </c>
    </row>
    <row r="31">
      <c r="A31" s="5" t="inlineStr">
        <is>
          <t>대한전선</t>
        </is>
      </c>
      <c r="B31" s="6" t="inlineStr">
        <is>
          <t>001440</t>
        </is>
      </c>
      <c r="C31" s="6" t="inlineStr">
        <is>
          <t>2026Q2</t>
        </is>
      </c>
      <c r="D31" s="6" t="inlineStr">
        <is>
          <t>20260814</t>
        </is>
      </c>
      <c r="E31" s="16" t="n">
        <v>6354651</v>
      </c>
      <c r="F31" s="16" t="n">
        <v>2291716</v>
      </c>
      <c r="G31" s="16" t="n">
        <v>4062935</v>
      </c>
      <c r="H31" s="6" t="inlineStr">
        <is>
          <t>백만원</t>
        </is>
      </c>
      <c r="I31" s="17" t="n">
        <v>6.2</v>
      </c>
      <c r="J31" s="18" t="n">
        <v>1938759</v>
      </c>
      <c r="K31" s="19" t="n">
        <v>2005454</v>
      </c>
      <c r="L31" s="18" t="n">
        <v>2325785</v>
      </c>
      <c r="M31" s="19" t="n">
        <v>2818062</v>
      </c>
      <c r="N31" s="18" t="n">
        <v>2847019</v>
      </c>
      <c r="O31" s="19" t="n">
        <v>2890728</v>
      </c>
      <c r="P31" s="18" t="n">
        <v>3417511</v>
      </c>
      <c r="Q31" s="19" t="n">
        <v>3663260</v>
      </c>
      <c r="R31" s="18" t="n">
        <v>3827305</v>
      </c>
      <c r="S31" s="20" t="n">
        <v>4062935</v>
      </c>
      <c r="T31" s="6" t="n">
        <v>1</v>
      </c>
      <c r="U31" s="5" t="inlineStr">
        <is>
          <t>전력선 및 통신선 등 / ~26년 반기말 / -</t>
        </is>
      </c>
      <c r="V31" s="21">
        <f>HYPERLINK("https://dart.fss.or.kr/dsaf001/main.do?rcpNo=20260814003722", "공시열람")</f>
        <v/>
      </c>
    </row>
    <row r="32">
      <c r="A32" s="5" t="inlineStr">
        <is>
          <t>삼부토건</t>
        </is>
      </c>
      <c r="B32" s="6" t="inlineStr">
        <is>
          <t>001470</t>
        </is>
      </c>
      <c r="C32" s="6" t="inlineStr">
        <is>
          <t>2026Q1</t>
        </is>
      </c>
      <c r="D32" s="6" t="inlineStr">
        <is>
          <t>20260518</t>
        </is>
      </c>
      <c r="E32" s="16" t="inlineStr"/>
      <c r="F32" s="16" t="inlineStr"/>
      <c r="G32" s="16" t="n">
        <v>579543727</v>
      </c>
      <c r="H32" s="6" t="inlineStr">
        <is>
          <t>천원</t>
        </is>
      </c>
      <c r="I32" s="17" t="n">
        <v>-8.1</v>
      </c>
      <c r="J32" s="18" t="n">
        <v>1212432819</v>
      </c>
      <c r="K32" s="19" t="n">
        <v>1129789642</v>
      </c>
      <c r="L32" s="18" t="n">
        <v>2062043520</v>
      </c>
      <c r="M32" s="19" t="n">
        <v>993447202</v>
      </c>
      <c r="N32" s="18" t="n">
        <v>730650922</v>
      </c>
      <c r="O32" s="19" t="n">
        <v>678882023</v>
      </c>
      <c r="P32" s="18" t="n">
        <v>630887476</v>
      </c>
      <c r="Q32" s="19" t="inlineStr"/>
      <c r="R32" s="18" t="n">
        <v>579543727</v>
      </c>
      <c r="S32" s="20" t="inlineStr"/>
      <c r="T32" s="6" t="n">
        <v>1</v>
      </c>
      <c r="U32" s="5" t="inlineStr">
        <is>
          <t>국내 도급공사 / (643,173,885)</t>
        </is>
      </c>
      <c r="V32" s="21">
        <f>HYPERLINK("https://dart.fss.or.kr/dsaf001/main.do?rcpNo=20260518000224", "공시열람")</f>
        <v/>
      </c>
    </row>
    <row r="33">
      <c r="A33" s="5" t="inlineStr">
        <is>
          <t>동양</t>
        </is>
      </c>
      <c r="B33" s="6" t="inlineStr">
        <is>
          <t>001520</t>
        </is>
      </c>
      <c r="C33" s="6" t="inlineStr">
        <is>
          <t>2026Q2</t>
        </is>
      </c>
      <c r="D33" s="6" t="inlineStr">
        <is>
          <t>20260814</t>
        </is>
      </c>
      <c r="E33" s="16" t="n">
        <v>261464</v>
      </c>
      <c r="F33" s="16" t="n">
        <v>180733</v>
      </c>
      <c r="G33" s="16" t="n">
        <v>80732</v>
      </c>
      <c r="H33" s="6" t="inlineStr">
        <is>
          <t>백만원</t>
        </is>
      </c>
      <c r="I33" s="17" t="n">
        <v>42.5</v>
      </c>
      <c r="J33" s="18" t="n">
        <v>271542</v>
      </c>
      <c r="K33" s="19" t="n">
        <v>233028</v>
      </c>
      <c r="L33" s="18" t="n">
        <v>225114</v>
      </c>
      <c r="M33" s="19" t="n">
        <v>204246</v>
      </c>
      <c r="N33" s="18" t="n">
        <v>185218</v>
      </c>
      <c r="O33" s="19" t="n">
        <v>161249</v>
      </c>
      <c r="P33" s="18" t="n">
        <v>79882</v>
      </c>
      <c r="Q33" s="19" t="n">
        <v>72967</v>
      </c>
      <c r="R33" s="18" t="n">
        <v>56642</v>
      </c>
      <c r="S33" s="20" t="n">
        <v>80732</v>
      </c>
      <c r="T33" s="6" t="n">
        <v>9</v>
      </c>
      <c r="U33" s="5" t="inlineStr">
        <is>
          <t>민간건축_디엘건설 주식회사_부천삼정 AI허브센터 MEP | 관급토목_서울특별시도시기반시설본부_국회대로 지하차도 및 | 민간건축_에이치대현대삼호(주)_보령발전본부 저탄장 옥내</t>
        </is>
      </c>
      <c r="V33" s="21">
        <f>HYPERLINK("https://dart.fss.or.kr/dsaf001/main.do?rcpNo=20260814003559", "공시열람")</f>
        <v/>
      </c>
    </row>
    <row r="34">
      <c r="A34" s="5" t="inlineStr">
        <is>
          <t>디아이동일</t>
        </is>
      </c>
      <c r="B34" s="6" t="inlineStr">
        <is>
          <t>001530</t>
        </is>
      </c>
      <c r="C34" s="6" t="inlineStr">
        <is>
          <t>2025Q4</t>
        </is>
      </c>
      <c r="D34" s="6" t="inlineStr">
        <is>
          <t>20260318</t>
        </is>
      </c>
      <c r="E34" s="16" t="n">
        <v>28440022000</v>
      </c>
      <c r="F34" s="16" t="n">
        <v>16234073571</v>
      </c>
      <c r="G34" s="16" t="n">
        <v>12205948429</v>
      </c>
      <c r="H34" s="6" t="inlineStr"/>
      <c r="I34" s="17" t="n">
        <v>153.3</v>
      </c>
      <c r="J34" s="18" t="inlineStr"/>
      <c r="K34" s="19" t="inlineStr"/>
      <c r="L34" s="18" t="inlineStr"/>
      <c r="M34" s="19" t="n">
        <v>4819218063</v>
      </c>
      <c r="N34" s="18" t="inlineStr"/>
      <c r="O34" s="19" t="inlineStr"/>
      <c r="P34" s="18" t="inlineStr"/>
      <c r="Q34" s="19" t="n">
        <v>12205948429</v>
      </c>
      <c r="R34" s="18" t="inlineStr"/>
      <c r="S34" s="20" t="inlineStr"/>
      <c r="T34" s="6" t="n">
        <v>24</v>
      </c>
      <c r="U34" s="5" t="inlineStr">
        <is>
          <t>UTILITY 설비 및 배관 서포트 등 제작, 설치 / | P4-PH2 정전유전체 / '23-11-24 / '25 | P4-25-258-01 700CMM 정전유전체 / '2</t>
        </is>
      </c>
      <c r="V34" s="21">
        <f>HYPERLINK("https://dart.fss.or.kr/dsaf001/main.do?rcpNo=20260318001468", "공시열람")</f>
        <v/>
      </c>
    </row>
    <row r="35">
      <c r="A35" s="5" t="inlineStr">
        <is>
          <t>조비</t>
        </is>
      </c>
      <c r="B35" s="6" t="inlineStr">
        <is>
          <t>001550</t>
        </is>
      </c>
      <c r="C35" s="6" t="inlineStr">
        <is>
          <t>2026Q2</t>
        </is>
      </c>
      <c r="D35" s="6" t="inlineStr">
        <is>
          <t>20260814</t>
        </is>
      </c>
      <c r="E35" s="16" t="n">
        <v>122209</v>
      </c>
      <c r="F35" s="16" t="n">
        <v>62523</v>
      </c>
      <c r="G35" s="16" t="n">
        <v>59686</v>
      </c>
      <c r="H35" s="6" t="inlineStr">
        <is>
          <t>톤,백만원</t>
        </is>
      </c>
      <c r="I35" s="17" t="n">
        <v>-34.5</v>
      </c>
      <c r="J35" s="18" t="n">
        <v>86217</v>
      </c>
      <c r="K35" s="19" t="n">
        <v>46153</v>
      </c>
      <c r="L35" s="18" t="n">
        <v>42586</v>
      </c>
      <c r="M35" s="19" t="n">
        <v>38955</v>
      </c>
      <c r="N35" s="18" t="n">
        <v>85489</v>
      </c>
      <c r="O35" s="19" t="n">
        <v>51825</v>
      </c>
      <c r="P35" s="18" t="n">
        <v>47392</v>
      </c>
      <c r="Q35" s="19" t="n">
        <v>0</v>
      </c>
      <c r="R35" s="18" t="n">
        <v>91181</v>
      </c>
      <c r="S35" s="20" t="n">
        <v>59686</v>
      </c>
      <c r="T35" s="6" t="n">
        <v>1</v>
      </c>
      <c r="U35" s="5" t="inlineStr">
        <is>
          <t>완효성비료 외 / 2026.02.06 / 2026.12</t>
        </is>
      </c>
      <c r="V35" s="21">
        <f>HYPERLINK("https://dart.fss.or.kr/dsaf001/main.do?rcpNo=20260814001004", "공시열람")</f>
        <v/>
      </c>
    </row>
    <row r="36">
      <c r="A36" s="5" t="inlineStr">
        <is>
          <t>금양</t>
        </is>
      </c>
      <c r="B36" s="6" t="inlineStr">
        <is>
          <t>001570</t>
        </is>
      </c>
      <c r="C36" s="6" t="inlineStr">
        <is>
          <t>2026Q1</t>
        </is>
      </c>
      <c r="D36" s="6" t="inlineStr">
        <is>
          <t>20260515</t>
        </is>
      </c>
      <c r="E36" s="16" t="n">
        <v>57900000</v>
      </c>
      <c r="F36" s="16" t="inlineStr"/>
      <c r="G36" s="16" t="n">
        <v>57900000</v>
      </c>
      <c r="H36" s="6" t="inlineStr">
        <is>
          <t>USD</t>
        </is>
      </c>
      <c r="I36" s="17" t="n">
        <v>0</v>
      </c>
      <c r="J36" s="18" t="inlineStr"/>
      <c r="K36" s="19" t="inlineStr"/>
      <c r="L36" s="18" t="inlineStr"/>
      <c r="M36" s="19" t="n">
        <v>57900000</v>
      </c>
      <c r="N36" s="18" t="n">
        <v>57900000</v>
      </c>
      <c r="O36" s="19" t="n">
        <v>57900000</v>
      </c>
      <c r="P36" s="18" t="n">
        <v>57900000</v>
      </c>
      <c r="Q36" s="19" t="n">
        <v>57900000</v>
      </c>
      <c r="R36" s="18" t="n">
        <v>57900000</v>
      </c>
      <c r="S36" s="20" t="inlineStr"/>
      <c r="T36" s="6" t="n">
        <v>4</v>
      </c>
      <c r="U36" s="5" t="inlineStr">
        <is>
          <t>21700-50E2 Cell / 2024-12-04 / | 21700-50E2 Cell / 2024-12-04 / | 21700-50E2 Cell / 2024-12-04 /</t>
        </is>
      </c>
      <c r="V36" s="21">
        <f>HYPERLINK("https://dart.fss.or.kr/dsaf001/main.do?rcpNo=20260515002598", "공시열람")</f>
        <v/>
      </c>
    </row>
    <row r="37">
      <c r="A37" s="5" t="inlineStr">
        <is>
          <t>페스카로</t>
        </is>
      </c>
      <c r="B37" s="6" t="inlineStr">
        <is>
          <t>0015S0</t>
        </is>
      </c>
      <c r="C37" s="6" t="inlineStr">
        <is>
          <t>2026Q2</t>
        </is>
      </c>
      <c r="D37" s="6" t="inlineStr">
        <is>
          <t>20260818</t>
        </is>
      </c>
      <c r="E37" s="16" t="n">
        <v>70461103</v>
      </c>
      <c r="F37" s="16" t="n">
        <v>30983112</v>
      </c>
      <c r="G37" s="16" t="n">
        <v>39477991</v>
      </c>
      <c r="H37" s="6" t="inlineStr">
        <is>
          <t>천원</t>
        </is>
      </c>
      <c r="I37" s="17" t="n">
        <v>-2.3</v>
      </c>
      <c r="J37" s="18" t="inlineStr"/>
      <c r="K37" s="19" t="inlineStr"/>
      <c r="L37" s="18" t="inlineStr"/>
      <c r="M37" s="19" t="inlineStr"/>
      <c r="N37" s="18" t="inlineStr"/>
      <c r="O37" s="19" t="inlineStr"/>
      <c r="P37" s="18" t="inlineStr"/>
      <c r="Q37" s="19" t="n">
        <v>38311388</v>
      </c>
      <c r="R37" s="18" t="n">
        <v>40403165</v>
      </c>
      <c r="S37" s="20" t="n">
        <v>39477991</v>
      </c>
      <c r="T37" s="6" t="n">
        <v>5</v>
      </c>
      <c r="U37" s="5" t="inlineStr">
        <is>
          <t>차량통신보안솔루션 | 전장제어개발솔루션 | 전장부품보안솔루션</t>
        </is>
      </c>
      <c r="V37" s="21">
        <f>HYPERLINK("https://dart.fss.or.kr/dsaf001/main.do?rcpNo=20260818000228", "공시열람")</f>
        <v/>
      </c>
    </row>
    <row r="38">
      <c r="A38" s="5" t="inlineStr">
        <is>
          <t>알루코</t>
        </is>
      </c>
      <c r="B38" s="6" t="inlineStr">
        <is>
          <t>001780</t>
        </is>
      </c>
      <c r="C38" s="6" t="inlineStr">
        <is>
          <t>2026Q2</t>
        </is>
      </c>
      <c r="D38" s="6" t="inlineStr">
        <is>
          <t>20260814</t>
        </is>
      </c>
      <c r="E38" s="16" t="n">
        <v>592819</v>
      </c>
      <c r="F38" s="16" t="n">
        <v>476102</v>
      </c>
      <c r="G38" s="16" t="n">
        <v>116717</v>
      </c>
      <c r="H38" s="6" t="inlineStr">
        <is>
          <t>백만원</t>
        </is>
      </c>
      <c r="I38" s="17" t="n">
        <v>31.3</v>
      </c>
      <c r="J38" s="18" t="n">
        <v>214431</v>
      </c>
      <c r="K38" s="19" t="n">
        <v>231026</v>
      </c>
      <c r="L38" s="18" t="n">
        <v>208129</v>
      </c>
      <c r="M38" s="19" t="n">
        <v>214533</v>
      </c>
      <c r="N38" s="18" t="n">
        <v>192935</v>
      </c>
      <c r="O38" s="19" t="n">
        <v>137811</v>
      </c>
      <c r="P38" s="18" t="n">
        <v>112498</v>
      </c>
      <c r="Q38" s="19" t="n">
        <v>89360</v>
      </c>
      <c r="R38" s="18" t="n">
        <v>88921</v>
      </c>
      <c r="S38" s="20" t="n">
        <v>116717</v>
      </c>
      <c r="T38" s="6" t="n">
        <v>29</v>
      </c>
      <c r="U38" s="5" t="inlineStr">
        <is>
          <t>N PJT / 2023-03-31 / 2025-12-3 | W PTJ / 2026-06-23 / 2029-06-3 | X PJT / 2026-04-15 / 2028-08-1</t>
        </is>
      </c>
      <c r="V38" s="21">
        <f>HYPERLINK("https://dart.fss.or.kr/dsaf001/main.do?rcpNo=20260814003458", "공시열람")</f>
        <v/>
      </c>
    </row>
    <row r="39">
      <c r="A39" s="5" t="inlineStr">
        <is>
          <t>세미티에스</t>
        </is>
      </c>
      <c r="B39" s="6" t="inlineStr">
        <is>
          <t>0017J0</t>
        </is>
      </c>
      <c r="C39" s="6" t="inlineStr">
        <is>
          <t>2026Q2</t>
        </is>
      </c>
      <c r="D39" s="6" t="inlineStr">
        <is>
          <t>20260811</t>
        </is>
      </c>
      <c r="E39" s="16" t="n">
        <v>55868450</v>
      </c>
      <c r="F39" s="16" t="n">
        <v>38228713</v>
      </c>
      <c r="G39" s="16" t="n">
        <v>17639737</v>
      </c>
      <c r="H39" s="6" t="inlineStr">
        <is>
          <t>천원</t>
        </is>
      </c>
      <c r="I39" s="17" t="n">
        <v>7.3</v>
      </c>
      <c r="J39" s="18" t="inlineStr"/>
      <c r="K39" s="19" t="inlineStr"/>
      <c r="L39" s="18" t="inlineStr"/>
      <c r="M39" s="19" t="inlineStr"/>
      <c r="N39" s="18" t="inlineStr"/>
      <c r="O39" s="19" t="inlineStr"/>
      <c r="P39" s="18" t="inlineStr"/>
      <c r="Q39" s="19" t="inlineStr"/>
      <c r="R39" s="18" t="n">
        <v>16439966</v>
      </c>
      <c r="S39" s="20" t="n">
        <v>17639737</v>
      </c>
      <c r="T39" s="6" t="n">
        <v>7</v>
      </c>
      <c r="U39" s="5" t="inlineStr">
        <is>
          <t>클린 컨베이어시스템(B사) / 26.01.30 / 26 | 클린 컨베이어시스템(C사) / 24.05.21 | 클린 컨베이어시스템(B사) / 26.04.30 / 26</t>
        </is>
      </c>
      <c r="V39" s="21">
        <f>HYPERLINK("https://dart.fss.or.kr/dsaf001/main.do?rcpNo=20260811000408", "공시열람")</f>
        <v/>
      </c>
    </row>
    <row r="40">
      <c r="A40" s="5" t="inlineStr">
        <is>
          <t>삼화콘덴서공업</t>
        </is>
      </c>
      <c r="B40" s="6" t="inlineStr">
        <is>
          <t>001820</t>
        </is>
      </c>
      <c r="C40" s="6" t="inlineStr">
        <is>
          <t>2026Q2</t>
        </is>
      </c>
      <c r="D40" s="6" t="inlineStr">
        <is>
          <t>20260814</t>
        </is>
      </c>
      <c r="E40" s="16" t="n">
        <v>157552</v>
      </c>
      <c r="F40" s="16" t="n">
        <v>155700</v>
      </c>
      <c r="G40" s="16" t="n">
        <v>1852</v>
      </c>
      <c r="H40" s="6" t="inlineStr">
        <is>
          <t>Mpcs,백만원</t>
        </is>
      </c>
      <c r="I40" s="17" t="n">
        <v>8.9</v>
      </c>
      <c r="J40" s="18" t="n">
        <v>2399</v>
      </c>
      <c r="K40" s="19" t="n">
        <v>3792</v>
      </c>
      <c r="L40" s="18" t="n">
        <v>2784</v>
      </c>
      <c r="M40" s="19" t="n">
        <v>1310</v>
      </c>
      <c r="N40" s="18" t="n">
        <v>2962</v>
      </c>
      <c r="O40" s="19" t="n">
        <v>1701</v>
      </c>
      <c r="P40" s="18" t="n">
        <v>2028</v>
      </c>
      <c r="Q40" s="19" t="n">
        <v>1840</v>
      </c>
      <c r="R40" s="18" t="n">
        <v>1700</v>
      </c>
      <c r="S40" s="20" t="n">
        <v>1852</v>
      </c>
      <c r="T40" s="6" t="n">
        <v>1</v>
      </c>
      <c r="U40" s="5" t="inlineStr">
        <is>
          <t xml:space="preserve">콘덴서 / 2026.01.01~2026.06.30 / </t>
        </is>
      </c>
      <c r="V40" s="21">
        <f>HYPERLINK("https://dart.fss.or.kr/dsaf001/main.do?rcpNo=20260814002905", "공시열람")</f>
        <v/>
      </c>
    </row>
    <row r="41">
      <c r="A41" s="5" t="inlineStr">
        <is>
          <t>이화공영</t>
        </is>
      </c>
      <c r="B41" s="6" t="inlineStr">
        <is>
          <t>001840</t>
        </is>
      </c>
      <c r="C41" s="6" t="inlineStr">
        <is>
          <t>2026Q2</t>
        </is>
      </c>
      <c r="D41" s="6" t="inlineStr">
        <is>
          <t>20260814</t>
        </is>
      </c>
      <c r="E41" s="16" t="n">
        <v>48314</v>
      </c>
      <c r="F41" s="16" t="n">
        <v>123783</v>
      </c>
      <c r="G41" s="16" t="n">
        <v>29418</v>
      </c>
      <c r="H41" s="6" t="inlineStr">
        <is>
          <t>백만원</t>
        </is>
      </c>
      <c r="I41" s="17" t="n">
        <v>-33.9</v>
      </c>
      <c r="J41" s="18" t="n">
        <v>169920</v>
      </c>
      <c r="K41" s="19" t="n">
        <v>163769</v>
      </c>
      <c r="L41" s="18" t="n">
        <v>124021</v>
      </c>
      <c r="M41" s="19" t="n">
        <v>118232</v>
      </c>
      <c r="N41" s="18" t="n">
        <v>141617</v>
      </c>
      <c r="O41" s="19" t="n">
        <v>120477</v>
      </c>
      <c r="P41" s="18" t="n">
        <v>82733</v>
      </c>
      <c r="Q41" s="19" t="n">
        <v>55966</v>
      </c>
      <c r="R41" s="18" t="n">
        <v>44524</v>
      </c>
      <c r="S41" s="20" t="n">
        <v>29418</v>
      </c>
      <c r="T41" s="6" t="n">
        <v>13</v>
      </c>
      <c r="U41" s="5" t="inlineStr">
        <is>
          <t xml:space="preserve">연성대 신축공사 - 건축공사 / 25.02.04 / 2 | 군자차량기지 하수관로개량공사 / 26.03.26 / 2 | 영동대로 지하공간 복합개발 3공구 건설공사(토목) / </t>
        </is>
      </c>
      <c r="V41" s="21">
        <f>HYPERLINK("https://dart.fss.or.kr/dsaf001/main.do?rcpNo=20260814003697", "공시열람")</f>
        <v/>
      </c>
    </row>
    <row r="42">
      <c r="A42" s="5" t="inlineStr">
        <is>
          <t>KISCO홀딩스</t>
        </is>
      </c>
      <c r="B42" s="6" t="inlineStr">
        <is>
          <t>001940</t>
        </is>
      </c>
      <c r="C42" s="6" t="inlineStr">
        <is>
          <t>2024Q1</t>
        </is>
      </c>
      <c r="D42" s="6" t="inlineStr">
        <is>
          <t>20240516</t>
        </is>
      </c>
      <c r="E42" s="16" t="n">
        <v>235354</v>
      </c>
      <c r="F42" s="16" t="n">
        <v>203710</v>
      </c>
      <c r="G42" s="16" t="n">
        <v>31644</v>
      </c>
      <c r="H42" s="6" t="inlineStr">
        <is>
          <t>톤,백만원</t>
        </is>
      </c>
      <c r="I42" s="17" t="n">
        <v>591.4</v>
      </c>
      <c r="J42" s="18" t="n">
        <v>31644</v>
      </c>
      <c r="K42" s="19" t="inlineStr"/>
      <c r="L42" s="18" t="inlineStr"/>
      <c r="M42" s="19" t="inlineStr"/>
      <c r="N42" s="18" t="inlineStr"/>
      <c r="O42" s="19" t="inlineStr"/>
      <c r="P42" s="18" t="inlineStr"/>
      <c r="Q42" s="19" t="inlineStr"/>
      <c r="R42" s="18" t="inlineStr"/>
      <c r="S42" s="20" t="inlineStr"/>
      <c r="T42" s="6" t="n">
        <v>1</v>
      </c>
      <c r="U42" s="5" t="inlineStr">
        <is>
          <t>철근 / 조달청 / 2022.05.09</t>
        </is>
      </c>
      <c r="V42" s="21">
        <f>HYPERLINK("https://dart.fss.or.kr/dsaf001/main.do?rcpNo=20240516001025", "공시열람")</f>
        <v/>
      </c>
    </row>
    <row r="43">
      <c r="A43" s="5" t="inlineStr">
        <is>
          <t>코오롱</t>
        </is>
      </c>
      <c r="B43" s="6" t="inlineStr">
        <is>
          <t>002020</t>
        </is>
      </c>
      <c r="C43" s="6" t="inlineStr">
        <is>
          <t>2026Q2</t>
        </is>
      </c>
      <c r="D43" s="6" t="inlineStr">
        <is>
          <t>20260814</t>
        </is>
      </c>
      <c r="E43" s="16" t="n">
        <v>17926160</v>
      </c>
      <c r="F43" s="16" t="n">
        <v>6076593</v>
      </c>
      <c r="G43" s="16" t="n">
        <v>11849567</v>
      </c>
      <c r="H43" s="6" t="inlineStr">
        <is>
          <t>백만원</t>
        </is>
      </c>
      <c r="I43" s="17" t="n">
        <v>3.1</v>
      </c>
      <c r="J43" s="18" t="n">
        <v>11615214</v>
      </c>
      <c r="K43" s="19" t="n">
        <v>11629837</v>
      </c>
      <c r="L43" s="18" t="n">
        <v>11731019</v>
      </c>
      <c r="M43" s="19" t="n">
        <v>11658897</v>
      </c>
      <c r="N43" s="18" t="n">
        <v>12013707</v>
      </c>
      <c r="O43" s="19" t="n">
        <v>11259058</v>
      </c>
      <c r="P43" s="18" t="n">
        <v>11478821</v>
      </c>
      <c r="Q43" s="19" t="n">
        <v>11874286</v>
      </c>
      <c r="R43" s="18" t="n">
        <v>11488872</v>
      </c>
      <c r="S43" s="20" t="n">
        <v>11849567</v>
      </c>
      <c r="T43" s="6" t="n">
        <v>21</v>
      </c>
      <c r="U43" s="5" t="inlineStr">
        <is>
          <t>기타 프로젝트 | 부산엄궁 1구역 주택재개발정비사업 / 2019-07-2 | 대구 신암1구역 재개발 / 2018-05-31 / 20</t>
        </is>
      </c>
      <c r="V43" s="21">
        <f>HYPERLINK("https://dart.fss.or.kr/dsaf001/main.do?rcpNo=20260814003922", "공시열람")</f>
        <v/>
      </c>
    </row>
    <row r="44">
      <c r="A44" s="5" t="inlineStr">
        <is>
          <t>경농</t>
        </is>
      </c>
      <c r="B44" s="6" t="inlineStr">
        <is>
          <t>002100</t>
        </is>
      </c>
      <c r="C44" s="6" t="inlineStr">
        <is>
          <t>2026Q2</t>
        </is>
      </c>
      <c r="D44" s="6" t="inlineStr">
        <is>
          <t>20260814</t>
        </is>
      </c>
      <c r="E44" s="16" t="n">
        <v>122209</v>
      </c>
      <c r="F44" s="16" t="n">
        <v>62523</v>
      </c>
      <c r="G44" s="16" t="n">
        <v>59686</v>
      </c>
      <c r="H44" s="6" t="inlineStr">
        <is>
          <t>톤,백만원</t>
        </is>
      </c>
      <c r="I44" s="17" t="n">
        <v>-33.8</v>
      </c>
      <c r="J44" s="18" t="n">
        <v>82405</v>
      </c>
      <c r="K44" s="19" t="n">
        <v>45692</v>
      </c>
      <c r="L44" s="18" t="n">
        <v>30800</v>
      </c>
      <c r="M44" s="19" t="n">
        <v>28390</v>
      </c>
      <c r="N44" s="18" t="n">
        <v>80393</v>
      </c>
      <c r="O44" s="19" t="n">
        <v>38511</v>
      </c>
      <c r="P44" s="18" t="n">
        <v>22343</v>
      </c>
      <c r="Q44" s="19" t="n">
        <v>0</v>
      </c>
      <c r="R44" s="18" t="n">
        <v>90114</v>
      </c>
      <c r="S44" s="20" t="n">
        <v>59686</v>
      </c>
      <c r="T44" s="6" t="n">
        <v>1</v>
      </c>
      <c r="U44" s="5" t="inlineStr">
        <is>
          <t>완효성비료 외 / 2026.02.06 / 2026.12</t>
        </is>
      </c>
      <c r="V44" s="21">
        <f>HYPERLINK("https://dart.fss.or.kr/dsaf001/main.do?rcpNo=20260814003124", "공시열람")</f>
        <v/>
      </c>
    </row>
    <row r="45">
      <c r="A45" s="5" t="inlineStr">
        <is>
          <t>도화엔지니어링</t>
        </is>
      </c>
      <c r="B45" s="6" t="inlineStr">
        <is>
          <t>002150</t>
        </is>
      </c>
      <c r="C45" s="6" t="inlineStr">
        <is>
          <t>2026Q2</t>
        </is>
      </c>
      <c r="D45" s="6" t="inlineStr">
        <is>
          <t>20260813</t>
        </is>
      </c>
      <c r="E45" s="16" t="inlineStr"/>
      <c r="F45" s="16" t="inlineStr"/>
      <c r="G45" s="16" t="n">
        <v>1949413</v>
      </c>
      <c r="H45" s="6" t="inlineStr">
        <is>
          <t>백만원</t>
        </is>
      </c>
      <c r="I45" s="17" t="n">
        <v>628.5</v>
      </c>
      <c r="J45" s="18" t="n">
        <v>429666</v>
      </c>
      <c r="K45" s="19" t="n">
        <v>425916</v>
      </c>
      <c r="L45" s="18" t="n">
        <v>401234</v>
      </c>
      <c r="M45" s="19" t="n">
        <v>1840976</v>
      </c>
      <c r="N45" s="18" t="n">
        <v>328489</v>
      </c>
      <c r="O45" s="19" t="n">
        <v>329238</v>
      </c>
      <c r="P45" s="18" t="n">
        <v>302917</v>
      </c>
      <c r="Q45" s="19" t="n">
        <v>285948</v>
      </c>
      <c r="R45" s="18" t="n">
        <v>267590</v>
      </c>
      <c r="S45" s="20" t="n">
        <v>1949413</v>
      </c>
      <c r="T45" s="6" t="n">
        <v>5</v>
      </c>
      <c r="U45" s="5" t="inlineStr">
        <is>
          <t>설계 / 남서권역 도시개발사업 조사설계용역외 2,031 | CM / OO부대 이전 및 부지개발사업 건설사업관리 용 | O&amp;M / 의정부시 장암공공하수처리시설 관리대행 용역외</t>
        </is>
      </c>
      <c r="V45" s="21">
        <f>HYPERLINK("https://dart.fss.or.kr/dsaf001/main.do?rcpNo=20260813001545", "공시열람")</f>
        <v/>
      </c>
    </row>
    <row r="46">
      <c r="A46" s="5" t="inlineStr">
        <is>
          <t>고려제강</t>
        </is>
      </c>
      <c r="B46" s="6" t="inlineStr">
        <is>
          <t>002240</t>
        </is>
      </c>
      <c r="C46" s="6" t="inlineStr">
        <is>
          <t>2025Q4</t>
        </is>
      </c>
      <c r="D46" s="6" t="inlineStr">
        <is>
          <t>20260319</t>
        </is>
      </c>
      <c r="E46" s="16" t="n">
        <v>50350</v>
      </c>
      <c r="F46" s="16" t="n">
        <v>37514</v>
      </c>
      <c r="G46" s="16" t="n">
        <v>12836</v>
      </c>
      <c r="H46" s="6" t="inlineStr"/>
      <c r="I46" s="17" t="n">
        <v>-11.4</v>
      </c>
      <c r="J46" s="18" t="n">
        <v>22323</v>
      </c>
      <c r="K46" s="19" t="n">
        <v>24120</v>
      </c>
      <c r="L46" s="18" t="n">
        <v>24889</v>
      </c>
      <c r="M46" s="19" t="n">
        <v>23003</v>
      </c>
      <c r="N46" s="18" t="n">
        <v>23470</v>
      </c>
      <c r="O46" s="19" t="n">
        <v>7817</v>
      </c>
      <c r="P46" s="18" t="n">
        <v>14486</v>
      </c>
      <c r="Q46" s="19" t="n">
        <v>12836</v>
      </c>
      <c r="R46" s="18" t="inlineStr"/>
      <c r="S46" s="20" t="inlineStr"/>
      <c r="T46" s="6" t="n">
        <v>1</v>
      </c>
      <c r="U46" s="5" t="inlineStr">
        <is>
          <t>SHF</t>
        </is>
      </c>
      <c r="V46" s="21">
        <f>HYPERLINK("https://dart.fss.or.kr/dsaf001/main.do?rcpNo=20260319001226", "공시열람")</f>
        <v/>
      </c>
    </row>
    <row r="47">
      <c r="A47" s="5" t="inlineStr">
        <is>
          <t>삼일기업공사</t>
        </is>
      </c>
      <c r="B47" s="6" t="inlineStr">
        <is>
          <t>002290</t>
        </is>
      </c>
      <c r="C47" s="6" t="inlineStr">
        <is>
          <t>2026Q2</t>
        </is>
      </c>
      <c r="D47" s="6" t="inlineStr">
        <is>
          <t>20260814</t>
        </is>
      </c>
      <c r="E47" s="16" t="n">
        <v>357764740</v>
      </c>
      <c r="F47" s="16" t="n">
        <v>212470673</v>
      </c>
      <c r="G47" s="16" t="n">
        <v>145294067</v>
      </c>
      <c r="H47" s="6" t="inlineStr">
        <is>
          <t>천원</t>
        </is>
      </c>
      <c r="I47" s="17" t="n">
        <v>-18.4</v>
      </c>
      <c r="J47" s="18" t="n">
        <v>132313455</v>
      </c>
      <c r="K47" s="19" t="n">
        <v>130564762</v>
      </c>
      <c r="L47" s="18" t="n">
        <v>97951190</v>
      </c>
      <c r="M47" s="19" t="n">
        <v>60762873</v>
      </c>
      <c r="N47" s="18" t="n">
        <v>99052754</v>
      </c>
      <c r="O47" s="19" t="n">
        <v>134827722</v>
      </c>
      <c r="P47" s="18" t="n">
        <v>132664129</v>
      </c>
      <c r="Q47" s="19" t="n">
        <v>198358261</v>
      </c>
      <c r="R47" s="18" t="n">
        <v>178031656</v>
      </c>
      <c r="S47" s="20" t="n">
        <v>145294067</v>
      </c>
      <c r="T47" s="6" t="n">
        <v>12</v>
      </c>
      <c r="U47" s="5" t="inlineStr">
        <is>
          <t>(주)유한화학 화성공장 HC동 및 부속시설공사 / 20 | 청담동 100-19 신축공사 / 2025년 02월 /  | 건국대학교병원 외래센터 및 철골주차장 증축공사 / 20</t>
        </is>
      </c>
      <c r="V47" s="21">
        <f>HYPERLINK("https://dart.fss.or.kr/dsaf001/main.do?rcpNo=20260814003006", "공시열람")</f>
        <v/>
      </c>
    </row>
    <row r="48">
      <c r="A48" s="5" t="inlineStr">
        <is>
          <t>넥센타이어</t>
        </is>
      </c>
      <c r="B48" s="6" t="inlineStr">
        <is>
          <t>002350</t>
        </is>
      </c>
      <c r="C48" s="6" t="inlineStr">
        <is>
          <t>2026Q2</t>
        </is>
      </c>
      <c r="D48" s="6" t="inlineStr">
        <is>
          <t>20260814</t>
        </is>
      </c>
      <c r="E48" s="16" t="n">
        <v>2537733</v>
      </c>
      <c r="F48" s="16" t="n">
        <v>1689951</v>
      </c>
      <c r="G48" s="16" t="n">
        <v>847782</v>
      </c>
      <c r="H48" s="6" t="inlineStr">
        <is>
          <t>천개,백만원</t>
        </is>
      </c>
      <c r="I48" s="17" t="n">
        <v>-4.6</v>
      </c>
      <c r="J48" s="18" t="n">
        <v>762262</v>
      </c>
      <c r="K48" s="19" t="n">
        <v>774393</v>
      </c>
      <c r="L48" s="18" t="n">
        <v>780730</v>
      </c>
      <c r="M48" s="19" t="n">
        <v>712296</v>
      </c>
      <c r="N48" s="18" t="n">
        <v>844024</v>
      </c>
      <c r="O48" s="19" t="n">
        <v>798515</v>
      </c>
      <c r="P48" s="18" t="n">
        <v>799684</v>
      </c>
      <c r="Q48" s="19" t="n">
        <v>804213</v>
      </c>
      <c r="R48" s="18" t="n">
        <v>888605</v>
      </c>
      <c r="S48" s="20" t="n">
        <v>847782</v>
      </c>
      <c r="T48" s="6" t="n">
        <v>1</v>
      </c>
      <c r="U48" s="5" t="inlineStr">
        <is>
          <t>타이어 / 2026.01.01~06.30 / 수주후 2</t>
        </is>
      </c>
      <c r="V48" s="21">
        <f>HYPERLINK("https://dart.fss.or.kr/dsaf001/main.do?rcpNo=20260814003268", "공시열람")</f>
        <v/>
      </c>
    </row>
    <row r="49">
      <c r="A49" s="5" t="inlineStr">
        <is>
          <t>케이씨씨</t>
        </is>
      </c>
      <c r="B49" s="6" t="inlineStr">
        <is>
          <t>002380</t>
        </is>
      </c>
      <c r="C49" s="6" t="inlineStr">
        <is>
          <t>2026Q2</t>
        </is>
      </c>
      <c r="D49" s="6" t="inlineStr">
        <is>
          <t>20260814</t>
        </is>
      </c>
      <c r="E49" s="16" t="n">
        <v>1054569</v>
      </c>
      <c r="F49" s="16" t="n">
        <v>426810</v>
      </c>
      <c r="G49" s="16" t="n">
        <v>627758</v>
      </c>
      <c r="H49" s="6" t="inlineStr">
        <is>
          <t>백만원</t>
        </is>
      </c>
      <c r="I49" s="17" t="n">
        <v>2</v>
      </c>
      <c r="J49" s="18" t="n">
        <v>511273</v>
      </c>
      <c r="K49" s="19" t="n">
        <v>451272</v>
      </c>
      <c r="L49" s="18" t="n">
        <v>422240</v>
      </c>
      <c r="M49" s="19" t="n">
        <v>368855</v>
      </c>
      <c r="N49" s="18" t="n">
        <v>542202</v>
      </c>
      <c r="O49" s="19" t="n">
        <v>526636</v>
      </c>
      <c r="P49" s="18" t="n">
        <v>548822</v>
      </c>
      <c r="Q49" s="19" t="n">
        <v>548515</v>
      </c>
      <c r="R49" s="18" t="n">
        <v>615181</v>
      </c>
      <c r="S49" s="20" t="n">
        <v>627758</v>
      </c>
      <c r="T49" s="6" t="n">
        <v>2</v>
      </c>
      <c r="U49" s="5" t="inlineStr">
        <is>
          <t>도료 / ~ 2026.06.30 / - | 건재 / ~ 2026.06.30 / -</t>
        </is>
      </c>
      <c r="V49" s="21">
        <f>HYPERLINK("https://dart.fss.or.kr/dsaf001/main.do?rcpNo=20260814001150", "공시열람")</f>
        <v/>
      </c>
    </row>
    <row r="50">
      <c r="A50" s="5" t="inlineStr">
        <is>
          <t>범양건영</t>
        </is>
      </c>
      <c r="B50" s="6" t="inlineStr">
        <is>
          <t>002410</t>
        </is>
      </c>
      <c r="C50" s="6" t="inlineStr">
        <is>
          <t>2026Q2</t>
        </is>
      </c>
      <c r="D50" s="6" t="inlineStr">
        <is>
          <t>20260930</t>
        </is>
      </c>
      <c r="E50" s="16" t="inlineStr"/>
      <c r="F50" s="16" t="inlineStr"/>
      <c r="G50" s="16" t="n">
        <v>137572523</v>
      </c>
      <c r="H50" s="6" t="inlineStr">
        <is>
          <t>천원</t>
        </is>
      </c>
      <c r="I50" s="17" t="n">
        <v>-34.6</v>
      </c>
      <c r="J50" s="18" t="n">
        <v>490398080</v>
      </c>
      <c r="K50" s="19" t="n">
        <v>473500035</v>
      </c>
      <c r="L50" s="18" t="n">
        <v>447462735</v>
      </c>
      <c r="M50" s="19" t="n">
        <v>432682266</v>
      </c>
      <c r="N50" s="18" t="n">
        <v>401762920</v>
      </c>
      <c r="O50" s="19" t="n">
        <v>417055191</v>
      </c>
      <c r="P50" s="18" t="n">
        <v>395424825</v>
      </c>
      <c r="Q50" s="19" t="n">
        <v>210549749</v>
      </c>
      <c r="R50" s="18" t="n">
        <v>210433482</v>
      </c>
      <c r="S50" s="20" t="n">
        <v>137572523</v>
      </c>
      <c r="T50" s="6" t="n">
        <v>2</v>
      </c>
      <c r="U50" s="5" t="inlineStr">
        <is>
          <t>건축 및 모듈러 / (6,219,815) | 토목 / (16,115,147)</t>
        </is>
      </c>
      <c r="V50" s="21">
        <f>HYPERLINK("https://dart.fss.or.kr/dsaf001/main.do?rcpNo=20260930000356", "공시열람")</f>
        <v/>
      </c>
    </row>
    <row r="51">
      <c r="A51" s="5" t="inlineStr">
        <is>
          <t>HS화성</t>
        </is>
      </c>
      <c r="B51" s="6" t="inlineStr">
        <is>
          <t>002460</t>
        </is>
      </c>
      <c r="C51" s="6" t="inlineStr">
        <is>
          <t>2026Q2</t>
        </is>
      </c>
      <c r="D51" s="6" t="inlineStr">
        <is>
          <t>20260814</t>
        </is>
      </c>
      <c r="E51" s="16" t="n">
        <v>3145198</v>
      </c>
      <c r="F51" s="16" t="inlineStr"/>
      <c r="G51" s="16" t="n">
        <v>2562289</v>
      </c>
      <c r="H51" s="6" t="inlineStr">
        <is>
          <t>백만원</t>
        </is>
      </c>
      <c r="I51" s="17" t="n">
        <v>14.3</v>
      </c>
      <c r="J51" s="18" t="n">
        <v>1364980</v>
      </c>
      <c r="K51" s="19" t="n">
        <v>1288689</v>
      </c>
      <c r="L51" s="18" t="n">
        <v>1253905</v>
      </c>
      <c r="M51" s="19" t="n">
        <v>1252602</v>
      </c>
      <c r="N51" s="18" t="n">
        <v>1341200</v>
      </c>
      <c r="O51" s="19" t="n">
        <v>1712295</v>
      </c>
      <c r="P51" s="18" t="n">
        <v>1835295</v>
      </c>
      <c r="Q51" s="19" t="n">
        <v>2237073</v>
      </c>
      <c r="R51" s="18" t="n">
        <v>2241561</v>
      </c>
      <c r="S51" s="20" t="n">
        <v>2562289</v>
      </c>
      <c r="T51" s="6" t="n">
        <v>56</v>
      </c>
      <c r="U51" s="5" t="inlineStr">
        <is>
          <t>건축 / 관급 / 한국토지주택공사 / 고양창릉 S-3B | 건축 / 민간 / (주)대구대명대한제59호위탁관리부동산 | 건축 / 민간 / (주)대신울산 제3호위탁관리부동산투자</t>
        </is>
      </c>
      <c r="V51" s="21">
        <f>HYPERLINK("https://dart.fss.or.kr/dsaf001/main.do?rcpNo=20260814003892", "공시열람")</f>
        <v/>
      </c>
    </row>
    <row r="52">
      <c r="A52" s="5" t="inlineStr">
        <is>
          <t>진흥기업</t>
        </is>
      </c>
      <c r="B52" s="6" t="inlineStr">
        <is>
          <t>002780</t>
        </is>
      </c>
      <c r="C52" s="6" t="inlineStr">
        <is>
          <t>2026Q2</t>
        </is>
      </c>
      <c r="D52" s="6" t="inlineStr">
        <is>
          <t>20260813</t>
        </is>
      </c>
      <c r="E52" s="16" t="n">
        <v>5358062</v>
      </c>
      <c r="F52" s="16" t="n">
        <v>1556831</v>
      </c>
      <c r="G52" s="16" t="n">
        <v>3801231</v>
      </c>
      <c r="H52" s="6" t="inlineStr">
        <is>
          <t>백만원</t>
        </is>
      </c>
      <c r="I52" s="17" t="n">
        <v>-2.5</v>
      </c>
      <c r="J52" s="18" t="n">
        <v>2518591</v>
      </c>
      <c r="K52" s="19" t="n">
        <v>2405005</v>
      </c>
      <c r="L52" s="18" t="n">
        <v>2714239</v>
      </c>
      <c r="M52" s="19" t="n">
        <v>3021925</v>
      </c>
      <c r="N52" s="18" t="n">
        <v>3042947</v>
      </c>
      <c r="O52" s="19" t="n">
        <v>3252344</v>
      </c>
      <c r="P52" s="18" t="n">
        <v>3348649</v>
      </c>
      <c r="Q52" s="19" t="n">
        <v>3531186</v>
      </c>
      <c r="R52" s="18" t="n">
        <v>3898782</v>
      </c>
      <c r="S52" s="20" t="n">
        <v>3801231</v>
      </c>
      <c r="T52" s="6" t="n">
        <v>53</v>
      </c>
      <c r="U52" s="5" t="inlineStr">
        <is>
          <t>민간건축 / 대전대사1구역재개발 / 대사동1구역재개발정 | 민간건축 / 기타 | 민간건축 / 대전선화주상복합(도환사업) / 선화2구역도</t>
        </is>
      </c>
      <c r="V52" s="21">
        <f>HYPERLINK("https://dart.fss.or.kr/dsaf001/main.do?rcpNo=20260813001622", "공시열람")</f>
        <v/>
      </c>
    </row>
    <row r="53">
      <c r="A53" s="5" t="inlineStr">
        <is>
          <t>SUN&amp;L</t>
        </is>
      </c>
      <c r="B53" s="6" t="inlineStr">
        <is>
          <t>002820</t>
        </is>
      </c>
      <c r="C53" s="6" t="inlineStr">
        <is>
          <t>2026Q2</t>
        </is>
      </c>
      <c r="D53" s="6" t="inlineStr">
        <is>
          <t>20260814</t>
        </is>
      </c>
      <c r="E53" s="16" t="n">
        <v>275855</v>
      </c>
      <c r="F53" s="16" t="n">
        <v>202589</v>
      </c>
      <c r="G53" s="16" t="n">
        <v>73265</v>
      </c>
      <c r="H53" s="6" t="inlineStr">
        <is>
          <t>백만원</t>
        </is>
      </c>
      <c r="I53" s="17" t="n">
        <v>-3.5</v>
      </c>
      <c r="J53" s="18" t="n">
        <v>133178</v>
      </c>
      <c r="K53" s="19" t="n">
        <v>120539</v>
      </c>
      <c r="L53" s="18" t="n">
        <v>130285</v>
      </c>
      <c r="M53" s="19" t="n">
        <v>105659</v>
      </c>
      <c r="N53" s="18" t="n">
        <v>109549</v>
      </c>
      <c r="O53" s="19" t="n">
        <v>93366</v>
      </c>
      <c r="P53" s="18" t="n">
        <v>73982</v>
      </c>
      <c r="Q53" s="19" t="n">
        <v>70321</v>
      </c>
      <c r="R53" s="18" t="n">
        <v>75893</v>
      </c>
      <c r="S53" s="20" t="n">
        <v>73265</v>
      </c>
      <c r="T53" s="6" t="n">
        <v>3</v>
      </c>
      <c r="U53" s="5" t="inlineStr">
        <is>
          <t>㈜선앤엘인테리어 / 인테리어 | ㈜선앤엘인테리어 / 목창호 | ㈜선앤엘인테리어 / 가구</t>
        </is>
      </c>
      <c r="V53" s="21">
        <f>HYPERLINK("https://dart.fss.or.kr/dsaf001/main.do?rcpNo=20260814002113", "공시열람")</f>
        <v/>
      </c>
    </row>
    <row r="54">
      <c r="A54" s="5" t="inlineStr">
        <is>
          <t>금호건설</t>
        </is>
      </c>
      <c r="B54" s="6" t="inlineStr">
        <is>
          <t>002990</t>
        </is>
      </c>
      <c r="C54" s="6" t="inlineStr">
        <is>
          <t>2026Q2</t>
        </is>
      </c>
      <c r="D54" s="6" t="inlineStr">
        <is>
          <t>20260813</t>
        </is>
      </c>
      <c r="E54" s="16" t="n">
        <v>15943977</v>
      </c>
      <c r="F54" s="16" t="n">
        <v>6472129</v>
      </c>
      <c r="G54" s="16" t="n">
        <v>9471848</v>
      </c>
      <c r="H54" s="6" t="inlineStr">
        <is>
          <t>백만원</t>
        </is>
      </c>
      <c r="I54" s="17" t="n">
        <v>-1.1</v>
      </c>
      <c r="J54" s="18" t="n">
        <v>6801509</v>
      </c>
      <c r="K54" s="19" t="n">
        <v>7268866</v>
      </c>
      <c r="L54" s="18" t="n">
        <v>7105738</v>
      </c>
      <c r="M54" s="19" t="n">
        <v>7730776</v>
      </c>
      <c r="N54" s="18" t="n">
        <v>7378710</v>
      </c>
      <c r="O54" s="19" t="n">
        <v>7439841</v>
      </c>
      <c r="P54" s="18" t="n">
        <v>8223668</v>
      </c>
      <c r="Q54" s="19" t="n">
        <v>8044293</v>
      </c>
      <c r="R54" s="18" t="n">
        <v>9573011</v>
      </c>
      <c r="S54" s="20" t="n">
        <v>9471848</v>
      </c>
      <c r="T54" s="6" t="n">
        <v>143</v>
      </c>
      <c r="U54" s="5" t="inlineStr">
        <is>
          <t>국내건축(민간) / 국내건축 민간공사 계 | 국내토목 계(A) | 국내건축(관급) / 국내건축 관급공사 계</t>
        </is>
      </c>
      <c r="V54" s="21">
        <f>HYPERLINK("https://dart.fss.or.kr/dsaf001/main.do?rcpNo=20260813000466", "공시열람")</f>
        <v/>
      </c>
    </row>
    <row r="55">
      <c r="A55" s="5" t="inlineStr">
        <is>
          <t>혜인</t>
        </is>
      </c>
      <c r="B55" s="6" t="inlineStr">
        <is>
          <t>003010</t>
        </is>
      </c>
      <c r="C55" s="6" t="inlineStr">
        <is>
          <t>2024Q4</t>
        </is>
      </c>
      <c r="D55" s="6" t="inlineStr">
        <is>
          <t>20250804</t>
        </is>
      </c>
      <c r="E55" s="16" t="n">
        <v>24090</v>
      </c>
      <c r="F55" s="16" t="inlineStr"/>
      <c r="G55" s="16" t="n">
        <v>24090</v>
      </c>
      <c r="H55" s="6" t="inlineStr">
        <is>
          <t>백만원</t>
        </is>
      </c>
      <c r="I55" s="17" t="n">
        <v>-59.3</v>
      </c>
      <c r="J55" s="18" t="n">
        <v>82415</v>
      </c>
      <c r="K55" s="19" t="n">
        <v>59180</v>
      </c>
      <c r="L55" s="18" t="n">
        <v>59180</v>
      </c>
      <c r="M55" s="19" t="n">
        <v>24090</v>
      </c>
      <c r="N55" s="18" t="inlineStr"/>
      <c r="O55" s="19" t="inlineStr"/>
      <c r="P55" s="18" t="inlineStr"/>
      <c r="Q55" s="19" t="inlineStr"/>
      <c r="R55" s="18" t="inlineStr"/>
      <c r="S55" s="20" t="inlineStr"/>
      <c r="T55" s="6" t="n">
        <v>1</v>
      </c>
      <c r="U55" s="5" t="inlineStr">
        <is>
          <t>엔진 및 감속기(#2) / 23.11.07 / 24.1</t>
        </is>
      </c>
      <c r="V55" s="21">
        <f>HYPERLINK("https://dart.fss.or.kr/dsaf001/main.do?rcpNo=20250804000178", "공시열람")</f>
        <v/>
      </c>
    </row>
    <row r="56">
      <c r="A56" s="5" t="inlineStr">
        <is>
          <t>세아제강지주</t>
        </is>
      </c>
      <c r="B56" s="6" t="inlineStr">
        <is>
          <t>003030</t>
        </is>
      </c>
      <c r="C56" s="6" t="inlineStr">
        <is>
          <t>2026Q2</t>
        </is>
      </c>
      <c r="D56" s="6" t="inlineStr">
        <is>
          <t>20260814</t>
        </is>
      </c>
      <c r="E56" s="16" t="n">
        <v>718009</v>
      </c>
      <c r="F56" s="16" t="n">
        <v>277400</v>
      </c>
      <c r="G56" s="16" t="n">
        <v>430249</v>
      </c>
      <c r="H56" s="6" t="inlineStr">
        <is>
          <t>백만원</t>
        </is>
      </c>
      <c r="I56" s="17" t="n">
        <v>-16.7</v>
      </c>
      <c r="J56" s="18" t="n">
        <v>59518</v>
      </c>
      <c r="K56" s="19" t="n">
        <v>39297</v>
      </c>
      <c r="L56" s="18" t="n">
        <v>28941</v>
      </c>
      <c r="M56" s="19" t="n">
        <v>28312</v>
      </c>
      <c r="N56" s="18" t="n">
        <v>276549</v>
      </c>
      <c r="O56" s="19" t="n">
        <v>154207</v>
      </c>
      <c r="P56" s="18" t="n">
        <v>93147</v>
      </c>
      <c r="Q56" s="19" t="n">
        <v>179498</v>
      </c>
      <c r="R56" s="18" t="n">
        <v>516454</v>
      </c>
      <c r="S56" s="20" t="n">
        <v>430249</v>
      </c>
      <c r="T56" s="6" t="n">
        <v>4</v>
      </c>
      <c r="U56" s="5" t="inlineStr">
        <is>
          <t>Inox Tech S.p.A. 주2) / Dorra 프 | (주)세아제강 주1) / 천연가스 이송용 PIPE 공급 | Inox Tech S.p.A. 주2) / Qatar E</t>
        </is>
      </c>
      <c r="V56" s="21">
        <f>HYPERLINK("https://dart.fss.or.kr/dsaf001/main.do?rcpNo=20260814003173", "공시열람")</f>
        <v/>
      </c>
    </row>
    <row r="57">
      <c r="A57" s="5" t="inlineStr">
        <is>
          <t>에이프로젠바이오로직스</t>
        </is>
      </c>
      <c r="B57" s="6" t="inlineStr">
        <is>
          <t>003060</t>
        </is>
      </c>
      <c r="C57" s="6" t="inlineStr">
        <is>
          <t>2025Q4</t>
        </is>
      </c>
      <c r="D57" s="6" t="inlineStr">
        <is>
          <t>20260320</t>
        </is>
      </c>
      <c r="E57" s="16" t="n">
        <v>11420</v>
      </c>
      <c r="F57" s="16" t="n">
        <v>11384</v>
      </c>
      <c r="G57" s="16" t="n">
        <v>36</v>
      </c>
      <c r="H57" s="6" t="inlineStr">
        <is>
          <t>백만원</t>
        </is>
      </c>
      <c r="I57" s="17" t="n">
        <v>0</v>
      </c>
      <c r="J57" s="18" t="inlineStr"/>
      <c r="K57" s="19" t="n">
        <v>7968946</v>
      </c>
      <c r="L57" s="18" t="inlineStr"/>
      <c r="M57" s="19" t="n">
        <v>1711</v>
      </c>
      <c r="N57" s="18" t="n">
        <v>1501</v>
      </c>
      <c r="O57" s="19" t="n">
        <v>1693</v>
      </c>
      <c r="P57" s="18" t="n">
        <v>36</v>
      </c>
      <c r="Q57" s="19" t="n">
        <v>36</v>
      </c>
      <c r="R57" s="18" t="inlineStr"/>
      <c r="S57" s="20" t="inlineStr"/>
      <c r="T57" s="6" t="n">
        <v>2</v>
      </c>
      <c r="U57" s="5" t="inlineStr">
        <is>
          <t>의약품 / AP209(DP) / 2025.07.09 | 의약품 / AP209(DS) / 2025.02.20</t>
        </is>
      </c>
      <c r="V57" s="21">
        <f>HYPERLINK("https://dart.fss.or.kr/dsaf001/main.do?rcpNo=20260320000881", "공시열람")</f>
        <v/>
      </c>
    </row>
    <row r="58">
      <c r="A58" s="5" t="inlineStr">
        <is>
          <t>코오롱글로벌</t>
        </is>
      </c>
      <c r="B58" s="6" t="inlineStr">
        <is>
          <t>003070</t>
        </is>
      </c>
      <c r="C58" s="6" t="inlineStr">
        <is>
          <t>2026Q2</t>
        </is>
      </c>
      <c r="D58" s="6" t="inlineStr">
        <is>
          <t>20260814</t>
        </is>
      </c>
      <c r="E58" s="16" t="n">
        <v>17926160</v>
      </c>
      <c r="F58" s="16" t="n">
        <v>6076593</v>
      </c>
      <c r="G58" s="16" t="n">
        <v>11849567</v>
      </c>
      <c r="H58" s="6" t="inlineStr">
        <is>
          <t>백만원</t>
        </is>
      </c>
      <c r="I58" s="17" t="n">
        <v>3.1</v>
      </c>
      <c r="J58" s="18" t="n">
        <v>9217914</v>
      </c>
      <c r="K58" s="19" t="n">
        <v>11629837</v>
      </c>
      <c r="L58" s="18" t="n">
        <v>11731019</v>
      </c>
      <c r="M58" s="19" t="n">
        <v>11658897</v>
      </c>
      <c r="N58" s="18" t="n">
        <v>12013707</v>
      </c>
      <c r="O58" s="19" t="n">
        <v>11259057</v>
      </c>
      <c r="P58" s="18" t="n">
        <v>11478821</v>
      </c>
      <c r="Q58" s="19" t="n">
        <v>11874286</v>
      </c>
      <c r="R58" s="18" t="n">
        <v>11488872</v>
      </c>
      <c r="S58" s="20" t="n">
        <v>11849567</v>
      </c>
      <c r="T58" s="6" t="n">
        <v>21</v>
      </c>
      <c r="U58" s="5" t="inlineStr">
        <is>
          <t>기타 프로젝트 | 부산엄궁 1구역 주택재개발정비사업 / 2019-07-2 | 대구 신암1구역 재개발 / 2018-05-31 / 20</t>
        </is>
      </c>
      <c r="V58" s="21">
        <f>HYPERLINK("https://dart.fss.or.kr/dsaf001/main.do?rcpNo=20260814003744", "공시열람")</f>
        <v/>
      </c>
    </row>
    <row r="59">
      <c r="A59" s="5" t="inlineStr">
        <is>
          <t>선광</t>
        </is>
      </c>
      <c r="B59" s="6" t="inlineStr">
        <is>
          <t>003100</t>
        </is>
      </c>
      <c r="C59" s="6" t="inlineStr">
        <is>
          <t>2026Q1</t>
        </is>
      </c>
      <c r="D59" s="6" t="inlineStr">
        <is>
          <t>20260515</t>
        </is>
      </c>
      <c r="E59" s="16" t="inlineStr"/>
      <c r="F59" s="16" t="inlineStr"/>
      <c r="G59" s="16" t="n">
        <v>181591424500</v>
      </c>
      <c r="H59" s="6" t="inlineStr">
        <is>
          <t>원</t>
        </is>
      </c>
      <c r="I59" s="17" t="n">
        <v>96867</v>
      </c>
      <c r="J59" s="18" t="n">
        <v>25741800</v>
      </c>
      <c r="K59" s="19" t="n">
        <v>22881600</v>
      </c>
      <c r="L59" s="18" t="n">
        <v>22881600</v>
      </c>
      <c r="M59" s="19" t="n">
        <v>26458600</v>
      </c>
      <c r="N59" s="18" t="n">
        <v>16636635</v>
      </c>
      <c r="O59" s="19" t="n">
        <v>81496527</v>
      </c>
      <c r="P59" s="18" t="n">
        <v>187271400</v>
      </c>
      <c r="Q59" s="19" t="inlineStr"/>
      <c r="R59" s="18" t="n">
        <v>181591424500</v>
      </c>
      <c r="S59" s="20" t="inlineStr"/>
      <c r="T59" s="6" t="n">
        <v>2</v>
      </c>
      <c r="U59" s="5" t="inlineStr">
        <is>
          <t>당진 양곡터미널 건설 | 인천 SILO 입고컨베이어 교체</t>
        </is>
      </c>
      <c r="V59" s="21">
        <f>HYPERLINK("https://dart.fss.or.kr/dsaf001/main.do?rcpNo=20260515002235", "공시열람")</f>
        <v/>
      </c>
    </row>
    <row r="60">
      <c r="A60" s="5" t="inlineStr">
        <is>
          <t>디아이</t>
        </is>
      </c>
      <c r="B60" s="6" t="inlineStr">
        <is>
          <t>003160</t>
        </is>
      </c>
      <c r="C60" s="6" t="inlineStr">
        <is>
          <t>2026Q2</t>
        </is>
      </c>
      <c r="D60" s="6" t="inlineStr">
        <is>
          <t>20260814</t>
        </is>
      </c>
      <c r="E60" s="16" t="n">
        <v>528098</v>
      </c>
      <c r="F60" s="16" t="n">
        <v>266617</v>
      </c>
      <c r="G60" s="16" t="n">
        <v>261481</v>
      </c>
      <c r="H60" s="6" t="inlineStr">
        <is>
          <t>백만원</t>
        </is>
      </c>
      <c r="I60" s="17" t="n">
        <v>13.6</v>
      </c>
      <c r="J60" s="18" t="n">
        <v>59490</v>
      </c>
      <c r="K60" s="19" t="n">
        <v>63390</v>
      </c>
      <c r="L60" s="18" t="n">
        <v>61234</v>
      </c>
      <c r="M60" s="19" t="n">
        <v>148764</v>
      </c>
      <c r="N60" s="18" t="n">
        <v>174406</v>
      </c>
      <c r="O60" s="19" t="n">
        <v>138140</v>
      </c>
      <c r="P60" s="18" t="n">
        <v>72366</v>
      </c>
      <c r="Q60" s="19" t="n">
        <v>57754</v>
      </c>
      <c r="R60" s="18" t="n">
        <v>230255</v>
      </c>
      <c r="S60" s="20" t="n">
        <v>261481</v>
      </c>
      <c r="T60" s="6" t="n">
        <v>3</v>
      </c>
      <c r="U60" s="5" t="inlineStr">
        <is>
          <t>반도체검사장비 / - | 반도체검사보드 / - | 전자파장해대책용부품 / -</t>
        </is>
      </c>
      <c r="V60" s="21">
        <f>HYPERLINK("https://dart.fss.or.kr/dsaf001/main.do?rcpNo=20260814001182", "공시열람")</f>
        <v/>
      </c>
    </row>
    <row r="61">
      <c r="A61" s="5" t="inlineStr">
        <is>
          <t>한일홀딩스</t>
        </is>
      </c>
      <c r="B61" s="6" t="inlineStr">
        <is>
          <t>003300</t>
        </is>
      </c>
      <c r="C61" s="6" t="inlineStr">
        <is>
          <t>2026Q2</t>
        </is>
      </c>
      <c r="D61" s="6" t="inlineStr">
        <is>
          <t>20260814</t>
        </is>
      </c>
      <c r="E61" s="16" t="n">
        <v>363217</v>
      </c>
      <c r="F61" s="16" t="n">
        <v>180146</v>
      </c>
      <c r="G61" s="16" t="n">
        <v>183071</v>
      </c>
      <c r="H61" s="6" t="inlineStr">
        <is>
          <t>백만원</t>
        </is>
      </c>
      <c r="I61" s="17" t="n">
        <v>2.7</v>
      </c>
      <c r="J61" s="18" t="n">
        <v>259195</v>
      </c>
      <c r="K61" s="19" t="n">
        <v>220014</v>
      </c>
      <c r="L61" s="18" t="n">
        <v>204122</v>
      </c>
      <c r="M61" s="19" t="n">
        <v>226837</v>
      </c>
      <c r="N61" s="18" t="n">
        <v>214066</v>
      </c>
      <c r="O61" s="19" t="n">
        <v>215258</v>
      </c>
      <c r="P61" s="18" t="n">
        <v>195065</v>
      </c>
      <c r="Q61" s="19" t="n">
        <v>193955</v>
      </c>
      <c r="R61" s="18" t="n">
        <v>178189</v>
      </c>
      <c r="S61" s="20" t="n">
        <v>183071</v>
      </c>
      <c r="T61" s="6" t="n">
        <v>22</v>
      </c>
      <c r="U61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61" s="21">
        <f>HYPERLINK("https://dart.fss.or.kr/dsaf001/main.do?rcpNo=20260814003713", "공시열람")</f>
        <v/>
      </c>
    </row>
    <row r="62">
      <c r="A62" s="5" t="inlineStr">
        <is>
          <t>대한항공</t>
        </is>
      </c>
      <c r="B62" s="6" t="inlineStr">
        <is>
          <t>003490</t>
        </is>
      </c>
      <c r="C62" s="6" t="inlineStr">
        <is>
          <t>2026Q2</t>
        </is>
      </c>
      <c r="D62" s="6" t="inlineStr">
        <is>
          <t>20260814</t>
        </is>
      </c>
      <c r="E62" s="16" t="n">
        <v>2526</v>
      </c>
      <c r="F62" s="16" t="n">
        <v>1418</v>
      </c>
      <c r="G62" s="16" t="n">
        <v>1108</v>
      </c>
      <c r="H62" s="6" t="inlineStr">
        <is>
          <t>억원</t>
        </is>
      </c>
      <c r="I62" s="17" t="n">
        <v>-19.1</v>
      </c>
      <c r="J62" s="18" t="inlineStr"/>
      <c r="K62" s="19" t="inlineStr"/>
      <c r="L62" s="18" t="inlineStr"/>
      <c r="M62" s="19" t="inlineStr"/>
      <c r="N62" s="18" t="n">
        <v>473</v>
      </c>
      <c r="O62" s="19" t="n">
        <v>324</v>
      </c>
      <c r="P62" s="18" t="n">
        <v>634</v>
      </c>
      <c r="Q62" s="19" t="n">
        <v>768</v>
      </c>
      <c r="R62" s="18" t="n">
        <v>1370</v>
      </c>
      <c r="S62" s="20" t="n">
        <v>1108</v>
      </c>
      <c r="T62" s="6" t="n">
        <v>2</v>
      </c>
      <c r="U62" s="5" t="inlineStr">
        <is>
          <t>운영유지보수 / - | 컨설팅/SI 등 / -</t>
        </is>
      </c>
      <c r="V62" s="21">
        <f>HYPERLINK("https://dart.fss.or.kr/dsaf001/main.do?rcpNo=20260814002803", "공시열람")</f>
        <v/>
      </c>
    </row>
    <row r="63">
      <c r="A63" s="5" t="inlineStr">
        <is>
          <t>LG</t>
        </is>
      </c>
      <c r="B63" s="6" t="inlineStr">
        <is>
          <t>003550</t>
        </is>
      </c>
      <c r="C63" s="6" t="inlineStr">
        <is>
          <t>2026Q2</t>
        </is>
      </c>
      <c r="D63" s="6" t="inlineStr">
        <is>
          <t>20260814</t>
        </is>
      </c>
      <c r="E63" s="16" t="n">
        <v>2711885</v>
      </c>
      <c r="F63" s="16" t="n">
        <v>1318716</v>
      </c>
      <c r="G63" s="16" t="n">
        <v>5347295</v>
      </c>
      <c r="H63" s="6" t="inlineStr">
        <is>
          <t>백만원</t>
        </is>
      </c>
      <c r="I63" s="17" t="n">
        <v>31.5</v>
      </c>
      <c r="J63" s="18" t="inlineStr"/>
      <c r="K63" s="19" t="inlineStr"/>
      <c r="L63" s="18" t="inlineStr"/>
      <c r="M63" s="19" t="n">
        <v>3452105</v>
      </c>
      <c r="N63" s="18" t="n">
        <v>3537813</v>
      </c>
      <c r="O63" s="19" t="n">
        <v>3989944</v>
      </c>
      <c r="P63" s="18" t="n">
        <v>3758032</v>
      </c>
      <c r="Q63" s="19" t="n">
        <v>3954126</v>
      </c>
      <c r="R63" s="18" t="n">
        <v>4065203</v>
      </c>
      <c r="S63" s="20" t="n">
        <v>5347295</v>
      </c>
      <c r="T63" s="6" t="n">
        <v>1</v>
      </c>
      <c r="U63" s="5" t="inlineStr">
        <is>
          <t>시스템구축 및 운영 / -</t>
        </is>
      </c>
      <c r="V63" s="21">
        <f>HYPERLINK("https://dart.fss.or.kr/dsaf001/main.do?rcpNo=20260814002972", "공시열람")</f>
        <v/>
      </c>
    </row>
    <row r="64">
      <c r="A64" s="5" t="inlineStr">
        <is>
          <t>포스코퓨처엠</t>
        </is>
      </c>
      <c r="B64" s="6" t="inlineStr">
        <is>
          <t>003670</t>
        </is>
      </c>
      <c r="C64" s="6" t="inlineStr">
        <is>
          <t>2026Q2</t>
        </is>
      </c>
      <c r="D64" s="6" t="inlineStr">
        <is>
          <t>20260902</t>
        </is>
      </c>
      <c r="E64" s="16" t="n">
        <v>39428</v>
      </c>
      <c r="F64" s="16" t="n">
        <v>13470</v>
      </c>
      <c r="G64" s="16" t="n">
        <v>25958</v>
      </c>
      <c r="H64" s="6" t="inlineStr">
        <is>
          <t>백만원</t>
        </is>
      </c>
      <c r="I64" s="17" t="n">
        <v>-28.2</v>
      </c>
      <c r="J64" s="18" t="n">
        <v>74804</v>
      </c>
      <c r="K64" s="19" t="n">
        <v>57316</v>
      </c>
      <c r="L64" s="18" t="n">
        <v>48011</v>
      </c>
      <c r="M64" s="19" t="n">
        <v>24584</v>
      </c>
      <c r="N64" s="18" t="n">
        <v>55983</v>
      </c>
      <c r="O64" s="19" t="n">
        <v>36149</v>
      </c>
      <c r="P64" s="18" t="n">
        <v>35102</v>
      </c>
      <c r="Q64" s="19" t="n">
        <v>30175</v>
      </c>
      <c r="R64" s="18" t="n">
        <v>36130</v>
      </c>
      <c r="S64" s="20" t="n">
        <v>25958</v>
      </c>
      <c r="T64" s="6" t="n">
        <v>4</v>
      </c>
      <c r="U64" s="5" t="inlineStr">
        <is>
          <t>광양 2고로 2차개수 / 2025-03-04 / 202 | 포항 2열연 4가열로 합리화 / 2026-04-07 / | 현대제철 당진제철소 CDQ 신설 내화물공사 / 2022</t>
        </is>
      </c>
      <c r="V64" s="21">
        <f>HYPERLINK("https://dart.fss.or.kr/dsaf001/main.do?rcpNo=20260902000346", "공시열람")</f>
        <v/>
      </c>
    </row>
    <row r="65">
      <c r="A65" s="5" t="inlineStr">
        <is>
          <t>삼영</t>
        </is>
      </c>
      <c r="B65" s="6" t="inlineStr">
        <is>
          <t>003720</t>
        </is>
      </c>
      <c r="C65" s="6" t="inlineStr">
        <is>
          <t>2026Q2</t>
        </is>
      </c>
      <c r="D65" s="6" t="inlineStr">
        <is>
          <t>20260813</t>
        </is>
      </c>
      <c r="E65" s="16" t="inlineStr"/>
      <c r="F65" s="16" t="inlineStr"/>
      <c r="G65" s="16" t="n">
        <v>956480</v>
      </c>
      <c r="H65" s="6" t="inlineStr"/>
      <c r="I65" s="17" t="n">
        <v>-45.1</v>
      </c>
      <c r="J65" s="18" t="inlineStr"/>
      <c r="K65" s="19" t="inlineStr"/>
      <c r="L65" s="18" t="inlineStr"/>
      <c r="M65" s="19" t="inlineStr"/>
      <c r="N65" s="18" t="inlineStr"/>
      <c r="O65" s="19" t="inlineStr"/>
      <c r="P65" s="18" t="n">
        <v>1878800</v>
      </c>
      <c r="Q65" s="19" t="n">
        <v>1844639</v>
      </c>
      <c r="R65" s="18" t="n">
        <v>1742158</v>
      </c>
      <c r="S65" s="20" t="n">
        <v>956480</v>
      </c>
      <c r="T65" s="6" t="n">
        <v>1</v>
      </c>
      <c r="U65" s="5" t="inlineStr">
        <is>
          <t>기초의 무형자산 및 영업권 / (98,146)</t>
        </is>
      </c>
      <c r="V65" s="21">
        <f>HYPERLINK("https://dart.fss.or.kr/dsaf001/main.do?rcpNo=20260813000317", "공시열람")</f>
        <v/>
      </c>
    </row>
    <row r="66">
      <c r="A66" s="5" t="inlineStr">
        <is>
          <t>현대제철</t>
        </is>
      </c>
      <c r="B66" s="6" t="inlineStr">
        <is>
          <t>004020</t>
        </is>
      </c>
      <c r="C66" s="6" t="inlineStr">
        <is>
          <t>2025Q2</t>
        </is>
      </c>
      <c r="D66" s="6" t="inlineStr">
        <is>
          <t>20250814</t>
        </is>
      </c>
      <c r="E66" s="16" t="n">
        <v>425200</v>
      </c>
      <c r="F66" s="16" t="n">
        <v>376634</v>
      </c>
      <c r="G66" s="16" t="n">
        <v>48566</v>
      </c>
      <c r="H66" s="6" t="inlineStr">
        <is>
          <t>천톤,백만원,VAT포함</t>
        </is>
      </c>
      <c r="I66" s="17" t="n">
        <v>-60.1</v>
      </c>
      <c r="J66" s="18" t="n">
        <v>278210</v>
      </c>
      <c r="K66" s="19" t="n">
        <v>601600</v>
      </c>
      <c r="L66" s="18" t="n">
        <v>541781</v>
      </c>
      <c r="M66" s="19" t="n">
        <v>257859</v>
      </c>
      <c r="N66" s="18" t="n">
        <v>121827</v>
      </c>
      <c r="O66" s="19" t="n">
        <v>48566</v>
      </c>
      <c r="P66" s="18" t="inlineStr"/>
      <c r="Q66" s="19" t="inlineStr"/>
      <c r="R66" s="18" t="inlineStr"/>
      <c r="S66" s="20" t="inlineStr"/>
      <c r="T66" s="6" t="n">
        <v>1</v>
      </c>
      <c r="U66" s="5" t="inlineStr">
        <is>
          <t>철근 / 조달청 / 2024.05.09</t>
        </is>
      </c>
      <c r="V66" s="21">
        <f>HYPERLINK("https://dart.fss.or.kr/dsaf001/main.do?rcpNo=20250814002944", "공시열람")</f>
        <v/>
      </c>
    </row>
    <row r="67">
      <c r="A67" s="5" t="inlineStr">
        <is>
          <t>한솔홀딩스</t>
        </is>
      </c>
      <c r="B67" s="6" t="inlineStr">
        <is>
          <t>004150</t>
        </is>
      </c>
      <c r="C67" s="6" t="inlineStr">
        <is>
          <t>2026Q2</t>
        </is>
      </c>
      <c r="D67" s="6" t="inlineStr">
        <is>
          <t>20260813</t>
        </is>
      </c>
      <c r="E67" s="16" t="n">
        <v>45702</v>
      </c>
      <c r="F67" s="16" t="n">
        <v>29643</v>
      </c>
      <c r="G67" s="16" t="n">
        <v>16059</v>
      </c>
      <c r="H67" s="6" t="inlineStr">
        <is>
          <t>백만원</t>
        </is>
      </c>
      <c r="I67" s="17" t="n">
        <v>-24.1</v>
      </c>
      <c r="J67" s="18" t="n">
        <v>32655</v>
      </c>
      <c r="K67" s="19" t="n">
        <v>24260</v>
      </c>
      <c r="L67" s="18" t="n">
        <v>18317</v>
      </c>
      <c r="M67" s="19" t="n">
        <v>18317</v>
      </c>
      <c r="N67" s="18" t="n">
        <v>25531</v>
      </c>
      <c r="O67" s="19" t="n">
        <v>23803</v>
      </c>
      <c r="P67" s="18" t="n">
        <v>21155</v>
      </c>
      <c r="Q67" s="19" t="n">
        <v>8489</v>
      </c>
      <c r="R67" s="18" t="n">
        <v>21162</v>
      </c>
      <c r="S67" s="20" t="n">
        <v>16059</v>
      </c>
      <c r="T67" s="6" t="n">
        <v>2</v>
      </c>
      <c r="U67" s="5" t="inlineStr">
        <is>
          <t>ITO / 2024-01-01 / 2026-12-31 | 기타(*) / 2024-07-05 / 2028-12-3</t>
        </is>
      </c>
      <c r="V67" s="21">
        <f>HYPERLINK("https://dart.fss.or.kr/dsaf001/main.do?rcpNo=20260813001738", "공시열람")</f>
        <v/>
      </c>
    </row>
    <row r="68">
      <c r="A68" s="5" t="inlineStr">
        <is>
          <t>서울식품공업</t>
        </is>
      </c>
      <c r="B68" s="6" t="inlineStr">
        <is>
          <t>004410</t>
        </is>
      </c>
      <c r="C68" s="6" t="inlineStr">
        <is>
          <t>2026Q2</t>
        </is>
      </c>
      <c r="D68" s="6" t="inlineStr">
        <is>
          <t>20260928</t>
        </is>
      </c>
      <c r="E68" s="16" t="n">
        <v>8636018</v>
      </c>
      <c r="F68" s="16" t="n">
        <v>3838230</v>
      </c>
      <c r="G68" s="16" t="n">
        <v>4797788</v>
      </c>
      <c r="H68" s="6" t="inlineStr">
        <is>
          <t>천원</t>
        </is>
      </c>
      <c r="I68" s="17" t="n">
        <v>-13</v>
      </c>
      <c r="J68" s="18" t="n">
        <v>1835828</v>
      </c>
      <c r="K68" s="19" t="n">
        <v>1335148</v>
      </c>
      <c r="L68" s="18" t="n">
        <v>834467</v>
      </c>
      <c r="M68" s="19" t="n">
        <v>333787</v>
      </c>
      <c r="N68" s="18" t="n">
        <v>6091087</v>
      </c>
      <c r="O68" s="19" t="n">
        <v>5568994</v>
      </c>
      <c r="P68" s="18" t="n">
        <v>6956792</v>
      </c>
      <c r="Q68" s="19" t="n">
        <v>6237124</v>
      </c>
      <c r="R68" s="18" t="n">
        <v>5517456</v>
      </c>
      <c r="S68" s="20" t="n">
        <v>4797788</v>
      </c>
      <c r="T68" s="6" t="n">
        <v>1</v>
      </c>
      <c r="U68" s="5" t="inlineStr">
        <is>
          <t>음식물자원화시설(사료,퇴비)위탁운영(계약:수원시청) /</t>
        </is>
      </c>
      <c r="V68" s="21">
        <f>HYPERLINK("https://dart.fss.or.kr/dsaf001/main.do?rcpNo=20260928000292", "공시열람")</f>
        <v/>
      </c>
    </row>
    <row r="69">
      <c r="A69" s="5" t="inlineStr">
        <is>
          <t>삼일씨엔에스</t>
        </is>
      </c>
      <c r="B69" s="6" t="inlineStr">
        <is>
          <t>004440</t>
        </is>
      </c>
      <c r="C69" s="6" t="inlineStr">
        <is>
          <t>2026Q2</t>
        </is>
      </c>
      <c r="D69" s="6" t="inlineStr">
        <is>
          <t>20260813</t>
        </is>
      </c>
      <c r="E69" s="16" t="n">
        <v>414350</v>
      </c>
      <c r="F69" s="16" t="n">
        <v>281964</v>
      </c>
      <c r="G69" s="16" t="n">
        <v>132385</v>
      </c>
      <c r="H69" s="6" t="inlineStr">
        <is>
          <t>백만원</t>
        </is>
      </c>
      <c r="I69" s="17" t="n">
        <v>34.1</v>
      </c>
      <c r="J69" s="18" t="n">
        <v>199846</v>
      </c>
      <c r="K69" s="19" t="n">
        <v>171223</v>
      </c>
      <c r="L69" s="18" t="inlineStr"/>
      <c r="M69" s="19" t="n">
        <v>101396</v>
      </c>
      <c r="N69" s="18" t="n">
        <v>67381</v>
      </c>
      <c r="O69" s="19" t="n">
        <v>59810</v>
      </c>
      <c r="P69" s="18" t="n">
        <v>44277</v>
      </c>
      <c r="Q69" s="19" t="n">
        <v>113976</v>
      </c>
      <c r="R69" s="18" t="n">
        <v>98727</v>
      </c>
      <c r="S69" s="20" t="n">
        <v>132385</v>
      </c>
      <c r="T69" s="6" t="n">
        <v>1</v>
      </c>
      <c r="U69" s="5" t="inlineStr">
        <is>
          <t>강교 및 풍력제작설치</t>
        </is>
      </c>
      <c r="V69" s="21">
        <f>HYPERLINK("https://dart.fss.or.kr/dsaf001/main.do?rcpNo=20260813001008", "공시열람")</f>
        <v/>
      </c>
    </row>
    <row r="70">
      <c r="A70" s="5" t="inlineStr">
        <is>
          <t>창해에탄올</t>
        </is>
      </c>
      <c r="B70" s="6" t="inlineStr">
        <is>
          <t>004650</t>
        </is>
      </c>
      <c r="C70" s="6" t="inlineStr">
        <is>
          <t>2026Q2</t>
        </is>
      </c>
      <c r="D70" s="6" t="inlineStr">
        <is>
          <t>20260814</t>
        </is>
      </c>
      <c r="E70" s="16" t="n">
        <v>7970579</v>
      </c>
      <c r="F70" s="16" t="n">
        <v>1638199</v>
      </c>
      <c r="G70" s="16" t="n">
        <v>6332380</v>
      </c>
      <c r="H70" s="6" t="inlineStr">
        <is>
          <t>천원</t>
        </is>
      </c>
      <c r="I70" s="17" t="n">
        <v>-9.199999999999999</v>
      </c>
      <c r="J70" s="18" t="n">
        <v>21572411</v>
      </c>
      <c r="K70" s="19" t="n">
        <v>8774192</v>
      </c>
      <c r="L70" s="18" t="n">
        <v>5000016</v>
      </c>
      <c r="M70" s="19" t="n">
        <v>3321788</v>
      </c>
      <c r="N70" s="18" t="n">
        <v>1330160</v>
      </c>
      <c r="O70" s="19" t="n">
        <v>3478257</v>
      </c>
      <c r="P70" s="18" t="n">
        <v>4196979</v>
      </c>
      <c r="Q70" s="19" t="n">
        <v>2022347</v>
      </c>
      <c r="R70" s="18" t="n">
        <v>6973773</v>
      </c>
      <c r="S70" s="20" t="n">
        <v>6332380</v>
      </c>
      <c r="T70" s="6" t="n">
        <v>5</v>
      </c>
      <c r="U70" s="5" t="inlineStr">
        <is>
          <t>국내 / 장수군청 / 금천지구 농어촌마을하수도 정비공사 | 국내 / 한국농어촌공사 전북지역본부 / 무주군 저탄소  | 국내 / 부안군청 / 부안군 폐기물처리시설 설치공사</t>
        </is>
      </c>
      <c r="V70" s="21">
        <f>HYPERLINK("https://dart.fss.or.kr/dsaf001/main.do?rcpNo=20260814003558", "공시열람")</f>
        <v/>
      </c>
    </row>
    <row r="71">
      <c r="A71" s="5" t="inlineStr">
        <is>
          <t>삼천리</t>
        </is>
      </c>
      <c r="B71" s="6" t="inlineStr">
        <is>
          <t>004690</t>
        </is>
      </c>
      <c r="C71" s="6" t="inlineStr">
        <is>
          <t>2026Q2</t>
        </is>
      </c>
      <c r="D71" s="6" t="inlineStr">
        <is>
          <t>20260813</t>
        </is>
      </c>
      <c r="E71" s="16" t="n">
        <v>522054</v>
      </c>
      <c r="F71" s="16" t="n">
        <v>365242</v>
      </c>
      <c r="G71" s="16" t="n">
        <v>156812</v>
      </c>
      <c r="H71" s="6" t="inlineStr">
        <is>
          <t>백만원</t>
        </is>
      </c>
      <c r="I71" s="17" t="n">
        <v>-16.5</v>
      </c>
      <c r="J71" s="18" t="n">
        <v>138566</v>
      </c>
      <c r="K71" s="19" t="n">
        <v>256117</v>
      </c>
      <c r="L71" s="18" t="n">
        <v>237510</v>
      </c>
      <c r="M71" s="19" t="n">
        <v>261584</v>
      </c>
      <c r="N71" s="18" t="n">
        <v>248274</v>
      </c>
      <c r="O71" s="19" t="n">
        <v>215969</v>
      </c>
      <c r="P71" s="18" t="n">
        <v>335104</v>
      </c>
      <c r="Q71" s="19" t="n">
        <v>210761</v>
      </c>
      <c r="R71" s="18" t="n">
        <v>187751</v>
      </c>
      <c r="S71" s="20" t="n">
        <v>156812</v>
      </c>
      <c r="T71" s="6" t="n">
        <v>24</v>
      </c>
      <c r="U71" s="5" t="inlineStr">
        <is>
          <t xml:space="preserve">ES / 태화하이드로젠파워1호 수소연료전지발전소사업 건 | ES / 태화하이드로젠파워2호 수소연료전지발전소사업 건 | ES / 안산 단원 2단계 연료전지 발전사업 건설공사 </t>
        </is>
      </c>
      <c r="V71" s="21">
        <f>HYPERLINK("https://dart.fss.or.kr/dsaf001/main.do?rcpNo=20260813001184", "공시열람")</f>
        <v/>
      </c>
    </row>
    <row r="72">
      <c r="A72" s="5" t="inlineStr">
        <is>
          <t>한솔테크닉스</t>
        </is>
      </c>
      <c r="B72" s="6" t="inlineStr">
        <is>
          <t>004710</t>
        </is>
      </c>
      <c r="C72" s="6" t="inlineStr">
        <is>
          <t>2025Q2</t>
        </is>
      </c>
      <c r="D72" s="6" t="inlineStr">
        <is>
          <t>20250813</t>
        </is>
      </c>
      <c r="E72" s="16" t="n">
        <v>102300</v>
      </c>
      <c r="F72" s="16" t="n">
        <v>98352</v>
      </c>
      <c r="G72" s="16" t="n">
        <v>3948</v>
      </c>
      <c r="H72" s="6" t="inlineStr">
        <is>
          <t>MW,백만원</t>
        </is>
      </c>
      <c r="I72" s="17" t="n">
        <v>0</v>
      </c>
      <c r="J72" s="18" t="n">
        <v>3948</v>
      </c>
      <c r="K72" s="19" t="n">
        <v>3948</v>
      </c>
      <c r="L72" s="18" t="n">
        <v>3948</v>
      </c>
      <c r="M72" s="19" t="n">
        <v>3948</v>
      </c>
      <c r="N72" s="18" t="n">
        <v>3948</v>
      </c>
      <c r="O72" s="19" t="n">
        <v>3948</v>
      </c>
      <c r="P72" s="18" t="inlineStr"/>
      <c r="Q72" s="19" t="inlineStr"/>
      <c r="R72" s="18" t="inlineStr"/>
      <c r="S72" s="20" t="inlineStr"/>
      <c r="T72" s="6" t="n">
        <v>1</v>
      </c>
      <c r="U72" s="5" t="inlineStr">
        <is>
          <t>태양광모듈 / 2022.12.05 / 2023.01.0</t>
        </is>
      </c>
      <c r="V72" s="21">
        <f>HYPERLINK("https://dart.fss.or.kr/dsaf001/main.do?rcpNo=20250813000963", "공시열람")</f>
        <v/>
      </c>
    </row>
    <row r="73">
      <c r="A73" s="5" t="inlineStr">
        <is>
          <t>효성</t>
        </is>
      </c>
      <c r="B73" s="6" t="inlineStr">
        <is>
          <t>004800</t>
        </is>
      </c>
      <c r="C73" s="6" t="inlineStr">
        <is>
          <t>2026Q2</t>
        </is>
      </c>
      <c r="D73" s="6" t="inlineStr">
        <is>
          <t>20260819</t>
        </is>
      </c>
      <c r="E73" s="16" t="n">
        <v>12131411</v>
      </c>
      <c r="F73" s="16" t="n">
        <v>3971095</v>
      </c>
      <c r="G73" s="16" t="n">
        <v>32958249</v>
      </c>
      <c r="H73" s="6" t="inlineStr">
        <is>
          <t>백만원</t>
        </is>
      </c>
      <c r="I73" s="17" t="n">
        <v>11.8</v>
      </c>
      <c r="J73" s="18" t="n">
        <v>656067</v>
      </c>
      <c r="K73" s="19" t="n">
        <v>40867602</v>
      </c>
      <c r="L73" s="18" t="n">
        <v>44210450</v>
      </c>
      <c r="M73" s="19" t="n">
        <v>49657494</v>
      </c>
      <c r="N73" s="18" t="n">
        <v>20976755</v>
      </c>
      <c r="O73" s="19" t="n">
        <v>21920840</v>
      </c>
      <c r="P73" s="18" t="n">
        <v>22245977</v>
      </c>
      <c r="Q73" s="19" t="n">
        <v>24389683</v>
      </c>
      <c r="R73" s="18" t="n">
        <v>29489574</v>
      </c>
      <c r="S73" s="20" t="n">
        <v>32958249</v>
      </c>
      <c r="T73" s="6" t="n">
        <v>3</v>
      </c>
      <c r="U73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" s="21">
        <f>HYPERLINK("https://dart.fss.or.kr/dsaf001/main.do?rcpNo=20260819000068", "공시열람")</f>
        <v/>
      </c>
    </row>
    <row r="74">
      <c r="A74" s="5" t="inlineStr">
        <is>
          <t>덕성</t>
        </is>
      </c>
      <c r="B74" s="6" t="inlineStr">
        <is>
          <t>004830</t>
        </is>
      </c>
      <c r="C74" s="6" t="inlineStr">
        <is>
          <t>2026Q2</t>
        </is>
      </c>
      <c r="D74" s="6" t="inlineStr">
        <is>
          <t>20260814</t>
        </is>
      </c>
      <c r="E74" s="16" t="n">
        <v>47932</v>
      </c>
      <c r="F74" s="16" t="n">
        <v>44946</v>
      </c>
      <c r="G74" s="16" t="n">
        <v>2986</v>
      </c>
      <c r="H74" s="6" t="inlineStr">
        <is>
          <t>KM,백만원</t>
        </is>
      </c>
      <c r="I74" s="17" t="n">
        <v>0.3</v>
      </c>
      <c r="J74" s="18" t="n">
        <v>2825</v>
      </c>
      <c r="K74" s="19" t="n">
        <v>2800</v>
      </c>
      <c r="L74" s="18" t="n">
        <v>3082</v>
      </c>
      <c r="M74" s="19" t="n">
        <v>2707</v>
      </c>
      <c r="N74" s="18" t="n">
        <v>3840</v>
      </c>
      <c r="O74" s="19" t="n">
        <v>4231</v>
      </c>
      <c r="P74" s="18" t="n">
        <v>3631</v>
      </c>
      <c r="Q74" s="19" t="n">
        <v>3335</v>
      </c>
      <c r="R74" s="18" t="n">
        <v>2977</v>
      </c>
      <c r="S74" s="20" t="n">
        <v>2986</v>
      </c>
      <c r="T74" s="6" t="n">
        <v>1</v>
      </c>
      <c r="U74" s="5" t="inlineStr">
        <is>
          <t>합성피혁 / 2026.1~6 / 1개월</t>
        </is>
      </c>
      <c r="V74" s="21">
        <f>HYPERLINK("https://dart.fss.or.kr/dsaf001/main.do?rcpNo=20260814002778", "공시열람")</f>
        <v/>
      </c>
    </row>
    <row r="75">
      <c r="A75" s="5" t="inlineStr">
        <is>
          <t>한신공영</t>
        </is>
      </c>
      <c r="B75" s="6" t="inlineStr">
        <is>
          <t>004960</t>
        </is>
      </c>
      <c r="C75" s="6" t="inlineStr">
        <is>
          <t>2026Q2</t>
        </is>
      </c>
      <c r="D75" s="6" t="inlineStr">
        <is>
          <t>20260814</t>
        </is>
      </c>
      <c r="E75" s="16" t="n">
        <v>55871</v>
      </c>
      <c r="F75" s="16" t="inlineStr"/>
      <c r="G75" s="16" t="n">
        <v>51470</v>
      </c>
      <c r="H75" s="6" t="inlineStr">
        <is>
          <t>억원</t>
        </is>
      </c>
      <c r="I75" s="17" t="n">
        <v>-3</v>
      </c>
      <c r="J75" s="18" t="n">
        <v>37103</v>
      </c>
      <c r="K75" s="19" t="n">
        <v>39646</v>
      </c>
      <c r="L75" s="18" t="n">
        <v>38699</v>
      </c>
      <c r="M75" s="19" t="n">
        <v>42575</v>
      </c>
      <c r="N75" s="18" t="n">
        <v>41849</v>
      </c>
      <c r="O75" s="19" t="n">
        <v>43812</v>
      </c>
      <c r="P75" s="18" t="n">
        <v>46335</v>
      </c>
      <c r="Q75" s="19" t="n">
        <v>54401</v>
      </c>
      <c r="R75" s="18" t="n">
        <v>53085</v>
      </c>
      <c r="S75" s="20" t="n">
        <v>51470</v>
      </c>
      <c r="T75" s="6" t="n">
        <v>2</v>
      </c>
      <c r="U75" s="5" t="inlineStr">
        <is>
          <t>민 간 | 관 급</t>
        </is>
      </c>
      <c r="V75" s="21">
        <f>HYPERLINK("https://dart.fss.or.kr/dsaf001/main.do?rcpNo=20260814000688", "공시열람")</f>
        <v/>
      </c>
    </row>
    <row r="76">
      <c r="A76" s="5" t="inlineStr">
        <is>
          <t>부산주공</t>
        </is>
      </c>
      <c r="B76" s="6" t="inlineStr">
        <is>
          <t>005030</t>
        </is>
      </c>
      <c r="C76" s="6" t="inlineStr">
        <is>
          <t>2026Q2</t>
        </is>
      </c>
      <c r="D76" s="6" t="inlineStr">
        <is>
          <t>20260814</t>
        </is>
      </c>
      <c r="E76" s="16" t="n">
        <v>193759</v>
      </c>
      <c r="F76" s="16" t="n">
        <v>104163</v>
      </c>
      <c r="G76" s="16" t="n">
        <v>89596</v>
      </c>
      <c r="H76" s="6" t="inlineStr">
        <is>
          <t>톤,백만원</t>
        </is>
      </c>
      <c r="I76" s="17" t="n">
        <v>-37.3</v>
      </c>
      <c r="J76" s="18" t="n">
        <v>178245</v>
      </c>
      <c r="K76" s="19" t="n">
        <v>117439</v>
      </c>
      <c r="L76" s="18" t="n">
        <v>71878</v>
      </c>
      <c r="M76" s="19" t="n">
        <v>167314</v>
      </c>
      <c r="N76" s="18" t="n">
        <v>149533</v>
      </c>
      <c r="O76" s="19" t="n">
        <v>97257</v>
      </c>
      <c r="P76" s="18" t="n">
        <v>50740</v>
      </c>
      <c r="Q76" s="19" t="n">
        <v>175741</v>
      </c>
      <c r="R76" s="18" t="n">
        <v>142877</v>
      </c>
      <c r="S76" s="20" t="n">
        <v>89596</v>
      </c>
      <c r="T76" s="6" t="n">
        <v>3</v>
      </c>
      <c r="U76" s="5" t="inlineStr">
        <is>
          <t>자동차완성부품 / - | 자동차부품 / - | 상품 / -</t>
        </is>
      </c>
      <c r="V76" s="21">
        <f>HYPERLINK("https://dart.fss.or.kr/dsaf001/main.do?rcpNo=20260814001921", "공시열람")</f>
        <v/>
      </c>
    </row>
    <row r="77">
      <c r="A77" s="5" t="inlineStr">
        <is>
          <t>코스모신소재</t>
        </is>
      </c>
      <c r="B77" s="6" t="inlineStr">
        <is>
          <t>005070</t>
        </is>
      </c>
      <c r="C77" s="6" t="inlineStr">
        <is>
          <t>2026Q2</t>
        </is>
      </c>
      <c r="D77" s="6" t="inlineStr">
        <is>
          <t>20260930</t>
        </is>
      </c>
      <c r="E77" s="16" t="n">
        <v>2504</v>
      </c>
      <c r="F77" s="16" t="n">
        <v>2504</v>
      </c>
      <c r="G77" s="16" t="n">
        <v>0</v>
      </c>
      <c r="H77" s="6" t="inlineStr">
        <is>
          <t>억원</t>
        </is>
      </c>
      <c r="I77" s="17" t="inlineStr"/>
      <c r="J77" s="18" t="n">
        <v>1280</v>
      </c>
      <c r="K77" s="19" t="n">
        <v>2910</v>
      </c>
      <c r="L77" s="18" t="n">
        <v>2003</v>
      </c>
      <c r="M77" s="19" t="n">
        <v>1347</v>
      </c>
      <c r="N77" s="18" t="n">
        <v>1117</v>
      </c>
      <c r="O77" s="19" t="n">
        <v>0</v>
      </c>
      <c r="P77" s="18" t="n">
        <v>0</v>
      </c>
      <c r="Q77" s="19" t="n">
        <v>0</v>
      </c>
      <c r="R77" s="18" t="n">
        <v>0</v>
      </c>
      <c r="S77" s="20" t="n">
        <v>0</v>
      </c>
      <c r="T77" s="6" t="n">
        <v>1</v>
      </c>
      <c r="U77" s="5" t="inlineStr">
        <is>
          <t>NCM 양극활물질 / 2024년 07월 05일 / 20</t>
        </is>
      </c>
      <c r="V77" s="21">
        <f>HYPERLINK("https://dart.fss.or.kr/dsaf001/main.do?rcpNo=20260930000732", "공시열람")</f>
        <v/>
      </c>
    </row>
    <row r="78">
      <c r="A78" s="5" t="inlineStr">
        <is>
          <t>SGC에너지</t>
        </is>
      </c>
      <c r="B78" s="6" t="inlineStr">
        <is>
          <t>005090</t>
        </is>
      </c>
      <c r="C78" s="6" t="inlineStr">
        <is>
          <t>2026Q2</t>
        </is>
      </c>
      <c r="D78" s="6" t="inlineStr">
        <is>
          <t>20260814</t>
        </is>
      </c>
      <c r="E78" s="16" t="n">
        <v>4204306</v>
      </c>
      <c r="F78" s="16" t="n">
        <v>2010550</v>
      </c>
      <c r="G78" s="16" t="n">
        <v>2193756</v>
      </c>
      <c r="H78" s="6" t="inlineStr">
        <is>
          <t>백만원</t>
        </is>
      </c>
      <c r="I78" s="17" t="n">
        <v>-10.1</v>
      </c>
      <c r="J78" s="18" t="n">
        <v>1880699</v>
      </c>
      <c r="K78" s="19" t="n">
        <v>1770018</v>
      </c>
      <c r="L78" s="18" t="n">
        <v>2657362</v>
      </c>
      <c r="M78" s="19" t="n">
        <v>2395798</v>
      </c>
      <c r="N78" s="18" t="n">
        <v>2344241</v>
      </c>
      <c r="O78" s="19" t="n">
        <v>2249241</v>
      </c>
      <c r="P78" s="18" t="n">
        <v>1993454</v>
      </c>
      <c r="Q78" s="19" t="n">
        <v>1996527</v>
      </c>
      <c r="R78" s="18" t="n">
        <v>2440928</v>
      </c>
      <c r="S78" s="20" t="n">
        <v>2193756</v>
      </c>
      <c r="T78" s="6" t="n">
        <v>2</v>
      </c>
      <c r="U78" s="5" t="inlineStr">
        <is>
          <t>건설부문 | 플랜트부문</t>
        </is>
      </c>
      <c r="V78" s="21">
        <f>HYPERLINK("https://dart.fss.or.kr/dsaf001/main.do?rcpNo=20260814001158", "공시열람")</f>
        <v/>
      </c>
    </row>
    <row r="79">
      <c r="A79" s="5" t="inlineStr">
        <is>
          <t>동국산업</t>
        </is>
      </c>
      <c r="B79" s="6" t="inlineStr">
        <is>
          <t>005160</t>
        </is>
      </c>
      <c r="C79" s="6" t="inlineStr">
        <is>
          <t>2026Q2</t>
        </is>
      </c>
      <c r="D79" s="6" t="inlineStr">
        <is>
          <t>20260814</t>
        </is>
      </c>
      <c r="E79" s="16" t="n">
        <v>126840</v>
      </c>
      <c r="F79" s="16" t="n">
        <v>31101</v>
      </c>
      <c r="G79" s="16" t="n">
        <v>95739</v>
      </c>
      <c r="H79" s="6" t="inlineStr">
        <is>
          <t>백만원</t>
        </is>
      </c>
      <c r="I79" s="17" t="n">
        <v>45.6</v>
      </c>
      <c r="J79" s="18" t="n">
        <v>177277134</v>
      </c>
      <c r="K79" s="19" t="n">
        <v>145264</v>
      </c>
      <c r="L79" s="18" t="n">
        <v>150197</v>
      </c>
      <c r="M79" s="19" t="n">
        <v>153382</v>
      </c>
      <c r="N79" s="18" t="n">
        <v>115187</v>
      </c>
      <c r="O79" s="19" t="n">
        <v>87559</v>
      </c>
      <c r="P79" s="18" t="n">
        <v>60373</v>
      </c>
      <c r="Q79" s="19" t="n">
        <v>64204</v>
      </c>
      <c r="R79" s="18" t="n">
        <v>65738</v>
      </c>
      <c r="S79" s="20" t="n">
        <v>95739</v>
      </c>
      <c r="T79" s="6" t="n">
        <v>2</v>
      </c>
      <c r="U79" s="5" t="inlineStr">
        <is>
          <t>WIND-TOWER / ~ 2026. 6. 30 / 2 | 건설, 에너지 개발사업 / ~ 2026. 6. 30 /</t>
        </is>
      </c>
      <c r="V79" s="21">
        <f>HYPERLINK("https://dart.fss.or.kr/dsaf001/main.do?rcpNo=20260814003589", "공시열람")</f>
        <v/>
      </c>
    </row>
    <row r="80">
      <c r="A80" s="5" t="inlineStr">
        <is>
          <t>녹십자홀딩스</t>
        </is>
      </c>
      <c r="B80" s="6" t="inlineStr">
        <is>
          <t>005250</t>
        </is>
      </c>
      <c r="C80" s="6" t="inlineStr">
        <is>
          <t>2026Q2</t>
        </is>
      </c>
      <c r="D80" s="6" t="inlineStr">
        <is>
          <t>20260814</t>
        </is>
      </c>
      <c r="E80" s="16" t="n">
        <v>68493</v>
      </c>
      <c r="F80" s="16" t="n">
        <v>36968</v>
      </c>
      <c r="G80" s="16" t="n">
        <v>31525</v>
      </c>
      <c r="H80" s="6" t="inlineStr">
        <is>
          <t>천USD</t>
        </is>
      </c>
      <c r="I80" s="17" t="n">
        <v>-35.2</v>
      </c>
      <c r="J80" s="18" t="n">
        <v>100177</v>
      </c>
      <c r="K80" s="19" t="n">
        <v>56107</v>
      </c>
      <c r="L80" s="18" t="n">
        <v>52851</v>
      </c>
      <c r="M80" s="19" t="n">
        <v>51199</v>
      </c>
      <c r="N80" s="18" t="n">
        <v>100177</v>
      </c>
      <c r="O80" s="19" t="n">
        <v>41202</v>
      </c>
      <c r="P80" s="18" t="n">
        <v>18716</v>
      </c>
      <c r="Q80" s="19" t="n">
        <v>39913</v>
      </c>
      <c r="R80" s="18" t="n">
        <v>48653</v>
      </c>
      <c r="S80" s="20" t="n">
        <v>31525</v>
      </c>
      <c r="T80" s="6" t="n">
        <v>2</v>
      </c>
      <c r="U80" s="5" t="inlineStr">
        <is>
          <t>Plasma(NSP) / 2025년 / ~2026년 | Plasma(NSP) / 2026년 / ~2026년</t>
        </is>
      </c>
      <c r="V80" s="21">
        <f>HYPERLINK("https://dart.fss.or.kr/dsaf001/main.do?rcpNo=20260814003916", "공시열람")</f>
        <v/>
      </c>
    </row>
    <row r="81">
      <c r="A81" s="5" t="inlineStr">
        <is>
          <t>현대자동차</t>
        </is>
      </c>
      <c r="B81" s="6" t="inlineStr">
        <is>
          <t>005380</t>
        </is>
      </c>
      <c r="C81" s="6" t="inlineStr">
        <is>
          <t>2026Q2</t>
        </is>
      </c>
      <c r="D81" s="6" t="inlineStr">
        <is>
          <t>20260814</t>
        </is>
      </c>
      <c r="E81" s="16" t="n">
        <v>23634165</v>
      </c>
      <c r="F81" s="16" t="n">
        <v>10862975</v>
      </c>
      <c r="G81" s="16" t="n">
        <v>12771190</v>
      </c>
      <c r="H81" s="6" t="inlineStr">
        <is>
          <t>백만원</t>
        </is>
      </c>
      <c r="I81" s="17" t="n">
        <v>7.6</v>
      </c>
      <c r="J81" s="18" t="n">
        <v>6909113</v>
      </c>
      <c r="K81" s="19" t="n">
        <v>8042187</v>
      </c>
      <c r="L81" s="18" t="n">
        <v>9031203</v>
      </c>
      <c r="M81" s="19" t="n">
        <v>9128803</v>
      </c>
      <c r="N81" s="18" t="n">
        <v>11292383</v>
      </c>
      <c r="O81" s="19" t="n">
        <v>12185484</v>
      </c>
      <c r="P81" s="18" t="n">
        <v>11922335</v>
      </c>
      <c r="Q81" s="19" t="n">
        <v>11618527</v>
      </c>
      <c r="R81" s="18" t="n">
        <v>11865944</v>
      </c>
      <c r="S81" s="20" t="n">
        <v>12771190</v>
      </c>
      <c r="T81" s="6" t="n">
        <v>45</v>
      </c>
      <c r="U81" s="5" t="inlineStr">
        <is>
          <t>철도BG / 2025-02-25 / 2031-05-29 | 철도AB / 2017-12-02 / *1 | 철도AY / 2023-06-29 / 2031-12-18</t>
        </is>
      </c>
      <c r="V81" s="21">
        <f>HYPERLINK("https://dart.fss.or.kr/dsaf001/main.do?rcpNo=20260814003521", "공시열람")</f>
        <v/>
      </c>
    </row>
    <row r="82">
      <c r="A82" s="5" t="inlineStr">
        <is>
          <t>코스모화학</t>
        </is>
      </c>
      <c r="B82" s="6" t="inlineStr">
        <is>
          <t>005420</t>
        </is>
      </c>
      <c r="C82" s="6" t="inlineStr">
        <is>
          <t>2026Q2</t>
        </is>
      </c>
      <c r="D82" s="6" t="inlineStr">
        <is>
          <t>20260930</t>
        </is>
      </c>
      <c r="E82" s="16" t="n">
        <v>2504</v>
      </c>
      <c r="F82" s="16" t="n">
        <v>2504</v>
      </c>
      <c r="G82" s="16" t="n">
        <v>0</v>
      </c>
      <c r="H82" s="6" t="inlineStr">
        <is>
          <t>억원</t>
        </is>
      </c>
      <c r="I82" s="17" t="inlineStr"/>
      <c r="J82" s="18" t="n">
        <v>1280</v>
      </c>
      <c r="K82" s="19" t="n">
        <v>2910</v>
      </c>
      <c r="L82" s="18" t="n">
        <v>2003</v>
      </c>
      <c r="M82" s="19" t="n">
        <v>1347</v>
      </c>
      <c r="N82" s="18" t="n">
        <v>1117</v>
      </c>
      <c r="O82" s="19" t="n">
        <v>0</v>
      </c>
      <c r="P82" s="18" t="n">
        <v>0</v>
      </c>
      <c r="Q82" s="19" t="n">
        <v>0</v>
      </c>
      <c r="R82" s="18" t="n">
        <v>0</v>
      </c>
      <c r="S82" s="20" t="n">
        <v>0</v>
      </c>
      <c r="T82" s="6" t="n">
        <v>1</v>
      </c>
      <c r="U82" s="5" t="inlineStr">
        <is>
          <t>NCM 양극활물질 / 2024년 07월 05일 / 20</t>
        </is>
      </c>
      <c r="V82" s="21">
        <f>HYPERLINK("https://dart.fss.or.kr/dsaf001/main.do?rcpNo=20260930000428", "공시열람")</f>
        <v/>
      </c>
    </row>
    <row r="83">
      <c r="A83" s="5" t="inlineStr">
        <is>
          <t>한국공항</t>
        </is>
      </c>
      <c r="B83" s="6" t="inlineStr">
        <is>
          <t>005430</t>
        </is>
      </c>
      <c r="C83" s="6" t="inlineStr">
        <is>
          <t>2026Q2</t>
        </is>
      </c>
      <c r="D83" s="6" t="inlineStr">
        <is>
          <t>20260814</t>
        </is>
      </c>
      <c r="E83" s="16" t="n">
        <v>312444</v>
      </c>
      <c r="F83" s="16" t="n">
        <v>307785</v>
      </c>
      <c r="G83" s="16" t="n">
        <v>4659</v>
      </c>
      <c r="H83" s="6" t="inlineStr">
        <is>
          <t>백만원</t>
        </is>
      </c>
      <c r="I83" s="17" t="n">
        <v>-55.9</v>
      </c>
      <c r="J83" s="18" t="n">
        <v>6587</v>
      </c>
      <c r="K83" s="19" t="n">
        <v>3417</v>
      </c>
      <c r="L83" s="18" t="n">
        <v>7636</v>
      </c>
      <c r="M83" s="19" t="n">
        <v>6162</v>
      </c>
      <c r="N83" s="18" t="n">
        <v>3013</v>
      </c>
      <c r="O83" s="19" t="n">
        <v>14811</v>
      </c>
      <c r="P83" s="18" t="n">
        <v>20295</v>
      </c>
      <c r="Q83" s="19" t="n">
        <v>23296</v>
      </c>
      <c r="R83" s="18" t="n">
        <v>10567</v>
      </c>
      <c r="S83" s="20" t="n">
        <v>4659</v>
      </c>
      <c r="T83" s="6" t="n">
        <v>3</v>
      </c>
      <c r="U83" s="5" t="inlineStr">
        <is>
          <t>생수, 축산 외 / 2026.1.1 ~2026.6.30 | 항공기 지상조업 / 2026.1.1 ~2026.6.30 | 부대사업(민속박물관 포함) / 2026.1.1 ~202</t>
        </is>
      </c>
      <c r="V83" s="21">
        <f>HYPERLINK("https://dart.fss.or.kr/dsaf001/main.do?rcpNo=20260814003106", "공시열람")</f>
        <v/>
      </c>
    </row>
    <row r="84">
      <c r="A84" s="5" t="inlineStr">
        <is>
          <t>POSCO홀딩스</t>
        </is>
      </c>
      <c r="B84" s="6" t="inlineStr">
        <is>
          <t>005490</t>
        </is>
      </c>
      <c r="C84" s="6" t="inlineStr">
        <is>
          <t>2026Q2</t>
        </is>
      </c>
      <c r="D84" s="6" t="inlineStr">
        <is>
          <t>20260814</t>
        </is>
      </c>
      <c r="E84" s="16" t="inlineStr"/>
      <c r="F84" s="16" t="inlineStr"/>
      <c r="G84" s="16" t="n">
        <v>51424610</v>
      </c>
      <c r="H84" s="6" t="inlineStr">
        <is>
          <t>백만원</t>
        </is>
      </c>
      <c r="I84" s="17" t="n">
        <v>6.5</v>
      </c>
      <c r="J84" s="18" t="n">
        <v>38908799</v>
      </c>
      <c r="K84" s="19" t="n">
        <v>40554889</v>
      </c>
      <c r="L84" s="18" t="n">
        <v>40708029</v>
      </c>
      <c r="M84" s="19" t="n">
        <v>39622974</v>
      </c>
      <c r="N84" s="18" t="n">
        <v>41081947</v>
      </c>
      <c r="O84" s="19" t="n">
        <v>46092717</v>
      </c>
      <c r="P84" s="18" t="n">
        <v>46499486</v>
      </c>
      <c r="Q84" s="19" t="n">
        <v>48007224</v>
      </c>
      <c r="R84" s="18" t="n">
        <v>48279896</v>
      </c>
      <c r="S84" s="20" t="n">
        <v>51424610</v>
      </c>
      <c r="T84" s="6" t="n">
        <v>140</v>
      </c>
      <c r="U84" s="5" t="inlineStr">
        <is>
          <t>기타(수주잔고 1천억 미만) | 국내 / SBC PFV (MDM) / 서울 서초 정보사 | 국내 / 부산 시민공원 촉진2-1구역 도시환경정비사업</t>
        </is>
      </c>
      <c r="V84" s="21">
        <f>HYPERLINK("https://dart.fss.or.kr/dsaf001/main.do?rcpNo=20260814000957", "공시열람")</f>
        <v/>
      </c>
    </row>
    <row r="85">
      <c r="A85" s="5" t="inlineStr">
        <is>
          <t>넥센</t>
        </is>
      </c>
      <c r="B85" s="6" t="inlineStr">
        <is>
          <t>005720</t>
        </is>
      </c>
      <c r="C85" s="6" t="inlineStr">
        <is>
          <t>2026Q2</t>
        </is>
      </c>
      <c r="D85" s="6" t="inlineStr">
        <is>
          <t>20260814</t>
        </is>
      </c>
      <c r="E85" s="16" t="n">
        <v>2572119</v>
      </c>
      <c r="F85" s="16" t="n">
        <v>1689951</v>
      </c>
      <c r="G85" s="16" t="n">
        <v>882168</v>
      </c>
      <c r="H85" s="6" t="inlineStr">
        <is>
          <t>천개,백만원</t>
        </is>
      </c>
      <c r="I85" s="17" t="n">
        <v>-50</v>
      </c>
      <c r="J85" s="18" t="n">
        <v>791346</v>
      </c>
      <c r="K85" s="19" t="n">
        <v>805719</v>
      </c>
      <c r="L85" s="18" t="n">
        <v>807172</v>
      </c>
      <c r="M85" s="19" t="n">
        <v>742505</v>
      </c>
      <c r="N85" s="18" t="n">
        <v>875624</v>
      </c>
      <c r="O85" s="19" t="n">
        <v>827994</v>
      </c>
      <c r="P85" s="18" t="n">
        <v>824139</v>
      </c>
      <c r="Q85" s="19" t="n">
        <v>832233</v>
      </c>
      <c r="R85" s="18" t="n">
        <v>1763423</v>
      </c>
      <c r="S85" s="20" t="n">
        <v>882168</v>
      </c>
      <c r="T85" s="6" t="n">
        <v>2</v>
      </c>
      <c r="U85" s="5" t="inlineStr">
        <is>
          <t>타이어 / 2026.01.01~06.30 / 수주후 2 | 튜브 / 2026.06.30 / -</t>
        </is>
      </c>
      <c r="V85" s="21">
        <f>HYPERLINK("https://dart.fss.or.kr/dsaf001/main.do?rcpNo=20260814002676", "공시열람")</f>
        <v/>
      </c>
    </row>
    <row r="86">
      <c r="A86" s="5" t="inlineStr">
        <is>
          <t>풍산홀딩스</t>
        </is>
      </c>
      <c r="B86" s="6" t="inlineStr">
        <is>
          <t>005810</t>
        </is>
      </c>
      <c r="C86" s="6" t="inlineStr">
        <is>
          <t>2026Q2</t>
        </is>
      </c>
      <c r="D86" s="6" t="inlineStr">
        <is>
          <t>20260814</t>
        </is>
      </c>
      <c r="E86" s="16" t="n">
        <v>7649935</v>
      </c>
      <c r="F86" s="16" t="inlineStr"/>
      <c r="G86" s="16" t="n">
        <v>7649935</v>
      </c>
      <c r="H86" s="6" t="inlineStr"/>
      <c r="I86" s="17" t="n">
        <v>-34.8</v>
      </c>
      <c r="J86" s="18" t="n">
        <v>1806476</v>
      </c>
      <c r="K86" s="19" t="n">
        <v>2049935</v>
      </c>
      <c r="L86" s="18" t="n">
        <v>1954517</v>
      </c>
      <c r="M86" s="19" t="n">
        <v>2047983</v>
      </c>
      <c r="N86" s="18" t="n">
        <v>1876264</v>
      </c>
      <c r="O86" s="19" t="n">
        <v>1788093</v>
      </c>
      <c r="P86" s="18" t="n">
        <v>1631923</v>
      </c>
      <c r="Q86" s="19" t="n">
        <v>15801794</v>
      </c>
      <c r="R86" s="18" t="n">
        <v>11733706</v>
      </c>
      <c r="S86" s="20" t="n">
        <v>7649935</v>
      </c>
      <c r="T86" s="6" t="n">
        <v>34</v>
      </c>
      <c r="U86" s="5" t="inlineStr">
        <is>
          <t>Poongsan Japan Corporation (단위 | Siam Poongsan Metal Co.,Ltd (단 | ㈜풍산 (단위: M/T, 백만원) / 판/대 / '26</t>
        </is>
      </c>
      <c r="V86" s="21">
        <f>HYPERLINK("https://dart.fss.or.kr/dsaf001/main.do?rcpNo=20260814004013", "공시열람")</f>
        <v/>
      </c>
    </row>
    <row r="87">
      <c r="A87" s="5" t="inlineStr">
        <is>
          <t>한일사료</t>
        </is>
      </c>
      <c r="B87" s="6" t="inlineStr">
        <is>
          <t>005860</t>
        </is>
      </c>
      <c r="C87" s="6" t="inlineStr">
        <is>
          <t>2026Q2</t>
        </is>
      </c>
      <c r="D87" s="6" t="inlineStr">
        <is>
          <t>20260813</t>
        </is>
      </c>
      <c r="E87" s="16" t="n">
        <v>473472</v>
      </c>
      <c r="F87" s="16" t="n">
        <v>75467</v>
      </c>
      <c r="G87" s="16" t="n">
        <v>398005</v>
      </c>
      <c r="H87" s="6" t="inlineStr">
        <is>
          <t>톤,백만원</t>
        </is>
      </c>
      <c r="I87" s="17" t="n">
        <v>-3.9</v>
      </c>
      <c r="J87" s="18" t="n">
        <v>186071</v>
      </c>
      <c r="K87" s="19" t="n">
        <v>163658</v>
      </c>
      <c r="L87" s="18" t="n">
        <v>142604</v>
      </c>
      <c r="M87" s="19" t="n">
        <v>120737</v>
      </c>
      <c r="N87" s="18" t="n">
        <v>99298</v>
      </c>
      <c r="O87" s="19" t="n">
        <v>77078</v>
      </c>
      <c r="P87" s="18" t="n">
        <v>466074</v>
      </c>
      <c r="Q87" s="19" t="n">
        <v>443933</v>
      </c>
      <c r="R87" s="18" t="n">
        <v>414143</v>
      </c>
      <c r="S87" s="20" t="n">
        <v>398005</v>
      </c>
      <c r="T87" s="6" t="n">
        <v>1</v>
      </c>
      <c r="U87" s="5" t="inlineStr">
        <is>
          <t>축우배합사료 / 2025.08.28. / 2025.09</t>
        </is>
      </c>
      <c r="V87" s="21">
        <f>HYPERLINK("https://dart.fss.or.kr/dsaf001/main.do?rcpNo=20260813001163", "공시열람")</f>
        <v/>
      </c>
    </row>
    <row r="88">
      <c r="A88" s="5" t="inlineStr">
        <is>
          <t>휴니드테크놀러지스</t>
        </is>
      </c>
      <c r="B88" s="6" t="inlineStr">
        <is>
          <t>005870</t>
        </is>
      </c>
      <c r="C88" s="6" t="inlineStr">
        <is>
          <t>2026Q2</t>
        </is>
      </c>
      <c r="D88" s="6" t="inlineStr">
        <is>
          <t>20260929</t>
        </is>
      </c>
      <c r="E88" s="16" t="inlineStr"/>
      <c r="F88" s="16" t="inlineStr"/>
      <c r="G88" s="16" t="n">
        <v>3825</v>
      </c>
      <c r="H88" s="6" t="inlineStr">
        <is>
          <t>억원</t>
        </is>
      </c>
      <c r="I88" s="17" t="n">
        <v>4.4</v>
      </c>
      <c r="J88" s="18" t="n">
        <v>3155</v>
      </c>
      <c r="K88" s="19" t="n">
        <v>2589</v>
      </c>
      <c r="L88" s="18" t="n">
        <v>2214</v>
      </c>
      <c r="M88" s="19" t="n">
        <v>2304</v>
      </c>
      <c r="N88" s="18" t="n">
        <v>2073</v>
      </c>
      <c r="O88" s="19" t="n">
        <v>1878</v>
      </c>
      <c r="P88" s="18" t="n">
        <v>2836</v>
      </c>
      <c r="Q88" s="19" t="n">
        <v>3744</v>
      </c>
      <c r="R88" s="18" t="n">
        <v>3663</v>
      </c>
      <c r="S88" s="20" t="n">
        <v>3825</v>
      </c>
      <c r="T88" s="6" t="n">
        <v>2</v>
      </c>
      <c r="U88" s="5" t="inlineStr">
        <is>
          <t>해외사업 / - | 방산사업 / -</t>
        </is>
      </c>
      <c r="V88" s="21">
        <f>HYPERLINK("https://dart.fss.or.kr/dsaf001/main.do?rcpNo=20260929000648", "공시열람")</f>
        <v/>
      </c>
    </row>
    <row r="89">
      <c r="A89" s="5" t="inlineStr">
        <is>
          <t>이수화학</t>
        </is>
      </c>
      <c r="B89" s="6" t="inlineStr">
        <is>
          <t>005950</t>
        </is>
      </c>
      <c r="C89" s="6" t="inlineStr">
        <is>
          <t>2026Q2</t>
        </is>
      </c>
      <c r="D89" s="6" t="inlineStr">
        <is>
          <t>20260814</t>
        </is>
      </c>
      <c r="E89" s="16" t="n">
        <v>2281430</v>
      </c>
      <c r="F89" s="16" t="inlineStr"/>
      <c r="G89" s="16" t="n">
        <v>1263920</v>
      </c>
      <c r="H89" s="6" t="inlineStr">
        <is>
          <t>백만원</t>
        </is>
      </c>
      <c r="I89" s="17" t="n">
        <v>1.9</v>
      </c>
      <c r="J89" s="18" t="n">
        <v>22377</v>
      </c>
      <c r="K89" s="19" t="n">
        <v>22377</v>
      </c>
      <c r="L89" s="18" t="n">
        <v>32885</v>
      </c>
      <c r="M89" s="19" t="n">
        <v>669122</v>
      </c>
      <c r="N89" s="18" t="n">
        <v>11850</v>
      </c>
      <c r="O89" s="19" t="n">
        <v>11850</v>
      </c>
      <c r="P89" s="18" t="n">
        <v>11850</v>
      </c>
      <c r="Q89" s="19" t="n">
        <v>11850</v>
      </c>
      <c r="R89" s="18" t="n">
        <v>1239857</v>
      </c>
      <c r="S89" s="20" t="n">
        <v>1263920</v>
      </c>
      <c r="T89" s="6" t="n">
        <v>9</v>
      </c>
      <c r="U89" s="5" t="inlineStr">
        <is>
          <t>기타 / - | 해외 / Libya Zentaan 3,300 Housi | 건축 / 부산명지 LH / 한국토지주택공사</t>
        </is>
      </c>
      <c r="V89" s="21">
        <f>HYPERLINK("https://dart.fss.or.kr/dsaf001/main.do?rcpNo=20260814002941", "공시열람")</f>
        <v/>
      </c>
    </row>
    <row r="90">
      <c r="A90" s="5" t="inlineStr">
        <is>
          <t>동부건설</t>
        </is>
      </c>
      <c r="B90" s="6" t="inlineStr">
        <is>
          <t>005960</t>
        </is>
      </c>
      <c r="C90" s="6" t="inlineStr">
        <is>
          <t>2026Q2</t>
        </is>
      </c>
      <c r="D90" s="6" t="inlineStr">
        <is>
          <t>20260813</t>
        </is>
      </c>
      <c r="E90" s="16" t="inlineStr"/>
      <c r="F90" s="16" t="n">
        <v>9347660</v>
      </c>
      <c r="G90" s="16" t="n">
        <v>13723369</v>
      </c>
      <c r="H90" s="6" t="inlineStr">
        <is>
          <t>백만원</t>
        </is>
      </c>
      <c r="I90" s="17" t="n">
        <v>3.9</v>
      </c>
      <c r="J90" s="18" t="n">
        <v>9499441</v>
      </c>
      <c r="K90" s="19" t="n">
        <v>9755581</v>
      </c>
      <c r="L90" s="18" t="n">
        <v>10254451</v>
      </c>
      <c r="M90" s="19" t="n">
        <v>10578893</v>
      </c>
      <c r="N90" s="18" t="n">
        <v>10358591</v>
      </c>
      <c r="O90" s="19" t="n">
        <v>10885273</v>
      </c>
      <c r="P90" s="18" t="n">
        <v>12064254</v>
      </c>
      <c r="Q90" s="19" t="n">
        <v>13181608</v>
      </c>
      <c r="R90" s="18" t="n">
        <v>13210913</v>
      </c>
      <c r="S90" s="20" t="n">
        <v>13723369</v>
      </c>
      <c r="T90" s="6" t="n">
        <v>81</v>
      </c>
      <c r="U90" s="5" t="inlineStr">
        <is>
          <t>관공사 / 기 타 | 민간공사 / 기 타 | 민간공사 / 감만1구역 조합 / 감만1구역 재개발</t>
        </is>
      </c>
      <c r="V90" s="21">
        <f>HYPERLINK("https://dart.fss.or.kr/dsaf001/main.do?rcpNo=20260813001475", "공시열람")</f>
        <v/>
      </c>
    </row>
    <row r="91">
      <c r="A91" s="5" t="inlineStr">
        <is>
          <t>국영지앤엠</t>
        </is>
      </c>
      <c r="B91" s="6" t="inlineStr">
        <is>
          <t>006050</t>
        </is>
      </c>
      <c r="C91" s="6" t="inlineStr">
        <is>
          <t>2026Q2</t>
        </is>
      </c>
      <c r="D91" s="6" t="inlineStr">
        <is>
          <t>20260814</t>
        </is>
      </c>
      <c r="E91" s="16" t="n">
        <v>66444</v>
      </c>
      <c r="F91" s="16" t="n">
        <v>20727</v>
      </c>
      <c r="G91" s="16" t="n">
        <v>45717</v>
      </c>
      <c r="H91" s="6" t="inlineStr">
        <is>
          <t>백만</t>
        </is>
      </c>
      <c r="I91" s="17" t="n">
        <v>16</v>
      </c>
      <c r="J91" s="18" t="n">
        <v>43786</v>
      </c>
      <c r="K91" s="19" t="n">
        <v>42547</v>
      </c>
      <c r="L91" s="18" t="n">
        <v>40025</v>
      </c>
      <c r="M91" s="19" t="n">
        <v>39943</v>
      </c>
      <c r="N91" s="18" t="n">
        <v>48356</v>
      </c>
      <c r="O91" s="19" t="n">
        <v>44990</v>
      </c>
      <c r="P91" s="18" t="n">
        <v>48391</v>
      </c>
      <c r="Q91" s="19" t="n">
        <v>40085</v>
      </c>
      <c r="R91" s="18" t="n">
        <v>39401</v>
      </c>
      <c r="S91" s="20" t="n">
        <v>45717</v>
      </c>
      <c r="T91" s="6" t="n">
        <v>1</v>
      </c>
      <c r="U91" s="5" t="inlineStr">
        <is>
          <t>유리납품 및 설치 외 / -</t>
        </is>
      </c>
      <c r="V91" s="21">
        <f>HYPERLINK("https://dart.fss.or.kr/dsaf001/main.do?rcpNo=20260814002183", "공시열람")</f>
        <v/>
      </c>
    </row>
    <row r="92">
      <c r="A92" s="5" t="inlineStr">
        <is>
          <t>SK디스커버리</t>
        </is>
      </c>
      <c r="B92" s="6" t="inlineStr">
        <is>
          <t>006120</t>
        </is>
      </c>
      <c r="C92" s="6" t="inlineStr">
        <is>
          <t>2026Q2</t>
        </is>
      </c>
      <c r="D92" s="6" t="inlineStr">
        <is>
          <t>20260813</t>
        </is>
      </c>
      <c r="E92" s="16" t="n">
        <v>2511572</v>
      </c>
      <c r="F92" s="16" t="n">
        <v>1933255</v>
      </c>
      <c r="G92" s="16" t="n">
        <v>578317</v>
      </c>
      <c r="H92" s="6" t="inlineStr">
        <is>
          <t>백만원</t>
        </is>
      </c>
      <c r="I92" s="17" t="n">
        <v>136.2</v>
      </c>
      <c r="J92" s="18" t="n">
        <v>661437</v>
      </c>
      <c r="K92" s="19" t="n">
        <v>625905</v>
      </c>
      <c r="L92" s="18" t="n">
        <v>588265</v>
      </c>
      <c r="M92" s="19" t="n">
        <v>523296</v>
      </c>
      <c r="N92" s="18" t="n">
        <v>447908</v>
      </c>
      <c r="O92" s="19" t="n">
        <v>380744</v>
      </c>
      <c r="P92" s="18" t="n">
        <v>288902</v>
      </c>
      <c r="Q92" s="19" t="n">
        <v>226290</v>
      </c>
      <c r="R92" s="18" t="n">
        <v>244863</v>
      </c>
      <c r="S92" s="20" t="n">
        <v>578317</v>
      </c>
      <c r="T92" s="6" t="n">
        <v>2</v>
      </c>
      <c r="U92" s="5" t="inlineStr">
        <is>
          <t>CDMO / 2015년~(계약별 상이) / ~2029년 | 백신 원액 및 완제 생산 / 2022년~(계약별 상이)</t>
        </is>
      </c>
      <c r="V92" s="21">
        <f>HYPERLINK("https://dart.fss.or.kr/dsaf001/main.do?rcpNo=20260813001756", "공시열람")</f>
        <v/>
      </c>
    </row>
    <row r="93">
      <c r="A93" s="5" t="inlineStr">
        <is>
          <t>한국전자홀딩스</t>
        </is>
      </c>
      <c r="B93" s="6" t="inlineStr">
        <is>
          <t>006200</t>
        </is>
      </c>
      <c r="C93" s="6" t="inlineStr">
        <is>
          <t>2024Q4</t>
        </is>
      </c>
      <c r="D93" s="6" t="inlineStr">
        <is>
          <t>20250319</t>
        </is>
      </c>
      <c r="E93" s="16" t="inlineStr"/>
      <c r="F93" s="16" t="inlineStr"/>
      <c r="G93" s="16" t="n">
        <v>624300</v>
      </c>
      <c r="H93" s="6" t="inlineStr">
        <is>
          <t>천원</t>
        </is>
      </c>
      <c r="I93" s="17" t="n">
        <v>2184.6</v>
      </c>
      <c r="J93" s="18" t="inlineStr"/>
      <c r="K93" s="19" t="inlineStr"/>
      <c r="L93" s="18" t="inlineStr"/>
      <c r="M93" s="19" t="n">
        <v>624300</v>
      </c>
      <c r="N93" s="18" t="inlineStr"/>
      <c r="O93" s="19" t="inlineStr"/>
      <c r="P93" s="18" t="inlineStr"/>
      <c r="Q93" s="19" t="inlineStr"/>
      <c r="R93" s="18" t="inlineStr"/>
      <c r="S93" s="20" t="inlineStr"/>
      <c r="T93" s="6" t="n">
        <v>5</v>
      </c>
      <c r="U93" s="5" t="inlineStr">
        <is>
          <t xml:space="preserve">기타 / - | 한국 SMC CS도장실&amp;세정배출시설의 이설 공사 / 한 | 관급)구립가재울데이케어센터신축공사(통신) / 관급 / </t>
        </is>
      </c>
      <c r="V93" s="21">
        <f>HYPERLINK("https://dart.fss.or.kr/dsaf001/main.do?rcpNo=20250319001004", "공시열람")</f>
        <v/>
      </c>
    </row>
    <row r="94">
      <c r="A94" s="5" t="inlineStr">
        <is>
          <t>LS</t>
        </is>
      </c>
      <c r="B94" s="6" t="inlineStr">
        <is>
          <t>006260</t>
        </is>
      </c>
      <c r="C94" s="6" t="inlineStr">
        <is>
          <t>2026Q2</t>
        </is>
      </c>
      <c r="D94" s="6" t="inlineStr">
        <is>
          <t>20260814</t>
        </is>
      </c>
      <c r="E94" s="16" t="n">
        <v>295136</v>
      </c>
      <c r="F94" s="16" t="n">
        <v>99582</v>
      </c>
      <c r="G94" s="16" t="n">
        <v>195554</v>
      </c>
      <c r="H94" s="6" t="inlineStr">
        <is>
          <t>억원</t>
        </is>
      </c>
      <c r="I94" s="17" t="n">
        <v>7</v>
      </c>
      <c r="J94" s="18" t="n">
        <v>93954</v>
      </c>
      <c r="K94" s="19" t="n">
        <v>97282</v>
      </c>
      <c r="L94" s="18" t="n">
        <v>99157</v>
      </c>
      <c r="M94" s="19" t="n">
        <v>111512</v>
      </c>
      <c r="N94" s="18" t="n">
        <v>110729</v>
      </c>
      <c r="O94" s="19" t="n">
        <v>117474</v>
      </c>
      <c r="P94" s="18" t="n">
        <v>123530</v>
      </c>
      <c r="Q94" s="19" t="n">
        <v>149834</v>
      </c>
      <c r="R94" s="18" t="n">
        <v>182681</v>
      </c>
      <c r="S94" s="20" t="n">
        <v>195554</v>
      </c>
      <c r="T94" s="6" t="n">
        <v>4</v>
      </c>
      <c r="U94" s="5" t="inlineStr">
        <is>
          <t>전선 / 전력선 및 통신선 등 / ~2026년 6월 / | 일렉트릭 / 송전 및 배전 등 / ~2026년 6월 / | 아이앤디 / 통신선, 권선 등 / ~2026년 6월 /</t>
        </is>
      </c>
      <c r="V94" s="21">
        <f>HYPERLINK("https://dart.fss.or.kr/dsaf001/main.do?rcpNo=20260814001888", "공시열람")</f>
        <v/>
      </c>
    </row>
    <row r="95">
      <c r="A95" s="5" t="inlineStr">
        <is>
          <t>녹십자</t>
        </is>
      </c>
      <c r="B95" s="6" t="inlineStr">
        <is>
          <t>006280</t>
        </is>
      </c>
      <c r="C95" s="6" t="inlineStr">
        <is>
          <t>2026Q2</t>
        </is>
      </c>
      <c r="D95" s="6" t="inlineStr">
        <is>
          <t>20260814</t>
        </is>
      </c>
      <c r="E95" s="16" t="n">
        <v>68493</v>
      </c>
      <c r="F95" s="16" t="n">
        <v>36968</v>
      </c>
      <c r="G95" s="16" t="n">
        <v>31525</v>
      </c>
      <c r="H95" s="6" t="inlineStr">
        <is>
          <t>천USD</t>
        </is>
      </c>
      <c r="I95" s="17" t="n">
        <v>-35.2</v>
      </c>
      <c r="J95" s="18" t="n">
        <v>100177</v>
      </c>
      <c r="K95" s="19" t="n">
        <v>56107</v>
      </c>
      <c r="L95" s="18" t="n">
        <v>52851</v>
      </c>
      <c r="M95" s="19" t="n">
        <v>51199</v>
      </c>
      <c r="N95" s="18" t="n">
        <v>100177</v>
      </c>
      <c r="O95" s="19" t="n">
        <v>41202</v>
      </c>
      <c r="P95" s="18" t="n">
        <v>18716</v>
      </c>
      <c r="Q95" s="19" t="n">
        <v>39913</v>
      </c>
      <c r="R95" s="18" t="n">
        <v>48653</v>
      </c>
      <c r="S95" s="20" t="n">
        <v>31525</v>
      </c>
      <c r="T95" s="6" t="n">
        <v>2</v>
      </c>
      <c r="U95" s="5" t="inlineStr">
        <is>
          <t>Plasma(NSP) / 2025년 / ~2026년 | Plasma(NSP) / 2026년 / ~2026년</t>
        </is>
      </c>
      <c r="V95" s="21">
        <f>HYPERLINK("https://dart.fss.or.kr/dsaf001/main.do?rcpNo=20260814003840", "공시열람")</f>
        <v/>
      </c>
    </row>
    <row r="96">
      <c r="A96" s="5" t="inlineStr">
        <is>
          <t>대원전선</t>
        </is>
      </c>
      <c r="B96" s="6" t="inlineStr">
        <is>
          <t>006340</t>
        </is>
      </c>
      <c r="C96" s="6" t="inlineStr">
        <is>
          <t>2026Q2</t>
        </is>
      </c>
      <c r="D96" s="6" t="inlineStr">
        <is>
          <t>20260812</t>
        </is>
      </c>
      <c r="E96" s="16" t="n">
        <v>407474</v>
      </c>
      <c r="F96" s="16" t="n">
        <v>349262</v>
      </c>
      <c r="G96" s="16" t="n">
        <v>58212</v>
      </c>
      <c r="H96" s="6" t="inlineStr">
        <is>
          <t>톤,백만원</t>
        </is>
      </c>
      <c r="I96" s="17" t="n">
        <v>8.199999999999999</v>
      </c>
      <c r="J96" s="18" t="n">
        <v>34574</v>
      </c>
      <c r="K96" s="19" t="n">
        <v>46777</v>
      </c>
      <c r="L96" s="18" t="n">
        <v>45799</v>
      </c>
      <c r="M96" s="19" t="n">
        <v>45683</v>
      </c>
      <c r="N96" s="18" t="n">
        <v>40917</v>
      </c>
      <c r="O96" s="19" t="n">
        <v>41037</v>
      </c>
      <c r="P96" s="18" t="n">
        <v>41843</v>
      </c>
      <c r="Q96" s="19" t="n">
        <v>43410</v>
      </c>
      <c r="R96" s="18" t="n">
        <v>53787</v>
      </c>
      <c r="S96" s="20" t="n">
        <v>58212</v>
      </c>
      <c r="T96" s="6" t="n">
        <v>4</v>
      </c>
      <c r="U96" s="5" t="inlineStr">
        <is>
          <t>절연전선 / 2026년 | 전력전선 / 2026년 | 나 선 / 2026년</t>
        </is>
      </c>
      <c r="V96" s="21">
        <f>HYPERLINK("https://dart.fss.or.kr/dsaf001/main.do?rcpNo=20260812000613", "공시열람")</f>
        <v/>
      </c>
    </row>
    <row r="97">
      <c r="A97" s="5" t="inlineStr">
        <is>
          <t>GS건설</t>
        </is>
      </c>
      <c r="B97" s="6" t="inlineStr">
        <is>
          <t>006360</t>
        </is>
      </c>
      <c r="C97" s="6" t="inlineStr">
        <is>
          <t>2026Q2</t>
        </is>
      </c>
      <c r="D97" s="6" t="inlineStr">
        <is>
          <t>20260814</t>
        </is>
      </c>
      <c r="E97" s="16" t="inlineStr"/>
      <c r="F97" s="16" t="n">
        <v>18472133</v>
      </c>
      <c r="G97" s="16" t="n">
        <v>48536168</v>
      </c>
      <c r="H97" s="6" t="inlineStr">
        <is>
          <t>백만원</t>
        </is>
      </c>
      <c r="I97" s="17" t="n">
        <v>2.8</v>
      </c>
      <c r="J97" s="18" t="n">
        <v>29340737</v>
      </c>
      <c r="K97" s="19" t="n">
        <v>28952469</v>
      </c>
      <c r="L97" s="18" t="n">
        <v>29113747</v>
      </c>
      <c r="M97" s="19" t="n">
        <v>31203671</v>
      </c>
      <c r="N97" s="18" t="n">
        <v>40433715</v>
      </c>
      <c r="O97" s="19" t="n">
        <v>40915432</v>
      </c>
      <c r="P97" s="18" t="n">
        <v>42809047</v>
      </c>
      <c r="Q97" s="19" t="n">
        <v>46472745</v>
      </c>
      <c r="R97" s="18" t="n">
        <v>47213188</v>
      </c>
      <c r="S97" s="20" t="n">
        <v>48536168</v>
      </c>
      <c r="T97" s="6" t="n">
        <v>71</v>
      </c>
      <c r="U97" s="5" t="inlineStr">
        <is>
          <t>기타 | 복산1구역 주택재개발정비사업조합 / 복산1구역주택재개발 | 마천3재정비촉진구역주택재개발정비사업조합 / 마천3구역주</t>
        </is>
      </c>
      <c r="V97" s="21">
        <f>HYPERLINK("https://dart.fss.or.kr/dsaf001/main.do?rcpNo=20260814002722", "공시열람")</f>
        <v/>
      </c>
    </row>
    <row r="98">
      <c r="A98" s="5" t="inlineStr">
        <is>
          <t>대림통상</t>
        </is>
      </c>
      <c r="B98" s="6" t="inlineStr">
        <is>
          <t>006570</t>
        </is>
      </c>
      <c r="C98" s="6" t="inlineStr">
        <is>
          <t>2026Q2</t>
        </is>
      </c>
      <c r="D98" s="6" t="inlineStr">
        <is>
          <t>20260814</t>
        </is>
      </c>
      <c r="E98" s="16" t="n">
        <v>73587</v>
      </c>
      <c r="F98" s="16" t="n">
        <v>14074</v>
      </c>
      <c r="G98" s="16" t="n">
        <v>59513</v>
      </c>
      <c r="H98" s="6" t="inlineStr">
        <is>
          <t>백만원</t>
        </is>
      </c>
      <c r="I98" s="17" t="n">
        <v>0.7</v>
      </c>
      <c r="J98" s="18" t="n">
        <v>102302</v>
      </c>
      <c r="K98" s="19" t="n">
        <v>56737</v>
      </c>
      <c r="L98" s="18" t="n">
        <v>65264</v>
      </c>
      <c r="M98" s="19" t="n">
        <v>59949</v>
      </c>
      <c r="N98" s="18" t="n">
        <v>58788</v>
      </c>
      <c r="O98" s="19" t="n">
        <v>67141</v>
      </c>
      <c r="P98" s="18" t="n">
        <v>72306</v>
      </c>
      <c r="Q98" s="19" t="n">
        <v>65254</v>
      </c>
      <c r="R98" s="18" t="n">
        <v>59095</v>
      </c>
      <c r="S98" s="20" t="n">
        <v>59513</v>
      </c>
      <c r="T98" s="6" t="n">
        <v>2</v>
      </c>
      <c r="U98" s="5" t="inlineStr">
        <is>
          <t>수전금구 / ~2026년 6월 말 / ~2029년 | 비데 등 / ~2026년 6월 말 / ~2029년</t>
        </is>
      </c>
      <c r="V98" s="21">
        <f>HYPERLINK("https://dart.fss.or.kr/dsaf001/main.do?rcpNo=20260814004053", "공시열람")</f>
        <v/>
      </c>
    </row>
    <row r="99">
      <c r="A99" s="5" t="inlineStr">
        <is>
          <t>AK홀딩스</t>
        </is>
      </c>
      <c r="B99" s="6" t="inlineStr">
        <is>
          <t>006840</t>
        </is>
      </c>
      <c r="C99" s="6" t="inlineStr">
        <is>
          <t>2026Q2</t>
        </is>
      </c>
      <c r="D99" s="6" t="inlineStr">
        <is>
          <t>20260814</t>
        </is>
      </c>
      <c r="E99" s="16" t="n">
        <v>981</v>
      </c>
      <c r="F99" s="16" t="n">
        <v>328</v>
      </c>
      <c r="G99" s="16" t="n">
        <v>653</v>
      </c>
      <c r="H99" s="6" t="inlineStr">
        <is>
          <t>억원</t>
        </is>
      </c>
      <c r="I99" s="17" t="n">
        <v>-100</v>
      </c>
      <c r="J99" s="18" t="n">
        <v>12031250</v>
      </c>
      <c r="K99" s="19" t="n">
        <v>10937500</v>
      </c>
      <c r="L99" s="18" t="n">
        <v>9843750</v>
      </c>
      <c r="M99" s="19" t="n">
        <v>8750000</v>
      </c>
      <c r="N99" s="18" t="n">
        <v>7656250</v>
      </c>
      <c r="O99" s="19" t="n">
        <v>6562500</v>
      </c>
      <c r="P99" s="18" t="n">
        <v>5468750</v>
      </c>
      <c r="Q99" s="19" t="n">
        <v>4375000</v>
      </c>
      <c r="R99" s="18" t="n">
        <v>3281250</v>
      </c>
      <c r="S99" s="20" t="n">
        <v>653</v>
      </c>
      <c r="T99" s="6" t="n">
        <v>3</v>
      </c>
      <c r="U99" s="5" t="inlineStr">
        <is>
          <t>용역 / - | 기타 / - | 상품 / -</t>
        </is>
      </c>
      <c r="V99" s="21">
        <f>HYPERLINK("https://dart.fss.or.kr/dsaf001/main.do?rcpNo=20260814004076", "공시열람")</f>
        <v/>
      </c>
    </row>
    <row r="100">
      <c r="A100" s="5" t="inlineStr">
        <is>
          <t>모헨즈</t>
        </is>
      </c>
      <c r="B100" s="6" t="inlineStr">
        <is>
          <t>006920</t>
        </is>
      </c>
      <c r="C100" s="6" t="inlineStr">
        <is>
          <t>2026Q2</t>
        </is>
      </c>
      <c r="D100" s="6" t="inlineStr">
        <is>
          <t>20260814</t>
        </is>
      </c>
      <c r="E100" s="16" t="n">
        <v>46425000</v>
      </c>
      <c r="F100" s="16" t="n">
        <v>26373394</v>
      </c>
      <c r="G100" s="16" t="n">
        <v>20216343</v>
      </c>
      <c r="H100" s="6" t="inlineStr">
        <is>
          <t>㎥,천원</t>
        </is>
      </c>
      <c r="I100" s="17" t="n">
        <v>-42.3</v>
      </c>
      <c r="J100" s="18" t="n">
        <v>42543482</v>
      </c>
      <c r="K100" s="19" t="n">
        <v>24620136</v>
      </c>
      <c r="L100" s="18" t="n">
        <v>11027721</v>
      </c>
      <c r="M100" s="19" t="n">
        <v>0</v>
      </c>
      <c r="N100" s="18" t="n">
        <v>42777613</v>
      </c>
      <c r="O100" s="19" t="n">
        <v>30332443</v>
      </c>
      <c r="P100" s="18" t="n">
        <v>20146794</v>
      </c>
      <c r="Q100" s="19" t="n">
        <v>0</v>
      </c>
      <c r="R100" s="18" t="n">
        <v>35022073</v>
      </c>
      <c r="S100" s="20" t="n">
        <v>20216343</v>
      </c>
      <c r="T100" s="6" t="n">
        <v>2</v>
      </c>
      <c r="U100" s="5" t="inlineStr">
        <is>
          <t>레미콘(제 품) / 2026년 / 1/1 ~ 12/31 | 용접(제 품) / 2026년 / 1/1 ~ 12/31</t>
        </is>
      </c>
      <c r="V100" s="21">
        <f>HYPERLINK("https://dart.fss.or.kr/dsaf001/main.do?rcpNo=20260814001124", "공시열람")</f>
        <v/>
      </c>
    </row>
    <row r="101">
      <c r="A101" s="5" t="inlineStr">
        <is>
          <t>에스테크엠</t>
        </is>
      </c>
      <c r="B101" s="6" t="inlineStr">
        <is>
          <t>0070X0</t>
        </is>
      </c>
      <c r="C101" s="6" t="inlineStr">
        <is>
          <t>2025Q4</t>
        </is>
      </c>
      <c r="D101" s="6" t="inlineStr">
        <is>
          <t>20260504</t>
        </is>
      </c>
      <c r="E101" s="16" t="n">
        <v>7450000000</v>
      </c>
      <c r="F101" s="16" t="inlineStr"/>
      <c r="G101" s="16" t="n">
        <v>2101487000</v>
      </c>
      <c r="H101" s="6" t="inlineStr"/>
      <c r="I101" s="17" t="inlineStr"/>
      <c r="J101" s="18" t="inlineStr"/>
      <c r="K101" s="19" t="inlineStr"/>
      <c r="L101" s="18" t="inlineStr"/>
      <c r="M101" s="19" t="inlineStr"/>
      <c r="N101" s="18" t="inlineStr"/>
      <c r="O101" s="19" t="inlineStr"/>
      <c r="P101" s="18" t="inlineStr"/>
      <c r="Q101" s="19" t="n">
        <v>2101487000</v>
      </c>
      <c r="R101" s="18" t="inlineStr"/>
      <c r="S101" s="20" t="inlineStr"/>
      <c r="T101" s="6" t="n">
        <v>2</v>
      </c>
      <c r="U101" s="5" t="inlineStr">
        <is>
          <t>(주)나인테크 / 장비제작 (Lami, 스태킹) / 2 | (주)유일에너테크 / 장비제작 (Assembly A10</t>
        </is>
      </c>
      <c r="V101" s="21">
        <f>HYPERLINK("https://dart.fss.or.kr/dsaf001/main.do?rcpNo=20260504000188", "공시열람")</f>
        <v/>
      </c>
    </row>
    <row r="102">
      <c r="A102" s="5" t="inlineStr">
        <is>
          <t>벽산</t>
        </is>
      </c>
      <c r="B102" s="6" t="inlineStr">
        <is>
          <t>007210</t>
        </is>
      </c>
      <c r="C102" s="6" t="inlineStr">
        <is>
          <t>2026Q2</t>
        </is>
      </c>
      <c r="D102" s="6" t="inlineStr">
        <is>
          <t>20260814</t>
        </is>
      </c>
      <c r="E102" s="16" t="n">
        <v>135621</v>
      </c>
      <c r="F102" s="16" t="n">
        <v>6081</v>
      </c>
      <c r="G102" s="16" t="n">
        <v>129540</v>
      </c>
      <c r="H102" s="6" t="inlineStr">
        <is>
          <t>백만원</t>
        </is>
      </c>
      <c r="I102" s="17" t="n">
        <v>4</v>
      </c>
      <c r="J102" s="18" t="n">
        <v>145837</v>
      </c>
      <c r="K102" s="19" t="n">
        <v>140361330</v>
      </c>
      <c r="L102" s="18" t="n">
        <v>124217403</v>
      </c>
      <c r="M102" s="19" t="n">
        <v>124968170</v>
      </c>
      <c r="N102" s="18" t="n">
        <v>117663</v>
      </c>
      <c r="O102" s="19" t="n">
        <v>123953</v>
      </c>
      <c r="P102" s="18" t="n">
        <v>114102</v>
      </c>
      <c r="Q102" s="19" t="n">
        <v>121616</v>
      </c>
      <c r="R102" s="18" t="n">
        <v>124604</v>
      </c>
      <c r="S102" s="20" t="n">
        <v>129540</v>
      </c>
      <c r="T102" s="6" t="n">
        <v>2</v>
      </c>
      <c r="U102" s="5" t="inlineStr">
        <is>
          <t>레인지후드 외 (주1,2) / 26.07.01 이전 / | 환기시스템공사 (주3) / - / 26.07.01~29</t>
        </is>
      </c>
      <c r="V102" s="21">
        <f>HYPERLINK("https://dart.fss.or.kr/dsaf001/main.do?rcpNo=20260814003220", "공시열람")</f>
        <v/>
      </c>
    </row>
    <row r="103">
      <c r="A103" s="5" t="inlineStr">
        <is>
          <t>한국특강</t>
        </is>
      </c>
      <c r="B103" s="6" t="inlineStr">
        <is>
          <t>007280</t>
        </is>
      </c>
      <c r="C103" s="6" t="inlineStr">
        <is>
          <t>2025Q3</t>
        </is>
      </c>
      <c r="D103" s="6" t="inlineStr">
        <is>
          <t>20251114</t>
        </is>
      </c>
      <c r="E103" s="16" t="n">
        <v>131605</v>
      </c>
      <c r="F103" s="16" t="n">
        <v>123023</v>
      </c>
      <c r="G103" s="16" t="n">
        <v>8582</v>
      </c>
      <c r="H103" s="6" t="inlineStr">
        <is>
          <t>톤,백만원,VAT포함</t>
        </is>
      </c>
      <c r="I103" s="17" t="n">
        <v>-68.3</v>
      </c>
      <c r="J103" s="18" t="n">
        <v>131605</v>
      </c>
      <c r="K103" s="19" t="n">
        <v>131049</v>
      </c>
      <c r="L103" s="18" t="n">
        <v>126963</v>
      </c>
      <c r="M103" s="19" t="n">
        <v>74259</v>
      </c>
      <c r="N103" s="18" t="n">
        <v>46460</v>
      </c>
      <c r="O103" s="19" t="n">
        <v>27099</v>
      </c>
      <c r="P103" s="18" t="n">
        <v>8582</v>
      </c>
      <c r="Q103" s="19" t="inlineStr"/>
      <c r="R103" s="18" t="inlineStr"/>
      <c r="S103" s="20" t="inlineStr"/>
      <c r="T103" s="6" t="n">
        <v>1</v>
      </c>
      <c r="U103" s="5" t="inlineStr">
        <is>
          <t>철근 / 조달청 / 2024.05.09</t>
        </is>
      </c>
      <c r="V103" s="21">
        <f>HYPERLINK("https://dart.fss.or.kr/dsaf001/main.do?rcpNo=20251114002423", "공시열람")</f>
        <v/>
      </c>
    </row>
    <row r="104">
      <c r="A104" s="5" t="inlineStr">
        <is>
          <t>에이프로젠</t>
        </is>
      </c>
      <c r="B104" s="6" t="inlineStr">
        <is>
          <t>007460</t>
        </is>
      </c>
      <c r="C104" s="6" t="inlineStr">
        <is>
          <t>2026Q2</t>
        </is>
      </c>
      <c r="D104" s="6" t="inlineStr">
        <is>
          <t>20260814</t>
        </is>
      </c>
      <c r="E104" s="16" t="n">
        <v>33894</v>
      </c>
      <c r="F104" s="16" t="n">
        <v>21579</v>
      </c>
      <c r="G104" s="16" t="n">
        <v>12315</v>
      </c>
      <c r="H104" s="6" t="inlineStr">
        <is>
          <t>백만원</t>
        </is>
      </c>
      <c r="I104" s="17" t="n">
        <v>-15.9</v>
      </c>
      <c r="J104" s="18" t="n">
        <v>4886</v>
      </c>
      <c r="K104" s="19" t="n">
        <v>3492</v>
      </c>
      <c r="L104" s="18" t="n">
        <v>3056</v>
      </c>
      <c r="M104" s="19" t="n">
        <v>1015</v>
      </c>
      <c r="N104" s="18" t="n">
        <v>198</v>
      </c>
      <c r="O104" s="19" t="n">
        <v>1005</v>
      </c>
      <c r="P104" s="18" t="n">
        <v>15475</v>
      </c>
      <c r="Q104" s="19" t="n">
        <v>15225</v>
      </c>
      <c r="R104" s="18" t="n">
        <v>14649</v>
      </c>
      <c r="S104" s="20" t="n">
        <v>12315</v>
      </c>
      <c r="T104" s="6" t="n">
        <v>14</v>
      </c>
      <c r="U104" s="5" t="inlineStr">
        <is>
          <t>서리풀 업무 복합시설 개발사업 신축공사(남측부지) /  | 방위사업청청사신축공사 중 지열시스템 / 2026-03- | 홍성군 신청사 건립공사 중 지열공사 / 2025-05-</t>
        </is>
      </c>
      <c r="V104" s="21">
        <f>HYPERLINK("https://dart.fss.or.kr/dsaf001/main.do?rcpNo=20260814002805", "공시열람")</f>
        <v/>
      </c>
    </row>
    <row r="105">
      <c r="A105" s="5" t="inlineStr">
        <is>
          <t>동방아그로</t>
        </is>
      </c>
      <c r="B105" s="6" t="inlineStr">
        <is>
          <t>007590</t>
        </is>
      </c>
      <c r="C105" s="6" t="inlineStr">
        <is>
          <t>2026Q2</t>
        </is>
      </c>
      <c r="D105" s="6" t="inlineStr">
        <is>
          <t>20260814</t>
        </is>
      </c>
      <c r="E105" s="16" t="n">
        <v>85945573</v>
      </c>
      <c r="F105" s="16" t="n">
        <v>66484767</v>
      </c>
      <c r="G105" s="16" t="n">
        <v>19460806</v>
      </c>
      <c r="H105" s="6" t="inlineStr">
        <is>
          <t>병/봉,천원</t>
        </is>
      </c>
      <c r="I105" s="17" t="n">
        <v>-61.6</v>
      </c>
      <c r="J105" s="18" t="n">
        <v>59020809</v>
      </c>
      <c r="K105" s="19" t="n">
        <v>27602798</v>
      </c>
      <c r="L105" s="18" t="n">
        <v>15014186</v>
      </c>
      <c r="M105" s="19" t="n">
        <v>10848934</v>
      </c>
      <c r="N105" s="18" t="n">
        <v>52203249</v>
      </c>
      <c r="O105" s="19" t="n">
        <v>22555586</v>
      </c>
      <c r="P105" s="18" t="n">
        <v>10709455</v>
      </c>
      <c r="Q105" s="19" t="n">
        <v>0</v>
      </c>
      <c r="R105" s="18" t="n">
        <v>50637222</v>
      </c>
      <c r="S105" s="20" t="n">
        <v>19460806</v>
      </c>
      <c r="T105" s="6" t="n">
        <v>1</v>
      </c>
      <c r="U105" s="5" t="inlineStr">
        <is>
          <t>농약 / 2026.02.06 / 2026.02.06~2</t>
        </is>
      </c>
      <c r="V105" s="21">
        <f>HYPERLINK("https://dart.fss.or.kr/dsaf001/main.do?rcpNo=20260814002764", "공시열람")</f>
        <v/>
      </c>
    </row>
    <row r="106">
      <c r="A106" s="5" t="inlineStr">
        <is>
          <t>선도전기</t>
        </is>
      </c>
      <c r="B106" s="6" t="inlineStr">
        <is>
          <t>007610</t>
        </is>
      </c>
      <c r="C106" s="6" t="inlineStr">
        <is>
          <t>2022Q4</t>
        </is>
      </c>
      <c r="D106" s="6" t="inlineStr">
        <is>
          <t>20240502</t>
        </is>
      </c>
      <c r="E106" s="16" t="n">
        <v>113445</v>
      </c>
      <c r="F106" s="16" t="n">
        <v>55666</v>
      </c>
      <c r="G106" s="16" t="n">
        <v>57779</v>
      </c>
      <c r="H106" s="6" t="inlineStr">
        <is>
          <t>백만원</t>
        </is>
      </c>
      <c r="I106" s="17" t="inlineStr"/>
      <c r="J106" s="18" t="inlineStr"/>
      <c r="K106" s="19" t="inlineStr"/>
      <c r="L106" s="18" t="inlineStr"/>
      <c r="M106" s="19" t="inlineStr"/>
      <c r="N106" s="18" t="inlineStr"/>
      <c r="O106" s="19" t="inlineStr"/>
      <c r="P106" s="18" t="inlineStr"/>
      <c r="Q106" s="19" t="inlineStr"/>
      <c r="R106" s="18" t="inlineStr"/>
      <c r="S106" s="20" t="inlineStr"/>
      <c r="T106" s="6" t="n">
        <v>5</v>
      </c>
      <c r="U106" s="5" t="inlineStr">
        <is>
          <t>수배전반류 / 22.01.01-12.31 | 태양광 / 22.01.01-12.31 | 전기공사 / 22.01.01-12.31</t>
        </is>
      </c>
      <c r="V106" s="21">
        <f>HYPERLINK("https://dart.fss.or.kr/dsaf001/main.do?rcpNo=20240502000538", "공시열람")</f>
        <v/>
      </c>
    </row>
    <row r="107">
      <c r="A107" s="5" t="inlineStr">
        <is>
          <t>이수페타시스</t>
        </is>
      </c>
      <c r="B107" s="6" t="inlineStr">
        <is>
          <t>007660</t>
        </is>
      </c>
      <c r="C107" s="6" t="inlineStr">
        <is>
          <t>2026Q2</t>
        </is>
      </c>
      <c r="D107" s="6" t="inlineStr">
        <is>
          <t>20260814</t>
        </is>
      </c>
      <c r="E107" s="16" t="n">
        <v>836195</v>
      </c>
      <c r="F107" s="16" t="n">
        <v>571375</v>
      </c>
      <c r="G107" s="16" t="n">
        <v>622180</v>
      </c>
      <c r="H107" s="6" t="inlineStr">
        <is>
          <t>㎡,백만원</t>
        </is>
      </c>
      <c r="I107" s="17" t="n">
        <v>8.4</v>
      </c>
      <c r="J107" s="18" t="n">
        <v>222618</v>
      </c>
      <c r="K107" s="19" t="n">
        <v>220131</v>
      </c>
      <c r="L107" s="18" t="n">
        <v>221900</v>
      </c>
      <c r="M107" s="19" t="n">
        <v>259266</v>
      </c>
      <c r="N107" s="18" t="n">
        <v>295719</v>
      </c>
      <c r="O107" s="19" t="n">
        <v>315496</v>
      </c>
      <c r="P107" s="18" t="n">
        <v>331893</v>
      </c>
      <c r="Q107" s="19" t="n">
        <v>357562</v>
      </c>
      <c r="R107" s="18" t="n">
        <v>573743</v>
      </c>
      <c r="S107" s="20" t="n">
        <v>622180</v>
      </c>
      <c r="T107" s="6" t="n">
        <v>1</v>
      </c>
      <c r="U107" s="5" t="inlineStr">
        <is>
          <t>PCB / 2026.01.01~2026.06.30</t>
        </is>
      </c>
      <c r="V107" s="21">
        <f>HYPERLINK("https://dart.fss.or.kr/dsaf001/main.do?rcpNo=20260814002283", "공시열람")</f>
        <v/>
      </c>
    </row>
    <row r="108">
      <c r="A108" s="5" t="inlineStr">
        <is>
          <t>대원</t>
        </is>
      </c>
      <c r="B108" s="6" t="inlineStr">
        <is>
          <t>007680</t>
        </is>
      </c>
      <c r="C108" s="6" t="inlineStr">
        <is>
          <t>2026Q2</t>
        </is>
      </c>
      <c r="D108" s="6" t="inlineStr">
        <is>
          <t>20261001</t>
        </is>
      </c>
      <c r="E108" s="16" t="inlineStr"/>
      <c r="F108" s="16" t="n">
        <v>169056218</v>
      </c>
      <c r="G108" s="16" t="n">
        <v>226933680</v>
      </c>
      <c r="H108" s="6" t="inlineStr">
        <is>
          <t>천원</t>
        </is>
      </c>
      <c r="I108" s="17" t="n">
        <v>15.2</v>
      </c>
      <c r="J108" s="18" t="n">
        <v>408626094</v>
      </c>
      <c r="K108" s="19" t="n">
        <v>351954982</v>
      </c>
      <c r="L108" s="18" t="n">
        <v>304729125</v>
      </c>
      <c r="M108" s="19" t="n">
        <v>276007592</v>
      </c>
      <c r="N108" s="18" t="n">
        <v>262628960</v>
      </c>
      <c r="O108" s="19" t="n">
        <v>218475632</v>
      </c>
      <c r="P108" s="18" t="n">
        <v>206402686</v>
      </c>
      <c r="Q108" s="19" t="n">
        <v>218343843</v>
      </c>
      <c r="R108" s="18" t="n">
        <v>196970495</v>
      </c>
      <c r="S108" s="20" t="n">
        <v>226933680</v>
      </c>
      <c r="T108" s="6" t="n">
        <v>20</v>
      </c>
      <c r="U108" s="5" t="inlineStr">
        <is>
          <t>남주동8구역 가로주택정비사업조합 / 청주 남주 주상복합 | 자체공사 / 김포북변아파트 | 한국토지주택공사 경기북부지역본부 / 의정부법조타운 공공</t>
        </is>
      </c>
      <c r="V108" s="21">
        <f>HYPERLINK("https://dart.fss.or.kr/dsaf001/main.do?rcpNo=20261001000561", "공시열람")</f>
        <v/>
      </c>
    </row>
    <row r="109">
      <c r="A109" s="5" t="inlineStr">
        <is>
          <t>코리아써키트</t>
        </is>
      </c>
      <c r="B109" s="6" t="inlineStr">
        <is>
          <t>007810</t>
        </is>
      </c>
      <c r="C109" s="6" t="inlineStr">
        <is>
          <t>2026Q2</t>
        </is>
      </c>
      <c r="D109" s="6" t="inlineStr">
        <is>
          <t>20260814</t>
        </is>
      </c>
      <c r="E109" s="16" t="n">
        <v>1027468</v>
      </c>
      <c r="F109" s="16" t="n">
        <v>600829</v>
      </c>
      <c r="G109" s="16" t="n">
        <v>426639</v>
      </c>
      <c r="H109" s="6" t="inlineStr">
        <is>
          <t>천㎡,백만원</t>
        </is>
      </c>
      <c r="I109" s="17" t="n">
        <v>171.3</v>
      </c>
      <c r="J109" s="18" t="n">
        <v>108719</v>
      </c>
      <c r="K109" s="19" t="n">
        <v>133743</v>
      </c>
      <c r="L109" s="18" t="n">
        <v>121390</v>
      </c>
      <c r="M109" s="19" t="n">
        <v>120870</v>
      </c>
      <c r="N109" s="18" t="n">
        <v>139730</v>
      </c>
      <c r="O109" s="19" t="n">
        <v>159968</v>
      </c>
      <c r="P109" s="18" t="n">
        <v>114941</v>
      </c>
      <c r="Q109" s="19" t="n">
        <v>199155</v>
      </c>
      <c r="R109" s="18" t="n">
        <v>157254</v>
      </c>
      <c r="S109" s="20" t="n">
        <v>426639</v>
      </c>
      <c r="T109" s="6" t="n">
        <v>2</v>
      </c>
      <c r="U109" s="5" t="inlineStr">
        <is>
          <t>PCB / 2026.01.01~2026.06.30 | FPCB / 2026.01.01~2026.06.30</t>
        </is>
      </c>
      <c r="V109" s="21">
        <f>HYPERLINK("https://dart.fss.or.kr/dsaf001/main.do?rcpNo=20260814002394", "공시열람")</f>
        <v/>
      </c>
    </row>
    <row r="110">
      <c r="A110" s="5" t="inlineStr">
        <is>
          <t>엠엑스로보틱스</t>
        </is>
      </c>
      <c r="B110" s="6" t="inlineStr">
        <is>
          <t>007820</t>
        </is>
      </c>
      <c r="C110" s="6" t="inlineStr">
        <is>
          <t>2026Q2</t>
        </is>
      </c>
      <c r="D110" s="6" t="inlineStr">
        <is>
          <t>20260813</t>
        </is>
      </c>
      <c r="E110" s="16" t="n">
        <v>235918460</v>
      </c>
      <c r="F110" s="16" t="n">
        <v>46028966</v>
      </c>
      <c r="G110" s="16" t="n">
        <v>189889494</v>
      </c>
      <c r="H110" s="6" t="inlineStr">
        <is>
          <t>천원</t>
        </is>
      </c>
      <c r="I110" s="17" t="n">
        <v>3.9</v>
      </c>
      <c r="J110" s="18" t="n">
        <v>256202055</v>
      </c>
      <c r="K110" s="19" t="n">
        <v>297036610</v>
      </c>
      <c r="L110" s="18" t="n">
        <v>254105440</v>
      </c>
      <c r="M110" s="19" t="n">
        <v>216527287</v>
      </c>
      <c r="N110" s="18" t="n">
        <v>176253486</v>
      </c>
      <c r="O110" s="19" t="n">
        <v>154258191</v>
      </c>
      <c r="P110" s="18" t="n">
        <v>155095695</v>
      </c>
      <c r="Q110" s="19" t="n">
        <v>164329344</v>
      </c>
      <c r="R110" s="18" t="n">
        <v>182779407</v>
      </c>
      <c r="S110" s="20" t="n">
        <v>189889494</v>
      </c>
      <c r="T110" s="6" t="n">
        <v>2</v>
      </c>
      <c r="U110" s="5" t="inlineStr">
        <is>
          <t xml:space="preserve">해외 자동화 물류시스템 외 / ~ 2026.06.30  | 국내 자동화 물류시스템 외 / ~ 2026.06.30 </t>
        </is>
      </c>
      <c r="V110" s="21">
        <f>HYPERLINK("https://dart.fss.or.kr/dsaf001/main.do?rcpNo=20260813001670", "공시열람")</f>
        <v/>
      </c>
    </row>
    <row r="111">
      <c r="A111" s="5" t="inlineStr">
        <is>
          <t>서연</t>
        </is>
      </c>
      <c r="B111" s="6" t="inlineStr">
        <is>
          <t>007860</t>
        </is>
      </c>
      <c r="C111" s="6" t="inlineStr">
        <is>
          <t>2026Q2</t>
        </is>
      </c>
      <c r="D111" s="6" t="inlineStr">
        <is>
          <t>20260814</t>
        </is>
      </c>
      <c r="E111" s="16" t="inlineStr"/>
      <c r="F111" s="16" t="inlineStr"/>
      <c r="G111" s="16" t="n">
        <v>22392034</v>
      </c>
      <c r="H111" s="6" t="inlineStr">
        <is>
          <t>천원</t>
        </is>
      </c>
      <c r="I111" s="17" t="n">
        <v>-21.7</v>
      </c>
      <c r="J111" s="18" t="n">
        <v>48175375</v>
      </c>
      <c r="K111" s="19" t="n">
        <v>47653434</v>
      </c>
      <c r="L111" s="18" t="n">
        <v>47653434</v>
      </c>
      <c r="M111" s="19" t="n">
        <v>47653434</v>
      </c>
      <c r="N111" s="18" t="n">
        <v>36886361</v>
      </c>
      <c r="O111" s="19" t="n">
        <v>36886361</v>
      </c>
      <c r="P111" s="18" t="n">
        <v>36886361</v>
      </c>
      <c r="Q111" s="19" t="n">
        <v>28582057</v>
      </c>
      <c r="R111" s="18" t="n">
        <v>28582056</v>
      </c>
      <c r="S111" s="20" t="n">
        <v>22392034</v>
      </c>
      <c r="T111" s="6" t="n">
        <v>1</v>
      </c>
      <c r="U111" s="5" t="inlineStr">
        <is>
          <t>금 형 / 금형사업부</t>
        </is>
      </c>
      <c r="V111" s="21">
        <f>HYPERLINK("https://dart.fss.or.kr/dsaf001/main.do?rcpNo=20260814003532", "공시열람")</f>
        <v/>
      </c>
    </row>
    <row r="112">
      <c r="A112" s="5" t="inlineStr">
        <is>
          <t>대덕</t>
        </is>
      </c>
      <c r="B112" s="6" t="inlineStr">
        <is>
          <t>008060</t>
        </is>
      </c>
      <c r="C112" s="6" t="inlineStr">
        <is>
          <t>2026Q2</t>
        </is>
      </c>
      <c r="D112" s="6" t="inlineStr">
        <is>
          <t>20260814</t>
        </is>
      </c>
      <c r="E112" s="16" t="n">
        <v>10777</v>
      </c>
      <c r="F112" s="16" t="n">
        <v>7449</v>
      </c>
      <c r="G112" s="16" t="n">
        <v>3328</v>
      </c>
      <c r="H112" s="6" t="inlineStr">
        <is>
          <t>천㎡,억원</t>
        </is>
      </c>
      <c r="I112" s="17" t="n">
        <v>40.2</v>
      </c>
      <c r="J112" s="18" t="n">
        <v>723</v>
      </c>
      <c r="K112" s="19" t="n">
        <v>682</v>
      </c>
      <c r="L112" s="18" t="n">
        <v>776</v>
      </c>
      <c r="M112" s="19" t="n">
        <v>357</v>
      </c>
      <c r="N112" s="18" t="n">
        <v>792</v>
      </c>
      <c r="O112" s="19" t="n">
        <v>1283</v>
      </c>
      <c r="P112" s="18" t="n">
        <v>3110</v>
      </c>
      <c r="Q112" s="19" t="n">
        <v>2168</v>
      </c>
      <c r="R112" s="18" t="n">
        <v>2374</v>
      </c>
      <c r="S112" s="20" t="n">
        <v>3328</v>
      </c>
      <c r="T112" s="6" t="n">
        <v>1</v>
      </c>
      <c r="U112" s="5" t="inlineStr">
        <is>
          <t>PCB / 2026.01.01~ 2026.06.30</t>
        </is>
      </c>
      <c r="V112" s="21">
        <f>HYPERLINK("https://dart.fss.or.kr/dsaf001/main.do?rcpNo=20260814002831", "공시열람")</f>
        <v/>
      </c>
    </row>
    <row r="113">
      <c r="A113" s="5" t="inlineStr">
        <is>
          <t>이건산업</t>
        </is>
      </c>
      <c r="B113" s="6" t="inlineStr">
        <is>
          <t>008250</t>
        </is>
      </c>
      <c r="C113" s="6" t="inlineStr">
        <is>
          <t>2026Q2</t>
        </is>
      </c>
      <c r="D113" s="6" t="inlineStr">
        <is>
          <t>20260814</t>
        </is>
      </c>
      <c r="E113" s="16" t="n">
        <v>77928</v>
      </c>
      <c r="F113" s="16" t="n">
        <v>43525</v>
      </c>
      <c r="G113" s="16" t="n">
        <v>34403</v>
      </c>
      <c r="H113" s="6" t="inlineStr">
        <is>
          <t>천M2/백만원</t>
        </is>
      </c>
      <c r="I113" s="17" t="n">
        <v>24.2</v>
      </c>
      <c r="J113" s="18" t="n">
        <v>59371</v>
      </c>
      <c r="K113" s="19" t="n">
        <v>61174</v>
      </c>
      <c r="L113" s="18" t="n">
        <v>53064</v>
      </c>
      <c r="M113" s="19" t="n">
        <v>48068</v>
      </c>
      <c r="N113" s="18" t="n">
        <v>50310</v>
      </c>
      <c r="O113" s="19" t="n">
        <v>48396</v>
      </c>
      <c r="P113" s="18" t="n">
        <v>54844</v>
      </c>
      <c r="Q113" s="19" t="n">
        <v>32010</v>
      </c>
      <c r="R113" s="18" t="n">
        <v>27691</v>
      </c>
      <c r="S113" s="20" t="n">
        <v>34403</v>
      </c>
      <c r="T113" s="6" t="n">
        <v>1</v>
      </c>
      <c r="U113" s="5" t="inlineStr">
        <is>
          <t>마루 / ~2026.06.30 / -</t>
        </is>
      </c>
      <c r="V113" s="21">
        <f>HYPERLINK("https://dart.fss.or.kr/dsaf001/main.do?rcpNo=20260814003058", "공시열람")</f>
        <v/>
      </c>
    </row>
    <row r="114">
      <c r="A114" s="5" t="inlineStr">
        <is>
          <t>남선알미늄</t>
        </is>
      </c>
      <c r="B114" s="6" t="inlineStr">
        <is>
          <t>008350</t>
        </is>
      </c>
      <c r="C114" s="6" t="inlineStr">
        <is>
          <t>2025Q3</t>
        </is>
      </c>
      <c r="D114" s="6" t="inlineStr">
        <is>
          <t>20251114</t>
        </is>
      </c>
      <c r="E114" s="16" t="inlineStr"/>
      <c r="F114" s="16" t="inlineStr"/>
      <c r="G114" s="16" t="n">
        <v>441056</v>
      </c>
      <c r="H114" s="6" t="inlineStr">
        <is>
          <t>천원</t>
        </is>
      </c>
      <c r="I114" s="17" t="n">
        <v>83.3</v>
      </c>
      <c r="J114" s="18" t="n">
        <v>22170</v>
      </c>
      <c r="K114" s="19" t="n">
        <v>10848</v>
      </c>
      <c r="L114" s="18" t="n">
        <v>33827</v>
      </c>
      <c r="M114" s="19" t="n">
        <v>37531</v>
      </c>
      <c r="N114" s="18" t="n">
        <v>15432</v>
      </c>
      <c r="O114" s="19" t="n">
        <v>240576</v>
      </c>
      <c r="P114" s="18" t="n">
        <v>441056</v>
      </c>
      <c r="Q114" s="19" t="inlineStr"/>
      <c r="R114" s="18" t="inlineStr"/>
      <c r="S114" s="20" t="inlineStr"/>
      <c r="T114" s="6" t="n">
        <v>2</v>
      </c>
      <c r="U114" s="5" t="inlineStr">
        <is>
          <t>사업결합 / - | 기말금액</t>
        </is>
      </c>
      <c r="V114" s="21">
        <f>HYPERLINK("https://dart.fss.or.kr/dsaf001/main.do?rcpNo=20251114002882", "공시열람")</f>
        <v/>
      </c>
    </row>
    <row r="115">
      <c r="A115" s="5" t="inlineStr">
        <is>
          <t>원풍</t>
        </is>
      </c>
      <c r="B115" s="6" t="inlineStr">
        <is>
          <t>008370</t>
        </is>
      </c>
      <c r="C115" s="6" t="inlineStr">
        <is>
          <t>2026Q2</t>
        </is>
      </c>
      <c r="D115" s="6" t="inlineStr">
        <is>
          <t>20260814</t>
        </is>
      </c>
      <c r="E115" s="16" t="n">
        <v>4833896</v>
      </c>
      <c r="F115" s="16" t="inlineStr"/>
      <c r="G115" s="16" t="n">
        <v>4833896</v>
      </c>
      <c r="H115" s="6" t="inlineStr">
        <is>
          <t>USD</t>
        </is>
      </c>
      <c r="I115" s="17" t="n">
        <v>-5.2</v>
      </c>
      <c r="J115" s="18" t="n">
        <v>4749052</v>
      </c>
      <c r="K115" s="19" t="n">
        <v>4549985</v>
      </c>
      <c r="L115" s="18" t="n">
        <v>4640541</v>
      </c>
      <c r="M115" s="19" t="n">
        <v>4628936</v>
      </c>
      <c r="N115" s="18" t="n">
        <v>5352337</v>
      </c>
      <c r="O115" s="19" t="n">
        <v>4056660</v>
      </c>
      <c r="P115" s="18" t="n">
        <v>4481024</v>
      </c>
      <c r="Q115" s="19" t="n">
        <v>4484723</v>
      </c>
      <c r="R115" s="18" t="n">
        <v>5100181</v>
      </c>
      <c r="S115" s="20" t="n">
        <v>4833896</v>
      </c>
      <c r="T115" s="6" t="n">
        <v>2</v>
      </c>
      <c r="U115" s="5" t="inlineStr">
        <is>
          <t xml:space="preserve">청주TARPAULIN / 2026.04~2026.06  | 옥천TARPAULIN / 2026.04~2026.06 </t>
        </is>
      </c>
      <c r="V115" s="21">
        <f>HYPERLINK("https://dart.fss.or.kr/dsaf001/main.do?rcpNo=20260814001554", "공시열람")</f>
        <v/>
      </c>
    </row>
    <row r="116">
      <c r="A116" s="5" t="inlineStr">
        <is>
          <t>율촌화학</t>
        </is>
      </c>
      <c r="B116" s="6" t="inlineStr">
        <is>
          <t>008730</t>
        </is>
      </c>
      <c r="C116" s="6" t="inlineStr">
        <is>
          <t>2024Q1</t>
        </is>
      </c>
      <c r="D116" s="6" t="inlineStr">
        <is>
          <t>20240516</t>
        </is>
      </c>
      <c r="E116" s="16" t="n">
        <v>1042020000</v>
      </c>
      <c r="F116" s="16" t="inlineStr"/>
      <c r="G116" s="16" t="n">
        <v>1042020000</v>
      </c>
      <c r="H116" s="6" t="inlineStr">
        <is>
          <t>USD</t>
        </is>
      </c>
      <c r="I116" s="17" t="n">
        <v>0</v>
      </c>
      <c r="J116" s="18" t="n">
        <v>1042020000</v>
      </c>
      <c r="K116" s="19" t="inlineStr"/>
      <c r="L116" s="18" t="inlineStr"/>
      <c r="M116" s="19" t="inlineStr"/>
      <c r="N116" s="18" t="inlineStr"/>
      <c r="O116" s="19" t="inlineStr"/>
      <c r="P116" s="18" t="inlineStr"/>
      <c r="Q116" s="19" t="inlineStr"/>
      <c r="R116" s="18" t="inlineStr"/>
      <c r="S116" s="20" t="inlineStr"/>
      <c r="T116" s="6" t="n">
        <v>1</v>
      </c>
      <c r="U116" s="5" t="inlineStr">
        <is>
          <t>LIB 제조용Aluminium Pouch / 2022-</t>
        </is>
      </c>
      <c r="V116" s="21">
        <f>HYPERLINK("https://dart.fss.or.kr/dsaf001/main.do?rcpNo=20240516001128", "공시열람")</f>
        <v/>
      </c>
    </row>
    <row r="117">
      <c r="A117" s="5" t="inlineStr">
        <is>
          <t>대동기어</t>
        </is>
      </c>
      <c r="B117" s="6" t="inlineStr">
        <is>
          <t>008830</t>
        </is>
      </c>
      <c r="C117" s="6" t="inlineStr">
        <is>
          <t>2026Q2</t>
        </is>
      </c>
      <c r="D117" s="6" t="inlineStr">
        <is>
          <t>20260814</t>
        </is>
      </c>
      <c r="E117" s="16" t="n">
        <v>126359</v>
      </c>
      <c r="F117" s="16" t="n">
        <v>126359</v>
      </c>
      <c r="G117" s="16" t="n">
        <v>0</v>
      </c>
      <c r="H117" s="6" t="inlineStr">
        <is>
          <t>개,백만원</t>
        </is>
      </c>
      <c r="I117" s="17" t="inlineStr"/>
      <c r="J117" s="18" t="n">
        <v>0</v>
      </c>
      <c r="K117" s="19" t="n">
        <v>0</v>
      </c>
      <c r="L117" s="18" t="n">
        <v>0</v>
      </c>
      <c r="M117" s="19" t="n">
        <v>0</v>
      </c>
      <c r="N117" s="18" t="n">
        <v>0</v>
      </c>
      <c r="O117" s="19" t="n">
        <v>0</v>
      </c>
      <c r="P117" s="18" t="n">
        <v>0</v>
      </c>
      <c r="Q117" s="19" t="n">
        <v>0</v>
      </c>
      <c r="R117" s="18" t="n">
        <v>0</v>
      </c>
      <c r="S117" s="20" t="n">
        <v>0</v>
      </c>
      <c r="T117" s="6" t="n">
        <v>1</v>
      </c>
      <c r="U117" s="5" t="inlineStr">
        <is>
          <t>기어 및 동력전달 장치 / 수시</t>
        </is>
      </c>
      <c r="V117" s="21">
        <f>HYPERLINK("https://dart.fss.or.kr/dsaf001/main.do?rcpNo=20260814001141", "공시열람")</f>
        <v/>
      </c>
    </row>
    <row r="118">
      <c r="A118" s="5" t="inlineStr">
        <is>
          <t>KBI동양철관</t>
        </is>
      </c>
      <c r="B118" s="6" t="inlineStr">
        <is>
          <t>008970</t>
        </is>
      </c>
      <c r="C118" s="6" t="inlineStr">
        <is>
          <t>2026Q2</t>
        </is>
      </c>
      <c r="D118" s="6" t="inlineStr">
        <is>
          <t>20260930</t>
        </is>
      </c>
      <c r="E118" s="16" t="n">
        <v>2042</v>
      </c>
      <c r="F118" s="16" t="n">
        <v>382</v>
      </c>
      <c r="G118" s="16" t="n">
        <v>1660</v>
      </c>
      <c r="H118" s="6" t="inlineStr">
        <is>
          <t>톤,억원</t>
        </is>
      </c>
      <c r="I118" s="17" t="n">
        <v>-9.4</v>
      </c>
      <c r="J118" s="18" t="n">
        <v>252</v>
      </c>
      <c r="K118" s="19" t="n">
        <v>397</v>
      </c>
      <c r="L118" s="18" t="n">
        <v>665</v>
      </c>
      <c r="M118" s="19" t="n">
        <v>576</v>
      </c>
      <c r="N118" s="18" t="n">
        <v>402</v>
      </c>
      <c r="O118" s="19" t="n">
        <v>593</v>
      </c>
      <c r="P118" s="18" t="n">
        <v>863</v>
      </c>
      <c r="Q118" s="19" t="n">
        <v>608</v>
      </c>
      <c r="R118" s="18" t="n">
        <v>1833</v>
      </c>
      <c r="S118" s="20" t="n">
        <v>1660</v>
      </c>
      <c r="T118" s="6" t="n">
        <v>1</v>
      </c>
      <c r="U118" s="5" t="inlineStr">
        <is>
          <t>강관제품 / 2026.01.01 ~ 06.30</t>
        </is>
      </c>
      <c r="V118" s="21">
        <f>HYPERLINK("https://dart.fss.or.kr/dsaf001/main.do?rcpNo=20260930000528", "공시열람")</f>
        <v/>
      </c>
    </row>
    <row r="119">
      <c r="A119" s="5" t="inlineStr">
        <is>
          <t>경인전자</t>
        </is>
      </c>
      <c r="B119" s="6" t="inlineStr">
        <is>
          <t>009140</t>
        </is>
      </c>
      <c r="C119" s="6" t="inlineStr">
        <is>
          <t>2026Q2</t>
        </is>
      </c>
      <c r="D119" s="6" t="inlineStr">
        <is>
          <t>20260814</t>
        </is>
      </c>
      <c r="E119" s="16" t="n">
        <v>28218247</v>
      </c>
      <c r="F119" s="16" t="n">
        <v>22762044</v>
      </c>
      <c r="G119" s="16" t="n">
        <v>5456203</v>
      </c>
      <c r="H119" s="6" t="inlineStr">
        <is>
          <t>천개,천원</t>
        </is>
      </c>
      <c r="I119" s="17" t="n">
        <v>-44.6</v>
      </c>
      <c r="J119" s="18" t="n">
        <v>3423158</v>
      </c>
      <c r="K119" s="19" t="n">
        <v>3691057</v>
      </c>
      <c r="L119" s="18" t="n">
        <v>2827988</v>
      </c>
      <c r="M119" s="19" t="n">
        <v>3078538</v>
      </c>
      <c r="N119" s="18" t="n">
        <v>4169236</v>
      </c>
      <c r="O119" s="19" t="n">
        <v>3644247</v>
      </c>
      <c r="P119" s="18" t="n">
        <v>4931511</v>
      </c>
      <c r="Q119" s="19" t="n">
        <v>5729817</v>
      </c>
      <c r="R119" s="18" t="n">
        <v>9840818</v>
      </c>
      <c r="S119" s="20" t="n">
        <v>5456203</v>
      </c>
      <c r="T119" s="6" t="n">
        <v>4</v>
      </c>
      <c r="U119" s="5" t="inlineStr">
        <is>
          <t>REMOCON / - / 120일 | TMS / - / 30일 | SWITCH / - / 30일</t>
        </is>
      </c>
      <c r="V119" s="21">
        <f>HYPERLINK("https://dart.fss.or.kr/dsaf001/main.do?rcpNo=20260814002986", "공시열람")</f>
        <v/>
      </c>
    </row>
    <row r="120">
      <c r="A120" s="5" t="inlineStr">
        <is>
          <t>SIMPAC</t>
        </is>
      </c>
      <c r="B120" s="6" t="inlineStr">
        <is>
          <t>009160</t>
        </is>
      </c>
      <c r="C120" s="6" t="inlineStr">
        <is>
          <t>2026Q2</t>
        </is>
      </c>
      <c r="D120" s="6" t="inlineStr">
        <is>
          <t>20260814</t>
        </is>
      </c>
      <c r="E120" s="16" t="n">
        <v>139498</v>
      </c>
      <c r="F120" s="16" t="n">
        <v>86546</v>
      </c>
      <c r="G120" s="16" t="n">
        <v>241755</v>
      </c>
      <c r="H120" s="6" t="inlineStr">
        <is>
          <t>백만원</t>
        </is>
      </c>
      <c r="I120" s="17" t="n">
        <v>23.6</v>
      </c>
      <c r="J120" s="18" t="n">
        <v>258726</v>
      </c>
      <c r="K120" s="19" t="n">
        <v>249030</v>
      </c>
      <c r="L120" s="18" t="n">
        <v>232474</v>
      </c>
      <c r="M120" s="19" t="n">
        <v>241613</v>
      </c>
      <c r="N120" s="18" t="n">
        <v>250178</v>
      </c>
      <c r="O120" s="19" t="n">
        <v>244801</v>
      </c>
      <c r="P120" s="18" t="n">
        <v>217787</v>
      </c>
      <c r="Q120" s="19" t="n">
        <v>204026</v>
      </c>
      <c r="R120" s="18" t="n">
        <v>195613</v>
      </c>
      <c r="S120" s="20" t="n">
        <v>241755</v>
      </c>
      <c r="T120" s="6" t="n">
        <v>2</v>
      </c>
      <c r="U120" s="5" t="inlineStr">
        <is>
          <t>프레스 | 산업기계</t>
        </is>
      </c>
      <c r="V120" s="21">
        <f>HYPERLINK("https://dart.fss.or.kr/dsaf001/main.do?rcpNo=20260814003619", "공시열람")</f>
        <v/>
      </c>
    </row>
    <row r="121">
      <c r="A121" s="5" t="inlineStr">
        <is>
          <t>한샘</t>
        </is>
      </c>
      <c r="B121" s="6" t="inlineStr">
        <is>
          <t>009240</t>
        </is>
      </c>
      <c r="C121" s="6" t="inlineStr">
        <is>
          <t>2026Q2</t>
        </is>
      </c>
      <c r="D121" s="6" t="inlineStr">
        <is>
          <t>20260813</t>
        </is>
      </c>
      <c r="E121" s="16" t="n">
        <v>43612</v>
      </c>
      <c r="F121" s="16" t="n">
        <v>63496</v>
      </c>
      <c r="G121" s="16" t="n">
        <v>217738</v>
      </c>
      <c r="H121" s="6" t="inlineStr">
        <is>
          <t>백만원</t>
        </is>
      </c>
      <c r="I121" s="17" t="n">
        <v>-8.199999999999999</v>
      </c>
      <c r="J121" s="18" t="n">
        <v>294383</v>
      </c>
      <c r="K121" s="19" t="n">
        <v>294524</v>
      </c>
      <c r="L121" s="18" t="n">
        <v>293637</v>
      </c>
      <c r="M121" s="19" t="n">
        <v>293545</v>
      </c>
      <c r="N121" s="18" t="n">
        <v>261723</v>
      </c>
      <c r="O121" s="19" t="n">
        <v>248123</v>
      </c>
      <c r="P121" s="18" t="n">
        <v>215988</v>
      </c>
      <c r="Q121" s="19" t="n">
        <v>237622</v>
      </c>
      <c r="R121" s="18" t="n">
        <v>237302</v>
      </c>
      <c r="S121" s="20" t="n">
        <v>217738</v>
      </c>
      <c r="T121" s="6" t="n">
        <v>1</v>
      </c>
      <c r="U121" s="5" t="inlineStr">
        <is>
          <t>건설사 특판 / 제54기 반기 / 2026.01.01~</t>
        </is>
      </c>
      <c r="V121" s="21">
        <f>HYPERLINK("https://dart.fss.or.kr/dsaf001/main.do?rcpNo=20260813001668", "공시열람")</f>
        <v/>
      </c>
    </row>
    <row r="122">
      <c r="A122" s="5" t="inlineStr">
        <is>
          <t>신원</t>
        </is>
      </c>
      <c r="B122" s="6" t="inlineStr">
        <is>
          <t>009270</t>
        </is>
      </c>
      <c r="C122" s="6" t="inlineStr">
        <is>
          <t>2026Q2</t>
        </is>
      </c>
      <c r="D122" s="6" t="inlineStr">
        <is>
          <t>20260814</t>
        </is>
      </c>
      <c r="E122" s="16" t="n">
        <v>560489</v>
      </c>
      <c r="F122" s="16" t="n">
        <v>332453</v>
      </c>
      <c r="G122" s="16" t="n">
        <v>228035</v>
      </c>
      <c r="H122" s="6" t="inlineStr">
        <is>
          <t>천PCS,천USD</t>
        </is>
      </c>
      <c r="I122" s="17" t="n">
        <v>8.699999999999999</v>
      </c>
      <c r="J122" s="18" t="n">
        <v>137590</v>
      </c>
      <c r="K122" s="19" t="n">
        <v>184320</v>
      </c>
      <c r="L122" s="18" t="n">
        <v>134471</v>
      </c>
      <c r="M122" s="19" t="n">
        <v>0</v>
      </c>
      <c r="N122" s="18" t="n">
        <v>174260</v>
      </c>
      <c r="O122" s="19" t="n">
        <v>188998</v>
      </c>
      <c r="P122" s="18" t="n">
        <v>158304</v>
      </c>
      <c r="Q122" s="19" t="n">
        <v>0</v>
      </c>
      <c r="R122" s="18" t="n">
        <v>209691</v>
      </c>
      <c r="S122" s="20" t="n">
        <v>228035</v>
      </c>
      <c r="T122" s="6" t="n">
        <v>2</v>
      </c>
      <c r="U122" s="5" t="inlineStr">
        <is>
          <t>KNIT / - | SWEATER / -</t>
        </is>
      </c>
      <c r="V122" s="21">
        <f>HYPERLINK("https://dart.fss.or.kr/dsaf001/main.do?rcpNo=20260814002817", "공시열람")</f>
        <v/>
      </c>
    </row>
    <row r="123">
      <c r="A123" s="5" t="inlineStr">
        <is>
          <t>참엔지니어링</t>
        </is>
      </c>
      <c r="B123" s="6" t="inlineStr">
        <is>
          <t>009310</t>
        </is>
      </c>
      <c r="C123" s="6" t="inlineStr">
        <is>
          <t>2024Q1</t>
        </is>
      </c>
      <c r="D123" s="6" t="inlineStr">
        <is>
          <t>20240514</t>
        </is>
      </c>
      <c r="E123" s="16" t="n">
        <v>34986</v>
      </c>
      <c r="F123" s="16" t="n">
        <v>27821</v>
      </c>
      <c r="G123" s="16" t="n">
        <v>7165</v>
      </c>
      <c r="H123" s="6" t="inlineStr">
        <is>
          <t>백만원</t>
        </is>
      </c>
      <c r="I123" s="17" t="n">
        <v>-4.9</v>
      </c>
      <c r="J123" s="18" t="n">
        <v>7165</v>
      </c>
      <c r="K123" s="19" t="inlineStr"/>
      <c r="L123" s="18" t="inlineStr"/>
      <c r="M123" s="19" t="inlineStr"/>
      <c r="N123" s="18" t="inlineStr"/>
      <c r="O123" s="19" t="inlineStr"/>
      <c r="P123" s="18" t="inlineStr"/>
      <c r="Q123" s="19" t="inlineStr"/>
      <c r="R123" s="18" t="inlineStr"/>
      <c r="S123" s="20" t="inlineStr"/>
      <c r="T123" s="6" t="n">
        <v>1</v>
      </c>
      <c r="U123" s="5" t="inlineStr">
        <is>
          <t>FPD Repair장비 외 / 22.04~24.03 /</t>
        </is>
      </c>
      <c r="V123" s="21">
        <f>HYPERLINK("https://dart.fss.or.kr/dsaf001/main.do?rcpNo=20240514000863", "공시열람")</f>
        <v/>
      </c>
    </row>
    <row r="124">
      <c r="A124" s="5" t="inlineStr">
        <is>
          <t>태영건설</t>
        </is>
      </c>
      <c r="B124" s="6" t="inlineStr">
        <is>
          <t>009410</t>
        </is>
      </c>
      <c r="C124" s="6" t="inlineStr">
        <is>
          <t>2026Q2</t>
        </is>
      </c>
      <c r="D124" s="6" t="inlineStr">
        <is>
          <t>20260814</t>
        </is>
      </c>
      <c r="E124" s="16" t="inlineStr"/>
      <c r="F124" s="16" t="n">
        <v>15436834544</v>
      </c>
      <c r="G124" s="16" t="n">
        <v>16488890540</v>
      </c>
      <c r="H124" s="6" t="inlineStr">
        <is>
          <t>천원</t>
        </is>
      </c>
      <c r="I124" s="17" t="n">
        <v>2.8</v>
      </c>
      <c r="J124" s="18" t="n">
        <v>18879296934</v>
      </c>
      <c r="K124" s="19" t="n">
        <v>17707786106</v>
      </c>
      <c r="L124" s="18" t="n">
        <v>16332763222</v>
      </c>
      <c r="M124" s="19" t="n">
        <v>16090300637</v>
      </c>
      <c r="N124" s="18" t="n">
        <v>14314854437</v>
      </c>
      <c r="O124" s="19" t="n">
        <v>13212960196</v>
      </c>
      <c r="P124" s="18" t="n">
        <v>14630615612</v>
      </c>
      <c r="Q124" s="19" t="n">
        <v>15318323438</v>
      </c>
      <c r="R124" s="18" t="n">
        <v>16033682219</v>
      </c>
      <c r="S124" s="20" t="n">
        <v>16488890540</v>
      </c>
      <c r="T124" s="6" t="n">
        <v>108</v>
      </c>
      <c r="U124" s="5" t="inlineStr">
        <is>
          <t>합계 - 전체 | 토목본부-전체 | 토목본부-국내</t>
        </is>
      </c>
      <c r="V124" s="21">
        <f>HYPERLINK("https://dart.fss.or.kr/dsaf001/main.do?rcpNo=20260814003287", "공시열람")</f>
        <v/>
      </c>
    </row>
    <row r="125">
      <c r="A125" s="5" t="inlineStr">
        <is>
          <t>KC그린홀딩스</t>
        </is>
      </c>
      <c r="B125" s="6" t="inlineStr">
        <is>
          <t>009440</t>
        </is>
      </c>
      <c r="C125" s="6" t="inlineStr">
        <is>
          <t>2025Q1</t>
        </is>
      </c>
      <c r="D125" s="6" t="inlineStr">
        <is>
          <t>20250515</t>
        </is>
      </c>
      <c r="E125" s="16" t="inlineStr"/>
      <c r="F125" s="16" t="inlineStr"/>
      <c r="G125" s="16" t="n">
        <v>5000814134.12</v>
      </c>
      <c r="H125" s="6" t="inlineStr">
        <is>
          <t>천원,USD등</t>
        </is>
      </c>
      <c r="I125" s="17" t="n">
        <v>-1.8</v>
      </c>
      <c r="J125" s="18" t="inlineStr"/>
      <c r="K125" s="19" t="inlineStr"/>
      <c r="L125" s="18" t="n">
        <v>5003305290</v>
      </c>
      <c r="M125" s="19" t="n">
        <v>5089927645.46</v>
      </c>
      <c r="N125" s="18" t="n">
        <v>5000814134.12</v>
      </c>
      <c r="O125" s="19" t="inlineStr"/>
      <c r="P125" s="18" t="inlineStr"/>
      <c r="Q125" s="19" t="inlineStr"/>
      <c r="R125" s="18" t="inlineStr"/>
      <c r="S125" s="20" t="inlineStr"/>
      <c r="T125" s="6" t="n">
        <v>5</v>
      </c>
      <c r="U125" s="5" t="inlineStr">
        <is>
          <t>INR | TWD | USD</t>
        </is>
      </c>
      <c r="V125" s="21">
        <f>HYPERLINK("https://dart.fss.or.kr/dsaf001/main.do?rcpNo=20250515002757", "공시열람")</f>
        <v/>
      </c>
    </row>
    <row r="126">
      <c r="A126" s="5" t="inlineStr">
        <is>
          <t>한창제지</t>
        </is>
      </c>
      <c r="B126" s="6" t="inlineStr">
        <is>
          <t>009460</t>
        </is>
      </c>
      <c r="C126" s="6" t="inlineStr">
        <is>
          <t>2026Q2</t>
        </is>
      </c>
      <c r="D126" s="6" t="inlineStr">
        <is>
          <t>20260814</t>
        </is>
      </c>
      <c r="E126" s="16" t="n">
        <v>25983</v>
      </c>
      <c r="F126" s="16" t="n">
        <v>17583</v>
      </c>
      <c r="G126" s="16" t="n">
        <v>8400</v>
      </c>
      <c r="H126" s="6" t="inlineStr">
        <is>
          <t>백만원</t>
        </is>
      </c>
      <c r="I126" s="17" t="inlineStr"/>
      <c r="J126" s="18" t="inlineStr"/>
      <c r="K126" s="19" t="inlineStr"/>
      <c r="L126" s="18" t="inlineStr"/>
      <c r="M126" s="19" t="inlineStr"/>
      <c r="N126" s="18" t="inlineStr"/>
      <c r="O126" s="19" t="inlineStr"/>
      <c r="P126" s="18" t="inlineStr"/>
      <c r="Q126" s="19" t="inlineStr"/>
      <c r="R126" s="18" t="inlineStr"/>
      <c r="S126" s="20" t="n">
        <v>8400</v>
      </c>
      <c r="T126" s="6" t="n">
        <v>1</v>
      </c>
      <c r="U126" s="5" t="inlineStr">
        <is>
          <t>백판지 / 2025.12.31 / 2026.01.01~</t>
        </is>
      </c>
      <c r="V126" s="21">
        <f>HYPERLINK("https://dart.fss.or.kr/dsaf001/main.do?rcpNo=20260814000990", "공시열람")</f>
        <v/>
      </c>
    </row>
    <row r="127">
      <c r="A127" s="5" t="inlineStr">
        <is>
          <t>삼화전기</t>
        </is>
      </c>
      <c r="B127" s="6" t="inlineStr">
        <is>
          <t>009470</t>
        </is>
      </c>
      <c r="C127" s="6" t="inlineStr">
        <is>
          <t>2026Q2</t>
        </is>
      </c>
      <c r="D127" s="6" t="inlineStr">
        <is>
          <t>20260814</t>
        </is>
      </c>
      <c r="E127" s="16" t="n">
        <v>125759</v>
      </c>
      <c r="F127" s="16" t="n">
        <v>86787</v>
      </c>
      <c r="G127" s="16" t="n">
        <v>38972</v>
      </c>
      <c r="H127" s="6" t="inlineStr">
        <is>
          <t>천개,백만원</t>
        </is>
      </c>
      <c r="I127" s="17" t="n">
        <v>64.7</v>
      </c>
      <c r="J127" s="18" t="n">
        <v>3057</v>
      </c>
      <c r="K127" s="19" t="n">
        <v>3150</v>
      </c>
      <c r="L127" s="18" t="n">
        <v>3609</v>
      </c>
      <c r="M127" s="19" t="n">
        <v>4196</v>
      </c>
      <c r="N127" s="18" t="n">
        <v>7089</v>
      </c>
      <c r="O127" s="19" t="n">
        <v>4519</v>
      </c>
      <c r="P127" s="18" t="n">
        <v>20843</v>
      </c>
      <c r="Q127" s="19" t="n">
        <v>20499</v>
      </c>
      <c r="R127" s="18" t="n">
        <v>23668</v>
      </c>
      <c r="S127" s="20" t="n">
        <v>38972</v>
      </c>
      <c r="T127" s="6" t="n">
        <v>3</v>
      </c>
      <c r="U127" s="5" t="inlineStr">
        <is>
          <t>전해콘덴서 / 2026.1.1~06.30 | 상품 / 2026.1.1~06.30 | GREEN CAP / 2026.1.1~06.30</t>
        </is>
      </c>
      <c r="V127" s="21">
        <f>HYPERLINK("https://dart.fss.or.kr/dsaf001/main.do?rcpNo=20260814002002", "공시열람")</f>
        <v/>
      </c>
    </row>
    <row r="128">
      <c r="A128" s="5" t="inlineStr">
        <is>
          <t>HD한국조선해양</t>
        </is>
      </c>
      <c r="B128" s="6" t="inlineStr">
        <is>
          <t>009540</t>
        </is>
      </c>
      <c r="C128" s="6" t="inlineStr">
        <is>
          <t>2026Q2</t>
        </is>
      </c>
      <c r="D128" s="6" t="inlineStr">
        <is>
          <t>20260814</t>
        </is>
      </c>
      <c r="E128" s="16" t="inlineStr"/>
      <c r="F128" s="16" t="n">
        <v>17070572</v>
      </c>
      <c r="G128" s="16" t="n">
        <v>98808720</v>
      </c>
      <c r="H128" s="6" t="inlineStr">
        <is>
          <t>백만원</t>
        </is>
      </c>
      <c r="I128" s="17" t="n">
        <v>10.9</v>
      </c>
      <c r="J128" s="18" t="n">
        <v>77179596</v>
      </c>
      <c r="K128" s="19" t="n">
        <v>78510928</v>
      </c>
      <c r="L128" s="18" t="n">
        <v>77076074</v>
      </c>
      <c r="M128" s="19" t="n">
        <v>83508459</v>
      </c>
      <c r="N128" s="18" t="n">
        <v>84046817</v>
      </c>
      <c r="O128" s="19" t="n">
        <v>81442477</v>
      </c>
      <c r="P128" s="18" t="n">
        <v>79890507</v>
      </c>
      <c r="Q128" s="19" t="n">
        <v>82236880</v>
      </c>
      <c r="R128" s="18" t="n">
        <v>89093027</v>
      </c>
      <c r="S128" s="20" t="n">
        <v>98808720</v>
      </c>
      <c r="T128" s="6" t="n">
        <v>3</v>
      </c>
      <c r="U128" s="5" t="inlineStr">
        <is>
          <t>조 선 / '26.06.30 까지 / - | 기 타 / '26.06.30 까지 / - | 해양플랜트 / '26.06.30 까지 / -</t>
        </is>
      </c>
      <c r="V128" s="21">
        <f>HYPERLINK("https://dart.fss.or.kr/dsaf001/main.do?rcpNo=20260814002569", "공시열람")</f>
        <v/>
      </c>
    </row>
    <row r="129">
      <c r="A129" s="5" t="inlineStr">
        <is>
          <t>이렘</t>
        </is>
      </c>
      <c r="B129" s="6" t="inlineStr">
        <is>
          <t>009730</t>
        </is>
      </c>
      <c r="C129" s="6" t="inlineStr">
        <is>
          <t>2025Q1</t>
        </is>
      </c>
      <c r="D129" s="6" t="inlineStr">
        <is>
          <t>20250515</t>
        </is>
      </c>
      <c r="E129" s="16" t="n">
        <v>15873</v>
      </c>
      <c r="F129" s="16" t="n">
        <v>4139</v>
      </c>
      <c r="G129" s="16" t="n">
        <v>11734</v>
      </c>
      <c r="H129" s="6" t="inlineStr">
        <is>
          <t>백만원</t>
        </is>
      </c>
      <c r="I129" s="17" t="n">
        <v>-4.1</v>
      </c>
      <c r="J129" s="18" t="n">
        <v>18150</v>
      </c>
      <c r="K129" s="19" t="n">
        <v>8570</v>
      </c>
      <c r="L129" s="18" t="n">
        <v>7970</v>
      </c>
      <c r="M129" s="19" t="n">
        <v>12233</v>
      </c>
      <c r="N129" s="18" t="n">
        <v>11734</v>
      </c>
      <c r="O129" s="19" t="inlineStr"/>
      <c r="P129" s="18" t="inlineStr"/>
      <c r="Q129" s="19" t="inlineStr"/>
      <c r="R129" s="18" t="inlineStr"/>
      <c r="S129" s="20" t="inlineStr"/>
      <c r="T129" s="6" t="n">
        <v>3</v>
      </c>
      <c r="U129" s="5" t="inlineStr">
        <is>
          <t>기타 및 유통대리점 | 사급(건설사) | 관급(조달) / -</t>
        </is>
      </c>
      <c r="V129" s="21">
        <f>HYPERLINK("https://dart.fss.or.kr/dsaf001/main.do?rcpNo=20250515002245", "공시열람")</f>
        <v/>
      </c>
    </row>
    <row r="130">
      <c r="A130" s="5" t="inlineStr">
        <is>
          <t>한국내화</t>
        </is>
      </c>
      <c r="B130" s="6" t="inlineStr">
        <is>
          <t>010040</t>
        </is>
      </c>
      <c r="C130" s="6" t="inlineStr">
        <is>
          <t>2026Q2</t>
        </is>
      </c>
      <c r="D130" s="6" t="inlineStr">
        <is>
          <t>20260814</t>
        </is>
      </c>
      <c r="E130" s="16" t="inlineStr"/>
      <c r="F130" s="16" t="n">
        <v>80037999</v>
      </c>
      <c r="G130" s="16" t="n">
        <v>141569208</v>
      </c>
      <c r="H130" s="6" t="inlineStr">
        <is>
          <t>천원</t>
        </is>
      </c>
      <c r="I130" s="17" t="n">
        <v>15.3</v>
      </c>
      <c r="J130" s="18" t="n">
        <v>150339333</v>
      </c>
      <c r="K130" s="19" t="n">
        <v>140585072</v>
      </c>
      <c r="L130" s="18" t="n">
        <v>141975246</v>
      </c>
      <c r="M130" s="19" t="n">
        <v>137165506</v>
      </c>
      <c r="N130" s="18" t="n">
        <v>114543560</v>
      </c>
      <c r="O130" s="19" t="n">
        <v>99827009</v>
      </c>
      <c r="P130" s="18" t="n">
        <v>114355912</v>
      </c>
      <c r="Q130" s="19" t="n">
        <v>127081707</v>
      </c>
      <c r="R130" s="18" t="n">
        <v>122809441</v>
      </c>
      <c r="S130" s="20" t="n">
        <v>141569208</v>
      </c>
      <c r="T130" s="6" t="n">
        <v>37</v>
      </c>
      <c r="U130" s="5" t="inlineStr">
        <is>
          <t xml:space="preserve">대전을지대학교병원 대수선 공사(건축,기계설비) / 20 | 신원의료재단 사옥 신축공사 / 2025-08-05 /  | SHF 증설 관련 건축 공사(FSG-C1 PJT) / </t>
        </is>
      </c>
      <c r="V130" s="21">
        <f>HYPERLINK("https://dart.fss.or.kr/dsaf001/main.do?rcpNo=20260814002496", "공시열람")</f>
        <v/>
      </c>
    </row>
    <row r="131">
      <c r="A131" s="5" t="inlineStr">
        <is>
          <t>한국무브넥스</t>
        </is>
      </c>
      <c r="B131" s="6" t="inlineStr">
        <is>
          <t>010100</t>
        </is>
      </c>
      <c r="C131" s="6" t="inlineStr">
        <is>
          <t>2025Q1</t>
        </is>
      </c>
      <c r="D131" s="6" t="inlineStr">
        <is>
          <t>20250515</t>
        </is>
      </c>
      <c r="E131" s="16" t="n">
        <v>40.3</v>
      </c>
      <c r="F131" s="16" t="n">
        <v>29.8</v>
      </c>
      <c r="G131" s="16" t="n">
        <v>10.5</v>
      </c>
      <c r="H131" s="6" t="inlineStr">
        <is>
          <t>억원</t>
        </is>
      </c>
      <c r="I131" s="17" t="n">
        <v>-46.2</v>
      </c>
      <c r="J131" s="18" t="n">
        <v>155.5</v>
      </c>
      <c r="K131" s="19" t="n">
        <v>115.6</v>
      </c>
      <c r="L131" s="18" t="n">
        <v>73.5</v>
      </c>
      <c r="M131" s="19" t="n">
        <v>19.5</v>
      </c>
      <c r="N131" s="18" t="n">
        <v>10.5</v>
      </c>
      <c r="O131" s="19" t="inlineStr"/>
      <c r="P131" s="18" t="inlineStr"/>
      <c r="Q131" s="19" t="inlineStr"/>
      <c r="R131" s="18" t="inlineStr"/>
      <c r="S131" s="20" t="inlineStr"/>
      <c r="T131" s="6" t="n">
        <v>1</v>
      </c>
      <c r="U131" s="5" t="inlineStr">
        <is>
          <t>프랜지 / '25.1.1∼25.12.31 / '25년중</t>
        </is>
      </c>
      <c r="V131" s="21">
        <f>HYPERLINK("https://dart.fss.or.kr/dsaf001/main.do?rcpNo=20250515000527", "공시열람")</f>
        <v/>
      </c>
    </row>
    <row r="132">
      <c r="A132" s="5" t="inlineStr">
        <is>
          <t>엘에스일렉트릭</t>
        </is>
      </c>
      <c r="B132" s="6" t="inlineStr">
        <is>
          <t>010120</t>
        </is>
      </c>
      <c r="C132" s="6" t="inlineStr">
        <is>
          <t>2026Q2</t>
        </is>
      </c>
      <c r="D132" s="6" t="inlineStr">
        <is>
          <t>20260814</t>
        </is>
      </c>
      <c r="E132" s="16" t="inlineStr"/>
      <c r="F132" s="16" t="n">
        <v>14833</v>
      </c>
      <c r="G132" s="16" t="n">
        <v>50154</v>
      </c>
      <c r="H132" s="6" t="inlineStr">
        <is>
          <t>억원</t>
        </is>
      </c>
      <c r="I132" s="17" t="n">
        <v>224.7</v>
      </c>
      <c r="J132" s="18" t="n">
        <v>25866</v>
      </c>
      <c r="K132" s="19" t="n">
        <v>27622</v>
      </c>
      <c r="L132" s="18" t="n">
        <v>29041</v>
      </c>
      <c r="M132" s="19" t="n">
        <v>34477</v>
      </c>
      <c r="N132" s="18" t="n">
        <v>38894</v>
      </c>
      <c r="O132" s="19" t="n">
        <v>38557</v>
      </c>
      <c r="P132" s="18" t="n">
        <v>40679</v>
      </c>
      <c r="Q132" s="19" t="n">
        <v>50154</v>
      </c>
      <c r="R132" s="18" t="n">
        <v>15445</v>
      </c>
      <c r="S132" s="20" t="n">
        <v>50154</v>
      </c>
      <c r="T132" s="6" t="n">
        <v>3</v>
      </c>
      <c r="U132" s="5" t="inlineStr">
        <is>
          <t>전력 / T&amp;D / ~'26.12 | 전력 / 철도 / ~'26.12 | 자동화 / ~'26.12</t>
        </is>
      </c>
      <c r="V132" s="21">
        <f>HYPERLINK("https://dart.fss.or.kr/dsaf001/main.do?rcpNo=20260814003088", "공시열람")</f>
        <v/>
      </c>
    </row>
    <row r="133">
      <c r="A133" s="5" t="inlineStr">
        <is>
          <t>고려아연</t>
        </is>
      </c>
      <c r="B133" s="6" t="inlineStr">
        <is>
          <t>010130</t>
        </is>
      </c>
      <c r="C133" s="6" t="inlineStr">
        <is>
          <t>2026Q2</t>
        </is>
      </c>
      <c r="D133" s="6" t="inlineStr">
        <is>
          <t>20260814</t>
        </is>
      </c>
      <c r="E133" s="16" t="n">
        <v>4085922</v>
      </c>
      <c r="F133" s="16" t="n">
        <v>2279982</v>
      </c>
      <c r="G133" s="16" t="n">
        <v>1805940</v>
      </c>
      <c r="H133" s="6" t="inlineStr">
        <is>
          <t>톤,백만원</t>
        </is>
      </c>
      <c r="I133" s="17" t="n">
        <v>-38.1</v>
      </c>
      <c r="J133" s="18" t="n">
        <v>2726196</v>
      </c>
      <c r="K133" s="19" t="n">
        <v>1758481</v>
      </c>
      <c r="L133" s="18" t="n">
        <v>1298849</v>
      </c>
      <c r="M133" s="19" t="n">
        <v>1093354</v>
      </c>
      <c r="N133" s="18" t="n">
        <v>2934499</v>
      </c>
      <c r="O133" s="19" t="n">
        <v>1998249</v>
      </c>
      <c r="P133" s="18" t="n">
        <v>1079382</v>
      </c>
      <c r="Q133" s="19" t="n">
        <v>81947</v>
      </c>
      <c r="R133" s="18" t="n">
        <v>2916130</v>
      </c>
      <c r="S133" s="20" t="n">
        <v>1805940</v>
      </c>
      <c r="T133" s="6" t="n">
        <v>2</v>
      </c>
      <c r="U133" s="5" t="inlineStr">
        <is>
          <t>아연 / 연간 / 월간 | 연 / 연간 / 월간</t>
        </is>
      </c>
      <c r="V133" s="21">
        <f>HYPERLINK("https://dart.fss.or.kr/dsaf001/main.do?rcpNo=20260814003958", "공시열람")</f>
        <v/>
      </c>
    </row>
    <row r="134">
      <c r="A134" s="5" t="inlineStr">
        <is>
          <t>삼성중공업</t>
        </is>
      </c>
      <c r="B134" s="6" t="inlineStr">
        <is>
          <t>010140</t>
        </is>
      </c>
      <c r="C134" s="6" t="inlineStr">
        <is>
          <t>2026Q2</t>
        </is>
      </c>
      <c r="D134" s="6" t="inlineStr">
        <is>
          <t>20260814</t>
        </is>
      </c>
      <c r="E134" s="16" t="n">
        <v>571122</v>
      </c>
      <c r="F134" s="16" t="n">
        <v>221121</v>
      </c>
      <c r="G134" s="16" t="n">
        <v>350001</v>
      </c>
      <c r="H134" s="6" t="inlineStr">
        <is>
          <t>억원</t>
        </is>
      </c>
      <c r="I134" s="17" t="n">
        <v>18.6</v>
      </c>
      <c r="J134" s="18" t="n">
        <v>332458</v>
      </c>
      <c r="K134" s="19" t="n">
        <v>333569</v>
      </c>
      <c r="L134" s="18" t="n">
        <v>314117</v>
      </c>
      <c r="M134" s="19" t="n">
        <v>315.35</v>
      </c>
      <c r="N134" s="18" t="n">
        <v>323.129</v>
      </c>
      <c r="O134" s="19" t="n">
        <v>257439</v>
      </c>
      <c r="P134" s="18" t="n">
        <v>267300</v>
      </c>
      <c r="Q134" s="19" t="n">
        <v>280305</v>
      </c>
      <c r="R134" s="18" t="n">
        <v>295197</v>
      </c>
      <c r="S134" s="20" t="n">
        <v>350001</v>
      </c>
      <c r="T134" s="6" t="n">
        <v>2</v>
      </c>
      <c r="U134" s="5" t="inlineStr">
        <is>
          <t>조선해양 / ~ 2026.06.30 / - | 토건 / ~ 2026.06.30 / -</t>
        </is>
      </c>
      <c r="V134" s="21">
        <f>HYPERLINK("https://dart.fss.or.kr/dsaf001/main.do?rcpNo=20260814003496", "공시열람")</f>
        <v/>
      </c>
    </row>
    <row r="135">
      <c r="A135" s="5" t="inlineStr">
        <is>
          <t>대한광통신</t>
        </is>
      </c>
      <c r="B135" s="6" t="inlineStr">
        <is>
          <t>010170</t>
        </is>
      </c>
      <c r="C135" s="6" t="inlineStr">
        <is>
          <t>2026Q2</t>
        </is>
      </c>
      <c r="D135" s="6" t="inlineStr">
        <is>
          <t>20260814</t>
        </is>
      </c>
      <c r="E135" s="16" t="n">
        <v>158729</v>
      </c>
      <c r="F135" s="16" t="n">
        <v>31787</v>
      </c>
      <c r="G135" s="16" t="n">
        <v>126942</v>
      </c>
      <c r="H135" s="6" t="inlineStr">
        <is>
          <t>백만원</t>
        </is>
      </c>
      <c r="I135" s="17" t="n">
        <v>52.4</v>
      </c>
      <c r="J135" s="18" t="n">
        <v>42483</v>
      </c>
      <c r="K135" s="19" t="n">
        <v>40306</v>
      </c>
      <c r="L135" s="18" t="n">
        <v>41519</v>
      </c>
      <c r="M135" s="19" t="n">
        <v>41354</v>
      </c>
      <c r="N135" s="18" t="n">
        <v>57016</v>
      </c>
      <c r="O135" s="19" t="n">
        <v>69494</v>
      </c>
      <c r="P135" s="18" t="n">
        <v>59965</v>
      </c>
      <c r="Q135" s="19" t="n">
        <v>72556</v>
      </c>
      <c r="R135" s="18" t="n">
        <v>83283</v>
      </c>
      <c r="S135" s="20" t="n">
        <v>126942</v>
      </c>
      <c r="T135" s="6" t="n">
        <v>2</v>
      </c>
      <c r="U135" s="5" t="inlineStr">
        <is>
          <t>통신 / 제품/상품 / 각종 | 전력 / 제품/상품 / 각종</t>
        </is>
      </c>
      <c r="V135" s="21">
        <f>HYPERLINK("https://dart.fss.or.kr/dsaf001/main.do?rcpNo=20260814002121", "공시열람")</f>
        <v/>
      </c>
    </row>
    <row r="136">
      <c r="A136" s="5" t="inlineStr">
        <is>
          <t>아이티센엔텍</t>
        </is>
      </c>
      <c r="B136" s="6" t="inlineStr">
        <is>
          <t>010280</t>
        </is>
      </c>
      <c r="C136" s="6" t="inlineStr">
        <is>
          <t>2026Q2</t>
        </is>
      </c>
      <c r="D136" s="6" t="inlineStr">
        <is>
          <t>20260813</t>
        </is>
      </c>
      <c r="E136" s="16" t="n">
        <v>265305</v>
      </c>
      <c r="F136" s="16" t="n">
        <v>113124</v>
      </c>
      <c r="G136" s="16" t="n">
        <v>152181</v>
      </c>
      <c r="H136" s="6" t="inlineStr">
        <is>
          <t>백만원</t>
        </is>
      </c>
      <c r="I136" s="17" t="n">
        <v>26.9</v>
      </c>
      <c r="J136" s="18" t="n">
        <v>85945</v>
      </c>
      <c r="K136" s="19" t="n">
        <v>92753</v>
      </c>
      <c r="L136" s="18" t="n">
        <v>81512</v>
      </c>
      <c r="M136" s="19" t="n">
        <v>97723</v>
      </c>
      <c r="N136" s="18" t="n">
        <v>140534</v>
      </c>
      <c r="O136" s="19" t="n">
        <v>147124</v>
      </c>
      <c r="P136" s="18" t="n">
        <v>190668</v>
      </c>
      <c r="Q136" s="19" t="n">
        <v>115010</v>
      </c>
      <c r="R136" s="18" t="n">
        <v>119916</v>
      </c>
      <c r="S136" s="20" t="n">
        <v>152181</v>
      </c>
      <c r="T136" s="6" t="n">
        <v>11</v>
      </c>
      <c r="U136" s="5" t="inlineStr">
        <is>
          <t>26~27년 정보시스템 통합유지관리 용역사업 | KCTC 여단급과학화전투훈련체계 경미한 성능개량 | 디지털 대전환을 위한 통합징수 정보시스템 재구축 사업</t>
        </is>
      </c>
      <c r="V136" s="21">
        <f>HYPERLINK("https://dart.fss.or.kr/dsaf001/main.do?rcpNo=20260813000658", "공시열람")</f>
        <v/>
      </c>
    </row>
    <row r="137">
      <c r="A137" s="5" t="inlineStr">
        <is>
          <t>우진아이엔에스</t>
        </is>
      </c>
      <c r="B137" s="6" t="inlineStr">
        <is>
          <t>010400</t>
        </is>
      </c>
      <c r="C137" s="6" t="inlineStr">
        <is>
          <t>2026Q2</t>
        </is>
      </c>
      <c r="D137" s="6" t="inlineStr">
        <is>
          <t>20260814</t>
        </is>
      </c>
      <c r="E137" s="16" t="n">
        <v>414645470</v>
      </c>
      <c r="F137" s="16" t="n">
        <v>205661323</v>
      </c>
      <c r="G137" s="16" t="n">
        <v>208984147</v>
      </c>
      <c r="H137" s="6" t="inlineStr">
        <is>
          <t>천원</t>
        </is>
      </c>
      <c r="I137" s="17" t="n">
        <v>13.1</v>
      </c>
      <c r="J137" s="18" t="n">
        <v>165858380</v>
      </c>
      <c r="K137" s="19" t="n">
        <v>191771127</v>
      </c>
      <c r="L137" s="18" t="n">
        <v>154887987</v>
      </c>
      <c r="M137" s="19" t="n">
        <v>162570291</v>
      </c>
      <c r="N137" s="18" t="n">
        <v>189937383</v>
      </c>
      <c r="O137" s="19" t="n">
        <v>193650428</v>
      </c>
      <c r="P137" s="18" t="n">
        <v>160744481</v>
      </c>
      <c r="Q137" s="19" t="n">
        <v>196251484</v>
      </c>
      <c r="R137" s="18" t="n">
        <v>184845960</v>
      </c>
      <c r="S137" s="20" t="n">
        <v>208984147</v>
      </c>
      <c r="T137" s="6" t="n">
        <v>28</v>
      </c>
      <c r="U137" s="5" t="inlineStr">
        <is>
          <t>서리풀 업무 복합시설 개발사업 신축공사(남측부지) 건축 | 네이버 세종 데이터센터 2-3차 구축공사 기계설비공사  | 더 파크사이드 서울 중 공조위생설비공사 1공구 / 20</t>
        </is>
      </c>
      <c r="V137" s="21">
        <f>HYPERLINK("https://dart.fss.or.kr/dsaf001/main.do?rcpNo=20260814000853", "공시열람")</f>
        <v/>
      </c>
    </row>
    <row r="138">
      <c r="A138" s="5" t="inlineStr">
        <is>
          <t>화천기계</t>
        </is>
      </c>
      <c r="B138" s="6" t="inlineStr">
        <is>
          <t>010660</t>
        </is>
      </c>
      <c r="C138" s="6" t="inlineStr">
        <is>
          <t>2026Q2</t>
        </is>
      </c>
      <c r="D138" s="6" t="inlineStr">
        <is>
          <t>20260814</t>
        </is>
      </c>
      <c r="E138" s="16" t="n">
        <v>176359</v>
      </c>
      <c r="F138" s="16" t="n">
        <v>103140</v>
      </c>
      <c r="G138" s="16" t="n">
        <v>73219</v>
      </c>
      <c r="H138" s="6" t="inlineStr">
        <is>
          <t>백만원/대/개</t>
        </is>
      </c>
      <c r="I138" s="17" t="n">
        <v>84.2</v>
      </c>
      <c r="J138" s="18" t="n">
        <v>44794</v>
      </c>
      <c r="K138" s="19" t="n">
        <v>41288</v>
      </c>
      <c r="L138" s="18" t="n">
        <v>34062</v>
      </c>
      <c r="M138" s="19" t="n">
        <v>27330</v>
      </c>
      <c r="N138" s="18" t="n">
        <v>47130</v>
      </c>
      <c r="O138" s="19" t="n">
        <v>35201</v>
      </c>
      <c r="P138" s="18" t="n">
        <v>17336</v>
      </c>
      <c r="Q138" s="19" t="n">
        <v>20942</v>
      </c>
      <c r="R138" s="18" t="n">
        <v>39739</v>
      </c>
      <c r="S138" s="20" t="n">
        <v>73219</v>
      </c>
      <c r="T138" s="6" t="n">
        <v>2</v>
      </c>
      <c r="U138" s="5" t="inlineStr">
        <is>
          <t>공작기계 / 2026. 1. 1-2026. 06. 30 | 자동차부품 / 2026. 1. 1-2026. 06. 3</t>
        </is>
      </c>
      <c r="V138" s="21">
        <f>HYPERLINK("https://dart.fss.or.kr/dsaf001/main.do?rcpNo=20260814002178", "공시열람")</f>
        <v/>
      </c>
    </row>
    <row r="139">
      <c r="A139" s="5" t="inlineStr">
        <is>
          <t>아이에스동서</t>
        </is>
      </c>
      <c r="B139" s="6" t="inlineStr">
        <is>
          <t>010780</t>
        </is>
      </c>
      <c r="C139" s="6" t="inlineStr">
        <is>
          <t>2026Q2</t>
        </is>
      </c>
      <c r="D139" s="6" t="inlineStr">
        <is>
          <t>20260812</t>
        </is>
      </c>
      <c r="E139" s="16" t="n">
        <v>3928167</v>
      </c>
      <c r="F139" s="16" t="n">
        <v>1938006</v>
      </c>
      <c r="G139" s="16" t="n">
        <v>1990161</v>
      </c>
      <c r="H139" s="6" t="inlineStr">
        <is>
          <t>백만원</t>
        </is>
      </c>
      <c r="I139" s="17" t="n">
        <v>1.9</v>
      </c>
      <c r="J139" s="18" t="n">
        <v>1295834</v>
      </c>
      <c r="K139" s="19" t="n">
        <v>1278313</v>
      </c>
      <c r="L139" s="18" t="n">
        <v>1310070</v>
      </c>
      <c r="M139" s="19" t="n">
        <v>1297772</v>
      </c>
      <c r="N139" s="18" t="n">
        <v>1436182</v>
      </c>
      <c r="O139" s="19" t="n">
        <v>1519435</v>
      </c>
      <c r="P139" s="18" t="n">
        <v>1561525</v>
      </c>
      <c r="Q139" s="19" t="n">
        <v>1851819</v>
      </c>
      <c r="R139" s="18" t="n">
        <v>1952635</v>
      </c>
      <c r="S139" s="20" t="n">
        <v>1990161</v>
      </c>
      <c r="T139" s="6" t="n">
        <v>13</v>
      </c>
      <c r="U139" s="5" t="inlineStr">
        <is>
          <t>- / 기타 | 울산 남구 B-14구역 주택재개발정비사업조합 / 울산  | 원대2가 재개발정비사업조합 / 원대2가 주택재개발정비사</t>
        </is>
      </c>
      <c r="V139" s="21">
        <f>HYPERLINK("https://dart.fss.or.kr/dsaf001/main.do?rcpNo=20260812000770", "공시열람")</f>
        <v/>
      </c>
    </row>
    <row r="140">
      <c r="A140" s="5" t="inlineStr">
        <is>
          <t>퍼스텍</t>
        </is>
      </c>
      <c r="B140" s="6" t="inlineStr">
        <is>
          <t>010820</t>
        </is>
      </c>
      <c r="C140" s="6" t="inlineStr">
        <is>
          <t>2026Q2</t>
        </is>
      </c>
      <c r="D140" s="6" t="inlineStr">
        <is>
          <t>20260814</t>
        </is>
      </c>
      <c r="E140" s="16" t="inlineStr"/>
      <c r="F140" s="16" t="inlineStr"/>
      <c r="G140" s="16" t="n">
        <v>944080</v>
      </c>
      <c r="H140" s="6" t="inlineStr">
        <is>
          <t>백만원</t>
        </is>
      </c>
      <c r="I140" s="17" t="n">
        <v>-5.4</v>
      </c>
      <c r="J140" s="18" t="n">
        <v>783769</v>
      </c>
      <c r="K140" s="19" t="n">
        <v>905960</v>
      </c>
      <c r="L140" s="18" t="n">
        <v>924604</v>
      </c>
      <c r="M140" s="19" t="n">
        <v>917315</v>
      </c>
      <c r="N140" s="18" t="n">
        <v>1009251</v>
      </c>
      <c r="O140" s="19" t="n">
        <v>1034613</v>
      </c>
      <c r="P140" s="18" t="n">
        <v>1120804</v>
      </c>
      <c r="Q140" s="19" t="n">
        <v>1033671</v>
      </c>
      <c r="R140" s="18" t="n">
        <v>997934</v>
      </c>
      <c r="S140" s="20" t="n">
        <v>944080</v>
      </c>
      <c r="T140" s="6" t="n">
        <v>1</v>
      </c>
      <c r="U140" s="5" t="inlineStr">
        <is>
          <t>방산사업</t>
        </is>
      </c>
      <c r="V140" s="21">
        <f>HYPERLINK("https://dart.fss.or.kr/dsaf001/main.do?rcpNo=20260814002664", "공시열람")</f>
        <v/>
      </c>
    </row>
    <row r="141">
      <c r="A141" s="5" t="inlineStr">
        <is>
          <t>S-Oil</t>
        </is>
      </c>
      <c r="B141" s="6" t="inlineStr">
        <is>
          <t>010950</t>
        </is>
      </c>
      <c r="C141" s="6" t="inlineStr">
        <is>
          <t>2026Q2</t>
        </is>
      </c>
      <c r="D141" s="6" t="inlineStr">
        <is>
          <t>20260814</t>
        </is>
      </c>
      <c r="E141" s="16" t="n">
        <v>8848611</v>
      </c>
      <c r="F141" s="16" t="n">
        <v>8848611</v>
      </c>
      <c r="G141" s="16" t="n">
        <v>0</v>
      </c>
      <c r="H141" s="6" t="inlineStr">
        <is>
          <t>천배럴,백만원</t>
        </is>
      </c>
      <c r="I141" s="17" t="inlineStr"/>
      <c r="J141" s="18" t="n">
        <v>0</v>
      </c>
      <c r="K141" s="19" t="n">
        <v>0</v>
      </c>
      <c r="L141" s="18" t="n">
        <v>0</v>
      </c>
      <c r="M141" s="19" t="n">
        <v>0</v>
      </c>
      <c r="N141" s="18" t="n">
        <v>0</v>
      </c>
      <c r="O141" s="19" t="n">
        <v>0</v>
      </c>
      <c r="P141" s="18" t="n">
        <v>0</v>
      </c>
      <c r="Q141" s="19" t="n">
        <v>0</v>
      </c>
      <c r="R141" s="18" t="n">
        <v>0</v>
      </c>
      <c r="S141" s="20" t="n">
        <v>0</v>
      </c>
      <c r="T141" s="6" t="n">
        <v>11</v>
      </c>
      <c r="U141" s="5" t="inlineStr">
        <is>
          <t>Idemitsu Kosan / 윤활기유 제품 / 202 | Aramco Trading Singapore / 정유제 | Saudi Basic Industries Corpora</t>
        </is>
      </c>
      <c r="V141" s="21">
        <f>HYPERLINK("https://dart.fss.or.kr/dsaf001/main.do?rcpNo=20260814000827", "공시열람")</f>
        <v/>
      </c>
    </row>
    <row r="142">
      <c r="A142" s="5" t="inlineStr">
        <is>
          <t>삼호개발</t>
        </is>
      </c>
      <c r="B142" s="6" t="inlineStr">
        <is>
          <t>010960</t>
        </is>
      </c>
      <c r="C142" s="6" t="inlineStr">
        <is>
          <t>2026Q2</t>
        </is>
      </c>
      <c r="D142" s="6" t="inlineStr">
        <is>
          <t>20260814</t>
        </is>
      </c>
      <c r="E142" s="16" t="n">
        <v>2084342725</v>
      </c>
      <c r="F142" s="16" t="inlineStr"/>
      <c r="G142" s="16" t="n">
        <v>841894980</v>
      </c>
      <c r="H142" s="6" t="inlineStr">
        <is>
          <t>천원</t>
        </is>
      </c>
      <c r="I142" s="17" t="n">
        <v>-2.8</v>
      </c>
      <c r="J142" s="18" t="n">
        <v>627934751</v>
      </c>
      <c r="K142" s="19" t="n">
        <v>548466812</v>
      </c>
      <c r="L142" s="18" t="n">
        <v>536647052</v>
      </c>
      <c r="M142" s="19" t="n">
        <v>619800067</v>
      </c>
      <c r="N142" s="18" t="n">
        <v>740763157</v>
      </c>
      <c r="O142" s="19" t="n">
        <v>899677410</v>
      </c>
      <c r="P142" s="18" t="n">
        <v>823151107</v>
      </c>
      <c r="Q142" s="19" t="n">
        <v>896126494</v>
      </c>
      <c r="R142" s="18" t="n">
        <v>866429782</v>
      </c>
      <c r="S142" s="20" t="n">
        <v>841894980</v>
      </c>
      <c r="T142" s="6" t="n">
        <v>31</v>
      </c>
      <c r="U142" s="5" t="inlineStr">
        <is>
          <t>국가철도공단 / 수도권광역급행철도B노선(용산~상봉)제4 | 한국토지주택공사 / 남양주왕숙 국도47호선 이설 / 2 | 현대자동차㈜ / 공공기여 직접제공시설 2공구 / 202</t>
        </is>
      </c>
      <c r="V142" s="21">
        <f>HYPERLINK("https://dart.fss.or.kr/dsaf001/main.do?rcpNo=20260814000878", "공시열람")</f>
        <v/>
      </c>
    </row>
    <row r="143">
      <c r="A143" s="5" t="inlineStr">
        <is>
          <t>진원생명과학</t>
        </is>
      </c>
      <c r="B143" s="6" t="inlineStr">
        <is>
          <t>011000</t>
        </is>
      </c>
      <c r="C143" s="6" t="inlineStr">
        <is>
          <t>2026Q1</t>
        </is>
      </c>
      <c r="D143" s="6" t="inlineStr">
        <is>
          <t>20260515</t>
        </is>
      </c>
      <c r="E143" s="16" t="n">
        <v>3839630</v>
      </c>
      <c r="F143" s="16" t="n">
        <v>3430277</v>
      </c>
      <c r="G143" s="16" t="n">
        <v>409353</v>
      </c>
      <c r="H143" s="6" t="inlineStr">
        <is>
          <t>USD</t>
        </is>
      </c>
      <c r="I143" s="17" t="n">
        <v>0</v>
      </c>
      <c r="J143" s="18" t="n">
        <v>1112274</v>
      </c>
      <c r="K143" s="19" t="n">
        <v>3568232</v>
      </c>
      <c r="L143" s="18" t="n">
        <v>7842949</v>
      </c>
      <c r="M143" s="19" t="n">
        <v>11987072</v>
      </c>
      <c r="N143" s="18" t="n">
        <v>9637097</v>
      </c>
      <c r="O143" s="19" t="n">
        <v>3471280</v>
      </c>
      <c r="P143" s="18" t="n">
        <v>2137153</v>
      </c>
      <c r="Q143" s="19" t="n">
        <v>409353</v>
      </c>
      <c r="R143" s="18" t="n">
        <v>409353</v>
      </c>
      <c r="S143" s="20" t="inlineStr"/>
      <c r="T143" s="6" t="n">
        <v>1</v>
      </c>
      <c r="U143" s="5" t="inlineStr">
        <is>
          <t>임상용 Plasmid DNA / 2024-10-24 /</t>
        </is>
      </c>
      <c r="V143" s="21">
        <f>HYPERLINK("https://dart.fss.or.kr/dsaf001/main.do?rcpNo=20260515003080", "공시열람")</f>
        <v/>
      </c>
    </row>
    <row r="144">
      <c r="A144" s="5" t="inlineStr">
        <is>
          <t>에넥스</t>
        </is>
      </c>
      <c r="B144" s="6" t="inlineStr">
        <is>
          <t>011090</t>
        </is>
      </c>
      <c r="C144" s="6" t="inlineStr">
        <is>
          <t>2026Q2</t>
        </is>
      </c>
      <c r="D144" s="6" t="inlineStr">
        <is>
          <t>20260814</t>
        </is>
      </c>
      <c r="E144" s="16" t="n">
        <v>87777</v>
      </c>
      <c r="F144" s="16" t="n">
        <v>75801</v>
      </c>
      <c r="G144" s="16" t="n">
        <v>122069</v>
      </c>
      <c r="H144" s="6" t="inlineStr">
        <is>
          <t>백만원</t>
        </is>
      </c>
      <c r="I144" s="17" t="n">
        <v>7.6</v>
      </c>
      <c r="J144" s="18" t="n">
        <v>176593</v>
      </c>
      <c r="K144" s="19" t="n">
        <v>162776</v>
      </c>
      <c r="L144" s="18" t="n">
        <v>143865</v>
      </c>
      <c r="M144" s="19" t="n">
        <v>124203</v>
      </c>
      <c r="N144" s="18" t="n">
        <v>114485</v>
      </c>
      <c r="O144" s="19" t="n">
        <v>112822</v>
      </c>
      <c r="P144" s="18" t="n">
        <v>115639</v>
      </c>
      <c r="Q144" s="19" t="n">
        <v>110093</v>
      </c>
      <c r="R144" s="18" t="n">
        <v>113466</v>
      </c>
      <c r="S144" s="20" t="n">
        <v>122069</v>
      </c>
      <c r="T144" s="6" t="n">
        <v>1</v>
      </c>
      <c r="U144" s="5" t="inlineStr">
        <is>
          <t>주방가구외 / 2026.01~2026.06 / 2026</t>
        </is>
      </c>
      <c r="V144" s="21">
        <f>HYPERLINK("https://dart.fss.or.kr/dsaf001/main.do?rcpNo=20260814001047", "공시열람")</f>
        <v/>
      </c>
    </row>
    <row r="145">
      <c r="A145" s="5" t="inlineStr">
        <is>
          <t>현대위아</t>
        </is>
      </c>
      <c r="B145" s="6" t="inlineStr">
        <is>
          <t>011210</t>
        </is>
      </c>
      <c r="C145" s="6" t="inlineStr">
        <is>
          <t>2026Q2</t>
        </is>
      </c>
      <c r="D145" s="6" t="inlineStr">
        <is>
          <t>20260814</t>
        </is>
      </c>
      <c r="E145" s="16" t="n">
        <v>3145283</v>
      </c>
      <c r="F145" s="16" t="n">
        <v>1748763</v>
      </c>
      <c r="G145" s="16" t="n">
        <v>1396519</v>
      </c>
      <c r="H145" s="6" t="inlineStr">
        <is>
          <t>백만원</t>
        </is>
      </c>
      <c r="I145" s="17" t="n">
        <v>-2.3</v>
      </c>
      <c r="J145" s="18" t="n">
        <v>1148752</v>
      </c>
      <c r="K145" s="19" t="n">
        <v>1173461</v>
      </c>
      <c r="L145" s="18" t="n">
        <v>1092889</v>
      </c>
      <c r="M145" s="19" t="n">
        <v>1257964</v>
      </c>
      <c r="N145" s="18" t="n">
        <v>1258153</v>
      </c>
      <c r="O145" s="19" t="n">
        <v>1303556</v>
      </c>
      <c r="P145" s="18" t="n">
        <v>1227749</v>
      </c>
      <c r="Q145" s="19" t="n">
        <v>1429026</v>
      </c>
      <c r="R145" s="18" t="n">
        <v>1429026</v>
      </c>
      <c r="S145" s="20" t="n">
        <v>1396519</v>
      </c>
      <c r="T145" s="6" t="n">
        <v>1</v>
      </c>
      <c r="U145" s="5" t="inlineStr">
        <is>
          <t>-</t>
        </is>
      </c>
      <c r="V145" s="21">
        <f>HYPERLINK("https://dart.fss.or.kr/dsaf001/main.do?rcpNo=20260814002618", "공시열람")</f>
        <v/>
      </c>
    </row>
    <row r="146">
      <c r="A146" s="5" t="inlineStr">
        <is>
          <t>삼화전자공업</t>
        </is>
      </c>
      <c r="B146" s="6" t="inlineStr">
        <is>
          <t>011230</t>
        </is>
      </c>
      <c r="C146" s="6" t="inlineStr">
        <is>
          <t>2026Q2</t>
        </is>
      </c>
      <c r="D146" s="6" t="inlineStr">
        <is>
          <t>20260814</t>
        </is>
      </c>
      <c r="E146" s="16" t="n">
        <v>16954</v>
      </c>
      <c r="F146" s="16" t="n">
        <v>13544</v>
      </c>
      <c r="G146" s="16" t="n">
        <v>3410</v>
      </c>
      <c r="H146" s="6" t="inlineStr">
        <is>
          <t>천개/백만원</t>
        </is>
      </c>
      <c r="I146" s="17" t="n">
        <v>127.6</v>
      </c>
      <c r="J146" s="18" t="n">
        <v>1753</v>
      </c>
      <c r="K146" s="19" t="n">
        <v>3343</v>
      </c>
      <c r="L146" s="18" t="n">
        <v>6237</v>
      </c>
      <c r="M146" s="19" t="n">
        <v>8433</v>
      </c>
      <c r="N146" s="18" t="n">
        <v>2019</v>
      </c>
      <c r="O146" s="19" t="n">
        <v>3873</v>
      </c>
      <c r="P146" s="18" t="n">
        <v>5740</v>
      </c>
      <c r="Q146" s="19" t="n">
        <v>7402</v>
      </c>
      <c r="R146" s="18" t="n">
        <v>1498</v>
      </c>
      <c r="S146" s="20" t="n">
        <v>3410</v>
      </c>
      <c r="T146" s="6" t="n">
        <v>2</v>
      </c>
      <c r="U146" s="5" t="inlineStr">
        <is>
          <t>페라이트코어 등 / 2026년 / 01-06 | 상 품 / 2026년 / 01-06</t>
        </is>
      </c>
      <c r="V146" s="21">
        <f>HYPERLINK("https://dart.fss.or.kr/dsaf001/main.do?rcpNo=20260814003303", "공시열람")</f>
        <v/>
      </c>
    </row>
    <row r="147">
      <c r="A147" s="5" t="inlineStr">
        <is>
          <t>우성머티리얼스</t>
        </is>
      </c>
      <c r="B147" s="6" t="inlineStr">
        <is>
          <t>011300</t>
        </is>
      </c>
      <c r="C147" s="6" t="inlineStr">
        <is>
          <t>2025Q3</t>
        </is>
      </c>
      <c r="D147" s="6" t="inlineStr">
        <is>
          <t>20251114</t>
        </is>
      </c>
      <c r="E147" s="16" t="n">
        <v>3923</v>
      </c>
      <c r="F147" s="16" t="inlineStr"/>
      <c r="G147" s="16" t="n">
        <v>2983</v>
      </c>
      <c r="H147" s="6" t="inlineStr">
        <is>
          <t>천YD,천$</t>
        </is>
      </c>
      <c r="I147" s="17" t="n">
        <v>-8.1</v>
      </c>
      <c r="J147" s="18" t="n">
        <v>6326</v>
      </c>
      <c r="K147" s="19" t="n">
        <v>4152</v>
      </c>
      <c r="L147" s="18" t="inlineStr"/>
      <c r="M147" s="19" t="n">
        <v>4145</v>
      </c>
      <c r="N147" s="18" t="n">
        <v>3496</v>
      </c>
      <c r="O147" s="19" t="n">
        <v>3245</v>
      </c>
      <c r="P147" s="18" t="n">
        <v>2983</v>
      </c>
      <c r="Q147" s="19" t="inlineStr"/>
      <c r="R147" s="18" t="inlineStr"/>
      <c r="S147" s="20" t="inlineStr"/>
      <c r="T147" s="6" t="n">
        <v>3</v>
      </c>
      <c r="U147" s="5" t="inlineStr">
        <is>
          <t>가공제품 / - / 2025. 10월 | 가공제품 / - / 2025. 12월 | 가공제품 / - / 2025. 11월</t>
        </is>
      </c>
      <c r="V147" s="21">
        <f>HYPERLINK("https://dart.fss.or.kr/dsaf001/main.do?rcpNo=20251114000799", "공시열람")</f>
        <v/>
      </c>
    </row>
    <row r="148">
      <c r="A148" s="5" t="inlineStr">
        <is>
          <t>서한</t>
        </is>
      </c>
      <c r="B148" s="6" t="inlineStr">
        <is>
          <t>011370</t>
        </is>
      </c>
      <c r="C148" s="6" t="inlineStr">
        <is>
          <t>2026Q2</t>
        </is>
      </c>
      <c r="D148" s="6" t="inlineStr">
        <is>
          <t>20260814</t>
        </is>
      </c>
      <c r="E148" s="16" t="n">
        <v>1900394</v>
      </c>
      <c r="F148" s="16" t="n">
        <v>248413</v>
      </c>
      <c r="G148" s="16" t="n">
        <v>1651981</v>
      </c>
      <c r="H148" s="6" t="inlineStr">
        <is>
          <t>백만원</t>
        </is>
      </c>
      <c r="I148" s="17" t="n">
        <v>-2.5</v>
      </c>
      <c r="J148" s="18" t="n">
        <v>999014</v>
      </c>
      <c r="K148" s="19" t="n">
        <v>1540144</v>
      </c>
      <c r="L148" s="18" t="n">
        <v>1411789</v>
      </c>
      <c r="M148" s="19" t="n">
        <v>1319493</v>
      </c>
      <c r="N148" s="18" t="n">
        <v>1319499</v>
      </c>
      <c r="O148" s="19" t="n">
        <v>1063955</v>
      </c>
      <c r="P148" s="18" t="n">
        <v>1219613</v>
      </c>
      <c r="Q148" s="19" t="n">
        <v>1556647</v>
      </c>
      <c r="R148" s="18" t="n">
        <v>1693837</v>
      </c>
      <c r="S148" s="20" t="n">
        <v>1651981</v>
      </c>
      <c r="T148" s="6" t="n">
        <v>3</v>
      </c>
      <c r="U148" s="5" t="inlineStr">
        <is>
          <t>건축부문 / - | 분양공사 / - | 토목부문 / -</t>
        </is>
      </c>
      <c r="V148" s="21">
        <f>HYPERLINK("https://dart.fss.or.kr/dsaf001/main.do?rcpNo=20260814001200", "공시열람")</f>
        <v/>
      </c>
    </row>
    <row r="149">
      <c r="A149" s="5" t="inlineStr">
        <is>
          <t>부산산업</t>
        </is>
      </c>
      <c r="B149" s="6" t="inlineStr">
        <is>
          <t>011390</t>
        </is>
      </c>
      <c r="C149" s="6" t="inlineStr">
        <is>
          <t>2026Q2</t>
        </is>
      </c>
      <c r="D149" s="6" t="inlineStr">
        <is>
          <t>20260814</t>
        </is>
      </c>
      <c r="E149" s="16" t="n">
        <v>267430</v>
      </c>
      <c r="F149" s="16" t="n">
        <v>72266</v>
      </c>
      <c r="G149" s="16" t="n">
        <v>195164</v>
      </c>
      <c r="H149" s="6" t="inlineStr">
        <is>
          <t>백만원</t>
        </is>
      </c>
      <c r="I149" s="17" t="n">
        <v>24.4</v>
      </c>
      <c r="J149" s="18" t="n">
        <v>149846</v>
      </c>
      <c r="K149" s="19" t="n">
        <v>136083</v>
      </c>
      <c r="L149" s="18" t="n">
        <v>138279</v>
      </c>
      <c r="M149" s="19" t="n">
        <v>133038</v>
      </c>
      <c r="N149" s="18" t="n">
        <v>147809</v>
      </c>
      <c r="O149" s="19" t="n">
        <v>154281</v>
      </c>
      <c r="P149" s="18" t="n">
        <v>156902</v>
      </c>
      <c r="Q149" s="19" t="n">
        <v>151039</v>
      </c>
      <c r="R149" s="18" t="n">
        <v>156873</v>
      </c>
      <c r="S149" s="20" t="n">
        <v>195164</v>
      </c>
      <c r="T149" s="6" t="n">
        <v>4</v>
      </c>
      <c r="U149" s="5" t="inlineStr">
        <is>
          <t>세그멘트 | 건축 PC | 콘크리트침목</t>
        </is>
      </c>
      <c r="V149" s="21">
        <f>HYPERLINK("https://dart.fss.or.kr/dsaf001/main.do?rcpNo=20260814000505", "공시열람")</f>
        <v/>
      </c>
    </row>
    <row r="150">
      <c r="A150" s="5" t="inlineStr">
        <is>
          <t>세보엠이씨</t>
        </is>
      </c>
      <c r="B150" s="6" t="inlineStr">
        <is>
          <t>011560</t>
        </is>
      </c>
      <c r="C150" s="6" t="inlineStr">
        <is>
          <t>2026Q2</t>
        </is>
      </c>
      <c r="D150" s="6" t="inlineStr">
        <is>
          <t>20260814</t>
        </is>
      </c>
      <c r="E150" s="16" t="n">
        <v>1511077104</v>
      </c>
      <c r="F150" s="16" t="n">
        <v>1085426462</v>
      </c>
      <c r="G150" s="16" t="n">
        <v>425650643</v>
      </c>
      <c r="H150" s="6" t="inlineStr">
        <is>
          <t>천원</t>
        </is>
      </c>
      <c r="I150" s="17" t="n">
        <v>6.4</v>
      </c>
      <c r="J150" s="18" t="n">
        <v>320834902</v>
      </c>
      <c r="K150" s="19" t="n">
        <v>218138873</v>
      </c>
      <c r="L150" s="18" t="n">
        <v>306069523</v>
      </c>
      <c r="M150" s="19" t="n">
        <v>241360279</v>
      </c>
      <c r="N150" s="18" t="inlineStr"/>
      <c r="O150" s="19" t="n">
        <v>193488878</v>
      </c>
      <c r="P150" s="18" t="n">
        <v>414978919</v>
      </c>
      <c r="Q150" s="19" t="n">
        <v>408921350</v>
      </c>
      <c r="R150" s="18" t="n">
        <v>400215193</v>
      </c>
      <c r="S150" s="20" t="n">
        <v>425650643</v>
      </c>
      <c r="T150" s="6" t="n">
        <v>19</v>
      </c>
      <c r="U150" s="5" t="inlineStr">
        <is>
          <t>기계, 기계소방공사 | HVAC 및 소방공사 - 1공구 | Ph1 마감공사</t>
        </is>
      </c>
      <c r="V150" s="21">
        <f>HYPERLINK("https://dart.fss.or.kr/dsaf001/main.do?rcpNo=20260814000801", "공시열람")</f>
        <v/>
      </c>
    </row>
    <row r="151">
      <c r="A151" s="5" t="inlineStr">
        <is>
          <t>현대코퍼레이션</t>
        </is>
      </c>
      <c r="B151" s="6" t="inlineStr">
        <is>
          <t>011760</t>
        </is>
      </c>
      <c r="C151" s="6" t="inlineStr">
        <is>
          <t>2026Q2</t>
        </is>
      </c>
      <c r="D151" s="6" t="inlineStr">
        <is>
          <t>20260813</t>
        </is>
      </c>
      <c r="E151" s="16" t="n">
        <v>931281</v>
      </c>
      <c r="F151" s="16" t="n">
        <v>493702</v>
      </c>
      <c r="G151" s="16" t="n">
        <v>437579</v>
      </c>
      <c r="H151" s="6" t="inlineStr">
        <is>
          <t>U$천</t>
        </is>
      </c>
      <c r="I151" s="17" t="n">
        <v>-24</v>
      </c>
      <c r="J151" s="18" t="n">
        <v>908315</v>
      </c>
      <c r="K151" s="19" t="n">
        <v>1159533</v>
      </c>
      <c r="L151" s="18" t="n">
        <v>1076613</v>
      </c>
      <c r="M151" s="19" t="n">
        <v>999007</v>
      </c>
      <c r="N151" s="18" t="n">
        <v>985610</v>
      </c>
      <c r="O151" s="19" t="n">
        <v>879403</v>
      </c>
      <c r="P151" s="18" t="n">
        <v>807854</v>
      </c>
      <c r="Q151" s="19" t="n">
        <v>665237</v>
      </c>
      <c r="R151" s="18" t="n">
        <v>575611</v>
      </c>
      <c r="S151" s="20" t="n">
        <v>437579</v>
      </c>
      <c r="T151" s="6" t="n">
        <v>10</v>
      </c>
      <c r="U151" s="5" t="inlineStr">
        <is>
          <t>경유 / 2024-02-29 / 2027-01-31 | 항공유 / 2025-01-23 / 2026-12-31 | 항공유 / 2024-05-27 / 2026-07-31</t>
        </is>
      </c>
      <c r="V151" s="21">
        <f>HYPERLINK("https://dart.fss.or.kr/dsaf001/main.do?rcpNo=20260813001727", "공시열람")</f>
        <v/>
      </c>
    </row>
    <row r="152">
      <c r="A152" s="5" t="inlineStr">
        <is>
          <t>STX</t>
        </is>
      </c>
      <c r="B152" s="6" t="inlineStr">
        <is>
          <t>011810</t>
        </is>
      </c>
      <c r="C152" s="6" t="inlineStr">
        <is>
          <t>2026Q2</t>
        </is>
      </c>
      <c r="D152" s="6" t="inlineStr">
        <is>
          <t>20260814</t>
        </is>
      </c>
      <c r="E152" s="16" t="n">
        <v>201844</v>
      </c>
      <c r="F152" s="16" t="n">
        <v>90781</v>
      </c>
      <c r="G152" s="16" t="n">
        <v>111063</v>
      </c>
      <c r="H152" s="6" t="inlineStr">
        <is>
          <t>개,백만원</t>
        </is>
      </c>
      <c r="I152" s="17" t="n">
        <v>29.3</v>
      </c>
      <c r="J152" s="18" t="n">
        <v>111061</v>
      </c>
      <c r="K152" s="19" t="n">
        <v>85803</v>
      </c>
      <c r="L152" s="18" t="n">
        <v>96873</v>
      </c>
      <c r="M152" s="19" t="n">
        <v>112008</v>
      </c>
      <c r="N152" s="18" t="n">
        <v>116322</v>
      </c>
      <c r="O152" s="19" t="n">
        <v>109170</v>
      </c>
      <c r="P152" s="18" t="n">
        <v>102737</v>
      </c>
      <c r="Q152" s="19" t="n">
        <v>85871</v>
      </c>
      <c r="R152" s="18" t="n">
        <v>85871</v>
      </c>
      <c r="S152" s="20" t="n">
        <v>111063</v>
      </c>
      <c r="T152" s="6" t="n">
        <v>1</v>
      </c>
      <c r="U152" s="5" t="inlineStr">
        <is>
          <t>밸 브 / 2024.07.01~ / 2026.07.01</t>
        </is>
      </c>
      <c r="V152" s="21">
        <f>HYPERLINK("https://dart.fss.or.kr/dsaf001/main.do?rcpNo=20260814004103", "공시열람")</f>
        <v/>
      </c>
    </row>
    <row r="153">
      <c r="A153" s="5" t="inlineStr">
        <is>
          <t>신성이엔지</t>
        </is>
      </c>
      <c r="B153" s="6" t="inlineStr">
        <is>
          <t>011930</t>
        </is>
      </c>
      <c r="C153" s="6" t="inlineStr">
        <is>
          <t>2026Q2</t>
        </is>
      </c>
      <c r="D153" s="6" t="inlineStr">
        <is>
          <t>20260821</t>
        </is>
      </c>
      <c r="E153" s="16" t="n">
        <v>613290361</v>
      </c>
      <c r="F153" s="16" t="n">
        <v>283916896</v>
      </c>
      <c r="G153" s="16" t="n">
        <v>329373465</v>
      </c>
      <c r="H153" s="6" t="inlineStr">
        <is>
          <t>천원</t>
        </is>
      </c>
      <c r="I153" s="17" t="n">
        <v>87</v>
      </c>
      <c r="J153" s="18" t="n">
        <v>157531674</v>
      </c>
      <c r="K153" s="19" t="n">
        <v>112879308</v>
      </c>
      <c r="L153" s="18" t="n">
        <v>120470816</v>
      </c>
      <c r="M153" s="19" t="n">
        <v>96917600</v>
      </c>
      <c r="N153" s="18" t="n">
        <v>107582426</v>
      </c>
      <c r="O153" s="19" t="n">
        <v>86943666</v>
      </c>
      <c r="P153" s="18" t="n">
        <v>117273531</v>
      </c>
      <c r="Q153" s="19" t="n">
        <v>125328218</v>
      </c>
      <c r="R153" s="18" t="n">
        <v>176158148</v>
      </c>
      <c r="S153" s="20" t="n">
        <v>329373465</v>
      </c>
      <c r="T153" s="6" t="n">
        <v>1</v>
      </c>
      <c r="U153" s="5" t="inlineStr">
        <is>
          <t>클린룸 및 공조시스템 제조, 설치공사 외 / -</t>
        </is>
      </c>
      <c r="V153" s="21">
        <f>HYPERLINK("https://dart.fss.or.kr/dsaf001/main.do?rcpNo=20260821000469", "공시열람")</f>
        <v/>
      </c>
    </row>
    <row r="154">
      <c r="A154" s="5" t="inlineStr">
        <is>
          <t>DB</t>
        </is>
      </c>
      <c r="B154" s="6" t="inlineStr">
        <is>
          <t>012030</t>
        </is>
      </c>
      <c r="C154" s="6" t="inlineStr">
        <is>
          <t>2026Q2</t>
        </is>
      </c>
      <c r="D154" s="6" t="inlineStr">
        <is>
          <t>20260814</t>
        </is>
      </c>
      <c r="E154" s="16" t="n">
        <v>6808.3</v>
      </c>
      <c r="F154" s="16" t="n">
        <v>2586.9</v>
      </c>
      <c r="G154" s="16" t="n">
        <v>4221.4</v>
      </c>
      <c r="H154" s="6" t="inlineStr">
        <is>
          <t>억원</t>
        </is>
      </c>
      <c r="I154" s="17" t="n">
        <v>-2.3</v>
      </c>
      <c r="J154" s="18" t="n">
        <v>2779.4</v>
      </c>
      <c r="K154" s="19" t="n">
        <v>3053.5</v>
      </c>
      <c r="L154" s="18" t="n">
        <v>2721</v>
      </c>
      <c r="M154" s="19" t="n">
        <v>2429.8</v>
      </c>
      <c r="N154" s="18" t="n">
        <v>2486</v>
      </c>
      <c r="O154" s="19" t="n">
        <v>3616.9</v>
      </c>
      <c r="P154" s="18" t="n">
        <v>4385.9</v>
      </c>
      <c r="Q154" s="19" t="n">
        <v>4157.7</v>
      </c>
      <c r="R154" s="18" t="n">
        <v>4320.7</v>
      </c>
      <c r="S154" s="20" t="n">
        <v>4221.4</v>
      </c>
      <c r="T154" s="6" t="n">
        <v>97</v>
      </c>
      <c r="U154" s="5" t="inlineStr">
        <is>
          <t>** 토지정보시스템 구축 / 2025년05월 / 203 | ** IT인프라 통합 유지보수 / 2025년07월 /  | ** ** 과학기술대학교 연구센터 건립사업 / 2025</t>
        </is>
      </c>
      <c r="V154" s="21">
        <f>HYPERLINK("https://dart.fss.or.kr/dsaf001/main.do?rcpNo=20260814002948", "공시열람")</f>
        <v/>
      </c>
    </row>
    <row r="155">
      <c r="A155" s="5" t="inlineStr">
        <is>
          <t>삼미금속</t>
        </is>
      </c>
      <c r="B155" s="6" t="inlineStr">
        <is>
          <t>012210</t>
        </is>
      </c>
      <c r="C155" s="6" t="inlineStr">
        <is>
          <t>2026Q2</t>
        </is>
      </c>
      <c r="D155" s="6" t="inlineStr">
        <is>
          <t>20260813</t>
        </is>
      </c>
      <c r="E155" s="16" t="inlineStr"/>
      <c r="F155" s="16" t="n">
        <v>15813</v>
      </c>
      <c r="G155" s="16" t="n">
        <v>30428</v>
      </c>
      <c r="H155" s="6" t="inlineStr">
        <is>
          <t>백만원</t>
        </is>
      </c>
      <c r="I155" s="17" t="n">
        <v>17.1</v>
      </c>
      <c r="J155" s="18" t="inlineStr"/>
      <c r="K155" s="19" t="inlineStr"/>
      <c r="L155" s="18" t="inlineStr"/>
      <c r="M155" s="19" t="n">
        <v>16756</v>
      </c>
      <c r="N155" s="18" t="inlineStr"/>
      <c r="O155" s="19" t="n">
        <v>8512</v>
      </c>
      <c r="P155" s="18" t="n">
        <v>8549</v>
      </c>
      <c r="Q155" s="19" t="n">
        <v>15640</v>
      </c>
      <c r="R155" s="18" t="n">
        <v>25986</v>
      </c>
      <c r="S155" s="20" t="n">
        <v>30428</v>
      </c>
      <c r="T155" s="6" t="n">
        <v>4</v>
      </c>
      <c r="U155" s="5" t="inlineStr">
        <is>
          <t>선박엔진 | 발 전 | 중장비</t>
        </is>
      </c>
      <c r="V155" s="21">
        <f>HYPERLINK("https://dart.fss.or.kr/dsaf001/main.do?rcpNo=20260813001147", "공시열람")</f>
        <v/>
      </c>
    </row>
    <row r="156">
      <c r="A156" s="5" t="inlineStr">
        <is>
          <t>경동인베스트</t>
        </is>
      </c>
      <c r="B156" s="6" t="inlineStr">
        <is>
          <t>012320</t>
        </is>
      </c>
      <c r="C156" s="6" t="inlineStr">
        <is>
          <t>2026Q2</t>
        </is>
      </c>
      <c r="D156" s="6" t="inlineStr">
        <is>
          <t>20260814</t>
        </is>
      </c>
      <c r="E156" s="16" t="n">
        <v>481043</v>
      </c>
      <c r="F156" s="16" t="n">
        <v>148564</v>
      </c>
      <c r="G156" s="16" t="n">
        <v>332479</v>
      </c>
      <c r="H156" s="6" t="inlineStr">
        <is>
          <t>백만원</t>
        </is>
      </c>
      <c r="I156" s="17" t="n">
        <v>-3.5</v>
      </c>
      <c r="J156" s="18" t="n">
        <v>41222</v>
      </c>
      <c r="K156" s="19" t="n">
        <v>51702</v>
      </c>
      <c r="L156" s="18" t="n">
        <v>42858</v>
      </c>
      <c r="M156" s="19" t="n">
        <v>32473</v>
      </c>
      <c r="N156" s="18" t="n">
        <v>25986</v>
      </c>
      <c r="O156" s="19" t="n">
        <v>20415</v>
      </c>
      <c r="P156" s="18" t="n">
        <v>235303</v>
      </c>
      <c r="Q156" s="19" t="n">
        <v>234475</v>
      </c>
      <c r="R156" s="18" t="n">
        <v>344640</v>
      </c>
      <c r="S156" s="20" t="n">
        <v>332479</v>
      </c>
      <c r="T156" s="6" t="n">
        <v>24</v>
      </c>
      <c r="U156" s="5" t="inlineStr">
        <is>
          <t>춘천-속초 철도건설 제2공구 노반신설 기타공사 터널 및 | 인덕원동탄 복선전철 제8공구 111정거장 및 터널공사  | 춘천-속초 철도건설 제2공구 노반신설 기타공사 TBM공</t>
        </is>
      </c>
      <c r="V156" s="21">
        <f>HYPERLINK("https://dart.fss.or.kr/dsaf001/main.do?rcpNo=20260814004025", "공시열람")</f>
        <v/>
      </c>
    </row>
    <row r="157">
      <c r="A157" s="5" t="inlineStr">
        <is>
          <t>뉴인텍</t>
        </is>
      </c>
      <c r="B157" s="6" t="inlineStr">
        <is>
          <t>012340</t>
        </is>
      </c>
      <c r="C157" s="6" t="inlineStr">
        <is>
          <t>2026Q2</t>
        </is>
      </c>
      <c r="D157" s="6" t="inlineStr">
        <is>
          <t>20260930</t>
        </is>
      </c>
      <c r="E157" s="16" t="inlineStr"/>
      <c r="F157" s="16" t="inlineStr"/>
      <c r="G157" s="16" t="n">
        <v>874511</v>
      </c>
      <c r="H157" s="6" t="inlineStr">
        <is>
          <t>천원</t>
        </is>
      </c>
      <c r="I157" s="17" t="n">
        <v>-53.4</v>
      </c>
      <c r="J157" s="18" t="n">
        <v>2642091</v>
      </c>
      <c r="K157" s="19" t="n">
        <v>1093276</v>
      </c>
      <c r="L157" s="18" t="n">
        <v>826236</v>
      </c>
      <c r="M157" s="19" t="n">
        <v>826236</v>
      </c>
      <c r="N157" s="18" t="n">
        <v>851748</v>
      </c>
      <c r="O157" s="19" t="n">
        <v>583963</v>
      </c>
      <c r="P157" s="18" t="n">
        <v>1103205</v>
      </c>
      <c r="Q157" s="19" t="n">
        <v>675061</v>
      </c>
      <c r="R157" s="18" t="n">
        <v>1875951</v>
      </c>
      <c r="S157" s="20" t="n">
        <v>874511</v>
      </c>
      <c r="T157" s="6" t="n">
        <v>1</v>
      </c>
      <c r="U157" s="5" t="inlineStr">
        <is>
          <t>유형자산</t>
        </is>
      </c>
      <c r="V157" s="21">
        <f>HYPERLINK("https://dart.fss.or.kr/dsaf001/main.do?rcpNo=20260930000280", "공시열람")</f>
        <v/>
      </c>
    </row>
    <row r="158">
      <c r="A158" s="5" t="inlineStr">
        <is>
          <t>한화에어로스페이스</t>
        </is>
      </c>
      <c r="B158" s="6" t="inlineStr">
        <is>
          <t>012450</t>
        </is>
      </c>
      <c r="C158" s="6" t="inlineStr">
        <is>
          <t>2026Q2</t>
        </is>
      </c>
      <c r="D158" s="6" t="inlineStr">
        <is>
          <t>20260814</t>
        </is>
      </c>
      <c r="E158" s="16" t="n">
        <v>158551529</v>
      </c>
      <c r="F158" s="16" t="n">
        <v>43633291</v>
      </c>
      <c r="G158" s="16" t="n">
        <v>114918238</v>
      </c>
      <c r="H158" s="6" t="inlineStr"/>
      <c r="I158" s="17" t="n">
        <v>-1.6</v>
      </c>
      <c r="J158" s="18" t="n">
        <v>66123433</v>
      </c>
      <c r="K158" s="19" t="n">
        <v>67730712</v>
      </c>
      <c r="L158" s="18" t="n">
        <v>68218801</v>
      </c>
      <c r="M158" s="19" t="n">
        <v>103415434</v>
      </c>
      <c r="N158" s="18" t="n">
        <v>104081142</v>
      </c>
      <c r="O158" s="19" t="n">
        <v>101651753</v>
      </c>
      <c r="P158" s="18" t="n">
        <v>103120796</v>
      </c>
      <c r="Q158" s="19" t="n">
        <v>116800728</v>
      </c>
      <c r="R158" s="18" t="inlineStr"/>
      <c r="S158" s="20" t="n">
        <v>114918238</v>
      </c>
      <c r="T158" s="6" t="n">
        <v>7</v>
      </c>
      <c r="U158" s="5" t="inlineStr">
        <is>
          <t>한화에어로스페이스㈜및 해외 종속회사 / 방산 / 상세내 | 한화오션㈜ 및 종속회사 / 해양 / 상세내역 참조 | 한화에어로스페이스㈜및 해외 종속회사 / 항공 / 상세내</t>
        </is>
      </c>
      <c r="V158" s="21">
        <f>HYPERLINK("https://dart.fss.or.kr/dsaf001/main.do?rcpNo=20260814003198", "공시열람")</f>
        <v/>
      </c>
    </row>
    <row r="159">
      <c r="A159" s="5" t="inlineStr">
        <is>
          <t>더존비즈온</t>
        </is>
      </c>
      <c r="B159" s="6" t="inlineStr">
        <is>
          <t>012510</t>
        </is>
      </c>
      <c r="C159" s="6" t="inlineStr">
        <is>
          <t>2026Q1</t>
        </is>
      </c>
      <c r="D159" s="6" t="inlineStr">
        <is>
          <t>20260515</t>
        </is>
      </c>
      <c r="E159" s="16" t="n">
        <v>108907</v>
      </c>
      <c r="F159" s="16" t="n">
        <v>50575</v>
      </c>
      <c r="G159" s="16" t="n">
        <v>56804</v>
      </c>
      <c r="H159" s="6" t="inlineStr">
        <is>
          <t>백만원:</t>
        </is>
      </c>
      <c r="I159" s="17" t="n">
        <v>0.5</v>
      </c>
      <c r="J159" s="18" t="n">
        <v>41289</v>
      </c>
      <c r="K159" s="19" t="n">
        <v>56578</v>
      </c>
      <c r="L159" s="18" t="n">
        <v>54931</v>
      </c>
      <c r="M159" s="19" t="n">
        <v>52798</v>
      </c>
      <c r="N159" s="18" t="n">
        <v>43186</v>
      </c>
      <c r="O159" s="19" t="n">
        <v>37765</v>
      </c>
      <c r="P159" s="18" t="n">
        <v>44511</v>
      </c>
      <c r="Q159" s="19" t="n">
        <v>56503</v>
      </c>
      <c r="R159" s="18" t="n">
        <v>56804</v>
      </c>
      <c r="S159" s="20" t="inlineStr"/>
      <c r="T159" s="6" t="n">
        <v>1</v>
      </c>
      <c r="U159" s="5" t="inlineStr">
        <is>
          <t>주요 제품등 / -</t>
        </is>
      </c>
      <c r="V159" s="21">
        <f>HYPERLINK("https://dart.fss.or.kr/dsaf001/main.do?rcpNo=20260515002089", "공시열람")</f>
        <v/>
      </c>
    </row>
    <row r="160">
      <c r="A160" s="5" t="inlineStr">
        <is>
          <t>원일특강</t>
        </is>
      </c>
      <c r="B160" s="6" t="inlineStr">
        <is>
          <t>012620</t>
        </is>
      </c>
      <c r="C160" s="6" t="inlineStr">
        <is>
          <t>2026Q2</t>
        </is>
      </c>
      <c r="D160" s="6" t="inlineStr">
        <is>
          <t>20260814</t>
        </is>
      </c>
      <c r="E160" s="16" t="n">
        <v>32354221</v>
      </c>
      <c r="F160" s="16" t="n">
        <v>25570803</v>
      </c>
      <c r="G160" s="16" t="n">
        <v>6783418</v>
      </c>
      <c r="H160" s="6" t="inlineStr">
        <is>
          <t>천원</t>
        </is>
      </c>
      <c r="I160" s="17" t="n">
        <v>-31.4</v>
      </c>
      <c r="J160" s="18" t="n">
        <v>6201476</v>
      </c>
      <c r="K160" s="19" t="n">
        <v>9917156</v>
      </c>
      <c r="L160" s="18" t="n">
        <v>7216008</v>
      </c>
      <c r="M160" s="19" t="n">
        <v>4697216</v>
      </c>
      <c r="N160" s="18" t="n">
        <v>6652821</v>
      </c>
      <c r="O160" s="19" t="n">
        <v>8579017</v>
      </c>
      <c r="P160" s="18" t="n">
        <v>5805329</v>
      </c>
      <c r="Q160" s="19" t="n">
        <v>5362341</v>
      </c>
      <c r="R160" s="18" t="n">
        <v>9893542</v>
      </c>
      <c r="S160" s="20" t="n">
        <v>6783418</v>
      </c>
      <c r="T160" s="6" t="n">
        <v>8</v>
      </c>
      <c r="U160" s="5" t="inlineStr">
        <is>
          <t>단조제품 / 2026년 01월 수주 / 2026.01~ | 단조제품 / 2026년 03월 수주 / 2026.03~ | 단조제품 / 2026년 06월 수주 / 2026.03~</t>
        </is>
      </c>
      <c r="V160" s="21">
        <f>HYPERLINK("https://dart.fss.or.kr/dsaf001/main.do?rcpNo=20260814002095", "공시열람")</f>
        <v/>
      </c>
    </row>
    <row r="161">
      <c r="A161" s="5" t="inlineStr">
        <is>
          <t>HDC</t>
        </is>
      </c>
      <c r="B161" s="6" t="inlineStr">
        <is>
          <t>012630</t>
        </is>
      </c>
      <c r="C161" s="6" t="inlineStr">
        <is>
          <t>2026Q2</t>
        </is>
      </c>
      <c r="D161" s="6" t="inlineStr">
        <is>
          <t>20260818</t>
        </is>
      </c>
      <c r="E161" s="16" t="n">
        <v>26519376</v>
      </c>
      <c r="F161" s="16" t="n">
        <v>4225760</v>
      </c>
      <c r="G161" s="16" t="n">
        <v>22293615</v>
      </c>
      <c r="H161" s="6" t="inlineStr">
        <is>
          <t>백만원</t>
        </is>
      </c>
      <c r="I161" s="17" t="n">
        <v>3681.3</v>
      </c>
      <c r="J161" s="18" t="n">
        <v>529568</v>
      </c>
      <c r="K161" s="19" t="n">
        <v>507718</v>
      </c>
      <c r="L161" s="18" t="n">
        <v>441264</v>
      </c>
      <c r="M161" s="19" t="n">
        <v>19942970</v>
      </c>
      <c r="N161" s="18" t="n">
        <v>560106</v>
      </c>
      <c r="O161" s="19" t="n">
        <v>499393</v>
      </c>
      <c r="P161" s="18" t="n">
        <v>472493</v>
      </c>
      <c r="Q161" s="19" t="n">
        <v>396270</v>
      </c>
      <c r="R161" s="18" t="n">
        <v>589570</v>
      </c>
      <c r="S161" s="20" t="n">
        <v>22293615</v>
      </c>
      <c r="T161" s="6" t="n">
        <v>2</v>
      </c>
      <c r="U161" s="5" t="inlineStr">
        <is>
          <t>민간공사 | 관급공사</t>
        </is>
      </c>
      <c r="V161" s="21">
        <f>HYPERLINK("https://dart.fss.or.kr/dsaf001/main.do?rcpNo=20260818000287", "공시열람")</f>
        <v/>
      </c>
    </row>
    <row r="162">
      <c r="A162" s="5" t="inlineStr">
        <is>
          <t>하이록코리아</t>
        </is>
      </c>
      <c r="B162" s="6" t="inlineStr">
        <is>
          <t>013030</t>
        </is>
      </c>
      <c r="C162" s="6" t="inlineStr">
        <is>
          <t>2024Q3</t>
        </is>
      </c>
      <c r="D162" s="6" t="inlineStr">
        <is>
          <t>20241114</t>
        </is>
      </c>
      <c r="E162" s="16" t="n">
        <v>131359</v>
      </c>
      <c r="F162" s="16" t="n">
        <v>126019</v>
      </c>
      <c r="G162" s="16" t="n">
        <v>5340</v>
      </c>
      <c r="H162" s="6" t="inlineStr">
        <is>
          <t>백만원</t>
        </is>
      </c>
      <c r="I162" s="17" t="n">
        <v>41.8</v>
      </c>
      <c r="J162" s="18" t="n">
        <v>179</v>
      </c>
      <c r="K162" s="19" t="n">
        <v>3766</v>
      </c>
      <c r="L162" s="18" t="n">
        <v>5340</v>
      </c>
      <c r="M162" s="19" t="inlineStr"/>
      <c r="N162" s="18" t="inlineStr"/>
      <c r="O162" s="19" t="inlineStr"/>
      <c r="P162" s="18" t="inlineStr"/>
      <c r="Q162" s="19" t="inlineStr"/>
      <c r="R162" s="18" t="inlineStr"/>
      <c r="S162" s="20" t="inlineStr"/>
      <c r="T162" s="6" t="n">
        <v>4</v>
      </c>
      <c r="U162" s="5" t="inlineStr">
        <is>
          <t>관이음쇠및밸브류 / 08월 / 24.08.01 ~ 24 | 관이음쇠및밸브류 / 09월 / 24.09.01 ~ 24 | 관이음쇠및밸브류 / 04월 / 24.04.01 ~ 24</t>
        </is>
      </c>
      <c r="V162" s="21">
        <f>HYPERLINK("https://dart.fss.or.kr/dsaf001/main.do?rcpNo=20241114001240", "공시열람")</f>
        <v/>
      </c>
    </row>
    <row r="163">
      <c r="A163" s="5" t="inlineStr">
        <is>
          <t>동원개발</t>
        </is>
      </c>
      <c r="B163" s="6" t="inlineStr">
        <is>
          <t>013120</t>
        </is>
      </c>
      <c r="C163" s="6" t="inlineStr">
        <is>
          <t>2026Q2</t>
        </is>
      </c>
      <c r="D163" s="6" t="inlineStr">
        <is>
          <t>20260814</t>
        </is>
      </c>
      <c r="E163" s="16" t="n">
        <v>2634751230</v>
      </c>
      <c r="F163" s="16" t="n">
        <v>360071352</v>
      </c>
      <c r="G163" s="16" t="n">
        <v>2274679879</v>
      </c>
      <c r="H163" s="6" t="inlineStr">
        <is>
          <t>천원</t>
        </is>
      </c>
      <c r="I163" s="17" t="n">
        <v>9.300000000000001</v>
      </c>
      <c r="J163" s="18" t="n">
        <v>1613134998</v>
      </c>
      <c r="K163" s="19" t="n">
        <v>1650599751</v>
      </c>
      <c r="L163" s="18" t="n">
        <v>1998309779</v>
      </c>
      <c r="M163" s="19" t="n">
        <v>1951363859</v>
      </c>
      <c r="N163" s="18" t="n">
        <v>2268728816</v>
      </c>
      <c r="O163" s="19" t="n">
        <v>2165146234</v>
      </c>
      <c r="P163" s="18" t="n">
        <v>1977184164</v>
      </c>
      <c r="Q163" s="19" t="n">
        <v>2082123669</v>
      </c>
      <c r="R163" s="18" t="n">
        <v>2082071631</v>
      </c>
      <c r="S163" s="20" t="n">
        <v>2274679879</v>
      </c>
      <c r="T163" s="6" t="n">
        <v>43</v>
      </c>
      <c r="U163" s="5" t="inlineStr">
        <is>
          <t>평택브레인시티 비스타동원 신축 건축,기계,토목,조경공사 | 사상공원민간공원조성특례사업공동주택신축 / 2024.02 | 울산중구 우정6지구(4차)주상복합신축중 건축,기계,토목</t>
        </is>
      </c>
      <c r="V163" s="21">
        <f>HYPERLINK("https://dart.fss.or.kr/dsaf001/main.do?rcpNo=20260814001366", "공시열람")</f>
        <v/>
      </c>
    </row>
    <row r="164">
      <c r="A164" s="5" t="inlineStr">
        <is>
          <t>일성건설</t>
        </is>
      </c>
      <c r="B164" s="6" t="inlineStr">
        <is>
          <t>013360</t>
        </is>
      </c>
      <c r="C164" s="6" t="inlineStr">
        <is>
          <t>2026Q2</t>
        </is>
      </c>
      <c r="D164" s="6" t="inlineStr">
        <is>
          <t>20260814</t>
        </is>
      </c>
      <c r="E164" s="16" t="n">
        <v>2678814</v>
      </c>
      <c r="F164" s="16" t="n">
        <v>1167388</v>
      </c>
      <c r="G164" s="16" t="n">
        <v>1511426</v>
      </c>
      <c r="H164" s="6" t="inlineStr">
        <is>
          <t>백만원</t>
        </is>
      </c>
      <c r="I164" s="17" t="n">
        <v>-3.1</v>
      </c>
      <c r="J164" s="18" t="n">
        <v>992056</v>
      </c>
      <c r="K164" s="19" t="n">
        <v>935458</v>
      </c>
      <c r="L164" s="18" t="n">
        <v>1015317958</v>
      </c>
      <c r="M164" s="19" t="n">
        <v>1539460</v>
      </c>
      <c r="N164" s="18" t="n">
        <v>1533094</v>
      </c>
      <c r="O164" s="19" t="n">
        <v>1651221</v>
      </c>
      <c r="P164" s="18" t="n">
        <v>1443765</v>
      </c>
      <c r="Q164" s="19" t="n">
        <v>1626960</v>
      </c>
      <c r="R164" s="18" t="n">
        <v>1559269</v>
      </c>
      <c r="S164" s="20" t="n">
        <v>1511426</v>
      </c>
      <c r="T164" s="6" t="n">
        <v>32</v>
      </c>
      <c r="U164" s="5" t="inlineStr">
        <is>
          <t>기타 | 건축공공 / 남양주진접 아파트 / 한국토지주택공사 | 기타</t>
        </is>
      </c>
      <c r="V164" s="21">
        <f>HYPERLINK("https://dart.fss.or.kr/dsaf001/main.do?rcpNo=20260814002965", "공시열람")</f>
        <v/>
      </c>
    </row>
    <row r="165">
      <c r="A165" s="5" t="inlineStr">
        <is>
          <t>계룡건설산업</t>
        </is>
      </c>
      <c r="B165" s="6" t="inlineStr">
        <is>
          <t>013580</t>
        </is>
      </c>
      <c r="C165" s="6" t="inlineStr">
        <is>
          <t>2026Q2</t>
        </is>
      </c>
      <c r="D165" s="6" t="inlineStr">
        <is>
          <t>20260814</t>
        </is>
      </c>
      <c r="E165" s="16" t="inlineStr"/>
      <c r="F165" s="16" t="n">
        <v>6254450</v>
      </c>
      <c r="G165" s="16" t="n">
        <v>13798740</v>
      </c>
      <c r="H165" s="6" t="inlineStr">
        <is>
          <t>백만원,VAT제외</t>
        </is>
      </c>
      <c r="I165" s="17" t="n">
        <v>3.5</v>
      </c>
      <c r="J165" s="18" t="n">
        <v>9517398</v>
      </c>
      <c r="K165" s="19" t="n">
        <v>10083900</v>
      </c>
      <c r="L165" s="18" t="n">
        <v>10612570</v>
      </c>
      <c r="M165" s="19" t="n">
        <v>11690115</v>
      </c>
      <c r="N165" s="18" t="n">
        <v>11361849</v>
      </c>
      <c r="O165" s="19" t="n">
        <v>12292759</v>
      </c>
      <c r="P165" s="18" t="n">
        <v>12438983</v>
      </c>
      <c r="Q165" s="19" t="n">
        <v>13136647</v>
      </c>
      <c r="R165" s="18" t="n">
        <v>13328072</v>
      </c>
      <c r="S165" s="20" t="n">
        <v>13798740</v>
      </c>
      <c r="T165" s="6" t="n">
        <v>133</v>
      </c>
      <c r="U165" s="5" t="inlineStr">
        <is>
          <t>기 타 | 고양장항 B4 공공지원민간임대 / 2026-06-30  | 월곶~판교 복선전철 10공구 노반신설 / 2023-12</t>
        </is>
      </c>
      <c r="V165" s="21">
        <f>HYPERLINK("https://dart.fss.or.kr/dsaf001/main.do?rcpNo=20260814002364", "공시열람")</f>
        <v/>
      </c>
    </row>
    <row r="166">
      <c r="A166" s="5" t="inlineStr">
        <is>
          <t>까뮤이앤씨</t>
        </is>
      </c>
      <c r="B166" s="6" t="inlineStr">
        <is>
          <t>013700</t>
        </is>
      </c>
      <c r="C166" s="6" t="inlineStr">
        <is>
          <t>2026Q2</t>
        </is>
      </c>
      <c r="D166" s="6" t="inlineStr">
        <is>
          <t>20260814</t>
        </is>
      </c>
      <c r="E166" s="16" t="n">
        <v>840492</v>
      </c>
      <c r="F166" s="16" t="n">
        <v>466312</v>
      </c>
      <c r="G166" s="16" t="n">
        <v>374180</v>
      </c>
      <c r="H166" s="6" t="inlineStr">
        <is>
          <t>백만원,부가세별도</t>
        </is>
      </c>
      <c r="I166" s="17" t="n">
        <v>-2.2</v>
      </c>
      <c r="J166" s="18" t="n">
        <v>148399</v>
      </c>
      <c r="K166" s="19" t="n">
        <v>188485</v>
      </c>
      <c r="L166" s="18" t="n">
        <v>147204</v>
      </c>
      <c r="M166" s="19" t="n">
        <v>250808</v>
      </c>
      <c r="N166" s="18" t="n">
        <v>340696</v>
      </c>
      <c r="O166" s="19" t="n">
        <v>311993</v>
      </c>
      <c r="P166" s="18" t="n">
        <v>357705</v>
      </c>
      <c r="Q166" s="19" t="n">
        <v>400505</v>
      </c>
      <c r="R166" s="18" t="n">
        <v>382437</v>
      </c>
      <c r="S166" s="20" t="n">
        <v>374180</v>
      </c>
      <c r="T166" s="6" t="n">
        <v>24</v>
      </c>
      <c r="U166" s="5" t="inlineStr">
        <is>
          <t>군포대야미A-1BL아파트2공구 / 한국토지주택공사 /  | 청주 P&amp;T7 신축 Project 중 PC공사 2공구  | 김포고촌2 A1BL 아파트 건설공사 1공구 / 한국토지</t>
        </is>
      </c>
      <c r="V166" s="21">
        <f>HYPERLINK("https://dart.fss.or.kr/dsaf001/main.do?rcpNo=20260814002074", "공시열람")</f>
        <v/>
      </c>
    </row>
    <row r="167">
      <c r="A167" s="5" t="inlineStr">
        <is>
          <t>한익스프레스</t>
        </is>
      </c>
      <c r="B167" s="6" t="inlineStr">
        <is>
          <t>014130</t>
        </is>
      </c>
      <c r="C167" s="6" t="inlineStr">
        <is>
          <t>2025Q3</t>
        </is>
      </c>
      <c r="D167" s="6" t="inlineStr">
        <is>
          <t>20251114</t>
        </is>
      </c>
      <c r="E167" s="16" t="n">
        <v>153450</v>
      </c>
      <c r="F167" s="16" t="n">
        <v>67621</v>
      </c>
      <c r="G167" s="16" t="n">
        <v>85829</v>
      </c>
      <c r="H167" s="6" t="inlineStr">
        <is>
          <t>MT,백만원</t>
        </is>
      </c>
      <c r="I167" s="17" t="n">
        <v>0</v>
      </c>
      <c r="J167" s="18" t="n">
        <v>98662</v>
      </c>
      <c r="K167" s="19" t="n">
        <v>98662</v>
      </c>
      <c r="L167" s="18" t="n">
        <v>85829</v>
      </c>
      <c r="M167" s="19" t="n">
        <v>85829</v>
      </c>
      <c r="N167" s="18" t="n">
        <v>85829</v>
      </c>
      <c r="O167" s="19" t="n">
        <v>85829</v>
      </c>
      <c r="P167" s="18" t="n">
        <v>85829</v>
      </c>
      <c r="Q167" s="19" t="inlineStr"/>
      <c r="R167" s="18" t="inlineStr"/>
      <c r="S167" s="20" t="inlineStr"/>
      <c r="T167" s="6" t="n">
        <v>1</v>
      </c>
      <c r="U167" s="5" t="inlineStr">
        <is>
          <t xml:space="preserve">목재펠릿공급 및 육상운송 / 2020.01.30. / </t>
        </is>
      </c>
      <c r="V167" s="21">
        <f>HYPERLINK("https://dart.fss.or.kr/dsaf001/main.do?rcpNo=20251114002024", "공시열람")</f>
        <v/>
      </c>
    </row>
    <row r="168">
      <c r="A168" s="5" t="inlineStr">
        <is>
          <t>대영포장</t>
        </is>
      </c>
      <c r="B168" s="6" t="inlineStr">
        <is>
          <t>014160</t>
        </is>
      </c>
      <c r="C168" s="6" t="inlineStr">
        <is>
          <t>2026Q2</t>
        </is>
      </c>
      <c r="D168" s="6" t="inlineStr">
        <is>
          <t>20260814</t>
        </is>
      </c>
      <c r="E168" s="16" t="n">
        <v>150717</v>
      </c>
      <c r="F168" s="16" t="n">
        <v>147365</v>
      </c>
      <c r="G168" s="16" t="n">
        <v>3352</v>
      </c>
      <c r="H168" s="6" t="inlineStr">
        <is>
          <t>백만㎡,백만원</t>
        </is>
      </c>
      <c r="I168" s="17" t="n">
        <v>7.1</v>
      </c>
      <c r="J168" s="18" t="n">
        <v>3227</v>
      </c>
      <c r="K168" s="19" t="n">
        <v>3106</v>
      </c>
      <c r="L168" s="18" t="n">
        <v>3392</v>
      </c>
      <c r="M168" s="19" t="n">
        <v>2440</v>
      </c>
      <c r="N168" s="18" t="n">
        <v>3212</v>
      </c>
      <c r="O168" s="19" t="n">
        <v>3209</v>
      </c>
      <c r="P168" s="18" t="n">
        <v>3090</v>
      </c>
      <c r="Q168" s="19" t="n">
        <v>2422</v>
      </c>
      <c r="R168" s="18" t="n">
        <v>3129</v>
      </c>
      <c r="S168" s="20" t="n">
        <v>3352</v>
      </c>
      <c r="T168" s="6" t="n">
        <v>3</v>
      </c>
      <c r="U168" s="5" t="inlineStr">
        <is>
          <t>상 자 / - | 원 단 / - | 기 타 / -</t>
        </is>
      </c>
      <c r="V168" s="21">
        <f>HYPERLINK("https://dart.fss.or.kr/dsaf001/main.do?rcpNo=20260814001731", "공시열람")</f>
        <v/>
      </c>
    </row>
    <row r="169">
      <c r="A169" s="5" t="inlineStr">
        <is>
          <t>금강공업</t>
        </is>
      </c>
      <c r="B169" s="6" t="inlineStr">
        <is>
          <t>014280</t>
        </is>
      </c>
      <c r="C169" s="6" t="inlineStr">
        <is>
          <t>2026Q2</t>
        </is>
      </c>
      <c r="D169" s="6" t="inlineStr">
        <is>
          <t>20260814</t>
        </is>
      </c>
      <c r="E169" s="16" t="n">
        <v>66149</v>
      </c>
      <c r="F169" s="16" t="n">
        <v>28981</v>
      </c>
      <c r="G169" s="16" t="n">
        <v>37168</v>
      </c>
      <c r="H169" s="6" t="inlineStr">
        <is>
          <t>백만원</t>
        </is>
      </c>
      <c r="I169" s="17" t="n">
        <v>-0.5</v>
      </c>
      <c r="J169" s="18" t="n">
        <v>44046</v>
      </c>
      <c r="K169" s="19" t="n">
        <v>43662</v>
      </c>
      <c r="L169" s="18" t="n">
        <v>33950</v>
      </c>
      <c r="M169" s="19" t="n">
        <v>33017</v>
      </c>
      <c r="N169" s="18" t="n">
        <v>25605</v>
      </c>
      <c r="O169" s="19" t="n">
        <v>31442</v>
      </c>
      <c r="P169" s="18" t="n">
        <v>28487</v>
      </c>
      <c r="Q169" s="19" t="n">
        <v>30807</v>
      </c>
      <c r="R169" s="18" t="n">
        <v>37342</v>
      </c>
      <c r="S169" s="20" t="n">
        <v>37168</v>
      </c>
      <c r="T169" s="6" t="n">
        <v>2</v>
      </c>
      <c r="U169" s="5" t="inlineStr">
        <is>
          <t>알루미늄폼(임대) / 2026.01~06 | 판넬폼(갱폼) / 2026.01~06</t>
        </is>
      </c>
      <c r="V169" s="21">
        <f>HYPERLINK("https://dart.fss.or.kr/dsaf001/main.do?rcpNo=20260814000814", "공시열람")</f>
        <v/>
      </c>
    </row>
    <row r="170">
      <c r="A170" s="5" t="inlineStr">
        <is>
          <t>성광벤드</t>
        </is>
      </c>
      <c r="B170" s="6" t="inlineStr">
        <is>
          <t>014620</t>
        </is>
      </c>
      <c r="C170" s="6" t="inlineStr">
        <is>
          <t>2026Q2</t>
        </is>
      </c>
      <c r="D170" s="6" t="inlineStr">
        <is>
          <t>20260814</t>
        </is>
      </c>
      <c r="E170" s="16" t="n">
        <v>128237009</v>
      </c>
      <c r="F170" s="16" t="n">
        <v>110652594</v>
      </c>
      <c r="G170" s="16" t="n">
        <v>17584415</v>
      </c>
      <c r="H170" s="6" t="inlineStr">
        <is>
          <t>천원</t>
        </is>
      </c>
      <c r="I170" s="17" t="n">
        <v>91.8</v>
      </c>
      <c r="J170" s="18" t="n">
        <v>6244075</v>
      </c>
      <c r="K170" s="19" t="n">
        <v>12189547</v>
      </c>
      <c r="L170" s="18" t="n">
        <v>10678523</v>
      </c>
      <c r="M170" s="19" t="n">
        <v>17447868</v>
      </c>
      <c r="N170" s="18" t="n">
        <v>5822391</v>
      </c>
      <c r="O170" s="19" t="n">
        <v>8101027</v>
      </c>
      <c r="P170" s="18" t="n">
        <v>15266424</v>
      </c>
      <c r="Q170" s="19" t="n">
        <v>19015874</v>
      </c>
      <c r="R170" s="18" t="n">
        <v>9167949</v>
      </c>
      <c r="S170" s="20" t="n">
        <v>17584415</v>
      </c>
      <c r="T170" s="6" t="n">
        <v>3</v>
      </c>
      <c r="U170" s="5" t="inlineStr">
        <is>
          <t>SUS(스텐레스)관이음쇠 &amp;CARBON(탄소강)관이음쇠 | SUS(스텐레스)관이음쇠 &amp;CARBON(탄소강)관이음쇠 | SUS(스텐레스)관이음쇠 &amp;CARBON(탄소강)관이음쇠</t>
        </is>
      </c>
      <c r="V170" s="21">
        <f>HYPERLINK("https://dart.fss.or.kr/dsaf001/main.do?rcpNo=20260814002129", "공시열람")</f>
        <v/>
      </c>
    </row>
    <row r="171">
      <c r="A171" s="5" t="inlineStr">
        <is>
          <t>HL D&amp;I</t>
        </is>
      </c>
      <c r="B171" s="6" t="inlineStr">
        <is>
          <t>014790</t>
        </is>
      </c>
      <c r="C171" s="6" t="inlineStr">
        <is>
          <t>2026Q2</t>
        </is>
      </c>
      <c r="D171" s="6" t="inlineStr">
        <is>
          <t>20260813</t>
        </is>
      </c>
      <c r="E171" s="16" t="n">
        <v>8865787</v>
      </c>
      <c r="F171" s="16" t="n">
        <v>3003906</v>
      </c>
      <c r="G171" s="16" t="n">
        <v>5861881</v>
      </c>
      <c r="H171" s="6" t="inlineStr">
        <is>
          <t>백만원</t>
        </is>
      </c>
      <c r="I171" s="17" t="n">
        <v>-2.6</v>
      </c>
      <c r="J171" s="18" t="n">
        <v>3949505</v>
      </c>
      <c r="K171" s="19" t="n">
        <v>3987276</v>
      </c>
      <c r="L171" s="18" t="n">
        <v>3836832</v>
      </c>
      <c r="M171" s="19" t="n">
        <v>5279265</v>
      </c>
      <c r="N171" s="18" t="n">
        <v>5238212</v>
      </c>
      <c r="O171" s="19" t="n">
        <v>5733589</v>
      </c>
      <c r="P171" s="18" t="n">
        <v>5451660</v>
      </c>
      <c r="Q171" s="19" t="n">
        <v>6264816</v>
      </c>
      <c r="R171" s="18" t="n">
        <v>6019653</v>
      </c>
      <c r="S171" s="20" t="n">
        <v>5861881</v>
      </c>
      <c r="T171" s="6" t="n">
        <v>35</v>
      </c>
      <c r="U171" s="5" t="inlineStr">
        <is>
          <t>민간 / 기타 | 관급 / 기타 | 자체 / 에이치엘디앤아이한라㈜ / 이천아미1지구도시개발</t>
        </is>
      </c>
      <c r="V171" s="21">
        <f>HYPERLINK("https://dart.fss.or.kr/dsaf001/main.do?rcpNo=20260813001577", "공시열람")</f>
        <v/>
      </c>
    </row>
    <row r="172">
      <c r="A172" s="5" t="inlineStr">
        <is>
          <t>성문전자</t>
        </is>
      </c>
      <c r="B172" s="6" t="inlineStr">
        <is>
          <t>014910</t>
        </is>
      </c>
      <c r="C172" s="6" t="inlineStr">
        <is>
          <t>2024Q3</t>
        </is>
      </c>
      <c r="D172" s="6" t="inlineStr">
        <is>
          <t>20241114</t>
        </is>
      </c>
      <c r="E172" s="16" t="n">
        <v>15736</v>
      </c>
      <c r="F172" s="16" t="n">
        <v>15736</v>
      </c>
      <c r="G172" s="16" t="n">
        <v>0</v>
      </c>
      <c r="H172" s="6" t="inlineStr">
        <is>
          <t>톤,백만원</t>
        </is>
      </c>
      <c r="I172" s="17" t="inlineStr"/>
      <c r="J172" s="18" t="n">
        <v>0</v>
      </c>
      <c r="K172" s="19" t="n">
        <v>0</v>
      </c>
      <c r="L172" s="18" t="n">
        <v>0</v>
      </c>
      <c r="M172" s="19" t="inlineStr"/>
      <c r="N172" s="18" t="inlineStr"/>
      <c r="O172" s="19" t="inlineStr"/>
      <c r="P172" s="18" t="inlineStr"/>
      <c r="Q172" s="19" t="inlineStr"/>
      <c r="R172" s="18" t="inlineStr"/>
      <c r="S172" s="20" t="inlineStr"/>
      <c r="T172" s="6" t="n">
        <v>3</v>
      </c>
      <c r="U172" s="5" t="inlineStr">
        <is>
          <t>ZN증착 / 2024년 | AL증착 / 2024년 | 기타 / 2024년</t>
        </is>
      </c>
      <c r="V172" s="21">
        <f>HYPERLINK("https://dart.fss.or.kr/dsaf001/main.do?rcpNo=20241114000704", "공시열람")</f>
        <v/>
      </c>
    </row>
    <row r="173">
      <c r="A173" s="5" t="inlineStr">
        <is>
          <t>오리엔탈정공</t>
        </is>
      </c>
      <c r="B173" s="6" t="inlineStr">
        <is>
          <t>014940</t>
        </is>
      </c>
      <c r="C173" s="6" t="inlineStr">
        <is>
          <t>2026Q2</t>
        </is>
      </c>
      <c r="D173" s="6" t="inlineStr">
        <is>
          <t>20260814</t>
        </is>
      </c>
      <c r="E173" s="16" t="n">
        <v>406956</v>
      </c>
      <c r="F173" s="16" t="n">
        <v>116123</v>
      </c>
      <c r="G173" s="16" t="n">
        <v>290834</v>
      </c>
      <c r="H173" s="6" t="inlineStr">
        <is>
          <t>백만원</t>
        </is>
      </c>
      <c r="I173" s="17" t="n">
        <v>-5.3</v>
      </c>
      <c r="J173" s="18" t="n">
        <v>281304</v>
      </c>
      <c r="K173" s="19" t="n">
        <v>257171</v>
      </c>
      <c r="L173" s="18" t="n">
        <v>327720</v>
      </c>
      <c r="M173" s="19" t="n">
        <v>318583</v>
      </c>
      <c r="N173" s="18" t="n">
        <v>283816</v>
      </c>
      <c r="O173" s="19" t="n">
        <v>241158</v>
      </c>
      <c r="P173" s="18" t="n">
        <v>235825</v>
      </c>
      <c r="Q173" s="19" t="n">
        <v>323276</v>
      </c>
      <c r="R173" s="18" t="n">
        <v>307168</v>
      </c>
      <c r="S173" s="20" t="n">
        <v>290834</v>
      </c>
      <c r="T173" s="6" t="n">
        <v>3</v>
      </c>
      <c r="U173" s="5" t="inlineStr">
        <is>
          <t>기계품 / Lifting Appliances (선박용  | 구조물 / Deck House (선실거주구), E/R  | 기계품 / Life Saving Appliances (</t>
        </is>
      </c>
      <c r="V173" s="21">
        <f>HYPERLINK("https://dart.fss.or.kr/dsaf001/main.do?rcpNo=20260814000120", "공시열람")</f>
        <v/>
      </c>
    </row>
    <row r="174">
      <c r="A174" s="5" t="inlineStr">
        <is>
          <t>대창단조</t>
        </is>
      </c>
      <c r="B174" s="6" t="inlineStr">
        <is>
          <t>015230</t>
        </is>
      </c>
      <c r="C174" s="6" t="inlineStr">
        <is>
          <t>2026Q2</t>
        </is>
      </c>
      <c r="D174" s="6" t="inlineStr">
        <is>
          <t>20260814</t>
        </is>
      </c>
      <c r="E174" s="16" t="n">
        <v>68283298</v>
      </c>
      <c r="F174" s="16" t="n">
        <v>30440694</v>
      </c>
      <c r="G174" s="16" t="n">
        <v>37842603</v>
      </c>
      <c r="H174" s="6" t="inlineStr">
        <is>
          <t>EA,천원</t>
        </is>
      </c>
      <c r="I174" s="17" t="n">
        <v>4.9</v>
      </c>
      <c r="J174" s="18" t="n">
        <v>38158024</v>
      </c>
      <c r="K174" s="19" t="n">
        <v>37798546</v>
      </c>
      <c r="L174" s="18" t="n">
        <v>33809220</v>
      </c>
      <c r="M174" s="19" t="n">
        <v>36369989</v>
      </c>
      <c r="N174" s="18" t="n">
        <v>35140166</v>
      </c>
      <c r="O174" s="19" t="n">
        <v>31062834</v>
      </c>
      <c r="P174" s="18" t="n">
        <v>28798192</v>
      </c>
      <c r="Q174" s="19" t="n">
        <v>31773596</v>
      </c>
      <c r="R174" s="18" t="n">
        <v>36079079</v>
      </c>
      <c r="S174" s="20" t="n">
        <v>37842603</v>
      </c>
      <c r="T174" s="6" t="n">
        <v>2</v>
      </c>
      <c r="U174" s="5" t="inlineStr">
        <is>
          <t>중장비부품 / 2026년04월2026년06월 / 202 | 자동차부품 / 2026년04월2026년06월 / 202</t>
        </is>
      </c>
      <c r="V174" s="21">
        <f>HYPERLINK("https://dart.fss.or.kr/dsaf001/main.do?rcpNo=20260814000441", "공시열람")</f>
        <v/>
      </c>
    </row>
    <row r="175">
      <c r="A175" s="5" t="inlineStr">
        <is>
          <t>에이엔피</t>
        </is>
      </c>
      <c r="B175" s="6" t="inlineStr">
        <is>
          <t>015260</t>
        </is>
      </c>
      <c r="C175" s="6" t="inlineStr">
        <is>
          <t>2026Q2</t>
        </is>
      </c>
      <c r="D175" s="6" t="inlineStr">
        <is>
          <t>20260814</t>
        </is>
      </c>
      <c r="E175" s="16" t="n">
        <v>57369</v>
      </c>
      <c r="F175" s="16" t="n">
        <v>48759</v>
      </c>
      <c r="G175" s="16" t="n">
        <v>8610</v>
      </c>
      <c r="H175" s="6" t="inlineStr">
        <is>
          <t>M2,백만원</t>
        </is>
      </c>
      <c r="I175" s="17" t="n">
        <v>1.8</v>
      </c>
      <c r="J175" s="18" t="n">
        <v>9954</v>
      </c>
      <c r="K175" s="19" t="n">
        <v>7237</v>
      </c>
      <c r="L175" s="18" t="n">
        <v>8379</v>
      </c>
      <c r="M175" s="19" t="n">
        <v>7358</v>
      </c>
      <c r="N175" s="18" t="n">
        <v>10396</v>
      </c>
      <c r="O175" s="19" t="n">
        <v>8579</v>
      </c>
      <c r="P175" s="18" t="n">
        <v>7089</v>
      </c>
      <c r="Q175" s="19" t="n">
        <v>7634</v>
      </c>
      <c r="R175" s="18" t="n">
        <v>8461</v>
      </c>
      <c r="S175" s="20" t="n">
        <v>8610</v>
      </c>
      <c r="T175" s="6" t="n">
        <v>2</v>
      </c>
      <c r="U175" s="5" t="inlineStr">
        <is>
          <t>인쇄회로기판 / 2026.1.1~2026.6.30 | SMT 외 / 2026.1.1~2026.6.30</t>
        </is>
      </c>
      <c r="V175" s="21">
        <f>HYPERLINK("https://dart.fss.or.kr/dsaf001/main.do?rcpNo=20260814001901", "공시열람")</f>
        <v/>
      </c>
    </row>
    <row r="176">
      <c r="A176" s="5" t="inlineStr">
        <is>
          <t>INVENI</t>
        </is>
      </c>
      <c r="B176" s="6" t="inlineStr">
        <is>
          <t>015360</t>
        </is>
      </c>
      <c r="C176" s="6" t="inlineStr">
        <is>
          <t>2024Q2</t>
        </is>
      </c>
      <c r="D176" s="6" t="inlineStr">
        <is>
          <t>20240814</t>
        </is>
      </c>
      <c r="E176" s="16" t="n">
        <v>135104</v>
      </c>
      <c r="F176" s="16" t="n">
        <v>52295</v>
      </c>
      <c r="G176" s="16" t="n">
        <v>82809</v>
      </c>
      <c r="H176" s="6" t="inlineStr">
        <is>
          <t>백만원</t>
        </is>
      </c>
      <c r="I176" s="17" t="n">
        <v>8.4</v>
      </c>
      <c r="J176" s="18" t="n">
        <v>76388</v>
      </c>
      <c r="K176" s="19" t="n">
        <v>82809</v>
      </c>
      <c r="L176" s="18" t="inlineStr"/>
      <c r="M176" s="19" t="inlineStr"/>
      <c r="N176" s="18" t="inlineStr"/>
      <c r="O176" s="19" t="inlineStr"/>
      <c r="P176" s="18" t="inlineStr"/>
      <c r="Q176" s="19" t="inlineStr"/>
      <c r="R176" s="18" t="inlineStr"/>
      <c r="S176" s="20" t="inlineStr"/>
      <c r="T176" s="6" t="n">
        <v>1</v>
      </c>
      <c r="U176" s="5" t="inlineStr">
        <is>
          <t>PC제조부문 / 포스코 등 15건</t>
        </is>
      </c>
      <c r="V176" s="21">
        <f>HYPERLINK("https://dart.fss.or.kr/dsaf001/main.do?rcpNo=20240814004353", "공시열람")</f>
        <v/>
      </c>
    </row>
    <row r="177">
      <c r="A177" s="5" t="inlineStr">
        <is>
          <t>DKME</t>
        </is>
      </c>
      <c r="B177" s="6" t="inlineStr">
        <is>
          <t>015590</t>
        </is>
      </c>
      <c r="C177" s="6" t="inlineStr">
        <is>
          <t>2026Q2</t>
        </is>
      </c>
      <c r="D177" s="6" t="inlineStr">
        <is>
          <t>20261007</t>
        </is>
      </c>
      <c r="E177" s="16" t="n">
        <v>654</v>
      </c>
      <c r="F177" s="16" t="n">
        <v>378</v>
      </c>
      <c r="G177" s="16" t="n">
        <v>276</v>
      </c>
      <c r="H177" s="6" t="inlineStr">
        <is>
          <t>억원</t>
        </is>
      </c>
      <c r="I177" s="17" t="n">
        <v>-30.3</v>
      </c>
      <c r="J177" s="18" t="n">
        <v>1542</v>
      </c>
      <c r="K177" s="19" t="n">
        <v>137540020426</v>
      </c>
      <c r="L177" s="18" t="n">
        <v>1167</v>
      </c>
      <c r="M177" s="19" t="n">
        <v>150324507505</v>
      </c>
      <c r="N177" s="18" t="n">
        <v>1181</v>
      </c>
      <c r="O177" s="19" t="n">
        <v>867</v>
      </c>
      <c r="P177" s="18" t="n">
        <v>778</v>
      </c>
      <c r="Q177" s="19" t="n">
        <v>552</v>
      </c>
      <c r="R177" s="18" t="n">
        <v>396</v>
      </c>
      <c r="S177" s="20" t="n">
        <v>276</v>
      </c>
      <c r="T177" s="6" t="n">
        <v>1</v>
      </c>
      <c r="U177" s="5" t="inlineStr">
        <is>
          <t>열교환기 / -</t>
        </is>
      </c>
      <c r="V177" s="21">
        <f>HYPERLINK("https://dart.fss.or.kr/dsaf001/main.do?rcpNo=20261007000316", "공시열람")</f>
        <v/>
      </c>
    </row>
    <row r="178">
      <c r="A178" s="5" t="inlineStr">
        <is>
          <t>코콤</t>
        </is>
      </c>
      <c r="B178" s="6" t="inlineStr">
        <is>
          <t>015710</t>
        </is>
      </c>
      <c r="C178" s="6" t="inlineStr">
        <is>
          <t>2026Q2</t>
        </is>
      </c>
      <c r="D178" s="6" t="inlineStr">
        <is>
          <t>20260814</t>
        </is>
      </c>
      <c r="E178" s="16" t="n">
        <v>159999</v>
      </c>
      <c r="F178" s="16" t="n">
        <v>9189</v>
      </c>
      <c r="G178" s="16" t="n">
        <v>150810</v>
      </c>
      <c r="H178" s="6" t="inlineStr">
        <is>
          <t>백만원</t>
        </is>
      </c>
      <c r="I178" s="17" t="n">
        <v>8.699999999999999</v>
      </c>
      <c r="J178" s="18" t="n">
        <v>142002</v>
      </c>
      <c r="K178" s="19" t="n">
        <v>139018</v>
      </c>
      <c r="L178" s="18" t="n">
        <v>130286</v>
      </c>
      <c r="M178" s="19" t="n">
        <v>112858</v>
      </c>
      <c r="N178" s="18" t="n">
        <v>101971</v>
      </c>
      <c r="O178" s="19" t="n">
        <v>107354</v>
      </c>
      <c r="P178" s="18" t="n">
        <v>117843</v>
      </c>
      <c r="Q178" s="19" t="n">
        <v>128968</v>
      </c>
      <c r="R178" s="18" t="n">
        <v>138767</v>
      </c>
      <c r="S178" s="20" t="n">
        <v>150810</v>
      </c>
      <c r="T178" s="6" t="n">
        <v>1</v>
      </c>
      <c r="U178" s="5" t="inlineStr">
        <is>
          <t>스마트홈 외 / 2026.06.30 이전 / 2026.</t>
        </is>
      </c>
      <c r="V178" s="21">
        <f>HYPERLINK("https://dart.fss.or.kr/dsaf001/main.do?rcpNo=20260814003466", "공시열람")</f>
        <v/>
      </c>
    </row>
    <row r="179">
      <c r="A179" s="5" t="inlineStr">
        <is>
          <t>한국전력공사</t>
        </is>
      </c>
      <c r="B179" s="6" t="inlineStr">
        <is>
          <t>015760</t>
        </is>
      </c>
      <c r="C179" s="6" t="inlineStr">
        <is>
          <t>2026Q2</t>
        </is>
      </c>
      <c r="D179" s="6" t="inlineStr">
        <is>
          <t>20260814</t>
        </is>
      </c>
      <c r="E179" s="16" t="n">
        <v>6485330</v>
      </c>
      <c r="F179" s="16" t="n">
        <v>3902321</v>
      </c>
      <c r="G179" s="16" t="n">
        <v>2635045</v>
      </c>
      <c r="H179" s="6" t="inlineStr">
        <is>
          <t>백만원</t>
        </is>
      </c>
      <c r="I179" s="17" t="n">
        <v>90296.10000000001</v>
      </c>
      <c r="J179" s="18" t="n">
        <v>2982</v>
      </c>
      <c r="K179" s="19" t="n">
        <v>3094</v>
      </c>
      <c r="L179" s="18" t="n">
        <v>2924</v>
      </c>
      <c r="M179" s="19" t="n">
        <v>15012</v>
      </c>
      <c r="N179" s="18" t="n">
        <v>14889</v>
      </c>
      <c r="O179" s="19" t="n">
        <v>261397</v>
      </c>
      <c r="P179" s="18" t="n">
        <v>3040</v>
      </c>
      <c r="Q179" s="19" t="n">
        <v>2936</v>
      </c>
      <c r="R179" s="18" t="n">
        <v>2915</v>
      </c>
      <c r="S179" s="20" t="n">
        <v>2635045</v>
      </c>
      <c r="T179" s="6" t="n">
        <v>5</v>
      </c>
      <c r="U179" s="5" t="inlineStr">
        <is>
          <t>해외 / Amman Asia ElectricPower  | 원자력/양수 / 한국수력원자력(주) / 2025년도 원 | 대외 / 광양그린에너지(주) 등 / 광양바이오매스 발전</t>
        </is>
      </c>
      <c r="V179" s="21">
        <f>HYPERLINK("https://dart.fss.or.kr/dsaf001/main.do?rcpNo=20260814002198", "공시열람")</f>
        <v/>
      </c>
    </row>
    <row r="180">
      <c r="A180" s="5" t="inlineStr">
        <is>
          <t>일진홀딩스</t>
        </is>
      </c>
      <c r="B180" s="6" t="inlineStr">
        <is>
          <t>015860</t>
        </is>
      </c>
      <c r="C180" s="6" t="inlineStr">
        <is>
          <t>2026Q2</t>
        </is>
      </c>
      <c r="D180" s="6" t="inlineStr">
        <is>
          <t>20260812</t>
        </is>
      </c>
      <c r="E180" s="16" t="n">
        <v>2396160</v>
      </c>
      <c r="F180" s="16" t="n">
        <v>457069</v>
      </c>
      <c r="G180" s="16" t="n">
        <v>1939091</v>
      </c>
      <c r="H180" s="6" t="inlineStr">
        <is>
          <t>천USD</t>
        </is>
      </c>
      <c r="I180" s="17" t="n">
        <v>10.1</v>
      </c>
      <c r="J180" s="18" t="n">
        <v>1569945</v>
      </c>
      <c r="K180" s="19" t="n">
        <v>1645310</v>
      </c>
      <c r="L180" s="18" t="n">
        <v>1767894</v>
      </c>
      <c r="M180" s="19" t="n">
        <v>1671889</v>
      </c>
      <c r="N180" s="18" t="n">
        <v>1810470</v>
      </c>
      <c r="O180" s="19" t="n">
        <v>1892594</v>
      </c>
      <c r="P180" s="18" t="n">
        <v>1807060</v>
      </c>
      <c r="Q180" s="19" t="n">
        <v>1624785</v>
      </c>
      <c r="R180" s="18" t="n">
        <v>1761584</v>
      </c>
      <c r="S180" s="20" t="n">
        <v>1939091</v>
      </c>
      <c r="T180" s="6" t="n">
        <v>4</v>
      </c>
      <c r="U180" s="5" t="inlineStr">
        <is>
          <t>변압기 등중전기 / 해외 / ~2026년 반기 | 전력선 등 / 해외 / ~2026년 반기 | 변압기 등중전기 / 국내 / ~2026년 반기</t>
        </is>
      </c>
      <c r="V180" s="21">
        <f>HYPERLINK("https://dart.fss.or.kr/dsaf001/main.do?rcpNo=20260812000400", "공시열람")</f>
        <v/>
      </c>
    </row>
    <row r="181">
      <c r="A181" s="5" t="inlineStr">
        <is>
          <t>SGC E&amp;C</t>
        </is>
      </c>
      <c r="B181" s="6" t="inlineStr">
        <is>
          <t>016250</t>
        </is>
      </c>
      <c r="C181" s="6" t="inlineStr">
        <is>
          <t>2026Q2</t>
        </is>
      </c>
      <c r="D181" s="6" t="inlineStr">
        <is>
          <t>20260814</t>
        </is>
      </c>
      <c r="E181" s="16" t="n">
        <v>4204306</v>
      </c>
      <c r="F181" s="16" t="n">
        <v>2010550</v>
      </c>
      <c r="G181" s="16" t="n">
        <v>2193755</v>
      </c>
      <c r="H181" s="6" t="inlineStr">
        <is>
          <t>백만원,EA</t>
        </is>
      </c>
      <c r="I181" s="17" t="n">
        <v>-10.1</v>
      </c>
      <c r="J181" s="18" t="n">
        <v>1880699</v>
      </c>
      <c r="K181" s="19" t="n">
        <v>2318226</v>
      </c>
      <c r="L181" s="18" t="n">
        <v>2657362</v>
      </c>
      <c r="M181" s="19" t="n">
        <v>2395798</v>
      </c>
      <c r="N181" s="18" t="n">
        <v>2344241</v>
      </c>
      <c r="O181" s="19" t="n">
        <v>2249241</v>
      </c>
      <c r="P181" s="18" t="n">
        <v>1993454</v>
      </c>
      <c r="Q181" s="19" t="n">
        <v>1996527</v>
      </c>
      <c r="R181" s="18" t="n">
        <v>2440928</v>
      </c>
      <c r="S181" s="20" t="n">
        <v>2193755</v>
      </c>
      <c r="T181" s="6" t="n">
        <v>48</v>
      </c>
      <c r="U181" s="5" t="inlineStr">
        <is>
          <t>마석우리 공동주택 신축사업 / 26.03.17 / 30 | 광주 용두동 지역주택조합 신축공사 / 26.01.20  | SIPCHEM EVA DBN / 24.07.01 / 2</t>
        </is>
      </c>
      <c r="V181" s="21">
        <f>HYPERLINK("https://dart.fss.or.kr/dsaf001/main.do?rcpNo=20260814000203", "공시열람")</f>
        <v/>
      </c>
    </row>
    <row r="182">
      <c r="A182" s="5" t="inlineStr">
        <is>
          <t>KG스틸</t>
        </is>
      </c>
      <c r="B182" s="6" t="inlineStr">
        <is>
          <t>016380</t>
        </is>
      </c>
      <c r="C182" s="6" t="inlineStr">
        <is>
          <t>2026Q2</t>
        </is>
      </c>
      <c r="D182" s="6" t="inlineStr">
        <is>
          <t>20260814</t>
        </is>
      </c>
      <c r="E182" s="16" t="n">
        <v>57906</v>
      </c>
      <c r="F182" s="16" t="n">
        <v>48922</v>
      </c>
      <c r="G182" s="16" t="n">
        <v>8984</v>
      </c>
      <c r="H182" s="6" t="inlineStr">
        <is>
          <t>톤,백만원</t>
        </is>
      </c>
      <c r="I182" s="17" t="n">
        <v>-25.9</v>
      </c>
      <c r="J182" s="18" t="n">
        <v>29295</v>
      </c>
      <c r="K182" s="19" t="n">
        <v>35425</v>
      </c>
      <c r="L182" s="18" t="n">
        <v>19664</v>
      </c>
      <c r="M182" s="19" t="n">
        <v>16371</v>
      </c>
      <c r="N182" s="18" t="n">
        <v>13584</v>
      </c>
      <c r="O182" s="19" t="n">
        <v>13602</v>
      </c>
      <c r="P182" s="18" t="n">
        <v>14962</v>
      </c>
      <c r="Q182" s="19" t="n">
        <v>14085</v>
      </c>
      <c r="R182" s="18" t="n">
        <v>12117</v>
      </c>
      <c r="S182" s="20" t="n">
        <v>8984</v>
      </c>
      <c r="T182" s="6" t="n">
        <v>3</v>
      </c>
      <c r="U182" s="5" t="inlineStr">
        <is>
          <t>일반철골공사 / - | PEB 제품판매 / - | PEB 철골공사 / -</t>
        </is>
      </c>
      <c r="V182" s="21">
        <f>HYPERLINK("https://dart.fss.or.kr/dsaf001/main.do?rcpNo=20260814004122", "공시열람")</f>
        <v/>
      </c>
    </row>
    <row r="183">
      <c r="A183" s="5" t="inlineStr">
        <is>
          <t>웅진</t>
        </is>
      </c>
      <c r="B183" s="6" t="inlineStr">
        <is>
          <t>016880</t>
        </is>
      </c>
      <c r="C183" s="6" t="inlineStr">
        <is>
          <t>2026Q2</t>
        </is>
      </c>
      <c r="D183" s="6" t="inlineStr">
        <is>
          <t>20260814</t>
        </is>
      </c>
      <c r="E183" s="16" t="inlineStr"/>
      <c r="F183" s="16" t="n">
        <v>103937</v>
      </c>
      <c r="G183" s="16" t="n">
        <v>43589</v>
      </c>
      <c r="H183" s="6" t="inlineStr">
        <is>
          <t>백만원</t>
        </is>
      </c>
      <c r="I183" s="17" t="n">
        <v>10.2</v>
      </c>
      <c r="J183" s="18" t="n">
        <v>43462</v>
      </c>
      <c r="K183" s="19" t="n">
        <v>44362</v>
      </c>
      <c r="L183" s="18" t="n">
        <v>41852</v>
      </c>
      <c r="M183" s="19" t="n">
        <v>36591</v>
      </c>
      <c r="N183" s="18" t="n">
        <v>40119</v>
      </c>
      <c r="O183" s="19" t="n">
        <v>40708</v>
      </c>
      <c r="P183" s="18" t="n">
        <v>33668</v>
      </c>
      <c r="Q183" s="19" t="n">
        <v>27101</v>
      </c>
      <c r="R183" s="18" t="n">
        <v>39563</v>
      </c>
      <c r="S183" s="20" t="n">
        <v>43589</v>
      </c>
      <c r="T183" s="6" t="n">
        <v>14</v>
      </c>
      <c r="U183" s="5" t="inlineStr">
        <is>
          <t>B社 KOREA DMS Next 시스템 구축 / WDM | V社 NEXT DMS 구축 / WDMS / 2023.1 | C社 SAP Cloud BPO 서비스 / SAP Clo</t>
        </is>
      </c>
      <c r="V183" s="21">
        <f>HYPERLINK("https://dart.fss.or.kr/dsaf001/main.do?rcpNo=20260814004222", "공시열람")</f>
        <v/>
      </c>
    </row>
    <row r="184">
      <c r="A184" s="5" t="inlineStr">
        <is>
          <t>신원종합개발</t>
        </is>
      </c>
      <c r="B184" s="6" t="inlineStr">
        <is>
          <t>017000</t>
        </is>
      </c>
      <c r="C184" s="6" t="inlineStr">
        <is>
          <t>2026Q2</t>
        </is>
      </c>
      <c r="D184" s="6" t="inlineStr">
        <is>
          <t>20260814</t>
        </is>
      </c>
      <c r="E184" s="16" t="n">
        <v>1034137</v>
      </c>
      <c r="F184" s="16" t="inlineStr"/>
      <c r="G184" s="16" t="n">
        <v>622151</v>
      </c>
      <c r="H184" s="6" t="inlineStr">
        <is>
          <t>백만원</t>
        </is>
      </c>
      <c r="I184" s="17" t="n">
        <v>2.4</v>
      </c>
      <c r="J184" s="18" t="n">
        <v>477377</v>
      </c>
      <c r="K184" s="19" t="n">
        <v>477377</v>
      </c>
      <c r="L184" s="18" t="n">
        <v>477377</v>
      </c>
      <c r="M184" s="19" t="n">
        <v>393195</v>
      </c>
      <c r="N184" s="18" t="n">
        <v>390842</v>
      </c>
      <c r="O184" s="19" t="n">
        <v>474127</v>
      </c>
      <c r="P184" s="18" t="n">
        <v>547034</v>
      </c>
      <c r="Q184" s="19" t="n">
        <v>598493</v>
      </c>
      <c r="R184" s="18" t="n">
        <v>607725</v>
      </c>
      <c r="S184" s="20" t="n">
        <v>622151</v>
      </c>
      <c r="T184" s="6" t="n">
        <v>2</v>
      </c>
      <c r="U184" s="5" t="inlineStr">
        <is>
          <t>민간 | 관급</t>
        </is>
      </c>
      <c r="V184" s="21">
        <f>HYPERLINK("https://dart.fss.or.kr/dsaf001/main.do?rcpNo=20260814001061", "공시열람")</f>
        <v/>
      </c>
    </row>
    <row r="185">
      <c r="A185" s="5" t="inlineStr">
        <is>
          <t>광명전기</t>
        </is>
      </c>
      <c r="B185" s="6" t="inlineStr">
        <is>
          <t>017040</t>
        </is>
      </c>
      <c r="C185" s="6" t="inlineStr">
        <is>
          <t>2026Q2</t>
        </is>
      </c>
      <c r="D185" s="6" t="inlineStr">
        <is>
          <t>20260814</t>
        </is>
      </c>
      <c r="E185" s="16" t="n">
        <v>136257</v>
      </c>
      <c r="F185" s="16" t="n">
        <v>69939</v>
      </c>
      <c r="G185" s="16" t="n">
        <v>66318</v>
      </c>
      <c r="H185" s="6" t="inlineStr">
        <is>
          <t>백만원</t>
        </is>
      </c>
      <c r="I185" s="17" t="n">
        <v>-5.8</v>
      </c>
      <c r="J185" s="18" t="n">
        <v>49829</v>
      </c>
      <c r="K185" s="19" t="n">
        <v>56400</v>
      </c>
      <c r="L185" s="18" t="n">
        <v>47121</v>
      </c>
      <c r="M185" s="19" t="n">
        <v>31641</v>
      </c>
      <c r="N185" s="18" t="n">
        <v>95063</v>
      </c>
      <c r="O185" s="19" t="n">
        <v>87204</v>
      </c>
      <c r="P185" s="18" t="n">
        <v>71799</v>
      </c>
      <c r="Q185" s="19" t="n">
        <v>72040</v>
      </c>
      <c r="R185" s="18" t="n">
        <v>70372</v>
      </c>
      <c r="S185" s="20" t="n">
        <v>66318</v>
      </c>
      <c r="T185" s="6" t="n">
        <v>7</v>
      </c>
      <c r="U185" s="5" t="inlineStr">
        <is>
          <t>수배전반 / 25.03.19 / 2029.04월 분납 | 수배전반 / 25.03.13 / 2029.12월 분납 | 수배전반 / 16.05.31 / 2026.04월 분납</t>
        </is>
      </c>
      <c r="V185" s="21">
        <f>HYPERLINK("https://dart.fss.or.kr/dsaf001/main.do?rcpNo=20260814000759", "공시열람")</f>
        <v/>
      </c>
    </row>
    <row r="186">
      <c r="A186" s="5" t="inlineStr">
        <is>
          <t>인터엠</t>
        </is>
      </c>
      <c r="B186" s="6" t="inlineStr">
        <is>
          <t>017250</t>
        </is>
      </c>
      <c r="C186" s="6" t="inlineStr">
        <is>
          <t>2026Q2</t>
        </is>
      </c>
      <c r="D186" s="6" t="inlineStr">
        <is>
          <t>20260813</t>
        </is>
      </c>
      <c r="E186" s="16" t="n">
        <v>16357347200</v>
      </c>
      <c r="F186" s="16" t="inlineStr"/>
      <c r="G186" s="16" t="n">
        <v>8440996617</v>
      </c>
      <c r="H186" s="6" t="inlineStr"/>
      <c r="I186" s="17" t="n">
        <v>-34.3</v>
      </c>
      <c r="J186" s="18" t="inlineStr"/>
      <c r="K186" s="19" t="inlineStr"/>
      <c r="L186" s="18" t="inlineStr"/>
      <c r="M186" s="19" t="inlineStr"/>
      <c r="N186" s="18" t="n">
        <v>10022000000</v>
      </c>
      <c r="O186" s="19" t="n">
        <v>8117820000</v>
      </c>
      <c r="P186" s="18" t="n">
        <v>16357347200</v>
      </c>
      <c r="Q186" s="19" t="n">
        <v>15807305198</v>
      </c>
      <c r="R186" s="18" t="n">
        <v>12840279778</v>
      </c>
      <c r="S186" s="20" t="n">
        <v>8440996617</v>
      </c>
      <c r="T186" s="6" t="n">
        <v>2</v>
      </c>
      <c r="U186" s="5" t="inlineStr">
        <is>
          <t>서울아레나 무대특장 / 2025.02.28 | 튀르키예 열차 제작 / 2025.08.19</t>
        </is>
      </c>
      <c r="V186" s="21">
        <f>HYPERLINK("https://dart.fss.or.kr/dsaf001/main.do?rcpNo=20260813001162", "공시열람")</f>
        <v/>
      </c>
    </row>
    <row r="187">
      <c r="A187" s="5" t="inlineStr">
        <is>
          <t>우신시스템</t>
        </is>
      </c>
      <c r="B187" s="6" t="inlineStr">
        <is>
          <t>017370</t>
        </is>
      </c>
      <c r="C187" s="6" t="inlineStr">
        <is>
          <t>2026Q2</t>
        </is>
      </c>
      <c r="D187" s="6" t="inlineStr">
        <is>
          <t>20260814</t>
        </is>
      </c>
      <c r="E187" s="16" t="n">
        <v>587046023</v>
      </c>
      <c r="F187" s="16" t="n">
        <v>493780019</v>
      </c>
      <c r="G187" s="16" t="n">
        <v>93266003</v>
      </c>
      <c r="H187" s="6" t="inlineStr">
        <is>
          <t>천원</t>
        </is>
      </c>
      <c r="I187" s="17" t="n">
        <v>1.8</v>
      </c>
      <c r="J187" s="18" t="n">
        <v>436755682</v>
      </c>
      <c r="K187" s="19" t="n">
        <v>460386729</v>
      </c>
      <c r="L187" s="18" t="n">
        <v>240253806</v>
      </c>
      <c r="M187" s="19" t="n">
        <v>197802941</v>
      </c>
      <c r="N187" s="18" t="n">
        <v>177343652</v>
      </c>
      <c r="O187" s="19" t="n">
        <v>157690190</v>
      </c>
      <c r="P187" s="18" t="n">
        <v>126670538</v>
      </c>
      <c r="Q187" s="19" t="n">
        <v>111018898</v>
      </c>
      <c r="R187" s="18" t="n">
        <v>91583669</v>
      </c>
      <c r="S187" s="20" t="n">
        <v>93266003</v>
      </c>
      <c r="T187" s="6" t="n">
        <v>4</v>
      </c>
      <c r="U187" s="5" t="inlineStr">
        <is>
          <t>기타 / - | 자동화설비 / 2025-10-23 / 2026-09-3 | 자동화설비 / 2024-11-19 / 2026-07-0</t>
        </is>
      </c>
      <c r="V187" s="21">
        <f>HYPERLINK("https://dart.fss.or.kr/dsaf001/main.do?rcpNo=20260814003539", "공시열람")</f>
        <v/>
      </c>
    </row>
    <row r="188">
      <c r="A188" s="5" t="inlineStr">
        <is>
          <t>세명전기</t>
        </is>
      </c>
      <c r="B188" s="6" t="inlineStr">
        <is>
          <t>017510</t>
        </is>
      </c>
      <c r="C188" s="6" t="inlineStr">
        <is>
          <t>2026Q2</t>
        </is>
      </c>
      <c r="D188" s="6" t="inlineStr">
        <is>
          <t>20260812</t>
        </is>
      </c>
      <c r="E188" s="16" t="n">
        <v>15528</v>
      </c>
      <c r="F188" s="16" t="inlineStr"/>
      <c r="G188" s="16" t="n">
        <v>15528</v>
      </c>
      <c r="H188" s="6" t="inlineStr">
        <is>
          <t>백만원</t>
        </is>
      </c>
      <c r="I188" s="17" t="n">
        <v>-33.2</v>
      </c>
      <c r="J188" s="18" t="n">
        <v>15803</v>
      </c>
      <c r="K188" s="19" t="n">
        <v>15047</v>
      </c>
      <c r="L188" s="18" t="n">
        <v>4615</v>
      </c>
      <c r="M188" s="19" t="n">
        <v>21229</v>
      </c>
      <c r="N188" s="18" t="n">
        <v>24567</v>
      </c>
      <c r="O188" s="19" t="n">
        <v>28328</v>
      </c>
      <c r="P188" s="18" t="n">
        <v>34744</v>
      </c>
      <c r="Q188" s="19" t="n">
        <v>30545</v>
      </c>
      <c r="R188" s="18" t="n">
        <v>23251</v>
      </c>
      <c r="S188" s="20" t="n">
        <v>15528</v>
      </c>
      <c r="T188" s="6" t="n">
        <v>1</v>
      </c>
      <c r="U188" s="5" t="inlineStr">
        <is>
          <t>금구류 / 24.12.13 / 27.5.28</t>
        </is>
      </c>
      <c r="V188" s="21">
        <f>HYPERLINK("https://dart.fss.or.kr/dsaf001/main.do?rcpNo=20260812000276", "공시열람")</f>
        <v/>
      </c>
    </row>
    <row r="189">
      <c r="A189" s="5" t="inlineStr">
        <is>
          <t>수산세보틱스</t>
        </is>
      </c>
      <c r="B189" s="6" t="inlineStr">
        <is>
          <t>017550</t>
        </is>
      </c>
      <c r="C189" s="6" t="inlineStr">
        <is>
          <t>2026Q2</t>
        </is>
      </c>
      <c r="D189" s="6" t="inlineStr">
        <is>
          <t>20260814</t>
        </is>
      </c>
      <c r="E189" s="16" t="inlineStr"/>
      <c r="F189" s="16" t="inlineStr"/>
      <c r="G189" s="16" t="n">
        <v>1000000</v>
      </c>
      <c r="H189" s="6" t="inlineStr">
        <is>
          <t>원,외화단위:USD</t>
        </is>
      </c>
      <c r="I189" s="17" t="n">
        <v>3794.4</v>
      </c>
      <c r="J189" s="18" t="n">
        <v>36400</v>
      </c>
      <c r="K189" s="19" t="n">
        <v>40700</v>
      </c>
      <c r="L189" s="18" t="n">
        <v>27058</v>
      </c>
      <c r="M189" s="19" t="n">
        <v>6205</v>
      </c>
      <c r="N189" s="18" t="n">
        <v>6205</v>
      </c>
      <c r="O189" s="19" t="n">
        <v>34135</v>
      </c>
      <c r="P189" s="18" t="n">
        <v>35737</v>
      </c>
      <c r="Q189" s="19" t="n">
        <v>26345</v>
      </c>
      <c r="R189" s="18" t="n">
        <v>25678</v>
      </c>
      <c r="S189" s="20" t="n">
        <v>1000000</v>
      </c>
      <c r="T189" s="6" t="n">
        <v>1</v>
      </c>
      <c r="U189" s="5" t="inlineStr">
        <is>
          <t>통화선도 / 우리은행 / USD</t>
        </is>
      </c>
      <c r="V189" s="21">
        <f>HYPERLINK("https://dart.fss.or.kr/dsaf001/main.do?rcpNo=20260814003497", "공시열람")</f>
        <v/>
      </c>
    </row>
    <row r="190">
      <c r="A190" s="5" t="inlineStr">
        <is>
          <t>현대엘리베이터</t>
        </is>
      </c>
      <c r="B190" s="6" t="inlineStr">
        <is>
          <t>017800</t>
        </is>
      </c>
      <c r="C190" s="6" t="inlineStr">
        <is>
          <t>2026Q2</t>
        </is>
      </c>
      <c r="D190" s="6" t="inlineStr">
        <is>
          <t>20260814</t>
        </is>
      </c>
      <c r="E190" s="16" t="n">
        <v>3471088</v>
      </c>
      <c r="F190" s="16" t="n">
        <v>1431652</v>
      </c>
      <c r="G190" s="16" t="n">
        <v>2039436</v>
      </c>
      <c r="H190" s="6" t="inlineStr">
        <is>
          <t>백만원</t>
        </is>
      </c>
      <c r="I190" s="17" t="n">
        <v>-9</v>
      </c>
      <c r="J190" s="18" t="n">
        <v>2188665</v>
      </c>
      <c r="K190" s="19" t="n">
        <v>2259829</v>
      </c>
      <c r="L190" s="18" t="n">
        <v>2056010</v>
      </c>
      <c r="M190" s="19" t="n">
        <v>1868214</v>
      </c>
      <c r="N190" s="18" t="n">
        <v>1882197</v>
      </c>
      <c r="O190" s="19" t="n">
        <v>2096503</v>
      </c>
      <c r="P190" s="18" t="n">
        <v>2058310</v>
      </c>
      <c r="Q190" s="19" t="n">
        <v>2090815</v>
      </c>
      <c r="R190" s="18" t="n">
        <v>2240777</v>
      </c>
      <c r="S190" s="20" t="n">
        <v>2039436</v>
      </c>
      <c r="T190" s="6" t="n">
        <v>4</v>
      </c>
      <c r="U190" s="5" t="inlineStr">
        <is>
          <t>물품취급장비부문 / 2026.06.30.까지 / - | 건설업부문 / 2026.06.30.까지 / - | 물류사업부문 / 2026.06.30.까지 / -</t>
        </is>
      </c>
      <c r="V190" s="21">
        <f>HYPERLINK("https://dart.fss.or.kr/dsaf001/main.do?rcpNo=20260814003691", "공시열람")</f>
        <v/>
      </c>
    </row>
    <row r="191">
      <c r="A191" s="5" t="inlineStr">
        <is>
          <t>E1</t>
        </is>
      </c>
      <c r="B191" s="6" t="inlineStr">
        <is>
          <t>017940</t>
        </is>
      </c>
      <c r="C191" s="6" t="inlineStr">
        <is>
          <t>2026Q2</t>
        </is>
      </c>
      <c r="D191" s="6" t="inlineStr">
        <is>
          <t>20260814</t>
        </is>
      </c>
      <c r="E191" s="16" t="n">
        <v>22707</v>
      </c>
      <c r="F191" s="16" t="n">
        <v>9540</v>
      </c>
      <c r="G191" s="16" t="n">
        <v>13167</v>
      </c>
      <c r="H191" s="6" t="inlineStr">
        <is>
          <t>백만원</t>
        </is>
      </c>
      <c r="I191" s="17" t="n">
        <v>0</v>
      </c>
      <c r="J191" s="18" t="n">
        <v>15710</v>
      </c>
      <c r="K191" s="19" t="n">
        <v>15262</v>
      </c>
      <c r="L191" s="18" t="n">
        <v>15175</v>
      </c>
      <c r="M191" s="19" t="n">
        <v>14970</v>
      </c>
      <c r="N191" s="18" t="n">
        <v>14087</v>
      </c>
      <c r="O191" s="19" t="n">
        <v>13408</v>
      </c>
      <c r="P191" s="18" t="n">
        <v>13167</v>
      </c>
      <c r="Q191" s="19" t="n">
        <v>13408</v>
      </c>
      <c r="R191" s="18" t="n">
        <v>13167</v>
      </c>
      <c r="S191" s="20" t="n">
        <v>13167</v>
      </c>
      <c r="T191" s="6" t="n">
        <v>2</v>
      </c>
      <c r="U191" s="5" t="inlineStr">
        <is>
          <t>우드펠릿(펠릿) / 2020.11.01 / 2028.1 | 우드펠릿(원재료) / 2020.11.01 / 2028.</t>
        </is>
      </c>
      <c r="V191" s="21">
        <f>HYPERLINK("https://dart.fss.or.kr/dsaf001/main.do?rcpNo=20260814004295", "공시열람")</f>
        <v/>
      </c>
    </row>
    <row r="192">
      <c r="A192" s="5" t="inlineStr">
        <is>
          <t>한국카본</t>
        </is>
      </c>
      <c r="B192" s="6" t="inlineStr">
        <is>
          <t>017960</t>
        </is>
      </c>
      <c r="C192" s="6" t="inlineStr">
        <is>
          <t>2026Q2</t>
        </is>
      </c>
      <c r="D192" s="6" t="inlineStr">
        <is>
          <t>20260814</t>
        </is>
      </c>
      <c r="E192" s="16" t="n">
        <v>3603440</v>
      </c>
      <c r="F192" s="16" t="n">
        <v>2442331</v>
      </c>
      <c r="G192" s="16" t="n">
        <v>1161108</v>
      </c>
      <c r="H192" s="6" t="inlineStr">
        <is>
          <t>천USD</t>
        </is>
      </c>
      <c r="I192" s="17" t="n">
        <v>-3.6</v>
      </c>
      <c r="J192" s="18" t="n">
        <v>1459747</v>
      </c>
      <c r="K192" s="19" t="n">
        <v>1351013</v>
      </c>
      <c r="L192" s="18" t="n">
        <v>1257992</v>
      </c>
      <c r="M192" s="19" t="n">
        <v>1213871</v>
      </c>
      <c r="N192" s="18" t="n">
        <v>1293112</v>
      </c>
      <c r="O192" s="19" t="n">
        <v>1189725</v>
      </c>
      <c r="P192" s="18" t="n">
        <v>1238125</v>
      </c>
      <c r="Q192" s="19" t="n">
        <v>1141657</v>
      </c>
      <c r="R192" s="18" t="n">
        <v>1204445</v>
      </c>
      <c r="S192" s="20" t="n">
        <v>1161108</v>
      </c>
      <c r="T192" s="6" t="n">
        <v>1</v>
      </c>
      <c r="U192" s="5" t="inlineStr">
        <is>
          <t xml:space="preserve">LNG운반선 화물창판넬 / ~ 2026.06.30 / </t>
        </is>
      </c>
      <c r="V192" s="21">
        <f>HYPERLINK("https://dart.fss.or.kr/dsaf001/main.do?rcpNo=20260814000604", "공시열람")</f>
        <v/>
      </c>
    </row>
    <row r="193">
      <c r="A193" s="5" t="inlineStr">
        <is>
          <t>유니슨</t>
        </is>
      </c>
      <c r="B193" s="6" t="inlineStr">
        <is>
          <t>018000</t>
        </is>
      </c>
      <c r="C193" s="6" t="inlineStr">
        <is>
          <t>2026Q2</t>
        </is>
      </c>
      <c r="D193" s="6" t="inlineStr">
        <is>
          <t>20260814</t>
        </is>
      </c>
      <c r="E193" s="16" t="n">
        <v>111838</v>
      </c>
      <c r="F193" s="16" t="n">
        <v>9548</v>
      </c>
      <c r="G193" s="16" t="n">
        <v>102291</v>
      </c>
      <c r="H193" s="6" t="inlineStr">
        <is>
          <t>백만원</t>
        </is>
      </c>
      <c r="I193" s="17" t="n">
        <v>-2.7</v>
      </c>
      <c r="J193" s="18" t="n">
        <v>108536</v>
      </c>
      <c r="K193" s="19" t="n">
        <v>121110</v>
      </c>
      <c r="L193" s="18" t="n">
        <v>141791</v>
      </c>
      <c r="M193" s="19" t="n">
        <v>137004</v>
      </c>
      <c r="N193" s="18" t="n">
        <v>132842</v>
      </c>
      <c r="O193" s="19" t="n">
        <v>124515</v>
      </c>
      <c r="P193" s="18" t="n">
        <v>106091</v>
      </c>
      <c r="Q193" s="19" t="n">
        <v>105770</v>
      </c>
      <c r="R193" s="18" t="n">
        <v>105108</v>
      </c>
      <c r="S193" s="20" t="n">
        <v>102291</v>
      </c>
      <c r="T193" s="6" t="n">
        <v>1</v>
      </c>
      <c r="U193" s="5" t="inlineStr">
        <is>
          <t>풍력발전사업 / ~2026년 반기말 / 기준일 이후</t>
        </is>
      </c>
      <c r="V193" s="21">
        <f>HYPERLINK("https://dart.fss.or.kr/dsaf001/main.do?rcpNo=20260814004133", "공시열람")</f>
        <v/>
      </c>
    </row>
    <row r="194">
      <c r="A194" s="5" t="inlineStr">
        <is>
          <t>삼성에스디에스</t>
        </is>
      </c>
      <c r="B194" s="6" t="inlineStr">
        <is>
          <t>018260</t>
        </is>
      </c>
      <c r="C194" s="6" t="inlineStr">
        <is>
          <t>2026Q2</t>
        </is>
      </c>
      <c r="D194" s="6" t="inlineStr">
        <is>
          <t>20260814</t>
        </is>
      </c>
      <c r="E194" s="16" t="n">
        <v>36938</v>
      </c>
      <c r="F194" s="16" t="n">
        <v>21278</v>
      </c>
      <c r="G194" s="16" t="n">
        <v>15660</v>
      </c>
      <c r="H194" s="6" t="inlineStr">
        <is>
          <t>억원</t>
        </is>
      </c>
      <c r="I194" s="17" t="n">
        <v>10.1</v>
      </c>
      <c r="J194" s="18" t="n">
        <v>9486</v>
      </c>
      <c r="K194" s="19" t="inlineStr"/>
      <c r="L194" s="18" t="n">
        <v>8333</v>
      </c>
      <c r="M194" s="19" t="n">
        <v>8969</v>
      </c>
      <c r="N194" s="18" t="n">
        <v>9230</v>
      </c>
      <c r="O194" s="19" t="n">
        <v>9008</v>
      </c>
      <c r="P194" s="18" t="n">
        <v>9344</v>
      </c>
      <c r="Q194" s="19" t="n">
        <v>9668</v>
      </c>
      <c r="R194" s="18" t="n">
        <v>14225</v>
      </c>
      <c r="S194" s="20" t="n">
        <v>15660</v>
      </c>
      <c r="T194" s="6" t="n">
        <v>1</v>
      </c>
      <c r="U194" s="5" t="inlineStr">
        <is>
          <t>시스템 구축 및 운영/유지보수 / -</t>
        </is>
      </c>
      <c r="V194" s="21">
        <f>HYPERLINK("https://dart.fss.or.kr/dsaf001/main.do?rcpNo=20260814003604", "공시열람")</f>
        <v/>
      </c>
    </row>
    <row r="195">
      <c r="A195" s="5" t="inlineStr">
        <is>
          <t>브이티</t>
        </is>
      </c>
      <c r="B195" s="6" t="inlineStr">
        <is>
          <t>018290</t>
        </is>
      </c>
      <c r="C195" s="6" t="inlineStr">
        <is>
          <t>2024Q2</t>
        </is>
      </c>
      <c r="D195" s="6" t="inlineStr">
        <is>
          <t>20240813</t>
        </is>
      </c>
      <c r="E195" s="16" t="n">
        <v>72727273</v>
      </c>
      <c r="F195" s="16" t="n">
        <v>43729457</v>
      </c>
      <c r="G195" s="16" t="n">
        <v>28997816</v>
      </c>
      <c r="H195" s="6" t="inlineStr">
        <is>
          <t>천원</t>
        </is>
      </c>
      <c r="I195" s="17" t="n">
        <v>0</v>
      </c>
      <c r="J195" s="18" t="n">
        <v>28997816</v>
      </c>
      <c r="K195" s="19" t="n">
        <v>28997816</v>
      </c>
      <c r="L195" s="18" t="inlineStr"/>
      <c r="M195" s="19" t="inlineStr"/>
      <c r="N195" s="18" t="inlineStr"/>
      <c r="O195" s="19" t="inlineStr"/>
      <c r="P195" s="18" t="inlineStr"/>
      <c r="Q195" s="19" t="inlineStr"/>
      <c r="R195" s="18" t="inlineStr"/>
      <c r="S195" s="20" t="inlineStr"/>
      <c r="T195" s="6" t="n">
        <v>1</v>
      </c>
      <c r="U195" s="5" t="inlineStr">
        <is>
          <t xml:space="preserve">(주)카카오엔터테인먼트(주1) / 2022.12.01 </t>
        </is>
      </c>
      <c r="V195" s="21">
        <f>HYPERLINK("https://dart.fss.or.kr/dsaf001/main.do?rcpNo=20240812001019", "공시열람")</f>
        <v/>
      </c>
    </row>
    <row r="196">
      <c r="A196" s="5" t="inlineStr">
        <is>
          <t>삼목에스폼</t>
        </is>
      </c>
      <c r="B196" s="6" t="inlineStr">
        <is>
          <t>018310</t>
        </is>
      </c>
      <c r="C196" s="6" t="inlineStr">
        <is>
          <t>2026Q2</t>
        </is>
      </c>
      <c r="D196" s="6" t="inlineStr">
        <is>
          <t>20260814</t>
        </is>
      </c>
      <c r="E196" s="16" t="n">
        <v>205810</v>
      </c>
      <c r="F196" s="16" t="n">
        <v>156129</v>
      </c>
      <c r="G196" s="16" t="n">
        <v>49681</v>
      </c>
      <c r="H196" s="6" t="inlineStr">
        <is>
          <t>백만원</t>
        </is>
      </c>
      <c r="I196" s="17" t="n">
        <v>-5.1</v>
      </c>
      <c r="J196" s="18" t="n">
        <v>88130</v>
      </c>
      <c r="K196" s="19" t="n">
        <v>51211</v>
      </c>
      <c r="L196" s="18" t="n">
        <v>10630</v>
      </c>
      <c r="M196" s="19" t="n">
        <v>9464</v>
      </c>
      <c r="N196" s="18" t="n">
        <v>91193</v>
      </c>
      <c r="O196" s="19" t="n">
        <v>62045</v>
      </c>
      <c r="P196" s="18" t="n">
        <v>64974</v>
      </c>
      <c r="Q196" s="19" t="n">
        <v>54082</v>
      </c>
      <c r="R196" s="18" t="n">
        <v>52340</v>
      </c>
      <c r="S196" s="20" t="n">
        <v>49681</v>
      </c>
      <c r="T196" s="6" t="n">
        <v>2</v>
      </c>
      <c r="U196" s="5" t="inlineStr">
        <is>
          <t>알루미늄폼 / 26.01.0126.06.30 / - | 판넬폼 등 / 26.01.0126.06.30 / -</t>
        </is>
      </c>
      <c r="V196" s="21">
        <f>HYPERLINK("https://dart.fss.or.kr/dsaf001/main.do?rcpNo=20260814002300", "공시열람")</f>
        <v/>
      </c>
    </row>
    <row r="197">
      <c r="A197" s="5" t="inlineStr">
        <is>
          <t>졸스</t>
        </is>
      </c>
      <c r="B197" s="6" t="inlineStr">
        <is>
          <t>018700</t>
        </is>
      </c>
      <c r="C197" s="6" t="inlineStr">
        <is>
          <t>2024Q4</t>
        </is>
      </c>
      <c r="D197" s="6" t="inlineStr">
        <is>
          <t>20250320</t>
        </is>
      </c>
      <c r="E197" s="16" t="inlineStr"/>
      <c r="F197" s="16" t="inlineStr"/>
      <c r="G197" s="16" t="n">
        <v>409254</v>
      </c>
      <c r="H197" s="6" t="inlineStr"/>
      <c r="I197" s="17" t="n">
        <v>-76.3</v>
      </c>
      <c r="J197" s="18" t="n">
        <v>4194491</v>
      </c>
      <c r="K197" s="19" t="n">
        <v>5000935</v>
      </c>
      <c r="L197" s="18" t="n">
        <v>1726209</v>
      </c>
      <c r="M197" s="19" t="n">
        <v>409254</v>
      </c>
      <c r="N197" s="18" t="inlineStr"/>
      <c r="O197" s="19" t="inlineStr"/>
      <c r="P197" s="18" t="inlineStr"/>
      <c r="Q197" s="19" t="inlineStr"/>
      <c r="R197" s="18" t="inlineStr"/>
      <c r="S197" s="20" t="inlineStr"/>
      <c r="T197" s="6" t="n">
        <v>1</v>
      </c>
      <c r="U197" s="5" t="inlineStr">
        <is>
          <t>별들에게 물어봐 / 2022.05.24 / 2025.0</t>
        </is>
      </c>
      <c r="V197" s="21">
        <f>HYPERLINK("https://dart.fss.or.kr/dsaf001/main.do?rcpNo=20250320001342", "공시열람")</f>
        <v/>
      </c>
    </row>
    <row r="198">
      <c r="A198" s="5" t="inlineStr">
        <is>
          <t>엑시큐어하이트론</t>
        </is>
      </c>
      <c r="B198" s="6" t="inlineStr">
        <is>
          <t>019490</t>
        </is>
      </c>
      <c r="C198" s="6" t="inlineStr">
        <is>
          <t>2026Q2</t>
        </is>
      </c>
      <c r="D198" s="6" t="inlineStr">
        <is>
          <t>20261002</t>
        </is>
      </c>
      <c r="E198" s="16" t="n">
        <v>6642016</v>
      </c>
      <c r="F198" s="16" t="n">
        <v>1614618</v>
      </c>
      <c r="G198" s="16" t="n">
        <v>5027398</v>
      </c>
      <c r="H198" s="6" t="inlineStr">
        <is>
          <t>천원</t>
        </is>
      </c>
      <c r="I198" s="17" t="n">
        <v>5.4</v>
      </c>
      <c r="J198" s="18" t="n">
        <v>1453447</v>
      </c>
      <c r="K198" s="19" t="n">
        <v>24018353</v>
      </c>
      <c r="L198" s="18" t="n">
        <v>422</v>
      </c>
      <c r="M198" s="19" t="n">
        <v>262</v>
      </c>
      <c r="N198" s="18" t="n">
        <v>1831</v>
      </c>
      <c r="O198" s="19" t="n">
        <v>4335800</v>
      </c>
      <c r="P198" s="18" t="n">
        <v>5285003</v>
      </c>
      <c r="Q198" s="19" t="n">
        <v>5838273</v>
      </c>
      <c r="R198" s="18" t="n">
        <v>4769785</v>
      </c>
      <c r="S198" s="20" t="n">
        <v>5027398</v>
      </c>
      <c r="T198" s="6" t="n">
        <v>5</v>
      </c>
      <c r="U198" s="5" t="inlineStr">
        <is>
          <t>교통공사 스마트관제 / 2024년 / 2027년 | 교통공사 7호선 개량사업 / 2025년 / 2026년 | CCTV Camera 및 저장장치 / 2026년</t>
        </is>
      </c>
      <c r="V198" s="21">
        <f>HYPERLINK("https://dart.fss.or.kr/dsaf001/main.do?rcpNo=20261002000601", "공시열람")</f>
        <v/>
      </c>
    </row>
    <row r="199">
      <c r="A199" s="5" t="inlineStr">
        <is>
          <t>서연탑메탈</t>
        </is>
      </c>
      <c r="B199" s="6" t="inlineStr">
        <is>
          <t>019770</t>
        </is>
      </c>
      <c r="C199" s="6" t="inlineStr">
        <is>
          <t>2026Q2</t>
        </is>
      </c>
      <c r="D199" s="6" t="inlineStr">
        <is>
          <t>20260814</t>
        </is>
      </c>
      <c r="E199" s="16" t="inlineStr"/>
      <c r="F199" s="16" t="inlineStr"/>
      <c r="G199" s="16" t="n">
        <v>121062559</v>
      </c>
      <c r="H199" s="6" t="inlineStr">
        <is>
          <t>천원</t>
        </is>
      </c>
      <c r="I199" s="17" t="n">
        <v>-5.2</v>
      </c>
      <c r="J199" s="18" t="n">
        <v>104449180</v>
      </c>
      <c r="K199" s="19" t="n">
        <v>103463048</v>
      </c>
      <c r="L199" s="18" t="n">
        <v>104274735</v>
      </c>
      <c r="M199" s="19" t="n">
        <v>103019749</v>
      </c>
      <c r="N199" s="18" t="n">
        <v>93636679</v>
      </c>
      <c r="O199" s="19" t="n">
        <v>100974825</v>
      </c>
      <c r="P199" s="18" t="n">
        <v>115830879</v>
      </c>
      <c r="Q199" s="19" t="n">
        <v>125572802</v>
      </c>
      <c r="R199" s="18" t="n">
        <v>127722033</v>
      </c>
      <c r="S199" s="20" t="n">
        <v>121062559</v>
      </c>
      <c r="T199" s="6" t="n">
        <v>2</v>
      </c>
      <c r="U199" s="5" t="inlineStr">
        <is>
          <t>사출금형사업부 | 프레스금형사업부</t>
        </is>
      </c>
      <c r="V199" s="21">
        <f>HYPERLINK("https://dart.fss.or.kr/dsaf001/main.do?rcpNo=20260814002590", "공시열람")</f>
        <v/>
      </c>
    </row>
    <row r="200">
      <c r="A200" s="5" t="inlineStr">
        <is>
          <t>에너토크</t>
        </is>
      </c>
      <c r="B200" s="6" t="inlineStr">
        <is>
          <t>019990</t>
        </is>
      </c>
      <c r="C200" s="6" t="inlineStr">
        <is>
          <t>2026Q2</t>
        </is>
      </c>
      <c r="D200" s="6" t="inlineStr">
        <is>
          <t>20260930</t>
        </is>
      </c>
      <c r="E200" s="16" t="n">
        <v>42243</v>
      </c>
      <c r="F200" s="16" t="n">
        <v>11584</v>
      </c>
      <c r="G200" s="16" t="n">
        <v>30659</v>
      </c>
      <c r="H200" s="6" t="inlineStr">
        <is>
          <t>백만원,대</t>
        </is>
      </c>
      <c r="I200" s="17" t="n">
        <v>63.3</v>
      </c>
      <c r="J200" s="18" t="n">
        <v>3979</v>
      </c>
      <c r="K200" s="19" t="n">
        <v>3029</v>
      </c>
      <c r="L200" s="18" t="n">
        <v>2606</v>
      </c>
      <c r="M200" s="19" t="n">
        <v>2682</v>
      </c>
      <c r="N200" s="18" t="n">
        <v>3781</v>
      </c>
      <c r="O200" s="19" t="n">
        <v>6299</v>
      </c>
      <c r="P200" s="18" t="n">
        <v>16410</v>
      </c>
      <c r="Q200" s="19" t="n">
        <v>19634</v>
      </c>
      <c r="R200" s="18" t="n">
        <v>18774</v>
      </c>
      <c r="S200" s="20" t="n">
        <v>30659</v>
      </c>
      <c r="T200" s="6" t="n">
        <v>2</v>
      </c>
      <c r="U200" s="5" t="inlineStr">
        <is>
          <t>액츄에이터 및관련장비 / 이월분 | 액츄에이터 및관련장비</t>
        </is>
      </c>
      <c r="V200" s="21">
        <f>HYPERLINK("https://dart.fss.or.kr/dsaf001/main.do?rcpNo=20260930000453", "공시열람")</f>
        <v/>
      </c>
    </row>
    <row r="201">
      <c r="A201" s="5" t="inlineStr">
        <is>
          <t>롯데에너지머티리얼즈</t>
        </is>
      </c>
      <c r="B201" s="6" t="inlineStr">
        <is>
          <t>020150</t>
        </is>
      </c>
      <c r="C201" s="6" t="inlineStr">
        <is>
          <t>2026Q2</t>
        </is>
      </c>
      <c r="D201" s="6" t="inlineStr">
        <is>
          <t>20260814</t>
        </is>
      </c>
      <c r="E201" s="16" t="n">
        <v>453659</v>
      </c>
      <c r="F201" s="16" t="n">
        <v>283160</v>
      </c>
      <c r="G201" s="16" t="n">
        <v>170499</v>
      </c>
      <c r="H201" s="6" t="inlineStr">
        <is>
          <t>백만원</t>
        </is>
      </c>
      <c r="I201" s="17" t="n">
        <v>-1.9</v>
      </c>
      <c r="J201" s="18" t="n">
        <v>215838</v>
      </c>
      <c r="K201" s="19" t="n">
        <v>192872</v>
      </c>
      <c r="L201" s="18" t="n">
        <v>183041</v>
      </c>
      <c r="M201" s="19" t="n">
        <v>179979</v>
      </c>
      <c r="N201" s="18" t="n">
        <v>170925</v>
      </c>
      <c r="O201" s="19" t="n">
        <v>172572</v>
      </c>
      <c r="P201" s="18" t="n">
        <v>178713</v>
      </c>
      <c r="Q201" s="19" t="n">
        <v>196826</v>
      </c>
      <c r="R201" s="18" t="n">
        <v>173831</v>
      </c>
      <c r="S201" s="20" t="n">
        <v>170499</v>
      </c>
      <c r="T201" s="6" t="n">
        <v>1</v>
      </c>
      <c r="U201" s="5" t="inlineStr">
        <is>
          <t>커튼월 / Oakridge POD 외 (36)개</t>
        </is>
      </c>
      <c r="V201" s="21">
        <f>HYPERLINK("https://dart.fss.or.kr/dsaf001/main.do?rcpNo=20260814000373", "공시열람")</f>
        <v/>
      </c>
    </row>
    <row r="202">
      <c r="A202" s="5" t="inlineStr">
        <is>
          <t>대신정보통신</t>
        </is>
      </c>
      <c r="B202" s="6" t="inlineStr">
        <is>
          <t>020180</t>
        </is>
      </c>
      <c r="C202" s="6" t="inlineStr">
        <is>
          <t>2026Q2</t>
        </is>
      </c>
      <c r="D202" s="6" t="inlineStr">
        <is>
          <t>20260814</t>
        </is>
      </c>
      <c r="E202" s="16" t="n">
        <v>191371</v>
      </c>
      <c r="F202" s="16" t="n">
        <v>101463</v>
      </c>
      <c r="G202" s="16" t="n">
        <v>89908</v>
      </c>
      <c r="H202" s="6" t="inlineStr">
        <is>
          <t>백만원</t>
        </is>
      </c>
      <c r="I202" s="17" t="n">
        <v>13.9</v>
      </c>
      <c r="J202" s="18" t="n">
        <v>33722</v>
      </c>
      <c r="K202" s="19" t="n">
        <v>54486</v>
      </c>
      <c r="L202" s="18" t="n">
        <v>83318</v>
      </c>
      <c r="M202" s="19" t="n">
        <v>25954</v>
      </c>
      <c r="N202" s="18" t="n">
        <v>70312</v>
      </c>
      <c r="O202" s="19" t="n">
        <v>124099</v>
      </c>
      <c r="P202" s="18" t="n">
        <v>113427</v>
      </c>
      <c r="Q202" s="19" t="n">
        <v>93229</v>
      </c>
      <c r="R202" s="18" t="n">
        <v>78921</v>
      </c>
      <c r="S202" s="20" t="n">
        <v>89908</v>
      </c>
      <c r="T202" s="6" t="n">
        <v>4</v>
      </c>
      <c r="U202" s="5" t="inlineStr">
        <is>
          <t>시스템통합 / - | LH 정보인프라 유지보수 / 2025.12.18 / 2 | 광주센터1군 유지관리 / 2025.2.28 / 2026</t>
        </is>
      </c>
      <c r="V202" s="21">
        <f>HYPERLINK("https://dart.fss.or.kr/dsaf001/main.do?rcpNo=20260814000310", "공시열람")</f>
        <v/>
      </c>
    </row>
    <row r="203">
      <c r="A203" s="5" t="inlineStr">
        <is>
          <t>송우인포텍</t>
        </is>
      </c>
      <c r="B203" s="6" t="inlineStr">
        <is>
          <t>0203K0</t>
        </is>
      </c>
      <c r="C203" s="6" t="inlineStr">
        <is>
          <t>2025Q4</t>
        </is>
      </c>
      <c r="D203" s="6" t="inlineStr">
        <is>
          <t>20260727</t>
        </is>
      </c>
      <c r="E203" s="16" t="n">
        <v>13818</v>
      </c>
      <c r="F203" s="16" t="n">
        <v>9787</v>
      </c>
      <c r="G203" s="16" t="n">
        <v>4031</v>
      </c>
      <c r="H203" s="6" t="inlineStr">
        <is>
          <t>백만원</t>
        </is>
      </c>
      <c r="I203" s="17" t="inlineStr"/>
      <c r="J203" s="18" t="inlineStr"/>
      <c r="K203" s="19" t="inlineStr"/>
      <c r="L203" s="18" t="inlineStr"/>
      <c r="M203" s="19" t="inlineStr"/>
      <c r="N203" s="18" t="inlineStr"/>
      <c r="O203" s="19" t="inlineStr"/>
      <c r="P203" s="18" t="inlineStr"/>
      <c r="Q203" s="19" t="n">
        <v>4031</v>
      </c>
      <c r="R203" s="18" t="inlineStr"/>
      <c r="S203" s="20" t="inlineStr"/>
      <c r="T203" s="6" t="n">
        <v>1</v>
      </c>
      <c r="U203" s="5" t="inlineStr">
        <is>
          <t>제품매출 / -</t>
        </is>
      </c>
      <c r="V203" s="21">
        <f>HYPERLINK("https://dart.fss.or.kr/dsaf001/main.do?rcpNo=20260727000043", "공시열람")</f>
        <v/>
      </c>
    </row>
    <row r="204">
      <c r="A204" s="5" t="inlineStr">
        <is>
          <t>아시아나항공</t>
        </is>
      </c>
      <c r="B204" s="6" t="inlineStr">
        <is>
          <t>020560</t>
        </is>
      </c>
      <c r="C204" s="6" t="inlineStr">
        <is>
          <t>2026Q2</t>
        </is>
      </c>
      <c r="D204" s="6" t="inlineStr">
        <is>
          <t>20260813</t>
        </is>
      </c>
      <c r="E204" s="16" t="n">
        <v>2526</v>
      </c>
      <c r="F204" s="16" t="n">
        <v>1418</v>
      </c>
      <c r="G204" s="16" t="n">
        <v>1108</v>
      </c>
      <c r="H204" s="6" t="inlineStr">
        <is>
          <t>억원</t>
        </is>
      </c>
      <c r="I204" s="17" t="n">
        <v>-19.1</v>
      </c>
      <c r="J204" s="18" t="n">
        <v>479</v>
      </c>
      <c r="K204" s="19" t="n">
        <v>502</v>
      </c>
      <c r="L204" s="18" t="n">
        <v>441</v>
      </c>
      <c r="M204" s="19" t="n">
        <v>551</v>
      </c>
      <c r="N204" s="18" t="n">
        <v>446</v>
      </c>
      <c r="O204" s="19" t="n">
        <v>324</v>
      </c>
      <c r="P204" s="18" t="n">
        <v>634</v>
      </c>
      <c r="Q204" s="19" t="n">
        <v>768</v>
      </c>
      <c r="R204" s="18" t="n">
        <v>1370</v>
      </c>
      <c r="S204" s="20" t="n">
        <v>1108</v>
      </c>
      <c r="T204" s="6" t="n">
        <v>2</v>
      </c>
      <c r="U204" s="5" t="inlineStr">
        <is>
          <t>운영유지보수 / - | 컨설팅/SI 등 / -</t>
        </is>
      </c>
      <c r="V204" s="21">
        <f>HYPERLINK("https://dart.fss.or.kr/dsaf001/main.do?rcpNo=20260813001561", "공시열람")</f>
        <v/>
      </c>
    </row>
    <row r="205">
      <c r="A205" s="5" t="inlineStr">
        <is>
          <t>시공테크</t>
        </is>
      </c>
      <c r="B205" s="6" t="inlineStr">
        <is>
          <t>020710</t>
        </is>
      </c>
      <c r="C205" s="6" t="inlineStr">
        <is>
          <t>2026Q2</t>
        </is>
      </c>
      <c r="D205" s="6" t="inlineStr">
        <is>
          <t>20260814</t>
        </is>
      </c>
      <c r="E205" s="16" t="n">
        <v>188078610</v>
      </c>
      <c r="F205" s="16" t="n">
        <v>127839968</v>
      </c>
      <c r="G205" s="16" t="n">
        <v>60238641</v>
      </c>
      <c r="H205" s="6" t="inlineStr">
        <is>
          <t>천원</t>
        </is>
      </c>
      <c r="I205" s="17" t="n">
        <v>0.2</v>
      </c>
      <c r="J205" s="18" t="n">
        <v>124293447</v>
      </c>
      <c r="K205" s="19" t="n">
        <v>129744793</v>
      </c>
      <c r="L205" s="18" t="n">
        <v>121627393</v>
      </c>
      <c r="M205" s="19" t="n">
        <v>96580255</v>
      </c>
      <c r="N205" s="18" t="n">
        <v>94652646</v>
      </c>
      <c r="O205" s="19" t="n">
        <v>67244196</v>
      </c>
      <c r="P205" s="18" t="n">
        <v>81299596</v>
      </c>
      <c r="Q205" s="19" t="n">
        <v>69470504</v>
      </c>
      <c r="R205" s="18" t="n">
        <v>60097815</v>
      </c>
      <c r="S205" s="20" t="n">
        <v>60238641</v>
      </c>
      <c r="T205" s="6" t="n">
        <v>13</v>
      </c>
      <c r="U205" s="5" t="inlineStr">
        <is>
          <t>전시관 및 인테리어 / - | 전시관 및 인테리어 / 28.12.31 / (재)대한불 | 전시관 및 인테리어 / 22.02.25 / 원주시</t>
        </is>
      </c>
      <c r="V205" s="21">
        <f>HYPERLINK("https://dart.fss.or.kr/dsaf001/main.do?rcpNo=20260814000863", "공시열람")</f>
        <v/>
      </c>
    </row>
    <row r="206">
      <c r="A206" s="5" t="inlineStr">
        <is>
          <t>KCC건설</t>
        </is>
      </c>
      <c r="B206" s="6" t="inlineStr">
        <is>
          <t>021320</t>
        </is>
      </c>
      <c r="C206" s="6" t="inlineStr">
        <is>
          <t>2026Q2</t>
        </is>
      </c>
      <c r="D206" s="6" t="inlineStr">
        <is>
          <t>20260813</t>
        </is>
      </c>
      <c r="E206" s="16" t="n">
        <v>5691747</v>
      </c>
      <c r="F206" s="16" t="inlineStr"/>
      <c r="G206" s="16" t="n">
        <v>3185719</v>
      </c>
      <c r="H206" s="6" t="inlineStr">
        <is>
          <t>백만원</t>
        </is>
      </c>
      <c r="I206" s="17" t="n">
        <v>29.5</v>
      </c>
      <c r="J206" s="18" t="n">
        <v>2866825</v>
      </c>
      <c r="K206" s="19" t="n">
        <v>2685055</v>
      </c>
      <c r="L206" s="18" t="n">
        <v>2842999400588</v>
      </c>
      <c r="M206" s="19" t="n">
        <v>2199690536725</v>
      </c>
      <c r="N206" s="18" t="n">
        <v>2423401</v>
      </c>
      <c r="O206" s="19" t="n">
        <v>2270735461501</v>
      </c>
      <c r="P206" s="18" t="n">
        <v>2327796</v>
      </c>
      <c r="Q206" s="19" t="n">
        <v>2208034</v>
      </c>
      <c r="R206" s="18" t="n">
        <v>2459450</v>
      </c>
      <c r="S206" s="20" t="n">
        <v>3185719</v>
      </c>
      <c r="T206" s="6" t="n">
        <v>2</v>
      </c>
      <c r="U206" s="5" t="inlineStr">
        <is>
          <t>민 간 | 관 급</t>
        </is>
      </c>
      <c r="V206" s="21">
        <f>HYPERLINK("https://dart.fss.or.kr/dsaf001/main.do?rcpNo=20260813001598", "공시열람")</f>
        <v/>
      </c>
    </row>
    <row r="207">
      <c r="A207" s="5" t="inlineStr">
        <is>
          <t>포스코DX</t>
        </is>
      </c>
      <c r="B207" s="6" t="inlineStr">
        <is>
          <t>022100</t>
        </is>
      </c>
      <c r="C207" s="6" t="inlineStr">
        <is>
          <t>2026Q2</t>
        </is>
      </c>
      <c r="D207" s="6" t="inlineStr">
        <is>
          <t>20260814</t>
        </is>
      </c>
      <c r="E207" s="16" t="n">
        <v>2796665</v>
      </c>
      <c r="F207" s="16" t="n">
        <v>1839989</v>
      </c>
      <c r="G207" s="16" t="n">
        <v>956676</v>
      </c>
      <c r="H207" s="6" t="inlineStr">
        <is>
          <t>백만원</t>
        </is>
      </c>
      <c r="I207" s="17" t="n">
        <v>-0.4</v>
      </c>
      <c r="J207" s="18" t="n">
        <v>1172426</v>
      </c>
      <c r="K207" s="19" t="n">
        <v>1057746</v>
      </c>
      <c r="L207" s="18" t="n">
        <v>838744</v>
      </c>
      <c r="M207" s="19" t="n">
        <v>947999</v>
      </c>
      <c r="N207" s="18" t="n">
        <v>856316</v>
      </c>
      <c r="O207" s="19" t="n">
        <v>757138</v>
      </c>
      <c r="P207" s="18" t="n">
        <v>699577</v>
      </c>
      <c r="Q207" s="19" t="n">
        <v>931448</v>
      </c>
      <c r="R207" s="18" t="n">
        <v>960198</v>
      </c>
      <c r="S207" s="20" t="n">
        <v>956676</v>
      </c>
      <c r="T207" s="6" t="n">
        <v>2</v>
      </c>
      <c r="U207" s="5" t="inlineStr">
        <is>
          <t>자동화 / - | IT서비스 / -</t>
        </is>
      </c>
      <c r="V207" s="21">
        <f>HYPERLINK("https://dart.fss.or.kr/dsaf001/main.do?rcpNo=20260814000366", "공시열람")</f>
        <v/>
      </c>
    </row>
    <row r="208">
      <c r="A208" s="5" t="inlineStr">
        <is>
          <t>태광</t>
        </is>
      </c>
      <c r="B208" s="6" t="inlineStr">
        <is>
          <t>023160</t>
        </is>
      </c>
      <c r="C208" s="6" t="inlineStr">
        <is>
          <t>2026Q2</t>
        </is>
      </c>
      <c r="D208" s="6" t="inlineStr">
        <is>
          <t>20261001</t>
        </is>
      </c>
      <c r="E208" s="16" t="n">
        <v>23728650</v>
      </c>
      <c r="F208" s="16" t="n">
        <v>18678584</v>
      </c>
      <c r="G208" s="16" t="n">
        <v>5050066</v>
      </c>
      <c r="H208" s="6" t="inlineStr">
        <is>
          <t>천원</t>
        </is>
      </c>
      <c r="I208" s="17" t="n">
        <v>30.6</v>
      </c>
      <c r="J208" s="18" t="n">
        <v>739538</v>
      </c>
      <c r="K208" s="19" t="n">
        <v>10454359</v>
      </c>
      <c r="L208" s="18" t="n">
        <v>21681337</v>
      </c>
      <c r="M208" s="19" t="n">
        <v>36288491</v>
      </c>
      <c r="N208" s="18" t="n">
        <v>9968846</v>
      </c>
      <c r="O208" s="19" t="n">
        <v>14618374</v>
      </c>
      <c r="P208" s="18" t="n">
        <v>16840488</v>
      </c>
      <c r="Q208" s="19" t="n">
        <v>14167148</v>
      </c>
      <c r="R208" s="18" t="n">
        <v>3867880</v>
      </c>
      <c r="S208" s="20" t="n">
        <v>5050066</v>
      </c>
      <c r="T208" s="6" t="n">
        <v>4</v>
      </c>
      <c r="U208" s="5" t="inlineStr">
        <is>
          <t xml:space="preserve">2차전지용생산설비류 / 03월 / 26.03.01 -  | 2차전지용생산설비류 / 05월 / 26.05.01 -  | 2차전지용생산설비류 / 06월 / 26.06.01 - </t>
        </is>
      </c>
      <c r="V208" s="21">
        <f>HYPERLINK("https://dart.fss.or.kr/dsaf001/main.do?rcpNo=20261001000037", "공시열람")</f>
        <v/>
      </c>
    </row>
    <row r="209">
      <c r="A209" s="5" t="inlineStr">
        <is>
          <t>한국종합기술</t>
        </is>
      </c>
      <c r="B209" s="6" t="inlineStr">
        <is>
          <t>023350</t>
        </is>
      </c>
      <c r="C209" s="6" t="inlineStr">
        <is>
          <t>2026Q2</t>
        </is>
      </c>
      <c r="D209" s="6" t="inlineStr">
        <is>
          <t>20260814</t>
        </is>
      </c>
      <c r="E209" s="16" t="n">
        <v>1130389</v>
      </c>
      <c r="F209" s="16" t="n">
        <v>194357</v>
      </c>
      <c r="G209" s="16" t="n">
        <v>936032</v>
      </c>
      <c r="H209" s="6" t="inlineStr">
        <is>
          <t>백만원</t>
        </is>
      </c>
      <c r="I209" s="17" t="n">
        <v>-1.6</v>
      </c>
      <c r="J209" s="18" t="n">
        <v>710038</v>
      </c>
      <c r="K209" s="19" t="n">
        <v>721542</v>
      </c>
      <c r="L209" s="18" t="n">
        <v>742327</v>
      </c>
      <c r="M209" s="19" t="n">
        <v>794595</v>
      </c>
      <c r="N209" s="18" t="n">
        <v>792754</v>
      </c>
      <c r="O209" s="19" t="n">
        <v>791591</v>
      </c>
      <c r="P209" s="18" t="n">
        <v>794516</v>
      </c>
      <c r="Q209" s="19" t="n">
        <v>914628</v>
      </c>
      <c r="R209" s="18" t="n">
        <v>951596</v>
      </c>
      <c r="S209" s="20" t="n">
        <v>936032</v>
      </c>
      <c r="T209" s="6" t="n">
        <v>8</v>
      </c>
      <c r="U209" s="5" t="inlineStr">
        <is>
          <t>설계 / 관급 / 아산-천안 고속도로 건설사업 사후환경 | 공사 / 민간 / 광주 연료전지 발전사업 건설공사 외  | 감리 / 관급 / 울릉공항 건설공사 감독권한대행 등 건</t>
        </is>
      </c>
      <c r="V209" s="21">
        <f>HYPERLINK("https://dart.fss.or.kr/dsaf001/main.do?rcpNo=20260814002779", "공시열람")</f>
        <v/>
      </c>
    </row>
    <row r="210">
      <c r="A210" s="5" t="inlineStr">
        <is>
          <t>유진기업</t>
        </is>
      </c>
      <c r="B210" s="6" t="inlineStr">
        <is>
          <t>023410</t>
        </is>
      </c>
      <c r="C210" s="6" t="inlineStr">
        <is>
          <t>2026Q2</t>
        </is>
      </c>
      <c r="D210" s="6" t="inlineStr">
        <is>
          <t>20260814</t>
        </is>
      </c>
      <c r="E210" s="16" t="inlineStr"/>
      <c r="F210" s="16" t="inlineStr"/>
      <c r="G210" s="16" t="n">
        <v>2316637</v>
      </c>
      <c r="H210" s="6" t="inlineStr">
        <is>
          <t>천원</t>
        </is>
      </c>
      <c r="I210" s="17" t="n">
        <v>0</v>
      </c>
      <c r="J210" s="18" t="n">
        <v>881800</v>
      </c>
      <c r="K210" s="19" t="n">
        <v>2312521</v>
      </c>
      <c r="L210" s="18" t="n">
        <v>921382</v>
      </c>
      <c r="M210" s="19" t="n">
        <v>1338930</v>
      </c>
      <c r="N210" s="18" t="n">
        <v>1338930</v>
      </c>
      <c r="O210" s="19" t="n">
        <v>1338930</v>
      </c>
      <c r="P210" s="18" t="n">
        <v>1946785</v>
      </c>
      <c r="Q210" s="19" t="n">
        <v>2316637</v>
      </c>
      <c r="R210" s="18" t="n">
        <v>2316637</v>
      </c>
      <c r="S210" s="20" t="n">
        <v>2316637</v>
      </c>
      <c r="T210" s="6" t="n">
        <v>1</v>
      </c>
      <c r="U210" s="5" t="inlineStr">
        <is>
          <t>건설계약</t>
        </is>
      </c>
      <c r="V210" s="21">
        <f>HYPERLINK("https://dart.fss.or.kr/dsaf001/main.do?rcpNo=20260814003236", "공시열람")</f>
        <v/>
      </c>
    </row>
    <row r="211">
      <c r="A211" s="5" t="inlineStr">
        <is>
          <t>다우기술</t>
        </is>
      </c>
      <c r="B211" s="6" t="inlineStr">
        <is>
          <t>023590</t>
        </is>
      </c>
      <c r="C211" s="6" t="inlineStr">
        <is>
          <t>2026Q2</t>
        </is>
      </c>
      <c r="D211" s="6" t="inlineStr">
        <is>
          <t>20260814</t>
        </is>
      </c>
      <c r="E211" s="16" t="n">
        <v>38135</v>
      </c>
      <c r="F211" s="16" t="n">
        <v>28289</v>
      </c>
      <c r="G211" s="16" t="n">
        <v>9846</v>
      </c>
      <c r="H211" s="6" t="inlineStr">
        <is>
          <t>백만원</t>
        </is>
      </c>
      <c r="I211" s="17" t="n">
        <v>-31</v>
      </c>
      <c r="J211" s="18" t="n">
        <v>11147</v>
      </c>
      <c r="K211" s="19" t="n">
        <v>11147</v>
      </c>
      <c r="L211" s="18" t="n">
        <v>9814</v>
      </c>
      <c r="M211" s="19" t="n">
        <v>17796</v>
      </c>
      <c r="N211" s="18" t="n">
        <v>12681</v>
      </c>
      <c r="O211" s="19" t="n">
        <v>28087</v>
      </c>
      <c r="P211" s="18" t="n">
        <v>20887</v>
      </c>
      <c r="Q211" s="19" t="n">
        <v>19928</v>
      </c>
      <c r="R211" s="18" t="n">
        <v>14265</v>
      </c>
      <c r="S211" s="20" t="n">
        <v>9846</v>
      </c>
      <c r="T211" s="6" t="n">
        <v>17</v>
      </c>
      <c r="U211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11" s="21">
        <f>HYPERLINK("https://dart.fss.or.kr/dsaf001/main.do?rcpNo=20260814003900", "공시열람")</f>
        <v/>
      </c>
    </row>
    <row r="212">
      <c r="A212" s="5" t="inlineStr">
        <is>
          <t>한일단조</t>
        </is>
      </c>
      <c r="B212" s="6" t="inlineStr">
        <is>
          <t>024740</t>
        </is>
      </c>
      <c r="C212" s="6" t="inlineStr">
        <is>
          <t>2026Q2</t>
        </is>
      </c>
      <c r="D212" s="6" t="inlineStr">
        <is>
          <t>20260814</t>
        </is>
      </c>
      <c r="E212" s="16" t="n">
        <v>17422</v>
      </c>
      <c r="F212" s="16" t="n">
        <v>8993</v>
      </c>
      <c r="G212" s="16" t="n">
        <v>8429</v>
      </c>
      <c r="H212" s="6" t="inlineStr">
        <is>
          <t>개,백만원</t>
        </is>
      </c>
      <c r="I212" s="17" t="n">
        <v>-37.4</v>
      </c>
      <c r="J212" s="18" t="inlineStr"/>
      <c r="K212" s="19" t="inlineStr"/>
      <c r="L212" s="18" t="inlineStr"/>
      <c r="M212" s="19" t="inlineStr"/>
      <c r="N212" s="18" t="inlineStr"/>
      <c r="O212" s="19" t="inlineStr"/>
      <c r="P212" s="18" t="inlineStr"/>
      <c r="Q212" s="19" t="n">
        <v>17422</v>
      </c>
      <c r="R212" s="18" t="n">
        <v>13463</v>
      </c>
      <c r="S212" s="20" t="n">
        <v>8429</v>
      </c>
      <c r="T212" s="6" t="n">
        <v>1</v>
      </c>
      <c r="U212" s="5" t="inlineStr">
        <is>
          <t>M107 155MM 완성탄체 / 25.12.05 / 2</t>
        </is>
      </c>
      <c r="V212" s="21">
        <f>HYPERLINK("https://dart.fss.or.kr/dsaf001/main.do?rcpNo=20260814002077", "공시열람")</f>
        <v/>
      </c>
    </row>
    <row r="213">
      <c r="A213" s="5" t="inlineStr">
        <is>
          <t>HLB이노베이션</t>
        </is>
      </c>
      <c r="B213" s="6" t="inlineStr">
        <is>
          <t>024850</t>
        </is>
      </c>
      <c r="C213" s="6" t="inlineStr">
        <is>
          <t>2026Q2</t>
        </is>
      </c>
      <c r="D213" s="6" t="inlineStr">
        <is>
          <t>20260813</t>
        </is>
      </c>
      <c r="E213" s="16" t="n">
        <v>19039811</v>
      </c>
      <c r="F213" s="16" t="n">
        <v>16303819</v>
      </c>
      <c r="G213" s="16" t="n">
        <v>2735992</v>
      </c>
      <c r="H213" s="6" t="inlineStr">
        <is>
          <t>백만개(KK</t>
        </is>
      </c>
      <c r="I213" s="17" t="n">
        <v>-42.1</v>
      </c>
      <c r="J213" s="18" t="n">
        <v>154</v>
      </c>
      <c r="K213" s="19" t="n">
        <v>1545</v>
      </c>
      <c r="L213" s="18" t="n">
        <v>1184</v>
      </c>
      <c r="M213" s="19" t="n">
        <v>558</v>
      </c>
      <c r="N213" s="18" t="n">
        <v>931</v>
      </c>
      <c r="O213" s="19" t="n">
        <v>2748</v>
      </c>
      <c r="P213" s="18" t="n">
        <v>27897</v>
      </c>
      <c r="Q213" s="19" t="n">
        <v>3381663</v>
      </c>
      <c r="R213" s="18" t="n">
        <v>4727023</v>
      </c>
      <c r="S213" s="20" t="n">
        <v>2735992</v>
      </c>
      <c r="T213" s="6" t="n">
        <v>2</v>
      </c>
      <c r="U213" s="5" t="inlineStr">
        <is>
          <t xml:space="preserve">CONTACT PIN / 2026.01.01~06.30 | LEAD FRAME / 2026.01.01~06.30 </t>
        </is>
      </c>
      <c r="V213" s="21">
        <f>HYPERLINK("https://dart.fss.or.kr/dsaf001/main.do?rcpNo=20260813001458", "공시열람")</f>
        <v/>
      </c>
    </row>
    <row r="214">
      <c r="A214" s="5" t="inlineStr">
        <is>
          <t>케이피에프</t>
        </is>
      </c>
      <c r="B214" s="6" t="inlineStr">
        <is>
          <t>024880</t>
        </is>
      </c>
      <c r="C214" s="6" t="inlineStr">
        <is>
          <t>2026Q2</t>
        </is>
      </c>
      <c r="D214" s="6" t="inlineStr">
        <is>
          <t>20260813</t>
        </is>
      </c>
      <c r="E214" s="16" t="n">
        <v>2351</v>
      </c>
      <c r="F214" s="16" t="inlineStr"/>
      <c r="G214" s="16" t="n">
        <v>2034</v>
      </c>
      <c r="H214" s="6" t="inlineStr">
        <is>
          <t>톤,억원</t>
        </is>
      </c>
      <c r="I214" s="17" t="n">
        <v>-16.3</v>
      </c>
      <c r="J214" s="18" t="n">
        <v>1215</v>
      </c>
      <c r="K214" s="19" t="n">
        <v>1990</v>
      </c>
      <c r="L214" s="18" t="n">
        <v>1905</v>
      </c>
      <c r="M214" s="19" t="n">
        <v>2142</v>
      </c>
      <c r="N214" s="18" t="n">
        <v>2465</v>
      </c>
      <c r="O214" s="19" t="n">
        <v>2038</v>
      </c>
      <c r="P214" s="18" t="n">
        <v>2094</v>
      </c>
      <c r="Q214" s="19" t="n">
        <v>2118</v>
      </c>
      <c r="R214" s="18" t="n">
        <v>2429</v>
      </c>
      <c r="S214" s="20" t="n">
        <v>2034</v>
      </c>
      <c r="T214" s="6" t="n">
        <v>3</v>
      </c>
      <c r="U214" s="5" t="inlineStr">
        <is>
          <t>볼트, 너트, 단조품 / 충주공장 / - | 볼트, 너트 / 베트남 / - | 단조품 / 중국 / -</t>
        </is>
      </c>
      <c r="V214" s="21">
        <f>HYPERLINK("https://dart.fss.or.kr/dsaf001/main.do?rcpNo=20260813000697", "공시열람")</f>
        <v/>
      </c>
    </row>
    <row r="215">
      <c r="A215" s="5" t="inlineStr">
        <is>
          <t>대원화성</t>
        </is>
      </c>
      <c r="B215" s="6" t="inlineStr">
        <is>
          <t>024890</t>
        </is>
      </c>
      <c r="C215" s="6" t="inlineStr">
        <is>
          <t>2026Q2</t>
        </is>
      </c>
      <c r="D215" s="6" t="inlineStr">
        <is>
          <t>20260814</t>
        </is>
      </c>
      <c r="E215" s="16" t="n">
        <v>93559</v>
      </c>
      <c r="F215" s="16" t="n">
        <v>89177</v>
      </c>
      <c r="G215" s="16" t="n">
        <v>4382</v>
      </c>
      <c r="H215" s="6" t="inlineStr">
        <is>
          <t>백만원</t>
        </is>
      </c>
      <c r="I215" s="17" t="n">
        <v>94.2</v>
      </c>
      <c r="J215" s="18" t="n">
        <v>1210</v>
      </c>
      <c r="K215" s="19" t="n">
        <v>2604</v>
      </c>
      <c r="L215" s="18" t="n">
        <v>4274</v>
      </c>
      <c r="M215" s="19" t="n">
        <v>6065</v>
      </c>
      <c r="N215" s="18" t="n">
        <v>1637</v>
      </c>
      <c r="O215" s="19" t="n">
        <v>4689</v>
      </c>
      <c r="P215" s="18" t="n">
        <v>4793</v>
      </c>
      <c r="Q215" s="19" t="n">
        <v>7684</v>
      </c>
      <c r="R215" s="18" t="n">
        <v>2256</v>
      </c>
      <c r="S215" s="20" t="n">
        <v>4382</v>
      </c>
      <c r="T215" s="6" t="n">
        <v>2</v>
      </c>
      <c r="U215" s="5" t="inlineStr">
        <is>
          <t>합성피혁 (천m) / 26.01~06 / 26.01~2 | 정 제 (톤) / 26.01~06 / 26.01~25.</t>
        </is>
      </c>
      <c r="V215" s="21">
        <f>HYPERLINK("https://dart.fss.or.kr/dsaf001/main.do?rcpNo=20260814003150", "공시열람")</f>
        <v/>
      </c>
    </row>
    <row r="216">
      <c r="A216" s="5" t="inlineStr">
        <is>
          <t>경창산업</t>
        </is>
      </c>
      <c r="B216" s="6" t="inlineStr">
        <is>
          <t>024910</t>
        </is>
      </c>
      <c r="C216" s="6" t="inlineStr">
        <is>
          <t>2026Q2</t>
        </is>
      </c>
      <c r="D216" s="6" t="inlineStr">
        <is>
          <t>20260814</t>
        </is>
      </c>
      <c r="E216" s="16" t="n">
        <v>89</v>
      </c>
      <c r="F216" s="16" t="n">
        <v>11</v>
      </c>
      <c r="G216" s="16" t="n">
        <v>78</v>
      </c>
      <c r="H216" s="6" t="inlineStr">
        <is>
          <t>억원</t>
        </is>
      </c>
      <c r="I216" s="17" t="n">
        <v>-3.7</v>
      </c>
      <c r="J216" s="18" t="n">
        <v>1697</v>
      </c>
      <c r="K216" s="19" t="n">
        <v>1696</v>
      </c>
      <c r="L216" s="18" t="n">
        <v>1693</v>
      </c>
      <c r="M216" s="19" t="n">
        <v>1688</v>
      </c>
      <c r="N216" s="18" t="n">
        <v>1687</v>
      </c>
      <c r="O216" s="19" t="n">
        <v>1687</v>
      </c>
      <c r="P216" s="18" t="n">
        <v>1686</v>
      </c>
      <c r="Q216" s="19" t="n">
        <v>65</v>
      </c>
      <c r="R216" s="18" t="n">
        <v>81</v>
      </c>
      <c r="S216" s="20" t="n">
        <v>78</v>
      </c>
      <c r="T216" s="6" t="n">
        <v>1</v>
      </c>
      <c r="U216" s="5" t="inlineStr">
        <is>
          <t>전기자동차 변속제어장치 E-Shifter / '19.1</t>
        </is>
      </c>
      <c r="V216" s="21">
        <f>HYPERLINK("https://dart.fss.or.kr/dsaf001/main.do?rcpNo=20260814002675", "공시열람")</f>
        <v/>
      </c>
    </row>
    <row r="217">
      <c r="A217" s="5" t="inlineStr">
        <is>
          <t>시노펙스</t>
        </is>
      </c>
      <c r="B217" s="6" t="inlineStr">
        <is>
          <t>025320</t>
        </is>
      </c>
      <c r="C217" s="6" t="inlineStr">
        <is>
          <t>2025Q4</t>
        </is>
      </c>
      <c r="D217" s="6" t="inlineStr">
        <is>
          <t>20260318</t>
        </is>
      </c>
      <c r="E217" s="16" t="n">
        <v>1669</v>
      </c>
      <c r="F217" s="16" t="n">
        <v>1669</v>
      </c>
      <c r="G217" s="16" t="n">
        <v>0</v>
      </c>
      <c r="H217" s="6" t="inlineStr">
        <is>
          <t>백만원</t>
        </is>
      </c>
      <c r="I217" s="17" t="inlineStr"/>
      <c r="J217" s="18" t="n">
        <v>3281</v>
      </c>
      <c r="K217" s="19" t="n">
        <v>350</v>
      </c>
      <c r="L217" s="18" t="n">
        <v>479</v>
      </c>
      <c r="M217" s="19" t="n">
        <v>21</v>
      </c>
      <c r="N217" s="18" t="n">
        <v>0</v>
      </c>
      <c r="O217" s="19" t="n">
        <v>32</v>
      </c>
      <c r="P217" s="18" t="n">
        <v>0</v>
      </c>
      <c r="Q217" s="19" t="n">
        <v>0</v>
      </c>
      <c r="R217" s="18" t="inlineStr"/>
      <c r="S217" s="20" t="inlineStr"/>
      <c r="T217" s="6" t="n">
        <v>28</v>
      </c>
      <c r="U217" s="5" t="inlineStr">
        <is>
          <t xml:space="preserve">파주 LGD P9 침지식 분리막 1차 교체작업 / 25 | 중국 상하이 포린트레이드 가압식 분리막 납품 / 25. | 해수담수화 가압식 분리막 납품 / 25.02.05 / </t>
        </is>
      </c>
      <c r="V217" s="21">
        <f>HYPERLINK("https://dart.fss.or.kr/dsaf001/main.do?rcpNo=20260318001595", "공시열람")</f>
        <v/>
      </c>
    </row>
    <row r="218">
      <c r="A218" s="5" t="inlineStr">
        <is>
          <t>미래산업</t>
        </is>
      </c>
      <c r="B218" s="6" t="inlineStr">
        <is>
          <t>025560</t>
        </is>
      </c>
      <c r="C218" s="6" t="inlineStr">
        <is>
          <t>2025Q3</t>
        </is>
      </c>
      <c r="D218" s="6" t="inlineStr">
        <is>
          <t>20251112</t>
        </is>
      </c>
      <c r="E218" s="16" t="n">
        <v>2885</v>
      </c>
      <c r="F218" s="16" t="n">
        <v>2885</v>
      </c>
      <c r="G218" s="16" t="n">
        <v>0</v>
      </c>
      <c r="H218" s="6" t="inlineStr">
        <is>
          <t>백만원</t>
        </is>
      </c>
      <c r="I218" s="17" t="inlineStr"/>
      <c r="J218" s="18" t="n">
        <v>0</v>
      </c>
      <c r="K218" s="19" t="n">
        <v>0</v>
      </c>
      <c r="L218" s="18" t="n">
        <v>0</v>
      </c>
      <c r="M218" s="19" t="n">
        <v>0</v>
      </c>
      <c r="N218" s="18" t="n">
        <v>764</v>
      </c>
      <c r="O218" s="19" t="n">
        <v>0</v>
      </c>
      <c r="P218" s="18" t="n">
        <v>0</v>
      </c>
      <c r="Q218" s="19" t="inlineStr"/>
      <c r="R218" s="18" t="inlineStr"/>
      <c r="S218" s="20" t="inlineStr"/>
      <c r="T218" s="6" t="n">
        <v>1</v>
      </c>
      <c r="U218" s="5" t="inlineStr">
        <is>
          <t>반도체 검사장비 / 2025.06.27 / 2025.0</t>
        </is>
      </c>
      <c r="V218" s="21">
        <f>HYPERLINK("https://dart.fss.or.kr/dsaf001/main.do?rcpNo=20251112000133", "공시열람")</f>
        <v/>
      </c>
    </row>
    <row r="219">
      <c r="A219" s="5" t="inlineStr">
        <is>
          <t>이구산업</t>
        </is>
      </c>
      <c r="B219" s="6" t="inlineStr">
        <is>
          <t>025820</t>
        </is>
      </c>
      <c r="C219" s="6" t="inlineStr">
        <is>
          <t>2026Q2</t>
        </is>
      </c>
      <c r="D219" s="6" t="inlineStr">
        <is>
          <t>20260930</t>
        </is>
      </c>
      <c r="E219" s="16" t="n">
        <v>396106</v>
      </c>
      <c r="F219" s="16" t="n">
        <v>339198</v>
      </c>
      <c r="G219" s="16" t="n">
        <v>56908</v>
      </c>
      <c r="H219" s="6" t="inlineStr">
        <is>
          <t>TON/백만원</t>
        </is>
      </c>
      <c r="I219" s="17" t="n">
        <v>58.7</v>
      </c>
      <c r="J219" s="18" t="n">
        <v>20380</v>
      </c>
      <c r="K219" s="19" t="n">
        <v>35107</v>
      </c>
      <c r="L219" s="18" t="n">
        <v>32330</v>
      </c>
      <c r="M219" s="19" t="n">
        <v>32088</v>
      </c>
      <c r="N219" s="18" t="n">
        <v>29793</v>
      </c>
      <c r="O219" s="19" t="n">
        <v>44222</v>
      </c>
      <c r="P219" s="18" t="n">
        <v>36952</v>
      </c>
      <c r="Q219" s="19" t="n">
        <v>37371</v>
      </c>
      <c r="R219" s="18" t="n">
        <v>35859</v>
      </c>
      <c r="S219" s="20" t="n">
        <v>56908</v>
      </c>
      <c r="T219" s="6" t="n">
        <v>1</v>
      </c>
      <c r="U219" s="5" t="inlineStr">
        <is>
          <t>동 및 황동판, 조 / - / 2026.01~2026.</t>
        </is>
      </c>
      <c r="V219" s="21">
        <f>HYPERLINK("https://dart.fss.or.kr/dsaf001/main.do?rcpNo=20260930000239", "공시열람")</f>
        <v/>
      </c>
    </row>
    <row r="220">
      <c r="A220" s="5" t="inlineStr">
        <is>
          <t>남해화학</t>
        </is>
      </c>
      <c r="B220" s="6" t="inlineStr">
        <is>
          <t>025860</t>
        </is>
      </c>
      <c r="C220" s="6" t="inlineStr">
        <is>
          <t>2026Q2</t>
        </is>
      </c>
      <c r="D220" s="6" t="inlineStr">
        <is>
          <t>20260814</t>
        </is>
      </c>
      <c r="E220" s="16" t="n">
        <v>352915</v>
      </c>
      <c r="F220" s="16" t="n">
        <v>208407</v>
      </c>
      <c r="G220" s="16" t="n">
        <v>144508</v>
      </c>
      <c r="H220" s="6" t="inlineStr">
        <is>
          <t>천톤,백만원</t>
        </is>
      </c>
      <c r="I220" s="17" t="n">
        <v>-32.1</v>
      </c>
      <c r="J220" s="18" t="n">
        <v>241652</v>
      </c>
      <c r="K220" s="19" t="n">
        <v>143973</v>
      </c>
      <c r="L220" s="18" t="n">
        <v>115241</v>
      </c>
      <c r="M220" s="19" t="n">
        <v>83375</v>
      </c>
      <c r="N220" s="18" t="n">
        <v>203179</v>
      </c>
      <c r="O220" s="19" t="n">
        <v>113109</v>
      </c>
      <c r="P220" s="18" t="n">
        <v>76530</v>
      </c>
      <c r="Q220" s="19" t="n">
        <v>37482</v>
      </c>
      <c r="R220" s="18" t="n">
        <v>212854</v>
      </c>
      <c r="S220" s="20" t="n">
        <v>144508</v>
      </c>
      <c r="T220" s="6" t="n">
        <v>1</v>
      </c>
      <c r="U220" s="5" t="inlineStr">
        <is>
          <t>비료 / 2026.02.06 / 2026.01.01~2</t>
        </is>
      </c>
      <c r="V220" s="21">
        <f>HYPERLINK("https://dart.fss.or.kr/dsaf001/main.do?rcpNo=20260814001191", "공시열람")</f>
        <v/>
      </c>
    </row>
    <row r="221">
      <c r="A221" s="5" t="inlineStr">
        <is>
          <t>한국주강</t>
        </is>
      </c>
      <c r="B221" s="6" t="inlineStr">
        <is>
          <t>025890</t>
        </is>
      </c>
      <c r="C221" s="6" t="inlineStr">
        <is>
          <t>2026Q2</t>
        </is>
      </c>
      <c r="D221" s="6" t="inlineStr">
        <is>
          <t>20260814</t>
        </is>
      </c>
      <c r="E221" s="16" t="n">
        <v>53170958</v>
      </c>
      <c r="F221" s="16" t="n">
        <v>19902218</v>
      </c>
      <c r="G221" s="16" t="n">
        <v>33268740</v>
      </c>
      <c r="H221" s="6" t="inlineStr">
        <is>
          <t>톤,천원</t>
        </is>
      </c>
      <c r="I221" s="17" t="n">
        <v>15.3</v>
      </c>
      <c r="J221" s="18" t="n">
        <v>19802488</v>
      </c>
      <c r="K221" s="19" t="n">
        <v>21190209</v>
      </c>
      <c r="L221" s="18" t="n">
        <v>16041054</v>
      </c>
      <c r="M221" s="19" t="n">
        <v>17822295</v>
      </c>
      <c r="N221" s="18" t="n">
        <v>22948849</v>
      </c>
      <c r="O221" s="19" t="n">
        <v>18913287</v>
      </c>
      <c r="P221" s="18" t="n">
        <v>21448973</v>
      </c>
      <c r="Q221" s="19" t="n">
        <v>25208107</v>
      </c>
      <c r="R221" s="18" t="n">
        <v>28852726</v>
      </c>
      <c r="S221" s="20" t="n">
        <v>33268740</v>
      </c>
      <c r="T221" s="6" t="n">
        <v>3</v>
      </c>
      <c r="U221" s="5" t="inlineStr">
        <is>
          <t>주강품 / - | 압축분철제조 / - | 기타 / -</t>
        </is>
      </c>
      <c r="V221" s="21">
        <f>HYPERLINK("https://dart.fss.or.kr/dsaf001/main.do?rcpNo=20260814003729", "공시열람")</f>
        <v/>
      </c>
    </row>
    <row r="222">
      <c r="A222" s="5" t="inlineStr">
        <is>
          <t>동신건설</t>
        </is>
      </c>
      <c r="B222" s="6" t="inlineStr">
        <is>
          <t>025950</t>
        </is>
      </c>
      <c r="C222" s="6" t="inlineStr">
        <is>
          <t>2026Q2</t>
        </is>
      </c>
      <c r="D222" s="6" t="inlineStr">
        <is>
          <t>20260814</t>
        </is>
      </c>
      <c r="E222" s="16" t="inlineStr"/>
      <c r="F222" s="16" t="inlineStr"/>
      <c r="G222" s="16" t="n">
        <v>128044482</v>
      </c>
      <c r="H222" s="6" t="inlineStr">
        <is>
          <t>천원</t>
        </is>
      </c>
      <c r="I222" s="17" t="n">
        <v>-5.5</v>
      </c>
      <c r="J222" s="18" t="n">
        <v>101016315</v>
      </c>
      <c r="K222" s="19" t="n">
        <v>91104472</v>
      </c>
      <c r="L222" s="18" t="n">
        <v>147286715</v>
      </c>
      <c r="M222" s="19" t="n">
        <v>142602331</v>
      </c>
      <c r="N222" s="18" t="n">
        <v>140190135</v>
      </c>
      <c r="O222" s="19" t="n">
        <v>137380810</v>
      </c>
      <c r="P222" s="18" t="n">
        <v>131247450</v>
      </c>
      <c r="Q222" s="19" t="n">
        <v>136539462</v>
      </c>
      <c r="R222" s="18" t="n">
        <v>135546673</v>
      </c>
      <c r="S222" s="20" t="n">
        <v>128044482</v>
      </c>
      <c r="T222" s="6" t="n">
        <v>18</v>
      </c>
      <c r="U222" s="5" t="inlineStr">
        <is>
          <t>동부간선도로지하화민간투자사업 / 동서울지하도로(주) | 평택~부여~익산(서부내륙)고속도로민자사업2단계 / 서부 | 순창인계-쌍치(1공구)도로시설개량공사 / 익산지방국토관</t>
        </is>
      </c>
      <c r="V222" s="21">
        <f>HYPERLINK("https://dart.fss.or.kr/dsaf001/main.do?rcpNo=20260814001010", "공시열람")</f>
        <v/>
      </c>
    </row>
    <row r="223">
      <c r="A223" s="5" t="inlineStr">
        <is>
          <t>삼성E&amp;A</t>
        </is>
      </c>
      <c r="B223" s="6" t="inlineStr">
        <is>
          <t>028050</t>
        </is>
      </c>
      <c r="C223" s="6" t="inlineStr">
        <is>
          <t>2026Q2</t>
        </is>
      </c>
      <c r="D223" s="6" t="inlineStr">
        <is>
          <t>20260814</t>
        </is>
      </c>
      <c r="E223" s="16" t="n">
        <v>678759</v>
      </c>
      <c r="F223" s="16" t="n">
        <v>476885</v>
      </c>
      <c r="G223" s="16" t="n">
        <v>201874</v>
      </c>
      <c r="H223" s="6" t="inlineStr">
        <is>
          <t>억원</t>
        </is>
      </c>
      <c r="I223" s="17" t="n">
        <v>30.7</v>
      </c>
      <c r="J223" s="18" t="n">
        <v>126252</v>
      </c>
      <c r="K223" s="19" t="n">
        <v>211199</v>
      </c>
      <c r="L223" s="18" t="n">
        <v>193458</v>
      </c>
      <c r="M223" s="19" t="n">
        <v>175339</v>
      </c>
      <c r="N223" s="18" t="n">
        <v>197574</v>
      </c>
      <c r="O223" s="19" t="n">
        <v>167556</v>
      </c>
      <c r="P223" s="18" t="n">
        <v>165126</v>
      </c>
      <c r="Q223" s="19" t="n">
        <v>160671</v>
      </c>
      <c r="R223" s="18" t="n">
        <v>154480</v>
      </c>
      <c r="S223" s="20" t="n">
        <v>201874</v>
      </c>
      <c r="T223" s="6" t="n">
        <v>53</v>
      </c>
      <c r="U223" s="5" t="inlineStr">
        <is>
          <t>해외 / SAUDI ARABIAN OIL COMPANY | 국내민간 / 삼성전자주식회사 / 평택 전자 P5-PJT | 해외 / QatarEnergy / 카타르 RLP 2 P</t>
        </is>
      </c>
      <c r="V223" s="21">
        <f>HYPERLINK("https://dart.fss.or.kr/dsaf001/main.do?rcpNo=20260814003428", "공시열람")</f>
        <v/>
      </c>
    </row>
    <row r="224">
      <c r="A224" s="5" t="inlineStr">
        <is>
          <t>동아지질</t>
        </is>
      </c>
      <c r="B224" s="6" t="inlineStr">
        <is>
          <t>028100</t>
        </is>
      </c>
      <c r="C224" s="6" t="inlineStr">
        <is>
          <t>2026Q2</t>
        </is>
      </c>
      <c r="D224" s="6" t="inlineStr">
        <is>
          <t>20260814</t>
        </is>
      </c>
      <c r="E224" s="16" t="n">
        <v>2424256</v>
      </c>
      <c r="F224" s="16" t="n">
        <v>1624169</v>
      </c>
      <c r="G224" s="16" t="n">
        <v>800087</v>
      </c>
      <c r="H224" s="6" t="inlineStr">
        <is>
          <t>백만원</t>
        </is>
      </c>
      <c r="I224" s="17" t="n">
        <v>0.4</v>
      </c>
      <c r="J224" s="18" t="n">
        <v>1103822</v>
      </c>
      <c r="K224" s="19" t="n">
        <v>1102156</v>
      </c>
      <c r="L224" s="18" t="n">
        <v>1026966</v>
      </c>
      <c r="M224" s="19" t="n">
        <v>1052125</v>
      </c>
      <c r="N224" s="18" t="n">
        <v>1040630</v>
      </c>
      <c r="O224" s="19" t="n">
        <v>957698</v>
      </c>
      <c r="P224" s="18" t="n">
        <v>909034</v>
      </c>
      <c r="Q224" s="19" t="n">
        <v>860522</v>
      </c>
      <c r="R224" s="18" t="n">
        <v>797075</v>
      </c>
      <c r="S224" s="20" t="n">
        <v>800087</v>
      </c>
      <c r="T224" s="6" t="n">
        <v>20</v>
      </c>
      <c r="U224" s="5" t="inlineStr">
        <is>
          <t>(싱가폴)창이공항 터미널5 Package B / 지반개 | 싱가폴 LTA / (싱가폴)CRL CR108 / 202 | 싱가폴 LTA / (싱가폴)CRL CR106 / 202</t>
        </is>
      </c>
      <c r="V224" s="21">
        <f>HYPERLINK("https://dart.fss.or.kr/dsaf001/main.do?rcpNo=20260814003080", "공시열람")</f>
        <v/>
      </c>
    </row>
    <row r="225">
      <c r="A225" s="5" t="inlineStr">
        <is>
          <t>삼성물산</t>
        </is>
      </c>
      <c r="B225" s="6" t="inlineStr">
        <is>
          <t>028260</t>
        </is>
      </c>
      <c r="C225" s="6" t="inlineStr">
        <is>
          <t>2026Q2</t>
        </is>
      </c>
      <c r="D225" s="6" t="inlineStr">
        <is>
          <t>20260814</t>
        </is>
      </c>
      <c r="E225" s="16" t="n">
        <v>98687631</v>
      </c>
      <c r="F225" s="16" t="n">
        <v>64442154</v>
      </c>
      <c r="G225" s="16" t="n">
        <v>34245477</v>
      </c>
      <c r="H225" s="6" t="inlineStr">
        <is>
          <t>백만원</t>
        </is>
      </c>
      <c r="I225" s="17" t="n">
        <v>7.9</v>
      </c>
      <c r="J225" s="18" t="n">
        <v>24981055</v>
      </c>
      <c r="K225" s="19" t="n">
        <v>24841144</v>
      </c>
      <c r="L225" s="18" t="n">
        <v>23587679</v>
      </c>
      <c r="M225" s="19" t="n">
        <v>27714965</v>
      </c>
      <c r="N225" s="18" t="n">
        <v>27546358</v>
      </c>
      <c r="O225" s="19" t="n">
        <v>25512527</v>
      </c>
      <c r="P225" s="18" t="n">
        <v>29679701</v>
      </c>
      <c r="Q225" s="19" t="n">
        <v>29497804</v>
      </c>
      <c r="R225" s="18" t="n">
        <v>31726646</v>
      </c>
      <c r="S225" s="20" t="n">
        <v>34245477</v>
      </c>
      <c r="T225" s="6" t="n">
        <v>81</v>
      </c>
      <c r="U225" s="5" t="inlineStr">
        <is>
          <t>주택사업 / 기타 / 울산중구B04 외 3개 현장 | 건설사업 / (카타르) Sumitomo Corporat | 건설사업 / 삼성전자(주) / 평택 P5 신축공사</t>
        </is>
      </c>
      <c r="V225" s="21">
        <f>HYPERLINK("https://dart.fss.or.kr/dsaf001/main.do?rcpNo=20260814002969", "공시열람")</f>
        <v/>
      </c>
    </row>
    <row r="226">
      <c r="A226" s="5" t="inlineStr">
        <is>
          <t>HLB</t>
        </is>
      </c>
      <c r="B226" s="6" t="inlineStr">
        <is>
          <t>028300</t>
        </is>
      </c>
      <c r="C226" s="6" t="inlineStr">
        <is>
          <t>2026Q2</t>
        </is>
      </c>
      <c r="D226" s="6" t="inlineStr">
        <is>
          <t>20260814</t>
        </is>
      </c>
      <c r="E226" s="16" t="inlineStr"/>
      <c r="F226" s="16" t="n">
        <v>8458</v>
      </c>
      <c r="G226" s="16" t="n">
        <v>17613</v>
      </c>
      <c r="H226" s="6" t="inlineStr">
        <is>
          <t>백만원</t>
        </is>
      </c>
      <c r="I226" s="17" t="n">
        <v>10.6</v>
      </c>
      <c r="J226" s="18" t="n">
        <v>15911</v>
      </c>
      <c r="K226" s="19" t="n">
        <v>17764</v>
      </c>
      <c r="L226" s="18" t="n">
        <v>20760</v>
      </c>
      <c r="M226" s="19" t="n">
        <v>18100</v>
      </c>
      <c r="N226" s="18" t="n">
        <v>18177</v>
      </c>
      <c r="O226" s="19" t="n">
        <v>16666</v>
      </c>
      <c r="P226" s="18" t="n">
        <v>15964</v>
      </c>
      <c r="Q226" s="19" t="n">
        <v>12638</v>
      </c>
      <c r="R226" s="18" t="n">
        <v>15920</v>
      </c>
      <c r="S226" s="20" t="n">
        <v>17613</v>
      </c>
      <c r="T226" s="6" t="n">
        <v>2</v>
      </c>
      <c r="U226" s="5" t="inlineStr">
        <is>
          <t>파이프 | 선박</t>
        </is>
      </c>
      <c r="V226" s="21">
        <f>HYPERLINK("https://dart.fss.or.kr/dsaf001/main.do?rcpNo=20260814002713", "공시열람")</f>
        <v/>
      </c>
    </row>
    <row r="227">
      <c r="A227" s="5" t="inlineStr">
        <is>
          <t>NICE평가정보</t>
        </is>
      </c>
      <c r="B227" s="6" t="inlineStr">
        <is>
          <t>030190</t>
        </is>
      </c>
      <c r="C227" s="6" t="inlineStr">
        <is>
          <t>2026Q2</t>
        </is>
      </c>
      <c r="D227" s="6" t="inlineStr">
        <is>
          <t>20260813</t>
        </is>
      </c>
      <c r="E227" s="16" t="n">
        <v>48433</v>
      </c>
      <c r="F227" s="16" t="n">
        <v>24112</v>
      </c>
      <c r="G227" s="16" t="n">
        <v>24321</v>
      </c>
      <c r="H227" s="6" t="inlineStr">
        <is>
          <t>백만원</t>
        </is>
      </c>
      <c r="I227" s="17" t="n">
        <v>28.9</v>
      </c>
      <c r="J227" s="18" t="n">
        <v>11879</v>
      </c>
      <c r="K227" s="19" t="n">
        <v>19303</v>
      </c>
      <c r="L227" s="18" t="n">
        <v>17452</v>
      </c>
      <c r="M227" s="19" t="n">
        <v>16019</v>
      </c>
      <c r="N227" s="18" t="n">
        <v>19397</v>
      </c>
      <c r="O227" s="19" t="n">
        <v>18591</v>
      </c>
      <c r="P227" s="18" t="n">
        <v>28827</v>
      </c>
      <c r="Q227" s="19" t="n">
        <v>23066</v>
      </c>
      <c r="R227" s="18" t="n">
        <v>18868</v>
      </c>
      <c r="S227" s="20" t="n">
        <v>24321</v>
      </c>
      <c r="T227" s="6" t="n">
        <v>2</v>
      </c>
      <c r="U227" s="5" t="inlineStr">
        <is>
          <t>정보 사업 / CRMS 모형개발 등 기업 컨설팅 / 2 | 정보 사업 / CSS 모형개발 등 솔루션 컨설팅 / 2</t>
        </is>
      </c>
      <c r="V227" s="21">
        <f>HYPERLINK("https://dart.fss.or.kr/dsaf001/main.do?rcpNo=20260813000967", "공시열람")</f>
        <v/>
      </c>
    </row>
    <row r="228">
      <c r="A228" s="5" t="inlineStr">
        <is>
          <t>케이티</t>
        </is>
      </c>
      <c r="B228" s="6" t="inlineStr">
        <is>
          <t>030200</t>
        </is>
      </c>
      <c r="C228" s="6" t="inlineStr">
        <is>
          <t>2026Q2</t>
        </is>
      </c>
      <c r="D228" s="6" t="inlineStr">
        <is>
          <t>20260814</t>
        </is>
      </c>
      <c r="E228" s="16" t="n">
        <v>817315</v>
      </c>
      <c r="F228" s="16" t="n">
        <v>341857</v>
      </c>
      <c r="G228" s="16" t="n">
        <v>475458</v>
      </c>
      <c r="H228" s="6" t="inlineStr">
        <is>
          <t>백만원,%</t>
        </is>
      </c>
      <c r="I228" s="17" t="n">
        <v>14000.2</v>
      </c>
      <c r="J228" s="18" t="n">
        <v>67072</v>
      </c>
      <c r="K228" s="19" t="n">
        <v>150860</v>
      </c>
      <c r="L228" s="18" t="n">
        <v>75745</v>
      </c>
      <c r="M228" s="19" t="n">
        <v>595154</v>
      </c>
      <c r="N228" s="18" t="n">
        <v>142949</v>
      </c>
      <c r="O228" s="19" t="n">
        <v>295172</v>
      </c>
      <c r="P228" s="18" t="n">
        <v>210013</v>
      </c>
      <c r="Q228" s="19" t="n">
        <v>3372</v>
      </c>
      <c r="R228" s="18" t="n">
        <v>3372</v>
      </c>
      <c r="S228" s="20" t="n">
        <v>475458</v>
      </c>
      <c r="T228" s="6" t="n">
        <v>2</v>
      </c>
      <c r="U228" s="5" t="inlineStr">
        <is>
          <t>대전 둔산 엘리프 더센트럴 / 2024.12.09 | 수원 영통역 오피스텔 / 2026.04.24</t>
        </is>
      </c>
      <c r="V228" s="21">
        <f>HYPERLINK("https://dart.fss.or.kr/dsaf001/main.do?rcpNo=20260814003463", "공시열람")</f>
        <v/>
      </c>
    </row>
    <row r="229">
      <c r="A229" s="5" t="inlineStr">
        <is>
          <t>원익홀딩스</t>
        </is>
      </c>
      <c r="B229" s="6" t="inlineStr">
        <is>
          <t>030530</t>
        </is>
      </c>
      <c r="C229" s="6" t="inlineStr">
        <is>
          <t>2026Q2</t>
        </is>
      </c>
      <c r="D229" s="6" t="inlineStr">
        <is>
          <t>20260814</t>
        </is>
      </c>
      <c r="E229" s="16" t="n">
        <v>1197393</v>
      </c>
      <c r="F229" s="16" t="n">
        <v>562803</v>
      </c>
      <c r="G229" s="16" t="n">
        <v>634590</v>
      </c>
      <c r="H229" s="6" t="inlineStr">
        <is>
          <t>백만원</t>
        </is>
      </c>
      <c r="I229" s="17" t="n">
        <v>41.5</v>
      </c>
      <c r="J229" s="18" t="n">
        <v>198735</v>
      </c>
      <c r="K229" s="19" t="n">
        <v>169638</v>
      </c>
      <c r="L229" s="18" t="n">
        <v>246252</v>
      </c>
      <c r="M229" s="19" t="n">
        <v>201965</v>
      </c>
      <c r="N229" s="18" t="n">
        <v>159126</v>
      </c>
      <c r="O229" s="19" t="n">
        <v>98577</v>
      </c>
      <c r="P229" s="18" t="n">
        <v>81274</v>
      </c>
      <c r="Q229" s="19" t="n">
        <v>409224</v>
      </c>
      <c r="R229" s="18" t="n">
        <v>448394</v>
      </c>
      <c r="S229" s="20" t="n">
        <v>634590</v>
      </c>
      <c r="T229" s="6" t="n">
        <v>1</v>
      </c>
      <c r="U229" s="5" t="inlineStr">
        <is>
          <t>반도체/Display 장비 / 2026년 반기 / -</t>
        </is>
      </c>
      <c r="V229" s="21">
        <f>HYPERLINK("https://dart.fss.or.kr/dsaf001/main.do?rcpNo=20260814003849", "공시열람")</f>
        <v/>
      </c>
    </row>
    <row r="230">
      <c r="A230" s="5" t="inlineStr">
        <is>
          <t>아이티센씨티에스</t>
        </is>
      </c>
      <c r="B230" s="6" t="inlineStr">
        <is>
          <t>031820</t>
        </is>
      </c>
      <c r="C230" s="6" t="inlineStr">
        <is>
          <t>2024Q2</t>
        </is>
      </c>
      <c r="D230" s="6" t="inlineStr">
        <is>
          <t>20240814</t>
        </is>
      </c>
      <c r="E230" s="16" t="inlineStr"/>
      <c r="F230" s="16" t="inlineStr"/>
      <c r="G230" s="16" t="n">
        <v>1943817</v>
      </c>
      <c r="H230" s="6" t="inlineStr">
        <is>
          <t>천원</t>
        </is>
      </c>
      <c r="I230" s="17" t="n">
        <v>-9.9</v>
      </c>
      <c r="J230" s="18" t="n">
        <v>2158593</v>
      </c>
      <c r="K230" s="19" t="n">
        <v>1943817</v>
      </c>
      <c r="L230" s="18" t="inlineStr"/>
      <c r="M230" s="19" t="inlineStr"/>
      <c r="N230" s="18" t="inlineStr"/>
      <c r="O230" s="19" t="inlineStr"/>
      <c r="P230" s="18" t="inlineStr"/>
      <c r="Q230" s="19" t="inlineStr"/>
      <c r="R230" s="18" t="inlineStr"/>
      <c r="S230" s="20" t="inlineStr"/>
      <c r="T230" s="6" t="n">
        <v>2</v>
      </c>
      <c r="U230" s="5" t="inlineStr">
        <is>
          <t>기초 | 반기말 순장부금액</t>
        </is>
      </c>
      <c r="V230" s="21">
        <f>HYPERLINK("https://dart.fss.or.kr/dsaf001/main.do?rcpNo=20240814001897", "공시열람")</f>
        <v/>
      </c>
    </row>
    <row r="231">
      <c r="A231" s="5" t="inlineStr">
        <is>
          <t>아즈텍WB</t>
        </is>
      </c>
      <c r="B231" s="6" t="inlineStr">
        <is>
          <t>032080</t>
        </is>
      </c>
      <c r="C231" s="6" t="inlineStr">
        <is>
          <t>2026Q2</t>
        </is>
      </c>
      <c r="D231" s="6" t="inlineStr">
        <is>
          <t>20260814</t>
        </is>
      </c>
      <c r="E231" s="16" t="n">
        <v>24118</v>
      </c>
      <c r="F231" s="16" t="n">
        <v>10607</v>
      </c>
      <c r="G231" s="16" t="n">
        <v>13511</v>
      </c>
      <c r="H231" s="6" t="inlineStr">
        <is>
          <t>YD,PCS,백만원</t>
        </is>
      </c>
      <c r="I231" s="17" t="n">
        <v>2.5</v>
      </c>
      <c r="J231" s="18" t="n">
        <v>13220</v>
      </c>
      <c r="K231" s="19" t="n">
        <v>13215</v>
      </c>
      <c r="L231" s="18" t="n">
        <v>10094</v>
      </c>
      <c r="M231" s="19" t="n">
        <v>9281</v>
      </c>
      <c r="N231" s="18" t="n">
        <v>8159</v>
      </c>
      <c r="O231" s="19" t="n">
        <v>14975</v>
      </c>
      <c r="P231" s="18" t="n">
        <v>11933</v>
      </c>
      <c r="Q231" s="19" t="n">
        <v>11583</v>
      </c>
      <c r="R231" s="18" t="n">
        <v>13182</v>
      </c>
      <c r="S231" s="20" t="n">
        <v>13511</v>
      </c>
      <c r="T231" s="6" t="n">
        <v>2</v>
      </c>
      <c r="U231" s="5" t="inlineStr">
        <is>
          <t>직물 / 2026.01 ~ 2026.06 / 2026. | 의류 / 2026.01 ~ 2026.06 / 2026.</t>
        </is>
      </c>
      <c r="V231" s="21">
        <f>HYPERLINK("https://dart.fss.or.kr/dsaf001/main.do?rcpNo=20260814002462", "공시열람")</f>
        <v/>
      </c>
    </row>
    <row r="232">
      <c r="A232" s="5" t="inlineStr">
        <is>
          <t>다우데이타</t>
        </is>
      </c>
      <c r="B232" s="6" t="inlineStr">
        <is>
          <t>032190</t>
        </is>
      </c>
      <c r="C232" s="6" t="inlineStr">
        <is>
          <t>2026Q2</t>
        </is>
      </c>
      <c r="D232" s="6" t="inlineStr">
        <is>
          <t>20260814</t>
        </is>
      </c>
      <c r="E232" s="16" t="n">
        <v>38135</v>
      </c>
      <c r="F232" s="16" t="n">
        <v>28289</v>
      </c>
      <c r="G232" s="16" t="n">
        <v>9846</v>
      </c>
      <c r="H232" s="6" t="inlineStr">
        <is>
          <t>백만원</t>
        </is>
      </c>
      <c r="I232" s="17" t="n">
        <v>-31</v>
      </c>
      <c r="J232" s="18" t="n">
        <v>11147</v>
      </c>
      <c r="K232" s="19" t="n">
        <v>11147</v>
      </c>
      <c r="L232" s="18" t="n">
        <v>9814</v>
      </c>
      <c r="M232" s="19" t="n">
        <v>17796</v>
      </c>
      <c r="N232" s="18" t="n">
        <v>12681</v>
      </c>
      <c r="O232" s="19" t="n">
        <v>28087</v>
      </c>
      <c r="P232" s="18" t="n">
        <v>20887</v>
      </c>
      <c r="Q232" s="19" t="n">
        <v>19928</v>
      </c>
      <c r="R232" s="18" t="n">
        <v>14265</v>
      </c>
      <c r="S232" s="20" t="n">
        <v>9846</v>
      </c>
      <c r="T232" s="6" t="n">
        <v>17</v>
      </c>
      <c r="U232" s="5" t="inlineStr">
        <is>
          <t>시스템구축본부 / 해외주식 유니버스 프로젝트 / 202 | 시스템구축본부 / 목적서버 U2L 3차 프로젝트 / 2 | 시스템구축본부 / 퇴직연금 시스템 구축 프로젝트 / 2</t>
        </is>
      </c>
      <c r="V232" s="21">
        <f>HYPERLINK("https://dart.fss.or.kr/dsaf001/main.do?rcpNo=20260814004039", "공시열람")</f>
        <v/>
      </c>
    </row>
    <row r="233">
      <c r="A233" s="5" t="inlineStr">
        <is>
          <t>케이엠더블유</t>
        </is>
      </c>
      <c r="B233" s="6" t="inlineStr">
        <is>
          <t>032500</t>
        </is>
      </c>
      <c r="C233" s="6" t="inlineStr">
        <is>
          <t>2026Q2</t>
        </is>
      </c>
      <c r="D233" s="6" t="inlineStr">
        <is>
          <t>20260814</t>
        </is>
      </c>
      <c r="E233" s="16" t="n">
        <v>212680</v>
      </c>
      <c r="F233" s="16" t="n">
        <v>212680</v>
      </c>
      <c r="G233" s="16" t="n">
        <v>0</v>
      </c>
      <c r="H233" s="6" t="inlineStr">
        <is>
          <t>백만원</t>
        </is>
      </c>
      <c r="I233" s="17" t="inlineStr"/>
      <c r="J233" s="18" t="n">
        <v>4382</v>
      </c>
      <c r="K233" s="19" t="n">
        <v>4682</v>
      </c>
      <c r="L233" s="18" t="n">
        <v>4682</v>
      </c>
      <c r="M233" s="19" t="n">
        <v>0</v>
      </c>
      <c r="N233" s="18" t="n">
        <v>0</v>
      </c>
      <c r="O233" s="19" t="n">
        <v>0</v>
      </c>
      <c r="P233" s="18" t="n">
        <v>0</v>
      </c>
      <c r="Q233" s="19" t="n">
        <v>0</v>
      </c>
      <c r="R233" s="18" t="n">
        <v>0</v>
      </c>
      <c r="S233" s="20" t="n">
        <v>0</v>
      </c>
      <c r="T233" s="6" t="n">
        <v>5</v>
      </c>
      <c r="U233" s="5" t="inlineStr">
        <is>
          <t>ZTE향 5G용 통신장비(MBF) 공급계약 / 19.0 | ZTE향 5G용 통신장비(MBF) 공급계약 / 19.0 | 4G 기지국 장비(RRA, RTS) 공급 / 20.03</t>
        </is>
      </c>
      <c r="V233" s="21">
        <f>HYPERLINK("https://dart.fss.or.kr/dsaf001/main.do?rcpNo=20260814003461", "공시열람")</f>
        <v/>
      </c>
    </row>
    <row r="234">
      <c r="A234" s="5" t="inlineStr">
        <is>
          <t>황금에스티</t>
        </is>
      </c>
      <c r="B234" s="6" t="inlineStr">
        <is>
          <t>032560</t>
        </is>
      </c>
      <c r="C234" s="6" t="inlineStr">
        <is>
          <t>2026Q2</t>
        </is>
      </c>
      <c r="D234" s="6" t="inlineStr">
        <is>
          <t>20260814</t>
        </is>
      </c>
      <c r="E234" s="16" t="n">
        <v>156666</v>
      </c>
      <c r="F234" s="16" t="n">
        <v>56941</v>
      </c>
      <c r="G234" s="16" t="n">
        <v>99725</v>
      </c>
      <c r="H234" s="6" t="inlineStr">
        <is>
          <t>백만원</t>
        </is>
      </c>
      <c r="I234" s="17" t="n">
        <v>-19.6</v>
      </c>
      <c r="J234" s="18" t="n">
        <v>154706</v>
      </c>
      <c r="K234" s="19" t="n">
        <v>124289</v>
      </c>
      <c r="L234" s="18" t="n">
        <v>115315</v>
      </c>
      <c r="M234" s="19" t="n">
        <v>109703</v>
      </c>
      <c r="N234" s="18" t="n">
        <v>104455</v>
      </c>
      <c r="O234" s="19" t="n">
        <v>96840</v>
      </c>
      <c r="P234" s="18" t="n">
        <v>133630</v>
      </c>
      <c r="Q234" s="19" t="n">
        <v>121534</v>
      </c>
      <c r="R234" s="18" t="n">
        <v>124070</v>
      </c>
      <c r="S234" s="20" t="n">
        <v>99725</v>
      </c>
      <c r="T234" s="6" t="n">
        <v>1</v>
      </c>
      <c r="U234" s="5" t="inlineStr">
        <is>
          <t>자연재해위험개선지구(문막교) 정비사업 / 2021-10</t>
        </is>
      </c>
      <c r="V234" s="21">
        <f>HYPERLINK("https://dart.fss.or.kr/dsaf001/main.do?rcpNo=20260814001151", "공시열람")</f>
        <v/>
      </c>
    </row>
    <row r="235">
      <c r="A235" s="5" t="inlineStr">
        <is>
          <t>피델릭스</t>
        </is>
      </c>
      <c r="B235" s="6" t="inlineStr">
        <is>
          <t>032580</t>
        </is>
      </c>
      <c r="C235" s="6" t="inlineStr">
        <is>
          <t>2026Q2</t>
        </is>
      </c>
      <c r="D235" s="6" t="inlineStr">
        <is>
          <t>20260930</t>
        </is>
      </c>
      <c r="E235" s="16" t="n">
        <v>105428</v>
      </c>
      <c r="F235" s="16" t="n">
        <v>10825</v>
      </c>
      <c r="G235" s="16" t="n">
        <v>94603</v>
      </c>
      <c r="H235" s="6" t="inlineStr">
        <is>
          <t>백만원,천개</t>
        </is>
      </c>
      <c r="I235" s="17" t="n">
        <v>90.5</v>
      </c>
      <c r="J235" s="18" t="n">
        <v>10729</v>
      </c>
      <c r="K235" s="19" t="n">
        <v>14271</v>
      </c>
      <c r="L235" s="18" t="n">
        <v>13635</v>
      </c>
      <c r="M235" s="19" t="n">
        <v>12515</v>
      </c>
      <c r="N235" s="18" t="n">
        <v>12520</v>
      </c>
      <c r="O235" s="19" t="n">
        <v>14267</v>
      </c>
      <c r="P235" s="18" t="n">
        <v>19035</v>
      </c>
      <c r="Q235" s="19" t="n">
        <v>25974</v>
      </c>
      <c r="R235" s="18" t="n">
        <v>49666</v>
      </c>
      <c r="S235" s="20" t="n">
        <v>94603</v>
      </c>
      <c r="T235" s="6" t="n">
        <v>1</v>
      </c>
      <c r="U235" s="5" t="inlineStr">
        <is>
          <t>Memory 반도체 / 24.11.01 ~26.06.3</t>
        </is>
      </c>
      <c r="V235" s="21">
        <f>HYPERLINK("https://dart.fss.or.kr/dsaf001/main.do?rcpNo=20260930000121", "공시열람")</f>
        <v/>
      </c>
    </row>
    <row r="236">
      <c r="A236" s="5" t="inlineStr">
        <is>
          <t>LG유플러스</t>
        </is>
      </c>
      <c r="B236" s="6" t="inlineStr">
        <is>
          <t>032640</t>
        </is>
      </c>
      <c r="C236" s="6" t="inlineStr">
        <is>
          <t>2025Q4</t>
        </is>
      </c>
      <c r="D236" s="6" t="inlineStr">
        <is>
          <t>20260313</t>
        </is>
      </c>
      <c r="E236" s="16" t="n">
        <v>70152</v>
      </c>
      <c r="F236" s="16" t="n">
        <v>70152</v>
      </c>
      <c r="G236" s="16" t="n">
        <v>0</v>
      </c>
      <c r="H236" s="6" t="inlineStr">
        <is>
          <t>백만원</t>
        </is>
      </c>
      <c r="I236" s="17" t="n">
        <v>-100</v>
      </c>
      <c r="J236" s="18" t="inlineStr"/>
      <c r="K236" s="19" t="inlineStr"/>
      <c r="L236" s="18" t="inlineStr"/>
      <c r="M236" s="19" t="n">
        <v>70152</v>
      </c>
      <c r="N236" s="18" t="inlineStr"/>
      <c r="O236" s="19" t="inlineStr"/>
      <c r="P236" s="18" t="inlineStr"/>
      <c r="Q236" s="19" t="n">
        <v>0</v>
      </c>
      <c r="R236" s="18" t="inlineStr"/>
      <c r="S236" s="20" t="inlineStr"/>
      <c r="T236" s="6" t="n">
        <v>1</v>
      </c>
      <c r="U236" s="5" t="inlineStr">
        <is>
          <t>스마트단말기 / '24.12.23 / '25.06.21</t>
        </is>
      </c>
      <c r="V236" s="21">
        <f>HYPERLINK("https://dart.fss.or.kr/dsaf001/main.do?rcpNo=20260313000442", "공시열람")</f>
        <v/>
      </c>
    </row>
    <row r="237">
      <c r="A237" s="5" t="inlineStr">
        <is>
          <t>소프트센</t>
        </is>
      </c>
      <c r="B237" s="6" t="inlineStr">
        <is>
          <t>032680</t>
        </is>
      </c>
      <c r="C237" s="6" t="inlineStr">
        <is>
          <t>2026Q2</t>
        </is>
      </c>
      <c r="D237" s="6" t="inlineStr">
        <is>
          <t>20260814</t>
        </is>
      </c>
      <c r="E237" s="16" t="n">
        <v>5400</v>
      </c>
      <c r="F237" s="16" t="n">
        <v>3242</v>
      </c>
      <c r="G237" s="16" t="n">
        <v>2158</v>
      </c>
      <c r="H237" s="6" t="inlineStr">
        <is>
          <t>백만원,%</t>
        </is>
      </c>
      <c r="I237" s="17" t="n">
        <v>0</v>
      </c>
      <c r="J237" s="18" t="n">
        <v>6192</v>
      </c>
      <c r="K237" s="19" t="n">
        <v>5334</v>
      </c>
      <c r="L237" s="18" t="n">
        <v>4441</v>
      </c>
      <c r="M237" s="19" t="n">
        <v>4853</v>
      </c>
      <c r="N237" s="18" t="n">
        <v>4853</v>
      </c>
      <c r="O237" s="19" t="n">
        <v>2158</v>
      </c>
      <c r="P237" s="18" t="n">
        <v>2158</v>
      </c>
      <c r="Q237" s="19" t="n">
        <v>2158</v>
      </c>
      <c r="R237" s="18" t="n">
        <v>2158</v>
      </c>
      <c r="S237" s="20" t="n">
        <v>2158</v>
      </c>
      <c r="T237" s="6" t="n">
        <v>2</v>
      </c>
      <c r="U237" s="5" t="inlineStr">
        <is>
          <t>검사장비 / 2023.04.27 / 2025.11.30 | 검사장비 / 2023.02.27 / 2025.09.30</t>
        </is>
      </c>
      <c r="V237" s="21">
        <f>HYPERLINK("https://dart.fss.or.kr/dsaf001/main.do?rcpNo=20260814002158", "공시열람")</f>
        <v/>
      </c>
    </row>
    <row r="238">
      <c r="A238" s="5" t="inlineStr">
        <is>
          <t>우리기술</t>
        </is>
      </c>
      <c r="B238" s="6" t="inlineStr">
        <is>
          <t>032820</t>
        </is>
      </c>
      <c r="C238" s="6" t="inlineStr">
        <is>
          <t>2026Q2</t>
        </is>
      </c>
      <c r="D238" s="6" t="inlineStr">
        <is>
          <t>20260814</t>
        </is>
      </c>
      <c r="E238" s="16" t="n">
        <v>199524724</v>
      </c>
      <c r="F238" s="16" t="n">
        <v>95309158</v>
      </c>
      <c r="G238" s="16" t="n">
        <v>104215566</v>
      </c>
      <c r="H238" s="6" t="inlineStr">
        <is>
          <t>천원</t>
        </is>
      </c>
      <c r="I238" s="17" t="n">
        <v>3.8</v>
      </c>
      <c r="J238" s="18" t="n">
        <v>88590954</v>
      </c>
      <c r="K238" s="19" t="n">
        <v>87940220</v>
      </c>
      <c r="L238" s="18" t="n">
        <v>97934210</v>
      </c>
      <c r="M238" s="19" t="n">
        <v>113162848</v>
      </c>
      <c r="N238" s="18" t="n">
        <v>89707731</v>
      </c>
      <c r="O238" s="19" t="n">
        <v>104380051</v>
      </c>
      <c r="P238" s="18" t="n">
        <v>97374231</v>
      </c>
      <c r="Q238" s="19" t="n">
        <v>106878443</v>
      </c>
      <c r="R238" s="18" t="n">
        <v>100360660</v>
      </c>
      <c r="S238" s="20" t="n">
        <v>104215566</v>
      </c>
      <c r="T238" s="6" t="n">
        <v>45</v>
      </c>
      <c r="U238" s="5" t="inlineStr">
        <is>
          <t>신한울3,4호기 DCS / 23.04.17 / 27.1 | 비안전계통 DCS / 24.11.15 / 26.12.3 | 한울1발 전산기 DAS 개선 / 26.05.18 / 2</t>
        </is>
      </c>
      <c r="V238" s="21">
        <f>HYPERLINK("https://dart.fss.or.kr/dsaf001/main.do?rcpNo=20260814003825", "공시열람")</f>
        <v/>
      </c>
    </row>
    <row r="239">
      <c r="A239" s="5" t="inlineStr">
        <is>
          <t>비트컴퓨터</t>
        </is>
      </c>
      <c r="B239" s="6" t="inlineStr">
        <is>
          <t>032850</t>
        </is>
      </c>
      <c r="C239" s="6" t="inlineStr">
        <is>
          <t>2026Q2</t>
        </is>
      </c>
      <c r="D239" s="6" t="inlineStr">
        <is>
          <t>20260814</t>
        </is>
      </c>
      <c r="E239" s="16" t="n">
        <v>16205170</v>
      </c>
      <c r="F239" s="16" t="n">
        <v>2500212</v>
      </c>
      <c r="G239" s="16" t="n">
        <v>13704958</v>
      </c>
      <c r="H239" s="6" t="inlineStr">
        <is>
          <t>천원</t>
        </is>
      </c>
      <c r="I239" s="17" t="n">
        <v>-5</v>
      </c>
      <c r="J239" s="18" t="n">
        <v>3295129</v>
      </c>
      <c r="K239" s="19" t="n">
        <v>1756508</v>
      </c>
      <c r="L239" s="18" t="n">
        <v>3298752</v>
      </c>
      <c r="M239" s="19" t="n">
        <v>2830746</v>
      </c>
      <c r="N239" s="18" t="n">
        <v>1469491</v>
      </c>
      <c r="O239" s="19" t="n">
        <v>10032927</v>
      </c>
      <c r="P239" s="18" t="n">
        <v>9986461</v>
      </c>
      <c r="Q239" s="19" t="n">
        <v>8417944</v>
      </c>
      <c r="R239" s="18" t="n">
        <v>14429555</v>
      </c>
      <c r="S239" s="20" t="n">
        <v>13704958</v>
      </c>
      <c r="T239" s="6" t="n">
        <v>5</v>
      </c>
      <c r="U239" s="5" t="inlineStr">
        <is>
          <t>라오스 UHS병원 병원정보시스템 공급 / 2025.05 | 병원정보시스템 구축 사업 / 2026.03.02 / 2 | 종합의료정보시스템 구축 / 2026.06.12 / 20</t>
        </is>
      </c>
      <c r="V239" s="21">
        <f>HYPERLINK("https://dart.fss.or.kr/dsaf001/main.do?rcpNo=20260814000526", "공시열람")</f>
        <v/>
      </c>
    </row>
    <row r="240">
      <c r="A240" s="5" t="inlineStr">
        <is>
          <t>제룡전기</t>
        </is>
      </c>
      <c r="B240" s="6" t="inlineStr">
        <is>
          <t>033100</t>
        </is>
      </c>
      <c r="C240" s="6" t="inlineStr">
        <is>
          <t>2026Q2</t>
        </is>
      </c>
      <c r="D240" s="6" t="inlineStr">
        <is>
          <t>20260813</t>
        </is>
      </c>
      <c r="E240" s="16" t="n">
        <v>211903</v>
      </c>
      <c r="F240" s="16" t="n">
        <v>70323</v>
      </c>
      <c r="G240" s="16" t="n">
        <v>141580</v>
      </c>
      <c r="H240" s="6" t="inlineStr">
        <is>
          <t>백만원</t>
        </is>
      </c>
      <c r="I240" s="17" t="n">
        <v>-7.6</v>
      </c>
      <c r="J240" s="18" t="n">
        <v>305567</v>
      </c>
      <c r="K240" s="19" t="n">
        <v>292992</v>
      </c>
      <c r="L240" s="18" t="n">
        <v>232679</v>
      </c>
      <c r="M240" s="19" t="n">
        <v>255603</v>
      </c>
      <c r="N240" s="18" t="n">
        <v>219456</v>
      </c>
      <c r="O240" s="19" t="n">
        <v>167438</v>
      </c>
      <c r="P240" s="18" t="n">
        <v>143828</v>
      </c>
      <c r="Q240" s="19" t="n">
        <v>150076</v>
      </c>
      <c r="R240" s="18" t="n">
        <v>153251</v>
      </c>
      <c r="S240" s="20" t="n">
        <v>141580</v>
      </c>
      <c r="T240" s="6" t="n">
        <v>1</v>
      </c>
      <c r="U240" s="5" t="inlineStr">
        <is>
          <t>변압기 등 / 2026.06.30까지</t>
        </is>
      </c>
      <c r="V240" s="21">
        <f>HYPERLINK("https://dart.fss.or.kr/dsaf001/main.do?rcpNo=20260813001320", "공시열람")</f>
        <v/>
      </c>
    </row>
    <row r="241">
      <c r="A241" s="5" t="inlineStr">
        <is>
          <t>디지틀조선</t>
        </is>
      </c>
      <c r="B241" s="6" t="inlineStr">
        <is>
          <t>033130</t>
        </is>
      </c>
      <c r="C241" s="6" t="inlineStr">
        <is>
          <t>2026Q2</t>
        </is>
      </c>
      <c r="D241" s="6" t="inlineStr">
        <is>
          <t>20260818</t>
        </is>
      </c>
      <c r="E241" s="16" t="n">
        <v>3825</v>
      </c>
      <c r="F241" s="16" t="n">
        <v>1677</v>
      </c>
      <c r="G241" s="16" t="n">
        <v>2147</v>
      </c>
      <c r="H241" s="6" t="inlineStr">
        <is>
          <t>백만원</t>
        </is>
      </c>
      <c r="I241" s="17" t="n">
        <v>-30.9</v>
      </c>
      <c r="J241" s="18" t="n">
        <v>6613</v>
      </c>
      <c r="K241" s="19" t="n">
        <v>3862</v>
      </c>
      <c r="L241" s="18" t="n">
        <v>2589</v>
      </c>
      <c r="M241" s="19" t="n">
        <v>208</v>
      </c>
      <c r="N241" s="18" t="n">
        <v>4825</v>
      </c>
      <c r="O241" s="19" t="n">
        <v>2556</v>
      </c>
      <c r="P241" s="18" t="n">
        <v>1396</v>
      </c>
      <c r="Q241" s="19" t="n">
        <v>235</v>
      </c>
      <c r="R241" s="18" t="n">
        <v>3105</v>
      </c>
      <c r="S241" s="20" t="n">
        <v>2147</v>
      </c>
      <c r="T241" s="6" t="n">
        <v>4</v>
      </c>
      <c r="U241" s="5" t="inlineStr">
        <is>
          <t>조선방송 웹사이트 운영 및 제작시스템 운영 / 2026 | CTS 소프트웨어 개발/유지보수/운영관리 / 2026. | 콘텐츠관리 업무 위탁 / 2026.01.01 / 202</t>
        </is>
      </c>
      <c r="V241" s="21">
        <f>HYPERLINK("https://dart.fss.or.kr/dsaf001/main.do?rcpNo=20260818000082", "공시열람")</f>
        <v/>
      </c>
    </row>
    <row r="242">
      <c r="A242" s="5" t="inlineStr">
        <is>
          <t>유나이티드</t>
        </is>
      </c>
      <c r="B242" s="6" t="inlineStr">
        <is>
          <t>033270</t>
        </is>
      </c>
      <c r="C242" s="6" t="inlineStr">
        <is>
          <t>2026Q2</t>
        </is>
      </c>
      <c r="D242" s="6" t="inlineStr">
        <is>
          <t>20260814</t>
        </is>
      </c>
      <c r="E242" s="16" t="n">
        <v>11515346</v>
      </c>
      <c r="F242" s="16" t="n">
        <v>11090618</v>
      </c>
      <c r="G242" s="16" t="n">
        <v>25058840</v>
      </c>
      <c r="H242" s="6" t="inlineStr">
        <is>
          <t>USD</t>
        </is>
      </c>
      <c r="I242" s="17" t="n">
        <v>-2.8</v>
      </c>
      <c r="J242" s="18" t="n">
        <v>24372032</v>
      </c>
      <c r="K242" s="19" t="n">
        <v>25369761</v>
      </c>
      <c r="L242" s="18" t="n">
        <v>24766853</v>
      </c>
      <c r="M242" s="19" t="n">
        <v>23669427</v>
      </c>
      <c r="N242" s="18" t="n">
        <v>23805381</v>
      </c>
      <c r="O242" s="19" t="n">
        <v>23632720</v>
      </c>
      <c r="P242" s="18" t="n">
        <v>23781149</v>
      </c>
      <c r="Q242" s="19" t="n">
        <v>24634112</v>
      </c>
      <c r="R242" s="18" t="n">
        <v>25785425</v>
      </c>
      <c r="S242" s="20" t="n">
        <v>25058840</v>
      </c>
      <c r="T242" s="6" t="n">
        <v>1</v>
      </c>
      <c r="U242" s="5" t="inlineStr">
        <is>
          <t>유토랄주 외의약품 수출 / 2026.01~ 2026.0</t>
        </is>
      </c>
      <c r="V242" s="21">
        <f>HYPERLINK("https://dart.fss.or.kr/dsaf001/main.do?rcpNo=20260814004008", "공시열람")</f>
        <v/>
      </c>
    </row>
    <row r="243">
      <c r="A243" s="5" t="inlineStr">
        <is>
          <t>동성화인텍</t>
        </is>
      </c>
      <c r="B243" s="6" t="inlineStr">
        <is>
          <t>033500</t>
        </is>
      </c>
      <c r="C243" s="6" t="inlineStr">
        <is>
          <t>2026Q2</t>
        </is>
      </c>
      <c r="D243" s="6" t="inlineStr">
        <is>
          <t>20260814</t>
        </is>
      </c>
      <c r="E243" s="16" t="n">
        <v>2417695</v>
      </c>
      <c r="F243" s="16" t="n">
        <v>376610</v>
      </c>
      <c r="G243" s="16" t="n">
        <v>2041085</v>
      </c>
      <c r="H243" s="6" t="inlineStr">
        <is>
          <t>백만원</t>
        </is>
      </c>
      <c r="I243" s="17" t="n">
        <v>-1.7</v>
      </c>
      <c r="J243" s="18" t="n">
        <v>2239241</v>
      </c>
      <c r="K243" s="19" t="n">
        <v>2134423</v>
      </c>
      <c r="L243" s="18" t="n">
        <v>1961903</v>
      </c>
      <c r="M243" s="19" t="n">
        <v>2463453</v>
      </c>
      <c r="N243" s="18" t="n">
        <v>2348386</v>
      </c>
      <c r="O243" s="19" t="n">
        <v>2029077</v>
      </c>
      <c r="P243" s="18" t="n">
        <v>2219631</v>
      </c>
      <c r="Q243" s="19" t="n">
        <v>2137675</v>
      </c>
      <c r="R243" s="18" t="n">
        <v>2076400</v>
      </c>
      <c r="S243" s="20" t="n">
        <v>2041085</v>
      </c>
      <c r="T243" s="6" t="n">
        <v>1</v>
      </c>
      <c r="U243" s="5" t="inlineStr">
        <is>
          <t>초저온보냉재 / -</t>
        </is>
      </c>
      <c r="V243" s="21">
        <f>HYPERLINK("https://dart.fss.or.kr/dsaf001/main.do?rcpNo=20260814002437", "공시열람")</f>
        <v/>
      </c>
    </row>
    <row r="244">
      <c r="A244" s="5" t="inlineStr">
        <is>
          <t>파라텍</t>
        </is>
      </c>
      <c r="B244" s="6" t="inlineStr">
        <is>
          <t>033540</t>
        </is>
      </c>
      <c r="C244" s="6" t="inlineStr">
        <is>
          <t>2026Q2</t>
        </is>
      </c>
      <c r="D244" s="6" t="inlineStr">
        <is>
          <t>20260813</t>
        </is>
      </c>
      <c r="E244" s="16" t="n">
        <v>73619</v>
      </c>
      <c r="F244" s="16" t="n">
        <v>51630</v>
      </c>
      <c r="G244" s="16" t="n">
        <v>21989</v>
      </c>
      <c r="H244" s="6" t="inlineStr">
        <is>
          <t>백만원</t>
        </is>
      </c>
      <c r="I244" s="17" t="n">
        <v>288.1</v>
      </c>
      <c r="J244" s="18" t="n">
        <v>165242</v>
      </c>
      <c r="K244" s="19" t="n">
        <v>119764</v>
      </c>
      <c r="L244" s="18" t="n">
        <v>79354</v>
      </c>
      <c r="M244" s="19" t="n">
        <v>71277</v>
      </c>
      <c r="N244" s="18" t="n">
        <v>58949</v>
      </c>
      <c r="O244" s="19" t="n">
        <v>35771</v>
      </c>
      <c r="P244" s="18" t="n">
        <v>24966</v>
      </c>
      <c r="Q244" s="19" t="n">
        <v>12091</v>
      </c>
      <c r="R244" s="18" t="n">
        <v>5666</v>
      </c>
      <c r="S244" s="20" t="n">
        <v>21989</v>
      </c>
      <c r="T244" s="6" t="n">
        <v>4</v>
      </c>
      <c r="U244" s="5" t="inlineStr">
        <is>
          <t xml:space="preserve">성동구 용답동 오피스텔 / 무창빌딩 / 2023년 11 | 창원 자이 더스카이 주상복합 신축공사 中 소방기계공사  | P4 Ph1 154kV 소방기계공사 / 삼성전자(주) </t>
        </is>
      </c>
      <c r="V244" s="21">
        <f>HYPERLINK("https://dart.fss.or.kr/dsaf001/main.do?rcpNo=20260813001770", "공시열람")</f>
        <v/>
      </c>
    </row>
    <row r="245">
      <c r="A245" s="5" t="inlineStr">
        <is>
          <t>두산에너빌리티</t>
        </is>
      </c>
      <c r="B245" s="6" t="inlineStr">
        <is>
          <t>034020</t>
        </is>
      </c>
      <c r="C245" s="6" t="inlineStr">
        <is>
          <t>2026Q2</t>
        </is>
      </c>
      <c r="D245" s="6" t="inlineStr">
        <is>
          <t>20260814</t>
        </is>
      </c>
      <c r="E245" s="16" t="n">
        <v>54844071</v>
      </c>
      <c r="F245" s="16" t="n">
        <v>39608881</v>
      </c>
      <c r="G245" s="16" t="n">
        <v>15235190</v>
      </c>
      <c r="H245" s="6" t="inlineStr">
        <is>
          <t>백만원,%</t>
        </is>
      </c>
      <c r="I245" s="17" t="n">
        <v>1.7</v>
      </c>
      <c r="J245" s="18" t="n">
        <v>9441016</v>
      </c>
      <c r="K245" s="19" t="n">
        <v>8642713</v>
      </c>
      <c r="L245" s="18" t="n">
        <v>7710701</v>
      </c>
      <c r="M245" s="19" t="n">
        <v>9039478</v>
      </c>
      <c r="N245" s="18" t="n">
        <v>8284349</v>
      </c>
      <c r="O245" s="19" t="n">
        <v>8387387</v>
      </c>
      <c r="P245" s="18" t="n">
        <v>8657464</v>
      </c>
      <c r="Q245" s="19" t="n">
        <v>14766997</v>
      </c>
      <c r="R245" s="18" t="n">
        <v>14978171</v>
      </c>
      <c r="S245" s="20" t="n">
        <v>15235190</v>
      </c>
      <c r="T245" s="6" t="n">
        <v>57</v>
      </c>
      <c r="U245" s="5" t="inlineStr">
        <is>
          <t>체코 Dukovany 5,6호기NSSS / 한국수력원자 | El-Dabaa NPP / 한국수력원자력(주) / 20 | 신한울 3,4호기 원자로설비 / 한국수력원자력(주) /</t>
        </is>
      </c>
      <c r="V245" s="21">
        <f>HYPERLINK("https://dart.fss.or.kr/dsaf001/main.do?rcpNo=20260814003782", "공시열람")</f>
        <v/>
      </c>
    </row>
    <row r="246">
      <c r="A246" s="5" t="inlineStr">
        <is>
          <t>NICE</t>
        </is>
      </c>
      <c r="B246" s="6" t="inlineStr">
        <is>
          <t>034310</t>
        </is>
      </c>
      <c r="C246" s="6" t="inlineStr">
        <is>
          <t>2026Q2</t>
        </is>
      </c>
      <c r="D246" s="6" t="inlineStr">
        <is>
          <t>20260814</t>
        </is>
      </c>
      <c r="E246" s="16" t="n">
        <v>48433</v>
      </c>
      <c r="F246" s="16" t="n">
        <v>24112</v>
      </c>
      <c r="G246" s="16" t="n">
        <v>24321</v>
      </c>
      <c r="H246" s="6" t="inlineStr">
        <is>
          <t>백만원</t>
        </is>
      </c>
      <c r="I246" s="17" t="n">
        <v>28.9</v>
      </c>
      <c r="J246" s="18" t="n">
        <v>11879</v>
      </c>
      <c r="K246" s="19" t="n">
        <v>19303</v>
      </c>
      <c r="L246" s="18" t="n">
        <v>17452</v>
      </c>
      <c r="M246" s="19" t="n">
        <v>16019</v>
      </c>
      <c r="N246" s="18" t="n">
        <v>19397</v>
      </c>
      <c r="O246" s="19" t="n">
        <v>18591</v>
      </c>
      <c r="P246" s="18" t="n">
        <v>28827</v>
      </c>
      <c r="Q246" s="19" t="n">
        <v>23066</v>
      </c>
      <c r="R246" s="18" t="n">
        <v>18868</v>
      </c>
      <c r="S246" s="20" t="n">
        <v>24321</v>
      </c>
      <c r="T246" s="6" t="n">
        <v>2</v>
      </c>
      <c r="U246" s="5" t="inlineStr">
        <is>
          <t>CRMS 모형개발 등 기업 컨설팅 / 2025년~202 | CSS 모형개발 등 솔루션 컨설팅 / 2024년~202</t>
        </is>
      </c>
      <c r="V246" s="21">
        <f>HYPERLINK("https://dart.fss.or.kr/dsaf001/main.do?rcpNo=20260814003772", "공시열람")</f>
        <v/>
      </c>
    </row>
    <row r="247">
      <c r="A247" s="5" t="inlineStr">
        <is>
          <t>SK</t>
        </is>
      </c>
      <c r="B247" s="6" t="inlineStr">
        <is>
          <t>034730</t>
        </is>
      </c>
      <c r="C247" s="6" t="inlineStr">
        <is>
          <t>2026Q2</t>
        </is>
      </c>
      <c r="D247" s="6" t="inlineStr">
        <is>
          <t>20260814</t>
        </is>
      </c>
      <c r="E247" s="16" t="n">
        <v>63270784</v>
      </c>
      <c r="F247" s="16" t="n">
        <v>37822036</v>
      </c>
      <c r="G247" s="16" t="n">
        <v>25448748</v>
      </c>
      <c r="H247" s="6" t="inlineStr">
        <is>
          <t>백만원</t>
        </is>
      </c>
      <c r="I247" s="17" t="n">
        <v>745104.9</v>
      </c>
      <c r="J247" s="18" t="n">
        <v>2317</v>
      </c>
      <c r="K247" s="19" t="n">
        <v>4890</v>
      </c>
      <c r="L247" s="18" t="n">
        <v>7069</v>
      </c>
      <c r="M247" s="19" t="n">
        <v>7853</v>
      </c>
      <c r="N247" s="18" t="n">
        <v>3232</v>
      </c>
      <c r="O247" s="19" t="n">
        <v>7648</v>
      </c>
      <c r="P247" s="18" t="n">
        <v>8853</v>
      </c>
      <c r="Q247" s="19" t="n">
        <v>6249</v>
      </c>
      <c r="R247" s="18" t="n">
        <v>3415</v>
      </c>
      <c r="S247" s="20" t="n">
        <v>25448748</v>
      </c>
      <c r="T247" s="6" t="n">
        <v>42</v>
      </c>
      <c r="U247" s="5" t="inlineStr">
        <is>
          <t xml:space="preserve">민간 / 기타 / - | 민간 / 에스케이하이닉스(주) / 용인 Cluster  | 민간 / 에스케이하이닉스(주) / 용인 Cluster </t>
        </is>
      </c>
      <c r="V247" s="21">
        <f>HYPERLINK("https://dart.fss.or.kr/dsaf001/main.do?rcpNo=20260814002185", "공시열람")</f>
        <v/>
      </c>
    </row>
    <row r="248">
      <c r="A248" s="5" t="inlineStr">
        <is>
          <t>해성산업</t>
        </is>
      </c>
      <c r="B248" s="6" t="inlineStr">
        <is>
          <t>034810</t>
        </is>
      </c>
      <c r="C248" s="6" t="inlineStr">
        <is>
          <t>2026Q2</t>
        </is>
      </c>
      <c r="D248" s="6" t="inlineStr">
        <is>
          <t>20260814</t>
        </is>
      </c>
      <c r="E248" s="16" t="n">
        <v>22530</v>
      </c>
      <c r="F248" s="16" t="n">
        <v>11265</v>
      </c>
      <c r="G248" s="16" t="n">
        <v>11265</v>
      </c>
      <c r="H248" s="6" t="inlineStr">
        <is>
          <t>백만원</t>
        </is>
      </c>
      <c r="I248" s="17" t="n">
        <v>-33.7</v>
      </c>
      <c r="J248" s="18" t="n">
        <v>15990</v>
      </c>
      <c r="K248" s="19" t="n">
        <v>10713</v>
      </c>
      <c r="L248" s="18" t="n">
        <v>5407</v>
      </c>
      <c r="M248" s="19" t="n">
        <v>0</v>
      </c>
      <c r="N248" s="18" t="n">
        <v>16170</v>
      </c>
      <c r="O248" s="19" t="n">
        <v>10757</v>
      </c>
      <c r="P248" s="18" t="n">
        <v>5426</v>
      </c>
      <c r="Q248" s="19" t="n">
        <v>0</v>
      </c>
      <c r="R248" s="18" t="n">
        <v>16998</v>
      </c>
      <c r="S248" s="20" t="n">
        <v>11265</v>
      </c>
      <c r="T248" s="6" t="n">
        <v>1</v>
      </c>
      <c r="U248" s="5" t="inlineStr">
        <is>
          <t>임대/관리계약 / 2026.01.01 / 2026.12</t>
        </is>
      </c>
      <c r="V248" s="21">
        <f>HYPERLINK("https://dart.fss.or.kr/dsaf001/main.do?rcpNo=20260814002037", "공시열람")</f>
        <v/>
      </c>
    </row>
    <row r="249">
      <c r="A249" s="5" t="inlineStr">
        <is>
          <t>백산</t>
        </is>
      </c>
      <c r="B249" s="6" t="inlineStr">
        <is>
          <t>035150</t>
        </is>
      </c>
      <c r="C249" s="6" t="inlineStr">
        <is>
          <t>2026Q2</t>
        </is>
      </c>
      <c r="D249" s="6" t="inlineStr">
        <is>
          <t>20260813</t>
        </is>
      </c>
      <c r="E249" s="16" t="n">
        <v>176587</v>
      </c>
      <c r="F249" s="16" t="n">
        <v>185220</v>
      </c>
      <c r="G249" s="16" t="n">
        <v>30403</v>
      </c>
      <c r="H249" s="6" t="inlineStr">
        <is>
          <t>천m,백만원</t>
        </is>
      </c>
      <c r="I249" s="17" t="n">
        <v>-2.9</v>
      </c>
      <c r="J249" s="18" t="n">
        <v>27965</v>
      </c>
      <c r="K249" s="19" t="n">
        <v>29352</v>
      </c>
      <c r="L249" s="18" t="n">
        <v>29990</v>
      </c>
      <c r="M249" s="19" t="n">
        <v>36000</v>
      </c>
      <c r="N249" s="18" t="n">
        <v>31117</v>
      </c>
      <c r="O249" s="19" t="n">
        <v>30942</v>
      </c>
      <c r="P249" s="18" t="n">
        <v>29278</v>
      </c>
      <c r="Q249" s="19" t="n">
        <v>37057</v>
      </c>
      <c r="R249" s="18" t="n">
        <v>31297</v>
      </c>
      <c r="S249" s="20" t="n">
        <v>30403</v>
      </c>
      <c r="T249" s="6" t="n">
        <v>4</v>
      </c>
      <c r="U249" s="5" t="inlineStr">
        <is>
          <t>합성피혁(제품) / BAIKSAN VIETNAM / 1 | 합성피혁(제품) / P.T.BAIKSANINDONESI | 합성피혁(제품) / (주)백산 / 1월~6월</t>
        </is>
      </c>
      <c r="V249" s="21">
        <f>HYPERLINK("https://dart.fss.or.kr/dsaf001/main.do?rcpNo=20260813001166", "공시열람")</f>
        <v/>
      </c>
    </row>
    <row r="250">
      <c r="A250" s="5" t="inlineStr">
        <is>
          <t>기산텔레콤</t>
        </is>
      </c>
      <c r="B250" s="6" t="inlineStr">
        <is>
          <t>035460</t>
        </is>
      </c>
      <c r="C250" s="6" t="inlineStr">
        <is>
          <t>2026Q2</t>
        </is>
      </c>
      <c r="D250" s="6" t="inlineStr">
        <is>
          <t>20260814</t>
        </is>
      </c>
      <c r="E250" s="16" t="n">
        <v>2894</v>
      </c>
      <c r="F250" s="16" t="n">
        <v>2894</v>
      </c>
      <c r="G250" s="16" t="n">
        <v>0</v>
      </c>
      <c r="H250" s="6" t="inlineStr">
        <is>
          <t>천원</t>
        </is>
      </c>
      <c r="I250" s="17" t="inlineStr"/>
      <c r="J250" s="18" t="n">
        <v>3096</v>
      </c>
      <c r="K250" s="19" t="n">
        <v>0</v>
      </c>
      <c r="L250" s="18" t="n">
        <v>5275</v>
      </c>
      <c r="M250" s="19" t="n">
        <v>48</v>
      </c>
      <c r="N250" s="18" t="n">
        <v>0</v>
      </c>
      <c r="O250" s="19" t="n">
        <v>0</v>
      </c>
      <c r="P250" s="18" t="n">
        <v>0</v>
      </c>
      <c r="Q250" s="19" t="n">
        <v>198</v>
      </c>
      <c r="R250" s="18" t="n">
        <v>0</v>
      </c>
      <c r="S250" s="20" t="n">
        <v>0</v>
      </c>
      <c r="T250" s="6" t="n">
        <v>3</v>
      </c>
      <c r="U250" s="5" t="inlineStr">
        <is>
          <t>중계기 / 2026.03.17 / 2026.06.08 | 중계기 / 2026.03.17 / 2026.06.08 | 중계기 / 2026.05.22 / 2026.08.12</t>
        </is>
      </c>
      <c r="V250" s="21">
        <f>HYPERLINK("https://dart.fss.or.kr/dsaf001/main.do?rcpNo=20260814000396", "공시열람")</f>
        <v/>
      </c>
    </row>
    <row r="251">
      <c r="A251" s="5" t="inlineStr">
        <is>
          <t>신세계I&amp;C</t>
        </is>
      </c>
      <c r="B251" s="6" t="inlineStr">
        <is>
          <t>035510</t>
        </is>
      </c>
      <c r="C251" s="6" t="inlineStr">
        <is>
          <t>2026Q2</t>
        </is>
      </c>
      <c r="D251" s="6" t="inlineStr">
        <is>
          <t>20260814</t>
        </is>
      </c>
      <c r="E251" s="16" t="n">
        <v>202587</v>
      </c>
      <c r="F251" s="16" t="n">
        <v>88934</v>
      </c>
      <c r="G251" s="16" t="n">
        <v>113653</v>
      </c>
      <c r="H251" s="6" t="inlineStr">
        <is>
          <t>백만원</t>
        </is>
      </c>
      <c r="I251" s="17" t="n">
        <v>79.5</v>
      </c>
      <c r="J251" s="18" t="n">
        <v>44186</v>
      </c>
      <c r="K251" s="19" t="n">
        <v>56578</v>
      </c>
      <c r="L251" s="18" t="n">
        <v>50174</v>
      </c>
      <c r="M251" s="19" t="n">
        <v>83111</v>
      </c>
      <c r="N251" s="18" t="n">
        <v>73246</v>
      </c>
      <c r="O251" s="19" t="n">
        <v>48189</v>
      </c>
      <c r="P251" s="18" t="n">
        <v>30911</v>
      </c>
      <c r="Q251" s="19" t="n">
        <v>55386</v>
      </c>
      <c r="R251" s="18" t="n">
        <v>63312</v>
      </c>
      <c r="S251" s="20" t="n">
        <v>113653</v>
      </c>
      <c r="T251" s="6" t="n">
        <v>6</v>
      </c>
      <c r="U251" s="5" t="inlineStr">
        <is>
          <t>(주)신세계아이앤씨 / 신세계그룹 관계사 IBS 공사  | (주)신세계아이앤씨 / 신세계그룹 시스템 구축 등 /  | (주)신세계아이앤씨 / 대외부문 시스템 구축 등 / -</t>
        </is>
      </c>
      <c r="V251" s="21">
        <f>HYPERLINK("https://dart.fss.or.kr/dsaf001/main.do?rcpNo=20260814003752", "공시열람")</f>
        <v/>
      </c>
    </row>
    <row r="252">
      <c r="A252" s="5" t="inlineStr">
        <is>
          <t>서희건설</t>
        </is>
      </c>
      <c r="B252" s="6" t="inlineStr">
        <is>
          <t>035890</t>
        </is>
      </c>
      <c r="C252" s="6" t="inlineStr">
        <is>
          <t>2026Q2</t>
        </is>
      </c>
      <c r="D252" s="6" t="inlineStr">
        <is>
          <t>20260814</t>
        </is>
      </c>
      <c r="E252" s="16" t="n">
        <v>4200398</v>
      </c>
      <c r="F252" s="16" t="n">
        <v>2337746</v>
      </c>
      <c r="G252" s="16" t="n">
        <v>1862652</v>
      </c>
      <c r="H252" s="6" t="inlineStr">
        <is>
          <t>백만원</t>
        </is>
      </c>
      <c r="I252" s="17" t="n">
        <v>9.6</v>
      </c>
      <c r="J252" s="18" t="n">
        <v>2228131</v>
      </c>
      <c r="K252" s="19" t="n">
        <v>2109122</v>
      </c>
      <c r="L252" s="18" t="n">
        <v>1931660</v>
      </c>
      <c r="M252" s="19" t="n">
        <v>1922828</v>
      </c>
      <c r="N252" s="18" t="n">
        <v>1778861</v>
      </c>
      <c r="O252" s="19" t="n">
        <v>1650307</v>
      </c>
      <c r="P252" s="18" t="n">
        <v>1449527</v>
      </c>
      <c r="Q252" s="19" t="n">
        <v>1250255</v>
      </c>
      <c r="R252" s="18" t="n">
        <v>1699001</v>
      </c>
      <c r="S252" s="20" t="n">
        <v>1862652</v>
      </c>
      <c r="T252" s="6" t="n">
        <v>23</v>
      </c>
      <c r="U252" s="5" t="inlineStr">
        <is>
          <t>남양주오남1단지 / 26.06.01 / 30.01.31 | 용인양지2블럭지주택 / 26.05.01 / 30.08. | 화성비봉지역주택조합 / 26.01.15 / 29.09.</t>
        </is>
      </c>
      <c r="V252" s="21">
        <f>HYPERLINK("https://dart.fss.or.kr/dsaf001/main.do?rcpNo=20260814002224", "공시열람")</f>
        <v/>
      </c>
    </row>
    <row r="253">
      <c r="A253" s="5" t="inlineStr">
        <is>
          <t>에이치엠넥스</t>
        </is>
      </c>
      <c r="B253" s="6" t="inlineStr">
        <is>
          <t>036170</t>
        </is>
      </c>
      <c r="C253" s="6" t="inlineStr">
        <is>
          <t>2026Q2</t>
        </is>
      </c>
      <c r="D253" s="6" t="inlineStr">
        <is>
          <t>20260814</t>
        </is>
      </c>
      <c r="E253" s="16" t="n">
        <v>6709</v>
      </c>
      <c r="F253" s="16" t="n">
        <v>6499</v>
      </c>
      <c r="G253" s="16" t="n">
        <v>210</v>
      </c>
      <c r="H253" s="6" t="inlineStr">
        <is>
          <t>백만개,백만원</t>
        </is>
      </c>
      <c r="I253" s="17" t="n">
        <v>-11.4</v>
      </c>
      <c r="J253" s="18" t="n">
        <v>51</v>
      </c>
      <c r="K253" s="19" t="n">
        <v>135</v>
      </c>
      <c r="L253" s="18" t="n">
        <v>99</v>
      </c>
      <c r="M253" s="19" t="n">
        <v>246</v>
      </c>
      <c r="N253" s="18" t="n">
        <v>26</v>
      </c>
      <c r="O253" s="19" t="n">
        <v>126</v>
      </c>
      <c r="P253" s="18" t="n">
        <v>100</v>
      </c>
      <c r="Q253" s="19" t="n">
        <v>10</v>
      </c>
      <c r="R253" s="18" t="n">
        <v>237</v>
      </c>
      <c r="S253" s="20" t="n">
        <v>210</v>
      </c>
      <c r="T253" s="6" t="n">
        <v>1</v>
      </c>
      <c r="U253" s="5" t="inlineStr">
        <is>
          <t>LED 사업부 / LED 패키지 / 2026년 01월~</t>
        </is>
      </c>
      <c r="V253" s="21">
        <f>HYPERLINK("https://dart.fss.or.kr/dsaf001/main.do?rcpNo=20260814002472", "공시열람")</f>
        <v/>
      </c>
    </row>
    <row r="254">
      <c r="A254" s="5" t="inlineStr">
        <is>
          <t>금화피에스시</t>
        </is>
      </c>
      <c r="B254" s="6" t="inlineStr">
        <is>
          <t>036190</t>
        </is>
      </c>
      <c r="C254" s="6" t="inlineStr">
        <is>
          <t>2026Q2</t>
        </is>
      </c>
      <c r="D254" s="6" t="inlineStr">
        <is>
          <t>20260813</t>
        </is>
      </c>
      <c r="E254" s="16" t="n">
        <v>1226779</v>
      </c>
      <c r="F254" s="16" t="n">
        <v>976675</v>
      </c>
      <c r="G254" s="16" t="n">
        <v>250104</v>
      </c>
      <c r="H254" s="6" t="inlineStr">
        <is>
          <t>백만원</t>
        </is>
      </c>
      <c r="I254" s="17" t="n">
        <v>76.40000000000001</v>
      </c>
      <c r="J254" s="18" t="n">
        <v>28817</v>
      </c>
      <c r="K254" s="19" t="n">
        <v>7493</v>
      </c>
      <c r="L254" s="18" t="n">
        <v>62181</v>
      </c>
      <c r="M254" s="19" t="n">
        <v>89352</v>
      </c>
      <c r="N254" s="18" t="n">
        <v>105814</v>
      </c>
      <c r="O254" s="19" t="n">
        <v>95328</v>
      </c>
      <c r="P254" s="18" t="n">
        <v>255440</v>
      </c>
      <c r="Q254" s="19" t="n">
        <v>291472</v>
      </c>
      <c r="R254" s="18" t="n">
        <v>141770</v>
      </c>
      <c r="S254" s="20" t="n">
        <v>250104</v>
      </c>
      <c r="T254" s="6" t="n">
        <v>33</v>
      </c>
      <c r="U254" s="5" t="inlineStr">
        <is>
          <t>국내 / 현대건설㈜ / 신한울원자력 #3,4 보조 및  | 국내 / 현대건설㈜ / 신한울원자력 #3,4 Liner | 국내 / 현대건설㈜ / 샤힌 에틸렌시설 PKG1 기계배</t>
        </is>
      </c>
      <c r="V254" s="21">
        <f>HYPERLINK("https://dart.fss.or.kr/dsaf001/main.do?rcpNo=20260813001555", "공시열람")</f>
        <v/>
      </c>
    </row>
    <row r="255">
      <c r="A255" s="5" t="inlineStr">
        <is>
          <t>유니셈</t>
        </is>
      </c>
      <c r="B255" s="6" t="inlineStr">
        <is>
          <t>036200</t>
        </is>
      </c>
      <c r="C255" s="6" t="inlineStr">
        <is>
          <t>2026Q2</t>
        </is>
      </c>
      <c r="D255" s="6" t="inlineStr">
        <is>
          <t>20260814</t>
        </is>
      </c>
      <c r="E255" s="16" t="n">
        <v>218019649</v>
      </c>
      <c r="F255" s="16" t="n">
        <v>106846423</v>
      </c>
      <c r="G255" s="16" t="n">
        <v>111173226</v>
      </c>
      <c r="H255" s="6" t="inlineStr">
        <is>
          <t>천원,대</t>
        </is>
      </c>
      <c r="I255" s="17" t="n">
        <v>126</v>
      </c>
      <c r="J255" s="18" t="n">
        <v>29496749</v>
      </c>
      <c r="K255" s="19" t="n">
        <v>25267358</v>
      </c>
      <c r="L255" s="18" t="n">
        <v>22714697</v>
      </c>
      <c r="M255" s="19" t="n">
        <v>28369869</v>
      </c>
      <c r="N255" s="18" t="n">
        <v>52040427</v>
      </c>
      <c r="O255" s="19" t="n">
        <v>29467045</v>
      </c>
      <c r="P255" s="18" t="n">
        <v>34349946</v>
      </c>
      <c r="Q255" s="19" t="n">
        <v>34076964</v>
      </c>
      <c r="R255" s="18" t="n">
        <v>49197990</v>
      </c>
      <c r="S255" s="20" t="n">
        <v>111173226</v>
      </c>
      <c r="T255" s="6" t="n">
        <v>2</v>
      </c>
      <c r="U255" s="5" t="inlineStr">
        <is>
          <t>Chiller Unit | Gas Scrubber</t>
        </is>
      </c>
      <c r="V255" s="21">
        <f>HYPERLINK("https://dart.fss.or.kr/dsaf001/main.do?rcpNo=20260814000905", "공시열람")</f>
        <v/>
      </c>
    </row>
    <row r="256">
      <c r="A256" s="5" t="inlineStr">
        <is>
          <t>한국가스공사</t>
        </is>
      </c>
      <c r="B256" s="6" t="inlineStr">
        <is>
          <t>036460</t>
        </is>
      </c>
      <c r="C256" s="6" t="inlineStr">
        <is>
          <t>2026Q2</t>
        </is>
      </c>
      <c r="D256" s="6" t="inlineStr">
        <is>
          <t>20260819</t>
        </is>
      </c>
      <c r="E256" s="16" t="inlineStr"/>
      <c r="F256" s="16" t="inlineStr"/>
      <c r="G256" s="16" t="n">
        <v>897281</v>
      </c>
      <c r="H256" s="6" t="inlineStr">
        <is>
          <t>백만원,VAT별도</t>
        </is>
      </c>
      <c r="I256" s="17" t="n">
        <v>94.2</v>
      </c>
      <c r="J256" s="18" t="n">
        <v>834748</v>
      </c>
      <c r="K256" s="19" t="n">
        <v>838797</v>
      </c>
      <c r="L256" s="18" t="n">
        <v>757563</v>
      </c>
      <c r="M256" s="19" t="n">
        <v>698040</v>
      </c>
      <c r="N256" s="18" t="n">
        <v>693464</v>
      </c>
      <c r="O256" s="19" t="n">
        <v>602600</v>
      </c>
      <c r="P256" s="18" t="n">
        <v>576214</v>
      </c>
      <c r="Q256" s="19" t="n">
        <v>479190</v>
      </c>
      <c r="R256" s="18" t="n">
        <v>461921</v>
      </c>
      <c r="S256" s="20" t="n">
        <v>897281</v>
      </c>
      <c r="T256" s="6" t="n">
        <v>73</v>
      </c>
      <c r="U256" s="5" t="inlineStr">
        <is>
          <t>2026~2027년 경상정비 도급공사 / 2026-04 | 보령시 수소도시 조성 및 인프라 구축사업 / 2024- | 당진 수소도시 조성사업_청정수소 생산기지 / 2025-</t>
        </is>
      </c>
      <c r="V256" s="21">
        <f>HYPERLINK("https://dart.fss.or.kr/dsaf001/main.do?rcpNo=20260819000378", "공시열람")</f>
        <v/>
      </c>
    </row>
    <row r="257">
      <c r="A257" s="5" t="inlineStr">
        <is>
          <t>대성미생물</t>
        </is>
      </c>
      <c r="B257" s="6" t="inlineStr">
        <is>
          <t>036480</t>
        </is>
      </c>
      <c r="C257" s="6" t="inlineStr">
        <is>
          <t>2026Q2</t>
        </is>
      </c>
      <c r="D257" s="6" t="inlineStr">
        <is>
          <t>20260814</t>
        </is>
      </c>
      <c r="E257" s="16" t="n">
        <v>6764</v>
      </c>
      <c r="F257" s="16" t="n">
        <v>2138</v>
      </c>
      <c r="G257" s="16" t="n">
        <v>4626</v>
      </c>
      <c r="H257" s="6" t="inlineStr">
        <is>
          <t>백만원</t>
        </is>
      </c>
      <c r="I257" s="17" t="n">
        <v>-13.1</v>
      </c>
      <c r="J257" s="18" t="n">
        <v>2631</v>
      </c>
      <c r="K257" s="19" t="n">
        <v>3185</v>
      </c>
      <c r="L257" s="18" t="n">
        <v>3478</v>
      </c>
      <c r="M257" s="19" t="n">
        <v>3200</v>
      </c>
      <c r="N257" s="18" t="n">
        <v>2361</v>
      </c>
      <c r="O257" s="19" t="n">
        <v>2731</v>
      </c>
      <c r="P257" s="18" t="n">
        <v>2220</v>
      </c>
      <c r="Q257" s="19" t="n">
        <v>5646</v>
      </c>
      <c r="R257" s="18" t="n">
        <v>5321</v>
      </c>
      <c r="S257" s="20" t="n">
        <v>4626</v>
      </c>
      <c r="T257" s="6" t="n">
        <v>2</v>
      </c>
      <c r="U257" s="5" t="inlineStr">
        <is>
          <t>정부조달물자 공급계약(조달청) / 동물용의약품 구제역백 | 정부조달물자 공급계약(조달청) / 동물용의약품 백신 9</t>
        </is>
      </c>
      <c r="V257" s="21">
        <f>HYPERLINK("https://dart.fss.or.kr/dsaf001/main.do?rcpNo=20260814002920", "공시열람")</f>
        <v/>
      </c>
    </row>
    <row r="258">
      <c r="A258" s="5" t="inlineStr">
        <is>
          <t>SNT홀딩스</t>
        </is>
      </c>
      <c r="B258" s="6" t="inlineStr">
        <is>
          <t>036530</t>
        </is>
      </c>
      <c r="C258" s="6" t="inlineStr">
        <is>
          <t>2026Q2</t>
        </is>
      </c>
      <c r="D258" s="6" t="inlineStr">
        <is>
          <t>20260812</t>
        </is>
      </c>
      <c r="E258" s="16" t="inlineStr"/>
      <c r="F258" s="16" t="inlineStr"/>
      <c r="G258" s="16" t="n">
        <v>518004</v>
      </c>
      <c r="H258" s="6" t="inlineStr">
        <is>
          <t>백만원</t>
        </is>
      </c>
      <c r="I258" s="17" t="n">
        <v>42.8</v>
      </c>
      <c r="J258" s="18" t="n">
        <v>378662</v>
      </c>
      <c r="K258" s="19" t="n">
        <v>510882</v>
      </c>
      <c r="L258" s="18" t="n">
        <v>542414205</v>
      </c>
      <c r="M258" s="19" t="n">
        <v>714054</v>
      </c>
      <c r="N258" s="18" t="n">
        <v>869786</v>
      </c>
      <c r="O258" s="19" t="n">
        <v>713313296</v>
      </c>
      <c r="P258" s="18" t="n">
        <v>626102886</v>
      </c>
      <c r="Q258" s="19" t="n">
        <v>508627227</v>
      </c>
      <c r="R258" s="18" t="n">
        <v>362797</v>
      </c>
      <c r="S258" s="20" t="n">
        <v>518004</v>
      </c>
      <c r="T258" s="6" t="n">
        <v>2</v>
      </c>
      <c r="U258" s="5" t="inlineStr">
        <is>
          <t>해외 | 국내</t>
        </is>
      </c>
      <c r="V258" s="21">
        <f>HYPERLINK("https://dart.fss.or.kr/dsaf001/main.do?rcpNo=20260812000295", "공시열람")</f>
        <v/>
      </c>
    </row>
    <row r="259">
      <c r="A259" s="5" t="inlineStr">
        <is>
          <t>KZ정밀</t>
        </is>
      </c>
      <c r="B259" s="6" t="inlineStr">
        <is>
          <t>036560</t>
        </is>
      </c>
      <c r="C259" s="6" t="inlineStr">
        <is>
          <t>2026Q2</t>
        </is>
      </c>
      <c r="D259" s="6" t="inlineStr">
        <is>
          <t>20260814</t>
        </is>
      </c>
      <c r="E259" s="16" t="n">
        <v>42301</v>
      </c>
      <c r="F259" s="16" t="n">
        <v>57239</v>
      </c>
      <c r="G259" s="16" t="n">
        <v>42580</v>
      </c>
      <c r="H259" s="6" t="inlineStr">
        <is>
          <t>백만원</t>
        </is>
      </c>
      <c r="I259" s="17" t="n">
        <v>-20.5</v>
      </c>
      <c r="J259" s="18" t="n">
        <v>52277</v>
      </c>
      <c r="K259" s="19" t="n">
        <v>54896</v>
      </c>
      <c r="L259" s="18" t="n">
        <v>62489</v>
      </c>
      <c r="M259" s="19" t="n">
        <v>58097</v>
      </c>
      <c r="N259" s="18" t="n">
        <v>67651</v>
      </c>
      <c r="O259" s="19" t="n">
        <v>63146</v>
      </c>
      <c r="P259" s="18" t="n">
        <v>63425</v>
      </c>
      <c r="Q259" s="19" t="n">
        <v>55581</v>
      </c>
      <c r="R259" s="18" t="n">
        <v>53570</v>
      </c>
      <c r="S259" s="20" t="n">
        <v>42580</v>
      </c>
      <c r="T259" s="6" t="n">
        <v>1</v>
      </c>
      <c r="U259" s="5" t="inlineStr">
        <is>
          <t>유체기계사업부 / '26.01-'26.06 / -</t>
        </is>
      </c>
      <c r="V259" s="21">
        <f>HYPERLINK("https://dart.fss.or.kr/dsaf001/main.do?rcpNo=20260814001897", "공시열람")</f>
        <v/>
      </c>
    </row>
    <row r="260">
      <c r="A260" s="5" t="inlineStr">
        <is>
          <t>코맥스</t>
        </is>
      </c>
      <c r="B260" s="6" t="inlineStr">
        <is>
          <t>036690</t>
        </is>
      </c>
      <c r="C260" s="6" t="inlineStr">
        <is>
          <t>2026Q2</t>
        </is>
      </c>
      <c r="D260" s="6" t="inlineStr">
        <is>
          <t>20260814</t>
        </is>
      </c>
      <c r="E260" s="16" t="n">
        <v>79679</v>
      </c>
      <c r="F260" s="16" t="n">
        <v>4199</v>
      </c>
      <c r="G260" s="16" t="n">
        <v>77047</v>
      </c>
      <c r="H260" s="6" t="inlineStr">
        <is>
          <t>백만원</t>
        </is>
      </c>
      <c r="I260" s="17" t="n">
        <v>3.6</v>
      </c>
      <c r="J260" s="18" t="n">
        <v>280363</v>
      </c>
      <c r="K260" s="19" t="n">
        <v>268115</v>
      </c>
      <c r="L260" s="18" t="n">
        <v>193374</v>
      </c>
      <c r="M260" s="19" t="n">
        <v>140935</v>
      </c>
      <c r="N260" s="18" t="n">
        <v>127878</v>
      </c>
      <c r="O260" s="19" t="n">
        <v>92314</v>
      </c>
      <c r="P260" s="18" t="n">
        <v>124343</v>
      </c>
      <c r="Q260" s="19" t="n">
        <v>75480</v>
      </c>
      <c r="R260" s="18" t="n">
        <v>74367</v>
      </c>
      <c r="S260" s="20" t="n">
        <v>77047</v>
      </c>
      <c r="T260" s="6" t="n">
        <v>1</v>
      </c>
      <c r="U260" s="5" t="inlineStr">
        <is>
          <t>스마트홈네트워크 / 2026년이전 / 2026년이후</t>
        </is>
      </c>
      <c r="V260" s="21">
        <f>HYPERLINK("https://dart.fss.or.kr/dsaf001/main.do?rcpNo=20260814004293", "공시열람")</f>
        <v/>
      </c>
    </row>
    <row r="261">
      <c r="A261" s="5" t="inlineStr">
        <is>
          <t>심텍홀딩스</t>
        </is>
      </c>
      <c r="B261" s="6" t="inlineStr">
        <is>
          <t>036710</t>
        </is>
      </c>
      <c r="C261" s="6" t="inlineStr">
        <is>
          <t>2026Q2</t>
        </is>
      </c>
      <c r="D261" s="6" t="inlineStr">
        <is>
          <t>20260814</t>
        </is>
      </c>
      <c r="E261" s="16" t="n">
        <v>998848</v>
      </c>
      <c r="F261" s="16" t="n">
        <v>606493</v>
      </c>
      <c r="G261" s="16" t="n">
        <v>392355</v>
      </c>
      <c r="H261" s="6" t="inlineStr">
        <is>
          <t>㎡,천USD</t>
        </is>
      </c>
      <c r="I261" s="17" t="n">
        <v>18.7</v>
      </c>
      <c r="J261" s="18" t="n">
        <v>273020</v>
      </c>
      <c r="K261" s="19" t="n">
        <v>140227</v>
      </c>
      <c r="L261" s="18" t="n">
        <v>127347</v>
      </c>
      <c r="M261" s="19" t="n">
        <v>136721</v>
      </c>
      <c r="N261" s="18" t="n">
        <v>118259</v>
      </c>
      <c r="O261" s="19" t="n">
        <v>191263</v>
      </c>
      <c r="P261" s="18" t="n">
        <v>261706</v>
      </c>
      <c r="Q261" s="19" t="n">
        <v>294564</v>
      </c>
      <c r="R261" s="18" t="n">
        <v>330609</v>
      </c>
      <c r="S261" s="20" t="n">
        <v>392355</v>
      </c>
      <c r="T261" s="6" t="n">
        <v>1</v>
      </c>
      <c r="U261" s="5" t="inlineStr">
        <is>
          <t>인쇄회로기판 / 2026.01. ~ 2026.06. /</t>
        </is>
      </c>
      <c r="V261" s="21">
        <f>HYPERLINK("https://dart.fss.or.kr/dsaf001/main.do?rcpNo=20260814003489", "공시열람")</f>
        <v/>
      </c>
    </row>
    <row r="262">
      <c r="A262" s="5" t="inlineStr">
        <is>
          <t>주성엔지니어링</t>
        </is>
      </c>
      <c r="B262" s="6" t="inlineStr">
        <is>
          <t>036930</t>
        </is>
      </c>
      <c r="C262" s="6" t="inlineStr">
        <is>
          <t>2026Q2</t>
        </is>
      </c>
      <c r="D262" s="6" t="inlineStr">
        <is>
          <t>20260814</t>
        </is>
      </c>
      <c r="E262" s="16" t="n">
        <v>321168</v>
      </c>
      <c r="F262" s="16" t="n">
        <v>87533</v>
      </c>
      <c r="G262" s="16" t="n">
        <v>233635</v>
      </c>
      <c r="H262" s="6" t="inlineStr">
        <is>
          <t>백만원</t>
        </is>
      </c>
      <c r="I262" s="17" t="n">
        <v>212.9</v>
      </c>
      <c r="J262" s="18" t="n">
        <v>252007</v>
      </c>
      <c r="K262" s="19" t="n">
        <v>219644</v>
      </c>
      <c r="L262" s="18" t="n">
        <v>216598</v>
      </c>
      <c r="M262" s="19" t="n">
        <v>231119</v>
      </c>
      <c r="N262" s="18" t="n">
        <v>149604</v>
      </c>
      <c r="O262" s="19" t="n">
        <v>117903</v>
      </c>
      <c r="P262" s="18" t="n">
        <v>110427</v>
      </c>
      <c r="Q262" s="19" t="n">
        <v>97784</v>
      </c>
      <c r="R262" s="18" t="n">
        <v>74658</v>
      </c>
      <c r="S262" s="20" t="n">
        <v>233635</v>
      </c>
      <c r="T262" s="6" t="n">
        <v>2</v>
      </c>
      <c r="U262" s="5" t="inlineStr">
        <is>
          <t>반도체 제조장비 / - | 디스플레이 제조장비 / -</t>
        </is>
      </c>
      <c r="V262" s="21">
        <f>HYPERLINK("https://dart.fss.or.kr/dsaf001/main.do?rcpNo=20260814002613", "공시열람")</f>
        <v/>
      </c>
    </row>
    <row r="263">
      <c r="A263" s="5" t="inlineStr">
        <is>
          <t>성도이엔지</t>
        </is>
      </c>
      <c r="B263" s="6" t="inlineStr">
        <is>
          <t>037350</t>
        </is>
      </c>
      <c r="C263" s="6" t="inlineStr">
        <is>
          <t>2026Q2</t>
        </is>
      </c>
      <c r="D263" s="6" t="inlineStr">
        <is>
          <t>20260814</t>
        </is>
      </c>
      <c r="E263" s="16" t="n">
        <v>1514880</v>
      </c>
      <c r="F263" s="16" t="n">
        <v>1029195</v>
      </c>
      <c r="G263" s="16" t="n">
        <v>485685</v>
      </c>
      <c r="H263" s="6" t="inlineStr">
        <is>
          <t>백만원</t>
        </is>
      </c>
      <c r="I263" s="17" t="n">
        <v>-15</v>
      </c>
      <c r="J263" s="18" t="n">
        <v>912179</v>
      </c>
      <c r="K263" s="19" t="n">
        <v>748159</v>
      </c>
      <c r="L263" s="18" t="n">
        <v>708012</v>
      </c>
      <c r="M263" s="19" t="n">
        <v>547650</v>
      </c>
      <c r="N263" s="18" t="n">
        <v>436850</v>
      </c>
      <c r="O263" s="19" t="n">
        <v>475759</v>
      </c>
      <c r="P263" s="18" t="n">
        <v>517025</v>
      </c>
      <c r="Q263" s="19" t="n">
        <v>533173</v>
      </c>
      <c r="R263" s="18" t="n">
        <v>571515</v>
      </c>
      <c r="S263" s="20" t="n">
        <v>485685</v>
      </c>
      <c r="T263" s="6" t="n">
        <v>5</v>
      </c>
      <c r="U263" s="5" t="inlineStr">
        <is>
          <t>종합건설 사업부문 / - | 하이테크 사업부문 / - | 해외도급 사업부문 / -</t>
        </is>
      </c>
      <c r="V263" s="21">
        <f>HYPERLINK("https://dart.fss.or.kr/dsaf001/main.do?rcpNo=20260814002171", "공시열람")</f>
        <v/>
      </c>
    </row>
    <row r="264">
      <c r="A264" s="5" t="inlineStr">
        <is>
          <t>EG</t>
        </is>
      </c>
      <c r="B264" s="6" t="inlineStr">
        <is>
          <t>037370</t>
        </is>
      </c>
      <c r="C264" s="6" t="inlineStr">
        <is>
          <t>2026Q2</t>
        </is>
      </c>
      <c r="D264" s="6" t="inlineStr">
        <is>
          <t>20260814</t>
        </is>
      </c>
      <c r="E264" s="16" t="n">
        <v>14941981</v>
      </c>
      <c r="F264" s="16" t="n">
        <v>12080739</v>
      </c>
      <c r="G264" s="16" t="n">
        <v>2861242</v>
      </c>
      <c r="H264" s="6" t="inlineStr">
        <is>
          <t>톤,천원</t>
        </is>
      </c>
      <c r="I264" s="17" t="n">
        <v>39.1</v>
      </c>
      <c r="J264" s="18" t="n">
        <v>9725738</v>
      </c>
      <c r="K264" s="19" t="n">
        <v>8228513</v>
      </c>
      <c r="L264" s="18" t="n">
        <v>5788663</v>
      </c>
      <c r="M264" s="19" t="n">
        <v>2935368</v>
      </c>
      <c r="N264" s="18" t="n">
        <v>2426092</v>
      </c>
      <c r="O264" s="19" t="n">
        <v>1717123</v>
      </c>
      <c r="P264" s="18" t="n">
        <v>1785384</v>
      </c>
      <c r="Q264" s="19" t="n">
        <v>1761138</v>
      </c>
      <c r="R264" s="18" t="n">
        <v>2057025</v>
      </c>
      <c r="S264" s="20" t="n">
        <v>2861242</v>
      </c>
      <c r="T264" s="6" t="n">
        <v>2</v>
      </c>
      <c r="U264" s="5" t="inlineStr">
        <is>
          <t>페라이트 / 연간 | 기타 / 연간</t>
        </is>
      </c>
      <c r="V264" s="21">
        <f>HYPERLINK("https://dart.fss.or.kr/dsaf001/main.do?rcpNo=20260814000977", "공시열람")</f>
        <v/>
      </c>
    </row>
    <row r="265">
      <c r="A265" s="5" t="inlineStr">
        <is>
          <t>희림</t>
        </is>
      </c>
      <c r="B265" s="6" t="inlineStr">
        <is>
          <t>037440</t>
        </is>
      </c>
      <c r="C265" s="6" t="inlineStr">
        <is>
          <t>2026Q2</t>
        </is>
      </c>
      <c r="D265" s="6" t="inlineStr">
        <is>
          <t>20260814</t>
        </is>
      </c>
      <c r="E265" s="16" t="n">
        <v>1114339416</v>
      </c>
      <c r="F265" s="16" t="n">
        <v>412894032</v>
      </c>
      <c r="G265" s="16" t="n">
        <v>701445386</v>
      </c>
      <c r="H265" s="6" t="inlineStr">
        <is>
          <t>천원</t>
        </is>
      </c>
      <c r="I265" s="17" t="n">
        <v>3.4</v>
      </c>
      <c r="J265" s="18" t="n">
        <v>608916649</v>
      </c>
      <c r="K265" s="19" t="n">
        <v>649354712</v>
      </c>
      <c r="L265" s="18" t="n">
        <v>678889053</v>
      </c>
      <c r="M265" s="19" t="n">
        <v>675521049</v>
      </c>
      <c r="N265" s="18" t="n">
        <v>663262332</v>
      </c>
      <c r="O265" s="19" t="n">
        <v>654124363</v>
      </c>
      <c r="P265" s="18" t="n">
        <v>634079510</v>
      </c>
      <c r="Q265" s="19" t="n">
        <v>647546508</v>
      </c>
      <c r="R265" s="18" t="n">
        <v>678080630</v>
      </c>
      <c r="S265" s="20" t="n">
        <v>701445386</v>
      </c>
      <c r="T265" s="6" t="n">
        <v>200</v>
      </c>
      <c r="U265" s="5" t="inlineStr">
        <is>
          <t>LG메트로시티 리모델링사업 설계용역 / 2021-04- | 백현마이스 도시개발사업 설계용역 / 2023-08-04 | 압구정아파트지구 특별계획구역3 재건축정비사업 / 202</t>
        </is>
      </c>
      <c r="V265" s="21">
        <f>HYPERLINK("https://dart.fss.or.kr/dsaf001/main.do?rcpNo=20260814002328", "공시열람")</f>
        <v/>
      </c>
    </row>
    <row r="266">
      <c r="A266" s="5" t="inlineStr">
        <is>
          <t>삼지전자</t>
        </is>
      </c>
      <c r="B266" s="6" t="inlineStr">
        <is>
          <t>037460</t>
        </is>
      </c>
      <c r="C266" s="6" t="inlineStr">
        <is>
          <t>2026Q2</t>
        </is>
      </c>
      <c r="D266" s="6" t="inlineStr">
        <is>
          <t>20260814</t>
        </is>
      </c>
      <c r="E266" s="16" t="n">
        <v>809252</v>
      </c>
      <c r="F266" s="16" t="n">
        <v>409094</v>
      </c>
      <c r="G266" s="16" t="n">
        <v>400158</v>
      </c>
      <c r="H266" s="6" t="inlineStr">
        <is>
          <t>백만원</t>
        </is>
      </c>
      <c r="I266" s="17" t="n">
        <v>11.1</v>
      </c>
      <c r="J266" s="18" t="n">
        <v>402515</v>
      </c>
      <c r="K266" s="19" t="n">
        <v>360478</v>
      </c>
      <c r="L266" s="18" t="n">
        <v>32100</v>
      </c>
      <c r="M266" s="19" t="n">
        <v>76213815</v>
      </c>
      <c r="N266" s="18" t="n">
        <v>402077</v>
      </c>
      <c r="O266" s="19" t="n">
        <v>336865</v>
      </c>
      <c r="P266" s="18" t="n">
        <v>315889</v>
      </c>
      <c r="Q266" s="19" t="n">
        <v>265996</v>
      </c>
      <c r="R266" s="18" t="n">
        <v>360184</v>
      </c>
      <c r="S266" s="20" t="n">
        <v>400158</v>
      </c>
      <c r="T266" s="6" t="n">
        <v>38</v>
      </c>
      <c r="U266" s="5" t="inlineStr">
        <is>
          <t xml:space="preserve">평택4기PH-2일반배관3공구(철거/신설) / 2026. | 용인클러스터상생시설(기숙사1차)소방공사 / 2026.0 | 서울역북부역세권개발현장신축공사 / 2024.11.20 </t>
        </is>
      </c>
      <c r="V266" s="21">
        <f>HYPERLINK("https://dart.fss.or.kr/dsaf001/main.do?rcpNo=20260814003131", "공시열람")</f>
        <v/>
      </c>
    </row>
    <row r="267">
      <c r="A267" s="5" t="inlineStr">
        <is>
          <t>LG헬로비전</t>
        </is>
      </c>
      <c r="B267" s="6" t="inlineStr">
        <is>
          <t>037560</t>
        </is>
      </c>
      <c r="C267" s="6" t="inlineStr">
        <is>
          <t>2025Q4</t>
        </is>
      </c>
      <c r="D267" s="6" t="inlineStr">
        <is>
          <t>20260316</t>
        </is>
      </c>
      <c r="E267" s="16" t="n">
        <v>70152</v>
      </c>
      <c r="F267" s="16" t="n">
        <v>70152</v>
      </c>
      <c r="G267" s="16" t="n">
        <v>0</v>
      </c>
      <c r="H267" s="6" t="inlineStr">
        <is>
          <t>백만원</t>
        </is>
      </c>
      <c r="I267" s="17" t="inlineStr"/>
      <c r="J267" s="18" t="inlineStr"/>
      <c r="K267" s="19" t="inlineStr"/>
      <c r="L267" s="18" t="inlineStr"/>
      <c r="M267" s="19" t="n">
        <v>70152</v>
      </c>
      <c r="N267" s="18" t="n">
        <v>70152</v>
      </c>
      <c r="O267" s="19" t="n">
        <v>0</v>
      </c>
      <c r="P267" s="18" t="n">
        <v>0</v>
      </c>
      <c r="Q267" s="19" t="n">
        <v>0</v>
      </c>
      <c r="R267" s="18" t="inlineStr"/>
      <c r="S267" s="20" t="inlineStr"/>
      <c r="T267" s="6" t="n">
        <v>1</v>
      </c>
      <c r="U267" s="5" t="inlineStr">
        <is>
          <t>스마트단말기 / '24.12.23 / '25.06.21</t>
        </is>
      </c>
      <c r="V267" s="21">
        <f>HYPERLINK("https://dart.fss.or.kr/dsaf001/main.do?rcpNo=20260316000756", "공시열람")</f>
        <v/>
      </c>
    </row>
    <row r="268">
      <c r="A268" s="5" t="inlineStr">
        <is>
          <t>제일테크노스</t>
        </is>
      </c>
      <c r="B268" s="6" t="inlineStr">
        <is>
          <t>038010</t>
        </is>
      </c>
      <c r="C268" s="6" t="inlineStr">
        <is>
          <t>2026Q2</t>
        </is>
      </c>
      <c r="D268" s="6" t="inlineStr">
        <is>
          <t>20260814</t>
        </is>
      </c>
      <c r="E268" s="16" t="n">
        <v>159357</v>
      </c>
      <c r="F268" s="16" t="n">
        <v>79488</v>
      </c>
      <c r="G268" s="16" t="n">
        <v>79869</v>
      </c>
      <c r="H268" s="6" t="inlineStr">
        <is>
          <t>백만원</t>
        </is>
      </c>
      <c r="I268" s="17" t="n">
        <v>14.6</v>
      </c>
      <c r="J268" s="18" t="n">
        <v>104740</v>
      </c>
      <c r="K268" s="19" t="n">
        <v>96778</v>
      </c>
      <c r="L268" s="18" t="n">
        <v>100175</v>
      </c>
      <c r="M268" s="19" t="n">
        <v>64043</v>
      </c>
      <c r="N268" s="18" t="n">
        <v>55201</v>
      </c>
      <c r="O268" s="19" t="n">
        <v>55980</v>
      </c>
      <c r="P268" s="18" t="n">
        <v>57884</v>
      </c>
      <c r="Q268" s="19" t="n">
        <v>50765</v>
      </c>
      <c r="R268" s="18" t="n">
        <v>69720</v>
      </c>
      <c r="S268" s="20" t="n">
        <v>79869</v>
      </c>
      <c r="T268" s="6" t="n">
        <v>25</v>
      </c>
      <c r="U268" s="5" t="inlineStr">
        <is>
          <t>DECK PLATE / 삼성물산 | DECK PLATE / 대우건설 | DECK PLATE / 현대건설</t>
        </is>
      </c>
      <c r="V268" s="21">
        <f>HYPERLINK("https://dart.fss.or.kr/dsaf001/main.do?rcpNo=20260814000746", "공시열람")</f>
        <v/>
      </c>
    </row>
    <row r="269">
      <c r="A269" s="5" t="inlineStr">
        <is>
          <t>마크로젠</t>
        </is>
      </c>
      <c r="B269" s="6" t="inlineStr">
        <is>
          <t>038290</t>
        </is>
      </c>
      <c r="C269" s="6" t="inlineStr">
        <is>
          <t>2026Q2</t>
        </is>
      </c>
      <c r="D269" s="6" t="inlineStr">
        <is>
          <t>20260814</t>
        </is>
      </c>
      <c r="E269" s="16" t="n">
        <v>25826315</v>
      </c>
      <c r="F269" s="16" t="n">
        <v>10842796</v>
      </c>
      <c r="G269" s="16" t="n">
        <v>14983519</v>
      </c>
      <c r="H269" s="6" t="inlineStr">
        <is>
          <t>천원</t>
        </is>
      </c>
      <c r="I269" s="17" t="n">
        <v>-19.7</v>
      </c>
      <c r="J269" s="18" t="inlineStr"/>
      <c r="K269" s="19" t="inlineStr"/>
      <c r="L269" s="18" t="inlineStr"/>
      <c r="M269" s="19" t="n">
        <v>20846322</v>
      </c>
      <c r="N269" s="18" t="n">
        <v>20643596</v>
      </c>
      <c r="O269" s="19" t="n">
        <v>19421510</v>
      </c>
      <c r="P269" s="18" t="n">
        <v>18928045</v>
      </c>
      <c r="Q269" s="19" t="n">
        <v>19604313</v>
      </c>
      <c r="R269" s="18" t="n">
        <v>18663869</v>
      </c>
      <c r="S269" s="20" t="n">
        <v>14983519</v>
      </c>
      <c r="T269" s="6" t="n">
        <v>3</v>
      </c>
      <c r="U269" s="5" t="inlineStr">
        <is>
          <t>국가 통합 바이오 빅데이터 구축 사업을 위한유전체와 전 | 오믹스체 데이터 연구 / 2025.10.01 / 202 | 유전자 분석서비스(cfDNA WGS) / 2024.11</t>
        </is>
      </c>
      <c r="V269" s="21">
        <f>HYPERLINK("https://dart.fss.or.kr/dsaf001/main.do?rcpNo=20260814003702", "공시열람")</f>
        <v/>
      </c>
    </row>
    <row r="270">
      <c r="A270" s="5" t="inlineStr">
        <is>
          <t>상상인</t>
        </is>
      </c>
      <c r="B270" s="6" t="inlineStr">
        <is>
          <t>038540</t>
        </is>
      </c>
      <c r="C270" s="6" t="inlineStr">
        <is>
          <t>2026Q2</t>
        </is>
      </c>
      <c r="D270" s="6" t="inlineStr">
        <is>
          <t>20260814</t>
        </is>
      </c>
      <c r="E270" s="16" t="n">
        <v>34038</v>
      </c>
      <c r="F270" s="16" t="n">
        <v>6374</v>
      </c>
      <c r="G270" s="16" t="n">
        <v>27664</v>
      </c>
      <c r="H270" s="6" t="inlineStr">
        <is>
          <t>백만원</t>
        </is>
      </c>
      <c r="I270" s="17" t="n">
        <v>87.2</v>
      </c>
      <c r="J270" s="18" t="n">
        <v>1303</v>
      </c>
      <c r="K270" s="19" t="n">
        <v>4780294</v>
      </c>
      <c r="L270" s="18" t="n">
        <v>38584995</v>
      </c>
      <c r="M270" s="19" t="n">
        <v>13151</v>
      </c>
      <c r="N270" s="18" t="n">
        <v>13697</v>
      </c>
      <c r="O270" s="19" t="n">
        <v>13603</v>
      </c>
      <c r="P270" s="18" t="n">
        <v>2171</v>
      </c>
      <c r="Q270" s="19" t="n">
        <v>31715</v>
      </c>
      <c r="R270" s="18" t="n">
        <v>14781</v>
      </c>
      <c r="S270" s="20" t="n">
        <v>27664</v>
      </c>
      <c r="T270" s="6" t="n">
        <v>1</v>
      </c>
      <c r="U270" s="5" t="inlineStr">
        <is>
          <t>앙골라 치안강화 2차사업 / 2024.09.30 / 2</t>
        </is>
      </c>
      <c r="V270" s="21">
        <f>HYPERLINK("https://dart.fss.or.kr/dsaf001/main.do?rcpNo=20260814003913", "공시열람")</f>
        <v/>
      </c>
    </row>
    <row r="271">
      <c r="A271" s="5" t="inlineStr">
        <is>
          <t>에스넷</t>
        </is>
      </c>
      <c r="B271" s="6" t="inlineStr">
        <is>
          <t>038680</t>
        </is>
      </c>
      <c r="C271" s="6" t="inlineStr">
        <is>
          <t>2026Q2</t>
        </is>
      </c>
      <c r="D271" s="6" t="inlineStr">
        <is>
          <t>20260813</t>
        </is>
      </c>
      <c r="E271" s="16" t="n">
        <v>568306</v>
      </c>
      <c r="F271" s="16" t="n">
        <v>166785</v>
      </c>
      <c r="G271" s="16" t="n">
        <v>401521</v>
      </c>
      <c r="H271" s="6" t="inlineStr">
        <is>
          <t>백만원</t>
        </is>
      </c>
      <c r="I271" s="17" t="n">
        <v>30.9</v>
      </c>
      <c r="J271" s="18" t="n">
        <v>2426</v>
      </c>
      <c r="K271" s="19" t="n">
        <v>2457</v>
      </c>
      <c r="L271" s="18" t="n">
        <v>236401</v>
      </c>
      <c r="M271" s="19" t="n">
        <v>148618</v>
      </c>
      <c r="N271" s="18" t="n">
        <v>330577</v>
      </c>
      <c r="O271" s="19" t="n">
        <v>324840</v>
      </c>
      <c r="P271" s="18" t="n">
        <v>294673</v>
      </c>
      <c r="Q271" s="19" t="n">
        <v>147599</v>
      </c>
      <c r="R271" s="18" t="n">
        <v>306732</v>
      </c>
      <c r="S271" s="20" t="n">
        <v>401521</v>
      </c>
      <c r="T271" s="6" t="n">
        <v>11</v>
      </c>
      <c r="U271" s="5" t="inlineStr">
        <is>
          <t>기타 / - | [일반기업] / 26. 07. / 27. 03. | [공공기관] / 26. 07. / 31. 12.</t>
        </is>
      </c>
      <c r="V271" s="21">
        <f>HYPERLINK("https://dart.fss.or.kr/dsaf001/main.do?rcpNo=20260813000532", "공시열람")</f>
        <v/>
      </c>
    </row>
    <row r="272">
      <c r="A272" s="5" t="inlineStr">
        <is>
          <t>에코심플렉스</t>
        </is>
      </c>
      <c r="B272" s="6" t="inlineStr">
        <is>
          <t>038870</t>
        </is>
      </c>
      <c r="C272" s="6" t="inlineStr">
        <is>
          <t>2026Q2</t>
        </is>
      </c>
      <c r="D272" s="6" t="inlineStr">
        <is>
          <t>20261006</t>
        </is>
      </c>
      <c r="E272" s="16" t="n">
        <v>28139</v>
      </c>
      <c r="F272" s="16" t="n">
        <v>23257</v>
      </c>
      <c r="G272" s="16" t="n">
        <v>4882</v>
      </c>
      <c r="H272" s="6" t="inlineStr">
        <is>
          <t>백만원</t>
        </is>
      </c>
      <c r="I272" s="17" t="n">
        <v>-43</v>
      </c>
      <c r="J272" s="18" t="n">
        <v>7776</v>
      </c>
      <c r="K272" s="19" t="n">
        <v>7384</v>
      </c>
      <c r="L272" s="18" t="n">
        <v>28984</v>
      </c>
      <c r="M272" s="19" t="n">
        <v>20855</v>
      </c>
      <c r="N272" s="18" t="n">
        <v>20184</v>
      </c>
      <c r="O272" s="19" t="n">
        <v>16330</v>
      </c>
      <c r="P272" s="18" t="n">
        <v>12200</v>
      </c>
      <c r="Q272" s="19" t="n">
        <v>5064</v>
      </c>
      <c r="R272" s="18" t="n">
        <v>8572</v>
      </c>
      <c r="S272" s="20" t="n">
        <v>4882</v>
      </c>
      <c r="T272" s="6" t="n">
        <v>4</v>
      </c>
      <c r="U272" s="5" t="inlineStr">
        <is>
          <t>수도권매립지 관리공사 / 수도권매립지관리공사 발전 및  | 한국지역난방공사 / 난지도매립가스 처리시설 유지보수 용 | 강원바이오에너지 / 원주바이오메탄 자동차연료화 시설 위</t>
        </is>
      </c>
      <c r="V272" s="21">
        <f>HYPERLINK("https://dart.fss.or.kr/dsaf001/main.do?rcpNo=20261006000425", "공시열람")</f>
        <v/>
      </c>
    </row>
    <row r="273">
      <c r="A273" s="5" t="inlineStr">
        <is>
          <t>현대에이치티</t>
        </is>
      </c>
      <c r="B273" s="6" t="inlineStr">
        <is>
          <t>039010</t>
        </is>
      </c>
      <c r="C273" s="6" t="inlineStr">
        <is>
          <t>2026Q2</t>
        </is>
      </c>
      <c r="D273" s="6" t="inlineStr">
        <is>
          <t>20260814</t>
        </is>
      </c>
      <c r="E273" s="16" t="n">
        <v>261862</v>
      </c>
      <c r="F273" s="16" t="n">
        <v>3086</v>
      </c>
      <c r="G273" s="16" t="n">
        <v>195211</v>
      </c>
      <c r="H273" s="6" t="inlineStr">
        <is>
          <t>백만원</t>
        </is>
      </c>
      <c r="I273" s="17" t="n">
        <v>1.6</v>
      </c>
      <c r="J273" s="18" t="n">
        <v>251341</v>
      </c>
      <c r="K273" s="19" t="n">
        <v>243342</v>
      </c>
      <c r="L273" s="18" t="n">
        <v>242234</v>
      </c>
      <c r="M273" s="19" t="n">
        <v>222801</v>
      </c>
      <c r="N273" s="18" t="n">
        <v>213502</v>
      </c>
      <c r="O273" s="19" t="n">
        <v>207752</v>
      </c>
      <c r="P273" s="18" t="n">
        <v>201774</v>
      </c>
      <c r="Q273" s="19" t="n">
        <v>197137</v>
      </c>
      <c r="R273" s="18" t="n">
        <v>192125</v>
      </c>
      <c r="S273" s="20" t="n">
        <v>195211</v>
      </c>
      <c r="T273" s="6" t="n">
        <v>1</v>
      </c>
      <c r="U273" s="5" t="inlineStr">
        <is>
          <t>Smart Home제품 外 / 2026.06.30 이전</t>
        </is>
      </c>
      <c r="V273" s="21">
        <f>HYPERLINK("https://dart.fss.or.kr/dsaf001/main.do?rcpNo=20260814002638", "공시열람")</f>
        <v/>
      </c>
    </row>
    <row r="274">
      <c r="A274" s="5" t="inlineStr">
        <is>
          <t>이건홀딩스</t>
        </is>
      </c>
      <c r="B274" s="6" t="inlineStr">
        <is>
          <t>039020</t>
        </is>
      </c>
      <c r="C274" s="6" t="inlineStr">
        <is>
          <t>2026Q2</t>
        </is>
      </c>
      <c r="D274" s="6" t="inlineStr">
        <is>
          <t>20260814</t>
        </is>
      </c>
      <c r="E274" s="16" t="n">
        <v>326192</v>
      </c>
      <c r="F274" s="16" t="n">
        <v>204968</v>
      </c>
      <c r="G274" s="16" t="n">
        <v>121224</v>
      </c>
      <c r="H274" s="6" t="inlineStr">
        <is>
          <t>천㎡,백만원</t>
        </is>
      </c>
      <c r="I274" s="17" t="n">
        <v>-26.5</v>
      </c>
      <c r="J274" s="18" t="n">
        <v>117499</v>
      </c>
      <c r="K274" s="19" t="n">
        <v>173682</v>
      </c>
      <c r="L274" s="18" t="n">
        <v>147762</v>
      </c>
      <c r="M274" s="19" t="n">
        <v>140105</v>
      </c>
      <c r="N274" s="18" t="n">
        <v>115287</v>
      </c>
      <c r="O274" s="19" t="n">
        <v>104151</v>
      </c>
      <c r="P274" s="18" t="n">
        <v>95867</v>
      </c>
      <c r="Q274" s="19" t="n">
        <v>179025</v>
      </c>
      <c r="R274" s="18" t="n">
        <v>164824</v>
      </c>
      <c r="S274" s="20" t="n">
        <v>121224</v>
      </c>
      <c r="T274" s="6" t="n">
        <v>2</v>
      </c>
      <c r="U274" s="5" t="inlineStr">
        <is>
          <t>창호 / 2026.06.30 까지 / - | 마루 / 2026.06.30 까지</t>
        </is>
      </c>
      <c r="V274" s="21">
        <f>HYPERLINK("https://dart.fss.or.kr/dsaf001/main.do?rcpNo=20260814002949", "공시열람")</f>
        <v/>
      </c>
    </row>
    <row r="275">
      <c r="A275" s="5" t="inlineStr">
        <is>
          <t>인포뱅크</t>
        </is>
      </c>
      <c r="B275" s="6" t="inlineStr">
        <is>
          <t>039290</t>
        </is>
      </c>
      <c r="C275" s="6" t="inlineStr">
        <is>
          <t>2025Q3</t>
        </is>
      </c>
      <c r="D275" s="6" t="inlineStr">
        <is>
          <t>20251114</t>
        </is>
      </c>
      <c r="E275" s="16" t="n">
        <v>6072</v>
      </c>
      <c r="F275" s="16" t="n">
        <v>5526</v>
      </c>
      <c r="G275" s="16" t="n">
        <v>546</v>
      </c>
      <c r="H275" s="6" t="inlineStr">
        <is>
          <t>백만원</t>
        </is>
      </c>
      <c r="I275" s="17" t="n">
        <v>-59.1</v>
      </c>
      <c r="J275" s="18" t="inlineStr"/>
      <c r="K275" s="19" t="inlineStr"/>
      <c r="L275" s="18" t="inlineStr"/>
      <c r="M275" s="19" t="n">
        <v>3461</v>
      </c>
      <c r="N275" s="18" t="n">
        <v>2247</v>
      </c>
      <c r="O275" s="19" t="n">
        <v>1336</v>
      </c>
      <c r="P275" s="18" t="n">
        <v>546</v>
      </c>
      <c r="Q275" s="19" t="inlineStr"/>
      <c r="R275" s="18" t="inlineStr"/>
      <c r="S275" s="20" t="inlineStr"/>
      <c r="T275" s="6" t="n">
        <v>1</v>
      </c>
      <c r="U275" s="5" t="inlineStr">
        <is>
          <t>솔루션서비스 A / 2024.07.15 / 2025.1</t>
        </is>
      </c>
      <c r="V275" s="21">
        <f>HYPERLINK("https://dart.fss.or.kr/dsaf001/main.do?rcpNo=20251114001447", "공시열람")</f>
        <v/>
      </c>
    </row>
    <row r="276">
      <c r="A276" s="5" t="inlineStr">
        <is>
          <t>세중</t>
        </is>
      </c>
      <c r="B276" s="6" t="inlineStr">
        <is>
          <t>039310</t>
        </is>
      </c>
      <c r="C276" s="6" t="inlineStr">
        <is>
          <t>2026Q2</t>
        </is>
      </c>
      <c r="D276" s="6" t="inlineStr">
        <is>
          <t>20260814</t>
        </is>
      </c>
      <c r="E276" s="16" t="n">
        <v>52884</v>
      </c>
      <c r="F276" s="16" t="n">
        <v>26256</v>
      </c>
      <c r="G276" s="16" t="n">
        <v>29627</v>
      </c>
      <c r="H276" s="6" t="inlineStr">
        <is>
          <t>년,백만원</t>
        </is>
      </c>
      <c r="I276" s="17" t="n">
        <v>0</v>
      </c>
      <c r="J276" s="18" t="n">
        <v>15256</v>
      </c>
      <c r="K276" s="19" t="n">
        <v>15256</v>
      </c>
      <c r="L276" s="18" t="n">
        <v>15256</v>
      </c>
      <c r="M276" s="19" t="n">
        <v>7627</v>
      </c>
      <c r="N276" s="18" t="n">
        <v>7627</v>
      </c>
      <c r="O276" s="19" t="n">
        <v>7627</v>
      </c>
      <c r="P276" s="18" t="n">
        <v>7627</v>
      </c>
      <c r="Q276" s="19" t="n">
        <v>7627</v>
      </c>
      <c r="R276" s="18" t="n">
        <v>29627</v>
      </c>
      <c r="S276" s="20" t="n">
        <v>29627</v>
      </c>
      <c r="T276" s="6" t="n">
        <v>2</v>
      </c>
      <c r="U276" s="5" t="inlineStr">
        <is>
          <t>유지보수 도급 계약(*2) / 2026.02.10 /  | Siemens S/W 라이선스(*1) / 2023.12</t>
        </is>
      </c>
      <c r="V276" s="21">
        <f>HYPERLINK("https://dart.fss.or.kr/dsaf001/main.do?rcpNo=20260814003748", "공시열람")</f>
        <v/>
      </c>
    </row>
    <row r="277">
      <c r="A277" s="5" t="inlineStr">
        <is>
          <t>케이엘넷</t>
        </is>
      </c>
      <c r="B277" s="6" t="inlineStr">
        <is>
          <t>039420</t>
        </is>
      </c>
      <c r="C277" s="6" t="inlineStr">
        <is>
          <t>2026Q2</t>
        </is>
      </c>
      <c r="D277" s="6" t="inlineStr">
        <is>
          <t>20260814</t>
        </is>
      </c>
      <c r="E277" s="16" t="n">
        <v>20310724</v>
      </c>
      <c r="F277" s="16" t="n">
        <v>11077508</v>
      </c>
      <c r="G277" s="16" t="n">
        <v>9233216</v>
      </c>
      <c r="H277" s="6" t="inlineStr">
        <is>
          <t>천원</t>
        </is>
      </c>
      <c r="I277" s="17" t="n">
        <v>2</v>
      </c>
      <c r="J277" s="18" t="n">
        <v>10324860</v>
      </c>
      <c r="K277" s="19" t="n">
        <v>9396812</v>
      </c>
      <c r="L277" s="18" t="n">
        <v>5888058</v>
      </c>
      <c r="M277" s="19" t="n">
        <v>1730726</v>
      </c>
      <c r="N277" s="18" t="n">
        <v>110323955774</v>
      </c>
      <c r="O277" s="19" t="n">
        <v>7018826</v>
      </c>
      <c r="P277" s="18" t="n">
        <v>6203315852</v>
      </c>
      <c r="Q277" s="19" t="n">
        <v>4180832121</v>
      </c>
      <c r="R277" s="18" t="n">
        <v>9049597</v>
      </c>
      <c r="S277" s="20" t="n">
        <v>9233216</v>
      </c>
      <c r="T277" s="6" t="n">
        <v>27</v>
      </c>
      <c r="U277" s="5" t="inlineStr">
        <is>
          <t xml:space="preserve">SM / kobc 26년~29년 정보시스템 통합 유지보 | SM / 해운항만물류정보시스템 위탁운영(2026) | SI / 수협중앙회 정책보험 Web-EDI 심사시스템 </t>
        </is>
      </c>
      <c r="V277" s="21">
        <f>HYPERLINK("https://dart.fss.or.kr/dsaf001/main.do?rcpNo=20260814000872", "공시열람")</f>
        <v/>
      </c>
    </row>
    <row r="278">
      <c r="A278" s="5" t="inlineStr">
        <is>
          <t>에스티아이</t>
        </is>
      </c>
      <c r="B278" s="6" t="inlineStr">
        <is>
          <t>039440</t>
        </is>
      </c>
      <c r="C278" s="6" t="inlineStr">
        <is>
          <t>2026Q2</t>
        </is>
      </c>
      <c r="D278" s="6" t="inlineStr">
        <is>
          <t>20260814</t>
        </is>
      </c>
      <c r="E278" s="16" t="n">
        <v>868159874</v>
      </c>
      <c r="F278" s="16" t="n">
        <v>653809982</v>
      </c>
      <c r="G278" s="16" t="n">
        <v>214349892</v>
      </c>
      <c r="H278" s="6" t="inlineStr">
        <is>
          <t>천원</t>
        </is>
      </c>
      <c r="I278" s="17" t="n">
        <v>-8.4</v>
      </c>
      <c r="J278" s="18" t="n">
        <v>79303884</v>
      </c>
      <c r="K278" s="19" t="n">
        <v>24358209</v>
      </c>
      <c r="L278" s="18" t="n">
        <v>185035507</v>
      </c>
      <c r="M278" s="19" t="n">
        <v>168988142</v>
      </c>
      <c r="N278" s="18" t="n">
        <v>117463962</v>
      </c>
      <c r="O278" s="19" t="n">
        <v>82646540</v>
      </c>
      <c r="P278" s="18" t="n">
        <v>249275739</v>
      </c>
      <c r="Q278" s="19" t="n">
        <v>61414528</v>
      </c>
      <c r="R278" s="18" t="n">
        <v>233963325</v>
      </c>
      <c r="S278" s="20" t="n">
        <v>214349892</v>
      </c>
      <c r="T278" s="6" t="n">
        <v>1</v>
      </c>
      <c r="U278" s="5" t="inlineStr">
        <is>
          <t>LCD, 반도체등 제조장비 / 전기이월~2026.06.</t>
        </is>
      </c>
      <c r="V278" s="21">
        <f>HYPERLINK("https://dart.fss.or.kr/dsaf001/main.do?rcpNo=20260814001073", "공시열람")</f>
        <v/>
      </c>
    </row>
    <row r="279">
      <c r="A279" s="5" t="inlineStr">
        <is>
          <t>HDC랩스</t>
        </is>
      </c>
      <c r="B279" s="6" t="inlineStr">
        <is>
          <t>039570</t>
        </is>
      </c>
      <c r="C279" s="6" t="inlineStr">
        <is>
          <t>2026Q2</t>
        </is>
      </c>
      <c r="D279" s="6" t="inlineStr">
        <is>
          <t>20260814</t>
        </is>
      </c>
      <c r="E279" s="16" t="n">
        <v>1293094</v>
      </c>
      <c r="F279" s="16" t="n">
        <v>797975</v>
      </c>
      <c r="G279" s="16" t="n">
        <v>495119</v>
      </c>
      <c r="H279" s="6" t="inlineStr">
        <is>
          <t>백만원</t>
        </is>
      </c>
      <c r="I279" s="17" t="n">
        <v>-16</v>
      </c>
      <c r="J279" s="18" t="n">
        <v>529568</v>
      </c>
      <c r="K279" s="19" t="n">
        <v>507718</v>
      </c>
      <c r="L279" s="18" t="n">
        <v>441264</v>
      </c>
      <c r="M279" s="19" t="n">
        <v>347857</v>
      </c>
      <c r="N279" s="18" t="n">
        <v>560106</v>
      </c>
      <c r="O279" s="19" t="n">
        <v>499393</v>
      </c>
      <c r="P279" s="18" t="n">
        <v>472493</v>
      </c>
      <c r="Q279" s="19" t="n">
        <v>396270</v>
      </c>
      <c r="R279" s="18" t="n">
        <v>589570</v>
      </c>
      <c r="S279" s="20" t="n">
        <v>495119</v>
      </c>
      <c r="T279" s="6" t="n">
        <v>29</v>
      </c>
      <c r="U279" s="5" t="inlineStr">
        <is>
          <t>FM사업부문 / 기타(*) / HDC아이파크몰 외 /  | 건설사업부문 / 기타(*) / 강릉견소동공동주택소방공사 | 홈사업부문 / 기타(*) / 시티오씨엘3단지스마트홈솔루</t>
        </is>
      </c>
      <c r="V279" s="21">
        <f>HYPERLINK("https://dart.fss.or.kr/dsaf001/main.do?rcpNo=20260814004044", "공시열람")</f>
        <v/>
      </c>
    </row>
    <row r="280">
      <c r="A280" s="5" t="inlineStr">
        <is>
          <t>화성밸브</t>
        </is>
      </c>
      <c r="B280" s="6" t="inlineStr">
        <is>
          <t>039610</t>
        </is>
      </c>
      <c r="C280" s="6" t="inlineStr">
        <is>
          <t>2024Q4</t>
        </is>
      </c>
      <c r="D280" s="6" t="inlineStr">
        <is>
          <t>20250321</t>
        </is>
      </c>
      <c r="E280" s="16" t="n">
        <v>3870</v>
      </c>
      <c r="F280" s="16" t="n">
        <v>3870</v>
      </c>
      <c r="G280" s="16" t="n">
        <v>0</v>
      </c>
      <c r="H280" s="6" t="inlineStr">
        <is>
          <t>개,백만원</t>
        </is>
      </c>
      <c r="I280" s="17" t="inlineStr"/>
      <c r="J280" s="18" t="n">
        <v>0</v>
      </c>
      <c r="K280" s="19" t="n">
        <v>0</v>
      </c>
      <c r="L280" s="18" t="n">
        <v>0</v>
      </c>
      <c r="M280" s="19" t="n">
        <v>0</v>
      </c>
      <c r="N280" s="18" t="inlineStr"/>
      <c r="O280" s="19" t="inlineStr"/>
      <c r="P280" s="18" t="inlineStr"/>
      <c r="Q280" s="19" t="inlineStr"/>
      <c r="R280" s="18" t="inlineStr"/>
      <c r="S280" s="20" t="inlineStr"/>
      <c r="T280" s="6" t="n">
        <v>1</v>
      </c>
      <c r="U280" s="5" t="inlineStr">
        <is>
          <t>화성밸브(주) / 볼밸브 / 23.01.05</t>
        </is>
      </c>
      <c r="V280" s="21">
        <f>HYPERLINK("https://dart.fss.or.kr/dsaf001/main.do?rcpNo=20250321001566", "공시열람")</f>
        <v/>
      </c>
    </row>
    <row r="281">
      <c r="A281" s="5" t="inlineStr">
        <is>
          <t>폴라리스AI</t>
        </is>
      </c>
      <c r="B281" s="6" t="inlineStr">
        <is>
          <t>039980</t>
        </is>
      </c>
      <c r="C281" s="6" t="inlineStr">
        <is>
          <t>2026Q2</t>
        </is>
      </c>
      <c r="D281" s="6" t="inlineStr">
        <is>
          <t>20260814</t>
        </is>
      </c>
      <c r="E281" s="16" t="n">
        <v>12901188</v>
      </c>
      <c r="F281" s="16" t="n">
        <v>1069030</v>
      </c>
      <c r="G281" s="16" t="n">
        <v>11832158</v>
      </c>
      <c r="H281" s="6" t="inlineStr">
        <is>
          <t>천원</t>
        </is>
      </c>
      <c r="I281" s="17" t="n">
        <v>-3.7</v>
      </c>
      <c r="J281" s="18" t="n">
        <v>10633164</v>
      </c>
      <c r="K281" s="19" t="n">
        <v>8947876</v>
      </c>
      <c r="L281" s="18" t="n">
        <v>12396827</v>
      </c>
      <c r="M281" s="19" t="n">
        <v>4675002</v>
      </c>
      <c r="N281" s="18" t="n">
        <v>3468711</v>
      </c>
      <c r="O281" s="19" t="n">
        <v>6300767</v>
      </c>
      <c r="P281" s="18" t="n">
        <v>11936906</v>
      </c>
      <c r="Q281" s="19" t="n">
        <v>7378027</v>
      </c>
      <c r="R281" s="18" t="n">
        <v>12290941</v>
      </c>
      <c r="S281" s="20" t="n">
        <v>11832158</v>
      </c>
      <c r="T281" s="6" t="n">
        <v>4</v>
      </c>
      <c r="U281" s="5" t="inlineStr">
        <is>
          <t>마곡 16단지 공공주택 정보통신공사 사업 / 2025. | 성남복정1 C1,C2,C3BL 아파트 정보통신공사 /  | 시흥거모 A-7BL 아파트 정보통신공사 5공구 / 20</t>
        </is>
      </c>
      <c r="V281" s="21">
        <f>HYPERLINK("https://dart.fss.or.kr/dsaf001/main.do?rcpNo=20260814003885", "공시열람")</f>
        <v/>
      </c>
    </row>
    <row r="282">
      <c r="A282" s="5" t="inlineStr">
        <is>
          <t>누리플렉스</t>
        </is>
      </c>
      <c r="B282" s="6" t="inlineStr">
        <is>
          <t>040160</t>
        </is>
      </c>
      <c r="C282" s="6" t="inlineStr">
        <is>
          <t>2026Q2</t>
        </is>
      </c>
      <c r="D282" s="6" t="inlineStr">
        <is>
          <t>20260814</t>
        </is>
      </c>
      <c r="E282" s="16" t="n">
        <v>99709</v>
      </c>
      <c r="F282" s="16" t="inlineStr"/>
      <c r="G282" s="16" t="n">
        <v>99709</v>
      </c>
      <c r="H282" s="6" t="inlineStr">
        <is>
          <t>백만원</t>
        </is>
      </c>
      <c r="I282" s="17" t="n">
        <v>0</v>
      </c>
      <c r="J282" s="18" t="n">
        <v>37370746</v>
      </c>
      <c r="K282" s="19" t="n">
        <v>43007111</v>
      </c>
      <c r="L282" s="18" t="n">
        <v>11732411</v>
      </c>
      <c r="M282" s="19" t="n">
        <v>13971490</v>
      </c>
      <c r="N282" s="18" t="inlineStr"/>
      <c r="O282" s="19" t="inlineStr"/>
      <c r="P282" s="18" t="inlineStr"/>
      <c r="Q282" s="19" t="inlineStr"/>
      <c r="R282" s="18" t="n">
        <v>99709</v>
      </c>
      <c r="S282" s="20" t="n">
        <v>99709</v>
      </c>
      <c r="T282" s="6" t="n">
        <v>1</v>
      </c>
      <c r="U282" s="5" t="inlineStr">
        <is>
          <t>AMI / 2026.01.30 / 2032.01.28</t>
        </is>
      </c>
      <c r="V282" s="21">
        <f>HYPERLINK("https://dart.fss.or.kr/dsaf001/main.do?rcpNo=20260814001926", "공시열람")</f>
        <v/>
      </c>
    </row>
    <row r="283">
      <c r="A283" s="5" t="inlineStr">
        <is>
          <t>아이씨디</t>
        </is>
      </c>
      <c r="B283" s="6" t="inlineStr">
        <is>
          <t>040910</t>
        </is>
      </c>
      <c r="C283" s="6" t="inlineStr">
        <is>
          <t>2026Q2</t>
        </is>
      </c>
      <c r="D283" s="6" t="inlineStr">
        <is>
          <t>20260814</t>
        </is>
      </c>
      <c r="E283" s="16" t="n">
        <v>227621</v>
      </c>
      <c r="F283" s="16" t="n">
        <v>33941</v>
      </c>
      <c r="G283" s="16" t="n">
        <v>193680</v>
      </c>
      <c r="H283" s="6" t="inlineStr">
        <is>
          <t>백만원</t>
        </is>
      </c>
      <c r="I283" s="17" t="n">
        <v>7.8</v>
      </c>
      <c r="J283" s="18" t="n">
        <v>171784</v>
      </c>
      <c r="K283" s="19" t="n">
        <v>161629</v>
      </c>
      <c r="L283" s="18" t="n">
        <v>130828</v>
      </c>
      <c r="M283" s="19" t="n">
        <v>158701</v>
      </c>
      <c r="N283" s="18" t="n">
        <v>149315</v>
      </c>
      <c r="O283" s="19" t="n">
        <v>81012</v>
      </c>
      <c r="P283" s="18" t="n">
        <v>105103</v>
      </c>
      <c r="Q283" s="19" t="n">
        <v>168477</v>
      </c>
      <c r="R283" s="18" t="n">
        <v>179625</v>
      </c>
      <c r="S283" s="20" t="n">
        <v>193680</v>
      </c>
      <c r="T283" s="6" t="n">
        <v>1</v>
      </c>
      <c r="U283" s="5" t="inlineStr">
        <is>
          <t>디스플레이 제조 장비 / -</t>
        </is>
      </c>
      <c r="V283" s="21">
        <f>HYPERLINK("https://dart.fss.or.kr/dsaf001/main.do?rcpNo=20260814002631", "공시열람")</f>
        <v/>
      </c>
    </row>
    <row r="284">
      <c r="A284" s="5" t="inlineStr">
        <is>
          <t>폴라리스오피스</t>
        </is>
      </c>
      <c r="B284" s="6" t="inlineStr">
        <is>
          <t>041020</t>
        </is>
      </c>
      <c r="C284" s="6" t="inlineStr">
        <is>
          <t>2025Q2</t>
        </is>
      </c>
      <c r="D284" s="6" t="inlineStr">
        <is>
          <t>20250814</t>
        </is>
      </c>
      <c r="E284" s="16" t="n">
        <v>53300411</v>
      </c>
      <c r="F284" s="16" t="n">
        <v>43616063</v>
      </c>
      <c r="G284" s="16" t="n">
        <v>6300767</v>
      </c>
      <c r="H284" s="6" t="inlineStr">
        <is>
          <t>천원</t>
        </is>
      </c>
      <c r="I284" s="17" t="n">
        <v>81.59999999999999</v>
      </c>
      <c r="J284" s="18" t="n">
        <v>0</v>
      </c>
      <c r="K284" s="19" t="n">
        <v>8947876</v>
      </c>
      <c r="L284" s="18" t="n">
        <v>12396827</v>
      </c>
      <c r="M284" s="19" t="n">
        <v>4675002</v>
      </c>
      <c r="N284" s="18" t="n">
        <v>3468711</v>
      </c>
      <c r="O284" s="19" t="n">
        <v>6300767</v>
      </c>
      <c r="P284" s="18" t="inlineStr"/>
      <c r="Q284" s="19" t="inlineStr"/>
      <c r="R284" s="18" t="inlineStr"/>
      <c r="S284" s="20" t="inlineStr"/>
      <c r="T284" s="6" t="n">
        <v>3</v>
      </c>
      <c r="U284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284" s="21">
        <f>HYPERLINK("https://dart.fss.or.kr/dsaf001/main.do?rcpNo=20250814004123", "공시열람")</f>
        <v/>
      </c>
    </row>
    <row r="285">
      <c r="A285" s="5" t="inlineStr">
        <is>
          <t>현대에버다임</t>
        </is>
      </c>
      <c r="B285" s="6" t="inlineStr">
        <is>
          <t>041440</t>
        </is>
      </c>
      <c r="C285" s="6" t="inlineStr">
        <is>
          <t>2026Q2</t>
        </is>
      </c>
      <c r="D285" s="6" t="inlineStr">
        <is>
          <t>20260814</t>
        </is>
      </c>
      <c r="E285" s="16" t="n">
        <v>135300</v>
      </c>
      <c r="F285" s="16" t="inlineStr"/>
      <c r="G285" s="16" t="n">
        <v>135300</v>
      </c>
      <c r="H285" s="6" t="inlineStr">
        <is>
          <t>대,백만원</t>
        </is>
      </c>
      <c r="I285" s="17" t="n">
        <v>0</v>
      </c>
      <c r="J285" s="18" t="n">
        <v>76260</v>
      </c>
      <c r="K285" s="19" t="n">
        <v>76260</v>
      </c>
      <c r="L285" s="18" t="n">
        <v>76260</v>
      </c>
      <c r="M285" s="19" t="n">
        <v>17820</v>
      </c>
      <c r="N285" s="18" t="n">
        <v>13365</v>
      </c>
      <c r="O285" s="19" t="n">
        <v>0</v>
      </c>
      <c r="P285" s="18" t="n">
        <v>135280</v>
      </c>
      <c r="Q285" s="19" t="n">
        <v>135300</v>
      </c>
      <c r="R285" s="18" t="n">
        <v>135300</v>
      </c>
      <c r="S285" s="20" t="n">
        <v>135300</v>
      </c>
      <c r="T285" s="6" t="n">
        <v>1</v>
      </c>
      <c r="U285" s="5" t="inlineStr">
        <is>
          <t>이라크 내무부소방구조 차량 공급 / 2025.08.27</t>
        </is>
      </c>
      <c r="V285" s="21">
        <f>HYPERLINK("https://dart.fss.or.kr/dsaf001/main.do?rcpNo=20260814001780", "공시열람")</f>
        <v/>
      </c>
    </row>
    <row r="286">
      <c r="A286" s="5" t="inlineStr">
        <is>
          <t>코미팜</t>
        </is>
      </c>
      <c r="B286" s="6" t="inlineStr">
        <is>
          <t>041960</t>
        </is>
      </c>
      <c r="C286" s="6" t="inlineStr">
        <is>
          <t>2026Q2</t>
        </is>
      </c>
      <c r="D286" s="6" t="inlineStr">
        <is>
          <t>20260813</t>
        </is>
      </c>
      <c r="E286" s="16" t="n">
        <v>17771910</v>
      </c>
      <c r="F286" s="16" t="n">
        <v>8252066</v>
      </c>
      <c r="G286" s="16" t="n">
        <v>9519844</v>
      </c>
      <c r="H286" s="6" t="inlineStr">
        <is>
          <t>천원</t>
        </is>
      </c>
      <c r="I286" s="17" t="n">
        <v>-23.7</v>
      </c>
      <c r="J286" s="18" t="n">
        <v>15002415</v>
      </c>
      <c r="K286" s="19" t="n">
        <v>5668202</v>
      </c>
      <c r="L286" s="18" t="n">
        <v>8042868</v>
      </c>
      <c r="M286" s="19" t="n">
        <v>5688688</v>
      </c>
      <c r="N286" s="18" t="n">
        <v>8258933</v>
      </c>
      <c r="O286" s="19" t="n">
        <v>6459237</v>
      </c>
      <c r="P286" s="18" t="n">
        <v>8516348</v>
      </c>
      <c r="Q286" s="19" t="n">
        <v>7899047</v>
      </c>
      <c r="R286" s="18" t="n">
        <v>12480962</v>
      </c>
      <c r="S286" s="20" t="n">
        <v>9519844</v>
      </c>
      <c r="T286" s="6" t="n">
        <v>2</v>
      </c>
      <c r="U286" s="5" t="inlineStr">
        <is>
          <t>동물약품-구제역백신 / 2025-10-14 / 2026 | 동물약품-기초백신 / 2024-01-16 / 2027-</t>
        </is>
      </c>
      <c r="V286" s="21">
        <f>HYPERLINK("https://dart.fss.or.kr/dsaf001/main.do?rcpNo=20260813001159", "공시열람")</f>
        <v/>
      </c>
    </row>
    <row r="287">
      <c r="A287" s="5" t="inlineStr">
        <is>
          <t>케이피엠테크</t>
        </is>
      </c>
      <c r="B287" s="6" t="inlineStr">
        <is>
          <t>042040</t>
        </is>
      </c>
      <c r="C287" s="6" t="inlineStr">
        <is>
          <t>2023Q4</t>
        </is>
      </c>
      <c r="D287" s="6" t="inlineStr">
        <is>
          <t>20240321</t>
        </is>
      </c>
      <c r="E287" s="16" t="n">
        <v>6301782</v>
      </c>
      <c r="F287" s="16" t="n">
        <v>6301782</v>
      </c>
      <c r="G287" s="16" t="n">
        <v>0</v>
      </c>
      <c r="H287" s="6" t="inlineStr">
        <is>
          <t>천원</t>
        </is>
      </c>
      <c r="I287" s="17" t="inlineStr"/>
      <c r="J287" s="18" t="inlineStr"/>
      <c r="K287" s="19" t="inlineStr"/>
      <c r="L287" s="18" t="inlineStr"/>
      <c r="M287" s="19" t="inlineStr"/>
      <c r="N287" s="18" t="inlineStr"/>
      <c r="O287" s="19" t="inlineStr"/>
      <c r="P287" s="18" t="inlineStr"/>
      <c r="Q287" s="19" t="inlineStr"/>
      <c r="R287" s="18" t="inlineStr"/>
      <c r="S287" s="20" t="inlineStr"/>
      <c r="T287" s="6" t="n">
        <v>1</v>
      </c>
      <c r="U287" s="5" t="inlineStr">
        <is>
          <t xml:space="preserve">표면처리 설비 개선 시공 계약 / 2023.02.28 </t>
        </is>
      </c>
      <c r="V287" s="21">
        <f>HYPERLINK("https://dart.fss.or.kr/dsaf001/main.do?rcpNo=20240321001199", "공시열람")</f>
        <v/>
      </c>
    </row>
    <row r="288">
      <c r="A288" s="5" t="inlineStr">
        <is>
          <t>비츠로테크</t>
        </is>
      </c>
      <c r="B288" s="6" t="inlineStr">
        <is>
          <t>042370</t>
        </is>
      </c>
      <c r="C288" s="6" t="inlineStr">
        <is>
          <t>2026Q2</t>
        </is>
      </c>
      <c r="D288" s="6" t="inlineStr">
        <is>
          <t>20260814</t>
        </is>
      </c>
      <c r="E288" s="16" t="n">
        <v>184545</v>
      </c>
      <c r="F288" s="16" t="n">
        <v>102791</v>
      </c>
      <c r="G288" s="16" t="n">
        <v>81754</v>
      </c>
      <c r="H288" s="6" t="inlineStr">
        <is>
          <t>백만원</t>
        </is>
      </c>
      <c r="I288" s="17" t="n">
        <v>18.1</v>
      </c>
      <c r="J288" s="18" t="n">
        <v>125275</v>
      </c>
      <c r="K288" s="19" t="n">
        <v>110193</v>
      </c>
      <c r="L288" s="18" t="n">
        <v>94241</v>
      </c>
      <c r="M288" s="19" t="n">
        <v>71569</v>
      </c>
      <c r="N288" s="18" t="n">
        <v>51888</v>
      </c>
      <c r="O288" s="19" t="n">
        <v>38310</v>
      </c>
      <c r="P288" s="18" t="n">
        <v>24351</v>
      </c>
      <c r="Q288" s="19" t="n">
        <v>72235</v>
      </c>
      <c r="R288" s="18" t="n">
        <v>69234</v>
      </c>
      <c r="S288" s="20" t="n">
        <v>81754</v>
      </c>
      <c r="T288" s="6" t="n">
        <v>1</v>
      </c>
      <c r="U288" s="5" t="inlineStr">
        <is>
          <t>연소기외 / -</t>
        </is>
      </c>
      <c r="V288" s="21">
        <f>HYPERLINK("https://dart.fss.or.kr/dsaf001/main.do?rcpNo=20260814001559", "공시열람")</f>
        <v/>
      </c>
    </row>
    <row r="289">
      <c r="A289" s="5" t="inlineStr">
        <is>
          <t>링네트</t>
        </is>
      </c>
      <c r="B289" s="6" t="inlineStr">
        <is>
          <t>042500</t>
        </is>
      </c>
      <c r="C289" s="6" t="inlineStr">
        <is>
          <t>2026Q2</t>
        </is>
      </c>
      <c r="D289" s="6" t="inlineStr">
        <is>
          <t>20260814</t>
        </is>
      </c>
      <c r="E289" s="16" t="n">
        <v>117184034386</v>
      </c>
      <c r="F289" s="16" t="n">
        <v>41038893952</v>
      </c>
      <c r="G289" s="16" t="n">
        <v>76145140434</v>
      </c>
      <c r="H289" s="6" t="inlineStr">
        <is>
          <t>원</t>
        </is>
      </c>
      <c r="I289" s="17" t="n">
        <v>103</v>
      </c>
      <c r="J289" s="18" t="n">
        <v>29813476576</v>
      </c>
      <c r="K289" s="19" t="n">
        <v>42544586704</v>
      </c>
      <c r="L289" s="18" t="n">
        <v>45382042901</v>
      </c>
      <c r="M289" s="19" t="n">
        <v>53297566998</v>
      </c>
      <c r="N289" s="18" t="n">
        <v>26679773874</v>
      </c>
      <c r="O289" s="19" t="n">
        <v>55122985668</v>
      </c>
      <c r="P289" s="18" t="n">
        <v>60893026041</v>
      </c>
      <c r="Q289" s="19" t="n">
        <v>49632729927</v>
      </c>
      <c r="R289" s="18" t="n">
        <v>37515545538</v>
      </c>
      <c r="S289" s="20" t="n">
        <v>76145140434</v>
      </c>
      <c r="T289" s="6" t="n">
        <v>11</v>
      </c>
      <c r="U289" s="5" t="inlineStr">
        <is>
          <t>기타 | 일반기업A / ~2026.11 | 공공기업A / ~2026.07</t>
        </is>
      </c>
      <c r="V289" s="21">
        <f>HYPERLINK("https://dart.fss.or.kr/dsaf001/main.do?rcpNo=20260814000865", "공시열람")</f>
        <v/>
      </c>
    </row>
    <row r="290">
      <c r="A290" s="5" t="inlineStr">
        <is>
          <t>한화오션</t>
        </is>
      </c>
      <c r="B290" s="6" t="inlineStr">
        <is>
          <t>042660</t>
        </is>
      </c>
      <c r="C290" s="6" t="inlineStr">
        <is>
          <t>2026Q2</t>
        </is>
      </c>
      <c r="D290" s="6" t="inlineStr">
        <is>
          <t>20260812</t>
        </is>
      </c>
      <c r="E290" s="16" t="n">
        <v>41675211</v>
      </c>
      <c r="F290" s="16" t="inlineStr"/>
      <c r="G290" s="16" t="n">
        <v>33008410</v>
      </c>
      <c r="H290" s="6" t="inlineStr">
        <is>
          <t>백만원</t>
        </is>
      </c>
      <c r="I290" s="17" t="n">
        <v>-6.7</v>
      </c>
      <c r="J290" s="18" t="n">
        <v>27346967</v>
      </c>
      <c r="K290" s="19" t="n">
        <v>29334548</v>
      </c>
      <c r="L290" s="18" t="n">
        <v>27288811</v>
      </c>
      <c r="M290" s="19" t="n">
        <v>30431900</v>
      </c>
      <c r="N290" s="18" t="n">
        <v>31040184</v>
      </c>
      <c r="O290" s="19" t="n">
        <v>27489133</v>
      </c>
      <c r="P290" s="18" t="n">
        <v>28904399</v>
      </c>
      <c r="Q290" s="19" t="n">
        <v>34495064</v>
      </c>
      <c r="R290" s="18" t="n">
        <v>35374442</v>
      </c>
      <c r="S290" s="20" t="n">
        <v>33008410</v>
      </c>
      <c r="T290" s="6" t="n">
        <v>3</v>
      </c>
      <c r="U290" s="5" t="inlineStr">
        <is>
          <t>상선 / 2026.06.30일까지 / - | EP 및 특수선 / 2026.06.30일까지 / - | 기타 / 2026.06.30일까지 / -</t>
        </is>
      </c>
      <c r="V290" s="21">
        <f>HYPERLINK("https://dart.fss.or.kr/dsaf001/main.do?rcpNo=20260812000829", "공시열람")</f>
        <v/>
      </c>
    </row>
    <row r="291">
      <c r="A291" s="5" t="inlineStr">
        <is>
          <t>상지건설</t>
        </is>
      </c>
      <c r="B291" s="6" t="inlineStr">
        <is>
          <t>042940</t>
        </is>
      </c>
      <c r="C291" s="6" t="inlineStr">
        <is>
          <t>2026Q2</t>
        </is>
      </c>
      <c r="D291" s="6" t="inlineStr">
        <is>
          <t>20260818</t>
        </is>
      </c>
      <c r="E291" s="16" t="inlineStr"/>
      <c r="F291" s="16" t="inlineStr"/>
      <c r="G291" s="16" t="n">
        <v>163696206</v>
      </c>
      <c r="H291" s="6" t="inlineStr">
        <is>
          <t>천원</t>
        </is>
      </c>
      <c r="I291" s="17" t="n">
        <v>102764.3</v>
      </c>
      <c r="J291" s="18" t="n">
        <v>158978915</v>
      </c>
      <c r="K291" s="19" t="n">
        <v>98745909</v>
      </c>
      <c r="L291" s="18" t="n">
        <v>94891988</v>
      </c>
      <c r="M291" s="19" t="n">
        <v>90781901</v>
      </c>
      <c r="N291" s="18" t="n">
        <v>104105</v>
      </c>
      <c r="O291" s="19" t="n">
        <v>134127938</v>
      </c>
      <c r="P291" s="18" t="n">
        <v>126843253</v>
      </c>
      <c r="Q291" s="19" t="n">
        <v>152678</v>
      </c>
      <c r="R291" s="18" t="n">
        <v>159138</v>
      </c>
      <c r="S291" s="20" t="n">
        <v>163696206</v>
      </c>
      <c r="T291" s="6" t="n">
        <v>1</v>
      </c>
      <c r="U291" s="5" t="inlineStr">
        <is>
          <t xml:space="preserve">㈜씨아이테크 외 / 신촌동 씨아이테크그룹사옥 신축공사 </t>
        </is>
      </c>
      <c r="V291" s="21">
        <f>HYPERLINK("https://dart.fss.or.kr/dsaf001/main.do?rcpNo=20260818000293", "공시열람")</f>
        <v/>
      </c>
    </row>
    <row r="292">
      <c r="A292" s="5" t="inlineStr">
        <is>
          <t>더테크놀로지</t>
        </is>
      </c>
      <c r="B292" s="6" t="inlineStr">
        <is>
          <t>043090</t>
        </is>
      </c>
      <c r="C292" s="6" t="inlineStr">
        <is>
          <t>2022Q4</t>
        </is>
      </c>
      <c r="D292" s="6" t="inlineStr">
        <is>
          <t>20260707</t>
        </is>
      </c>
      <c r="E292" s="16" t="n">
        <v>4092727273</v>
      </c>
      <c r="F292" s="16" t="n">
        <v>1500000000</v>
      </c>
      <c r="G292" s="16" t="n">
        <v>2592727273</v>
      </c>
      <c r="H292" s="6" t="inlineStr">
        <is>
          <t>원</t>
        </is>
      </c>
      <c r="I292" s="17" t="n">
        <v>135.7</v>
      </c>
      <c r="J292" s="18" t="inlineStr"/>
      <c r="K292" s="19" t="inlineStr"/>
      <c r="L292" s="18" t="inlineStr"/>
      <c r="M292" s="19" t="inlineStr"/>
      <c r="N292" s="18" t="inlineStr"/>
      <c r="O292" s="19" t="inlineStr"/>
      <c r="P292" s="18" t="inlineStr"/>
      <c r="Q292" s="19" t="inlineStr"/>
      <c r="R292" s="18" t="inlineStr"/>
      <c r="S292" s="20" t="inlineStr"/>
      <c r="T292" s="6" t="n">
        <v>4</v>
      </c>
      <c r="U292" s="5" t="inlineStr">
        <is>
          <t>음식물처리기 / 2022.08.03 / 2022.12. | PM용역 / 2022.03.18 / 2023.06.30 | PM용역 / 2021.11.12 / 2022.12.31</t>
        </is>
      </c>
      <c r="V292" s="21">
        <f>HYPERLINK("https://dart.fss.or.kr/dsaf001/main.do?rcpNo=20260707000068", "공시열람")</f>
        <v/>
      </c>
    </row>
    <row r="293">
      <c r="A293" s="5" t="inlineStr">
        <is>
          <t>파루</t>
        </is>
      </c>
      <c r="B293" s="6" t="inlineStr">
        <is>
          <t>043200</t>
        </is>
      </c>
      <c r="C293" s="6" t="inlineStr">
        <is>
          <t>2026Q2</t>
        </is>
      </c>
      <c r="D293" s="6" t="inlineStr">
        <is>
          <t>20260930</t>
        </is>
      </c>
      <c r="E293" s="16" t="n">
        <v>19724</v>
      </c>
      <c r="F293" s="16" t="n">
        <v>12546</v>
      </c>
      <c r="G293" s="16" t="n">
        <v>7178</v>
      </c>
      <c r="H293" s="6" t="inlineStr">
        <is>
          <t>백만원</t>
        </is>
      </c>
      <c r="I293" s="17" t="n">
        <v>90.90000000000001</v>
      </c>
      <c r="J293" s="18" t="n">
        <v>11497</v>
      </c>
      <c r="K293" s="19" t="n">
        <v>13940</v>
      </c>
      <c r="L293" s="18" t="n">
        <v>10485</v>
      </c>
      <c r="M293" s="19" t="n">
        <v>11471</v>
      </c>
      <c r="N293" s="18" t="n">
        <v>9933</v>
      </c>
      <c r="O293" s="19" t="n">
        <v>9976</v>
      </c>
      <c r="P293" s="18" t="n">
        <v>9789</v>
      </c>
      <c r="Q293" s="19" t="n">
        <v>5817</v>
      </c>
      <c r="R293" s="18" t="n">
        <v>3761</v>
      </c>
      <c r="S293" s="20" t="n">
        <v>7178</v>
      </c>
      <c r="T293" s="6" t="n">
        <v>1</v>
      </c>
      <c r="U293" s="5" t="inlineStr">
        <is>
          <t>태양광 / -</t>
        </is>
      </c>
      <c r="V293" s="21">
        <f>HYPERLINK("https://dart.fss.or.kr/dsaf001/main.do?rcpNo=20260930000393", "공시열람")</f>
        <v/>
      </c>
    </row>
    <row r="294">
      <c r="A294" s="5" t="inlineStr">
        <is>
          <t>성호전자</t>
        </is>
      </c>
      <c r="B294" s="6" t="inlineStr">
        <is>
          <t>043260</t>
        </is>
      </c>
      <c r="C294" s="6" t="inlineStr">
        <is>
          <t>2024Q3</t>
        </is>
      </c>
      <c r="D294" s="6" t="inlineStr">
        <is>
          <t>20241114</t>
        </is>
      </c>
      <c r="E294" s="16" t="n">
        <v>15725042</v>
      </c>
      <c r="F294" s="16" t="n">
        <v>12527406</v>
      </c>
      <c r="G294" s="16" t="n">
        <v>3197636</v>
      </c>
      <c r="H294" s="6" t="inlineStr">
        <is>
          <t>천개또는KG,백만원</t>
        </is>
      </c>
      <c r="I294" s="17" t="n">
        <v>66448.10000000001</v>
      </c>
      <c r="J294" s="18" t="n">
        <v>6961</v>
      </c>
      <c r="K294" s="19" t="n">
        <v>4805</v>
      </c>
      <c r="L294" s="18" t="n">
        <v>3197636</v>
      </c>
      <c r="M294" s="19" t="inlineStr"/>
      <c r="N294" s="18" t="inlineStr"/>
      <c r="O294" s="19" t="inlineStr"/>
      <c r="P294" s="18" t="inlineStr"/>
      <c r="Q294" s="19" t="inlineStr"/>
      <c r="R294" s="18" t="inlineStr"/>
      <c r="S294" s="20" t="inlineStr"/>
      <c r="T294" s="6" t="n">
        <v>2</v>
      </c>
      <c r="U294" s="5" t="inlineStr">
        <is>
          <t>전원공급장치 (천개) / 2024년 8월~2024년 9 | 필름콘덴서 (천개) / 2024년 8월~2024년 9월</t>
        </is>
      </c>
      <c r="V294" s="21">
        <f>HYPERLINK("https://dart.fss.or.kr/dsaf001/main.do?rcpNo=20241114001000", "공시열람")</f>
        <v/>
      </c>
    </row>
    <row r="295">
      <c r="A295" s="5" t="inlineStr">
        <is>
          <t>에쎈테크</t>
        </is>
      </c>
      <c r="B295" s="6" t="inlineStr">
        <is>
          <t>043340</t>
        </is>
      </c>
      <c r="C295" s="6" t="inlineStr">
        <is>
          <t>2025Q2</t>
        </is>
      </c>
      <c r="D295" s="6" t="inlineStr">
        <is>
          <t>20250813</t>
        </is>
      </c>
      <c r="E295" s="16" t="n">
        <v>48135</v>
      </c>
      <c r="F295" s="16" t="n">
        <v>2949</v>
      </c>
      <c r="G295" s="16" t="n">
        <v>45186</v>
      </c>
      <c r="H295" s="6" t="inlineStr">
        <is>
          <t>백만원</t>
        </is>
      </c>
      <c r="I295" s="17" t="n">
        <v>-0.3</v>
      </c>
      <c r="J295" s="18" t="n">
        <v>46019</v>
      </c>
      <c r="K295" s="19" t="n">
        <v>45975</v>
      </c>
      <c r="L295" s="18" t="n">
        <v>45782</v>
      </c>
      <c r="M295" s="19" t="n">
        <v>45715</v>
      </c>
      <c r="N295" s="18" t="n">
        <v>45301</v>
      </c>
      <c r="O295" s="19" t="n">
        <v>45186</v>
      </c>
      <c r="P295" s="18" t="inlineStr"/>
      <c r="Q295" s="19" t="inlineStr"/>
      <c r="R295" s="18" t="inlineStr"/>
      <c r="S295" s="20" t="inlineStr"/>
      <c r="T295" s="6" t="n">
        <v>1</v>
      </c>
      <c r="U295" s="5" t="inlineStr">
        <is>
          <t>냉매용 무용접 연결 피팅 / 2020.07.15 ~ 2</t>
        </is>
      </c>
      <c r="V295" s="21">
        <f>HYPERLINK("https://dart.fss.or.kr/dsaf001/main.do?rcpNo=20250813001601", "공시열람")</f>
        <v/>
      </c>
    </row>
    <row r="296">
      <c r="A296" s="5" t="inlineStr">
        <is>
          <t>웰킵스하이텍</t>
        </is>
      </c>
      <c r="B296" s="6" t="inlineStr">
        <is>
          <t>043590</t>
        </is>
      </c>
      <c r="C296" s="6" t="inlineStr">
        <is>
          <t>2026Q2</t>
        </is>
      </c>
      <c r="D296" s="6" t="inlineStr">
        <is>
          <t>20260814</t>
        </is>
      </c>
      <c r="E296" s="16" t="n">
        <v>4226336</v>
      </c>
      <c r="F296" s="16" t="n">
        <v>1943393</v>
      </c>
      <c r="G296" s="16" t="n">
        <v>2282942</v>
      </c>
      <c r="H296" s="6" t="inlineStr">
        <is>
          <t>천원</t>
        </is>
      </c>
      <c r="I296" s="17" t="n">
        <v>-11.6</v>
      </c>
      <c r="J296" s="18" t="n">
        <v>1380000</v>
      </c>
      <c r="K296" s="19" t="n">
        <v>1959527</v>
      </c>
      <c r="L296" s="18" t="n">
        <v>1959527</v>
      </c>
      <c r="M296" s="19" t="n">
        <v>2773759</v>
      </c>
      <c r="N296" s="18" t="n">
        <v>3601039</v>
      </c>
      <c r="O296" s="19" t="n">
        <v>2384194</v>
      </c>
      <c r="P296" s="18" t="n">
        <v>2520379</v>
      </c>
      <c r="Q296" s="19" t="n">
        <v>1758092</v>
      </c>
      <c r="R296" s="18" t="n">
        <v>2581516</v>
      </c>
      <c r="S296" s="20" t="n">
        <v>2282942</v>
      </c>
      <c r="T296" s="6" t="n">
        <v>1</v>
      </c>
      <c r="U296" s="5" t="inlineStr">
        <is>
          <t>Touch IC / 2026년</t>
        </is>
      </c>
      <c r="V296" s="21">
        <f>HYPERLINK("https://dart.fss.or.kr/dsaf001/main.do?rcpNo=20260814002842", "공시열람")</f>
        <v/>
      </c>
    </row>
    <row r="297">
      <c r="A297" s="5" t="inlineStr">
        <is>
          <t>자연과환경</t>
        </is>
      </c>
      <c r="B297" s="6" t="inlineStr">
        <is>
          <t>043910</t>
        </is>
      </c>
      <c r="C297" s="6" t="inlineStr">
        <is>
          <t>2026Q2</t>
        </is>
      </c>
      <c r="D297" s="6" t="inlineStr">
        <is>
          <t>20260814</t>
        </is>
      </c>
      <c r="E297" s="16" t="n">
        <v>134559207</v>
      </c>
      <c r="F297" s="16" t="n">
        <v>17192420</v>
      </c>
      <c r="G297" s="16" t="n">
        <v>117366787</v>
      </c>
      <c r="H297" s="6" t="inlineStr">
        <is>
          <t>천원</t>
        </is>
      </c>
      <c r="I297" s="17" t="n">
        <v>1.5</v>
      </c>
      <c r="J297" s="18" t="n">
        <v>50230772</v>
      </c>
      <c r="K297" s="19" t="n">
        <v>53457468</v>
      </c>
      <c r="L297" s="18" t="n">
        <v>48155005</v>
      </c>
      <c r="M297" s="19" t="n">
        <v>82372870</v>
      </c>
      <c r="N297" s="18" t="n">
        <v>74236757</v>
      </c>
      <c r="O297" s="19" t="n">
        <v>64042634</v>
      </c>
      <c r="P297" s="18" t="n">
        <v>55294708</v>
      </c>
      <c r="Q297" s="19" t="n">
        <v>103058355</v>
      </c>
      <c r="R297" s="18" t="n">
        <v>115637912</v>
      </c>
      <c r="S297" s="20" t="n">
        <v>117366787</v>
      </c>
      <c r="T297" s="6" t="n">
        <v>4</v>
      </c>
      <c r="U297" s="5" t="inlineStr">
        <is>
          <t>호안블록, 투수블록, PC저류조 등 / - | 토양오염복원 / - | 조경/건축공사, 수질정화 외 / -</t>
        </is>
      </c>
      <c r="V297" s="21">
        <f>HYPERLINK("https://dart.fss.or.kr/dsaf001/main.do?rcpNo=20260814001222", "공시열람")</f>
        <v/>
      </c>
    </row>
    <row r="298">
      <c r="A298" s="5" t="inlineStr">
        <is>
          <t>KD</t>
        </is>
      </c>
      <c r="B298" s="6" t="inlineStr">
        <is>
          <t>044180</t>
        </is>
      </c>
      <c r="C298" s="6" t="inlineStr">
        <is>
          <t>2026Q2</t>
        </is>
      </c>
      <c r="D298" s="6" t="inlineStr">
        <is>
          <t>20261007</t>
        </is>
      </c>
      <c r="E298" s="16" t="n">
        <v>66853208</v>
      </c>
      <c r="F298" s="16" t="n">
        <v>33407348</v>
      </c>
      <c r="G298" s="16" t="n">
        <v>33445860</v>
      </c>
      <c r="H298" s="6" t="inlineStr">
        <is>
          <t>천원</t>
        </is>
      </c>
      <c r="I298" s="17" t="n">
        <v>-5.7</v>
      </c>
      <c r="J298" s="18" t="n">
        <v>83768000</v>
      </c>
      <c r="K298" s="19" t="n">
        <v>31075494</v>
      </c>
      <c r="L298" s="18" t="n">
        <v>32581543</v>
      </c>
      <c r="M298" s="19" t="n">
        <v>43899544</v>
      </c>
      <c r="N298" s="18" t="n">
        <v>43442512</v>
      </c>
      <c r="O298" s="19" t="n">
        <v>46261829</v>
      </c>
      <c r="P298" s="18" t="n">
        <v>42642369</v>
      </c>
      <c r="Q298" s="19" t="n">
        <v>35670781</v>
      </c>
      <c r="R298" s="18" t="n">
        <v>35459698</v>
      </c>
      <c r="S298" s="20" t="n">
        <v>33445860</v>
      </c>
      <c r="T298" s="6" t="n">
        <v>6</v>
      </c>
      <c r="U298" s="5" t="inlineStr">
        <is>
          <t>독산동 지역주택조합아파트 신축공사 / 2024-03-2 | 동탄2지구블록형단독주택용지대지조성및부대시설공사 / 20 | 진사지구 수리시설개보수사업 토목공사 / 2025-02-</t>
        </is>
      </c>
      <c r="V298" s="21">
        <f>HYPERLINK("https://dart.fss.or.kr/dsaf001/main.do?rcpNo=20261007000182", "공시열람")</f>
        <v/>
      </c>
    </row>
    <row r="299">
      <c r="A299" s="5" t="inlineStr">
        <is>
          <t>주연테크</t>
        </is>
      </c>
      <c r="B299" s="6" t="inlineStr">
        <is>
          <t>044380</t>
        </is>
      </c>
      <c r="C299" s="6" t="inlineStr">
        <is>
          <t>2026Q2</t>
        </is>
      </c>
      <c r="D299" s="6" t="inlineStr">
        <is>
          <t>20260813</t>
        </is>
      </c>
      <c r="E299" s="16" t="n">
        <v>2161909090</v>
      </c>
      <c r="F299" s="16" t="n">
        <v>614320000</v>
      </c>
      <c r="G299" s="16" t="n">
        <v>1547589090</v>
      </c>
      <c r="H299" s="6" t="inlineStr">
        <is>
          <t>개,원</t>
        </is>
      </c>
      <c r="I299" s="17" t="inlineStr"/>
      <c r="J299" s="18" t="inlineStr"/>
      <c r="K299" s="19" t="inlineStr"/>
      <c r="L299" s="18" t="inlineStr"/>
      <c r="M299" s="19" t="inlineStr"/>
      <c r="N299" s="18" t="inlineStr"/>
      <c r="O299" s="19" t="inlineStr"/>
      <c r="P299" s="18" t="inlineStr"/>
      <c r="Q299" s="19" t="inlineStr"/>
      <c r="R299" s="18" t="inlineStr"/>
      <c r="S299" s="20" t="n">
        <v>1547589090</v>
      </c>
      <c r="T299" s="6" t="n">
        <v>2</v>
      </c>
      <c r="U299" s="5" t="inlineStr">
        <is>
          <t>데스크탑PC / 2026.06.18 / 2027.05. | 모니터 / 2026.06.18 / 2027.05.31</t>
        </is>
      </c>
      <c r="V299" s="21">
        <f>HYPERLINK("https://dart.fss.or.kr/dsaf001/main.do?rcpNo=20260813000944", "공시열람")</f>
        <v/>
      </c>
    </row>
    <row r="300">
      <c r="A300" s="5" t="inlineStr">
        <is>
          <t>태웅</t>
        </is>
      </c>
      <c r="B300" s="6" t="inlineStr">
        <is>
          <t>044490</t>
        </is>
      </c>
      <c r="C300" s="6" t="inlineStr">
        <is>
          <t>2026Q2</t>
        </is>
      </c>
      <c r="D300" s="6" t="inlineStr">
        <is>
          <t>20260814</t>
        </is>
      </c>
      <c r="E300" s="16" t="n">
        <v>195783</v>
      </c>
      <c r="F300" s="16" t="inlineStr"/>
      <c r="G300" s="16" t="n">
        <v>184956</v>
      </c>
      <c r="H300" s="6" t="inlineStr">
        <is>
          <t>백만원</t>
        </is>
      </c>
      <c r="I300" s="17" t="n">
        <v>0.4</v>
      </c>
      <c r="J300" s="18" t="n">
        <v>133417</v>
      </c>
      <c r="K300" s="19" t="n">
        <v>140581</v>
      </c>
      <c r="L300" s="18" t="n">
        <v>135972</v>
      </c>
      <c r="M300" s="19" t="n">
        <v>140451</v>
      </c>
      <c r="N300" s="18" t="n">
        <v>162389</v>
      </c>
      <c r="O300" s="19" t="n">
        <v>336027</v>
      </c>
      <c r="P300" s="18" t="n">
        <v>171935</v>
      </c>
      <c r="Q300" s="19" t="n">
        <v>173267</v>
      </c>
      <c r="R300" s="18" t="n">
        <v>184145</v>
      </c>
      <c r="S300" s="20" t="n">
        <v>184956</v>
      </c>
      <c r="T300" s="6" t="n">
        <v>2</v>
      </c>
      <c r="U300" s="5" t="inlineStr">
        <is>
          <t>제품 / 2026.04.01~2026.06.30 | 제품 / 2026.01.01~2026.03.31</t>
        </is>
      </c>
      <c r="V300" s="21">
        <f>HYPERLINK("https://dart.fss.or.kr/dsaf001/main.do?rcpNo=20260814002063", "공시열람")</f>
        <v/>
      </c>
    </row>
    <row r="301">
      <c r="A301" s="5" t="inlineStr">
        <is>
          <t>에이치케이</t>
        </is>
      </c>
      <c r="B301" s="6" t="inlineStr">
        <is>
          <t>044780</t>
        </is>
      </c>
      <c r="C301" s="6" t="inlineStr">
        <is>
          <t>2026Q2</t>
        </is>
      </c>
      <c r="D301" s="6" t="inlineStr">
        <is>
          <t>20260929</t>
        </is>
      </c>
      <c r="E301" s="16" t="n">
        <v>48905</v>
      </c>
      <c r="F301" s="16" t="n">
        <v>14297</v>
      </c>
      <c r="G301" s="16" t="n">
        <v>34608</v>
      </c>
      <c r="H301" s="6" t="inlineStr">
        <is>
          <t>대,백만원</t>
        </is>
      </c>
      <c r="I301" s="17" t="n">
        <v>20.7</v>
      </c>
      <c r="J301" s="18" t="n">
        <v>16287</v>
      </c>
      <c r="K301" s="19" t="n">
        <v>14594</v>
      </c>
      <c r="L301" s="18" t="n">
        <v>13429</v>
      </c>
      <c r="M301" s="19" t="n">
        <v>11613</v>
      </c>
      <c r="N301" s="18" t="n">
        <v>11373</v>
      </c>
      <c r="O301" s="19" t="n">
        <v>14353</v>
      </c>
      <c r="P301" s="18" t="n">
        <v>14291</v>
      </c>
      <c r="Q301" s="19" t="n">
        <v>11072</v>
      </c>
      <c r="R301" s="18" t="n">
        <v>28679</v>
      </c>
      <c r="S301" s="20" t="n">
        <v>34608</v>
      </c>
      <c r="T301" s="6" t="n">
        <v>1</v>
      </c>
      <c r="U301" s="5" t="inlineStr">
        <is>
          <t>레이저가공기 / 2026.06.30까지 / 2026.0</t>
        </is>
      </c>
      <c r="V301" s="21">
        <f>HYPERLINK("https://dart.fss.or.kr/dsaf001/main.do?rcpNo=20260929000127", "공시열람")</f>
        <v/>
      </c>
    </row>
    <row r="302">
      <c r="A302" s="5" t="inlineStr">
        <is>
          <t>한양이엔지</t>
        </is>
      </c>
      <c r="B302" s="6" t="inlineStr">
        <is>
          <t>045100</t>
        </is>
      </c>
      <c r="C302" s="6" t="inlineStr">
        <is>
          <t>2026Q2</t>
        </is>
      </c>
      <c r="D302" s="6" t="inlineStr">
        <is>
          <t>20260813</t>
        </is>
      </c>
      <c r="E302" s="16" t="n">
        <v>2928269</v>
      </c>
      <c r="F302" s="16" t="n">
        <v>2115220</v>
      </c>
      <c r="G302" s="16" t="n">
        <v>813049</v>
      </c>
      <c r="H302" s="6" t="inlineStr">
        <is>
          <t>백만원</t>
        </is>
      </c>
      <c r="I302" s="17" t="n">
        <v>18.8</v>
      </c>
      <c r="J302" s="18" t="n">
        <v>559998</v>
      </c>
      <c r="K302" s="19" t="n">
        <v>472825</v>
      </c>
      <c r="L302" s="18" t="n">
        <v>496005</v>
      </c>
      <c r="M302" s="19" t="n">
        <v>507446</v>
      </c>
      <c r="N302" s="18" t="n">
        <v>505583</v>
      </c>
      <c r="O302" s="19" t="n">
        <v>483798</v>
      </c>
      <c r="P302" s="18" t="n">
        <v>676368</v>
      </c>
      <c r="Q302" s="19" t="n">
        <v>595745</v>
      </c>
      <c r="R302" s="18" t="n">
        <v>684444</v>
      </c>
      <c r="S302" s="20" t="n">
        <v>813049</v>
      </c>
      <c r="T302" s="6" t="n">
        <v>5</v>
      </c>
      <c r="U302" s="5" t="inlineStr">
        <is>
          <t>한양이엔지(주) / - | Hanyang ENG USA Inc (미국) / - | Hanyang ENG Vina Co. Ltd (베트남)</t>
        </is>
      </c>
      <c r="V302" s="21">
        <f>HYPERLINK("https://dart.fss.or.kr/dsaf001/main.do?rcpNo=20260813001716", "공시열람")</f>
        <v/>
      </c>
    </row>
    <row r="303">
      <c r="A303" s="5" t="inlineStr">
        <is>
          <t>성우테크론</t>
        </is>
      </c>
      <c r="B303" s="6" t="inlineStr">
        <is>
          <t>045300</t>
        </is>
      </c>
      <c r="C303" s="6" t="inlineStr">
        <is>
          <t>2026Q2</t>
        </is>
      </c>
      <c r="D303" s="6" t="inlineStr">
        <is>
          <t>20260929</t>
        </is>
      </c>
      <c r="E303" s="16" t="n">
        <v>12724</v>
      </c>
      <c r="F303" s="16" t="inlineStr"/>
      <c r="G303" s="16" t="n">
        <v>12724</v>
      </c>
      <c r="H303" s="6" t="inlineStr">
        <is>
          <t>백만원</t>
        </is>
      </c>
      <c r="I303" s="17" t="n">
        <v>-12</v>
      </c>
      <c r="J303" s="18" t="n">
        <v>6996</v>
      </c>
      <c r="K303" s="19" t="n">
        <v>5015</v>
      </c>
      <c r="L303" s="18" t="n">
        <v>7507</v>
      </c>
      <c r="M303" s="19" t="n">
        <v>9150</v>
      </c>
      <c r="N303" s="18" t="n">
        <v>7572</v>
      </c>
      <c r="O303" s="19" t="n">
        <v>5070</v>
      </c>
      <c r="P303" s="18" t="n">
        <v>6224</v>
      </c>
      <c r="Q303" s="19" t="n">
        <v>14880</v>
      </c>
      <c r="R303" s="18" t="n">
        <v>14457</v>
      </c>
      <c r="S303" s="20" t="n">
        <v>12724</v>
      </c>
      <c r="T303" s="6" t="n">
        <v>1</v>
      </c>
      <c r="U303" s="5" t="inlineStr">
        <is>
          <t>반도체검사장비 / -</t>
        </is>
      </c>
      <c r="V303" s="21">
        <f>HYPERLINK("https://dart.fss.or.kr/dsaf001/main.do?rcpNo=20260929000408", "공시열람")</f>
        <v/>
      </c>
    </row>
    <row r="304">
      <c r="A304" s="5" t="inlineStr">
        <is>
          <t>토탈소프트</t>
        </is>
      </c>
      <c r="B304" s="6" t="inlineStr">
        <is>
          <t>045340</t>
        </is>
      </c>
      <c r="C304" s="6" t="inlineStr">
        <is>
          <t>2026Q2</t>
        </is>
      </c>
      <c r="D304" s="6" t="inlineStr">
        <is>
          <t>20260813</t>
        </is>
      </c>
      <c r="E304" s="16" t="n">
        <v>48200745223</v>
      </c>
      <c r="F304" s="16" t="n">
        <v>16970618719</v>
      </c>
      <c r="G304" s="16" t="n">
        <v>31230126504</v>
      </c>
      <c r="H304" s="6" t="inlineStr">
        <is>
          <t>원</t>
        </is>
      </c>
      <c r="I304" s="17" t="n">
        <v>83768.39999999999</v>
      </c>
      <c r="J304" s="18" t="n">
        <v>14374435691</v>
      </c>
      <c r="K304" s="19" t="n">
        <v>16121005986</v>
      </c>
      <c r="L304" s="18" t="n">
        <v>22741710192</v>
      </c>
      <c r="M304" s="19" t="n">
        <v>19445309430</v>
      </c>
      <c r="N304" s="18" t="n">
        <v>38567327562</v>
      </c>
      <c r="O304" s="19" t="n">
        <v>30477829</v>
      </c>
      <c r="P304" s="18" t="n">
        <v>27424456</v>
      </c>
      <c r="Q304" s="19" t="n">
        <v>30470222</v>
      </c>
      <c r="R304" s="18" t="n">
        <v>37237058</v>
      </c>
      <c r="S304" s="20" t="n">
        <v>31230126504</v>
      </c>
      <c r="T304" s="6" t="n">
        <v>8</v>
      </c>
      <c r="U304" s="5" t="inlineStr">
        <is>
          <t>CATOS / 2026.01외 / 2026.12외 | 유지보수 / 2026.01외 / 2026.12외 | Supercargo / 2026.01외 / 2026.1</t>
        </is>
      </c>
      <c r="V304" s="21">
        <f>HYPERLINK("https://dart.fss.or.kr/dsaf001/main.do?rcpNo=20260813001058", "공시열람")</f>
        <v/>
      </c>
    </row>
    <row r="305">
      <c r="A305" s="5" t="inlineStr">
        <is>
          <t>대아티아이</t>
        </is>
      </c>
      <c r="B305" s="6" t="inlineStr">
        <is>
          <t>045390</t>
        </is>
      </c>
      <c r="C305" s="6" t="inlineStr">
        <is>
          <t>2026Q2</t>
        </is>
      </c>
      <c r="D305" s="6" t="inlineStr">
        <is>
          <t>20260814</t>
        </is>
      </c>
      <c r="E305" s="16" t="n">
        <v>872121724698</v>
      </c>
      <c r="F305" s="16" t="n">
        <v>443538779738</v>
      </c>
      <c r="G305" s="16" t="n">
        <v>428578637960</v>
      </c>
      <c r="H305" s="6" t="inlineStr">
        <is>
          <t>원</t>
        </is>
      </c>
      <c r="I305" s="17" t="n">
        <v>115257855.1</v>
      </c>
      <c r="J305" s="18" t="n">
        <v>457515723558</v>
      </c>
      <c r="K305" s="19" t="n">
        <v>483139</v>
      </c>
      <c r="L305" s="18" t="n">
        <v>472253</v>
      </c>
      <c r="M305" s="19" t="n">
        <v>501135978072</v>
      </c>
      <c r="N305" s="18" t="n">
        <v>393625</v>
      </c>
      <c r="O305" s="19" t="n">
        <v>375240</v>
      </c>
      <c r="P305" s="18" t="n">
        <v>358306</v>
      </c>
      <c r="Q305" s="19" t="n">
        <v>386316</v>
      </c>
      <c r="R305" s="18" t="n">
        <v>371843</v>
      </c>
      <c r="S305" s="20" t="n">
        <v>428578637960</v>
      </c>
      <c r="T305" s="6" t="n">
        <v>4</v>
      </c>
      <c r="U305" s="5" t="inlineStr">
        <is>
          <t>SIG | ETC | I&amp;C</t>
        </is>
      </c>
      <c r="V305" s="21">
        <f>HYPERLINK("https://dart.fss.or.kr/dsaf001/main.do?rcpNo=20260814004275", "공시열람")</f>
        <v/>
      </c>
    </row>
    <row r="306">
      <c r="A306" s="5" t="inlineStr">
        <is>
          <t>크린앤사이언스</t>
        </is>
      </c>
      <c r="B306" s="6" t="inlineStr">
        <is>
          <t>045520</t>
        </is>
      </c>
      <c r="C306" s="6" t="inlineStr">
        <is>
          <t>2026Q2</t>
        </is>
      </c>
      <c r="D306" s="6" t="inlineStr">
        <is>
          <t>20260812</t>
        </is>
      </c>
      <c r="E306" s="16" t="n">
        <v>53227</v>
      </c>
      <c r="F306" s="16" t="n">
        <v>46279</v>
      </c>
      <c r="G306" s="16" t="n">
        <v>6948</v>
      </c>
      <c r="H306" s="6" t="inlineStr">
        <is>
          <t>천EA,Ton,백만원</t>
        </is>
      </c>
      <c r="I306" s="17" t="n">
        <v>-10.3</v>
      </c>
      <c r="J306" s="18" t="n">
        <v>7450</v>
      </c>
      <c r="K306" s="19" t="n">
        <v>5588</v>
      </c>
      <c r="L306" s="18" t="n">
        <v>6178</v>
      </c>
      <c r="M306" s="19" t="n">
        <v>7275</v>
      </c>
      <c r="N306" s="18" t="n">
        <v>6988</v>
      </c>
      <c r="O306" s="19" t="n">
        <v>6418</v>
      </c>
      <c r="P306" s="18" t="n">
        <v>6026</v>
      </c>
      <c r="Q306" s="19" t="n">
        <v>8491</v>
      </c>
      <c r="R306" s="18" t="n">
        <v>7745</v>
      </c>
      <c r="S306" s="20" t="n">
        <v>6948</v>
      </c>
      <c r="T306" s="6" t="n">
        <v>10</v>
      </c>
      <c r="U306" s="5" t="inlineStr">
        <is>
          <t>FILTER / 수주 후15일이내:내수30일이내:수출 | FILTER / 수주 후15일이내:내수30일이내:수출 | 자동차용여과지 / 수주 후15일이내:내수30일이내:수출</t>
        </is>
      </c>
      <c r="V306" s="21">
        <f>HYPERLINK("https://dart.fss.or.kr/dsaf001/main.do?rcpNo=20260812000060", "공시열람")</f>
        <v/>
      </c>
    </row>
    <row r="307">
      <c r="A307" s="5" t="inlineStr">
        <is>
          <t>오르비텍</t>
        </is>
      </c>
      <c r="B307" s="6" t="inlineStr">
        <is>
          <t>046120</t>
        </is>
      </c>
      <c r="C307" s="6" t="inlineStr">
        <is>
          <t>2026Q2</t>
        </is>
      </c>
      <c r="D307" s="6" t="inlineStr">
        <is>
          <t>20260814</t>
        </is>
      </c>
      <c r="E307" s="16" t="n">
        <v>49239</v>
      </c>
      <c r="F307" s="16" t="inlineStr"/>
      <c r="G307" s="16" t="n">
        <v>33331</v>
      </c>
      <c r="H307" s="6" t="inlineStr">
        <is>
          <t>백만원</t>
        </is>
      </c>
      <c r="I307" s="17" t="n">
        <v>-7.9</v>
      </c>
      <c r="J307" s="18" t="n">
        <v>7761</v>
      </c>
      <c r="K307" s="19" t="n">
        <v>36127</v>
      </c>
      <c r="L307" s="18" t="n">
        <v>32295</v>
      </c>
      <c r="M307" s="19" t="n">
        <v>21736</v>
      </c>
      <c r="N307" s="18" t="n">
        <v>16499</v>
      </c>
      <c r="O307" s="19" t="n">
        <v>3622</v>
      </c>
      <c r="P307" s="18" t="n">
        <v>6680</v>
      </c>
      <c r="Q307" s="19" t="n">
        <v>4939</v>
      </c>
      <c r="R307" s="18" t="n">
        <v>36205</v>
      </c>
      <c r="S307" s="20" t="n">
        <v>33331</v>
      </c>
      <c r="T307" s="6" t="n">
        <v>8</v>
      </c>
      <c r="U307" s="5" t="inlineStr">
        <is>
          <t xml:space="preserve">한국수력원자력㈜ / 월성원자력발전소 1,2호기 방사선관 | 한국수력원자력㈜ / 콘크리트 방폐물 시멘트·골재 분리처 | 한국수력원자력㈜ / RI폐기물관리시설 해체(방사성오염 </t>
        </is>
      </c>
      <c r="V307" s="21">
        <f>HYPERLINK("https://dart.fss.or.kr/dsaf001/main.do?rcpNo=20260814002604", "공시열람")</f>
        <v/>
      </c>
    </row>
    <row r="308">
      <c r="A308" s="5" t="inlineStr">
        <is>
          <t>HLB파나진</t>
        </is>
      </c>
      <c r="B308" s="6" t="inlineStr">
        <is>
          <t>046210</t>
        </is>
      </c>
      <c r="C308" s="6" t="inlineStr">
        <is>
          <t>2026Q2</t>
        </is>
      </c>
      <c r="D308" s="6" t="inlineStr">
        <is>
          <t>20260814</t>
        </is>
      </c>
      <c r="E308" s="16" t="n">
        <v>6980</v>
      </c>
      <c r="F308" s="16" t="n">
        <v>6752</v>
      </c>
      <c r="G308" s="16" t="n">
        <v>227</v>
      </c>
      <c r="H308" s="6" t="inlineStr">
        <is>
          <t>백만원,Kit,대</t>
        </is>
      </c>
      <c r="I308" s="17" t="n">
        <v>-40.4</v>
      </c>
      <c r="J308" s="18" t="n">
        <v>90</v>
      </c>
      <c r="K308" s="19" t="n">
        <v>149</v>
      </c>
      <c r="L308" s="18" t="n">
        <v>517</v>
      </c>
      <c r="M308" s="19" t="n">
        <v>310</v>
      </c>
      <c r="N308" s="18" t="n">
        <v>503</v>
      </c>
      <c r="O308" s="19" t="n">
        <v>263</v>
      </c>
      <c r="P308" s="18" t="n">
        <v>191</v>
      </c>
      <c r="Q308" s="19" t="n">
        <v>304</v>
      </c>
      <c r="R308" s="18" t="n">
        <v>381</v>
      </c>
      <c r="S308" s="20" t="n">
        <v>227</v>
      </c>
      <c r="T308" s="6" t="n">
        <v>6</v>
      </c>
      <c r="U308" s="5" t="inlineStr">
        <is>
          <t>유전자진단키트 / 당기 / - | 소재(PNA 등) / 당기 / - | 핵산추출키트 / 당기 / -</t>
        </is>
      </c>
      <c r="V308" s="21">
        <f>HYPERLINK("https://dart.fss.or.kr/dsaf001/main.do?rcpNo=20260814002333", "공시열람")</f>
        <v/>
      </c>
    </row>
    <row r="309">
      <c r="A309" s="5" t="inlineStr">
        <is>
          <t>우원개발</t>
        </is>
      </c>
      <c r="B309" s="6" t="inlineStr">
        <is>
          <t>046940</t>
        </is>
      </c>
      <c r="C309" s="6" t="inlineStr">
        <is>
          <t>2026Q1</t>
        </is>
      </c>
      <c r="D309" s="6" t="inlineStr">
        <is>
          <t>20260515</t>
        </is>
      </c>
      <c r="E309" s="16" t="inlineStr"/>
      <c r="F309" s="16" t="inlineStr"/>
      <c r="G309" s="16" t="n">
        <v>678056575</v>
      </c>
      <c r="H309" s="6" t="inlineStr">
        <is>
          <t>천원</t>
        </is>
      </c>
      <c r="I309" s="17" t="n">
        <v>13.1</v>
      </c>
      <c r="J309" s="18" t="n">
        <v>542953297</v>
      </c>
      <c r="K309" s="19" t="n">
        <v>605685063</v>
      </c>
      <c r="L309" s="18" t="n">
        <v>726312702</v>
      </c>
      <c r="M309" s="19" t="n">
        <v>744989788</v>
      </c>
      <c r="N309" s="18" t="n">
        <v>736204424</v>
      </c>
      <c r="O309" s="19" t="n">
        <v>678808546</v>
      </c>
      <c r="P309" s="18" t="n">
        <v>599546960</v>
      </c>
      <c r="Q309" s="19" t="inlineStr"/>
      <c r="R309" s="18" t="n">
        <v>678056575</v>
      </c>
      <c r="S309" s="20" t="inlineStr"/>
      <c r="T309" s="6" t="n">
        <v>1</v>
      </c>
      <c r="U309" s="5" t="inlineStr">
        <is>
          <t>토목공사</t>
        </is>
      </c>
      <c r="V309" s="21">
        <f>HYPERLINK("https://dart.fss.or.kr/dsaf001/main.do?rcpNo=20260515001894", "공시열람")</f>
        <v/>
      </c>
    </row>
    <row r="310">
      <c r="A310" s="5" t="inlineStr">
        <is>
          <t>대우건설</t>
        </is>
      </c>
      <c r="B310" s="6" t="inlineStr">
        <is>
          <t>047040</t>
        </is>
      </c>
      <c r="C310" s="6" t="inlineStr">
        <is>
          <t>2026Q2</t>
        </is>
      </c>
      <c r="D310" s="6" t="inlineStr">
        <is>
          <t>20260814</t>
        </is>
      </c>
      <c r="E310" s="16" t="n">
        <v>79523731</v>
      </c>
      <c r="F310" s="16" t="n">
        <v>26121843</v>
      </c>
      <c r="G310" s="16" t="n">
        <v>53401887</v>
      </c>
      <c r="H310" s="6" t="inlineStr">
        <is>
          <t>백만원</t>
        </is>
      </c>
      <c r="I310" s="17" t="n">
        <v>2.9</v>
      </c>
      <c r="J310" s="18" t="n">
        <v>45657158</v>
      </c>
      <c r="K310" s="19" t="n">
        <v>44988811</v>
      </c>
      <c r="L310" s="18" t="n">
        <v>44777689</v>
      </c>
      <c r="M310" s="19" t="n">
        <v>44440135</v>
      </c>
      <c r="N310" s="18" t="n">
        <v>45012888</v>
      </c>
      <c r="O310" s="19" t="n">
        <v>44993303</v>
      </c>
      <c r="P310" s="18" t="n">
        <v>48803755</v>
      </c>
      <c r="Q310" s="19" t="n">
        <v>50596818</v>
      </c>
      <c r="R310" s="18" t="n">
        <v>51890207</v>
      </c>
      <c r="S310" s="20" t="n">
        <v>53401887</v>
      </c>
      <c r="T310" s="6" t="n">
        <v>130</v>
      </c>
      <c r="U310" s="5" t="inlineStr">
        <is>
          <t>기타(국내) | 블랑써밋74사업 / 2023년 12월 / 2028년 1 | 서면써밋더뉴사업 / 2025년 7월 / 2031년 3월</t>
        </is>
      </c>
      <c r="V310" s="21">
        <f>HYPERLINK("https://dart.fss.or.kr/dsaf001/main.do?rcpNo=20260814002161", "공시열람")</f>
        <v/>
      </c>
    </row>
    <row r="311">
      <c r="A311" s="5" t="inlineStr">
        <is>
          <t>한국항공우주</t>
        </is>
      </c>
      <c r="B311" s="6" t="inlineStr">
        <is>
          <t>047810</t>
        </is>
      </c>
      <c r="C311" s="6" t="inlineStr">
        <is>
          <t>2026Q2</t>
        </is>
      </c>
      <c r="D311" s="6" t="inlineStr">
        <is>
          <t>20260814</t>
        </is>
      </c>
      <c r="E311" s="16" t="inlineStr"/>
      <c r="F311" s="16" t="inlineStr"/>
      <c r="G311" s="16" t="n">
        <v>257502</v>
      </c>
      <c r="H311" s="6" t="inlineStr">
        <is>
          <t>억원</t>
        </is>
      </c>
      <c r="I311" s="17" t="n">
        <v>-3</v>
      </c>
      <c r="J311" s="18" t="n">
        <v>212718</v>
      </c>
      <c r="K311" s="19" t="n">
        <v>232591</v>
      </c>
      <c r="L311" s="18" t="n">
        <v>224080</v>
      </c>
      <c r="M311" s="19" t="n">
        <v>246994</v>
      </c>
      <c r="N311" s="18" t="n">
        <v>242569</v>
      </c>
      <c r="O311" s="19" t="n">
        <v>266733</v>
      </c>
      <c r="P311" s="18" t="n">
        <v>82149293</v>
      </c>
      <c r="Q311" s="19" t="n">
        <v>273437</v>
      </c>
      <c r="R311" s="18" t="n">
        <v>265532</v>
      </c>
      <c r="S311" s="20" t="n">
        <v>257502</v>
      </c>
      <c r="T311" s="6" t="n">
        <v>4</v>
      </c>
      <c r="U311" s="5" t="inlineStr">
        <is>
          <t>국내방산 / - | 기체부품 / - | 완제기수출 / -</t>
        </is>
      </c>
      <c r="V311" s="21">
        <f>HYPERLINK("https://dart.fss.or.kr/dsaf001/main.do?rcpNo=20260814003309", "공시열람")</f>
        <v/>
      </c>
    </row>
    <row r="312">
      <c r="A312" s="5" t="inlineStr">
        <is>
          <t>초록뱀미디어</t>
        </is>
      </c>
      <c r="B312" s="6" t="inlineStr">
        <is>
          <t>047820</t>
        </is>
      </c>
      <c r="C312" s="6" t="inlineStr">
        <is>
          <t>2024Q4</t>
        </is>
      </c>
      <c r="D312" s="6" t="inlineStr">
        <is>
          <t>20250321</t>
        </is>
      </c>
      <c r="E312" s="16" t="n">
        <v>70695</v>
      </c>
      <c r="F312" s="16" t="n">
        <v>70695</v>
      </c>
      <c r="G312" s="16" t="n">
        <v>0</v>
      </c>
      <c r="H312" s="6" t="inlineStr">
        <is>
          <t>백만원,VAT별도</t>
        </is>
      </c>
      <c r="I312" s="17" t="n">
        <v>-100</v>
      </c>
      <c r="J312" s="18" t="n">
        <v>24000</v>
      </c>
      <c r="K312" s="19" t="n">
        <v>4400</v>
      </c>
      <c r="L312" s="18" t="n">
        <v>2600</v>
      </c>
      <c r="M312" s="19" t="n">
        <v>0</v>
      </c>
      <c r="N312" s="18" t="inlineStr"/>
      <c r="O312" s="19" t="inlineStr"/>
      <c r="P312" s="18" t="inlineStr"/>
      <c r="Q312" s="19" t="inlineStr"/>
      <c r="R312" s="18" t="inlineStr"/>
      <c r="S312" s="20" t="inlineStr"/>
      <c r="T312" s="6" t="n">
        <v>4</v>
      </c>
      <c r="U312" s="5" t="inlineStr">
        <is>
          <t>SBS_7인의탈출 시즌1, 2 / 2023.08.04  | 문화방송_열녀박씨계약결혼뎐 / 2023.08.16 /  | 결혼해YOU / 2024.02.26 / 2024.02~</t>
        </is>
      </c>
      <c r="V312" s="21">
        <f>HYPERLINK("https://dart.fss.or.kr/dsaf001/main.do?rcpNo=20250321001771", "공시열람")</f>
        <v/>
      </c>
    </row>
    <row r="313">
      <c r="A313" s="5" t="inlineStr">
        <is>
          <t>TPC로보틱스</t>
        </is>
      </c>
      <c r="B313" s="6" t="inlineStr">
        <is>
          <t>048770</t>
        </is>
      </c>
      <c r="C313" s="6" t="inlineStr">
        <is>
          <t>2026Q2</t>
        </is>
      </c>
      <c r="D313" s="6" t="inlineStr">
        <is>
          <t>20260814</t>
        </is>
      </c>
      <c r="E313" s="16" t="n">
        <v>45997</v>
      </c>
      <c r="F313" s="16" t="n">
        <v>43398</v>
      </c>
      <c r="G313" s="16" t="n">
        <v>2591</v>
      </c>
      <c r="H313" s="6" t="inlineStr">
        <is>
          <t>EA,백만원</t>
        </is>
      </c>
      <c r="I313" s="17" t="n">
        <v>399.2</v>
      </c>
      <c r="J313" s="18" t="n">
        <v>2401</v>
      </c>
      <c r="K313" s="19" t="n">
        <v>3133</v>
      </c>
      <c r="L313" s="18" t="n">
        <v>3758</v>
      </c>
      <c r="M313" s="19" t="n">
        <v>3512</v>
      </c>
      <c r="N313" s="18" t="n">
        <v>1156</v>
      </c>
      <c r="O313" s="19" t="n">
        <v>3527</v>
      </c>
      <c r="P313" s="18" t="n">
        <v>1770</v>
      </c>
      <c r="Q313" s="19" t="n">
        <v>1269</v>
      </c>
      <c r="R313" s="18" t="n">
        <v>519</v>
      </c>
      <c r="S313" s="20" t="n">
        <v>2591</v>
      </c>
      <c r="T313" s="6" t="n">
        <v>9</v>
      </c>
      <c r="U313" s="5" t="inlineStr">
        <is>
          <t>직교로봇 / 2026.01.01~2026.06.30 / | 리니어 / 2026.01.01~2026.06.30 /  | 액츄에이터류 / 2026.01.01~2026.06.30</t>
        </is>
      </c>
      <c r="V313" s="21">
        <f>HYPERLINK("https://dart.fss.or.kr/dsaf001/main.do?rcpNo=20260814003401", "공시열람")</f>
        <v/>
      </c>
    </row>
    <row r="314">
      <c r="A314" s="5" t="inlineStr">
        <is>
          <t>시너지이노베이션</t>
        </is>
      </c>
      <c r="B314" s="6" t="inlineStr">
        <is>
          <t>048870</t>
        </is>
      </c>
      <c r="C314" s="6" t="inlineStr">
        <is>
          <t>2026Q2</t>
        </is>
      </c>
      <c r="D314" s="6" t="inlineStr">
        <is>
          <t>20260814</t>
        </is>
      </c>
      <c r="E314" s="16" t="n">
        <v>7379157</v>
      </c>
      <c r="F314" s="16" t="n">
        <v>1859965</v>
      </c>
      <c r="G314" s="16" t="n">
        <v>5519192</v>
      </c>
      <c r="H314" s="6" t="inlineStr">
        <is>
          <t>개,천원</t>
        </is>
      </c>
      <c r="I314" s="17" t="n">
        <v>-33</v>
      </c>
      <c r="J314" s="18" t="n">
        <v>4464317</v>
      </c>
      <c r="K314" s="19" t="n">
        <v>6116972</v>
      </c>
      <c r="L314" s="18" t="n">
        <v>6838985</v>
      </c>
      <c r="M314" s="19" t="n">
        <v>9839578</v>
      </c>
      <c r="N314" s="18" t="n">
        <v>6240903</v>
      </c>
      <c r="O314" s="19" t="n">
        <v>4241454</v>
      </c>
      <c r="P314" s="18" t="n">
        <v>6900120</v>
      </c>
      <c r="Q314" s="19" t="n">
        <v>6407008</v>
      </c>
      <c r="R314" s="18" t="n">
        <v>8233844</v>
      </c>
      <c r="S314" s="20" t="n">
        <v>5519192</v>
      </c>
      <c r="T314" s="6" t="n">
        <v>141</v>
      </c>
      <c r="U314" s="5" t="inlineStr">
        <is>
          <t>스텐트 / 2026-06-14 / 2026년 8월 | 스텐트 / 2026-06-08 / 2026년 7월 | 스텐트 / 2026-06-17 / 2026년 9월</t>
        </is>
      </c>
      <c r="V314" s="21">
        <f>HYPERLINK("https://dart.fss.or.kr/dsaf001/main.do?rcpNo=20260814002643", "공시열람")</f>
        <v/>
      </c>
    </row>
    <row r="315">
      <c r="A315" s="5" t="inlineStr">
        <is>
          <t>기가레인</t>
        </is>
      </c>
      <c r="B315" s="6" t="inlineStr">
        <is>
          <t>049080</t>
        </is>
      </c>
      <c r="C315" s="6" t="inlineStr">
        <is>
          <t>2023Q4</t>
        </is>
      </c>
      <c r="D315" s="6" t="inlineStr">
        <is>
          <t>20240321</t>
        </is>
      </c>
      <c r="E315" s="16" t="n">
        <v>153.1</v>
      </c>
      <c r="F315" s="16" t="n">
        <v>153.1</v>
      </c>
      <c r="G315" s="16" t="n">
        <v>21.98</v>
      </c>
      <c r="H315" s="6" t="inlineStr"/>
      <c r="I315" s="17" t="inlineStr"/>
      <c r="J315" s="18" t="inlineStr"/>
      <c r="K315" s="19" t="inlineStr"/>
      <c r="L315" s="18" t="inlineStr"/>
      <c r="M315" s="19" t="inlineStr"/>
      <c r="N315" s="18" t="inlineStr"/>
      <c r="O315" s="19" t="inlineStr"/>
      <c r="P315" s="18" t="inlineStr"/>
      <c r="Q315" s="19" t="inlineStr"/>
      <c r="R315" s="18" t="inlineStr"/>
      <c r="S315" s="20" t="inlineStr"/>
      <c r="T315" s="6" t="n">
        <v>1</v>
      </c>
      <c r="U315" s="5" t="inlineStr">
        <is>
          <t>RF 케이블 외 / 2021-12-28 / 2024-1</t>
        </is>
      </c>
      <c r="V315" s="21">
        <f>HYPERLINK("https://dart.fss.or.kr/dsaf001/main.do?rcpNo=20240321001642", "공시열람")</f>
        <v/>
      </c>
    </row>
    <row r="316">
      <c r="A316" s="5" t="inlineStr">
        <is>
          <t>셀루메드</t>
        </is>
      </c>
      <c r="B316" s="6" t="inlineStr">
        <is>
          <t>049180</t>
        </is>
      </c>
      <c r="C316" s="6" t="inlineStr">
        <is>
          <t>2026Q2</t>
        </is>
      </c>
      <c r="D316" s="6" t="inlineStr">
        <is>
          <t>20260814</t>
        </is>
      </c>
      <c r="E316" s="16" t="n">
        <v>352124</v>
      </c>
      <c r="F316" s="16" t="n">
        <v>224647</v>
      </c>
      <c r="G316" s="16" t="n">
        <v>127478</v>
      </c>
      <c r="H316" s="6" t="inlineStr">
        <is>
          <t>백만원</t>
        </is>
      </c>
      <c r="I316" s="17" t="n">
        <v>5.2</v>
      </c>
      <c r="J316" s="18" t="n">
        <v>195137</v>
      </c>
      <c r="K316" s="19" t="n">
        <v>196792</v>
      </c>
      <c r="L316" s="18" t="n">
        <v>171595</v>
      </c>
      <c r="M316" s="19" t="n">
        <v>170480</v>
      </c>
      <c r="N316" s="18" t="n">
        <v>158826</v>
      </c>
      <c r="O316" s="19" t="n">
        <v>133330</v>
      </c>
      <c r="P316" s="18" t="n">
        <v>139468</v>
      </c>
      <c r="Q316" s="19" t="n">
        <v>121162</v>
      </c>
      <c r="R316" s="18" t="n">
        <v>121168</v>
      </c>
      <c r="S316" s="20" t="n">
        <v>127478</v>
      </c>
      <c r="T316" s="6" t="n">
        <v>75</v>
      </c>
      <c r="U316" s="5" t="inlineStr">
        <is>
          <t>문산~도라산 고속도로 제2공구 / 2020-09-21  | 25-F-K지역 시설공사 공조소방공사 2공구(강릉군부대 | 사당3동 지역주택조합 공조소화설비공사 / 2025-07</t>
        </is>
      </c>
      <c r="V316" s="21">
        <f>HYPERLINK("https://dart.fss.or.kr/dsaf001/main.do?rcpNo=20260814004273", "공시열람")</f>
        <v/>
      </c>
    </row>
    <row r="317">
      <c r="A317" s="5" t="inlineStr">
        <is>
          <t>코메론</t>
        </is>
      </c>
      <c r="B317" s="6" t="inlineStr">
        <is>
          <t>049430</t>
        </is>
      </c>
      <c r="C317" s="6" t="inlineStr">
        <is>
          <t>2026Q2</t>
        </is>
      </c>
      <c r="D317" s="6" t="inlineStr">
        <is>
          <t>20260814</t>
        </is>
      </c>
      <c r="E317" s="16" t="n">
        <v>13195124</v>
      </c>
      <c r="F317" s="16" t="inlineStr"/>
      <c r="G317" s="16" t="n">
        <v>13195124</v>
      </c>
      <c r="H317" s="6" t="inlineStr">
        <is>
          <t>천원</t>
        </is>
      </c>
      <c r="I317" s="17" t="n">
        <v>8</v>
      </c>
      <c r="J317" s="18" t="n">
        <v>9086012</v>
      </c>
      <c r="K317" s="19" t="n">
        <v>6275970</v>
      </c>
      <c r="L317" s="18" t="n">
        <v>8449730</v>
      </c>
      <c r="M317" s="19" t="n">
        <v>10962778</v>
      </c>
      <c r="N317" s="18" t="n">
        <v>10084792</v>
      </c>
      <c r="O317" s="19" t="n">
        <v>6670196</v>
      </c>
      <c r="P317" s="18" t="n">
        <v>3977730</v>
      </c>
      <c r="Q317" s="19" t="n">
        <v>12215852</v>
      </c>
      <c r="R317" s="18" t="inlineStr"/>
      <c r="S317" s="20" t="n">
        <v>13195124</v>
      </c>
      <c r="T317" s="6" t="n">
        <v>1</v>
      </c>
      <c r="U317" s="5" t="inlineStr">
        <is>
          <t>줄자 / 2026-03-24 외 / 2026-07-15</t>
        </is>
      </c>
      <c r="V317" s="21">
        <f>HYPERLINK("https://dart.fss.or.kr/dsaf001/main.do?rcpNo=20260814002193", "공시열람")</f>
        <v/>
      </c>
    </row>
    <row r="318">
      <c r="A318" s="5" t="inlineStr">
        <is>
          <t>비트플래닛</t>
        </is>
      </c>
      <c r="B318" s="6" t="inlineStr">
        <is>
          <t>049470</t>
        </is>
      </c>
      <c r="C318" s="6" t="inlineStr">
        <is>
          <t>2026Q2</t>
        </is>
      </c>
      <c r="D318" s="6" t="inlineStr">
        <is>
          <t>20260814</t>
        </is>
      </c>
      <c r="E318" s="16" t="n">
        <v>22024204</v>
      </c>
      <c r="F318" s="16" t="n">
        <v>17319589</v>
      </c>
      <c r="G318" s="16" t="n">
        <v>4704615</v>
      </c>
      <c r="H318" s="6" t="inlineStr">
        <is>
          <t>천원</t>
        </is>
      </c>
      <c r="I318" s="17" t="n">
        <v>-53.9</v>
      </c>
      <c r="J318" s="18" t="n">
        <v>8642445</v>
      </c>
      <c r="K318" s="19" t="n">
        <v>5233996</v>
      </c>
      <c r="L318" s="18" t="n">
        <v>2990855</v>
      </c>
      <c r="M318" s="19" t="n">
        <v>0</v>
      </c>
      <c r="N318" s="18" t="n">
        <v>5297986</v>
      </c>
      <c r="O318" s="19" t="n">
        <v>4687113</v>
      </c>
      <c r="P318" s="18" t="n">
        <v>10898334</v>
      </c>
      <c r="Q318" s="19" t="n">
        <v>11849621</v>
      </c>
      <c r="R318" s="18" t="n">
        <v>10197249</v>
      </c>
      <c r="S318" s="20" t="n">
        <v>4704615</v>
      </c>
      <c r="T318" s="6" t="n">
        <v>8</v>
      </c>
      <c r="U318" s="5" t="inlineStr">
        <is>
          <t xml:space="preserve">2025~2026년 전산장비 통합유지보수 계약 / 20 | BMW Online Sales 운영유지보수 및 개발_3 | 2026학년도 유아학비지원시스템(e-유치원) 유지관리 </t>
        </is>
      </c>
      <c r="V318" s="21">
        <f>HYPERLINK("https://dart.fss.or.kr/dsaf001/main.do?rcpNo=20260814003703", "공시열람")</f>
        <v/>
      </c>
    </row>
    <row r="319">
      <c r="A319" s="5" t="inlineStr">
        <is>
          <t>재영솔루텍</t>
        </is>
      </c>
      <c r="B319" s="6" t="inlineStr">
        <is>
          <t>049630</t>
        </is>
      </c>
      <c r="C319" s="6" t="inlineStr">
        <is>
          <t>2024Q3</t>
        </is>
      </c>
      <c r="D319" s="6" t="inlineStr">
        <is>
          <t>20241114</t>
        </is>
      </c>
      <c r="E319" s="16" t="n">
        <v>4962</v>
      </c>
      <c r="F319" s="16" t="n">
        <v>2606</v>
      </c>
      <c r="G319" s="16" t="n">
        <v>2356</v>
      </c>
      <c r="H319" s="6" t="inlineStr">
        <is>
          <t>백만원</t>
        </is>
      </c>
      <c r="I319" s="17" t="n">
        <v>-19.1</v>
      </c>
      <c r="J319" s="18" t="n">
        <v>3120</v>
      </c>
      <c r="K319" s="19" t="n">
        <v>2913</v>
      </c>
      <c r="L319" s="18" t="n">
        <v>2356</v>
      </c>
      <c r="M319" s="19" t="inlineStr"/>
      <c r="N319" s="18" t="inlineStr"/>
      <c r="O319" s="19" t="inlineStr"/>
      <c r="P319" s="18" t="inlineStr"/>
      <c r="Q319" s="19" t="inlineStr"/>
      <c r="R319" s="18" t="inlineStr"/>
      <c r="S319" s="20" t="inlineStr"/>
      <c r="T319" s="6" t="n">
        <v>1</v>
      </c>
      <c r="U319" s="5" t="inlineStr">
        <is>
          <t>재영솔루텍 주식회사 / 한국파렛트풀 외</t>
        </is>
      </c>
      <c r="V319" s="21">
        <f>HYPERLINK("https://dart.fss.or.kr/dsaf001/main.do?rcpNo=20241114001331", "공시열람")</f>
        <v/>
      </c>
    </row>
    <row r="320">
      <c r="A320" s="5" t="inlineStr">
        <is>
          <t>미래컴퍼니</t>
        </is>
      </c>
      <c r="B320" s="6" t="inlineStr">
        <is>
          <t>049950</t>
        </is>
      </c>
      <c r="C320" s="6" t="inlineStr">
        <is>
          <t>2026Q2</t>
        </is>
      </c>
      <c r="D320" s="6" t="inlineStr">
        <is>
          <t>20260813</t>
        </is>
      </c>
      <c r="E320" s="16" t="n">
        <v>56682</v>
      </c>
      <c r="F320" s="16" t="n">
        <v>17855</v>
      </c>
      <c r="G320" s="16" t="n">
        <v>38827</v>
      </c>
      <c r="H320" s="6" t="inlineStr">
        <is>
          <t>백만원</t>
        </is>
      </c>
      <c r="I320" s="17" t="n">
        <v>-11.5</v>
      </c>
      <c r="J320" s="18" t="n">
        <v>33473</v>
      </c>
      <c r="K320" s="19" t="n">
        <v>25753</v>
      </c>
      <c r="L320" s="18" t="n">
        <v>22166</v>
      </c>
      <c r="M320" s="19" t="n">
        <v>16226</v>
      </c>
      <c r="N320" s="18" t="n">
        <v>14069</v>
      </c>
      <c r="O320" s="19" t="n">
        <v>12955</v>
      </c>
      <c r="P320" s="18" t="n">
        <v>13006</v>
      </c>
      <c r="Q320" s="19" t="n">
        <v>59977</v>
      </c>
      <c r="R320" s="18" t="n">
        <v>43859</v>
      </c>
      <c r="S320" s="20" t="n">
        <v>38827</v>
      </c>
      <c r="T320" s="6" t="n">
        <v>1</v>
      </c>
      <c r="U320" s="5" t="inlineStr">
        <is>
          <t>반도체/디스플레이 제조장비 / -</t>
        </is>
      </c>
      <c r="V320" s="21">
        <f>HYPERLINK("https://dart.fss.or.kr/dsaf001/main.do?rcpNo=20260813000068", "공시열람")</f>
        <v/>
      </c>
    </row>
    <row r="321">
      <c r="A321" s="5" t="inlineStr">
        <is>
          <t>ES큐브</t>
        </is>
      </c>
      <c r="B321" s="6" t="inlineStr">
        <is>
          <t>050120</t>
        </is>
      </c>
      <c r="C321" s="6" t="inlineStr">
        <is>
          <t>2026Q2</t>
        </is>
      </c>
      <c r="D321" s="6" t="inlineStr">
        <is>
          <t>20260814</t>
        </is>
      </c>
      <c r="E321" s="16" t="n">
        <v>1486</v>
      </c>
      <c r="F321" s="16" t="n">
        <v>710</v>
      </c>
      <c r="G321" s="16" t="n">
        <v>776</v>
      </c>
      <c r="H321" s="6" t="inlineStr">
        <is>
          <t>USD,만달러</t>
        </is>
      </c>
      <c r="I321" s="17" t="n">
        <v>-8.199999999999999</v>
      </c>
      <c r="J321" s="18" t="n">
        <v>1111.7</v>
      </c>
      <c r="K321" s="19" t="n">
        <v>966.6</v>
      </c>
      <c r="L321" s="18" t="n">
        <v>1014.9</v>
      </c>
      <c r="M321" s="19" t="n">
        <v>1053.7</v>
      </c>
      <c r="N321" s="18" t="n">
        <v>844.2</v>
      </c>
      <c r="O321" s="19" t="n">
        <v>831.7</v>
      </c>
      <c r="P321" s="18" t="n">
        <v>841.3</v>
      </c>
      <c r="Q321" s="19" t="n">
        <v>1179</v>
      </c>
      <c r="R321" s="18" t="n">
        <v>845</v>
      </c>
      <c r="S321" s="20" t="n">
        <v>776</v>
      </c>
      <c r="T321" s="6" t="n">
        <v>1</v>
      </c>
      <c r="U321" s="5" t="inlineStr">
        <is>
          <t>텐트류 / ~2025.12월 / 2026.01 이후</t>
        </is>
      </c>
      <c r="V321" s="21">
        <f>HYPERLINK("https://dart.fss.or.kr/dsaf001/main.do?rcpNo=20260814002915", "공시열람")</f>
        <v/>
      </c>
    </row>
    <row r="322">
      <c r="A322" s="5" t="inlineStr">
        <is>
          <t>지어소프트</t>
        </is>
      </c>
      <c r="B322" s="6" t="inlineStr">
        <is>
          <t>051160</t>
        </is>
      </c>
      <c r="C322" s="6" t="inlineStr">
        <is>
          <t>2026Q2</t>
        </is>
      </c>
      <c r="D322" s="6" t="inlineStr">
        <is>
          <t>20260813</t>
        </is>
      </c>
      <c r="E322" s="16" t="n">
        <v>10851</v>
      </c>
      <c r="F322" s="16" t="n">
        <v>3671</v>
      </c>
      <c r="G322" s="16" t="n">
        <v>7180</v>
      </c>
      <c r="H322" s="6" t="inlineStr">
        <is>
          <t>백만원</t>
        </is>
      </c>
      <c r="I322" s="17" t="n">
        <v>62.2</v>
      </c>
      <c r="J322" s="18" t="n">
        <v>6440</v>
      </c>
      <c r="K322" s="19" t="n">
        <v>5050</v>
      </c>
      <c r="L322" s="18" t="n">
        <v>3433</v>
      </c>
      <c r="M322" s="19" t="n">
        <v>2261</v>
      </c>
      <c r="N322" s="18" t="n">
        <v>4041</v>
      </c>
      <c r="O322" s="19" t="n">
        <v>5190</v>
      </c>
      <c r="P322" s="18" t="n">
        <v>3194</v>
      </c>
      <c r="Q322" s="19" t="n">
        <v>1273</v>
      </c>
      <c r="R322" s="18" t="n">
        <v>4426</v>
      </c>
      <c r="S322" s="20" t="n">
        <v>7180</v>
      </c>
      <c r="T322" s="6" t="n">
        <v>1</v>
      </c>
      <c r="U322" s="5" t="inlineStr">
        <is>
          <t>용역/서비스매출 / -</t>
        </is>
      </c>
      <c r="V322" s="21">
        <f>HYPERLINK("https://dart.fss.or.kr/dsaf001/main.do?rcpNo=20260813000721", "공시열람")</f>
        <v/>
      </c>
    </row>
    <row r="323">
      <c r="A323" s="5" t="inlineStr">
        <is>
          <t>인터플렉스</t>
        </is>
      </c>
      <c r="B323" s="6" t="inlineStr">
        <is>
          <t>051370</t>
        </is>
      </c>
      <c r="C323" s="6" t="inlineStr">
        <is>
          <t>2026Q2</t>
        </is>
      </c>
      <c r="D323" s="6" t="inlineStr">
        <is>
          <t>20260814</t>
        </is>
      </c>
      <c r="E323" s="16" t="n">
        <v>85876</v>
      </c>
      <c r="F323" s="16" t="n">
        <v>75900</v>
      </c>
      <c r="G323" s="16" t="n">
        <v>9976</v>
      </c>
      <c r="H323" s="6" t="inlineStr">
        <is>
          <t>㎡,백만원</t>
        </is>
      </c>
      <c r="I323" s="17" t="n">
        <v>-4.2</v>
      </c>
      <c r="J323" s="18" t="n">
        <v>4221</v>
      </c>
      <c r="K323" s="19" t="n">
        <v>10476</v>
      </c>
      <c r="L323" s="18" t="n">
        <v>8625</v>
      </c>
      <c r="M323" s="19" t="n">
        <v>12874</v>
      </c>
      <c r="N323" s="18" t="n">
        <v>12059</v>
      </c>
      <c r="O323" s="19" t="n">
        <v>9685</v>
      </c>
      <c r="P323" s="18" t="n">
        <v>15618</v>
      </c>
      <c r="Q323" s="19" t="n">
        <v>17237</v>
      </c>
      <c r="R323" s="18" t="n">
        <v>10414</v>
      </c>
      <c r="S323" s="20" t="n">
        <v>9976</v>
      </c>
      <c r="T323" s="6" t="n">
        <v>1</v>
      </c>
      <c r="U323" s="5" t="inlineStr">
        <is>
          <t>FPCB / 26.01.01 ~ 26.06.30</t>
        </is>
      </c>
      <c r="V323" s="21">
        <f>HYPERLINK("https://dart.fss.or.kr/dsaf001/main.do?rcpNo=20260814002519", "공시열람")</f>
        <v/>
      </c>
    </row>
    <row r="324">
      <c r="A324" s="5" t="inlineStr">
        <is>
          <t>한전KPS</t>
        </is>
      </c>
      <c r="B324" s="6" t="inlineStr">
        <is>
          <t>051600</t>
        </is>
      </c>
      <c r="C324" s="6" t="inlineStr">
        <is>
          <t>2026Q2</t>
        </is>
      </c>
      <c r="D324" s="6" t="inlineStr">
        <is>
          <t>20260814</t>
        </is>
      </c>
      <c r="E324" s="16" t="n">
        <v>6485330</v>
      </c>
      <c r="F324" s="16" t="n">
        <v>3902321</v>
      </c>
      <c r="G324" s="16" t="n">
        <v>2635045</v>
      </c>
      <c r="H324" s="6" t="inlineStr">
        <is>
          <t>백만원</t>
        </is>
      </c>
      <c r="I324" s="17" t="n">
        <v>-5.3</v>
      </c>
      <c r="J324" s="18" t="n">
        <v>1998773</v>
      </c>
      <c r="K324" s="19" t="n">
        <v>2337388</v>
      </c>
      <c r="L324" s="18" t="n">
        <v>2384644</v>
      </c>
      <c r="M324" s="19" t="n">
        <v>2095906</v>
      </c>
      <c r="N324" s="18" t="n">
        <v>2106704</v>
      </c>
      <c r="O324" s="19" t="n">
        <v>3165954</v>
      </c>
      <c r="P324" s="18" t="n">
        <v>3150718</v>
      </c>
      <c r="Q324" s="19" t="n">
        <v>2963276</v>
      </c>
      <c r="R324" s="18" t="n">
        <v>2782744</v>
      </c>
      <c r="S324" s="20" t="n">
        <v>2635045</v>
      </c>
      <c r="T324" s="6" t="n">
        <v>5</v>
      </c>
      <c r="U324" s="5" t="inlineStr">
        <is>
          <t>해외 / Amman Asia ElectricPower  | 원자력/양수 / 한국수력원자력(주) / 2025년도 원 | 대외 / 광양그린에너지(주) 등 / 광양바이오매스 발전</t>
        </is>
      </c>
      <c r="V324" s="21">
        <f>HYPERLINK("https://dart.fss.or.kr/dsaf001/main.do?rcpNo=20260814001938", "공시열람")</f>
        <v/>
      </c>
    </row>
    <row r="325">
      <c r="A325" s="5" t="inlineStr">
        <is>
          <t>iMBC</t>
        </is>
      </c>
      <c r="B325" s="6" t="inlineStr">
        <is>
          <t>052220</t>
        </is>
      </c>
      <c r="C325" s="6" t="inlineStr">
        <is>
          <t>2026Q2</t>
        </is>
      </c>
      <c r="D325" s="6" t="inlineStr">
        <is>
          <t>20260814</t>
        </is>
      </c>
      <c r="E325" s="16" t="n">
        <v>5010</v>
      </c>
      <c r="F325" s="16" t="n">
        <v>2505</v>
      </c>
      <c r="G325" s="16" t="n">
        <v>2505</v>
      </c>
      <c r="H325" s="6" t="inlineStr">
        <is>
          <t>백만원</t>
        </is>
      </c>
      <c r="I325" s="17" t="n">
        <v>-33.3</v>
      </c>
      <c r="J325" s="18" t="n">
        <v>3667</v>
      </c>
      <c r="K325" s="19" t="n">
        <v>2445</v>
      </c>
      <c r="L325" s="18" t="n">
        <v>1222</v>
      </c>
      <c r="M325" s="19" t="n">
        <v>0</v>
      </c>
      <c r="N325" s="18" t="n">
        <v>3758</v>
      </c>
      <c r="O325" s="19" t="n">
        <v>2505</v>
      </c>
      <c r="P325" s="18" t="n">
        <v>3758</v>
      </c>
      <c r="Q325" s="19" t="n">
        <v>0</v>
      </c>
      <c r="R325" s="18" t="n">
        <v>3757</v>
      </c>
      <c r="S325" s="20" t="n">
        <v>2505</v>
      </c>
      <c r="T325" s="6" t="n">
        <v>1</v>
      </c>
      <c r="U325" s="5" t="inlineStr">
        <is>
          <t>웹에이전시용역((주)문화방송) / 2026.01.01.</t>
        </is>
      </c>
      <c r="V325" s="21">
        <f>HYPERLINK("https://dart.fss.or.kr/dsaf001/main.do?rcpNo=20260814003296", "공시열람")</f>
        <v/>
      </c>
    </row>
    <row r="326">
      <c r="A326" s="5" t="inlineStr">
        <is>
          <t>오션인더블유</t>
        </is>
      </c>
      <c r="B326" s="6" t="inlineStr">
        <is>
          <t>052300</t>
        </is>
      </c>
      <c r="C326" s="6" t="inlineStr">
        <is>
          <t>2026Q2</t>
        </is>
      </c>
      <c r="D326" s="6" t="inlineStr">
        <is>
          <t>20260814</t>
        </is>
      </c>
      <c r="E326" s="16" t="n">
        <v>2507</v>
      </c>
      <c r="F326" s="16" t="inlineStr"/>
      <c r="G326" s="16" t="n">
        <v>2507</v>
      </c>
      <c r="H326" s="6" t="inlineStr">
        <is>
          <t>개,백만원</t>
        </is>
      </c>
      <c r="I326" s="17" t="n">
        <v>32.9</v>
      </c>
      <c r="J326" s="18" t="inlineStr"/>
      <c r="K326" s="19" t="inlineStr"/>
      <c r="L326" s="18" t="inlineStr"/>
      <c r="M326" s="19" t="inlineStr"/>
      <c r="N326" s="18" t="inlineStr"/>
      <c r="O326" s="19" t="inlineStr"/>
      <c r="P326" s="18" t="inlineStr"/>
      <c r="Q326" s="19" t="inlineStr"/>
      <c r="R326" s="18" t="n">
        <v>1887</v>
      </c>
      <c r="S326" s="20" t="n">
        <v>2507</v>
      </c>
      <c r="T326" s="6" t="n">
        <v>3</v>
      </c>
      <c r="U326" s="5" t="inlineStr">
        <is>
          <t>안전밸브 / 2025.10.17 / 2028.06.15 | 안전밸브 / 2026.05.25 / 2026.12.04 | 스팀트랩 / 2023.12.21 / 2027.12.31</t>
        </is>
      </c>
      <c r="V326" s="21">
        <f>HYPERLINK("https://dart.fss.or.kr/dsaf001/main.do?rcpNo=20260814003068", "공시열람")</f>
        <v/>
      </c>
    </row>
    <row r="327">
      <c r="A327" s="5" t="inlineStr">
        <is>
          <t>아이크래프트</t>
        </is>
      </c>
      <c r="B327" s="6" t="inlineStr">
        <is>
          <t>052460</t>
        </is>
      </c>
      <c r="C327" s="6" t="inlineStr">
        <is>
          <t>2026Q2</t>
        </is>
      </c>
      <c r="D327" s="6" t="inlineStr">
        <is>
          <t>20260814</t>
        </is>
      </c>
      <c r="E327" s="16" t="n">
        <v>80905</v>
      </c>
      <c r="F327" s="16" t="n">
        <v>11072</v>
      </c>
      <c r="G327" s="16" t="n">
        <v>69833</v>
      </c>
      <c r="H327" s="6" t="inlineStr">
        <is>
          <t>백만원</t>
        </is>
      </c>
      <c r="I327" s="17" t="n">
        <v>162.3</v>
      </c>
      <c r="J327" s="18" t="n">
        <v>3387</v>
      </c>
      <c r="K327" s="19" t="n">
        <v>3960</v>
      </c>
      <c r="L327" s="18" t="n">
        <v>3705</v>
      </c>
      <c r="M327" s="19" t="n">
        <v>4926</v>
      </c>
      <c r="N327" s="18" t="n">
        <v>3876</v>
      </c>
      <c r="O327" s="19" t="n">
        <v>3064</v>
      </c>
      <c r="P327" s="18" t="n">
        <v>74170</v>
      </c>
      <c r="Q327" s="19" t="n">
        <v>23739</v>
      </c>
      <c r="R327" s="18" t="n">
        <v>26626</v>
      </c>
      <c r="S327" s="20" t="n">
        <v>69833</v>
      </c>
      <c r="T327" s="6" t="n">
        <v>7</v>
      </c>
      <c r="U327" s="5" t="inlineStr">
        <is>
          <t>네트워크 / `26.06 / `27.03 | 네트워크 / `26.05 / `26.08 | 네트워크 / `26.04 / `26.07</t>
        </is>
      </c>
      <c r="V327" s="21">
        <f>HYPERLINK("https://dart.fss.or.kr/dsaf001/main.do?rcpNo=20260814003356", "공시열람")</f>
        <v/>
      </c>
    </row>
    <row r="328">
      <c r="A328" s="5" t="inlineStr">
        <is>
          <t>한전기술</t>
        </is>
      </c>
      <c r="B328" s="6" t="inlineStr">
        <is>
          <t>052690</t>
        </is>
      </c>
      <c r="C328" s="6" t="inlineStr">
        <is>
          <t>2026Q2</t>
        </is>
      </c>
      <c r="D328" s="6" t="inlineStr">
        <is>
          <t>20260814</t>
        </is>
      </c>
      <c r="E328" s="16" t="n">
        <v>6684108</v>
      </c>
      <c r="F328" s="16" t="inlineStr"/>
      <c r="G328" s="16" t="n">
        <v>3099100</v>
      </c>
      <c r="H328" s="6" t="inlineStr">
        <is>
          <t>백만원</t>
        </is>
      </c>
      <c r="I328" s="17" t="n">
        <v>10.1</v>
      </c>
      <c r="J328" s="18" t="n">
        <v>2175494</v>
      </c>
      <c r="K328" s="19" t="n">
        <v>2163122</v>
      </c>
      <c r="L328" s="18" t="n">
        <v>2071104</v>
      </c>
      <c r="M328" s="19" t="n">
        <v>2020887</v>
      </c>
      <c r="N328" s="18" t="n">
        <v>1911902</v>
      </c>
      <c r="O328" s="19" t="n">
        <v>1912903</v>
      </c>
      <c r="P328" s="18" t="n">
        <v>1887621</v>
      </c>
      <c r="Q328" s="19" t="n">
        <v>3432281</v>
      </c>
      <c r="R328" s="18" t="n">
        <v>2813942</v>
      </c>
      <c r="S328" s="20" t="n">
        <v>3099100</v>
      </c>
      <c r="T328" s="6" t="n">
        <v>10</v>
      </c>
      <c r="U328" s="5" t="inlineStr">
        <is>
          <t>해외 / 원자력 | 국내 / 원자력 | 국내 / 신재생</t>
        </is>
      </c>
      <c r="V328" s="21">
        <f>HYPERLINK("https://dart.fss.or.kr/dsaf001/main.do?rcpNo=20260814001293", "공시열람")</f>
        <v/>
      </c>
    </row>
    <row r="329">
      <c r="A329" s="5" t="inlineStr">
        <is>
          <t>바이넥스</t>
        </is>
      </c>
      <c r="B329" s="6" t="inlineStr">
        <is>
          <t>053030</t>
        </is>
      </c>
      <c r="C329" s="6" t="inlineStr">
        <is>
          <t>2026Q2</t>
        </is>
      </c>
      <c r="D329" s="6" t="inlineStr">
        <is>
          <t>20260814</t>
        </is>
      </c>
      <c r="E329" s="16" t="n">
        <v>82730925</v>
      </c>
      <c r="F329" s="16" t="n">
        <v>31600022</v>
      </c>
      <c r="G329" s="16" t="n">
        <v>51130903</v>
      </c>
      <c r="H329" s="6" t="inlineStr">
        <is>
          <t>천원</t>
        </is>
      </c>
      <c r="I329" s="17" t="n">
        <v>-5.7</v>
      </c>
      <c r="J329" s="18" t="n">
        <v>31242976</v>
      </c>
      <c r="K329" s="19" t="n">
        <v>36236938</v>
      </c>
      <c r="L329" s="18" t="n">
        <v>58044735</v>
      </c>
      <c r="M329" s="19" t="n">
        <v>64322685</v>
      </c>
      <c r="N329" s="18" t="n">
        <v>56600765</v>
      </c>
      <c r="O329" s="19" t="n">
        <v>80255578</v>
      </c>
      <c r="P329" s="18" t="n">
        <v>68684741</v>
      </c>
      <c r="Q329" s="19" t="n">
        <v>66601054</v>
      </c>
      <c r="R329" s="18" t="n">
        <v>54212255</v>
      </c>
      <c r="S329" s="20" t="n">
        <v>51130903</v>
      </c>
      <c r="T329" s="6" t="n">
        <v>1</v>
      </c>
      <c r="U329" s="5" t="inlineStr">
        <is>
          <t>위탁생산 외 / -</t>
        </is>
      </c>
      <c r="V329" s="21">
        <f>HYPERLINK("https://dart.fss.or.kr/dsaf001/main.do?rcpNo=20260814003304", "공시열람")</f>
        <v/>
      </c>
    </row>
    <row r="330">
      <c r="A330" s="5" t="inlineStr">
        <is>
          <t>케이엔솔</t>
        </is>
      </c>
      <c r="B330" s="6" t="inlineStr">
        <is>
          <t>053080</t>
        </is>
      </c>
      <c r="C330" s="6" t="inlineStr">
        <is>
          <t>2026Q2</t>
        </is>
      </c>
      <c r="D330" s="6" t="inlineStr">
        <is>
          <t>20260814</t>
        </is>
      </c>
      <c r="E330" s="16" t="n">
        <v>2522460</v>
      </c>
      <c r="F330" s="16" t="n">
        <v>2149975</v>
      </c>
      <c r="G330" s="16" t="n">
        <v>372485</v>
      </c>
      <c r="H330" s="6" t="inlineStr">
        <is>
          <t>백만원</t>
        </is>
      </c>
      <c r="I330" s="17" t="n">
        <v>-8.4</v>
      </c>
      <c r="J330" s="18" t="n">
        <v>494402</v>
      </c>
      <c r="K330" s="19" t="n">
        <v>592831</v>
      </c>
      <c r="L330" s="18" t="n">
        <v>519227</v>
      </c>
      <c r="M330" s="19" t="n">
        <v>466465</v>
      </c>
      <c r="N330" s="18" t="n">
        <v>398056</v>
      </c>
      <c r="O330" s="19" t="n">
        <v>525837</v>
      </c>
      <c r="P330" s="18" t="n">
        <v>493695</v>
      </c>
      <c r="Q330" s="19" t="n">
        <v>467075</v>
      </c>
      <c r="R330" s="18" t="n">
        <v>406460</v>
      </c>
      <c r="S330" s="20" t="n">
        <v>372485</v>
      </c>
      <c r="T330" s="6" t="n">
        <v>2</v>
      </c>
      <c r="U330" s="5" t="inlineStr">
        <is>
          <t>클린룸 및 공조시스템 제조, 설치공사 외 / - | 교량거더사업 / -</t>
        </is>
      </c>
      <c r="V330" s="21">
        <f>HYPERLINK("https://dart.fss.or.kr/dsaf001/main.do?rcpNo=20260814003241", "공시열람")</f>
        <v/>
      </c>
    </row>
    <row r="331">
      <c r="A331" s="5" t="inlineStr">
        <is>
          <t>한국정보인증</t>
        </is>
      </c>
      <c r="B331" s="6" t="inlineStr">
        <is>
          <t>053300</t>
        </is>
      </c>
      <c r="C331" s="6" t="inlineStr">
        <is>
          <t>2025Q4</t>
        </is>
      </c>
      <c r="D331" s="6" t="inlineStr">
        <is>
          <t>20260318</t>
        </is>
      </c>
      <c r="E331" s="16" t="n">
        <v>7517</v>
      </c>
      <c r="F331" s="16" t="n">
        <v>7517</v>
      </c>
      <c r="G331" s="16" t="n">
        <v>0</v>
      </c>
      <c r="H331" s="6" t="inlineStr">
        <is>
          <t>백만원</t>
        </is>
      </c>
      <c r="I331" s="17" t="inlineStr"/>
      <c r="J331" s="18" t="n">
        <v>7108300663</v>
      </c>
      <c r="K331" s="19" t="n">
        <v>6796</v>
      </c>
      <c r="L331" s="18" t="n">
        <v>5962</v>
      </c>
      <c r="M331" s="19" t="n">
        <v>4206</v>
      </c>
      <c r="N331" s="18" t="n">
        <v>656</v>
      </c>
      <c r="O331" s="19" t="n">
        <v>82</v>
      </c>
      <c r="P331" s="18" t="n">
        <v>0</v>
      </c>
      <c r="Q331" s="19" t="n">
        <v>0</v>
      </c>
      <c r="R331" s="18" t="inlineStr"/>
      <c r="S331" s="20" t="inlineStr"/>
      <c r="T331" s="6" t="n">
        <v>1</v>
      </c>
      <c r="U331" s="5" t="inlineStr">
        <is>
          <t>차세대 자동차관리정보시스템 구축 용역 / 2022.11</t>
        </is>
      </c>
      <c r="V331" s="21">
        <f>HYPERLINK("https://dart.fss.or.kr/dsaf001/main.do?rcpNo=20260318001623", "공시열람")</f>
        <v/>
      </c>
    </row>
    <row r="332">
      <c r="A332" s="5" t="inlineStr">
        <is>
          <t>이니텍</t>
        </is>
      </c>
      <c r="B332" s="6" t="inlineStr">
        <is>
          <t>053350</t>
        </is>
      </c>
      <c r="C332" s="6" t="inlineStr">
        <is>
          <t>2026Q2</t>
        </is>
      </c>
      <c r="D332" s="6" t="inlineStr">
        <is>
          <t>20260814</t>
        </is>
      </c>
      <c r="E332" s="16" t="n">
        <v>7861</v>
      </c>
      <c r="F332" s="16" t="n">
        <v>961</v>
      </c>
      <c r="G332" s="16" t="n">
        <v>6900</v>
      </c>
      <c r="H332" s="6" t="inlineStr">
        <is>
          <t>백만원</t>
        </is>
      </c>
      <c r="I332" s="17" t="n">
        <v>-11.5</v>
      </c>
      <c r="J332" s="18" t="inlineStr"/>
      <c r="K332" s="19" t="inlineStr"/>
      <c r="L332" s="18" t="inlineStr"/>
      <c r="M332" s="19" t="inlineStr"/>
      <c r="N332" s="18" t="inlineStr"/>
      <c r="O332" s="19" t="inlineStr"/>
      <c r="P332" s="18" t="inlineStr"/>
      <c r="Q332" s="19" t="inlineStr"/>
      <c r="R332" s="18" t="n">
        <v>7795</v>
      </c>
      <c r="S332" s="20" t="n">
        <v>6900</v>
      </c>
      <c r="T332" s="6" t="n">
        <v>2</v>
      </c>
      <c r="U332" s="5" t="inlineStr">
        <is>
          <t>수협은행 인터넷 뱅킹 구축 물품 / 2026.03.25 | 수협은행 인터넷 뱅킹 구축 외주비 / 2026.03.1</t>
        </is>
      </c>
      <c r="V332" s="21">
        <f>HYPERLINK("https://dart.fss.or.kr/dsaf001/main.do?rcpNo=20260814003743", "공시열람")</f>
        <v/>
      </c>
    </row>
    <row r="333">
      <c r="A333" s="5" t="inlineStr">
        <is>
          <t>웹케시</t>
        </is>
      </c>
      <c r="B333" s="6" t="inlineStr">
        <is>
          <t>053580</t>
        </is>
      </c>
      <c r="C333" s="6" t="inlineStr">
        <is>
          <t>2026Q2</t>
        </is>
      </c>
      <c r="D333" s="6" t="inlineStr">
        <is>
          <t>20260814</t>
        </is>
      </c>
      <c r="E333" s="16" t="n">
        <v>8247</v>
      </c>
      <c r="F333" s="16" t="n">
        <v>2955</v>
      </c>
      <c r="G333" s="16" t="n">
        <v>5292</v>
      </c>
      <c r="H333" s="6" t="inlineStr">
        <is>
          <t>백만원</t>
        </is>
      </c>
      <c r="I333" s="17" t="n">
        <v>29.1</v>
      </c>
      <c r="J333" s="18" t="n">
        <v>540</v>
      </c>
      <c r="K333" s="19" t="n">
        <v>234</v>
      </c>
      <c r="L333" s="18" t="n">
        <v>3359</v>
      </c>
      <c r="M333" s="19" t="n">
        <v>3143</v>
      </c>
      <c r="N333" s="18" t="n">
        <v>1611</v>
      </c>
      <c r="O333" s="19" t="n">
        <v>1482</v>
      </c>
      <c r="P333" s="18" t="n">
        <v>1089</v>
      </c>
      <c r="Q333" s="19" t="n">
        <v>737</v>
      </c>
      <c r="R333" s="18" t="n">
        <v>4098</v>
      </c>
      <c r="S333" s="20" t="n">
        <v>5292</v>
      </c>
      <c r="T333" s="6" t="n">
        <v>5</v>
      </c>
      <c r="U333" s="5" t="inlineStr">
        <is>
          <t>SI | SI | SI</t>
        </is>
      </c>
      <c r="V333" s="21">
        <f>HYPERLINK("https://dart.fss.or.kr/dsaf001/main.do?rcpNo=20260814002143", "공시열람")</f>
        <v/>
      </c>
    </row>
    <row r="334">
      <c r="A334" s="5" t="inlineStr">
        <is>
          <t>한미글로벌</t>
        </is>
      </c>
      <c r="B334" s="6" t="inlineStr">
        <is>
          <t>053690</t>
        </is>
      </c>
      <c r="C334" s="6" t="inlineStr">
        <is>
          <t>2026Q2</t>
        </is>
      </c>
      <c r="D334" s="6" t="inlineStr">
        <is>
          <t>20260828</t>
        </is>
      </c>
      <c r="E334" s="16" t="n">
        <v>878187651266</v>
      </c>
      <c r="F334" s="16" t="inlineStr"/>
      <c r="G334" s="16" t="n">
        <v>429629408504</v>
      </c>
      <c r="H334" s="6" t="inlineStr">
        <is>
          <t>원</t>
        </is>
      </c>
      <c r="I334" s="17" t="n">
        <v>9.199999999999999</v>
      </c>
      <c r="J334" s="18" t="n">
        <v>280625623140</v>
      </c>
      <c r="K334" s="19" t="n">
        <v>288501127919</v>
      </c>
      <c r="L334" s="18" t="n">
        <v>294635368923</v>
      </c>
      <c r="M334" s="19" t="n">
        <v>6706802</v>
      </c>
      <c r="N334" s="18" t="n">
        <v>320593053852</v>
      </c>
      <c r="O334" s="19" t="n">
        <v>324780781672</v>
      </c>
      <c r="P334" s="18" t="n">
        <v>346685011855</v>
      </c>
      <c r="Q334" s="19" t="n">
        <v>372466652132</v>
      </c>
      <c r="R334" s="18" t="n">
        <v>393550665757</v>
      </c>
      <c r="S334" s="20" t="n">
        <v>429629408504</v>
      </c>
      <c r="T334" s="6" t="n">
        <v>4</v>
      </c>
      <c r="U334" s="5" t="inlineStr">
        <is>
          <t>민간 / 용역형 / 평택 P4L외 214건 | 해외 / 용역형 / (리비아)LibyaHousing&amp;I | 국내 / 책임형 / 안다자산운용 사옥 신축공사외 4건</t>
        </is>
      </c>
      <c r="V334" s="21">
        <f>HYPERLINK("https://dart.fss.or.kr/dsaf001/main.do?rcpNo=20260828001797", "공시열람")</f>
        <v/>
      </c>
    </row>
    <row r="335">
      <c r="A335" s="5" t="inlineStr">
        <is>
          <t>오상자이엘</t>
        </is>
      </c>
      <c r="B335" s="6" t="inlineStr">
        <is>
          <t>053980</t>
        </is>
      </c>
      <c r="C335" s="6" t="inlineStr">
        <is>
          <t>2026Q2</t>
        </is>
      </c>
      <c r="D335" s="6" t="inlineStr">
        <is>
          <t>20260814</t>
        </is>
      </c>
      <c r="E335" s="16" t="n">
        <v>18316305</v>
      </c>
      <c r="F335" s="16" t="n">
        <v>9724030</v>
      </c>
      <c r="G335" s="16" t="n">
        <v>8592277</v>
      </c>
      <c r="H335" s="6" t="inlineStr">
        <is>
          <t>천원</t>
        </is>
      </c>
      <c r="I335" s="17" t="n">
        <v>-30.8</v>
      </c>
      <c r="J335" s="18" t="n">
        <v>13367068</v>
      </c>
      <c r="K335" s="19" t="n">
        <v>11719009</v>
      </c>
      <c r="L335" s="18" t="n">
        <v>8412431</v>
      </c>
      <c r="M335" s="19" t="n">
        <v>5178970</v>
      </c>
      <c r="N335" s="18" t="n">
        <v>14370138</v>
      </c>
      <c r="O335" s="19" t="n">
        <v>10238364</v>
      </c>
      <c r="P335" s="18" t="n">
        <v>8363902</v>
      </c>
      <c r="Q335" s="19" t="n">
        <v>11719627</v>
      </c>
      <c r="R335" s="18" t="n">
        <v>12422023</v>
      </c>
      <c r="S335" s="20" t="n">
        <v>8592277</v>
      </c>
      <c r="T335" s="6" t="n">
        <v>15</v>
      </c>
      <c r="U335" s="5" t="inlineStr">
        <is>
          <t>환경위성센터 전산장비 통합유지보수 / 2025-12-2 | 국가기상위성센터 위성시스템 통합유지관리 / 2025-1 | 해양경찰청 정보시스템 통합유지관리 / 2026-01-1</t>
        </is>
      </c>
      <c r="V335" s="21">
        <f>HYPERLINK("https://dart.fss.or.kr/dsaf001/main.do?rcpNo=20260814003798", "공시열람")</f>
        <v/>
      </c>
    </row>
    <row r="336">
      <c r="A336" s="5" t="inlineStr">
        <is>
          <t>이랜텍</t>
        </is>
      </c>
      <c r="B336" s="6" t="inlineStr">
        <is>
          <t>054210</t>
        </is>
      </c>
      <c r="C336" s="6" t="inlineStr">
        <is>
          <t>2023Q4</t>
        </is>
      </c>
      <c r="D336" s="6" t="inlineStr">
        <is>
          <t>20240318</t>
        </is>
      </c>
      <c r="E336" s="16" t="n">
        <v>307841</v>
      </c>
      <c r="F336" s="16" t="n">
        <v>307841</v>
      </c>
      <c r="G336" s="16" t="n">
        <v>0</v>
      </c>
      <c r="H336" s="6" t="inlineStr">
        <is>
          <t>천미달러화</t>
        </is>
      </c>
      <c r="I336" s="17" t="inlineStr"/>
      <c r="J336" s="18" t="inlineStr"/>
      <c r="K336" s="19" t="inlineStr"/>
      <c r="L336" s="18" t="inlineStr"/>
      <c r="M336" s="19" t="inlineStr"/>
      <c r="N336" s="18" t="inlineStr"/>
      <c r="O336" s="19" t="inlineStr"/>
      <c r="P336" s="18" t="inlineStr"/>
      <c r="Q336" s="19" t="inlineStr"/>
      <c r="R336" s="18" t="inlineStr"/>
      <c r="S336" s="20" t="inlineStr"/>
      <c r="T336" s="6" t="n">
        <v>1</v>
      </c>
      <c r="U336" s="5" t="inlineStr">
        <is>
          <t>전자담배 디바이스 / 2022.02.14 / 2022.</t>
        </is>
      </c>
      <c r="V336" s="21">
        <f>HYPERLINK("https://dart.fss.or.kr/dsaf001/main.do?rcpNo=20240318000836", "공시열람")</f>
        <v/>
      </c>
    </row>
    <row r="337">
      <c r="A337" s="5" t="inlineStr">
        <is>
          <t>팬스타엔터프라이즈</t>
        </is>
      </c>
      <c r="B337" s="6" t="inlineStr">
        <is>
          <t>054300</t>
        </is>
      </c>
      <c r="C337" s="6" t="inlineStr">
        <is>
          <t>2026Q2</t>
        </is>
      </c>
      <c r="D337" s="6" t="inlineStr">
        <is>
          <t>20260814</t>
        </is>
      </c>
      <c r="E337" s="16" t="n">
        <v>7752000</v>
      </c>
      <c r="F337" s="16" t="n">
        <v>7309029</v>
      </c>
      <c r="G337" s="16" t="n">
        <v>442971</v>
      </c>
      <c r="H337" s="6" t="inlineStr">
        <is>
          <t>달러</t>
        </is>
      </c>
      <c r="I337" s="17" t="n">
        <v>-33.3</v>
      </c>
      <c r="J337" s="18" t="n">
        <v>2106262</v>
      </c>
      <c r="K337" s="19" t="n">
        <v>1702984</v>
      </c>
      <c r="L337" s="18" t="n">
        <v>1299704</v>
      </c>
      <c r="M337" s="19" t="n">
        <v>896426</v>
      </c>
      <c r="N337" s="18" t="n">
        <v>672319</v>
      </c>
      <c r="O337" s="19" t="n">
        <v>448213</v>
      </c>
      <c r="P337" s="18" t="n">
        <v>224107</v>
      </c>
      <c r="Q337" s="19" t="n">
        <v>877585</v>
      </c>
      <c r="R337" s="18" t="n">
        <v>664458</v>
      </c>
      <c r="S337" s="20" t="n">
        <v>442971</v>
      </c>
      <c r="T337" s="6" t="n">
        <v>1</v>
      </c>
      <c r="U337" s="5" t="inlineStr">
        <is>
          <t>선박용선 / 18년03월~26년12월</t>
        </is>
      </c>
      <c r="V337" s="21">
        <f>HYPERLINK("https://dart.fss.or.kr/dsaf001/main.do?rcpNo=20260814002694", "공시열람")</f>
        <v/>
      </c>
    </row>
    <row r="338">
      <c r="A338" s="5" t="inlineStr">
        <is>
          <t>삼영엠텍</t>
        </is>
      </c>
      <c r="B338" s="6" t="inlineStr">
        <is>
          <t>054540</t>
        </is>
      </c>
      <c r="C338" s="6" t="inlineStr">
        <is>
          <t>2026Q2</t>
        </is>
      </c>
      <c r="D338" s="6" t="inlineStr">
        <is>
          <t>20260813</t>
        </is>
      </c>
      <c r="E338" s="16" t="n">
        <v>190653084</v>
      </c>
      <c r="F338" s="16" t="inlineStr"/>
      <c r="G338" s="16" t="n">
        <v>190653084</v>
      </c>
      <c r="H338" s="6" t="inlineStr">
        <is>
          <t>천원</t>
        </is>
      </c>
      <c r="I338" s="17" t="n">
        <v>28.7</v>
      </c>
      <c r="J338" s="18" t="n">
        <v>88383333</v>
      </c>
      <c r="K338" s="19" t="n">
        <v>90016361</v>
      </c>
      <c r="L338" s="18" t="n">
        <v>90965580</v>
      </c>
      <c r="M338" s="19" t="n">
        <v>87617139</v>
      </c>
      <c r="N338" s="18" t="n">
        <v>84536088</v>
      </c>
      <c r="O338" s="19" t="n">
        <v>88879635</v>
      </c>
      <c r="P338" s="18" t="n">
        <v>101364831</v>
      </c>
      <c r="Q338" s="19" t="n">
        <v>106441716</v>
      </c>
      <c r="R338" s="18" t="n">
        <v>148097673</v>
      </c>
      <c r="S338" s="20" t="n">
        <v>190653084</v>
      </c>
      <c r="T338" s="6" t="n">
        <v>3</v>
      </c>
      <c r="U338" s="5" t="inlineStr">
        <is>
          <t>구조물 구조재 / - | 선박엔진 구조재 / - | 플랜트 기자재 / -</t>
        </is>
      </c>
      <c r="V338" s="21">
        <f>HYPERLINK("https://dart.fss.or.kr/dsaf001/main.do?rcpNo=20260813001097", "공시열람")</f>
        <v/>
      </c>
    </row>
    <row r="339">
      <c r="A339" s="5" t="inlineStr">
        <is>
          <t>APS</t>
        </is>
      </c>
      <c r="B339" s="6" t="inlineStr">
        <is>
          <t>054620</t>
        </is>
      </c>
      <c r="C339" s="6" t="inlineStr">
        <is>
          <t>2024Q4</t>
        </is>
      </c>
      <c r="D339" s="6" t="inlineStr">
        <is>
          <t>20250321</t>
        </is>
      </c>
      <c r="E339" s="16" t="n">
        <v>4144</v>
      </c>
      <c r="F339" s="16" t="n">
        <v>3169</v>
      </c>
      <c r="G339" s="16" t="n">
        <v>975</v>
      </c>
      <c r="H339" s="6" t="inlineStr"/>
      <c r="I339" s="17" t="n">
        <v>1.6</v>
      </c>
      <c r="J339" s="18" t="inlineStr"/>
      <c r="K339" s="19" t="inlineStr"/>
      <c r="L339" s="18" t="n">
        <v>960</v>
      </c>
      <c r="M339" s="19" t="n">
        <v>975</v>
      </c>
      <c r="N339" s="18" t="inlineStr"/>
      <c r="O339" s="19" t="inlineStr"/>
      <c r="P339" s="18" t="inlineStr"/>
      <c r="Q339" s="19" t="inlineStr"/>
      <c r="R339" s="18" t="inlineStr"/>
      <c r="S339" s="20" t="inlineStr"/>
      <c r="T339" s="6" t="n">
        <v>1</v>
      </c>
      <c r="U339" s="5" t="inlineStr">
        <is>
          <t>반도체 설비 / Dicing Saw, Chiller 등</t>
        </is>
      </c>
      <c r="V339" s="21">
        <f>HYPERLINK("https://dart.fss.or.kr/dsaf001/main.do?rcpNo=20250321001983", "공시열람")</f>
        <v/>
      </c>
    </row>
    <row r="340">
      <c r="A340" s="5" t="inlineStr">
        <is>
          <t>유신</t>
        </is>
      </c>
      <c r="B340" s="6" t="inlineStr">
        <is>
          <t>054930</t>
        </is>
      </c>
      <c r="C340" s="6" t="inlineStr">
        <is>
          <t>2026Q2</t>
        </is>
      </c>
      <c r="D340" s="6" t="inlineStr">
        <is>
          <t>20260814</t>
        </is>
      </c>
      <c r="E340" s="16" t="n">
        <v>2308874</v>
      </c>
      <c r="F340" s="16" t="n">
        <v>1172947</v>
      </c>
      <c r="G340" s="16" t="n">
        <v>1136154</v>
      </c>
      <c r="H340" s="6" t="inlineStr">
        <is>
          <t>백만원</t>
        </is>
      </c>
      <c r="I340" s="17" t="n">
        <v>2.9</v>
      </c>
      <c r="J340" s="18" t="n">
        <v>679605</v>
      </c>
      <c r="K340" s="19" t="n">
        <v>720279</v>
      </c>
      <c r="L340" s="18" t="n">
        <v>732565</v>
      </c>
      <c r="M340" s="19" t="n">
        <v>898737</v>
      </c>
      <c r="N340" s="18" t="n">
        <v>915221</v>
      </c>
      <c r="O340" s="19" t="n">
        <v>994013</v>
      </c>
      <c r="P340" s="18" t="n">
        <v>980117</v>
      </c>
      <c r="Q340" s="19" t="n">
        <v>1020669</v>
      </c>
      <c r="R340" s="18" t="n">
        <v>1103954</v>
      </c>
      <c r="S340" s="20" t="n">
        <v>1136154</v>
      </c>
      <c r="T340" s="6" t="n">
        <v>6</v>
      </c>
      <c r="U340" s="5" t="inlineStr">
        <is>
          <t>설계 / 관급 / 광명시흥 공공주택지구 실시설계 건설엔 | 해외 / 필리핀 바탄 - 카비테 연결교량 (BCIB)  | 건설사업관리 / 관급 / 홍천 양수발전소 1,2호기 토</t>
        </is>
      </c>
      <c r="V340" s="21">
        <f>HYPERLINK("https://dart.fss.or.kr/dsaf001/main.do?rcpNo=20260814003347", "공시열람")</f>
        <v/>
      </c>
    </row>
    <row r="341">
      <c r="A341" s="5" t="inlineStr">
        <is>
          <t>엑사이엔씨</t>
        </is>
      </c>
      <c r="B341" s="6" t="inlineStr">
        <is>
          <t>054940</t>
        </is>
      </c>
      <c r="C341" s="6" t="inlineStr">
        <is>
          <t>2026Q2</t>
        </is>
      </c>
      <c r="D341" s="6" t="inlineStr">
        <is>
          <t>20260813</t>
        </is>
      </c>
      <c r="E341" s="16" t="n">
        <v>224086</v>
      </c>
      <c r="F341" s="16" t="n">
        <v>172120</v>
      </c>
      <c r="G341" s="16" t="n">
        <v>51966</v>
      </c>
      <c r="H341" s="6" t="inlineStr">
        <is>
          <t>백만원</t>
        </is>
      </c>
      <c r="I341" s="17" t="n">
        <v>-37.2</v>
      </c>
      <c r="J341" s="18" t="n">
        <v>44203</v>
      </c>
      <c r="K341" s="19" t="n">
        <v>59145</v>
      </c>
      <c r="L341" s="18" t="n">
        <v>58496</v>
      </c>
      <c r="M341" s="19" t="n">
        <v>62588</v>
      </c>
      <c r="N341" s="18" t="n">
        <v>52905</v>
      </c>
      <c r="O341" s="19" t="n">
        <v>70195</v>
      </c>
      <c r="P341" s="18" t="n">
        <v>127197</v>
      </c>
      <c r="Q341" s="19" t="n">
        <v>111294</v>
      </c>
      <c r="R341" s="18" t="n">
        <v>82748</v>
      </c>
      <c r="S341" s="20" t="n">
        <v>51966</v>
      </c>
      <c r="T341" s="6" t="n">
        <v>2</v>
      </c>
      <c r="U341" s="5" t="inlineStr">
        <is>
          <t>CR/수장/시스템파티션 / 2021.01.01~2026 | 인테리어 / 2021.01.01~2026.06.30 /</t>
        </is>
      </c>
      <c r="V341" s="21">
        <f>HYPERLINK("https://dart.fss.or.kr/dsaf001/main.do?rcpNo=20260812000891", "공시열람")</f>
        <v/>
      </c>
    </row>
    <row r="342">
      <c r="A342" s="5" t="inlineStr">
        <is>
          <t>에스에프에이</t>
        </is>
      </c>
      <c r="B342" s="6" t="inlineStr">
        <is>
          <t>056190</t>
        </is>
      </c>
      <c r="C342" s="6" t="inlineStr">
        <is>
          <t>2026Q2</t>
        </is>
      </c>
      <c r="D342" s="6" t="inlineStr">
        <is>
          <t>20260812</t>
        </is>
      </c>
      <c r="E342" s="16" t="inlineStr"/>
      <c r="F342" s="16" t="inlineStr"/>
      <c r="G342" s="16" t="n">
        <v>1320587</v>
      </c>
      <c r="H342" s="6" t="inlineStr">
        <is>
          <t>백만원</t>
        </is>
      </c>
      <c r="I342" s="17" t="n">
        <v>36.8</v>
      </c>
      <c r="J342" s="18" t="n">
        <v>697917</v>
      </c>
      <c r="K342" s="19" t="n">
        <v>560611</v>
      </c>
      <c r="L342" s="18" t="n">
        <v>474512</v>
      </c>
      <c r="M342" s="19" t="n">
        <v>492646</v>
      </c>
      <c r="N342" s="18" t="n">
        <v>332350</v>
      </c>
      <c r="O342" s="19" t="n">
        <v>361866</v>
      </c>
      <c r="P342" s="18" t="n">
        <v>766542</v>
      </c>
      <c r="Q342" s="19" t="n">
        <v>911850</v>
      </c>
      <c r="R342" s="18" t="n">
        <v>965416</v>
      </c>
      <c r="S342" s="20" t="n">
        <v>1320587</v>
      </c>
      <c r="T342" s="6" t="n">
        <v>12</v>
      </c>
      <c r="U342" s="5" t="inlineStr">
        <is>
          <t>로봇AI물류자동화 | 로봇AI물류자동화 | 로봇AI물류자동화</t>
        </is>
      </c>
      <c r="V342" s="21">
        <f>HYPERLINK("https://dart.fss.or.kr/dsaf001/main.do?rcpNo=20260812000465", "공시열람")</f>
        <v/>
      </c>
    </row>
    <row r="343">
      <c r="A343" s="5" t="inlineStr">
        <is>
          <t>코위버</t>
        </is>
      </c>
      <c r="B343" s="6" t="inlineStr">
        <is>
          <t>056360</t>
        </is>
      </c>
      <c r="C343" s="6" t="inlineStr">
        <is>
          <t>2025Q4</t>
        </is>
      </c>
      <c r="D343" s="6" t="inlineStr">
        <is>
          <t>20260316</t>
        </is>
      </c>
      <c r="E343" s="16" t="n">
        <v>28370</v>
      </c>
      <c r="F343" s="16" t="n">
        <v>28370</v>
      </c>
      <c r="G343" s="16" t="n">
        <v>0</v>
      </c>
      <c r="H343" s="6" t="inlineStr">
        <is>
          <t>백만원</t>
        </is>
      </c>
      <c r="I343" s="17" t="inlineStr"/>
      <c r="J343" s="18" t="n">
        <v>4954</v>
      </c>
      <c r="K343" s="19" t="n">
        <v>4184</v>
      </c>
      <c r="L343" s="18" t="n">
        <v>2778</v>
      </c>
      <c r="M343" s="19" t="n">
        <v>0</v>
      </c>
      <c r="N343" s="18" t="inlineStr"/>
      <c r="O343" s="19" t="inlineStr"/>
      <c r="P343" s="18" t="inlineStr"/>
      <c r="Q343" s="19" t="n">
        <v>0</v>
      </c>
      <c r="R343" s="18" t="inlineStr"/>
      <c r="S343" s="20" t="inlineStr"/>
      <c r="T343" s="6" t="n">
        <v>3</v>
      </c>
      <c r="U343" s="5" t="inlineStr">
        <is>
          <t>관제시스템 구축 외 / 22.12.29 / 23.12. | 광다중화장치 / 23.04.06 / 24.12.31 | Access PTN 장비 / 23.10.26 / 24.</t>
        </is>
      </c>
      <c r="V343" s="21">
        <f>HYPERLINK("https://dart.fss.or.kr/dsaf001/main.do?rcpNo=20260316000323", "공시열람")</f>
        <v/>
      </c>
    </row>
    <row r="344">
      <c r="A344" s="5" t="inlineStr">
        <is>
          <t>CNT85</t>
        </is>
      </c>
      <c r="B344" s="6" t="inlineStr">
        <is>
          <t>056730</t>
        </is>
      </c>
      <c r="C344" s="6" t="inlineStr">
        <is>
          <t>2026Q2</t>
        </is>
      </c>
      <c r="D344" s="6" t="inlineStr">
        <is>
          <t>20260814</t>
        </is>
      </c>
      <c r="E344" s="16" t="n">
        <v>35444</v>
      </c>
      <c r="F344" s="16" t="n">
        <v>24102</v>
      </c>
      <c r="G344" s="16" t="n">
        <v>11342</v>
      </c>
      <c r="H344" s="6" t="inlineStr">
        <is>
          <t>백만원</t>
        </is>
      </c>
      <c r="I344" s="17" t="n">
        <v>4.3</v>
      </c>
      <c r="J344" s="18" t="n">
        <v>42865</v>
      </c>
      <c r="K344" s="19" t="n">
        <v>27952</v>
      </c>
      <c r="L344" s="18" t="n">
        <v>35858</v>
      </c>
      <c r="M344" s="19" t="n">
        <v>26958</v>
      </c>
      <c r="N344" s="18" t="n">
        <v>26958</v>
      </c>
      <c r="O344" s="19" t="n">
        <v>50742</v>
      </c>
      <c r="P344" s="18" t="n">
        <v>39915</v>
      </c>
      <c r="Q344" s="19" t="n">
        <v>23834</v>
      </c>
      <c r="R344" s="18" t="n">
        <v>10878</v>
      </c>
      <c r="S344" s="20" t="n">
        <v>11342</v>
      </c>
      <c r="T344" s="6" t="n">
        <v>3</v>
      </c>
      <c r="U344" s="5" t="inlineStr">
        <is>
          <t>건축 / - | 필터프레스 / - | 플랜트 / -</t>
        </is>
      </c>
      <c r="V344" s="21">
        <f>HYPERLINK("https://dart.fss.or.kr/dsaf001/main.do?rcpNo=20260814003536", "공시열람")</f>
        <v/>
      </c>
    </row>
    <row r="345">
      <c r="A345" s="5" t="inlineStr">
        <is>
          <t>현대홈쇼핑</t>
        </is>
      </c>
      <c r="B345" s="6" t="inlineStr">
        <is>
          <t>057050</t>
        </is>
      </c>
      <c r="C345" s="6" t="inlineStr">
        <is>
          <t>2024Q1</t>
        </is>
      </c>
      <c r="D345" s="6" t="inlineStr">
        <is>
          <t>20240516</t>
        </is>
      </c>
      <c r="E345" s="16" t="n">
        <v>18480</v>
      </c>
      <c r="F345" s="16" t="n">
        <v>18480</v>
      </c>
      <c r="G345" s="16" t="n">
        <v>0</v>
      </c>
      <c r="H345" s="6" t="inlineStr">
        <is>
          <t>백만원/VAT포함</t>
        </is>
      </c>
      <c r="I345" s="17" t="n">
        <v>-100</v>
      </c>
      <c r="J345" s="18" t="n">
        <v>0</v>
      </c>
      <c r="K345" s="19" t="inlineStr"/>
      <c r="L345" s="18" t="inlineStr"/>
      <c r="M345" s="19" t="inlineStr"/>
      <c r="N345" s="18" t="inlineStr"/>
      <c r="O345" s="19" t="inlineStr"/>
      <c r="P345" s="18" t="inlineStr"/>
      <c r="Q345" s="19" t="inlineStr"/>
      <c r="R345" s="18" t="inlineStr"/>
      <c r="S345" s="20" t="inlineStr"/>
      <c r="T345" s="6" t="n">
        <v>1</v>
      </c>
      <c r="U345" s="5" t="inlineStr">
        <is>
          <t>인스파이어 복합리조트 통합 미디어 구축 / (주)한화건</t>
        </is>
      </c>
      <c r="V345" s="21">
        <f>HYPERLINK("https://dart.fss.or.kr/dsaf001/main.do?rcpNo=20240516001969", "공시열람")</f>
        <v/>
      </c>
    </row>
    <row r="346">
      <c r="A346" s="5" t="inlineStr">
        <is>
          <t>세아홀딩스</t>
        </is>
      </c>
      <c r="B346" s="6" t="inlineStr">
        <is>
          <t>058650</t>
        </is>
      </c>
      <c r="C346" s="6" t="inlineStr">
        <is>
          <t>2026Q2</t>
        </is>
      </c>
      <c r="D346" s="6" t="inlineStr">
        <is>
          <t>20260814</t>
        </is>
      </c>
      <c r="E346" s="16" t="n">
        <v>972741</v>
      </c>
      <c r="F346" s="16" t="n">
        <v>615251</v>
      </c>
      <c r="G346" s="16" t="n">
        <v>357490</v>
      </c>
      <c r="H346" s="6" t="inlineStr">
        <is>
          <t>톤,백만원</t>
        </is>
      </c>
      <c r="I346" s="17" t="n">
        <v>179.9</v>
      </c>
      <c r="J346" s="18" t="n">
        <v>39880</v>
      </c>
      <c r="K346" s="19" t="n">
        <v>40055</v>
      </c>
      <c r="L346" s="18" t="n">
        <v>37121</v>
      </c>
      <c r="M346" s="19" t="n">
        <v>36952</v>
      </c>
      <c r="N346" s="18" t="n">
        <v>58158</v>
      </c>
      <c r="O346" s="19" t="n">
        <v>34210</v>
      </c>
      <c r="P346" s="18" t="n">
        <v>44365</v>
      </c>
      <c r="Q346" s="19" t="n">
        <v>93564</v>
      </c>
      <c r="R346" s="18" t="n">
        <v>127725</v>
      </c>
      <c r="S346" s="20" t="n">
        <v>357490</v>
      </c>
      <c r="T346" s="6" t="n">
        <v>1</v>
      </c>
      <c r="U346" s="5" t="inlineStr">
        <is>
          <t>선재, 봉강,강관,반제품 등 / 2026.01.01~2</t>
        </is>
      </c>
      <c r="V346" s="21">
        <f>HYPERLINK("https://dart.fss.or.kr/dsaf001/main.do?rcpNo=20260814003711", "공시열람")</f>
        <v/>
      </c>
    </row>
    <row r="347">
      <c r="A347" s="5" t="inlineStr">
        <is>
          <t>다스코</t>
        </is>
      </c>
      <c r="B347" s="6" t="inlineStr">
        <is>
          <t>058730</t>
        </is>
      </c>
      <c r="C347" s="6" t="inlineStr">
        <is>
          <t>2026Q2</t>
        </is>
      </c>
      <c r="D347" s="6" t="inlineStr">
        <is>
          <t>20260814</t>
        </is>
      </c>
      <c r="E347" s="16" t="n">
        <v>317372172</v>
      </c>
      <c r="F347" s="16" t="n">
        <v>188043443</v>
      </c>
      <c r="G347" s="16" t="n">
        <v>129328729</v>
      </c>
      <c r="H347" s="6" t="inlineStr">
        <is>
          <t>천원</t>
        </is>
      </c>
      <c r="I347" s="17" t="n">
        <v>-8.300000000000001</v>
      </c>
      <c r="J347" s="18" t="inlineStr"/>
      <c r="K347" s="19" t="n">
        <v>74221852</v>
      </c>
      <c r="L347" s="18" t="inlineStr"/>
      <c r="M347" s="19" t="n">
        <v>157089279</v>
      </c>
      <c r="N347" s="18" t="n">
        <v>167785292</v>
      </c>
      <c r="O347" s="19" t="n">
        <v>170440582</v>
      </c>
      <c r="P347" s="18" t="inlineStr"/>
      <c r="Q347" s="19" t="inlineStr"/>
      <c r="R347" s="18" t="n">
        <v>140979577</v>
      </c>
      <c r="S347" s="20" t="n">
        <v>129328729</v>
      </c>
      <c r="T347" s="6" t="n">
        <v>21</v>
      </c>
      <c r="U347" s="5" t="inlineStr">
        <is>
          <t>신재생에너지사업부문 / 해오름에너지관리운영 / 2026 | 신재생에너지사업부문 / 삼척도계 / 2024.12.16 | soc사업부문 / 민락2지구 / 2021.10.08 /</t>
        </is>
      </c>
      <c r="V347" s="21">
        <f>HYPERLINK("https://dart.fss.or.kr/dsaf001/main.do?rcpNo=20260814002706", "공시열람")</f>
        <v/>
      </c>
    </row>
    <row r="348">
      <c r="A348" s="5" t="inlineStr">
        <is>
          <t>KTcs</t>
        </is>
      </c>
      <c r="B348" s="6" t="inlineStr">
        <is>
          <t>058850</t>
        </is>
      </c>
      <c r="C348" s="6" t="inlineStr">
        <is>
          <t>2025Q3</t>
        </is>
      </c>
      <c r="D348" s="6" t="inlineStr">
        <is>
          <t>20251114</t>
        </is>
      </c>
      <c r="E348" s="16" t="n">
        <v>394959</v>
      </c>
      <c r="F348" s="16" t="n">
        <v>184946</v>
      </c>
      <c r="G348" s="16" t="n">
        <v>210013</v>
      </c>
      <c r="H348" s="6" t="inlineStr">
        <is>
          <t>백만원</t>
        </is>
      </c>
      <c r="I348" s="17" t="n">
        <v>-28.9</v>
      </c>
      <c r="J348" s="18" t="n">
        <v>67072</v>
      </c>
      <c r="K348" s="19" t="n">
        <v>150860</v>
      </c>
      <c r="L348" s="18" t="n">
        <v>75745</v>
      </c>
      <c r="M348" s="19" t="n">
        <v>4398</v>
      </c>
      <c r="N348" s="18" t="n">
        <v>142949</v>
      </c>
      <c r="O348" s="19" t="n">
        <v>295172</v>
      </c>
      <c r="P348" s="18" t="n">
        <v>210013</v>
      </c>
      <c r="Q348" s="19" t="inlineStr"/>
      <c r="R348" s="18" t="inlineStr"/>
      <c r="S348" s="20" t="inlineStr"/>
      <c r="T348" s="6" t="n">
        <v>4</v>
      </c>
      <c r="U348" s="5" t="inlineStr">
        <is>
          <t>KT고객센터 외 / 2025.04.01 / 2026.0 | 콜센터 도급 / 2025.01.01 / 2026.12. | 정보화서비스 교육 / 2025.01.01 / 2025.</t>
        </is>
      </c>
      <c r="V348" s="21">
        <f>HYPERLINK("https://dart.fss.or.kr/dsaf001/main.do?rcpNo=20251114001818", "공시열람")</f>
        <v/>
      </c>
    </row>
    <row r="349">
      <c r="A349" s="5" t="inlineStr">
        <is>
          <t>엠로</t>
        </is>
      </c>
      <c r="B349" s="6" t="inlineStr">
        <is>
          <t>058970</t>
        </is>
      </c>
      <c r="C349" s="6" t="inlineStr">
        <is>
          <t>2026Q2</t>
        </is>
      </c>
      <c r="D349" s="6" t="inlineStr">
        <is>
          <t>20260828</t>
        </is>
      </c>
      <c r="E349" s="16" t="n">
        <v>106455962</v>
      </c>
      <c r="F349" s="16" t="n">
        <v>27910921</v>
      </c>
      <c r="G349" s="16" t="n">
        <v>78545041</v>
      </c>
      <c r="H349" s="6" t="inlineStr">
        <is>
          <t>천원</t>
        </is>
      </c>
      <c r="I349" s="17" t="n">
        <v>-0.7</v>
      </c>
      <c r="J349" s="18" t="n">
        <v>70046304</v>
      </c>
      <c r="K349" s="19" t="n">
        <v>94662027</v>
      </c>
      <c r="L349" s="18" t="n">
        <v>96025079</v>
      </c>
      <c r="M349" s="19" t="n">
        <v>104998655</v>
      </c>
      <c r="N349" s="18" t="n">
        <v>103998511</v>
      </c>
      <c r="O349" s="19" t="n">
        <v>101006655</v>
      </c>
      <c r="P349" s="18" t="n">
        <v>91012224</v>
      </c>
      <c r="Q349" s="19" t="n">
        <v>79325281</v>
      </c>
      <c r="R349" s="18" t="n">
        <v>79103451</v>
      </c>
      <c r="S349" s="20" t="n">
        <v>78545041</v>
      </c>
      <c r="T349" s="6" t="n">
        <v>1</v>
      </c>
      <c r="U349" s="5" t="inlineStr">
        <is>
          <t>시스템구축 및 전문용역 등 / -</t>
        </is>
      </c>
      <c r="V349" s="21">
        <f>HYPERLINK("https://dart.fss.or.kr/dsaf001/main.do?rcpNo=20260828001423", "공시열람")</f>
        <v/>
      </c>
    </row>
    <row r="350">
      <c r="A350" s="5" t="inlineStr">
        <is>
          <t>미코</t>
        </is>
      </c>
      <c r="B350" s="6" t="inlineStr">
        <is>
          <t>059090</t>
        </is>
      </c>
      <c r="C350" s="6" t="inlineStr">
        <is>
          <t>2026Q2</t>
        </is>
      </c>
      <c r="D350" s="6" t="inlineStr">
        <is>
          <t>20260814</t>
        </is>
      </c>
      <c r="E350" s="16" t="inlineStr"/>
      <c r="F350" s="16" t="inlineStr"/>
      <c r="G350" s="16" t="n">
        <v>739383</v>
      </c>
      <c r="H350" s="6" t="inlineStr">
        <is>
          <t>백만원</t>
        </is>
      </c>
      <c r="I350" s="17" t="n">
        <v>-3.1</v>
      </c>
      <c r="J350" s="18" t="inlineStr"/>
      <c r="K350" s="19" t="inlineStr"/>
      <c r="L350" s="18" t="inlineStr"/>
      <c r="M350" s="19" t="inlineStr"/>
      <c r="N350" s="18" t="n">
        <v>363824</v>
      </c>
      <c r="O350" s="19" t="n">
        <v>462326</v>
      </c>
      <c r="P350" s="18" t="n">
        <v>462326</v>
      </c>
      <c r="Q350" s="19" t="n">
        <v>698931</v>
      </c>
      <c r="R350" s="18" t="n">
        <v>763419</v>
      </c>
      <c r="S350" s="20" t="n">
        <v>739383</v>
      </c>
      <c r="T350" s="6" t="n">
        <v>1</v>
      </c>
      <c r="U350" s="5" t="inlineStr">
        <is>
          <t>산업용 보일러</t>
        </is>
      </c>
      <c r="V350" s="21">
        <f>HYPERLINK("https://dart.fss.or.kr/dsaf001/main.do?rcpNo=20260814003616", "공시열람")</f>
        <v/>
      </c>
    </row>
    <row r="351">
      <c r="A351" s="5" t="inlineStr">
        <is>
          <t>아이컴포넌트</t>
        </is>
      </c>
      <c r="B351" s="6" t="inlineStr">
        <is>
          <t>059100</t>
        </is>
      </c>
      <c r="C351" s="6" t="inlineStr">
        <is>
          <t>2024Q3</t>
        </is>
      </c>
      <c r="D351" s="6" t="inlineStr">
        <is>
          <t>20241114</t>
        </is>
      </c>
      <c r="E351" s="16" t="n">
        <v>8220</v>
      </c>
      <c r="F351" s="16" t="n">
        <v>1963</v>
      </c>
      <c r="G351" s="16" t="n">
        <v>6257</v>
      </c>
      <c r="H351" s="6" t="inlineStr">
        <is>
          <t>백만원</t>
        </is>
      </c>
      <c r="I351" s="17" t="n">
        <v>-7.3</v>
      </c>
      <c r="J351" s="18" t="n">
        <v>7267</v>
      </c>
      <c r="K351" s="19" t="n">
        <v>6752</v>
      </c>
      <c r="L351" s="18" t="n">
        <v>6257</v>
      </c>
      <c r="M351" s="19" t="inlineStr"/>
      <c r="N351" s="18" t="inlineStr"/>
      <c r="O351" s="19" t="inlineStr"/>
      <c r="P351" s="18" t="inlineStr"/>
      <c r="Q351" s="19" t="inlineStr"/>
      <c r="R351" s="18" t="inlineStr"/>
      <c r="S351" s="20" t="inlineStr"/>
      <c r="T351" s="6" t="n">
        <v>1</v>
      </c>
      <c r="U351" s="5" t="inlineStr">
        <is>
          <t>배리어필름 / 2024.01.08 / 2025.03.3</t>
        </is>
      </c>
      <c r="V351" s="21">
        <f>HYPERLINK("https://dart.fss.or.kr/dsaf001/main.do?rcpNo=20241114000348", "공시열람")</f>
        <v/>
      </c>
    </row>
    <row r="352">
      <c r="A352" s="5" t="inlineStr">
        <is>
          <t>엔더블유시</t>
        </is>
      </c>
      <c r="B352" s="6" t="inlineStr">
        <is>
          <t>059180</t>
        </is>
      </c>
      <c r="C352" s="6" t="inlineStr">
        <is>
          <t>2025Q4</t>
        </is>
      </c>
      <c r="D352" s="6" t="inlineStr">
        <is>
          <t>20260323</t>
        </is>
      </c>
      <c r="E352" s="16" t="n">
        <v>4357833</v>
      </c>
      <c r="F352" s="16" t="n">
        <v>2507755</v>
      </c>
      <c r="G352" s="16" t="n">
        <v>1850078</v>
      </c>
      <c r="H352" s="6" t="inlineStr">
        <is>
          <t>천원</t>
        </is>
      </c>
      <c r="I352" s="17" t="inlineStr"/>
      <c r="J352" s="18" t="inlineStr"/>
      <c r="K352" s="19" t="inlineStr"/>
      <c r="L352" s="18" t="inlineStr"/>
      <c r="M352" s="19" t="inlineStr"/>
      <c r="N352" s="18" t="inlineStr"/>
      <c r="O352" s="19" t="inlineStr"/>
      <c r="P352" s="18" t="inlineStr"/>
      <c r="Q352" s="19" t="n">
        <v>1850078</v>
      </c>
      <c r="R352" s="18" t="inlineStr"/>
      <c r="S352" s="20" t="inlineStr"/>
      <c r="T352" s="6" t="n">
        <v>3</v>
      </c>
      <c r="U352" s="5" t="inlineStr">
        <is>
          <t>광케이블류 | 수출 DropCable | 수출 광접속함체</t>
        </is>
      </c>
      <c r="V352" s="21">
        <f>HYPERLINK("https://dart.fss.or.kr/dsaf001/main.do?rcpNo=20260323001549", "공시열람")</f>
        <v/>
      </c>
    </row>
    <row r="353">
      <c r="A353" s="5" t="inlineStr">
        <is>
          <t>메타바이오메드</t>
        </is>
      </c>
      <c r="B353" s="6" t="inlineStr">
        <is>
          <t>059210</t>
        </is>
      </c>
      <c r="C353" s="6" t="inlineStr">
        <is>
          <t>2025Q3</t>
        </is>
      </c>
      <c r="D353" s="6" t="inlineStr">
        <is>
          <t>20251114</t>
        </is>
      </c>
      <c r="E353" s="16" t="n">
        <v>17479</v>
      </c>
      <c r="F353" s="16" t="n">
        <v>8656</v>
      </c>
      <c r="G353" s="16" t="n">
        <v>8823</v>
      </c>
      <c r="H353" s="6" t="inlineStr">
        <is>
          <t>백만원</t>
        </is>
      </c>
      <c r="I353" s="17" t="n">
        <v>0</v>
      </c>
      <c r="J353" s="18" t="n">
        <v>11043</v>
      </c>
      <c r="K353" s="19" t="n">
        <v>10674</v>
      </c>
      <c r="L353" s="18" t="n">
        <v>9817</v>
      </c>
      <c r="M353" s="19" t="n">
        <v>9647</v>
      </c>
      <c r="N353" s="18" t="n">
        <v>9511</v>
      </c>
      <c r="O353" s="19" t="n">
        <v>8823</v>
      </c>
      <c r="P353" s="18" t="n">
        <v>8823</v>
      </c>
      <c r="Q353" s="19" t="inlineStr"/>
      <c r="R353" s="18" t="inlineStr"/>
      <c r="S353" s="20" t="inlineStr"/>
      <c r="T353" s="6" t="n">
        <v>1</v>
      </c>
      <c r="U353" s="5" t="inlineStr">
        <is>
          <t>치과용재료 및 치과용기기 / 2018.05.08 / 7</t>
        </is>
      </c>
      <c r="V353" s="21">
        <f>HYPERLINK("https://dart.fss.or.kr/dsaf001/main.do?rcpNo=20251114001215", "공시열람")</f>
        <v/>
      </c>
    </row>
    <row r="354">
      <c r="A354" s="5" t="inlineStr">
        <is>
          <t>해성에어로보틱스</t>
        </is>
      </c>
      <c r="B354" s="6" t="inlineStr">
        <is>
          <t>059270</t>
        </is>
      </c>
      <c r="C354" s="6" t="inlineStr">
        <is>
          <t>2026Q2</t>
        </is>
      </c>
      <c r="D354" s="6" t="inlineStr">
        <is>
          <t>20260814</t>
        </is>
      </c>
      <c r="E354" s="16" t="n">
        <v>43521</v>
      </c>
      <c r="F354" s="16" t="n">
        <v>36617</v>
      </c>
      <c r="G354" s="16" t="n">
        <v>6904</v>
      </c>
      <c r="H354" s="6" t="inlineStr">
        <is>
          <t>백만원</t>
        </is>
      </c>
      <c r="I354" s="17" t="n">
        <v>-23.4</v>
      </c>
      <c r="J354" s="18" t="n">
        <v>5127</v>
      </c>
      <c r="K354" s="19" t="n">
        <v>3862</v>
      </c>
      <c r="L354" s="18" t="n">
        <v>4198</v>
      </c>
      <c r="M354" s="19" t="n">
        <v>5260</v>
      </c>
      <c r="N354" s="18" t="n">
        <v>5260</v>
      </c>
      <c r="O354" s="19" t="n">
        <v>4506</v>
      </c>
      <c r="P354" s="18" t="n">
        <v>4563</v>
      </c>
      <c r="Q354" s="19" t="n">
        <v>5779</v>
      </c>
      <c r="R354" s="18" t="n">
        <v>9015</v>
      </c>
      <c r="S354" s="20" t="n">
        <v>6904</v>
      </c>
      <c r="T354" s="6" t="n">
        <v>1</v>
      </c>
      <c r="U354" s="5" t="inlineStr">
        <is>
          <t>감속기 등 / 24.1~26.6 / 25.1~26.12</t>
        </is>
      </c>
      <c r="V354" s="21">
        <f>HYPERLINK("https://dart.fss.or.kr/dsaf001/main.do?rcpNo=20260814002415", "공시열람")</f>
        <v/>
      </c>
    </row>
    <row r="355">
      <c r="A355" s="5" t="inlineStr">
        <is>
          <t>인선이엔티</t>
        </is>
      </c>
      <c r="B355" s="6" t="inlineStr">
        <is>
          <t>060150</t>
        </is>
      </c>
      <c r="C355" s="6" t="inlineStr">
        <is>
          <t>2025Q2</t>
        </is>
      </c>
      <c r="D355" s="6" t="inlineStr">
        <is>
          <t>20250814</t>
        </is>
      </c>
      <c r="E355" s="16" t="inlineStr"/>
      <c r="F355" s="16" t="inlineStr"/>
      <c r="G355" s="16" t="n">
        <v>63806</v>
      </c>
      <c r="H355" s="6" t="inlineStr">
        <is>
          <t>백만원</t>
        </is>
      </c>
      <c r="I355" s="17" t="n">
        <v>-0.2</v>
      </c>
      <c r="J355" s="18" t="n">
        <v>71191</v>
      </c>
      <c r="K355" s="19" t="n">
        <v>69288</v>
      </c>
      <c r="L355" s="18" t="n">
        <v>67974</v>
      </c>
      <c r="M355" s="19" t="n">
        <v>65471</v>
      </c>
      <c r="N355" s="18" t="n">
        <v>63932</v>
      </c>
      <c r="O355" s="19" t="n">
        <v>63806</v>
      </c>
      <c r="P355" s="18" t="inlineStr"/>
      <c r="Q355" s="19" t="inlineStr"/>
      <c r="R355" s="18" t="inlineStr"/>
      <c r="S355" s="20" t="inlineStr"/>
      <c r="T355" s="6" t="n">
        <v>5</v>
      </c>
      <c r="U355" s="5" t="inlineStr">
        <is>
          <t>건설폐기물 / 인선이엔티(주) 본사 | 건설폐기물 / (주)영흥산업환경 | 건설폐기물 / 인선기업(주)</t>
        </is>
      </c>
      <c r="V355" s="21">
        <f>HYPERLINK("https://dart.fss.or.kr/dsaf001/main.do?rcpNo=20250814004038", "공시열람")</f>
        <v/>
      </c>
    </row>
    <row r="356">
      <c r="A356" s="5" t="inlineStr">
        <is>
          <t>스타코링크</t>
        </is>
      </c>
      <c r="B356" s="6" t="inlineStr">
        <is>
          <t>060240</t>
        </is>
      </c>
      <c r="C356" s="6" t="inlineStr">
        <is>
          <t>2026Q1</t>
        </is>
      </c>
      <c r="D356" s="6" t="inlineStr">
        <is>
          <t>20260515</t>
        </is>
      </c>
      <c r="E356" s="16" t="n">
        <v>2895</v>
      </c>
      <c r="F356" s="16" t="n">
        <v>5455</v>
      </c>
      <c r="G356" s="16" t="n">
        <v>20829</v>
      </c>
      <c r="H356" s="6" t="inlineStr">
        <is>
          <t>백만원</t>
        </is>
      </c>
      <c r="I356" s="17" t="n">
        <v>7.7</v>
      </c>
      <c r="J356" s="18" t="inlineStr"/>
      <c r="K356" s="19" t="inlineStr"/>
      <c r="L356" s="18" t="inlineStr"/>
      <c r="M356" s="19" t="n">
        <v>21102</v>
      </c>
      <c r="N356" s="18" t="n">
        <v>23430</v>
      </c>
      <c r="O356" s="19" t="n">
        <v>20649</v>
      </c>
      <c r="P356" s="18" t="n">
        <v>19543</v>
      </c>
      <c r="Q356" s="19" t="n">
        <v>19346</v>
      </c>
      <c r="R356" s="18" t="n">
        <v>20829</v>
      </c>
      <c r="S356" s="20" t="inlineStr"/>
      <c r="T356" s="6" t="n">
        <v>3</v>
      </c>
      <c r="U356" s="5" t="inlineStr">
        <is>
          <t>조선 선실 / WALL &amp; CEILING PANEL / | 조선 선실 / PANEL &amp; DOOR / (주2) | 조선 선실 / UNIT TOILET / (주2)</t>
        </is>
      </c>
      <c r="V356" s="21">
        <f>HYPERLINK("https://dart.fss.or.kr/dsaf001/main.do?rcpNo=20260515000932", "공시열람")</f>
        <v/>
      </c>
    </row>
    <row r="357">
      <c r="A357" s="5" t="inlineStr">
        <is>
          <t>뉴보텍</t>
        </is>
      </c>
      <c r="B357" s="6" t="inlineStr">
        <is>
          <t>060260</t>
        </is>
      </c>
      <c r="C357" s="6" t="inlineStr">
        <is>
          <t>2026Q2</t>
        </is>
      </c>
      <c r="D357" s="6" t="inlineStr">
        <is>
          <t>20260814</t>
        </is>
      </c>
      <c r="E357" s="16" t="n">
        <v>47527361983</v>
      </c>
      <c r="F357" s="16" t="n">
        <v>28798353830</v>
      </c>
      <c r="G357" s="16" t="n">
        <v>18729008153</v>
      </c>
      <c r="H357" s="6" t="inlineStr">
        <is>
          <t>개,원</t>
        </is>
      </c>
      <c r="I357" s="17" t="n">
        <v>-4.9</v>
      </c>
      <c r="J357" s="18" t="n">
        <v>12828147343</v>
      </c>
      <c r="K357" s="19" t="n">
        <v>14228595777</v>
      </c>
      <c r="L357" s="18" t="n">
        <v>13707053314</v>
      </c>
      <c r="M357" s="19" t="n">
        <v>11615905946</v>
      </c>
      <c r="N357" s="18" t="n">
        <v>14533509303</v>
      </c>
      <c r="O357" s="19" t="n">
        <v>15702564807</v>
      </c>
      <c r="P357" s="18" t="n">
        <v>16683079353</v>
      </c>
      <c r="Q357" s="19" t="n">
        <v>17467615589</v>
      </c>
      <c r="R357" s="18" t="n">
        <v>19696921194</v>
      </c>
      <c r="S357" s="20" t="n">
        <v>18729008153</v>
      </c>
      <c r="T357" s="6" t="n">
        <v>7</v>
      </c>
      <c r="U357" s="5" t="inlineStr">
        <is>
          <t>HI-VG 계 / ~26.06.30 / - | 고강성 PVC 이중벽관 계 / ~26.06.30 / - | 기타 상하수도관 부속자재 / ~26.06.30 / -</t>
        </is>
      </c>
      <c r="V357" s="21">
        <f>HYPERLINK("https://dart.fss.or.kr/dsaf001/main.do?rcpNo=20260814001572", "공시열람")</f>
        <v/>
      </c>
    </row>
    <row r="358">
      <c r="A358" s="5" t="inlineStr">
        <is>
          <t>3S</t>
        </is>
      </c>
      <c r="B358" s="6" t="inlineStr">
        <is>
          <t>060310</t>
        </is>
      </c>
      <c r="C358" s="6" t="inlineStr">
        <is>
          <t>2026Q2</t>
        </is>
      </c>
      <c r="D358" s="6" t="inlineStr">
        <is>
          <t>20260812</t>
        </is>
      </c>
      <c r="E358" s="16" t="n">
        <v>3684000</v>
      </c>
      <c r="F358" s="16" t="inlineStr"/>
      <c r="G358" s="16" t="n">
        <v>3684000</v>
      </c>
      <c r="H358" s="6" t="inlineStr">
        <is>
          <t>천원</t>
        </is>
      </c>
      <c r="I358" s="17" t="inlineStr"/>
      <c r="J358" s="18" t="n">
        <v>21820338</v>
      </c>
      <c r="K358" s="19" t="n">
        <v>1543000</v>
      </c>
      <c r="L358" s="18" t="n">
        <v>4216000</v>
      </c>
      <c r="M358" s="19" t="n">
        <v>39492518</v>
      </c>
      <c r="N358" s="18" t="n">
        <v>18910544</v>
      </c>
      <c r="O358" s="19" t="n">
        <v>2994000</v>
      </c>
      <c r="P358" s="18" t="n">
        <v>548000</v>
      </c>
      <c r="Q358" s="19" t="n">
        <v>399000</v>
      </c>
      <c r="R358" s="18" t="n">
        <v>0</v>
      </c>
      <c r="S358" s="20" t="n">
        <v>3684000</v>
      </c>
      <c r="T358" s="6" t="n">
        <v>3</v>
      </c>
      <c r="U358" s="5" t="inlineStr">
        <is>
          <t>- / 2026-04-27 / 2026-11-30 | - / 2026-04-24 / 2026-08-30 | - / 2026-06-16 / 2026-09-30</t>
        </is>
      </c>
      <c r="V358" s="21">
        <f>HYPERLINK("https://dart.fss.or.kr/dsaf001/main.do?rcpNo=20260812000330", "공시열람")</f>
        <v/>
      </c>
    </row>
    <row r="359">
      <c r="A359" s="5" t="inlineStr">
        <is>
          <t>LS마린솔루션</t>
        </is>
      </c>
      <c r="B359" s="6" t="inlineStr">
        <is>
          <t>060370</t>
        </is>
      </c>
      <c r="C359" s="6" t="inlineStr">
        <is>
          <t>2026Q2</t>
        </is>
      </c>
      <c r="D359" s="6" t="inlineStr">
        <is>
          <t>20260814</t>
        </is>
      </c>
      <c r="E359" s="16" t="n">
        <v>10309</v>
      </c>
      <c r="F359" s="16" t="n">
        <v>3663</v>
      </c>
      <c r="G359" s="16" t="n">
        <v>6646</v>
      </c>
      <c r="H359" s="6" t="inlineStr">
        <is>
          <t>억원</t>
        </is>
      </c>
      <c r="I359" s="17" t="n">
        <v>-7.1</v>
      </c>
      <c r="J359" s="18" t="n">
        <v>703</v>
      </c>
      <c r="K359" s="19" t="n">
        <v>661.4</v>
      </c>
      <c r="L359" s="18" t="n">
        <v>299.8</v>
      </c>
      <c r="M359" s="19" t="n">
        <v>5286</v>
      </c>
      <c r="N359" s="18" t="n">
        <v>6143</v>
      </c>
      <c r="O359" s="19" t="n">
        <v>6315</v>
      </c>
      <c r="P359" s="18" t="n">
        <v>6762</v>
      </c>
      <c r="Q359" s="19" t="n">
        <v>8256</v>
      </c>
      <c r="R359" s="18" t="n">
        <v>7153</v>
      </c>
      <c r="S359" s="20" t="n">
        <v>6646</v>
      </c>
      <c r="T359" s="6" t="n">
        <v>2</v>
      </c>
      <c r="U359" s="5" t="inlineStr">
        <is>
          <t>지중케이블 / ~2026년 반기 / - | 해저케이블 / ~2026년 반기 / -</t>
        </is>
      </c>
      <c r="V359" s="21">
        <f>HYPERLINK("https://dart.fss.or.kr/dsaf001/main.do?rcpNo=20260814001451", "공시열람")</f>
        <v/>
      </c>
    </row>
    <row r="360">
      <c r="A360" s="5" t="inlineStr">
        <is>
          <t>HC홈센타</t>
        </is>
      </c>
      <c r="B360" s="6" t="inlineStr">
        <is>
          <t>060560</t>
        </is>
      </c>
      <c r="C360" s="6" t="inlineStr">
        <is>
          <t>2026Q2</t>
        </is>
      </c>
      <c r="D360" s="6" t="inlineStr">
        <is>
          <t>20260929</t>
        </is>
      </c>
      <c r="E360" s="16" t="n">
        <v>3893657</v>
      </c>
      <c r="F360" s="16" t="n">
        <v>982077</v>
      </c>
      <c r="G360" s="16" t="n">
        <v>2911580</v>
      </c>
      <c r="H360" s="6" t="inlineStr">
        <is>
          <t>천원</t>
        </is>
      </c>
      <c r="I360" s="17" t="n">
        <v>39</v>
      </c>
      <c r="J360" s="18" t="n">
        <v>14837946</v>
      </c>
      <c r="K360" s="19" t="n">
        <v>12905836</v>
      </c>
      <c r="L360" s="18" t="n">
        <v>9978608</v>
      </c>
      <c r="M360" s="19" t="n">
        <v>4789441</v>
      </c>
      <c r="N360" s="18" t="n">
        <v>4828992</v>
      </c>
      <c r="O360" s="19" t="n">
        <v>4793724</v>
      </c>
      <c r="P360" s="18" t="n">
        <v>4468332</v>
      </c>
      <c r="Q360" s="19" t="n">
        <v>3986721</v>
      </c>
      <c r="R360" s="18" t="n">
        <v>2094756</v>
      </c>
      <c r="S360" s="20" t="n">
        <v>2911580</v>
      </c>
      <c r="T360" s="6" t="n">
        <v>18</v>
      </c>
      <c r="U360" s="5" t="inlineStr">
        <is>
          <t>타일 / 2022.06.03 / 2025.03.31 | 위생금구 / 2024.02.08 / 2028.03.31 | 위생금구 / 2026.04.22 / 2028.10.30</t>
        </is>
      </c>
      <c r="V360" s="21">
        <f>HYPERLINK("https://dart.fss.or.kr/dsaf001/main.do?rcpNo=20260929000450", "공시열람")</f>
        <v/>
      </c>
    </row>
    <row r="361">
      <c r="A361" s="5" t="inlineStr">
        <is>
          <t>영림원소프트랩</t>
        </is>
      </c>
      <c r="B361" s="6" t="inlineStr">
        <is>
          <t>060850</t>
        </is>
      </c>
      <c r="C361" s="6" t="inlineStr">
        <is>
          <t>2026Q2</t>
        </is>
      </c>
      <c r="D361" s="6" t="inlineStr">
        <is>
          <t>20260814</t>
        </is>
      </c>
      <c r="E361" s="16" t="n">
        <v>56345576</v>
      </c>
      <c r="F361" s="16" t="n">
        <v>38485703</v>
      </c>
      <c r="G361" s="16" t="n">
        <v>17859873</v>
      </c>
      <c r="H361" s="6" t="inlineStr">
        <is>
          <t>천원</t>
        </is>
      </c>
      <c r="I361" s="17" t="n">
        <v>32.3</v>
      </c>
      <c r="J361" s="18" t="n">
        <v>11220043</v>
      </c>
      <c r="K361" s="19" t="n">
        <v>12524369</v>
      </c>
      <c r="L361" s="18" t="n">
        <v>12460750</v>
      </c>
      <c r="M361" s="19" t="n">
        <v>9711392</v>
      </c>
      <c r="N361" s="18" t="n">
        <v>22956184</v>
      </c>
      <c r="O361" s="19" t="n">
        <v>20353335</v>
      </c>
      <c r="P361" s="18" t="n">
        <v>23815238</v>
      </c>
      <c r="Q361" s="19" t="n">
        <v>19492688</v>
      </c>
      <c r="R361" s="18" t="n">
        <v>13501423</v>
      </c>
      <c r="S361" s="20" t="n">
        <v>17859873</v>
      </c>
      <c r="T361" s="6" t="n">
        <v>1</v>
      </c>
      <c r="U361" s="5" t="inlineStr">
        <is>
          <t>K.System 공급 및 구축 / -</t>
        </is>
      </c>
      <c r="V361" s="21">
        <f>HYPERLINK("https://dart.fss.or.kr/dsaf001/main.do?rcpNo=20260814001196", "공시열람")</f>
        <v/>
      </c>
    </row>
    <row r="362">
      <c r="A362" s="5" t="inlineStr">
        <is>
          <t>에이전트AI</t>
        </is>
      </c>
      <c r="B362" s="6" t="inlineStr">
        <is>
          <t>060900</t>
        </is>
      </c>
      <c r="C362" s="6" t="inlineStr">
        <is>
          <t>2026Q2</t>
        </is>
      </c>
      <c r="D362" s="6" t="inlineStr">
        <is>
          <t>20260814</t>
        </is>
      </c>
      <c r="E362" s="16" t="n">
        <v>35013252</v>
      </c>
      <c r="F362" s="16" t="n">
        <v>22392543</v>
      </c>
      <c r="G362" s="16" t="n">
        <v>12620709</v>
      </c>
      <c r="H362" s="6" t="inlineStr">
        <is>
          <t>천원</t>
        </is>
      </c>
      <c r="I362" s="17" t="n">
        <v>7.1</v>
      </c>
      <c r="J362" s="18" t="n">
        <v>27875494</v>
      </c>
      <c r="K362" s="19" t="n">
        <v>27177650</v>
      </c>
      <c r="L362" s="18" t="n">
        <v>25011744</v>
      </c>
      <c r="M362" s="19" t="n">
        <v>21878231</v>
      </c>
      <c r="N362" s="18" t="n">
        <v>8992346</v>
      </c>
      <c r="O362" s="19" t="n">
        <v>7893149</v>
      </c>
      <c r="P362" s="18" t="n">
        <v>6905668</v>
      </c>
      <c r="Q362" s="19" t="n">
        <v>6030279</v>
      </c>
      <c r="R362" s="18" t="n">
        <v>11778774</v>
      </c>
      <c r="S362" s="20" t="n">
        <v>12620709</v>
      </c>
      <c r="T362" s="6" t="n">
        <v>24</v>
      </c>
      <c r="U362" s="5" t="inlineStr">
        <is>
          <t>풍력발전설비 MSA / 2019-01-14 / 2029 | 태양광 공사 / 2026-06-29 / 2027-06- | 기자재 공급 / 2026-03-20 / 2026-06-</t>
        </is>
      </c>
      <c r="V362" s="21">
        <f>HYPERLINK("https://dart.fss.or.kr/dsaf001/main.do?rcpNo=20260814002544", "공시열람")</f>
        <v/>
      </c>
    </row>
    <row r="363">
      <c r="A363" s="5" t="inlineStr">
        <is>
          <t>HL홀딩스</t>
        </is>
      </c>
      <c r="B363" s="6" t="inlineStr">
        <is>
          <t>060980</t>
        </is>
      </c>
      <c r="C363" s="6" t="inlineStr">
        <is>
          <t>2026Q2</t>
        </is>
      </c>
      <c r="D363" s="6" t="inlineStr">
        <is>
          <t>20260814</t>
        </is>
      </c>
      <c r="E363" s="16" t="n">
        <v>8865787</v>
      </c>
      <c r="F363" s="16" t="n">
        <v>3003906</v>
      </c>
      <c r="G363" s="16" t="n">
        <v>5861881</v>
      </c>
      <c r="H363" s="6" t="inlineStr">
        <is>
          <t>백만원</t>
        </is>
      </c>
      <c r="I363" s="17" t="n">
        <v>-2.6</v>
      </c>
      <c r="J363" s="18" t="n">
        <v>3949505</v>
      </c>
      <c r="K363" s="19" t="n">
        <v>3987276</v>
      </c>
      <c r="L363" s="18" t="n">
        <v>3836832</v>
      </c>
      <c r="M363" s="19" t="n">
        <v>5279265</v>
      </c>
      <c r="N363" s="18" t="n">
        <v>5238212</v>
      </c>
      <c r="O363" s="19" t="n">
        <v>5733589</v>
      </c>
      <c r="P363" s="18" t="n">
        <v>5451660</v>
      </c>
      <c r="Q363" s="19" t="n">
        <v>6264816</v>
      </c>
      <c r="R363" s="18" t="n">
        <v>6019653</v>
      </c>
      <c r="S363" s="20" t="n">
        <v>5861881</v>
      </c>
      <c r="T363" s="6" t="n">
        <v>35</v>
      </c>
      <c r="U363" s="5" t="inlineStr">
        <is>
          <t>민간 / 기타 | 관급 / 기타 | 자체 / 에이치엘디앤아이한라㈜ / 이천아미1지구도시개발</t>
        </is>
      </c>
      <c r="V363" s="21">
        <f>HYPERLINK("https://dart.fss.or.kr/dsaf001/main.do?rcpNo=20260814003923", "공시열람")</f>
        <v/>
      </c>
    </row>
    <row r="364">
      <c r="A364" s="5" t="inlineStr">
        <is>
          <t>산일전기</t>
        </is>
      </c>
      <c r="B364" s="6" t="inlineStr">
        <is>
          <t>062040</t>
        </is>
      </c>
      <c r="C364" s="6" t="inlineStr">
        <is>
          <t>2026Q2</t>
        </is>
      </c>
      <c r="D364" s="6" t="inlineStr">
        <is>
          <t>20260814</t>
        </is>
      </c>
      <c r="E364" s="16" t="n">
        <v>422483</v>
      </c>
      <c r="F364" s="16" t="n">
        <v>314502</v>
      </c>
      <c r="G364" s="16" t="n">
        <v>556788</v>
      </c>
      <c r="H364" s="6" t="inlineStr">
        <is>
          <t>백만원</t>
        </is>
      </c>
      <c r="I364" s="17" t="n">
        <v>16.6</v>
      </c>
      <c r="J364" s="18" t="inlineStr"/>
      <c r="K364" s="19" t="inlineStr"/>
      <c r="L364" s="18" t="n">
        <v>341314</v>
      </c>
      <c r="M364" s="19" t="n">
        <v>389190</v>
      </c>
      <c r="N364" s="18" t="n">
        <v>459702</v>
      </c>
      <c r="O364" s="19" t="n">
        <v>419477</v>
      </c>
      <c r="P364" s="18" t="n">
        <v>414275</v>
      </c>
      <c r="Q364" s="19" t="n">
        <v>448807</v>
      </c>
      <c r="R364" s="18" t="n">
        <v>477440</v>
      </c>
      <c r="S364" s="20" t="n">
        <v>556788</v>
      </c>
      <c r="T364" s="6" t="n">
        <v>1</v>
      </c>
      <c r="U364" s="5" t="inlineStr">
        <is>
          <t xml:space="preserve">변압기, 리액터, 소프트스타터 등 / 2026년 1월 </t>
        </is>
      </c>
      <c r="V364" s="21">
        <f>HYPERLINK("https://dart.fss.or.kr/dsaf001/main.do?rcpNo=20260814003544", "공시열람")</f>
        <v/>
      </c>
    </row>
    <row r="365">
      <c r="A365" s="5" t="inlineStr">
        <is>
          <t>한국첨단소재</t>
        </is>
      </c>
      <c r="B365" s="6" t="inlineStr">
        <is>
          <t>062970</t>
        </is>
      </c>
      <c r="C365" s="6" t="inlineStr">
        <is>
          <t>2026Q2</t>
        </is>
      </c>
      <c r="D365" s="6" t="inlineStr">
        <is>
          <t>20260814</t>
        </is>
      </c>
      <c r="E365" s="16" t="n">
        <v>2489160</v>
      </c>
      <c r="F365" s="16" t="n">
        <v>2245759</v>
      </c>
      <c r="G365" s="16" t="n">
        <v>243401</v>
      </c>
      <c r="H365" s="6" t="inlineStr">
        <is>
          <t>천원</t>
        </is>
      </c>
      <c r="I365" s="17" t="n">
        <v>-33.8</v>
      </c>
      <c r="J365" s="18" t="n">
        <v>606326</v>
      </c>
      <c r="K365" s="19" t="n">
        <v>482756</v>
      </c>
      <c r="L365" s="18" t="n">
        <v>1458368</v>
      </c>
      <c r="M365" s="19" t="n">
        <v>488210</v>
      </c>
      <c r="N365" s="18" t="n">
        <v>461368</v>
      </c>
      <c r="O365" s="19" t="n">
        <v>332312</v>
      </c>
      <c r="P365" s="18" t="n">
        <v>193194</v>
      </c>
      <c r="Q365" s="19" t="n">
        <v>720627</v>
      </c>
      <c r="R365" s="18" t="n">
        <v>367633</v>
      </c>
      <c r="S365" s="20" t="n">
        <v>243401</v>
      </c>
      <c r="T365" s="6" t="n">
        <v>5</v>
      </c>
      <c r="U365" s="5" t="inlineStr">
        <is>
          <t>AWG | 기타 | OSP (광선로 모듈)</t>
        </is>
      </c>
      <c r="V365" s="21">
        <f>HYPERLINK("https://dart.fss.or.kr/dsaf001/main.do?rcpNo=20260814003725", "공시열람")</f>
        <v/>
      </c>
    </row>
    <row r="366">
      <c r="A366" s="5" t="inlineStr">
        <is>
          <t>이엘피</t>
        </is>
      </c>
      <c r="B366" s="6" t="inlineStr">
        <is>
          <t>063760</t>
        </is>
      </c>
      <c r="C366" s="6" t="inlineStr">
        <is>
          <t>2026Q2</t>
        </is>
      </c>
      <c r="D366" s="6" t="inlineStr">
        <is>
          <t>20260814</t>
        </is>
      </c>
      <c r="E366" s="16" t="n">
        <v>370</v>
      </c>
      <c r="F366" s="16" t="n">
        <v>159</v>
      </c>
      <c r="G366" s="16" t="n">
        <v>211</v>
      </c>
      <c r="H366" s="6" t="inlineStr">
        <is>
          <t>억원</t>
        </is>
      </c>
      <c r="I366" s="17" t="n">
        <v>73</v>
      </c>
      <c r="J366" s="18" t="n">
        <v>166</v>
      </c>
      <c r="K366" s="19" t="n">
        <v>195</v>
      </c>
      <c r="L366" s="18" t="n">
        <v>173</v>
      </c>
      <c r="M366" s="19" t="n">
        <v>186</v>
      </c>
      <c r="N366" s="18" t="n">
        <v>213</v>
      </c>
      <c r="O366" s="19" t="n">
        <v>256</v>
      </c>
      <c r="P366" s="18" t="n">
        <v>206</v>
      </c>
      <c r="Q366" s="19" t="n">
        <v>152</v>
      </c>
      <c r="R366" s="18" t="n">
        <v>122</v>
      </c>
      <c r="S366" s="20" t="n">
        <v>211</v>
      </c>
      <c r="T366" s="6" t="n">
        <v>1</v>
      </c>
      <c r="U366" s="5" t="inlineStr">
        <is>
          <t>OLED검사기외 / -</t>
        </is>
      </c>
      <c r="V366" s="21">
        <f>HYPERLINK("https://dart.fss.or.kr/dsaf001/main.do?rcpNo=20260814003758", "공시열람")</f>
        <v/>
      </c>
    </row>
    <row r="367">
      <c r="A367" s="5" t="inlineStr">
        <is>
          <t>홈캐스트</t>
        </is>
      </c>
      <c r="B367" s="6" t="inlineStr">
        <is>
          <t>064240</t>
        </is>
      </c>
      <c r="C367" s="6" t="inlineStr">
        <is>
          <t>2023Q4</t>
        </is>
      </c>
      <c r="D367" s="6" t="inlineStr">
        <is>
          <t>20240320</t>
        </is>
      </c>
      <c r="E367" s="16" t="n">
        <v>3617362859</v>
      </c>
      <c r="F367" s="16" t="n">
        <v>1107136775</v>
      </c>
      <c r="G367" s="16" t="n">
        <v>2490637284</v>
      </c>
      <c r="H367" s="6" t="inlineStr"/>
      <c r="I367" s="17" t="inlineStr"/>
      <c r="J367" s="18" t="inlineStr"/>
      <c r="K367" s="19" t="inlineStr"/>
      <c r="L367" s="18" t="inlineStr"/>
      <c r="M367" s="19" t="inlineStr"/>
      <c r="N367" s="18" t="inlineStr"/>
      <c r="O367" s="19" t="inlineStr"/>
      <c r="P367" s="18" t="inlineStr"/>
      <c r="Q367" s="19" t="inlineStr"/>
      <c r="R367" s="18" t="inlineStr"/>
      <c r="S367" s="20" t="inlineStr"/>
      <c r="T367" s="6" t="n">
        <v>28</v>
      </c>
      <c r="U367" s="5" t="inlineStr">
        <is>
          <t>라(환) / 22-10-17 / 23-10-16 | 상하 / 22-10-01 / 23-05-30 | 상하 / 23-02-10 / 24-12-31</t>
        </is>
      </c>
      <c r="V367" s="21">
        <f>HYPERLINK("https://dart.fss.or.kr/dsaf001/main.do?rcpNo=20240320001462", "공시열람")</f>
        <v/>
      </c>
    </row>
    <row r="368">
      <c r="A368" s="5" t="inlineStr">
        <is>
          <t>인텍플러스</t>
        </is>
      </c>
      <c r="B368" s="6" t="inlineStr">
        <is>
          <t>064290</t>
        </is>
      </c>
      <c r="C368" s="6" t="inlineStr">
        <is>
          <t>2026Q2</t>
        </is>
      </c>
      <c r="D368" s="6" t="inlineStr">
        <is>
          <t>20260814</t>
        </is>
      </c>
      <c r="E368" s="16" t="n">
        <v>147935</v>
      </c>
      <c r="F368" s="16" t="n">
        <v>21766</v>
      </c>
      <c r="G368" s="16" t="n">
        <v>126169</v>
      </c>
      <c r="H368" s="6" t="inlineStr">
        <is>
          <t>백만원</t>
        </is>
      </c>
      <c r="I368" s="17" t="n">
        <v>107</v>
      </c>
      <c r="J368" s="18" t="n">
        <v>75667</v>
      </c>
      <c r="K368" s="19" t="n">
        <v>81032</v>
      </c>
      <c r="L368" s="18" t="n">
        <v>81588</v>
      </c>
      <c r="M368" s="19" t="n">
        <v>74383</v>
      </c>
      <c r="N368" s="18" t="n">
        <v>71700</v>
      </c>
      <c r="O368" s="19" t="n">
        <v>70421</v>
      </c>
      <c r="P368" s="18" t="n">
        <v>81504</v>
      </c>
      <c r="Q368" s="19" t="n">
        <v>50751</v>
      </c>
      <c r="R368" s="18" t="n">
        <v>60964</v>
      </c>
      <c r="S368" s="20" t="n">
        <v>126169</v>
      </c>
      <c r="T368" s="6" t="n">
        <v>2</v>
      </c>
      <c r="U368" s="5" t="inlineStr">
        <is>
          <t>반도체외관검사분야 / 2024년~2026년 / 2025 | 디스플레이,2차전지외관 검사분야 / 2024년~2026</t>
        </is>
      </c>
      <c r="V368" s="21">
        <f>HYPERLINK("https://dart.fss.or.kr/dsaf001/main.do?rcpNo=20260814002497", "공시열람")</f>
        <v/>
      </c>
    </row>
    <row r="369">
      <c r="A369" s="5" t="inlineStr">
        <is>
          <t>현대로템</t>
        </is>
      </c>
      <c r="B369" s="6" t="inlineStr">
        <is>
          <t>064350</t>
        </is>
      </c>
      <c r="C369" s="6" t="inlineStr">
        <is>
          <t>2026Q2</t>
        </is>
      </c>
      <c r="D369" s="6" t="inlineStr">
        <is>
          <t>20260814</t>
        </is>
      </c>
      <c r="E369" s="16" t="n">
        <v>23634165</v>
      </c>
      <c r="F369" s="16" t="n">
        <v>10862975</v>
      </c>
      <c r="G369" s="16" t="n">
        <v>12771190</v>
      </c>
      <c r="H369" s="6" t="inlineStr">
        <is>
          <t>백만원</t>
        </is>
      </c>
      <c r="I369" s="17" t="n">
        <v>7.6</v>
      </c>
      <c r="J369" s="18" t="n">
        <v>6909113</v>
      </c>
      <c r="K369" s="19" t="n">
        <v>8042187</v>
      </c>
      <c r="L369" s="18" t="n">
        <v>9031203</v>
      </c>
      <c r="M369" s="19" t="n">
        <v>9128803</v>
      </c>
      <c r="N369" s="18" t="n">
        <v>11292383</v>
      </c>
      <c r="O369" s="19" t="n">
        <v>12185484</v>
      </c>
      <c r="P369" s="18" t="n">
        <v>11922335</v>
      </c>
      <c r="Q369" s="19" t="n">
        <v>11618527</v>
      </c>
      <c r="R369" s="18" t="n">
        <v>11865944</v>
      </c>
      <c r="S369" s="20" t="n">
        <v>12771190</v>
      </c>
      <c r="T369" s="6" t="n">
        <v>45</v>
      </c>
      <c r="U369" s="5" t="inlineStr">
        <is>
          <t>철도BG / 2025-02-25 / 2031-05-29 | 철도AB / 2017-12-02 / *1 | 철도AY / 2023-06-29 / 2031-12-18</t>
        </is>
      </c>
      <c r="V369" s="21">
        <f>HYPERLINK("https://dart.fss.or.kr/dsaf001/main.do?rcpNo=20260814002977", "공시열람")</f>
        <v/>
      </c>
    </row>
    <row r="370">
      <c r="A370" s="5" t="inlineStr">
        <is>
          <t>LG씨엔에스</t>
        </is>
      </c>
      <c r="B370" s="6" t="inlineStr">
        <is>
          <t>064400</t>
        </is>
      </c>
      <c r="C370" s="6" t="inlineStr">
        <is>
          <t>2026Q2</t>
        </is>
      </c>
      <c r="D370" s="6" t="inlineStr">
        <is>
          <t>20260814</t>
        </is>
      </c>
      <c r="E370" s="16" t="n">
        <v>2711885</v>
      </c>
      <c r="F370" s="16" t="n">
        <v>1318716</v>
      </c>
      <c r="G370" s="16" t="n">
        <v>5347295</v>
      </c>
      <c r="H370" s="6" t="inlineStr">
        <is>
          <t>백만원</t>
        </is>
      </c>
      <c r="I370" s="17" t="n">
        <v>31.5</v>
      </c>
      <c r="J370" s="18" t="inlineStr"/>
      <c r="K370" s="19" t="inlineStr"/>
      <c r="L370" s="18" t="inlineStr"/>
      <c r="M370" s="19" t="n">
        <v>3452105</v>
      </c>
      <c r="N370" s="18" t="n">
        <v>3537813</v>
      </c>
      <c r="O370" s="19" t="n">
        <v>3989944</v>
      </c>
      <c r="P370" s="18" t="n">
        <v>3758032</v>
      </c>
      <c r="Q370" s="19" t="n">
        <v>3954126</v>
      </c>
      <c r="R370" s="18" t="n">
        <v>4065203</v>
      </c>
      <c r="S370" s="20" t="n">
        <v>5347295</v>
      </c>
      <c r="T370" s="6" t="n">
        <v>1</v>
      </c>
      <c r="U370" s="5" t="inlineStr">
        <is>
          <t>시스템구축 및 운영 / -</t>
        </is>
      </c>
      <c r="V370" s="21">
        <f>HYPERLINK("https://dart.fss.or.kr/dsaf001/main.do?rcpNo=20260814002448", "공시열람")</f>
        <v/>
      </c>
    </row>
    <row r="371">
      <c r="A371" s="5" t="inlineStr">
        <is>
          <t>브리지텍</t>
        </is>
      </c>
      <c r="B371" s="6" t="inlineStr">
        <is>
          <t>064480</t>
        </is>
      </c>
      <c r="C371" s="6" t="inlineStr">
        <is>
          <t>2026Q2</t>
        </is>
      </c>
      <c r="D371" s="6" t="inlineStr">
        <is>
          <t>20260812</t>
        </is>
      </c>
      <c r="E371" s="16" t="n">
        <v>36514883</v>
      </c>
      <c r="F371" s="16" t="n">
        <v>23338580</v>
      </c>
      <c r="G371" s="16" t="n">
        <v>13176303</v>
      </c>
      <c r="H371" s="6" t="inlineStr">
        <is>
          <t>천원</t>
        </is>
      </c>
      <c r="I371" s="17" t="n">
        <v>-18.2</v>
      </c>
      <c r="J371" s="18" t="n">
        <v>15173938</v>
      </c>
      <c r="K371" s="19" t="n">
        <v>19811736</v>
      </c>
      <c r="L371" s="18" t="n">
        <v>13984607</v>
      </c>
      <c r="M371" s="19" t="n">
        <v>15702220</v>
      </c>
      <c r="N371" s="18" t="n">
        <v>12963863</v>
      </c>
      <c r="O371" s="19" t="n">
        <v>24782202</v>
      </c>
      <c r="P371" s="18" t="n">
        <v>24940636</v>
      </c>
      <c r="Q371" s="19" t="n">
        <v>17369878</v>
      </c>
      <c r="R371" s="18" t="n">
        <v>16110814</v>
      </c>
      <c r="S371" s="20" t="n">
        <v>13176303</v>
      </c>
      <c r="T371" s="6" t="n">
        <v>16</v>
      </c>
      <c r="U371" s="5" t="inlineStr">
        <is>
          <t>콜센터 / 2026년 | 콜센터 / 2025년 / 2026년 | 콜센터 / 2025년 / 2028년</t>
        </is>
      </c>
      <c r="V371" s="21">
        <f>HYPERLINK("https://dart.fss.or.kr/dsaf001/main.do?rcpNo=20260812000387", "공시열람")</f>
        <v/>
      </c>
    </row>
    <row r="372">
      <c r="A372" s="5" t="inlineStr">
        <is>
          <t>티씨케이</t>
        </is>
      </c>
      <c r="B372" s="6" t="inlineStr">
        <is>
          <t>064760</t>
        </is>
      </c>
      <c r="C372" s="6" t="inlineStr">
        <is>
          <t>2026Q2</t>
        </is>
      </c>
      <c r="D372" s="6" t="inlineStr">
        <is>
          <t>20260814</t>
        </is>
      </c>
      <c r="E372" s="16" t="inlineStr"/>
      <c r="F372" s="16" t="inlineStr"/>
      <c r="G372" s="16" t="n">
        <v>1993.7</v>
      </c>
      <c r="H372" s="6" t="inlineStr">
        <is>
          <t>억원</t>
        </is>
      </c>
      <c r="I372" s="17" t="n">
        <v>104.7</v>
      </c>
      <c r="J372" s="18" t="n">
        <v>821.1</v>
      </c>
      <c r="K372" s="19" t="n">
        <v>853.2</v>
      </c>
      <c r="L372" s="18" t="n">
        <v>873.5</v>
      </c>
      <c r="M372" s="19" t="n">
        <v>823.8</v>
      </c>
      <c r="N372" s="18" t="n">
        <v>717.1</v>
      </c>
      <c r="O372" s="19" t="n">
        <v>686.6</v>
      </c>
      <c r="P372" s="18" t="n">
        <v>684.3</v>
      </c>
      <c r="Q372" s="19" t="n">
        <v>905</v>
      </c>
      <c r="R372" s="18" t="n">
        <v>973.8</v>
      </c>
      <c r="S372" s="20" t="n">
        <v>1993.7</v>
      </c>
      <c r="T372" s="6" t="n">
        <v>3</v>
      </c>
      <c r="U372" s="5" t="inlineStr">
        <is>
          <t>Solid SiC류 | Graphite류 | Susceptor류</t>
        </is>
      </c>
      <c r="V372" s="21">
        <f>HYPERLINK("https://dart.fss.or.kr/dsaf001/main.do?rcpNo=20260814001689", "공시열람")</f>
        <v/>
      </c>
    </row>
    <row r="373">
      <c r="A373" s="5" t="inlineStr">
        <is>
          <t>포니링크</t>
        </is>
      </c>
      <c r="B373" s="6" t="inlineStr">
        <is>
          <t>064800</t>
        </is>
      </c>
      <c r="C373" s="6" t="inlineStr">
        <is>
          <t>2026Q2</t>
        </is>
      </c>
      <c r="D373" s="6" t="inlineStr">
        <is>
          <t>20260814</t>
        </is>
      </c>
      <c r="E373" s="16" t="n">
        <v>13544771</v>
      </c>
      <c r="F373" s="16" t="n">
        <v>9705337</v>
      </c>
      <c r="G373" s="16" t="n">
        <v>3839434</v>
      </c>
      <c r="H373" s="6" t="inlineStr">
        <is>
          <t>천원</t>
        </is>
      </c>
      <c r="I373" s="17" t="n">
        <v>53.9</v>
      </c>
      <c r="J373" s="18" t="n">
        <v>4583382</v>
      </c>
      <c r="K373" s="19" t="n">
        <v>5300070</v>
      </c>
      <c r="L373" s="18" t="n">
        <v>4850071</v>
      </c>
      <c r="M373" s="19" t="n">
        <v>1897875</v>
      </c>
      <c r="N373" s="18" t="n">
        <v>5329397</v>
      </c>
      <c r="O373" s="19" t="n">
        <v>4360211</v>
      </c>
      <c r="P373" s="18" t="n">
        <v>4037173</v>
      </c>
      <c r="Q373" s="19" t="n">
        <v>2333231</v>
      </c>
      <c r="R373" s="18" t="n">
        <v>2494161</v>
      </c>
      <c r="S373" s="20" t="n">
        <v>3839434</v>
      </c>
      <c r="T373" s="6" t="n">
        <v>5</v>
      </c>
      <c r="U373" s="5" t="inlineStr">
        <is>
          <t>기타무선인터넷솔루션 / - | 유지보수/운영 / - | MMSC / -</t>
        </is>
      </c>
      <c r="V373" s="21">
        <f>HYPERLINK("https://dart.fss.or.kr/dsaf001/main.do?rcpNo=20260814003964", "공시열람")</f>
        <v/>
      </c>
    </row>
    <row r="374">
      <c r="A374" s="5" t="inlineStr">
        <is>
          <t>케이프</t>
        </is>
      </c>
      <c r="B374" s="6" t="inlineStr">
        <is>
          <t>064820</t>
        </is>
      </c>
      <c r="C374" s="6" t="inlineStr">
        <is>
          <t>2026Q2</t>
        </is>
      </c>
      <c r="D374" s="6" t="inlineStr">
        <is>
          <t>20260814</t>
        </is>
      </c>
      <c r="E374" s="16" t="n">
        <v>45376</v>
      </c>
      <c r="F374" s="16" t="inlineStr"/>
      <c r="G374" s="16" t="n">
        <v>45376</v>
      </c>
      <c r="H374" s="6" t="inlineStr">
        <is>
          <t>EA,백만원</t>
        </is>
      </c>
      <c r="I374" s="17" t="n">
        <v>1.8</v>
      </c>
      <c r="J374" s="18" t="n">
        <v>57624</v>
      </c>
      <c r="K374" s="19" t="n">
        <v>51070</v>
      </c>
      <c r="L374" s="18" t="n">
        <v>50641</v>
      </c>
      <c r="M374" s="19" t="n">
        <v>59270</v>
      </c>
      <c r="N374" s="18" t="n">
        <v>36471</v>
      </c>
      <c r="O374" s="19" t="n">
        <v>40975</v>
      </c>
      <c r="P374" s="18" t="n">
        <v>43734</v>
      </c>
      <c r="Q374" s="19" t="n">
        <v>40330</v>
      </c>
      <c r="R374" s="18" t="n">
        <v>44594</v>
      </c>
      <c r="S374" s="20" t="n">
        <v>45376</v>
      </c>
      <c r="T374" s="6" t="n">
        <v>1</v>
      </c>
      <c r="U374" s="5" t="inlineStr">
        <is>
          <t>실린더라이너 / -</t>
        </is>
      </c>
      <c r="V374" s="21">
        <f>HYPERLINK("https://dart.fss.or.kr/dsaf001/main.do?rcpNo=20260814001483", "공시열람")</f>
        <v/>
      </c>
    </row>
    <row r="375">
      <c r="A375" s="5" t="inlineStr">
        <is>
          <t>탑엔지니어링</t>
        </is>
      </c>
      <c r="B375" s="6" t="inlineStr">
        <is>
          <t>065130</t>
        </is>
      </c>
      <c r="C375" s="6" t="inlineStr">
        <is>
          <t>2026Q2</t>
        </is>
      </c>
      <c r="D375" s="6" t="inlineStr">
        <is>
          <t>20260814</t>
        </is>
      </c>
      <c r="E375" s="16" t="n">
        <v>98248</v>
      </c>
      <c r="F375" s="16" t="n">
        <v>53750</v>
      </c>
      <c r="G375" s="16" t="n">
        <v>44498</v>
      </c>
      <c r="H375" s="6" t="inlineStr">
        <is>
          <t>백만원</t>
        </is>
      </c>
      <c r="I375" s="17" t="n">
        <v>39.7</v>
      </c>
      <c r="J375" s="18" t="n">
        <v>45462</v>
      </c>
      <c r="K375" s="19" t="n">
        <v>74567</v>
      </c>
      <c r="L375" s="18" t="n">
        <v>78307</v>
      </c>
      <c r="M375" s="19" t="n">
        <v>64986</v>
      </c>
      <c r="N375" s="18" t="n">
        <v>50120</v>
      </c>
      <c r="O375" s="19" t="n">
        <v>28315</v>
      </c>
      <c r="P375" s="18" t="n">
        <v>27610</v>
      </c>
      <c r="Q375" s="19" t="n">
        <v>40969</v>
      </c>
      <c r="R375" s="18" t="n">
        <v>31847</v>
      </c>
      <c r="S375" s="20" t="n">
        <v>44498</v>
      </c>
      <c r="T375" s="6" t="n">
        <v>1</v>
      </c>
      <c r="U375" s="5" t="inlineStr">
        <is>
          <t>디스플레이장비 등 / -</t>
        </is>
      </c>
      <c r="V375" s="21">
        <f>HYPERLINK("https://dart.fss.or.kr/dsaf001/main.do?rcpNo=20260814000889", "공시열람")</f>
        <v/>
      </c>
    </row>
    <row r="376">
      <c r="A376" s="5" t="inlineStr">
        <is>
          <t>위세아이텍</t>
        </is>
      </c>
      <c r="B376" s="6" t="inlineStr">
        <is>
          <t>065370</t>
        </is>
      </c>
      <c r="C376" s="6" t="inlineStr">
        <is>
          <t>2026Q2</t>
        </is>
      </c>
      <c r="D376" s="6" t="inlineStr">
        <is>
          <t>20260814</t>
        </is>
      </c>
      <c r="E376" s="16" t="inlineStr"/>
      <c r="F376" s="16" t="inlineStr"/>
      <c r="G376" s="16" t="n">
        <v>26539232</v>
      </c>
      <c r="H376" s="6" t="inlineStr">
        <is>
          <t>천원</t>
        </is>
      </c>
      <c r="I376" s="17" t="n">
        <v>50.1</v>
      </c>
      <c r="J376" s="18" t="n">
        <v>16565664</v>
      </c>
      <c r="K376" s="19" t="n">
        <v>16221560</v>
      </c>
      <c r="L376" s="18" t="n">
        <v>16510502</v>
      </c>
      <c r="M376" s="19" t="n">
        <v>8934560</v>
      </c>
      <c r="N376" s="18" t="n">
        <v>12214893</v>
      </c>
      <c r="O376" s="19" t="n">
        <v>16365327</v>
      </c>
      <c r="P376" s="18" t="n">
        <v>22533829</v>
      </c>
      <c r="Q376" s="19" t="n">
        <v>14481118</v>
      </c>
      <c r="R376" s="18" t="n">
        <v>17677603</v>
      </c>
      <c r="S376" s="20" t="n">
        <v>26539232</v>
      </c>
      <c r="T376" s="6" t="n">
        <v>5</v>
      </c>
      <c r="U376" s="5" t="inlineStr">
        <is>
          <t xml:space="preserve">기타 / - | 한국은행 / 한국은행 디지털혁신실 통합 운영용역 / 2 | 한국은행 / 한국은행 2기 IT통합 운영용역 사업 / </t>
        </is>
      </c>
      <c r="V376" s="21">
        <f>HYPERLINK("https://dart.fss.or.kr/dsaf001/main.do?rcpNo=20260814002051", "공시열람")</f>
        <v/>
      </c>
    </row>
    <row r="377">
      <c r="A377" s="5" t="inlineStr">
        <is>
          <t>이루온</t>
        </is>
      </c>
      <c r="B377" s="6" t="inlineStr">
        <is>
          <t>065440</t>
        </is>
      </c>
      <c r="C377" s="6" t="inlineStr">
        <is>
          <t>2026Q2</t>
        </is>
      </c>
      <c r="D377" s="6" t="inlineStr">
        <is>
          <t>20260814</t>
        </is>
      </c>
      <c r="E377" s="16" t="n">
        <v>20205</v>
      </c>
      <c r="F377" s="16" t="n">
        <v>6403</v>
      </c>
      <c r="G377" s="16" t="n">
        <v>13802</v>
      </c>
      <c r="H377" s="6" t="inlineStr">
        <is>
          <t>백만원</t>
        </is>
      </c>
      <c r="I377" s="17" t="n">
        <v>42.2</v>
      </c>
      <c r="J377" s="18" t="n">
        <v>19314</v>
      </c>
      <c r="K377" s="19" t="n">
        <v>20632</v>
      </c>
      <c r="L377" s="18" t="n">
        <v>15792</v>
      </c>
      <c r="M377" s="19" t="n">
        <v>15504</v>
      </c>
      <c r="N377" s="18" t="n">
        <v>13367</v>
      </c>
      <c r="O377" s="19" t="n">
        <v>12734</v>
      </c>
      <c r="P377" s="18" t="n">
        <v>9987</v>
      </c>
      <c r="Q377" s="19" t="n">
        <v>7844</v>
      </c>
      <c r="R377" s="18" t="n">
        <v>9704</v>
      </c>
      <c r="S377" s="20" t="n">
        <v>13802</v>
      </c>
      <c r="T377" s="6" t="n">
        <v>2</v>
      </c>
      <c r="U377" s="5" t="inlineStr">
        <is>
          <t>통신 솔루션 및서비스 / - | 기타 시스템 / -</t>
        </is>
      </c>
      <c r="V377" s="21">
        <f>HYPERLINK("https://dart.fss.or.kr/dsaf001/main.do?rcpNo=20260814003089", "공시열람")</f>
        <v/>
      </c>
    </row>
    <row r="378">
      <c r="A378" s="5" t="inlineStr">
        <is>
          <t>빅텍</t>
        </is>
      </c>
      <c r="B378" s="6" t="inlineStr">
        <is>
          <t>065450</t>
        </is>
      </c>
      <c r="C378" s="6" t="inlineStr">
        <is>
          <t>2026Q2</t>
        </is>
      </c>
      <c r="D378" s="6" t="inlineStr">
        <is>
          <t>20260814</t>
        </is>
      </c>
      <c r="E378" s="16" t="n">
        <v>212379</v>
      </c>
      <c r="F378" s="16" t="n">
        <v>75570</v>
      </c>
      <c r="G378" s="16" t="n">
        <v>136809</v>
      </c>
      <c r="H378" s="6" t="inlineStr">
        <is>
          <t>백만원</t>
        </is>
      </c>
      <c r="I378" s="17" t="n">
        <v>-8</v>
      </c>
      <c r="J378" s="18" t="n">
        <v>123996</v>
      </c>
      <c r="K378" s="19" t="n">
        <v>79048</v>
      </c>
      <c r="L378" s="18" t="n">
        <v>66762</v>
      </c>
      <c r="M378" s="19" t="n">
        <v>126880</v>
      </c>
      <c r="N378" s="18" t="n">
        <v>142614</v>
      </c>
      <c r="O378" s="19" t="n">
        <v>183834</v>
      </c>
      <c r="P378" s="18" t="n">
        <v>172424</v>
      </c>
      <c r="Q378" s="19" t="n">
        <v>157500</v>
      </c>
      <c r="R378" s="18" t="n">
        <v>148711</v>
      </c>
      <c r="S378" s="20" t="n">
        <v>136809</v>
      </c>
      <c r="T378" s="6" t="n">
        <v>6</v>
      </c>
      <c r="U378" s="5" t="inlineStr">
        <is>
          <t>전원공급장치, 기타 방산 / 23년 06월 ~ 28년  | 전자전시스템 방향탐지장치 / 23년 11월 ~ 28년  | 피아식별장비 / 20년 04월 ~ 28년 05월</t>
        </is>
      </c>
      <c r="V378" s="21">
        <f>HYPERLINK("https://dart.fss.or.kr/dsaf001/main.do?rcpNo=20260814001741", "공시열람")</f>
        <v/>
      </c>
    </row>
    <row r="379">
      <c r="A379" s="5" t="inlineStr">
        <is>
          <t>와이어블</t>
        </is>
      </c>
      <c r="B379" s="6" t="inlineStr">
        <is>
          <t>065530</t>
        </is>
      </c>
      <c r="C379" s="6" t="inlineStr">
        <is>
          <t>2026Q2</t>
        </is>
      </c>
      <c r="D379" s="6" t="inlineStr">
        <is>
          <t>20260814</t>
        </is>
      </c>
      <c r="E379" s="16" t="inlineStr"/>
      <c r="F379" s="16" t="inlineStr"/>
      <c r="G379" s="16" t="n">
        <v>8953867608</v>
      </c>
      <c r="H379" s="6" t="inlineStr">
        <is>
          <t>원</t>
        </is>
      </c>
      <c r="I379" s="17" t="n">
        <v>0</v>
      </c>
      <c r="J379" s="18" t="n">
        <v>19528103847</v>
      </c>
      <c r="K379" s="19" t="n">
        <v>19528103847</v>
      </c>
      <c r="L379" s="18" t="n">
        <v>19528103847</v>
      </c>
      <c r="M379" s="19" t="n">
        <v>19528103847</v>
      </c>
      <c r="N379" s="18" t="n">
        <v>11278645333</v>
      </c>
      <c r="O379" s="19" t="n">
        <v>9646209844</v>
      </c>
      <c r="P379" s="18" t="n">
        <v>11383211807</v>
      </c>
      <c r="Q379" s="19" t="n">
        <v>8953867608</v>
      </c>
      <c r="R379" s="18" t="n">
        <v>8953867608</v>
      </c>
      <c r="S379" s="20" t="n">
        <v>8953867608</v>
      </c>
      <c r="T379" s="6" t="n">
        <v>6</v>
      </c>
      <c r="U379" s="5" t="inlineStr">
        <is>
          <t xml:space="preserve">일반철도 남부권역 전송설비(IP-MPLS) 구매설치 / | 기 타 | 중앙선 청량리~서원주 개량 철도통합무선망(LTE-R) </t>
        </is>
      </c>
      <c r="V379" s="21">
        <f>HYPERLINK("https://dart.fss.or.kr/dsaf001/main.do?rcpNo=20260814002475", "공시열람")</f>
        <v/>
      </c>
    </row>
    <row r="380">
      <c r="A380" s="5" t="inlineStr">
        <is>
          <t>삼영이엔씨</t>
        </is>
      </c>
      <c r="B380" s="6" t="inlineStr">
        <is>
          <t>065570</t>
        </is>
      </c>
      <c r="C380" s="6" t="inlineStr">
        <is>
          <t>2026Q2</t>
        </is>
      </c>
      <c r="D380" s="6" t="inlineStr">
        <is>
          <t>20260814</t>
        </is>
      </c>
      <c r="E380" s="16" t="n">
        <v>32080</v>
      </c>
      <c r="F380" s="16" t="n">
        <v>19226</v>
      </c>
      <c r="G380" s="16" t="n">
        <v>12854</v>
      </c>
      <c r="H380" s="6" t="inlineStr">
        <is>
          <t>백만원</t>
        </is>
      </c>
      <c r="I380" s="17" t="n">
        <v>-5.6</v>
      </c>
      <c r="J380" s="18" t="n">
        <v>17858</v>
      </c>
      <c r="K380" s="19" t="n">
        <v>14605</v>
      </c>
      <c r="L380" s="18" t="n">
        <v>14417</v>
      </c>
      <c r="M380" s="19" t="n">
        <v>25682</v>
      </c>
      <c r="N380" s="18" t="n">
        <v>25682</v>
      </c>
      <c r="O380" s="19" t="n">
        <v>22960</v>
      </c>
      <c r="P380" s="18" t="n">
        <v>20888</v>
      </c>
      <c r="Q380" s="19" t="n">
        <v>14912</v>
      </c>
      <c r="R380" s="18" t="n">
        <v>13618</v>
      </c>
      <c r="S380" s="20" t="n">
        <v>12854</v>
      </c>
      <c r="T380" s="6" t="n">
        <v>14</v>
      </c>
      <c r="U380" s="5" t="inlineStr">
        <is>
          <t>단파통신체계 / 2024.12.20 / 2024.12. | Link-22관련 통신기 / 2023.09.04 / 2 | HF송수신기 / 2025.03.21 / 2025.03.</t>
        </is>
      </c>
      <c r="V380" s="21">
        <f>HYPERLINK("https://dart.fss.or.kr/dsaf001/main.do?rcpNo=20260814004129", "공시열람")</f>
        <v/>
      </c>
    </row>
    <row r="381">
      <c r="A381" s="5" t="inlineStr">
        <is>
          <t>서호전기</t>
        </is>
      </c>
      <c r="B381" s="6" t="inlineStr">
        <is>
          <t>065710</t>
        </is>
      </c>
      <c r="C381" s="6" t="inlineStr">
        <is>
          <t>2026Q2</t>
        </is>
      </c>
      <c r="D381" s="6" t="inlineStr">
        <is>
          <t>20260814</t>
        </is>
      </c>
      <c r="E381" s="16" t="inlineStr"/>
      <c r="F381" s="16" t="inlineStr"/>
      <c r="G381" s="16" t="n">
        <v>158489273</v>
      </c>
      <c r="H381" s="6" t="inlineStr">
        <is>
          <t>천원</t>
        </is>
      </c>
      <c r="I381" s="17" t="n">
        <v>126</v>
      </c>
      <c r="J381" s="18" t="n">
        <v>13065529</v>
      </c>
      <c r="K381" s="19" t="n">
        <v>55931788</v>
      </c>
      <c r="L381" s="18" t="n">
        <v>147859646</v>
      </c>
      <c r="M381" s="19" t="n">
        <v>137726348</v>
      </c>
      <c r="N381" s="18" t="n">
        <v>127834589</v>
      </c>
      <c r="O381" s="19" t="n">
        <v>99908386</v>
      </c>
      <c r="P381" s="18" t="n">
        <v>95204328</v>
      </c>
      <c r="Q381" s="19" t="n">
        <v>80188287</v>
      </c>
      <c r="R381" s="18" t="n">
        <v>70130938</v>
      </c>
      <c r="S381" s="20" t="n">
        <v>158489273</v>
      </c>
      <c r="T381" s="6" t="n">
        <v>1</v>
      </c>
      <c r="U381" s="5" t="inlineStr">
        <is>
          <t>구동제어시스템</t>
        </is>
      </c>
      <c r="V381" s="21">
        <f>HYPERLINK("https://dart.fss.or.kr/dsaf001/main.do?rcpNo=20260814000574", "공시열람")</f>
        <v/>
      </c>
    </row>
    <row r="382">
      <c r="A382" s="5" t="inlineStr">
        <is>
          <t>CS</t>
        </is>
      </c>
      <c r="B382" s="6" t="inlineStr">
        <is>
          <t>065770</t>
        </is>
      </c>
      <c r="C382" s="6" t="inlineStr">
        <is>
          <t>2026Q2</t>
        </is>
      </c>
      <c r="D382" s="6" t="inlineStr">
        <is>
          <t>20260814</t>
        </is>
      </c>
      <c r="E382" s="16" t="n">
        <v>205746000</v>
      </c>
      <c r="F382" s="16" t="n">
        <v>165678000</v>
      </c>
      <c r="G382" s="16" t="n">
        <v>40068000</v>
      </c>
      <c r="H382" s="6" t="inlineStr">
        <is>
          <t>￥,원</t>
        </is>
      </c>
      <c r="I382" s="17" t="n">
        <v>-99</v>
      </c>
      <c r="J382" s="18" t="n">
        <v>1597210000</v>
      </c>
      <c r="K382" s="19" t="n">
        <v>9070000</v>
      </c>
      <c r="L382" s="18" t="n">
        <v>209055000</v>
      </c>
      <c r="M382" s="19" t="inlineStr"/>
      <c r="N382" s="18" t="n">
        <v>613120500</v>
      </c>
      <c r="O382" s="19" t="n">
        <v>2094262000</v>
      </c>
      <c r="P382" s="18" t="n">
        <v>4200042000</v>
      </c>
      <c r="Q382" s="19" t="inlineStr"/>
      <c r="R382" s="18" t="inlineStr"/>
      <c r="S382" s="20" t="n">
        <v>40068000</v>
      </c>
      <c r="T382" s="6" t="n">
        <v>2</v>
      </c>
      <c r="U382" s="5" t="inlineStr">
        <is>
          <t>국내향중계기 / 2026-06-15 / 2026-10- | 국내향중계기 / 2026-06-15 / 2026-10-</t>
        </is>
      </c>
      <c r="V382" s="21">
        <f>HYPERLINK("https://dart.fss.or.kr/dsaf001/main.do?rcpNo=20260814002989", "공시열람")</f>
        <v/>
      </c>
    </row>
    <row r="383">
      <c r="A383" s="5" t="inlineStr">
        <is>
          <t>웰크론</t>
        </is>
      </c>
      <c r="B383" s="6" t="inlineStr">
        <is>
          <t>065950</t>
        </is>
      </c>
      <c r="C383" s="6" t="inlineStr">
        <is>
          <t>2026Q2</t>
        </is>
      </c>
      <c r="D383" s="6" t="inlineStr">
        <is>
          <t>20261002</t>
        </is>
      </c>
      <c r="E383" s="16" t="inlineStr"/>
      <c r="F383" s="16" t="inlineStr"/>
      <c r="G383" s="16" t="n">
        <v>165438641</v>
      </c>
      <c r="H383" s="6" t="inlineStr">
        <is>
          <t>천원</t>
        </is>
      </c>
      <c r="I383" s="17" t="n">
        <v>91932.60000000001</v>
      </c>
      <c r="J383" s="18" t="n">
        <v>218242</v>
      </c>
      <c r="K383" s="19" t="n">
        <v>187216</v>
      </c>
      <c r="L383" s="18" t="n">
        <v>176831</v>
      </c>
      <c r="M383" s="19" t="n">
        <v>184520</v>
      </c>
      <c r="N383" s="18" t="n">
        <v>156742</v>
      </c>
      <c r="O383" s="19" t="n">
        <v>173192</v>
      </c>
      <c r="P383" s="18" t="n">
        <v>211574</v>
      </c>
      <c r="Q383" s="19" t="n">
        <v>198257</v>
      </c>
      <c r="R383" s="18" t="n">
        <v>179761</v>
      </c>
      <c r="S383" s="20" t="n">
        <v>165438641</v>
      </c>
      <c r="T383" s="6" t="n">
        <v>1</v>
      </c>
      <c r="U383" s="5" t="inlineStr">
        <is>
          <t>(9,772,395)</t>
        </is>
      </c>
      <c r="V383" s="21">
        <f>HYPERLINK("https://dart.fss.or.kr/dsaf001/main.do?rcpNo=20261002000301", "공시열람")</f>
        <v/>
      </c>
    </row>
    <row r="384">
      <c r="A384" s="5" t="inlineStr">
        <is>
          <t>하츠</t>
        </is>
      </c>
      <c r="B384" s="6" t="inlineStr">
        <is>
          <t>066130</t>
        </is>
      </c>
      <c r="C384" s="6" t="inlineStr">
        <is>
          <t>2026Q2</t>
        </is>
      </c>
      <c r="D384" s="6" t="inlineStr">
        <is>
          <t>20260814</t>
        </is>
      </c>
      <c r="E384" s="16" t="n">
        <v>135621</v>
      </c>
      <c r="F384" s="16" t="n">
        <v>6081</v>
      </c>
      <c r="G384" s="16" t="n">
        <v>129540</v>
      </c>
      <c r="H384" s="6" t="inlineStr">
        <is>
          <t>백만원</t>
        </is>
      </c>
      <c r="I384" s="17" t="n">
        <v>4</v>
      </c>
      <c r="J384" s="18" t="n">
        <v>145837</v>
      </c>
      <c r="K384" s="19" t="n">
        <v>140361</v>
      </c>
      <c r="L384" s="18" t="n">
        <v>124217</v>
      </c>
      <c r="M384" s="19" t="n">
        <v>124969</v>
      </c>
      <c r="N384" s="18" t="n">
        <v>117663</v>
      </c>
      <c r="O384" s="19" t="n">
        <v>123953</v>
      </c>
      <c r="P384" s="18" t="n">
        <v>114102</v>
      </c>
      <c r="Q384" s="19" t="n">
        <v>121616</v>
      </c>
      <c r="R384" s="18" t="n">
        <v>124604</v>
      </c>
      <c r="S384" s="20" t="n">
        <v>129540</v>
      </c>
      <c r="T384" s="6" t="n">
        <v>2</v>
      </c>
      <c r="U384" s="5" t="inlineStr">
        <is>
          <t>레인지후드 외 (주1,2) / 26.07.01 이전 / | 환기시스템공사 (주3) / - / 26.07.01~29</t>
        </is>
      </c>
      <c r="V384" s="21">
        <f>HYPERLINK("https://dart.fss.or.kr/dsaf001/main.do?rcpNo=20260814001155", "공시열람")</f>
        <v/>
      </c>
    </row>
    <row r="385">
      <c r="A385" s="5" t="inlineStr">
        <is>
          <t>테라젠이텍스</t>
        </is>
      </c>
      <c r="B385" s="6" t="inlineStr">
        <is>
          <t>066700</t>
        </is>
      </c>
      <c r="C385" s="6" t="inlineStr">
        <is>
          <t>2026Q2</t>
        </is>
      </c>
      <c r="D385" s="6" t="inlineStr">
        <is>
          <t>20260814</t>
        </is>
      </c>
      <c r="E385" s="16" t="n">
        <v>5080</v>
      </c>
      <c r="F385" s="16" t="n">
        <v>3708</v>
      </c>
      <c r="G385" s="16" t="n">
        <v>1372</v>
      </c>
      <c r="H385" s="6" t="inlineStr">
        <is>
          <t>백만원</t>
        </is>
      </c>
      <c r="I385" s="17" t="n">
        <v>23.3</v>
      </c>
      <c r="J385" s="18" t="n">
        <v>1539</v>
      </c>
      <c r="K385" s="19" t="n">
        <v>5770</v>
      </c>
      <c r="L385" s="18" t="n">
        <v>3150</v>
      </c>
      <c r="M385" s="19" t="n">
        <v>2333</v>
      </c>
      <c r="N385" s="18" t="n">
        <v>1654</v>
      </c>
      <c r="O385" s="19" t="n">
        <v>3334</v>
      </c>
      <c r="P385" s="18" t="n">
        <v>3477</v>
      </c>
      <c r="Q385" s="19" t="n">
        <v>2862</v>
      </c>
      <c r="R385" s="18" t="n">
        <v>1113</v>
      </c>
      <c r="S385" s="20" t="n">
        <v>1372</v>
      </c>
      <c r="T385" s="6" t="n">
        <v>1</v>
      </c>
      <c r="U385" s="5" t="inlineStr">
        <is>
          <t>유전체 서열분석 / 2026.01 ~ 2026.06 /</t>
        </is>
      </c>
      <c r="V385" s="21">
        <f>HYPERLINK("https://dart.fss.or.kr/dsaf001/main.do?rcpNo=20260814002914", "공시열람")</f>
        <v/>
      </c>
    </row>
    <row r="386">
      <c r="A386" s="5" t="inlineStr">
        <is>
          <t>디에이피</t>
        </is>
      </c>
      <c r="B386" s="6" t="inlineStr">
        <is>
          <t>066900</t>
        </is>
      </c>
      <c r="C386" s="6" t="inlineStr">
        <is>
          <t>2026Q2</t>
        </is>
      </c>
      <c r="D386" s="6" t="inlineStr">
        <is>
          <t>20260814</t>
        </is>
      </c>
      <c r="E386" s="16" t="n">
        <v>149675</v>
      </c>
      <c r="F386" s="16" t="n">
        <v>133487</v>
      </c>
      <c r="G386" s="16" t="n">
        <v>16189</v>
      </c>
      <c r="H386" s="6" t="inlineStr">
        <is>
          <t>백만원</t>
        </is>
      </c>
      <c r="I386" s="17" t="n">
        <v>-40.9</v>
      </c>
      <c r="J386" s="18" t="n">
        <v>18905</v>
      </c>
      <c r="K386" s="19" t="n">
        <v>16157</v>
      </c>
      <c r="L386" s="18" t="n">
        <v>3159</v>
      </c>
      <c r="M386" s="19" t="n">
        <v>765</v>
      </c>
      <c r="N386" s="18" t="n">
        <v>7058</v>
      </c>
      <c r="O386" s="19" t="n">
        <v>6935</v>
      </c>
      <c r="P386" s="18" t="n">
        <v>6318</v>
      </c>
      <c r="Q386" s="19" t="n">
        <v>21040</v>
      </c>
      <c r="R386" s="18" t="n">
        <v>27402</v>
      </c>
      <c r="S386" s="20" t="n">
        <v>16189</v>
      </c>
      <c r="T386" s="6" t="n">
        <v>1</v>
      </c>
      <c r="U386" s="5" t="inlineStr">
        <is>
          <t>PCB / 2026.01.01~2026.06.30</t>
        </is>
      </c>
      <c r="V386" s="21">
        <f>HYPERLINK("https://dart.fss.or.kr/dsaf001/main.do?rcpNo=20260814003897", "공시열람")</f>
        <v/>
      </c>
    </row>
    <row r="387">
      <c r="A387" s="5" t="inlineStr">
        <is>
          <t>엘앤에프</t>
        </is>
      </c>
      <c r="B387" s="6" t="inlineStr">
        <is>
          <t>066970</t>
        </is>
      </c>
      <c r="C387" s="6" t="inlineStr">
        <is>
          <t>2026Q2</t>
        </is>
      </c>
      <c r="D387" s="6" t="inlineStr">
        <is>
          <t>20260814</t>
        </is>
      </c>
      <c r="E387" s="16" t="n">
        <v>24036031518097</v>
      </c>
      <c r="F387" s="16" t="n">
        <v>681376624175</v>
      </c>
      <c r="G387" s="16" t="n">
        <v>23354654893922</v>
      </c>
      <c r="H387" s="6" t="inlineStr">
        <is>
          <t>원</t>
        </is>
      </c>
      <c r="I387" s="17" t="n">
        <v>-0.4</v>
      </c>
      <c r="J387" s="18" t="n">
        <v>16970503743081</v>
      </c>
      <c r="K387" s="19" t="n">
        <v>16869081828081</v>
      </c>
      <c r="L387" s="18" t="n">
        <v>16848967293801</v>
      </c>
      <c r="M387" s="19" t="n">
        <v>16791455233131</v>
      </c>
      <c r="N387" s="18" t="n">
        <v>25984526490902</v>
      </c>
      <c r="O387" s="19" t="n">
        <v>25984526490902</v>
      </c>
      <c r="P387" s="18" t="n">
        <v>25855961490455</v>
      </c>
      <c r="Q387" s="19" t="n">
        <v>21933662820253</v>
      </c>
      <c r="R387" s="18" t="n">
        <v>23457270747764</v>
      </c>
      <c r="S387" s="20" t="n">
        <v>23354654893922</v>
      </c>
      <c r="T387" s="6" t="n">
        <v>3</v>
      </c>
      <c r="U387" s="5" t="inlineStr">
        <is>
          <t xml:space="preserve">하이니켈 양극재 / 2024.03.22 / 2024.0 | 하이니켈 양극재 / 2024.04.09 / 2025.0 | 리튬인산철(LFP) 양극재 / 2026.03.23 / </t>
        </is>
      </c>
      <c r="V387" s="21">
        <f>HYPERLINK("https://dart.fss.or.kr/dsaf001/main.do?rcpNo=20260814000995", "공시열람")</f>
        <v/>
      </c>
    </row>
    <row r="388">
      <c r="A388" s="5" t="inlineStr">
        <is>
          <t>이씨에스</t>
        </is>
      </c>
      <c r="B388" s="6" t="inlineStr">
        <is>
          <t>067010</t>
        </is>
      </c>
      <c r="C388" s="6" t="inlineStr">
        <is>
          <t>2026Q2</t>
        </is>
      </c>
      <c r="D388" s="6" t="inlineStr">
        <is>
          <t>20260811</t>
        </is>
      </c>
      <c r="E388" s="16" t="n">
        <v>87737</v>
      </c>
      <c r="F388" s="16" t="n">
        <v>52897</v>
      </c>
      <c r="G388" s="16" t="n">
        <v>34840</v>
      </c>
      <c r="H388" s="6" t="inlineStr">
        <is>
          <t>백만원</t>
        </is>
      </c>
      <c r="I388" s="17" t="n">
        <v>-3.1</v>
      </c>
      <c r="J388" s="18" t="inlineStr"/>
      <c r="K388" s="19" t="inlineStr"/>
      <c r="L388" s="18" t="inlineStr"/>
      <c r="M388" s="19" t="inlineStr"/>
      <c r="N388" s="18" t="n">
        <v>46987</v>
      </c>
      <c r="O388" s="19" t="n">
        <v>47199</v>
      </c>
      <c r="P388" s="18" t="n">
        <v>39700</v>
      </c>
      <c r="Q388" s="19" t="n">
        <v>39390</v>
      </c>
      <c r="R388" s="18" t="n">
        <v>35967</v>
      </c>
      <c r="S388" s="20" t="n">
        <v>34840</v>
      </c>
      <c r="T388" s="6" t="n">
        <v>3</v>
      </c>
      <c r="U388" s="5" t="inlineStr">
        <is>
          <t>ETaaS 사업부문 | 고객성공(CC) 사업부문 | Digital Workplace(UC) 사업부문</t>
        </is>
      </c>
      <c r="V388" s="21">
        <f>HYPERLINK("https://dart.fss.or.kr/dsaf001/main.do?rcpNo=20260811000105", "공시열람")</f>
        <v/>
      </c>
    </row>
    <row r="389">
      <c r="A389" s="5" t="inlineStr">
        <is>
          <t>오텍</t>
        </is>
      </c>
      <c r="B389" s="6" t="inlineStr">
        <is>
          <t>067170</t>
        </is>
      </c>
      <c r="C389" s="6" t="inlineStr">
        <is>
          <t>2026Q2</t>
        </is>
      </c>
      <c r="D389" s="6" t="inlineStr">
        <is>
          <t>20260814</t>
        </is>
      </c>
      <c r="E389" s="16" t="n">
        <v>77883</v>
      </c>
      <c r="F389" s="16" t="n">
        <v>14451</v>
      </c>
      <c r="G389" s="16" t="n">
        <v>63431</v>
      </c>
      <c r="H389" s="6" t="inlineStr">
        <is>
          <t>백만원</t>
        </is>
      </c>
      <c r="I389" s="17" t="n">
        <v>-7.6</v>
      </c>
      <c r="J389" s="18" t="n">
        <v>31778</v>
      </c>
      <c r="K389" s="19" t="n">
        <v>17542</v>
      </c>
      <c r="L389" s="18" t="n">
        <v>15461</v>
      </c>
      <c r="M389" s="19" t="n">
        <v>45076</v>
      </c>
      <c r="N389" s="18" t="n">
        <v>37067</v>
      </c>
      <c r="O389" s="19" t="n">
        <v>19843</v>
      </c>
      <c r="P389" s="18" t="n">
        <v>19973</v>
      </c>
      <c r="Q389" s="19" t="n">
        <v>20107</v>
      </c>
      <c r="R389" s="18" t="n">
        <v>68665</v>
      </c>
      <c r="S389" s="20" t="n">
        <v>63431</v>
      </c>
      <c r="T389" s="6" t="n">
        <v>57</v>
      </c>
      <c r="U389" s="5" t="inlineStr">
        <is>
          <t>철도용 냉동공조기기 / 2025-08-01 / 2027 | 철도용 냉동공조기기 / 2025-10-01 / 2027 | 철도용 냉동공조기기 / 2026-02-20 / 2026</t>
        </is>
      </c>
      <c r="V389" s="21">
        <f>HYPERLINK("https://dart.fss.or.kr/dsaf001/main.do?rcpNo=20260814002739", "공시열람")</f>
        <v/>
      </c>
    </row>
    <row r="390">
      <c r="A390" s="5" t="inlineStr">
        <is>
          <t>멀티캠퍼스</t>
        </is>
      </c>
      <c r="B390" s="6" t="inlineStr">
        <is>
          <t>067280</t>
        </is>
      </c>
      <c r="C390" s="6" t="inlineStr">
        <is>
          <t>2026Q2</t>
        </is>
      </c>
      <c r="D390" s="6" t="inlineStr">
        <is>
          <t>20260814</t>
        </is>
      </c>
      <c r="E390" s="16" t="n">
        <v>68992</v>
      </c>
      <c r="F390" s="16" t="n">
        <v>42273</v>
      </c>
      <c r="G390" s="16" t="n">
        <v>26719</v>
      </c>
      <c r="H390" s="6" t="inlineStr">
        <is>
          <t>백만원</t>
        </is>
      </c>
      <c r="I390" s="17" t="n">
        <v>-40</v>
      </c>
      <c r="J390" s="18" t="n">
        <v>50273</v>
      </c>
      <c r="K390" s="19" t="n">
        <v>32556</v>
      </c>
      <c r="L390" s="18" t="n">
        <v>15372</v>
      </c>
      <c r="M390" s="19" t="n">
        <v>0</v>
      </c>
      <c r="N390" s="18" t="n">
        <v>28636</v>
      </c>
      <c r="O390" s="19" t="n">
        <v>14687</v>
      </c>
      <c r="P390" s="18" t="n">
        <v>8871</v>
      </c>
      <c r="Q390" s="19" t="n">
        <v>0</v>
      </c>
      <c r="R390" s="18" t="n">
        <v>44556</v>
      </c>
      <c r="S390" s="20" t="n">
        <v>26719</v>
      </c>
      <c r="T390" s="6" t="n">
        <v>3</v>
      </c>
      <c r="U390" s="5" t="inlineStr">
        <is>
          <t xml:space="preserve">삼성청년S/W 아카데미 / 2026-01-01 / 20 | K-Digital Training(KDT)프로그램 /  | 인력개발원 CIC 4.0 개발 / 2025-08-08 </t>
        </is>
      </c>
      <c r="V390" s="21">
        <f>HYPERLINK("https://dart.fss.or.kr/dsaf001/main.do?rcpNo=20260814003903", "공시열람")</f>
        <v/>
      </c>
    </row>
    <row r="391">
      <c r="A391" s="5" t="inlineStr">
        <is>
          <t>아스트</t>
        </is>
      </c>
      <c r="B391" s="6" t="inlineStr">
        <is>
          <t>067390</t>
        </is>
      </c>
      <c r="C391" s="6" t="inlineStr">
        <is>
          <t>2026Q2</t>
        </is>
      </c>
      <c r="D391" s="6" t="inlineStr">
        <is>
          <t>20260813</t>
        </is>
      </c>
      <c r="E391" s="16" t="n">
        <v>3782766294.35</v>
      </c>
      <c r="F391" s="16" t="n">
        <v>1170813078.49</v>
      </c>
      <c r="G391" s="16" t="n">
        <v>2611953215.86</v>
      </c>
      <c r="H391" s="6" t="inlineStr">
        <is>
          <t>USD</t>
        </is>
      </c>
      <c r="I391" s="17" t="n">
        <v>-1.3</v>
      </c>
      <c r="J391" s="18" t="n">
        <v>2072575462.6</v>
      </c>
      <c r="K391" s="19" t="n">
        <v>2915804316.65</v>
      </c>
      <c r="L391" s="18" t="n">
        <v>2884309868.53</v>
      </c>
      <c r="M391" s="19" t="n">
        <v>2848253505.16</v>
      </c>
      <c r="N391" s="18" t="n">
        <v>2806977304.92</v>
      </c>
      <c r="O391" s="19" t="n">
        <v>2769299241.81</v>
      </c>
      <c r="P391" s="18" t="n">
        <v>2731673387.26</v>
      </c>
      <c r="Q391" s="19" t="n">
        <v>2688832423.74</v>
      </c>
      <c r="R391" s="18" t="n">
        <v>2646468874.14</v>
      </c>
      <c r="S391" s="20" t="n">
        <v>2611953215.86</v>
      </c>
      <c r="T391" s="6" t="n">
        <v>7</v>
      </c>
      <c r="U391" s="5" t="inlineStr">
        <is>
          <t>EMBRAER | SPIRIT | STEA / 400대</t>
        </is>
      </c>
      <c r="V391" s="21">
        <f>HYPERLINK("https://dart.fss.or.kr/dsaf001/main.do?rcpNo=20260813001368", "공시열람")</f>
        <v/>
      </c>
    </row>
    <row r="392">
      <c r="A392" s="5" t="inlineStr">
        <is>
          <t>엔브이에이치코리아</t>
        </is>
      </c>
      <c r="B392" s="6" t="inlineStr">
        <is>
          <t>067570</t>
        </is>
      </c>
      <c r="C392" s="6" t="inlineStr">
        <is>
          <t>2026Q2</t>
        </is>
      </c>
      <c r="D392" s="6" t="inlineStr">
        <is>
          <t>20260814</t>
        </is>
      </c>
      <c r="E392" s="16" t="n">
        <v>2522460</v>
      </c>
      <c r="F392" s="16" t="n">
        <v>2149975</v>
      </c>
      <c r="G392" s="16" t="n">
        <v>372485</v>
      </c>
      <c r="H392" s="6" t="inlineStr">
        <is>
          <t>백만원</t>
        </is>
      </c>
      <c r="I392" s="17" t="n">
        <v>-8.4</v>
      </c>
      <c r="J392" s="18" t="n">
        <v>494402</v>
      </c>
      <c r="K392" s="19" t="n">
        <v>592831</v>
      </c>
      <c r="L392" s="18" t="n">
        <v>519228</v>
      </c>
      <c r="M392" s="19" t="n">
        <v>466465</v>
      </c>
      <c r="N392" s="18" t="n">
        <v>398056</v>
      </c>
      <c r="O392" s="19" t="n">
        <v>525837</v>
      </c>
      <c r="P392" s="18" t="n">
        <v>493695</v>
      </c>
      <c r="Q392" s="19" t="n">
        <v>476074</v>
      </c>
      <c r="R392" s="18" t="n">
        <v>406460</v>
      </c>
      <c r="S392" s="20" t="n">
        <v>372485</v>
      </c>
      <c r="T392" s="6" t="n">
        <v>2</v>
      </c>
      <c r="U392" s="5" t="inlineStr">
        <is>
          <t>클린룸 및 공조시스템 제조, 설치공사 외 / - | 교량거더사업 / -</t>
        </is>
      </c>
      <c r="V392" s="21">
        <f>HYPERLINK("https://dart.fss.or.kr/dsaf001/main.do?rcpNo=20260814003774", "공시열람")</f>
        <v/>
      </c>
    </row>
    <row r="393">
      <c r="A393" s="5" t="inlineStr">
        <is>
          <t>HLB생명과학</t>
        </is>
      </c>
      <c r="B393" s="6" t="inlineStr">
        <is>
          <t>067630</t>
        </is>
      </c>
      <c r="C393" s="6" t="inlineStr">
        <is>
          <t>2024Q4</t>
        </is>
      </c>
      <c r="D393" s="6" t="inlineStr">
        <is>
          <t>20250320</t>
        </is>
      </c>
      <c r="E393" s="16" t="inlineStr"/>
      <c r="F393" s="16" t="inlineStr"/>
      <c r="G393" s="16" t="n">
        <v>9321773</v>
      </c>
      <c r="H393" s="6" t="inlineStr">
        <is>
          <t>천원</t>
        </is>
      </c>
      <c r="I393" s="17" t="n">
        <v>-10.3</v>
      </c>
      <c r="J393" s="18" t="inlineStr"/>
      <c r="K393" s="19" t="inlineStr"/>
      <c r="L393" s="18" t="inlineStr"/>
      <c r="M393" s="19" t="n">
        <v>9321773</v>
      </c>
      <c r="N393" s="18" t="inlineStr"/>
      <c r="O393" s="19" t="inlineStr"/>
      <c r="P393" s="18" t="inlineStr"/>
      <c r="Q393" s="19" t="inlineStr"/>
      <c r="R393" s="18" t="inlineStr"/>
      <c r="S393" s="20" t="inlineStr"/>
      <c r="T393" s="6" t="n">
        <v>1</v>
      </c>
      <c r="U393" s="5" t="inlineStr">
        <is>
          <t>건설부문</t>
        </is>
      </c>
      <c r="V393" s="21">
        <f>HYPERLINK("https://dart.fss.or.kr/dsaf001/main.do?rcpNo=20250320001719", "공시열람")</f>
        <v/>
      </c>
    </row>
    <row r="394">
      <c r="A394" s="5" t="inlineStr">
        <is>
          <t>이글루</t>
        </is>
      </c>
      <c r="B394" s="6" t="inlineStr">
        <is>
          <t>067920</t>
        </is>
      </c>
      <c r="C394" s="6" t="inlineStr">
        <is>
          <t>2026Q2</t>
        </is>
      </c>
      <c r="D394" s="6" t="inlineStr">
        <is>
          <t>20260814</t>
        </is>
      </c>
      <c r="E394" s="16" t="n">
        <v>114540</v>
      </c>
      <c r="F394" s="16" t="n">
        <v>66838</v>
      </c>
      <c r="G394" s="16" t="n">
        <v>47702</v>
      </c>
      <c r="H394" s="6" t="inlineStr">
        <is>
          <t>천원</t>
        </is>
      </c>
      <c r="I394" s="17" t="n">
        <v>-32.7</v>
      </c>
      <c r="J394" s="18" t="n">
        <v>59120</v>
      </c>
      <c r="K394" s="19" t="n">
        <v>40889</v>
      </c>
      <c r="L394" s="18" t="n">
        <v>20469</v>
      </c>
      <c r="M394" s="19" t="n">
        <v>3859</v>
      </c>
      <c r="N394" s="18" t="n">
        <v>87317</v>
      </c>
      <c r="O394" s="19" t="n">
        <v>66764</v>
      </c>
      <c r="P394" s="18" t="n">
        <v>44266</v>
      </c>
      <c r="Q394" s="19" t="n">
        <v>34637</v>
      </c>
      <c r="R394" s="18" t="n">
        <v>70855</v>
      </c>
      <c r="S394" s="20" t="n">
        <v>47702</v>
      </c>
      <c r="T394" s="6" t="n">
        <v>5</v>
      </c>
      <c r="U394" s="5" t="inlineStr">
        <is>
          <t>보안서비스(외교부 外) / - | 보안서비스(국가정보자원관리원) | 보안서비스(한국지역정보개발원)</t>
        </is>
      </c>
      <c r="V394" s="21">
        <f>HYPERLINK("https://dart.fss.or.kr/dsaf001/main.do?rcpNo=20260814001978", "공시열람")</f>
        <v/>
      </c>
    </row>
    <row r="395">
      <c r="A395" s="5" t="inlineStr">
        <is>
          <t>케이웨더</t>
        </is>
      </c>
      <c r="B395" s="6" t="inlineStr">
        <is>
          <t>068100</t>
        </is>
      </c>
      <c r="C395" s="6" t="inlineStr">
        <is>
          <t>2026Q2</t>
        </is>
      </c>
      <c r="D395" s="6" t="inlineStr">
        <is>
          <t>20260814</t>
        </is>
      </c>
      <c r="E395" s="16" t="n">
        <v>14517881</v>
      </c>
      <c r="F395" s="16" t="inlineStr"/>
      <c r="G395" s="16" t="n">
        <v>6407269</v>
      </c>
      <c r="H395" s="6" t="inlineStr">
        <is>
          <t>천원</t>
        </is>
      </c>
      <c r="I395" s="17" t="n">
        <v>9.300000000000001</v>
      </c>
      <c r="J395" s="18" t="n">
        <v>16783700</v>
      </c>
      <c r="K395" s="19" t="n">
        <v>16476692</v>
      </c>
      <c r="L395" s="18" t="n">
        <v>13073055</v>
      </c>
      <c r="M395" s="19" t="n">
        <v>8669512</v>
      </c>
      <c r="N395" s="18" t="n">
        <v>8669512</v>
      </c>
      <c r="O395" s="19" t="n">
        <v>7790000</v>
      </c>
      <c r="P395" s="18" t="n">
        <v>6444962</v>
      </c>
      <c r="Q395" s="19" t="n">
        <v>9749662</v>
      </c>
      <c r="R395" s="18" t="n">
        <v>5862084</v>
      </c>
      <c r="S395" s="20" t="n">
        <v>6407269</v>
      </c>
      <c r="T395" s="6" t="n">
        <v>3</v>
      </c>
      <c r="U395" s="5" t="inlineStr">
        <is>
          <t xml:space="preserve">Product / 환기청정기 외(포스코이앤씨 외) /  | Data / 기상/공기데이터(네이버 외) / 2026. | Service / 유지보수/측정케어서비스(서울 서초구 </t>
        </is>
      </c>
      <c r="V395" s="21">
        <f>HYPERLINK("https://dart.fss.or.kr/dsaf001/main.do?rcpNo=20260814000343", "공시열람")</f>
        <v/>
      </c>
    </row>
    <row r="396">
      <c r="A396" s="5" t="inlineStr">
        <is>
          <t>다원시스</t>
        </is>
      </c>
      <c r="B396" s="6" t="inlineStr">
        <is>
          <t>068240</t>
        </is>
      </c>
      <c r="C396" s="6" t="inlineStr">
        <is>
          <t>2026Q2</t>
        </is>
      </c>
      <c r="D396" s="6" t="inlineStr">
        <is>
          <t>20260814</t>
        </is>
      </c>
      <c r="E396" s="16" t="inlineStr"/>
      <c r="F396" s="16" t="inlineStr"/>
      <c r="G396" s="16" t="n">
        <v>1192585</v>
      </c>
      <c r="H396" s="6" t="inlineStr">
        <is>
          <t>백만원</t>
        </is>
      </c>
      <c r="I396" s="17" t="n">
        <v>-0.8</v>
      </c>
      <c r="J396" s="18" t="n">
        <v>1019027</v>
      </c>
      <c r="K396" s="19" t="n">
        <v>1021985</v>
      </c>
      <c r="L396" s="18" t="n">
        <v>941238</v>
      </c>
      <c r="M396" s="19" t="n">
        <v>931936</v>
      </c>
      <c r="N396" s="18" t="n">
        <v>928778</v>
      </c>
      <c r="O396" s="19" t="n">
        <v>904152</v>
      </c>
      <c r="P396" s="18" t="n">
        <v>888646</v>
      </c>
      <c r="Q396" s="19" t="n">
        <v>1200198</v>
      </c>
      <c r="R396" s="18" t="n">
        <v>1202587</v>
      </c>
      <c r="S396" s="20" t="n">
        <v>1192585</v>
      </c>
      <c r="T396" s="6" t="n">
        <v>0</v>
      </c>
      <c r="U396" s="5" t="inlineStr"/>
      <c r="V396" s="21">
        <f>HYPERLINK("https://dart.fss.or.kr/dsaf001/main.do?rcpNo=20260814004290", "공시열람")</f>
        <v/>
      </c>
    </row>
    <row r="397">
      <c r="A397" s="5" t="inlineStr">
        <is>
          <t>일신바이오</t>
        </is>
      </c>
      <c r="B397" s="6" t="inlineStr">
        <is>
          <t>068330</t>
        </is>
      </c>
      <c r="C397" s="6" t="inlineStr">
        <is>
          <t>2026Q2</t>
        </is>
      </c>
      <c r="D397" s="6" t="inlineStr">
        <is>
          <t>20261008</t>
        </is>
      </c>
      <c r="E397" s="16" t="n">
        <v>12722</v>
      </c>
      <c r="F397" s="16" t="inlineStr"/>
      <c r="G397" s="16" t="n">
        <v>12722</v>
      </c>
      <c r="H397" s="6" t="inlineStr">
        <is>
          <t>백만원</t>
        </is>
      </c>
      <c r="I397" s="17" t="n">
        <v>0</v>
      </c>
      <c r="J397" s="18" t="n">
        <v>3631</v>
      </c>
      <c r="K397" s="19" t="n">
        <v>3779</v>
      </c>
      <c r="L397" s="18" t="n">
        <v>4618</v>
      </c>
      <c r="M397" s="19" t="n">
        <v>3638</v>
      </c>
      <c r="N397" s="18" t="n">
        <v>4981</v>
      </c>
      <c r="O397" s="19" t="n">
        <v>6882</v>
      </c>
      <c r="P397" s="18" t="n">
        <v>4140</v>
      </c>
      <c r="Q397" s="19" t="n">
        <v>4301</v>
      </c>
      <c r="R397" s="18" t="n">
        <v>12722</v>
      </c>
      <c r="S397" s="20" t="n">
        <v>12722</v>
      </c>
      <c r="T397" s="6" t="n">
        <v>32</v>
      </c>
      <c r="U397" s="5" t="inlineStr">
        <is>
          <t>LP | LP | LP</t>
        </is>
      </c>
      <c r="V397" s="21">
        <f>HYPERLINK("https://dart.fss.or.kr/dsaf001/main.do?rcpNo=20261008000328", "공시열람")</f>
        <v/>
      </c>
    </row>
    <row r="398">
      <c r="A398" s="5" t="inlineStr">
        <is>
          <t>DMS</t>
        </is>
      </c>
      <c r="B398" s="6" t="inlineStr">
        <is>
          <t>068790</t>
        </is>
      </c>
      <c r="C398" s="6" t="inlineStr">
        <is>
          <t>2025Q3</t>
        </is>
      </c>
      <c r="D398" s="6" t="inlineStr">
        <is>
          <t>20251114</t>
        </is>
      </c>
      <c r="E398" s="16" t="inlineStr"/>
      <c r="F398" s="16" t="inlineStr"/>
      <c r="G398" s="16" t="n">
        <v>160520812</v>
      </c>
      <c r="H398" s="6" t="inlineStr">
        <is>
          <t>천원</t>
        </is>
      </c>
      <c r="I398" s="17" t="n">
        <v>21.9</v>
      </c>
      <c r="J398" s="18" t="n">
        <v>124090439</v>
      </c>
      <c r="K398" s="19" t="n">
        <v>152446236</v>
      </c>
      <c r="L398" s="18" t="n">
        <v>713</v>
      </c>
      <c r="M398" s="19" t="n">
        <v>177859215</v>
      </c>
      <c r="N398" s="18" t="n">
        <v>90296639</v>
      </c>
      <c r="O398" s="19" t="n">
        <v>131726930</v>
      </c>
      <c r="P398" s="18" t="n">
        <v>160520812</v>
      </c>
      <c r="Q398" s="19" t="inlineStr"/>
      <c r="R398" s="18" t="inlineStr"/>
      <c r="S398" s="20" t="inlineStr"/>
      <c r="T398" s="6" t="n">
        <v>2</v>
      </c>
      <c r="U398" s="5" t="inlineStr">
        <is>
          <t>전기 | 당분기</t>
        </is>
      </c>
      <c r="V398" s="21">
        <f>HYPERLINK("https://dart.fss.or.kr/dsaf001/main.do?rcpNo=20251114003131", "공시열람")</f>
        <v/>
      </c>
    </row>
    <row r="399">
      <c r="A399" s="5" t="inlineStr">
        <is>
          <t>누리플랜</t>
        </is>
      </c>
      <c r="B399" s="6" t="inlineStr">
        <is>
          <t>069140</t>
        </is>
      </c>
      <c r="C399" s="6" t="inlineStr">
        <is>
          <t>2026Q2</t>
        </is>
      </c>
      <c r="D399" s="6" t="inlineStr">
        <is>
          <t>20260811</t>
        </is>
      </c>
      <c r="E399" s="16" t="inlineStr"/>
      <c r="F399" s="16" t="inlineStr"/>
      <c r="G399" s="16" t="n">
        <v>151147</v>
      </c>
      <c r="H399" s="6" t="inlineStr">
        <is>
          <t>백만원</t>
        </is>
      </c>
      <c r="I399" s="17" t="n">
        <v>26.4</v>
      </c>
      <c r="J399" s="18" t="n">
        <v>99759</v>
      </c>
      <c r="K399" s="19" t="n">
        <v>99379</v>
      </c>
      <c r="L399" s="18" t="n">
        <v>103482</v>
      </c>
      <c r="M399" s="19" t="n">
        <v>117200</v>
      </c>
      <c r="N399" s="18" t="n">
        <v>120876</v>
      </c>
      <c r="O399" s="19" t="n">
        <v>129134</v>
      </c>
      <c r="P399" s="18" t="n">
        <v>115294</v>
      </c>
      <c r="Q399" s="19" t="n">
        <v>119597</v>
      </c>
      <c r="R399" s="18" t="n">
        <v>119597</v>
      </c>
      <c r="S399" s="20" t="n">
        <v>151147</v>
      </c>
      <c r="T399" s="6" t="n">
        <v>4</v>
      </c>
      <c r="U399" s="5" t="inlineStr">
        <is>
          <t>유니슨HKR㈜ / 플랜트 | ㈜누리온 / 스마트사업 | 유니슨HKR㈜ / 건설</t>
        </is>
      </c>
      <c r="V399" s="21">
        <f>HYPERLINK("https://dart.fss.or.kr/dsaf001/main.do?rcpNo=20260811000245", "공시열람")</f>
        <v/>
      </c>
    </row>
    <row r="400">
      <c r="A400" s="5" t="inlineStr">
        <is>
          <t>엔텔스</t>
        </is>
      </c>
      <c r="B400" s="6" t="inlineStr">
        <is>
          <t>069410</t>
        </is>
      </c>
      <c r="C400" s="6" t="inlineStr">
        <is>
          <t>2026Q2</t>
        </is>
      </c>
      <c r="D400" s="6" t="inlineStr">
        <is>
          <t>20260814</t>
        </is>
      </c>
      <c r="E400" s="16" t="n">
        <v>75301941</v>
      </c>
      <c r="F400" s="16" t="n">
        <v>37636780</v>
      </c>
      <c r="G400" s="16" t="n">
        <v>37665161</v>
      </c>
      <c r="H400" s="6" t="inlineStr">
        <is>
          <t>천원</t>
        </is>
      </c>
      <c r="I400" s="17" t="n">
        <v>31.6</v>
      </c>
      <c r="J400" s="18" t="n">
        <v>7319456</v>
      </c>
      <c r="K400" s="19" t="n">
        <v>20060807</v>
      </c>
      <c r="L400" s="18" t="n">
        <v>23531380</v>
      </c>
      <c r="M400" s="19" t="n">
        <v>30067643</v>
      </c>
      <c r="N400" s="18" t="n">
        <v>33894936</v>
      </c>
      <c r="O400" s="19" t="n">
        <v>34748938</v>
      </c>
      <c r="P400" s="18" t="n">
        <v>37757517</v>
      </c>
      <c r="Q400" s="19" t="n">
        <v>23140619</v>
      </c>
      <c r="R400" s="18" t="n">
        <v>28611112</v>
      </c>
      <c r="S400" s="20" t="n">
        <v>37665161</v>
      </c>
      <c r="T400" s="6" t="n">
        <v>15</v>
      </c>
      <c r="U400" s="5" t="inlineStr">
        <is>
          <t>OSS / 2026년 | BSS / 2024년 | SI / 2026년</t>
        </is>
      </c>
      <c r="V400" s="21">
        <f>HYPERLINK("https://dart.fss.or.kr/dsaf001/main.do?rcpNo=20260814002291", "공시열람")</f>
        <v/>
      </c>
    </row>
    <row r="401">
      <c r="A401" s="5" t="inlineStr">
        <is>
          <t>대호에이엘</t>
        </is>
      </c>
      <c r="B401" s="6" t="inlineStr">
        <is>
          <t>069460</t>
        </is>
      </c>
      <c r="C401" s="6" t="inlineStr">
        <is>
          <t>2026Q2</t>
        </is>
      </c>
      <c r="D401" s="6" t="inlineStr">
        <is>
          <t>20260814</t>
        </is>
      </c>
      <c r="E401" s="16" t="n">
        <v>28112</v>
      </c>
      <c r="F401" s="16" t="inlineStr"/>
      <c r="G401" s="16" t="n">
        <v>28112</v>
      </c>
      <c r="H401" s="6" t="inlineStr">
        <is>
          <t>톤,백만원</t>
        </is>
      </c>
      <c r="I401" s="17" t="n">
        <v>110.4</v>
      </c>
      <c r="J401" s="18" t="n">
        <v>11976</v>
      </c>
      <c r="K401" s="19" t="n">
        <v>11620</v>
      </c>
      <c r="L401" s="18" t="n">
        <v>10523</v>
      </c>
      <c r="M401" s="19" t="n">
        <v>10803</v>
      </c>
      <c r="N401" s="18" t="n">
        <v>11432</v>
      </c>
      <c r="O401" s="19" t="n">
        <v>11671</v>
      </c>
      <c r="P401" s="18" t="n">
        <v>11028</v>
      </c>
      <c r="Q401" s="19" t="n">
        <v>11069</v>
      </c>
      <c r="R401" s="18" t="n">
        <v>13359</v>
      </c>
      <c r="S401" s="20" t="n">
        <v>28112</v>
      </c>
      <c r="T401" s="6" t="n">
        <v>2</v>
      </c>
      <c r="U401" s="5" t="inlineStr">
        <is>
          <t>AL COIL / 26년4월~6월 / 26.7. 이후 | ALCIRCLE / 26년4월~6월 / 26.7. 이후</t>
        </is>
      </c>
      <c r="V401" s="21">
        <f>HYPERLINK("https://dart.fss.or.kr/dsaf001/main.do?rcpNo=20260814004046", "공시열람")</f>
        <v/>
      </c>
    </row>
    <row r="402">
      <c r="A402" s="5" t="inlineStr">
        <is>
          <t>에스텍</t>
        </is>
      </c>
      <c r="B402" s="6" t="inlineStr">
        <is>
          <t>069510</t>
        </is>
      </c>
      <c r="C402" s="6" t="inlineStr">
        <is>
          <t>2026Q2</t>
        </is>
      </c>
      <c r="D402" s="6" t="inlineStr">
        <is>
          <t>20260814</t>
        </is>
      </c>
      <c r="E402" s="16" t="n">
        <v>349438</v>
      </c>
      <c r="F402" s="16" t="n">
        <v>232294</v>
      </c>
      <c r="G402" s="16" t="n">
        <v>117144</v>
      </c>
      <c r="H402" s="6" t="inlineStr">
        <is>
          <t>천개,백만원</t>
        </is>
      </c>
      <c r="I402" s="17" t="n">
        <v>5.7</v>
      </c>
      <c r="J402" s="18" t="n">
        <v>143529</v>
      </c>
      <c r="K402" s="19" t="n">
        <v>157926</v>
      </c>
      <c r="L402" s="18" t="n">
        <v>130092</v>
      </c>
      <c r="M402" s="19" t="n">
        <v>114483</v>
      </c>
      <c r="N402" s="18" t="n">
        <v>131583</v>
      </c>
      <c r="O402" s="19" t="n">
        <v>126194</v>
      </c>
      <c r="P402" s="18" t="n">
        <v>100244</v>
      </c>
      <c r="Q402" s="19" t="n">
        <v>100810</v>
      </c>
      <c r="R402" s="18" t="n">
        <v>110834</v>
      </c>
      <c r="S402" s="20" t="n">
        <v>117144</v>
      </c>
      <c r="T402" s="6" t="n">
        <v>3</v>
      </c>
      <c r="U402" s="5" t="inlineStr">
        <is>
          <t>CAR용 | TV용 / " | 기타 / "</t>
        </is>
      </c>
      <c r="V402" s="21">
        <f>HYPERLINK("https://dart.fss.or.kr/dsaf001/main.do?rcpNo=20260814004263", "공시열람")</f>
        <v/>
      </c>
    </row>
    <row r="403">
      <c r="A403" s="5" t="inlineStr">
        <is>
          <t>빛과전자</t>
        </is>
      </c>
      <c r="B403" s="6" t="inlineStr">
        <is>
          <t>069540</t>
        </is>
      </c>
      <c r="C403" s="6" t="inlineStr">
        <is>
          <t>2026Q2</t>
        </is>
      </c>
      <c r="D403" s="6" t="inlineStr">
        <is>
          <t>20260814</t>
        </is>
      </c>
      <c r="E403" s="16" t="n">
        <v>8099</v>
      </c>
      <c r="F403" s="16" t="n">
        <v>4542</v>
      </c>
      <c r="G403" s="16" t="n">
        <v>3557</v>
      </c>
      <c r="H403" s="6" t="inlineStr">
        <is>
          <t>백만원</t>
        </is>
      </c>
      <c r="I403" s="17" t="n">
        <v>15</v>
      </c>
      <c r="J403" s="18" t="n">
        <v>4257</v>
      </c>
      <c r="K403" s="19" t="n">
        <v>3084</v>
      </c>
      <c r="L403" s="18" t="n">
        <v>4426</v>
      </c>
      <c r="M403" s="19" t="n">
        <v>5209</v>
      </c>
      <c r="N403" s="18" t="n">
        <v>7357</v>
      </c>
      <c r="O403" s="19" t="n">
        <v>6912</v>
      </c>
      <c r="P403" s="18" t="n">
        <v>6778</v>
      </c>
      <c r="Q403" s="19" t="n">
        <v>6200</v>
      </c>
      <c r="R403" s="18" t="n">
        <v>3094</v>
      </c>
      <c r="S403" s="20" t="n">
        <v>3557</v>
      </c>
      <c r="T403" s="6" t="n">
        <v>1</v>
      </c>
      <c r="U403" s="5" t="inlineStr">
        <is>
          <t>광모듈 / -</t>
        </is>
      </c>
      <c r="V403" s="21">
        <f>HYPERLINK("https://dart.fss.or.kr/dsaf001/main.do?rcpNo=20260814002282", "공시열람")</f>
        <v/>
      </c>
    </row>
    <row r="404">
      <c r="A404" s="5" t="inlineStr">
        <is>
          <t>엑시온그룹</t>
        </is>
      </c>
      <c r="B404" s="6" t="inlineStr">
        <is>
          <t>069920</t>
        </is>
      </c>
      <c r="C404" s="6" t="inlineStr">
        <is>
          <t>2026Q2</t>
        </is>
      </c>
      <c r="D404" s="6" t="inlineStr">
        <is>
          <t>20261001</t>
        </is>
      </c>
      <c r="E404" s="16" t="inlineStr"/>
      <c r="F404" s="16" t="inlineStr"/>
      <c r="G404" s="16" t="n">
        <v>19715069036</v>
      </c>
      <c r="H404" s="6" t="inlineStr">
        <is>
          <t>원</t>
        </is>
      </c>
      <c r="I404" s="17" t="n">
        <v>45950.4</v>
      </c>
      <c r="J404" s="18" t="inlineStr"/>
      <c r="K404" s="19" t="inlineStr"/>
      <c r="L404" s="18" t="inlineStr"/>
      <c r="M404" s="19" t="inlineStr"/>
      <c r="N404" s="18" t="inlineStr"/>
      <c r="O404" s="19" t="n">
        <v>61353280000</v>
      </c>
      <c r="P404" s="18" t="n">
        <v>44213810</v>
      </c>
      <c r="Q404" s="19" t="n">
        <v>31359971</v>
      </c>
      <c r="R404" s="18" t="n">
        <v>42811939</v>
      </c>
      <c r="S404" s="20" t="n">
        <v>19715069036</v>
      </c>
      <c r="T404" s="6" t="n">
        <v>2</v>
      </c>
      <c r="U404" s="5" t="inlineStr">
        <is>
          <t>하이테크 | 로봇자동화</t>
        </is>
      </c>
      <c r="V404" s="21">
        <f>HYPERLINK("https://dart.fss.or.kr/dsaf001/main.do?rcpNo=20261001000463", "공시열람")</f>
        <v/>
      </c>
    </row>
    <row r="405">
      <c r="A405" s="5" t="inlineStr">
        <is>
          <t>인티큐브</t>
        </is>
      </c>
      <c r="B405" s="6" t="inlineStr">
        <is>
          <t>070590</t>
        </is>
      </c>
      <c r="C405" s="6" t="inlineStr">
        <is>
          <t>2026Q2</t>
        </is>
      </c>
      <c r="D405" s="6" t="inlineStr">
        <is>
          <t>20260813</t>
        </is>
      </c>
      <c r="E405" s="16" t="n">
        <v>102625</v>
      </c>
      <c r="F405" s="16" t="n">
        <v>70542</v>
      </c>
      <c r="G405" s="16" t="n">
        <v>32083</v>
      </c>
      <c r="H405" s="6" t="inlineStr">
        <is>
          <t>백만원</t>
        </is>
      </c>
      <c r="I405" s="17" t="n">
        <v>11.6</v>
      </c>
      <c r="J405" s="18" t="n">
        <v>35442</v>
      </c>
      <c r="K405" s="19" t="n">
        <v>40807</v>
      </c>
      <c r="L405" s="18" t="n">
        <v>40047</v>
      </c>
      <c r="M405" s="19" t="n">
        <v>43231</v>
      </c>
      <c r="N405" s="18" t="n">
        <v>41153</v>
      </c>
      <c r="O405" s="19" t="n">
        <v>36874</v>
      </c>
      <c r="P405" s="18" t="n">
        <v>33897</v>
      </c>
      <c r="Q405" s="19" t="n">
        <v>30279</v>
      </c>
      <c r="R405" s="18" t="n">
        <v>28761</v>
      </c>
      <c r="S405" s="20" t="n">
        <v>32083</v>
      </c>
      <c r="T405" s="6" t="n">
        <v>1</v>
      </c>
      <c r="U405" s="5" t="inlineStr">
        <is>
          <t>컨택센터/메세징 外 / '26년6월 30일까지 / -</t>
        </is>
      </c>
      <c r="V405" s="21">
        <f>HYPERLINK("https://dart.fss.or.kr/dsaf001/main.do?rcpNo=20260813001725", "공시열람")</f>
        <v/>
      </c>
    </row>
    <row r="406">
      <c r="A406" s="5" t="inlineStr">
        <is>
          <t>모나용평</t>
        </is>
      </c>
      <c r="B406" s="6" t="inlineStr">
        <is>
          <t>070960</t>
        </is>
      </c>
      <c r="C406" s="6" t="inlineStr">
        <is>
          <t>2026Q2</t>
        </is>
      </c>
      <c r="D406" s="6" t="inlineStr">
        <is>
          <t>20260814</t>
        </is>
      </c>
      <c r="E406" s="16" t="n">
        <v>414126</v>
      </c>
      <c r="F406" s="16" t="n">
        <v>294693</v>
      </c>
      <c r="G406" s="16" t="n">
        <v>119433</v>
      </c>
      <c r="H406" s="6" t="inlineStr">
        <is>
          <t>백만원</t>
        </is>
      </c>
      <c r="I406" s="17" t="n">
        <v>-4.6</v>
      </c>
      <c r="J406" s="18" t="n">
        <v>167590</v>
      </c>
      <c r="K406" s="19" t="n">
        <v>167590</v>
      </c>
      <c r="L406" s="18" t="n">
        <v>155797</v>
      </c>
      <c r="M406" s="19" t="n">
        <v>155797</v>
      </c>
      <c r="N406" s="18" t="n">
        <v>155264</v>
      </c>
      <c r="O406" s="19" t="n">
        <v>141494</v>
      </c>
      <c r="P406" s="18" t="n">
        <v>131872</v>
      </c>
      <c r="Q406" s="19" t="n">
        <v>125178</v>
      </c>
      <c r="R406" s="18" t="n">
        <v>125178</v>
      </c>
      <c r="S406" s="20" t="n">
        <v>119433</v>
      </c>
      <c r="T406" s="6" t="n">
        <v>1</v>
      </c>
      <c r="U406" s="5" t="inlineStr">
        <is>
          <t>루송채 콘도 분양</t>
        </is>
      </c>
      <c r="V406" s="21">
        <f>HYPERLINK("https://dart.fss.or.kr/dsaf001/main.do?rcpNo=20260814000970", "공시열람")</f>
        <v/>
      </c>
    </row>
    <row r="407">
      <c r="A407" s="5" t="inlineStr">
        <is>
          <t>하이스틸</t>
        </is>
      </c>
      <c r="B407" s="6" t="inlineStr">
        <is>
          <t>071090</t>
        </is>
      </c>
      <c r="C407" s="6" t="inlineStr">
        <is>
          <t>2026Q2</t>
        </is>
      </c>
      <c r="D407" s="6" t="inlineStr">
        <is>
          <t>20261001</t>
        </is>
      </c>
      <c r="E407" s="16" t="n">
        <v>37591651278</v>
      </c>
      <c r="F407" s="16" t="inlineStr"/>
      <c r="G407" s="16" t="n">
        <v>37591651278</v>
      </c>
      <c r="H407" s="6" t="inlineStr">
        <is>
          <t>원</t>
        </is>
      </c>
      <c r="I407" s="17" t="inlineStr"/>
      <c r="J407" s="18" t="inlineStr"/>
      <c r="K407" s="19" t="inlineStr"/>
      <c r="L407" s="18" t="inlineStr"/>
      <c r="M407" s="19" t="inlineStr"/>
      <c r="N407" s="18" t="inlineStr"/>
      <c r="O407" s="19" t="inlineStr"/>
      <c r="P407" s="18" t="inlineStr"/>
      <c r="Q407" s="19" t="inlineStr"/>
      <c r="R407" s="18" t="inlineStr"/>
      <c r="S407" s="20" t="n">
        <v>37591651278</v>
      </c>
      <c r="T407" s="6" t="n">
        <v>1</v>
      </c>
      <c r="U407" s="5" t="inlineStr">
        <is>
          <t xml:space="preserve">강관 / 2026년 5월 20일 / 2026년 12월 </t>
        </is>
      </c>
      <c r="V407" s="21">
        <f>HYPERLINK("https://dart.fss.or.kr/dsaf001/main.do?rcpNo=20261001000570", "공시열람")</f>
        <v/>
      </c>
    </row>
    <row r="408">
      <c r="A408" s="5" t="inlineStr">
        <is>
          <t>로체시스템즈</t>
        </is>
      </c>
      <c r="B408" s="6" t="inlineStr">
        <is>
          <t>071280</t>
        </is>
      </c>
      <c r="C408" s="6" t="inlineStr">
        <is>
          <t>2026Q2</t>
        </is>
      </c>
      <c r="D408" s="6" t="inlineStr">
        <is>
          <t>20260814</t>
        </is>
      </c>
      <c r="E408" s="16" t="n">
        <v>156765216</v>
      </c>
      <c r="F408" s="16" t="n">
        <v>77897169</v>
      </c>
      <c r="G408" s="16" t="n">
        <v>78868047</v>
      </c>
      <c r="H408" s="6" t="inlineStr">
        <is>
          <t>천원</t>
        </is>
      </c>
      <c r="I408" s="17" t="n">
        <v>41.9</v>
      </c>
      <c r="J408" s="18" t="n">
        <v>79325577</v>
      </c>
      <c r="K408" s="19" t="n">
        <v>55189406</v>
      </c>
      <c r="L408" s="18" t="n">
        <v>89335943</v>
      </c>
      <c r="M408" s="19" t="n">
        <v>68422681</v>
      </c>
      <c r="N408" s="18" t="n">
        <v>49559280</v>
      </c>
      <c r="O408" s="19" t="n">
        <v>27075973</v>
      </c>
      <c r="P408" s="18" t="n">
        <v>42448243</v>
      </c>
      <c r="Q408" s="19" t="n">
        <v>42927494</v>
      </c>
      <c r="R408" s="18" t="n">
        <v>55562188</v>
      </c>
      <c r="S408" s="20" t="n">
        <v>78868047</v>
      </c>
      <c r="T408" s="6" t="n">
        <v>2</v>
      </c>
      <c r="U408" s="5" t="inlineStr">
        <is>
          <t>반도체 / - | 디스플레이 / -</t>
        </is>
      </c>
      <c r="V408" s="21">
        <f>HYPERLINK("https://dart.fss.or.kr/dsaf001/main.do?rcpNo=20260814002190", "공시열람")</f>
        <v/>
      </c>
    </row>
    <row r="409">
      <c r="A409" s="5" t="inlineStr">
        <is>
          <t>지역난방공사</t>
        </is>
      </c>
      <c r="B409" s="6" t="inlineStr">
        <is>
          <t>071320</t>
        </is>
      </c>
      <c r="C409" s="6" t="inlineStr">
        <is>
          <t>2024Q2</t>
        </is>
      </c>
      <c r="D409" s="6" t="inlineStr">
        <is>
          <t>20240814</t>
        </is>
      </c>
      <c r="E409" s="16" t="n">
        <v>18496</v>
      </c>
      <c r="F409" s="16" t="n">
        <v>15050</v>
      </c>
      <c r="G409" s="16" t="n">
        <v>3446</v>
      </c>
      <c r="H409" s="6" t="inlineStr">
        <is>
          <t>백만원</t>
        </is>
      </c>
      <c r="I409" s="17" t="n">
        <v>-59.9</v>
      </c>
      <c r="J409" s="18" t="n">
        <v>8603</v>
      </c>
      <c r="K409" s="19" t="n">
        <v>3446</v>
      </c>
      <c r="L409" s="18" t="inlineStr"/>
      <c r="M409" s="19" t="inlineStr"/>
      <c r="N409" s="18" t="inlineStr"/>
      <c r="O409" s="19" t="inlineStr"/>
      <c r="P409" s="18" t="inlineStr"/>
      <c r="Q409" s="19" t="inlineStr"/>
      <c r="R409" s="18" t="inlineStr"/>
      <c r="S409" s="20" t="inlineStr"/>
      <c r="T409" s="6" t="n">
        <v>3</v>
      </c>
      <c r="U409" s="5" t="inlineStr">
        <is>
          <t>2023년 일반/특수 경비 및 안내원 용역 / 2023 | 2023년 한국지역난방공사 환경관리 용역 / 2023- | 2023년 한국지역난방공사 사옥관리 용역 / 2023-</t>
        </is>
      </c>
      <c r="V409" s="21">
        <f>HYPERLINK("https://dart.fss.or.kr/dsaf001/main.do?rcpNo=20240814002085", "공시열람")</f>
        <v/>
      </c>
    </row>
    <row r="410">
      <c r="A410" s="5" t="inlineStr">
        <is>
          <t>HD현대마린엔진</t>
        </is>
      </c>
      <c r="B410" s="6" t="inlineStr">
        <is>
          <t>071970</t>
        </is>
      </c>
      <c r="C410" s="6" t="inlineStr">
        <is>
          <t>2026Q2</t>
        </is>
      </c>
      <c r="D410" s="6" t="inlineStr">
        <is>
          <t>20260814</t>
        </is>
      </c>
      <c r="E410" s="16" t="inlineStr"/>
      <c r="F410" s="16" t="n">
        <v>-224708</v>
      </c>
      <c r="G410" s="16" t="n">
        <v>1670590</v>
      </c>
      <c r="H410" s="6" t="inlineStr">
        <is>
          <t>백만원</t>
        </is>
      </c>
      <c r="I410" s="17" t="n">
        <v>24.8</v>
      </c>
      <c r="J410" s="18" t="n">
        <v>0</v>
      </c>
      <c r="K410" s="19" t="n">
        <v>0</v>
      </c>
      <c r="L410" s="18" t="n">
        <v>664639</v>
      </c>
      <c r="M410" s="19" t="n">
        <v>738986</v>
      </c>
      <c r="N410" s="18" t="n">
        <v>832541</v>
      </c>
      <c r="O410" s="19" t="n">
        <v>1045472</v>
      </c>
      <c r="P410" s="18" t="n">
        <v>1000608</v>
      </c>
      <c r="Q410" s="19" t="n">
        <v>1088898</v>
      </c>
      <c r="R410" s="18" t="n">
        <v>1339020</v>
      </c>
      <c r="S410" s="20" t="n">
        <v>1670590</v>
      </c>
      <c r="T410" s="6" t="n">
        <v>2</v>
      </c>
      <c r="U410" s="5" t="inlineStr">
        <is>
          <t>선박엔진 / '26.06.30까지 / - | 엔진부품 / '26.06.30까지 / -</t>
        </is>
      </c>
      <c r="V410" s="21">
        <f>HYPERLINK("https://dart.fss.or.kr/dsaf001/main.do?rcpNo=20260814002726", "공시열람")</f>
        <v/>
      </c>
    </row>
    <row r="411">
      <c r="A411" s="5" t="inlineStr">
        <is>
          <t>유엔젤</t>
        </is>
      </c>
      <c r="B411" s="6" t="inlineStr">
        <is>
          <t>072130</t>
        </is>
      </c>
      <c r="C411" s="6" t="inlineStr">
        <is>
          <t>2026Q2</t>
        </is>
      </c>
      <c r="D411" s="6" t="inlineStr">
        <is>
          <t>20260814</t>
        </is>
      </c>
      <c r="E411" s="16" t="n">
        <v>32184</v>
      </c>
      <c r="F411" s="16" t="n">
        <v>15077</v>
      </c>
      <c r="G411" s="16" t="n">
        <v>17107</v>
      </c>
      <c r="H411" s="6" t="inlineStr">
        <is>
          <t>백만원</t>
        </is>
      </c>
      <c r="I411" s="17" t="n">
        <v>0.3</v>
      </c>
      <c r="J411" s="18" t="n">
        <v>16400</v>
      </c>
      <c r="K411" s="19" t="n">
        <v>17232</v>
      </c>
      <c r="L411" s="18" t="n">
        <v>17784</v>
      </c>
      <c r="M411" s="19" t="n">
        <v>16513</v>
      </c>
      <c r="N411" s="18" t="n">
        <v>16479</v>
      </c>
      <c r="O411" s="19" t="n">
        <v>16296</v>
      </c>
      <c r="P411" s="18" t="n">
        <v>15236</v>
      </c>
      <c r="Q411" s="19" t="n">
        <v>14150</v>
      </c>
      <c r="R411" s="18" t="n">
        <v>17054</v>
      </c>
      <c r="S411" s="20" t="n">
        <v>17107</v>
      </c>
      <c r="T411" s="6" t="n">
        <v>4</v>
      </c>
      <c r="U411" s="5" t="inlineStr">
        <is>
          <t xml:space="preserve">지능망, 메세징 등 / - | ASP (Application Provider), Io | B2B, B2C Service, Application </t>
        </is>
      </c>
      <c r="V411" s="21">
        <f>HYPERLINK("https://dart.fss.or.kr/dsaf001/main.do?rcpNo=20260814001354", "공시열람")</f>
        <v/>
      </c>
    </row>
    <row r="412">
      <c r="A412" s="5" t="inlineStr">
        <is>
          <t>농심홀딩스</t>
        </is>
      </c>
      <c r="B412" s="6" t="inlineStr">
        <is>
          <t>072710</t>
        </is>
      </c>
      <c r="C412" s="6" t="inlineStr">
        <is>
          <t>2026Q2</t>
        </is>
      </c>
      <c r="D412" s="6" t="inlineStr">
        <is>
          <t>20260814</t>
        </is>
      </c>
      <c r="E412" s="16" t="n">
        <v>348168</v>
      </c>
      <c r="F412" s="16" t="n">
        <v>138133</v>
      </c>
      <c r="G412" s="16" t="n">
        <v>210035</v>
      </c>
      <c r="H412" s="6" t="inlineStr">
        <is>
          <t>백만원</t>
        </is>
      </c>
      <c r="I412" s="17" t="n">
        <v>-1.2</v>
      </c>
      <c r="J412" s="18" t="n">
        <v>105553</v>
      </c>
      <c r="K412" s="19" t="n">
        <v>81231</v>
      </c>
      <c r="L412" s="18" t="n">
        <v>48536</v>
      </c>
      <c r="M412" s="19" t="n">
        <v>43818</v>
      </c>
      <c r="N412" s="18" t="n">
        <v>45546</v>
      </c>
      <c r="O412" s="19" t="n">
        <v>316934</v>
      </c>
      <c r="P412" s="18" t="n">
        <v>289526</v>
      </c>
      <c r="Q412" s="19" t="n">
        <v>259444</v>
      </c>
      <c r="R412" s="18" t="n">
        <v>212670</v>
      </c>
      <c r="S412" s="20" t="n">
        <v>210035</v>
      </c>
      <c r="T412" s="6" t="n">
        <v>7</v>
      </c>
      <c r="U412" s="5" t="inlineStr">
        <is>
          <t>안성 장계리 물류센터 신축공사 / 2025-06-19  | 포천 정교리 물류센터 신축공사 / 2025-05-30  | 삼척루지 조성사업 복합시설 신축공사 / 2026-04-</t>
        </is>
      </c>
      <c r="V412" s="21">
        <f>HYPERLINK("https://dart.fss.or.kr/dsaf001/main.do?rcpNo=20260814003032", "공시열람")</f>
        <v/>
      </c>
    </row>
    <row r="413">
      <c r="A413" s="5" t="inlineStr">
        <is>
          <t>멤레이비티</t>
        </is>
      </c>
      <c r="B413" s="6" t="inlineStr">
        <is>
          <t>072770</t>
        </is>
      </c>
      <c r="C413" s="6" t="inlineStr">
        <is>
          <t>2026Q1</t>
        </is>
      </c>
      <c r="D413" s="6" t="inlineStr">
        <is>
          <t>20260515</t>
        </is>
      </c>
      <c r="E413" s="16" t="n">
        <v>10673011</v>
      </c>
      <c r="F413" s="16" t="n">
        <v>1429525</v>
      </c>
      <c r="G413" s="16" t="n">
        <v>9243486</v>
      </c>
      <c r="H413" s="6" t="inlineStr">
        <is>
          <t>천원</t>
        </is>
      </c>
      <c r="I413" s="17" t="n">
        <v>40</v>
      </c>
      <c r="J413" s="18" t="n">
        <v>13782730</v>
      </c>
      <c r="K413" s="19" t="n">
        <v>16207664</v>
      </c>
      <c r="L413" s="18" t="n">
        <v>60007820</v>
      </c>
      <c r="M413" s="19" t="n">
        <v>12468332</v>
      </c>
      <c r="N413" s="18" t="n">
        <v>12314824</v>
      </c>
      <c r="O413" s="19" t="n">
        <v>10767256</v>
      </c>
      <c r="P413" s="18" t="n">
        <v>11304441</v>
      </c>
      <c r="Q413" s="19" t="n">
        <v>6603794</v>
      </c>
      <c r="R413" s="18" t="n">
        <v>9243486</v>
      </c>
      <c r="S413" s="20" t="inlineStr"/>
      <c r="T413" s="6" t="n">
        <v>1</v>
      </c>
      <c r="U413" s="5" t="inlineStr">
        <is>
          <t>DELL 솔루션과 Software / -</t>
        </is>
      </c>
      <c r="V413" s="21">
        <f>HYPERLINK("https://dart.fss.or.kr/dsaf001/main.do?rcpNo=20260515001065", "공시열람")</f>
        <v/>
      </c>
    </row>
    <row r="414">
      <c r="A414" s="5" t="inlineStr">
        <is>
          <t>케이에스피</t>
        </is>
      </c>
      <c r="B414" s="6" t="inlineStr">
        <is>
          <t>073010</t>
        </is>
      </c>
      <c r="C414" s="6" t="inlineStr">
        <is>
          <t>2026Q2</t>
        </is>
      </c>
      <c r="D414" s="6" t="inlineStr">
        <is>
          <t>20260812</t>
        </is>
      </c>
      <c r="E414" s="16" t="inlineStr"/>
      <c r="F414" s="16" t="n">
        <v>50672</v>
      </c>
      <c r="G414" s="16" t="n">
        <v>115933</v>
      </c>
      <c r="H414" s="6" t="inlineStr">
        <is>
          <t>EA,백만원</t>
        </is>
      </c>
      <c r="I414" s="17" t="n">
        <v>25.6</v>
      </c>
      <c r="J414" s="18" t="n">
        <v>56434</v>
      </c>
      <c r="K414" s="19" t="n">
        <v>56928</v>
      </c>
      <c r="L414" s="18" t="n">
        <v>62701</v>
      </c>
      <c r="M414" s="19" t="n">
        <v>61496</v>
      </c>
      <c r="N414" s="18" t="n">
        <v>77255</v>
      </c>
      <c r="O414" s="19" t="n">
        <v>81712</v>
      </c>
      <c r="P414" s="18" t="n">
        <v>79559</v>
      </c>
      <c r="Q414" s="19" t="n">
        <v>80946</v>
      </c>
      <c r="R414" s="18" t="n">
        <v>92309</v>
      </c>
      <c r="S414" s="20" t="n">
        <v>115933</v>
      </c>
      <c r="T414" s="6" t="n">
        <v>5</v>
      </c>
      <c r="U414" s="5" t="inlineStr">
        <is>
          <t>엔진부품 / 대형엔진부품 | 형단조품 / 선박부품 | 형단조품 / 방산부품</t>
        </is>
      </c>
      <c r="V414" s="21">
        <f>HYPERLINK("https://dart.fss.or.kr/dsaf001/main.do?rcpNo=20260812000573", "공시열람")</f>
        <v/>
      </c>
    </row>
    <row r="415">
      <c r="A415" s="5" t="inlineStr">
        <is>
          <t>금호타이어</t>
        </is>
      </c>
      <c r="B415" s="6" t="inlineStr">
        <is>
          <t>073240</t>
        </is>
      </c>
      <c r="C415" s="6" t="inlineStr">
        <is>
          <t>2024Q3</t>
        </is>
      </c>
      <c r="D415" s="6" t="inlineStr">
        <is>
          <t>20241113</t>
        </is>
      </c>
      <c r="E415" s="16" t="n">
        <v>1753560</v>
      </c>
      <c r="F415" s="16" t="n">
        <v>1387848</v>
      </c>
      <c r="G415" s="16" t="n">
        <v>365712</v>
      </c>
      <c r="H415" s="6" t="inlineStr">
        <is>
          <t>천본,천USD</t>
        </is>
      </c>
      <c r="I415" s="17" t="n">
        <v>-20</v>
      </c>
      <c r="J415" s="18" t="n">
        <v>337409</v>
      </c>
      <c r="K415" s="19" t="n">
        <v>457344</v>
      </c>
      <c r="L415" s="18" t="n">
        <v>365712</v>
      </c>
      <c r="M415" s="19" t="inlineStr"/>
      <c r="N415" s="18" t="inlineStr"/>
      <c r="O415" s="19" t="inlineStr"/>
      <c r="P415" s="18" t="inlineStr"/>
      <c r="Q415" s="19" t="inlineStr"/>
      <c r="R415" s="18" t="inlineStr"/>
      <c r="S415" s="20" t="inlineStr"/>
      <c r="T415" s="6" t="n">
        <v>1</v>
      </c>
      <c r="U415" s="5" t="inlineStr">
        <is>
          <t xml:space="preserve">타이어 / 2024.01.01 ~ 2024.09.30 </t>
        </is>
      </c>
      <c r="V415" s="21">
        <f>HYPERLINK("https://dart.fss.or.kr/dsaf001/main.do?rcpNo=20241113000742", "공시열람")</f>
        <v/>
      </c>
    </row>
    <row r="416">
      <c r="A416" s="5" t="inlineStr">
        <is>
          <t>테라사이언스</t>
        </is>
      </c>
      <c r="B416" s="6" t="inlineStr">
        <is>
          <t>073640</t>
        </is>
      </c>
      <c r="C416" s="6" t="inlineStr">
        <is>
          <t>2026Q2</t>
        </is>
      </c>
      <c r="D416" s="6" t="inlineStr">
        <is>
          <t>20260814</t>
        </is>
      </c>
      <c r="E416" s="16" t="n">
        <v>8761770</v>
      </c>
      <c r="F416" s="16" t="n">
        <v>7671691</v>
      </c>
      <c r="G416" s="16" t="n">
        <v>1090079</v>
      </c>
      <c r="H416" s="6" t="inlineStr">
        <is>
          <t>천개,천원</t>
        </is>
      </c>
      <c r="I416" s="17" t="n">
        <v>1622.9</v>
      </c>
      <c r="J416" s="18" t="n">
        <v>779453</v>
      </c>
      <c r="K416" s="19" t="n">
        <v>505877</v>
      </c>
      <c r="L416" s="18" t="n">
        <v>161961</v>
      </c>
      <c r="M416" s="19" t="n">
        <v>53650</v>
      </c>
      <c r="N416" s="18" t="n">
        <v>555170</v>
      </c>
      <c r="O416" s="19" t="n">
        <v>423043</v>
      </c>
      <c r="P416" s="18" t="n">
        <v>499473</v>
      </c>
      <c r="Q416" s="19" t="n">
        <v>1760744</v>
      </c>
      <c r="R416" s="18" t="n">
        <v>63271</v>
      </c>
      <c r="S416" s="20" t="n">
        <v>1090079</v>
      </c>
      <c r="T416" s="6" t="n">
        <v>1</v>
      </c>
      <c r="U416" s="5" t="inlineStr">
        <is>
          <t>Fitting/유압 / 2026.01.01~ 2026.</t>
        </is>
      </c>
      <c r="V416" s="21">
        <f>HYPERLINK("https://dart.fss.or.kr/dsaf001/main.do?rcpNo=20260814002361", "공시열람")</f>
        <v/>
      </c>
    </row>
    <row r="417">
      <c r="A417" s="5" t="inlineStr">
        <is>
          <t>이엔플러스</t>
        </is>
      </c>
      <c r="B417" s="6" t="inlineStr">
        <is>
          <t>074610</t>
        </is>
      </c>
      <c r="C417" s="6" t="inlineStr">
        <is>
          <t>2025Q4</t>
        </is>
      </c>
      <c r="D417" s="6" t="inlineStr">
        <is>
          <t>20260331</t>
        </is>
      </c>
      <c r="E417" s="16" t="n">
        <v>7914813900</v>
      </c>
      <c r="F417" s="16" t="inlineStr"/>
      <c r="G417" s="16" t="n">
        <v>7914813900</v>
      </c>
      <c r="H417" s="6" t="inlineStr">
        <is>
          <t>대,원</t>
        </is>
      </c>
      <c r="I417" s="17" t="n">
        <v>0</v>
      </c>
      <c r="J417" s="18" t="n">
        <v>22163856000</v>
      </c>
      <c r="K417" s="19" t="n">
        <v>22163856000</v>
      </c>
      <c r="L417" s="18" t="n">
        <v>29034105000</v>
      </c>
      <c r="M417" s="19" t="n">
        <v>43024538100</v>
      </c>
      <c r="N417" s="18" t="n">
        <v>38451089100</v>
      </c>
      <c r="O417" s="19" t="n">
        <v>38451089100</v>
      </c>
      <c r="P417" s="18" t="n">
        <v>7914813900</v>
      </c>
      <c r="Q417" s="19" t="n">
        <v>7914813900</v>
      </c>
      <c r="R417" s="18" t="inlineStr"/>
      <c r="S417" s="20" t="inlineStr"/>
      <c r="T417" s="6" t="n">
        <v>1</v>
      </c>
      <c r="U417" s="5" t="inlineStr">
        <is>
          <t>소방펌프차 / 2024-11-13 / 2026-03-3</t>
        </is>
      </c>
      <c r="V417" s="21">
        <f>HYPERLINK("https://dart.fss.or.kr/dsaf001/main.do?rcpNo=20260331000004", "공시열람")</f>
        <v/>
      </c>
    </row>
    <row r="418">
      <c r="A418" s="5" t="inlineStr">
        <is>
          <t>세진중공업</t>
        </is>
      </c>
      <c r="B418" s="6" t="inlineStr">
        <is>
          <t>075580</t>
        </is>
      </c>
      <c r="C418" s="6" t="inlineStr">
        <is>
          <t>2026Q2</t>
        </is>
      </c>
      <c r="D418" s="6" t="inlineStr">
        <is>
          <t>20260813</t>
        </is>
      </c>
      <c r="E418" s="16" t="n">
        <v>384443</v>
      </c>
      <c r="F418" s="16" t="n">
        <v>190065</v>
      </c>
      <c r="G418" s="16" t="n">
        <v>194378</v>
      </c>
      <c r="H418" s="6" t="inlineStr">
        <is>
          <t>백만원</t>
        </is>
      </c>
      <c r="I418" s="17" t="n">
        <v>-31.6</v>
      </c>
      <c r="J418" s="18" t="n">
        <v>298206</v>
      </c>
      <c r="K418" s="19" t="n">
        <v>225510</v>
      </c>
      <c r="L418" s="18" t="n">
        <v>163564</v>
      </c>
      <c r="M418" s="19" t="n">
        <v>360527</v>
      </c>
      <c r="N418" s="18" t="n">
        <v>265316</v>
      </c>
      <c r="O418" s="19" t="n">
        <v>183071</v>
      </c>
      <c r="P418" s="18" t="n">
        <v>109101</v>
      </c>
      <c r="Q418" s="19" t="n">
        <v>369336</v>
      </c>
      <c r="R418" s="18" t="n">
        <v>284158</v>
      </c>
      <c r="S418" s="20" t="n">
        <v>194378</v>
      </c>
      <c r="T418" s="6" t="n">
        <v>1</v>
      </c>
      <c r="U418" s="5" t="inlineStr">
        <is>
          <t>조선 / 26.06.30 까지 / -</t>
        </is>
      </c>
      <c r="V418" s="21">
        <f>HYPERLINK("https://dart.fss.or.kr/dsaf001/main.do?rcpNo=20260813001500", "공시열람")</f>
        <v/>
      </c>
    </row>
    <row r="419">
      <c r="A419" s="5" t="inlineStr">
        <is>
          <t>웰크론한텍</t>
        </is>
      </c>
      <c r="B419" s="6" t="inlineStr">
        <is>
          <t>076080</t>
        </is>
      </c>
      <c r="C419" s="6" t="inlineStr">
        <is>
          <t>2026Q2</t>
        </is>
      </c>
      <c r="D419" s="6" t="inlineStr">
        <is>
          <t>20260814</t>
        </is>
      </c>
      <c r="E419" s="16" t="inlineStr"/>
      <c r="F419" s="16" t="inlineStr"/>
      <c r="G419" s="16" t="n">
        <v>175891740</v>
      </c>
      <c r="H419" s="6" t="inlineStr">
        <is>
          <t>천원</t>
        </is>
      </c>
      <c r="I419" s="17" t="n">
        <v>97747.60000000001</v>
      </c>
      <c r="J419" s="18" t="n">
        <v>218242</v>
      </c>
      <c r="K419" s="19" t="n">
        <v>187216</v>
      </c>
      <c r="L419" s="18" t="n">
        <v>176831</v>
      </c>
      <c r="M419" s="19" t="n">
        <v>184520</v>
      </c>
      <c r="N419" s="18" t="n">
        <v>156742</v>
      </c>
      <c r="O419" s="19" t="n">
        <v>173192</v>
      </c>
      <c r="P419" s="18" t="n">
        <v>211574</v>
      </c>
      <c r="Q419" s="19" t="n">
        <v>198257</v>
      </c>
      <c r="R419" s="18" t="n">
        <v>179761</v>
      </c>
      <c r="S419" s="20" t="n">
        <v>175891740</v>
      </c>
      <c r="T419" s="6" t="n">
        <v>1</v>
      </c>
      <c r="U419" s="5" t="inlineStr">
        <is>
          <t>(3,824,823)</t>
        </is>
      </c>
      <c r="V419" s="21">
        <f>HYPERLINK("https://dart.fss.or.kr/dsaf001/main.do?rcpNo=20260814000612", "공시열람")</f>
        <v/>
      </c>
    </row>
    <row r="420">
      <c r="A420" s="5" t="inlineStr">
        <is>
          <t>지에이이노더스</t>
        </is>
      </c>
      <c r="B420" s="6" t="inlineStr">
        <is>
          <t>076340</t>
        </is>
      </c>
      <c r="C420" s="6" t="inlineStr">
        <is>
          <t>2025Q4</t>
        </is>
      </c>
      <c r="D420" s="6" t="inlineStr">
        <is>
          <t>20260319</t>
        </is>
      </c>
      <c r="E420" s="16" t="inlineStr"/>
      <c r="F420" s="16" t="inlineStr"/>
      <c r="G420" s="16" t="n">
        <v>714539208</v>
      </c>
      <c r="H420" s="6" t="inlineStr">
        <is>
          <t>천원</t>
        </is>
      </c>
      <c r="I420" s="17" t="n">
        <v>61</v>
      </c>
      <c r="J420" s="18" t="inlineStr"/>
      <c r="K420" s="19" t="inlineStr"/>
      <c r="L420" s="18" t="inlineStr"/>
      <c r="M420" s="19" t="n">
        <v>443814815</v>
      </c>
      <c r="N420" s="18" t="inlineStr"/>
      <c r="O420" s="19" t="inlineStr"/>
      <c r="P420" s="18" t="inlineStr"/>
      <c r="Q420" s="19" t="n">
        <v>714539208</v>
      </c>
      <c r="R420" s="18" t="inlineStr"/>
      <c r="S420" s="20" t="inlineStr"/>
      <c r="T420" s="6" t="n">
        <v>45</v>
      </c>
      <c r="U420" s="5" t="inlineStr">
        <is>
          <t xml:space="preserve">부산지방국토관리청 / 디엘이앤씨 / 남해여수 터널공사  | 부산항만공사 / 현대건설 / 부산진해신항 1-1공구 수 | 한국수력원자력 / 디엘이앤씨 / 영동양수발전소 하부댐 </t>
        </is>
      </c>
      <c r="V420" s="21">
        <f>HYPERLINK("https://dart.fss.or.kr/dsaf001/main.do?rcpNo=20260319000105", "공시열람")</f>
        <v/>
      </c>
    </row>
    <row r="421">
      <c r="A421" s="5" t="inlineStr">
        <is>
          <t>덕산하이메탈</t>
        </is>
      </c>
      <c r="B421" s="6" t="inlineStr">
        <is>
          <t>077360</t>
        </is>
      </c>
      <c r="C421" s="6" t="inlineStr">
        <is>
          <t>2026Q2</t>
        </is>
      </c>
      <c r="D421" s="6" t="inlineStr">
        <is>
          <t>20260813</t>
        </is>
      </c>
      <c r="E421" s="16" t="n">
        <v>794</v>
      </c>
      <c r="F421" s="16" t="n">
        <v>237</v>
      </c>
      <c r="G421" s="16" t="n">
        <v>557</v>
      </c>
      <c r="H421" s="6" t="inlineStr">
        <is>
          <t>억원</t>
        </is>
      </c>
      <c r="I421" s="17" t="n">
        <v>-2.1</v>
      </c>
      <c r="J421" s="18" t="n">
        <v>746</v>
      </c>
      <c r="K421" s="19" t="n">
        <v>682</v>
      </c>
      <c r="L421" s="18" t="n">
        <v>661</v>
      </c>
      <c r="M421" s="19" t="n">
        <v>664</v>
      </c>
      <c r="N421" s="18" t="n">
        <v>627</v>
      </c>
      <c r="O421" s="19" t="n">
        <v>662</v>
      </c>
      <c r="P421" s="18" t="n">
        <v>654</v>
      </c>
      <c r="Q421" s="19" t="n">
        <v>649</v>
      </c>
      <c r="R421" s="18" t="n">
        <v>569</v>
      </c>
      <c r="S421" s="20" t="n">
        <v>557</v>
      </c>
      <c r="T421" s="6" t="n">
        <v>1</v>
      </c>
      <c r="U421" s="5" t="inlineStr">
        <is>
          <t>-</t>
        </is>
      </c>
      <c r="V421" s="21">
        <f>HYPERLINK("https://dart.fss.or.kr/dsaf001/main.do?rcpNo=20260813001579", "공시열람")</f>
        <v/>
      </c>
    </row>
    <row r="422">
      <c r="A422" s="5" t="inlineStr">
        <is>
          <t>유니퀘스트</t>
        </is>
      </c>
      <c r="B422" s="6" t="inlineStr">
        <is>
          <t>077500</t>
        </is>
      </c>
      <c r="C422" s="6" t="inlineStr">
        <is>
          <t>2026Q2</t>
        </is>
      </c>
      <c r="D422" s="6" t="inlineStr">
        <is>
          <t>20260814</t>
        </is>
      </c>
      <c r="E422" s="16" t="n">
        <v>128768</v>
      </c>
      <c r="F422" s="16" t="inlineStr"/>
      <c r="G422" s="16" t="n">
        <v>128768</v>
      </c>
      <c r="H422" s="6" t="inlineStr">
        <is>
          <t>백만원</t>
        </is>
      </c>
      <c r="I422" s="17" t="n">
        <v>0</v>
      </c>
      <c r="J422" s="18" t="inlineStr"/>
      <c r="K422" s="19" t="inlineStr"/>
      <c r="L422" s="18" t="inlineStr"/>
      <c r="M422" s="19" t="inlineStr"/>
      <c r="N422" s="18" t="inlineStr"/>
      <c r="O422" s="19" t="inlineStr"/>
      <c r="P422" s="18" t="inlineStr"/>
      <c r="Q422" s="19" t="inlineStr"/>
      <c r="R422" s="18" t="n">
        <v>128768</v>
      </c>
      <c r="S422" s="20" t="n">
        <v>128768</v>
      </c>
      <c r="T422" s="6" t="n">
        <v>1</v>
      </c>
      <c r="U422" s="5" t="inlineStr">
        <is>
          <t>HPC 서버 / 26.04.30. / 26.07.15.</t>
        </is>
      </c>
      <c r="V422" s="21">
        <f>HYPERLINK("https://dart.fss.or.kr/dsaf001/main.do?rcpNo=20260814001621", "공시열람")</f>
        <v/>
      </c>
    </row>
    <row r="423">
      <c r="A423" s="5" t="inlineStr">
        <is>
          <t>STX엔진</t>
        </is>
      </c>
      <c r="B423" s="6" t="inlineStr">
        <is>
          <t>077970</t>
        </is>
      </c>
      <c r="C423" s="6" t="inlineStr">
        <is>
          <t>2026Q2</t>
        </is>
      </c>
      <c r="D423" s="6" t="inlineStr">
        <is>
          <t>20260814</t>
        </is>
      </c>
      <c r="E423" s="16" t="n">
        <v>6001</v>
      </c>
      <c r="F423" s="16" t="n">
        <v>3956</v>
      </c>
      <c r="G423" s="16" t="n">
        <v>19269</v>
      </c>
      <c r="H423" s="6" t="inlineStr">
        <is>
          <t>억원</t>
        </is>
      </c>
      <c r="I423" s="17" t="n">
        <v>-4.1</v>
      </c>
      <c r="J423" s="18" t="n">
        <v>12535</v>
      </c>
      <c r="K423" s="19" t="n">
        <v>12031</v>
      </c>
      <c r="L423" s="18" t="n">
        <v>11227</v>
      </c>
      <c r="M423" s="19" t="n">
        <v>12451</v>
      </c>
      <c r="N423" s="18" t="n">
        <v>14105</v>
      </c>
      <c r="O423" s="19" t="n">
        <v>15125</v>
      </c>
      <c r="P423" s="18" t="n">
        <v>14828</v>
      </c>
      <c r="Q423" s="19" t="n">
        <v>16711</v>
      </c>
      <c r="R423" s="18" t="n">
        <v>20102</v>
      </c>
      <c r="S423" s="20" t="n">
        <v>19269</v>
      </c>
      <c r="T423" s="6" t="n">
        <v>3</v>
      </c>
      <c r="U423" s="5" t="inlineStr">
        <is>
          <t>특수사업 / - | 민수사업 / - | 전자통신 / -</t>
        </is>
      </c>
      <c r="V423" s="21">
        <f>HYPERLINK("https://dart.fss.or.kr/dsaf001/main.do?rcpNo=20260814001988", "공시열람")</f>
        <v/>
      </c>
    </row>
    <row r="424">
      <c r="A424" s="5" t="inlineStr">
        <is>
          <t>텔코웨어</t>
        </is>
      </c>
      <c r="B424" s="6" t="inlineStr">
        <is>
          <t>078000</t>
        </is>
      </c>
      <c r="C424" s="6" t="inlineStr">
        <is>
          <t>2026Q2</t>
        </is>
      </c>
      <c r="D424" s="6" t="inlineStr">
        <is>
          <t>20260814</t>
        </is>
      </c>
      <c r="E424" s="16" t="n">
        <v>57226021</v>
      </c>
      <c r="F424" s="16" t="n">
        <v>17126767</v>
      </c>
      <c r="G424" s="16" t="n">
        <v>40099254</v>
      </c>
      <c r="H424" s="6" t="inlineStr">
        <is>
          <t>천원</t>
        </is>
      </c>
      <c r="I424" s="17" t="n">
        <v>11.3</v>
      </c>
      <c r="J424" s="18" t="n">
        <v>21479929</v>
      </c>
      <c r="K424" s="19" t="n">
        <v>20208913</v>
      </c>
      <c r="L424" s="18" t="n">
        <v>22939197</v>
      </c>
      <c r="M424" s="19" t="n">
        <v>6324182</v>
      </c>
      <c r="N424" s="18" t="n">
        <v>16268003</v>
      </c>
      <c r="O424" s="19" t="n">
        <v>28700230</v>
      </c>
      <c r="P424" s="18" t="n">
        <v>31388658</v>
      </c>
      <c r="Q424" s="19" t="n">
        <v>22852676</v>
      </c>
      <c r="R424" s="18" t="n">
        <v>36012730</v>
      </c>
      <c r="S424" s="20" t="n">
        <v>40099254</v>
      </c>
      <c r="T424" s="6" t="n">
        <v>3</v>
      </c>
      <c r="U424" s="5" t="inlineStr">
        <is>
          <t>무선데이터 솔루션 / - | 음성핵심망 솔루션 / - | 기타 / -</t>
        </is>
      </c>
      <c r="V424" s="21">
        <f>HYPERLINK("https://dart.fss.or.kr/dsaf001/main.do?rcpNo=20260814001922", "공시열람")</f>
        <v/>
      </c>
    </row>
    <row r="425">
      <c r="A425" s="5" t="inlineStr">
        <is>
          <t>유비쿼스홀딩스</t>
        </is>
      </c>
      <c r="B425" s="6" t="inlineStr">
        <is>
          <t>078070</t>
        </is>
      </c>
      <c r="C425" s="6" t="inlineStr">
        <is>
          <t>2026Q2</t>
        </is>
      </c>
      <c r="D425" s="6" t="inlineStr">
        <is>
          <t>20260814</t>
        </is>
      </c>
      <c r="E425" s="16" t="n">
        <v>179424</v>
      </c>
      <c r="F425" s="16" t="n">
        <v>91937</v>
      </c>
      <c r="G425" s="16" t="n">
        <v>87487</v>
      </c>
      <c r="H425" s="6" t="inlineStr">
        <is>
          <t>백만원</t>
        </is>
      </c>
      <c r="I425" s="17" t="n">
        <v>-15.1</v>
      </c>
      <c r="J425" s="18" t="n">
        <v>171554</v>
      </c>
      <c r="K425" s="19" t="n">
        <v>167430</v>
      </c>
      <c r="L425" s="18" t="n">
        <v>161375</v>
      </c>
      <c r="M425" s="19" t="n">
        <v>147635</v>
      </c>
      <c r="N425" s="18" t="n">
        <v>141886</v>
      </c>
      <c r="O425" s="19" t="n">
        <v>136578</v>
      </c>
      <c r="P425" s="18" t="n">
        <v>124743</v>
      </c>
      <c r="Q425" s="19" t="n">
        <v>112050</v>
      </c>
      <c r="R425" s="18" t="n">
        <v>103021</v>
      </c>
      <c r="S425" s="20" t="n">
        <v>87487</v>
      </c>
      <c r="T425" s="6" t="n">
        <v>1</v>
      </c>
      <c r="U425" s="5" t="inlineStr">
        <is>
          <t>LGU+ 가입자망용 EPON/스위치 단가계약</t>
        </is>
      </c>
      <c r="V425" s="21">
        <f>HYPERLINK("https://dart.fss.or.kr/dsaf001/main.do?rcpNo=20260814001086", "공시열람")</f>
        <v/>
      </c>
    </row>
    <row r="426">
      <c r="A426" s="5" t="inlineStr">
        <is>
          <t>HB테크놀러지</t>
        </is>
      </c>
      <c r="B426" s="6" t="inlineStr">
        <is>
          <t>078150</t>
        </is>
      </c>
      <c r="C426" s="6" t="inlineStr">
        <is>
          <t>2026Q2</t>
        </is>
      </c>
      <c r="D426" s="6" t="inlineStr">
        <is>
          <t>20260814</t>
        </is>
      </c>
      <c r="E426" s="16" t="n">
        <v>83289</v>
      </c>
      <c r="F426" s="16" t="n">
        <v>37891</v>
      </c>
      <c r="G426" s="16" t="n">
        <v>45398</v>
      </c>
      <c r="H426" s="6" t="inlineStr">
        <is>
          <t>백만원</t>
        </is>
      </c>
      <c r="I426" s="17" t="n">
        <v>13.8</v>
      </c>
      <c r="J426" s="18" t="n">
        <v>92602215</v>
      </c>
      <c r="K426" s="19" t="n">
        <v>76458331</v>
      </c>
      <c r="L426" s="18" t="n">
        <v>65819050</v>
      </c>
      <c r="M426" s="19" t="n">
        <v>88651626</v>
      </c>
      <c r="N426" s="18" t="n">
        <v>69785</v>
      </c>
      <c r="O426" s="19" t="n">
        <v>50593</v>
      </c>
      <c r="P426" s="18" t="n">
        <v>64984</v>
      </c>
      <c r="Q426" s="19" t="n">
        <v>41179</v>
      </c>
      <c r="R426" s="18" t="n">
        <v>39876</v>
      </c>
      <c r="S426" s="20" t="n">
        <v>45398</v>
      </c>
      <c r="T426" s="6" t="n">
        <v>2</v>
      </c>
      <c r="U426" s="5" t="inlineStr">
        <is>
          <t>디스플레이 등 검사장비 / - | 2차전지 검사장비 등 / -</t>
        </is>
      </c>
      <c r="V426" s="21">
        <f>HYPERLINK("https://dart.fss.or.kr/dsaf001/main.do?rcpNo=20260814001870", "공시열람")</f>
        <v/>
      </c>
    </row>
    <row r="427">
      <c r="A427" s="5" t="inlineStr">
        <is>
          <t>휴림에이텍</t>
        </is>
      </c>
      <c r="B427" s="6" t="inlineStr">
        <is>
          <t>078590</t>
        </is>
      </c>
      <c r="C427" s="6" t="inlineStr">
        <is>
          <t>2026Q2</t>
        </is>
      </c>
      <c r="D427" s="6" t="inlineStr">
        <is>
          <t>20260814</t>
        </is>
      </c>
      <c r="E427" s="16" t="n">
        <v>668724</v>
      </c>
      <c r="F427" s="16" t="n">
        <v>383469</v>
      </c>
      <c r="G427" s="16" t="n">
        <v>295327</v>
      </c>
      <c r="H427" s="6" t="inlineStr">
        <is>
          <t>수량-대,금액-백만원</t>
        </is>
      </c>
      <c r="I427" s="17" t="n">
        <v>-1.9</v>
      </c>
      <c r="J427" s="18" t="n">
        <v>160884</v>
      </c>
      <c r="K427" s="19" t="n">
        <v>146304</v>
      </c>
      <c r="L427" s="18" t="n">
        <v>126602</v>
      </c>
      <c r="M427" s="19" t="n">
        <v>111795</v>
      </c>
      <c r="N427" s="18" t="n">
        <v>350589</v>
      </c>
      <c r="O427" s="19" t="n">
        <v>336070</v>
      </c>
      <c r="P427" s="18" t="n">
        <v>323393</v>
      </c>
      <c r="Q427" s="19" t="n">
        <v>310852</v>
      </c>
      <c r="R427" s="18" t="n">
        <v>301152</v>
      </c>
      <c r="S427" s="20" t="n">
        <v>295327</v>
      </c>
      <c r="T427" s="6" t="n">
        <v>4</v>
      </c>
      <c r="U427" s="5" t="inlineStr">
        <is>
          <t>카페트 | 언더커버 | 트렁크</t>
        </is>
      </c>
      <c r="V427" s="21">
        <f>HYPERLINK("https://dart.fss.or.kr/dsaf001/main.do?rcpNo=20260814003841", "공시열람")</f>
        <v/>
      </c>
    </row>
    <row r="428">
      <c r="A428" s="5" t="inlineStr">
        <is>
          <t>GS</t>
        </is>
      </c>
      <c r="B428" s="6" t="inlineStr">
        <is>
          <t>078930</t>
        </is>
      </c>
      <c r="C428" s="6" t="inlineStr">
        <is>
          <t>2026Q2</t>
        </is>
      </c>
      <c r="D428" s="6" t="inlineStr">
        <is>
          <t>20260814</t>
        </is>
      </c>
      <c r="E428" s="16" t="n">
        <v>1591355</v>
      </c>
      <c r="F428" s="16" t="n">
        <v>1586384</v>
      </c>
      <c r="G428" s="16" t="n">
        <v>4972</v>
      </c>
      <c r="H428" s="6" t="inlineStr">
        <is>
          <t>천배럴,백만원</t>
        </is>
      </c>
      <c r="I428" s="17" t="n">
        <v>-36.1</v>
      </c>
      <c r="J428" s="18" t="n">
        <v>266020</v>
      </c>
      <c r="K428" s="19" t="n">
        <v>205116</v>
      </c>
      <c r="L428" s="18" t="n">
        <v>142771</v>
      </c>
      <c r="M428" s="19" t="n">
        <v>81643</v>
      </c>
      <c r="N428" s="18" t="n">
        <v>46641</v>
      </c>
      <c r="O428" s="19" t="n">
        <v>22342</v>
      </c>
      <c r="P428" s="18" t="n">
        <v>14578</v>
      </c>
      <c r="Q428" s="19" t="n">
        <v>11091</v>
      </c>
      <c r="R428" s="18" t="n">
        <v>7779</v>
      </c>
      <c r="S428" s="20" t="n">
        <v>4972</v>
      </c>
      <c r="T428" s="6" t="n">
        <v>2</v>
      </c>
      <c r="U428" s="5" t="inlineStr">
        <is>
          <t>정유제품(해상유) / 매분기 | 정유제품(항공유) / 수시 / 주문시</t>
        </is>
      </c>
      <c r="V428" s="21">
        <f>HYPERLINK("https://dart.fss.or.kr/dsaf001/main.do?rcpNo=20260814003779", "공시열람")</f>
        <v/>
      </c>
    </row>
    <row r="429">
      <c r="A429" s="5" t="inlineStr">
        <is>
          <t>CJ CGV</t>
        </is>
      </c>
      <c r="B429" s="6" t="inlineStr">
        <is>
          <t>079160</t>
        </is>
      </c>
      <c r="C429" s="6" t="inlineStr">
        <is>
          <t>2026Q2</t>
        </is>
      </c>
      <c r="D429" s="6" t="inlineStr">
        <is>
          <t>20260814</t>
        </is>
      </c>
      <c r="E429" s="16" t="n">
        <v>463318</v>
      </c>
      <c r="F429" s="16" t="n">
        <v>152856</v>
      </c>
      <c r="G429" s="16" t="n">
        <v>310462</v>
      </c>
      <c r="H429" s="6" t="inlineStr">
        <is>
          <t>백만원</t>
        </is>
      </c>
      <c r="I429" s="17" t="n">
        <v>30</v>
      </c>
      <c r="J429" s="18" t="n">
        <v>180000000</v>
      </c>
      <c r="K429" s="19" t="n">
        <v>180000000</v>
      </c>
      <c r="L429" s="18" t="inlineStr"/>
      <c r="M429" s="19" t="n">
        <v>238347</v>
      </c>
      <c r="N429" s="18" t="n">
        <v>254827</v>
      </c>
      <c r="O429" s="19" t="n">
        <v>270808</v>
      </c>
      <c r="P429" s="18" t="n">
        <v>267100</v>
      </c>
      <c r="Q429" s="19" t="n">
        <v>253404</v>
      </c>
      <c r="R429" s="18" t="n">
        <v>238739</v>
      </c>
      <c r="S429" s="20" t="n">
        <v>310462</v>
      </c>
      <c r="T429" s="6" t="n">
        <v>1</v>
      </c>
      <c r="U429" s="5" t="inlineStr">
        <is>
          <t>시스템구축 등 / -</t>
        </is>
      </c>
      <c r="V429" s="21">
        <f>HYPERLINK("https://dart.fss.or.kr/dsaf001/main.do?rcpNo=20260814003075", "공시열람")</f>
        <v/>
      </c>
    </row>
    <row r="430">
      <c r="A430" s="5" t="inlineStr">
        <is>
          <t>제우스</t>
        </is>
      </c>
      <c r="B430" s="6" t="inlineStr">
        <is>
          <t>079370</t>
        </is>
      </c>
      <c r="C430" s="6" t="inlineStr">
        <is>
          <t>2026Q2</t>
        </is>
      </c>
      <c r="D430" s="6" t="inlineStr">
        <is>
          <t>20260814</t>
        </is>
      </c>
      <c r="E430" s="16" t="n">
        <v>513616</v>
      </c>
      <c r="F430" s="16" t="n">
        <v>137282</v>
      </c>
      <c r="G430" s="16" t="n">
        <v>376334</v>
      </c>
      <c r="H430" s="6" t="inlineStr">
        <is>
          <t>백만원</t>
        </is>
      </c>
      <c r="I430" s="17" t="n">
        <v>9.6</v>
      </c>
      <c r="J430" s="18" t="n">
        <v>438330</v>
      </c>
      <c r="K430" s="19" t="n">
        <v>407204</v>
      </c>
      <c r="L430" s="18" t="n">
        <v>374556</v>
      </c>
      <c r="M430" s="19" t="n">
        <v>311598</v>
      </c>
      <c r="N430" s="18" t="n">
        <v>298660</v>
      </c>
      <c r="O430" s="19" t="n">
        <v>247066</v>
      </c>
      <c r="P430" s="18" t="n">
        <v>217072</v>
      </c>
      <c r="Q430" s="19" t="n">
        <v>235780</v>
      </c>
      <c r="R430" s="18" t="n">
        <v>343476</v>
      </c>
      <c r="S430" s="20" t="n">
        <v>376334</v>
      </c>
      <c r="T430" s="6" t="n">
        <v>3</v>
      </c>
      <c r="U430" s="5" t="inlineStr">
        <is>
          <t>특수목적용 제조장비(장비 부문) / 2026.01.01 | 기타(상품 등) / 2026.01.01~2027.12. | 플러그밸브(플러그밸브 부문) / 2026.01.01~2</t>
        </is>
      </c>
      <c r="V430" s="21">
        <f>HYPERLINK("https://dart.fss.or.kr/dsaf001/main.do?rcpNo=20260814003337", "공시열람")</f>
        <v/>
      </c>
    </row>
    <row r="431">
      <c r="A431" s="5" t="inlineStr">
        <is>
          <t>APS이노베이션</t>
        </is>
      </c>
      <c r="B431" s="6" t="inlineStr">
        <is>
          <t>079810</t>
        </is>
      </c>
      <c r="C431" s="6" t="inlineStr">
        <is>
          <t>2026Q2</t>
        </is>
      </c>
      <c r="D431" s="6" t="inlineStr">
        <is>
          <t>20260813</t>
        </is>
      </c>
      <c r="E431" s="16" t="n">
        <v>174455</v>
      </c>
      <c r="F431" s="16" t="n">
        <v>137580</v>
      </c>
      <c r="G431" s="16" t="n">
        <v>36875</v>
      </c>
      <c r="H431" s="6" t="inlineStr">
        <is>
          <t>백만원</t>
        </is>
      </c>
      <c r="I431" s="17" t="n">
        <v>-1.4</v>
      </c>
      <c r="J431" s="18" t="n">
        <v>80247</v>
      </c>
      <c r="K431" s="19" t="n">
        <v>155667</v>
      </c>
      <c r="L431" s="18" t="n">
        <v>134447</v>
      </c>
      <c r="M431" s="19" t="n">
        <v>106279</v>
      </c>
      <c r="N431" s="18" t="n">
        <v>99764</v>
      </c>
      <c r="O431" s="19" t="n">
        <v>83379</v>
      </c>
      <c r="P431" s="18" t="n">
        <v>85385</v>
      </c>
      <c r="Q431" s="19" t="n">
        <v>59060</v>
      </c>
      <c r="R431" s="18" t="n">
        <v>37392</v>
      </c>
      <c r="S431" s="20" t="n">
        <v>36875</v>
      </c>
      <c r="T431" s="6" t="n">
        <v>2</v>
      </c>
      <c r="U431" s="5" t="inlineStr">
        <is>
          <t>이차전지장비 / - | 검사장비 / -</t>
        </is>
      </c>
      <c r="V431" s="21">
        <f>HYPERLINK("https://dart.fss.or.kr/dsaf001/main.do?rcpNo=20260813000768", "공시열람")</f>
        <v/>
      </c>
    </row>
    <row r="432">
      <c r="A432" s="5" t="inlineStr">
        <is>
          <t>인베니아</t>
        </is>
      </c>
      <c r="B432" s="6" t="inlineStr">
        <is>
          <t>079950</t>
        </is>
      </c>
      <c r="C432" s="6" t="inlineStr">
        <is>
          <t>2026Q2</t>
        </is>
      </c>
      <c r="D432" s="6" t="inlineStr">
        <is>
          <t>20260814</t>
        </is>
      </c>
      <c r="E432" s="16" t="n">
        <v>93569</v>
      </c>
      <c r="F432" s="16" t="n">
        <v>62438</v>
      </c>
      <c r="G432" s="16" t="n">
        <v>31131</v>
      </c>
      <c r="H432" s="6" t="inlineStr">
        <is>
          <t>백만원</t>
        </is>
      </c>
      <c r="I432" s="17" t="n">
        <v>33.1</v>
      </c>
      <c r="J432" s="18" t="n">
        <v>69289</v>
      </c>
      <c r="K432" s="19" t="n">
        <v>64893</v>
      </c>
      <c r="L432" s="18" t="n">
        <v>59419</v>
      </c>
      <c r="M432" s="19" t="n">
        <v>55578</v>
      </c>
      <c r="N432" s="18" t="n">
        <v>54384</v>
      </c>
      <c r="O432" s="19" t="n">
        <v>53093</v>
      </c>
      <c r="P432" s="18" t="n">
        <v>45758</v>
      </c>
      <c r="Q432" s="19" t="n">
        <v>36438</v>
      </c>
      <c r="R432" s="18" t="n">
        <v>23392</v>
      </c>
      <c r="S432" s="20" t="n">
        <v>31131</v>
      </c>
      <c r="T432" s="6" t="n">
        <v>1</v>
      </c>
      <c r="U432" s="5" t="inlineStr">
        <is>
          <t>디스플레이제조장비 / -</t>
        </is>
      </c>
      <c r="V432" s="21">
        <f>HYPERLINK("https://dart.fss.or.kr/dsaf001/main.do?rcpNo=20260814002964", "공시열람")</f>
        <v/>
      </c>
    </row>
    <row r="433">
      <c r="A433" s="5" t="inlineStr">
        <is>
          <t>제주반도체</t>
        </is>
      </c>
      <c r="B433" s="6" t="inlineStr">
        <is>
          <t>080220</t>
        </is>
      </c>
      <c r="C433" s="6" t="inlineStr">
        <is>
          <t>2026Q2</t>
        </is>
      </c>
      <c r="D433" s="6" t="inlineStr">
        <is>
          <t>20260813</t>
        </is>
      </c>
      <c r="E433" s="16" t="n">
        <v>762507</v>
      </c>
      <c r="F433" s="16" t="n">
        <v>434022</v>
      </c>
      <c r="G433" s="16" t="n">
        <v>328485</v>
      </c>
      <c r="H433" s="6" t="inlineStr">
        <is>
          <t>US$1,000</t>
        </is>
      </c>
      <c r="I433" s="17" t="n">
        <v>-10</v>
      </c>
      <c r="J433" s="18" t="n">
        <v>23363</v>
      </c>
      <c r="K433" s="19" t="n">
        <v>69384</v>
      </c>
      <c r="L433" s="18" t="n">
        <v>15880</v>
      </c>
      <c r="M433" s="19" t="n">
        <v>31325</v>
      </c>
      <c r="N433" s="18" t="n">
        <v>39200</v>
      </c>
      <c r="O433" s="19" t="n">
        <v>81964</v>
      </c>
      <c r="P433" s="18" t="n">
        <v>113111</v>
      </c>
      <c r="Q433" s="19" t="n">
        <v>248867</v>
      </c>
      <c r="R433" s="18" t="n">
        <v>364814</v>
      </c>
      <c r="S433" s="20" t="n">
        <v>328485</v>
      </c>
      <c r="T433" s="6" t="n">
        <v>10</v>
      </c>
      <c r="U433" s="5" t="inlineStr">
        <is>
          <t>NAND MCP / 건별 수시 / PO별 | DRAM(LPDRAM) / 건별 수시 / PO별 | eMMC / 건별 수시 / PO별</t>
        </is>
      </c>
      <c r="V433" s="21">
        <f>HYPERLINK("https://dart.fss.or.kr/dsaf001/main.do?rcpNo=20260813001713", "공시열람")</f>
        <v/>
      </c>
    </row>
    <row r="434">
      <c r="A434" s="5" t="inlineStr">
        <is>
          <t>쎄크</t>
        </is>
      </c>
      <c r="B434" s="6" t="inlineStr">
        <is>
          <t>081180</t>
        </is>
      </c>
      <c r="C434" s="6" t="inlineStr">
        <is>
          <t>2026Q2</t>
        </is>
      </c>
      <c r="D434" s="6" t="inlineStr">
        <is>
          <t>20260814</t>
        </is>
      </c>
      <c r="E434" s="16" t="n">
        <v>35864</v>
      </c>
      <c r="F434" s="16" t="n">
        <v>14563</v>
      </c>
      <c r="G434" s="16" t="n">
        <v>52071</v>
      </c>
      <c r="H434" s="6" t="inlineStr">
        <is>
          <t>백만원</t>
        </is>
      </c>
      <c r="I434" s="17" t="n">
        <v>22.5</v>
      </c>
      <c r="J434" s="18" t="inlineStr"/>
      <c r="K434" s="19" t="inlineStr"/>
      <c r="L434" s="18" t="inlineStr"/>
      <c r="M434" s="19" t="inlineStr"/>
      <c r="N434" s="18" t="n">
        <v>58524</v>
      </c>
      <c r="O434" s="19" t="n">
        <v>52941</v>
      </c>
      <c r="P434" s="18" t="n">
        <v>50878</v>
      </c>
      <c r="Q434" s="19" t="n">
        <v>38542</v>
      </c>
      <c r="R434" s="18" t="n">
        <v>42523</v>
      </c>
      <c r="S434" s="20" t="n">
        <v>52071</v>
      </c>
      <c r="T434" s="6" t="n">
        <v>4</v>
      </c>
      <c r="U434" s="5" t="inlineStr">
        <is>
          <t>LINAC System | 배터리용 X-ray System | 반도체용 X-ray System</t>
        </is>
      </c>
      <c r="V434" s="21">
        <f>HYPERLINK("https://dart.fss.or.kr/dsaf001/main.do?rcpNo=20260814002581", "공시열람")</f>
        <v/>
      </c>
    </row>
    <row r="435">
      <c r="A435" s="5" t="inlineStr">
        <is>
          <t>한화엔진</t>
        </is>
      </c>
      <c r="B435" s="6" t="inlineStr">
        <is>
          <t>082740</t>
        </is>
      </c>
      <c r="C435" s="6" t="inlineStr">
        <is>
          <t>2026Q2</t>
        </is>
      </c>
      <c r="D435" s="6" t="inlineStr">
        <is>
          <t>20260814</t>
        </is>
      </c>
      <c r="E435" s="16" t="inlineStr"/>
      <c r="F435" s="16" t="inlineStr"/>
      <c r="G435" s="16" t="n">
        <v>59789</v>
      </c>
      <c r="H435" s="6" t="inlineStr">
        <is>
          <t>억원</t>
        </is>
      </c>
      <c r="I435" s="17" t="n">
        <v>14</v>
      </c>
      <c r="J435" s="18" t="n">
        <v>25854</v>
      </c>
      <c r="K435" s="19" t="n">
        <v>28063</v>
      </c>
      <c r="L435" s="18" t="n">
        <v>32428</v>
      </c>
      <c r="M435" s="19" t="n">
        <v>33842</v>
      </c>
      <c r="N435" s="18" t="n">
        <v>41138</v>
      </c>
      <c r="O435" s="19" t="n">
        <v>40139</v>
      </c>
      <c r="P435" s="18" t="n">
        <v>39881</v>
      </c>
      <c r="Q435" s="19" t="n">
        <v>41427</v>
      </c>
      <c r="R435" s="18" t="n">
        <v>52430</v>
      </c>
      <c r="S435" s="20" t="n">
        <v>59789</v>
      </c>
      <c r="T435" s="6" t="n">
        <v>2</v>
      </c>
      <c r="U435" s="5" t="inlineStr">
        <is>
          <t>선박엔진 등 / - | 디젤발전사업 / -</t>
        </is>
      </c>
      <c r="V435" s="21">
        <f>HYPERLINK("https://dart.fss.or.kr/dsaf001/main.do?rcpNo=20260814002747", "공시열람")</f>
        <v/>
      </c>
    </row>
    <row r="436">
      <c r="A436" s="5" t="inlineStr">
        <is>
          <t>비츠로셀</t>
        </is>
      </c>
      <c r="B436" s="6" t="inlineStr">
        <is>
          <t>082920</t>
        </is>
      </c>
      <c r="C436" s="6" t="inlineStr">
        <is>
          <t>2026Q2</t>
        </is>
      </c>
      <c r="D436" s="6" t="inlineStr">
        <is>
          <t>20260812</t>
        </is>
      </c>
      <c r="E436" s="16" t="n">
        <v>20472</v>
      </c>
      <c r="F436" s="16" t="inlineStr"/>
      <c r="G436" s="16" t="n">
        <v>20472</v>
      </c>
      <c r="H436" s="6" t="inlineStr">
        <is>
          <t>백만원</t>
        </is>
      </c>
      <c r="I436" s="17" t="n">
        <v>-15.9</v>
      </c>
      <c r="J436" s="18" t="n">
        <v>125275</v>
      </c>
      <c r="K436" s="19" t="n">
        <v>110193</v>
      </c>
      <c r="L436" s="18" t="n">
        <v>94241</v>
      </c>
      <c r="M436" s="19" t="n">
        <v>71569</v>
      </c>
      <c r="N436" s="18" t="n">
        <v>51888</v>
      </c>
      <c r="O436" s="19" t="n">
        <v>38310</v>
      </c>
      <c r="P436" s="18" t="n">
        <v>24351</v>
      </c>
      <c r="Q436" s="19" t="inlineStr"/>
      <c r="R436" s="18" t="inlineStr"/>
      <c r="S436" s="20" t="n">
        <v>20472</v>
      </c>
      <c r="T436" s="6" t="n">
        <v>1</v>
      </c>
      <c r="U436" s="5" t="inlineStr">
        <is>
          <t>- / 2026-05-23 / 2027-10-29</t>
        </is>
      </c>
      <c r="V436" s="21">
        <f>HYPERLINK("https://dart.fss.or.kr/dsaf001/main.do?rcpNo=20260812000200", "공시열람")</f>
        <v/>
      </c>
    </row>
    <row r="437">
      <c r="A437" s="5" t="inlineStr">
        <is>
          <t>엘오티베큠</t>
        </is>
      </c>
      <c r="B437" s="6" t="inlineStr">
        <is>
          <t>083310</t>
        </is>
      </c>
      <c r="C437" s="6" t="inlineStr">
        <is>
          <t>2026Q2</t>
        </is>
      </c>
      <c r="D437" s="6" t="inlineStr">
        <is>
          <t>20260814</t>
        </is>
      </c>
      <c r="E437" s="16" t="n">
        <v>127404</v>
      </c>
      <c r="F437" s="16" t="n">
        <v>71735</v>
      </c>
      <c r="G437" s="16" t="n">
        <v>55669</v>
      </c>
      <c r="H437" s="6" t="inlineStr">
        <is>
          <t>백만원</t>
        </is>
      </c>
      <c r="I437" s="17" t="n">
        <v>46</v>
      </c>
      <c r="J437" s="18" t="n">
        <v>59845</v>
      </c>
      <c r="K437" s="19" t="n">
        <v>43586</v>
      </c>
      <c r="L437" s="18" t="n">
        <v>46151</v>
      </c>
      <c r="M437" s="19" t="n">
        <v>52175</v>
      </c>
      <c r="N437" s="18" t="n">
        <v>51820</v>
      </c>
      <c r="O437" s="19" t="n">
        <v>41882</v>
      </c>
      <c r="P437" s="18" t="n">
        <v>35941</v>
      </c>
      <c r="Q437" s="19" t="n">
        <v>97060</v>
      </c>
      <c r="R437" s="18" t="n">
        <v>38131</v>
      </c>
      <c r="S437" s="20" t="n">
        <v>55669</v>
      </c>
      <c r="T437" s="6" t="n">
        <v>2</v>
      </c>
      <c r="U437" s="5" t="inlineStr">
        <is>
          <t>진공펌프외 / 국내 / - | 진공펌프외 / 해외 / -</t>
        </is>
      </c>
      <c r="V437" s="21">
        <f>HYPERLINK("https://dart.fss.or.kr/dsaf001/main.do?rcpNo=20260814003425", "공시열람")</f>
        <v/>
      </c>
    </row>
    <row r="438">
      <c r="A438" s="5" t="inlineStr">
        <is>
          <t>GST</t>
        </is>
      </c>
      <c r="B438" s="6" t="inlineStr">
        <is>
          <t>083450</t>
        </is>
      </c>
      <c r="C438" s="6" t="inlineStr">
        <is>
          <t>2026Q2</t>
        </is>
      </c>
      <c r="D438" s="6" t="inlineStr">
        <is>
          <t>20260814</t>
        </is>
      </c>
      <c r="E438" s="16" t="n">
        <v>2708</v>
      </c>
      <c r="F438" s="16" t="n">
        <v>1740</v>
      </c>
      <c r="G438" s="16" t="n">
        <v>968</v>
      </c>
      <c r="H438" s="6" t="inlineStr">
        <is>
          <t>억원</t>
        </is>
      </c>
      <c r="I438" s="17" t="n">
        <v>-16.8</v>
      </c>
      <c r="J438" s="18" t="n">
        <v>578</v>
      </c>
      <c r="K438" s="19" t="n">
        <v>523</v>
      </c>
      <c r="L438" s="18" t="n">
        <v>633</v>
      </c>
      <c r="M438" s="19" t="n">
        <v>491</v>
      </c>
      <c r="N438" s="18" t="n">
        <v>619</v>
      </c>
      <c r="O438" s="19" t="n">
        <v>458</v>
      </c>
      <c r="P438" s="18" t="n">
        <v>750</v>
      </c>
      <c r="Q438" s="19" t="n">
        <v>712</v>
      </c>
      <c r="R438" s="18" t="n">
        <v>1163</v>
      </c>
      <c r="S438" s="20" t="n">
        <v>968</v>
      </c>
      <c r="T438" s="6" t="n">
        <v>2</v>
      </c>
      <c r="U438" s="5" t="inlineStr">
        <is>
          <t>SCRUBBER / - | CHILLER / -</t>
        </is>
      </c>
      <c r="V438" s="21">
        <f>HYPERLINK("https://dart.fss.or.kr/dsaf001/main.do?rcpNo=20260814001221", "공시열람")</f>
        <v/>
      </c>
    </row>
    <row r="439">
      <c r="A439" s="5" t="inlineStr">
        <is>
          <t>에프엔에스테크</t>
        </is>
      </c>
      <c r="B439" s="6" t="inlineStr">
        <is>
          <t>083500</t>
        </is>
      </c>
      <c r="C439" s="6" t="inlineStr">
        <is>
          <t>2026Q2</t>
        </is>
      </c>
      <c r="D439" s="6" t="inlineStr">
        <is>
          <t>20260812</t>
        </is>
      </c>
      <c r="E439" s="16" t="n">
        <v>56914346</v>
      </c>
      <c r="F439" s="16" t="n">
        <v>26989540</v>
      </c>
      <c r="G439" s="16" t="n">
        <v>29924806</v>
      </c>
      <c r="H439" s="6" t="inlineStr">
        <is>
          <t>천원</t>
        </is>
      </c>
      <c r="I439" s="17" t="n">
        <v>76.09999999999999</v>
      </c>
      <c r="J439" s="18" t="n">
        <v>79187146</v>
      </c>
      <c r="K439" s="19" t="n">
        <v>77577443</v>
      </c>
      <c r="L439" s="18" t="n">
        <v>60655237</v>
      </c>
      <c r="M439" s="19" t="n">
        <v>35597627</v>
      </c>
      <c r="N439" s="18" t="n">
        <v>30381465</v>
      </c>
      <c r="O439" s="19" t="n">
        <v>13033663</v>
      </c>
      <c r="P439" s="18" t="n">
        <v>10275562</v>
      </c>
      <c r="Q439" s="19" t="n">
        <v>9211288</v>
      </c>
      <c r="R439" s="18" t="n">
        <v>16991905</v>
      </c>
      <c r="S439" s="20" t="n">
        <v>29924806</v>
      </c>
      <c r="T439" s="6" t="n">
        <v>2</v>
      </c>
      <c r="U439" s="5" t="inlineStr">
        <is>
          <t>부품소재 / - | 장비제조 / -</t>
        </is>
      </c>
      <c r="V439" s="21">
        <f>HYPERLINK("https://dart.fss.or.kr/dsaf001/main.do?rcpNo=20260812000237", "공시열람")</f>
        <v/>
      </c>
    </row>
    <row r="440">
      <c r="A440" s="5" t="inlineStr">
        <is>
          <t>비에이치아이</t>
        </is>
      </c>
      <c r="B440" s="6" t="inlineStr">
        <is>
          <t>083650</t>
        </is>
      </c>
      <c r="C440" s="6" t="inlineStr">
        <is>
          <t>2026Q2</t>
        </is>
      </c>
      <c r="D440" s="6" t="inlineStr">
        <is>
          <t>20260814</t>
        </is>
      </c>
      <c r="E440" s="16" t="n">
        <v>3812597</v>
      </c>
      <c r="F440" s="16" t="n">
        <v>1355711</v>
      </c>
      <c r="G440" s="16" t="n">
        <v>2456886</v>
      </c>
      <c r="H440" s="6" t="inlineStr">
        <is>
          <t>건,백만원</t>
        </is>
      </c>
      <c r="I440" s="17" t="n">
        <v>2.4</v>
      </c>
      <c r="J440" s="18" t="n">
        <v>920291</v>
      </c>
      <c r="K440" s="19" t="n">
        <v>830917</v>
      </c>
      <c r="L440" s="18" t="n">
        <v>1104404</v>
      </c>
      <c r="M440" s="19" t="n">
        <v>1396167</v>
      </c>
      <c r="N440" s="18" t="n">
        <v>1862298</v>
      </c>
      <c r="O440" s="19" t="n">
        <v>2333694</v>
      </c>
      <c r="P440" s="18" t="n">
        <v>2200920</v>
      </c>
      <c r="Q440" s="19" t="n">
        <v>2387516</v>
      </c>
      <c r="R440" s="18" t="n">
        <v>2400044</v>
      </c>
      <c r="S440" s="20" t="n">
        <v>2456886</v>
      </c>
      <c r="T440" s="6" t="n">
        <v>2</v>
      </c>
      <c r="U440" s="5" t="inlineStr">
        <is>
          <t>해외 | 국내</t>
        </is>
      </c>
      <c r="V440" s="21">
        <f>HYPERLINK("https://dart.fss.or.kr/dsaf001/main.do?rcpNo=20260814000764", "공시열람")</f>
        <v/>
      </c>
    </row>
    <row r="441">
      <c r="A441" s="5" t="inlineStr">
        <is>
          <t>CSA 코스믹</t>
        </is>
      </c>
      <c r="B441" s="6" t="inlineStr">
        <is>
          <t>083660</t>
        </is>
      </c>
      <c r="C441" s="6" t="inlineStr">
        <is>
          <t>2025Q2</t>
        </is>
      </c>
      <c r="D441" s="6" t="inlineStr">
        <is>
          <t>20250814</t>
        </is>
      </c>
      <c r="E441" s="16" t="n">
        <v>3189267932</v>
      </c>
      <c r="F441" s="16" t="n">
        <v>910149928</v>
      </c>
      <c r="G441" s="16" t="n">
        <v>2279118004</v>
      </c>
      <c r="H441" s="6" t="inlineStr">
        <is>
          <t>원,m2</t>
        </is>
      </c>
      <c r="I441" s="17" t="n">
        <v>16.1</v>
      </c>
      <c r="J441" s="18" t="n">
        <v>2821590463</v>
      </c>
      <c r="K441" s="19" t="n">
        <v>2930994180</v>
      </c>
      <c r="L441" s="18" t="n">
        <v>2207933660</v>
      </c>
      <c r="M441" s="19" t="n">
        <v>1790443255</v>
      </c>
      <c r="N441" s="18" t="n">
        <v>1962451875</v>
      </c>
      <c r="O441" s="19" t="n">
        <v>2279118004</v>
      </c>
      <c r="P441" s="18" t="inlineStr"/>
      <c r="Q441" s="19" t="inlineStr"/>
      <c r="R441" s="18" t="inlineStr"/>
      <c r="S441" s="20" t="inlineStr"/>
      <c r="T441" s="6" t="n">
        <v>22</v>
      </c>
      <c r="U441" s="5" t="inlineStr">
        <is>
          <t>상하 / 25-04-01 / 26-03-15 | 물 / 25-03-18 / 26-10-31 | 물 / 25-02-05 / 날짜없음</t>
        </is>
      </c>
      <c r="V441" s="21">
        <f>HYPERLINK("https://dart.fss.or.kr/dsaf001/main.do?rcpNo=20250814004385", "공시열람")</f>
        <v/>
      </c>
    </row>
    <row r="442">
      <c r="A442" s="5" t="inlineStr">
        <is>
          <t>CG인바이츠</t>
        </is>
      </c>
      <c r="B442" s="6" t="inlineStr">
        <is>
          <t>083790</t>
        </is>
      </c>
      <c r="C442" s="6" t="inlineStr">
        <is>
          <t>2026Q2</t>
        </is>
      </c>
      <c r="D442" s="6" t="inlineStr">
        <is>
          <t>20260814</t>
        </is>
      </c>
      <c r="E442" s="16" t="n">
        <v>9417</v>
      </c>
      <c r="F442" s="16" t="inlineStr"/>
      <c r="G442" s="16" t="n">
        <v>3807</v>
      </c>
      <c r="H442" s="6" t="inlineStr">
        <is>
          <t>백만원</t>
        </is>
      </c>
      <c r="I442" s="17" t="n">
        <v>-4</v>
      </c>
      <c r="J442" s="18" t="inlineStr"/>
      <c r="K442" s="19" t="inlineStr"/>
      <c r="L442" s="18" t="inlineStr"/>
      <c r="M442" s="19" t="n">
        <v>2992670</v>
      </c>
      <c r="N442" s="18" t="n">
        <v>2992670</v>
      </c>
      <c r="O442" s="19" t="n">
        <v>1097</v>
      </c>
      <c r="P442" s="18" t="n">
        <v>9608</v>
      </c>
      <c r="Q442" s="19" t="n">
        <v>10687</v>
      </c>
      <c r="R442" s="18" t="n">
        <v>3964</v>
      </c>
      <c r="S442" s="20" t="n">
        <v>3807</v>
      </c>
      <c r="T442" s="6" t="n">
        <v>2</v>
      </c>
      <c r="U442" s="5" t="inlineStr">
        <is>
          <t>유전체/의약품개발 / K-DNA 프로젝트(*1) / 2 | AI헬스케어솔루션 / -</t>
        </is>
      </c>
      <c r="V442" s="21">
        <f>HYPERLINK("https://dart.fss.or.kr/dsaf001/main.do?rcpNo=20260814001319", "공시열람")</f>
        <v/>
      </c>
    </row>
    <row r="443">
      <c r="A443" s="5" t="inlineStr">
        <is>
          <t>아바코</t>
        </is>
      </c>
      <c r="B443" s="6" t="inlineStr">
        <is>
          <t>083930</t>
        </is>
      </c>
      <c r="C443" s="6" t="inlineStr">
        <is>
          <t>2026Q2</t>
        </is>
      </c>
      <c r="D443" s="6" t="inlineStr">
        <is>
          <t>20260814</t>
        </is>
      </c>
      <c r="E443" s="16" t="n">
        <v>619723</v>
      </c>
      <c r="F443" s="16" t="n">
        <v>24762</v>
      </c>
      <c r="G443" s="16" t="n">
        <v>594961</v>
      </c>
      <c r="H443" s="6" t="inlineStr">
        <is>
          <t>백만원</t>
        </is>
      </c>
      <c r="I443" s="17" t="n">
        <v>17.9</v>
      </c>
      <c r="J443" s="18" t="n">
        <v>337802</v>
      </c>
      <c r="K443" s="19" t="n">
        <v>588669</v>
      </c>
      <c r="L443" s="18" t="n">
        <v>480974</v>
      </c>
      <c r="M443" s="19" t="n">
        <v>452394</v>
      </c>
      <c r="N443" s="18" t="n">
        <v>454097</v>
      </c>
      <c r="O443" s="19" t="n">
        <v>288892</v>
      </c>
      <c r="P443" s="18" t="n">
        <v>264769</v>
      </c>
      <c r="Q443" s="19" t="n">
        <v>154055</v>
      </c>
      <c r="R443" s="18" t="n">
        <v>504638</v>
      </c>
      <c r="S443" s="20" t="n">
        <v>594961</v>
      </c>
      <c r="T443" s="6" t="n">
        <v>2</v>
      </c>
      <c r="U443" s="5" t="inlineStr">
        <is>
          <t>디스플레이 등 제조장비 / - | 이차전지용 제조장비 / -</t>
        </is>
      </c>
      <c r="V443" s="21">
        <f>HYPERLINK("https://dart.fss.or.kr/dsaf001/main.do?rcpNo=20260814002389", "공시열람")</f>
        <v/>
      </c>
    </row>
    <row r="444">
      <c r="A444" s="5" t="inlineStr">
        <is>
          <t>대한제강</t>
        </is>
      </c>
      <c r="B444" s="6" t="inlineStr">
        <is>
          <t>084010</t>
        </is>
      </c>
      <c r="C444" s="6" t="inlineStr">
        <is>
          <t>2025Q2</t>
        </is>
      </c>
      <c r="D444" s="6" t="inlineStr">
        <is>
          <t>20250820</t>
        </is>
      </c>
      <c r="E444" s="16" t="n">
        <v>412678</v>
      </c>
      <c r="F444" s="16" t="n">
        <v>358986</v>
      </c>
      <c r="G444" s="16" t="n">
        <v>53692</v>
      </c>
      <c r="H444" s="6" t="inlineStr">
        <is>
          <t>톤,백만원</t>
        </is>
      </c>
      <c r="I444" s="17" t="n">
        <v>-59.4</v>
      </c>
      <c r="J444" s="18" t="n">
        <v>46501235540</v>
      </c>
      <c r="K444" s="19" t="n">
        <v>360124431160</v>
      </c>
      <c r="L444" s="18" t="n">
        <v>271770013080</v>
      </c>
      <c r="M444" s="19" t="n">
        <v>150180</v>
      </c>
      <c r="N444" s="18" t="n">
        <v>132130</v>
      </c>
      <c r="O444" s="19" t="n">
        <v>53692</v>
      </c>
      <c r="P444" s="18" t="inlineStr"/>
      <c r="Q444" s="19" t="inlineStr"/>
      <c r="R444" s="18" t="inlineStr"/>
      <c r="S444" s="20" t="inlineStr"/>
      <c r="T444" s="6" t="n">
        <v>1</v>
      </c>
      <c r="U444" s="5" t="inlineStr">
        <is>
          <t>이형철근 / 조달청 / 2025.09.30</t>
        </is>
      </c>
      <c r="V444" s="21">
        <f>HYPERLINK("https://dart.fss.or.kr/dsaf001/main.do?rcpNo=20250820000108", "공시열람")</f>
        <v/>
      </c>
    </row>
    <row r="445">
      <c r="A445" s="5" t="inlineStr">
        <is>
          <t>수성웹툰</t>
        </is>
      </c>
      <c r="B445" s="6" t="inlineStr">
        <is>
          <t>084180</t>
        </is>
      </c>
      <c r="C445" s="6" t="inlineStr">
        <is>
          <t>2025Q3</t>
        </is>
      </c>
      <c r="D445" s="6" t="inlineStr">
        <is>
          <t>20251114</t>
        </is>
      </c>
      <c r="E445" s="16" t="inlineStr"/>
      <c r="F445" s="16" t="inlineStr"/>
      <c r="G445" s="16" t="n">
        <v>3244969</v>
      </c>
      <c r="H445" s="6" t="inlineStr">
        <is>
          <t>천원</t>
        </is>
      </c>
      <c r="I445" s="17" t="n">
        <v>-59.1</v>
      </c>
      <c r="J445" s="18" t="inlineStr"/>
      <c r="K445" s="19" t="inlineStr"/>
      <c r="L445" s="18" t="inlineStr"/>
      <c r="M445" s="19" t="n">
        <v>9670207</v>
      </c>
      <c r="N445" s="18" t="n">
        <v>10527686</v>
      </c>
      <c r="O445" s="19" t="n">
        <v>7927720</v>
      </c>
      <c r="P445" s="18" t="n">
        <v>3244969</v>
      </c>
      <c r="Q445" s="19" t="inlineStr"/>
      <c r="R445" s="18" t="inlineStr"/>
      <c r="S445" s="20" t="inlineStr"/>
      <c r="T445" s="6" t="n">
        <v>6</v>
      </c>
      <c r="U445" s="5" t="inlineStr">
        <is>
          <t>PMT / PCB | Soulbrain / IP | TSE / IP</t>
        </is>
      </c>
      <c r="V445" s="21">
        <f>HYPERLINK("https://dart.fss.or.kr/dsaf001/main.do?rcpNo=20251114000646", "공시열람")</f>
        <v/>
      </c>
    </row>
    <row r="446">
      <c r="A446" s="5" t="inlineStr">
        <is>
          <t>유진테크</t>
        </is>
      </c>
      <c r="B446" s="6" t="inlineStr">
        <is>
          <t>084370</t>
        </is>
      </c>
      <c r="C446" s="6" t="inlineStr">
        <is>
          <t>2026Q2</t>
        </is>
      </c>
      <c r="D446" s="6" t="inlineStr">
        <is>
          <t>20260814</t>
        </is>
      </c>
      <c r="E446" s="16" t="inlineStr"/>
      <c r="F446" s="16" t="inlineStr"/>
      <c r="G446" s="16" t="n">
        <v>153311617</v>
      </c>
      <c r="H446" s="6" t="inlineStr">
        <is>
          <t>천원</t>
        </is>
      </c>
      <c r="I446" s="17" t="n">
        <v>21.1</v>
      </c>
      <c r="J446" s="18" t="n">
        <v>73007174</v>
      </c>
      <c r="K446" s="19" t="n">
        <v>73007174</v>
      </c>
      <c r="L446" s="18" t="n">
        <v>89751712</v>
      </c>
      <c r="M446" s="19" t="n">
        <v>84406992</v>
      </c>
      <c r="N446" s="18" t="n">
        <v>85328557</v>
      </c>
      <c r="O446" s="19" t="n">
        <v>84406992</v>
      </c>
      <c r="P446" s="18" t="n">
        <v>84406992</v>
      </c>
      <c r="Q446" s="19" t="n">
        <v>95645534</v>
      </c>
      <c r="R446" s="18" t="n">
        <v>126637633</v>
      </c>
      <c r="S446" s="20" t="n">
        <v>153311617</v>
      </c>
      <c r="T446" s="6" t="n">
        <v>1</v>
      </c>
      <c r="U446" s="5" t="inlineStr">
        <is>
          <t>반도체 전공정장비</t>
        </is>
      </c>
      <c r="V446" s="21">
        <f>HYPERLINK("https://dart.fss.or.kr/dsaf001/main.do?rcpNo=20260814003622", "공시열람")</f>
        <v/>
      </c>
    </row>
    <row r="447">
      <c r="A447" s="5" t="inlineStr">
        <is>
          <t>유비온</t>
        </is>
      </c>
      <c r="B447" s="6" t="inlineStr">
        <is>
          <t>084440</t>
        </is>
      </c>
      <c r="C447" s="6" t="inlineStr">
        <is>
          <t>2026Q2</t>
        </is>
      </c>
      <c r="D447" s="6" t="inlineStr">
        <is>
          <t>20260814</t>
        </is>
      </c>
      <c r="E447" s="16" t="n">
        <v>57219</v>
      </c>
      <c r="F447" s="16" t="n">
        <v>40456</v>
      </c>
      <c r="G447" s="16" t="n">
        <v>16763</v>
      </c>
      <c r="H447" s="6" t="inlineStr">
        <is>
          <t>백만원,EA</t>
        </is>
      </c>
      <c r="I447" s="17" t="n">
        <v>11.9</v>
      </c>
      <c r="J447" s="18" t="n">
        <v>14684</v>
      </c>
      <c r="K447" s="19" t="n">
        <v>12448</v>
      </c>
      <c r="L447" s="18" t="n">
        <v>14279</v>
      </c>
      <c r="M447" s="19" t="n">
        <v>15830</v>
      </c>
      <c r="N447" s="18" t="n">
        <v>12711</v>
      </c>
      <c r="O447" s="19" t="n">
        <v>11561</v>
      </c>
      <c r="P447" s="18" t="n">
        <v>19351</v>
      </c>
      <c r="Q447" s="19" t="n">
        <v>17610</v>
      </c>
      <c r="R447" s="18" t="n">
        <v>14980</v>
      </c>
      <c r="S447" s="20" t="n">
        <v>16763</v>
      </c>
      <c r="T447" s="6" t="n">
        <v>8</v>
      </c>
      <c r="U447" s="5" t="inlineStr">
        <is>
          <t>기타 / 2020-12-26 / 2029-09-17 | B국가 ICT 교육훈련센터 건립사업 / 2021-08- | S전자_고도화 개발 / 2026-06-10 / 2026</t>
        </is>
      </c>
      <c r="V447" s="21">
        <f>HYPERLINK("https://dart.fss.or.kr/dsaf001/main.do?rcpNo=20260814002446", "공시열람")</f>
        <v/>
      </c>
    </row>
    <row r="448">
      <c r="A448" s="5" t="inlineStr">
        <is>
          <t>대상홀딩스</t>
        </is>
      </c>
      <c r="B448" s="6" t="inlineStr">
        <is>
          <t>084690</t>
        </is>
      </c>
      <c r="C448" s="6" t="inlineStr">
        <is>
          <t>2026Q2</t>
        </is>
      </c>
      <c r="D448" s="6" t="inlineStr">
        <is>
          <t>20260814</t>
        </is>
      </c>
      <c r="E448" s="16" t="inlineStr"/>
      <c r="F448" s="16" t="inlineStr"/>
      <c r="G448" s="16" t="n">
        <v>940671</v>
      </c>
      <c r="H448" s="6" t="inlineStr">
        <is>
          <t>백만원</t>
        </is>
      </c>
      <c r="I448" s="17" t="n">
        <v>8.300000000000001</v>
      </c>
      <c r="J448" s="18" t="n">
        <v>499762</v>
      </c>
      <c r="K448" s="19" t="n">
        <v>576924</v>
      </c>
      <c r="L448" s="18" t="n">
        <v>618208</v>
      </c>
      <c r="M448" s="19" t="n">
        <v>625607</v>
      </c>
      <c r="N448" s="18" t="n">
        <v>643654</v>
      </c>
      <c r="O448" s="19" t="n">
        <v>748301</v>
      </c>
      <c r="P448" s="18" t="n">
        <v>741853</v>
      </c>
      <c r="Q448" s="19" t="n">
        <v>800265</v>
      </c>
      <c r="R448" s="18" t="n">
        <v>868679</v>
      </c>
      <c r="S448" s="20" t="n">
        <v>940671</v>
      </c>
      <c r="T448" s="6" t="n">
        <v>58</v>
      </c>
      <c r="U448" s="5" t="inlineStr">
        <is>
          <t>건축 / 건축공사 계 | 토목 / 토목공사 계 | 건축 / 신영부동산신탁 / 김해신문동공동주택</t>
        </is>
      </c>
      <c r="V448" s="21">
        <f>HYPERLINK("https://dart.fss.or.kr/dsaf001/main.do?rcpNo=20260814003602", "공시열람")</f>
        <v/>
      </c>
    </row>
    <row r="449">
      <c r="A449" s="5" t="inlineStr">
        <is>
          <t>팅크웨어</t>
        </is>
      </c>
      <c r="B449" s="6" t="inlineStr">
        <is>
          <t>084730</t>
        </is>
      </c>
      <c r="C449" s="6" t="inlineStr">
        <is>
          <t>2026Q2</t>
        </is>
      </c>
      <c r="D449" s="6" t="inlineStr">
        <is>
          <t>20260814</t>
        </is>
      </c>
      <c r="E449" s="16" t="n">
        <v>43563653134</v>
      </c>
      <c r="F449" s="16" t="n">
        <v>28987344161</v>
      </c>
      <c r="G449" s="16" t="n">
        <v>14576308973</v>
      </c>
      <c r="H449" s="6" t="inlineStr">
        <is>
          <t>원</t>
        </is>
      </c>
      <c r="I449" s="17" t="n">
        <v>-56.5</v>
      </c>
      <c r="J449" s="18" t="inlineStr"/>
      <c r="K449" s="19" t="inlineStr"/>
      <c r="L449" s="18" t="inlineStr"/>
      <c r="M449" s="19" t="inlineStr"/>
      <c r="N449" s="18" t="n">
        <v>33247778619</v>
      </c>
      <c r="O449" s="19" t="n">
        <v>20677341135</v>
      </c>
      <c r="P449" s="18" t="n">
        <v>8353522175</v>
      </c>
      <c r="Q449" s="19" t="n">
        <v>0</v>
      </c>
      <c r="R449" s="18" t="n">
        <v>33497015642</v>
      </c>
      <c r="S449" s="20" t="n">
        <v>14576308973</v>
      </c>
      <c r="T449" s="6" t="n">
        <v>1</v>
      </c>
      <c r="U449" s="5" t="inlineStr">
        <is>
          <t>BMW 글로벌향 블랙박스ACE 3.0 및 3.1 / 2</t>
        </is>
      </c>
      <c r="V449" s="21">
        <f>HYPERLINK("https://dart.fss.or.kr/dsaf001/main.do?rcpNo=20260814003520", "공시열람")</f>
        <v/>
      </c>
    </row>
    <row r="450">
      <c r="A450" s="5" t="inlineStr">
        <is>
          <t>엔케이</t>
        </is>
      </c>
      <c r="B450" s="6" t="inlineStr">
        <is>
          <t>085310</t>
        </is>
      </c>
      <c r="C450" s="6" t="inlineStr">
        <is>
          <t>2026Q2</t>
        </is>
      </c>
      <c r="D450" s="6" t="inlineStr">
        <is>
          <t>20260814</t>
        </is>
      </c>
      <c r="E450" s="16" t="inlineStr"/>
      <c r="F450" s="16" t="inlineStr"/>
      <c r="G450" s="16" t="n">
        <v>95290046</v>
      </c>
      <c r="H450" s="6" t="inlineStr">
        <is>
          <t>천원</t>
        </is>
      </c>
      <c r="I450" s="17" t="n">
        <v>1.8</v>
      </c>
      <c r="J450" s="18" t="n">
        <v>152378049</v>
      </c>
      <c r="K450" s="19" t="n">
        <v>178536700</v>
      </c>
      <c r="L450" s="18" t="n">
        <v>183803612</v>
      </c>
      <c r="M450" s="19" t="n">
        <v>173469512</v>
      </c>
      <c r="N450" s="18" t="n">
        <v>174531027</v>
      </c>
      <c r="O450" s="19" t="n">
        <v>43568954</v>
      </c>
      <c r="P450" s="18" t="n">
        <v>86198925</v>
      </c>
      <c r="Q450" s="19" t="n">
        <v>81897371</v>
      </c>
      <c r="R450" s="18" t="n">
        <v>93569814</v>
      </c>
      <c r="S450" s="20" t="n">
        <v>95290046</v>
      </c>
      <c r="T450" s="6" t="n">
        <v>4</v>
      </c>
      <c r="U450" s="5" t="inlineStr">
        <is>
          <t>소화장치부문 기타 / ~2026.12.31 / - | 기타 / ~2026.12.31 / - | LOOSE FIRE FIGHTING SYSTEM / ~</t>
        </is>
      </c>
      <c r="V450" s="21">
        <f>HYPERLINK("https://dart.fss.or.kr/dsaf001/main.do?rcpNo=20260814003329", "공시열람")</f>
        <v/>
      </c>
    </row>
    <row r="451">
      <c r="A451" s="5" t="inlineStr">
        <is>
          <t>바이오톡스텍</t>
        </is>
      </c>
      <c r="B451" s="6" t="inlineStr">
        <is>
          <t>086040</t>
        </is>
      </c>
      <c r="C451" s="6" t="inlineStr">
        <is>
          <t>2026Q2</t>
        </is>
      </c>
      <c r="D451" s="6" t="inlineStr">
        <is>
          <t>20260814</t>
        </is>
      </c>
      <c r="E451" s="16" t="n">
        <v>86984</v>
      </c>
      <c r="F451" s="16" t="n">
        <v>26329</v>
      </c>
      <c r="G451" s="16" t="n">
        <v>60655</v>
      </c>
      <c r="H451" s="6" t="inlineStr">
        <is>
          <t>백만원</t>
        </is>
      </c>
      <c r="I451" s="17" t="n">
        <v>-5.7</v>
      </c>
      <c r="J451" s="18" t="n">
        <v>32725</v>
      </c>
      <c r="K451" s="19" t="n">
        <v>30989</v>
      </c>
      <c r="L451" s="18" t="n">
        <v>33489</v>
      </c>
      <c r="M451" s="19" t="n">
        <v>39321</v>
      </c>
      <c r="N451" s="18" t="n">
        <v>36922</v>
      </c>
      <c r="O451" s="19" t="n">
        <v>43226</v>
      </c>
      <c r="P451" s="18" t="n">
        <v>44766</v>
      </c>
      <c r="Q451" s="19" t="n">
        <v>51972</v>
      </c>
      <c r="R451" s="18" t="n">
        <v>64336</v>
      </c>
      <c r="S451" s="20" t="n">
        <v>60655</v>
      </c>
      <c r="T451" s="6" t="n">
        <v>1</v>
      </c>
      <c r="U451" s="5" t="inlineStr">
        <is>
          <t>비임상 CRO / 비임상시험</t>
        </is>
      </c>
      <c r="V451" s="21">
        <f>HYPERLINK("https://dart.fss.or.kr/dsaf001/main.do?rcpNo=20260814003645", "공시열람")</f>
        <v/>
      </c>
    </row>
    <row r="452">
      <c r="A452" s="5" t="inlineStr">
        <is>
          <t>유니테스트</t>
        </is>
      </c>
      <c r="B452" s="6" t="inlineStr">
        <is>
          <t>086390</t>
        </is>
      </c>
      <c r="C452" s="6" t="inlineStr">
        <is>
          <t>2026Q2</t>
        </is>
      </c>
      <c r="D452" s="6" t="inlineStr">
        <is>
          <t>20260814</t>
        </is>
      </c>
      <c r="E452" s="16" t="n">
        <v>216030</v>
      </c>
      <c r="F452" s="16" t="n">
        <v>95063</v>
      </c>
      <c r="G452" s="16" t="n">
        <v>120967</v>
      </c>
      <c r="H452" s="6" t="inlineStr">
        <is>
          <t>백만원</t>
        </is>
      </c>
      <c r="I452" s="17" t="n">
        <v>350.2</v>
      </c>
      <c r="J452" s="18" t="n">
        <v>6705</v>
      </c>
      <c r="K452" s="19" t="n">
        <v>0</v>
      </c>
      <c r="L452" s="18" t="n">
        <v>0</v>
      </c>
      <c r="M452" s="19" t="n">
        <v>0</v>
      </c>
      <c r="N452" s="18" t="n">
        <v>0</v>
      </c>
      <c r="O452" s="19" t="n">
        <v>0</v>
      </c>
      <c r="P452" s="18" t="n">
        <v>26867</v>
      </c>
      <c r="Q452" s="19" t="n">
        <v>26867</v>
      </c>
      <c r="R452" s="18" t="n">
        <v>26867</v>
      </c>
      <c r="S452" s="20" t="n">
        <v>120967</v>
      </c>
      <c r="T452" s="6" t="n">
        <v>9</v>
      </c>
      <c r="U452" s="5" t="inlineStr">
        <is>
          <t>태양광발전소 건설공사 / 2026-06-11 / 202 | 태양광발전소 건설공사 / 2025-07-25 / 202 | 반도체 검사장비 / 2026-07-23 / 2026-1</t>
        </is>
      </c>
      <c r="V452" s="21">
        <f>HYPERLINK("https://dart.fss.or.kr/dsaf001/main.do?rcpNo=20260814000772", "공시열람")</f>
        <v/>
      </c>
    </row>
    <row r="453">
      <c r="A453" s="5" t="inlineStr">
        <is>
          <t>에코프로</t>
        </is>
      </c>
      <c r="B453" s="6" t="inlineStr">
        <is>
          <t>086520</t>
        </is>
      </c>
      <c r="C453" s="6" t="inlineStr">
        <is>
          <t>2026Q2</t>
        </is>
      </c>
      <c r="D453" s="6" t="inlineStr">
        <is>
          <t>20260917</t>
        </is>
      </c>
      <c r="E453" s="16" t="n">
        <v>162441</v>
      </c>
      <c r="F453" s="16" t="n">
        <v>79412</v>
      </c>
      <c r="G453" s="16" t="n">
        <v>83030</v>
      </c>
      <c r="H453" s="6" t="inlineStr">
        <is>
          <t>백만원</t>
        </is>
      </c>
      <c r="I453" s="17" t="n">
        <v>-7.5</v>
      </c>
      <c r="J453" s="18" t="n">
        <v>129684</v>
      </c>
      <c r="K453" s="19" t="n">
        <v>105484</v>
      </c>
      <c r="L453" s="18" t="n">
        <v>89347</v>
      </c>
      <c r="M453" s="19" t="n">
        <v>77099</v>
      </c>
      <c r="N453" s="18" t="n">
        <v>72058</v>
      </c>
      <c r="O453" s="19" t="n">
        <v>78334</v>
      </c>
      <c r="P453" s="18" t="n">
        <v>82744</v>
      </c>
      <c r="Q453" s="19" t="n">
        <v>64269</v>
      </c>
      <c r="R453" s="18" t="n">
        <v>89753</v>
      </c>
      <c r="S453" s="20" t="n">
        <v>83030</v>
      </c>
      <c r="T453" s="6" t="n">
        <v>5</v>
      </c>
      <c r="U453" s="5" t="inlineStr">
        <is>
          <t>온실가스 감축솔루션 / ~2026.06.30. / - | 미세먼지 저감솔루션 / ~2026.06.30. / - | 클린룸케미컬 필터 / ~2026.06.30. / -</t>
        </is>
      </c>
      <c r="V453" s="21">
        <f>HYPERLINK("https://dart.fss.or.kr/dsaf001/main.do?rcpNo=20260917000296", "공시열람")</f>
        <v/>
      </c>
    </row>
    <row r="454">
      <c r="A454" s="5" t="inlineStr">
        <is>
          <t>이수앱지스</t>
        </is>
      </c>
      <c r="B454" s="6" t="inlineStr">
        <is>
          <t>086890</t>
        </is>
      </c>
      <c r="C454" s="6" t="inlineStr">
        <is>
          <t>2026Q2</t>
        </is>
      </c>
      <c r="D454" s="6" t="inlineStr">
        <is>
          <t>20260814</t>
        </is>
      </c>
      <c r="E454" s="16" t="n">
        <v>12125</v>
      </c>
      <c r="F454" s="16" t="n">
        <v>275</v>
      </c>
      <c r="G454" s="16" t="n">
        <v>11850</v>
      </c>
      <c r="H454" s="6" t="inlineStr">
        <is>
          <t>백만원</t>
        </is>
      </c>
      <c r="I454" s="17" t="n">
        <v>0</v>
      </c>
      <c r="J454" s="18" t="n">
        <v>22377</v>
      </c>
      <c r="K454" s="19" t="n">
        <v>22377</v>
      </c>
      <c r="L454" s="18" t="n">
        <v>32885</v>
      </c>
      <c r="M454" s="19" t="n">
        <v>11850</v>
      </c>
      <c r="N454" s="18" t="n">
        <v>11850</v>
      </c>
      <c r="O454" s="19" t="n">
        <v>11850</v>
      </c>
      <c r="P454" s="18" t="n">
        <v>11850</v>
      </c>
      <c r="Q454" s="19" t="n">
        <v>11850</v>
      </c>
      <c r="R454" s="18" t="n">
        <v>11850</v>
      </c>
      <c r="S454" s="20" t="n">
        <v>11850</v>
      </c>
      <c r="T454" s="6" t="n">
        <v>3</v>
      </c>
      <c r="U454" s="5" t="inlineStr">
        <is>
          <t>애브서틴 / 2022.06.30 / 2023.09.30 | 파바갈 / 2022.06.30 / 2023.09.30 | 클로티냅 / 2010.06.24 / 2027.06.23</t>
        </is>
      </c>
      <c r="V454" s="21">
        <f>HYPERLINK("https://dart.fss.or.kr/dsaf001/main.do?rcpNo=20260814003946", "공시열람")</f>
        <v/>
      </c>
    </row>
    <row r="455">
      <c r="A455" s="5" t="inlineStr">
        <is>
          <t>MDS테크</t>
        </is>
      </c>
      <c r="B455" s="6" t="inlineStr">
        <is>
          <t>086960</t>
        </is>
      </c>
      <c r="C455" s="6" t="inlineStr">
        <is>
          <t>2026Q2</t>
        </is>
      </c>
      <c r="D455" s="6" t="inlineStr">
        <is>
          <t>20260930</t>
        </is>
      </c>
      <c r="E455" s="16" t="n">
        <v>32096</v>
      </c>
      <c r="F455" s="16" t="n">
        <v>24661</v>
      </c>
      <c r="G455" s="16" t="n">
        <v>7435</v>
      </c>
      <c r="H455" s="6" t="inlineStr">
        <is>
          <t>백만원</t>
        </is>
      </c>
      <c r="I455" s="17" t="n">
        <v>-18</v>
      </c>
      <c r="J455" s="18" t="n">
        <v>17136</v>
      </c>
      <c r="K455" s="19" t="n">
        <v>16653</v>
      </c>
      <c r="L455" s="18" t="n">
        <v>18786</v>
      </c>
      <c r="M455" s="19" t="n">
        <v>16894</v>
      </c>
      <c r="N455" s="18" t="n">
        <v>16172</v>
      </c>
      <c r="O455" s="19" t="n">
        <v>15443</v>
      </c>
      <c r="P455" s="18" t="n">
        <v>14704</v>
      </c>
      <c r="Q455" s="19" t="n">
        <v>9482</v>
      </c>
      <c r="R455" s="18" t="n">
        <v>9063</v>
      </c>
      <c r="S455" s="20" t="n">
        <v>7435</v>
      </c>
      <c r="T455" s="6" t="n">
        <v>2</v>
      </c>
      <c r="U455" s="5" t="inlineStr">
        <is>
          <t>모잠비크 공공안전관리정보시스템(PSMIS) / 2023 | 모잠비크 공공안전관리정보시스템(CCTV) / 2024-</t>
        </is>
      </c>
      <c r="V455" s="21">
        <f>HYPERLINK("https://dart.fss.or.kr/dsaf001/main.do?rcpNo=20260930000513", "공시열람")</f>
        <v/>
      </c>
    </row>
    <row r="456">
      <c r="A456" s="5" t="inlineStr">
        <is>
          <t>모바일어플라이언스</t>
        </is>
      </c>
      <c r="B456" s="6" t="inlineStr">
        <is>
          <t>087260</t>
        </is>
      </c>
      <c r="C456" s="6" t="inlineStr">
        <is>
          <t>2026Q2</t>
        </is>
      </c>
      <c r="D456" s="6" t="inlineStr">
        <is>
          <t>20260814</t>
        </is>
      </c>
      <c r="E456" s="16" t="n">
        <v>18068</v>
      </c>
      <c r="F456" s="16" t="n">
        <v>18068</v>
      </c>
      <c r="G456" s="16" t="n">
        <v>0</v>
      </c>
      <c r="H456" s="6" t="inlineStr">
        <is>
          <t>백만원</t>
        </is>
      </c>
      <c r="I456" s="17" t="inlineStr"/>
      <c r="J456" s="18" t="n">
        <v>0</v>
      </c>
      <c r="K456" s="19" t="n">
        <v>0</v>
      </c>
      <c r="L456" s="18" t="n">
        <v>0</v>
      </c>
      <c r="M456" s="19" t="n">
        <v>0</v>
      </c>
      <c r="N456" s="18" t="n">
        <v>0</v>
      </c>
      <c r="O456" s="19" t="n">
        <v>0</v>
      </c>
      <c r="P456" s="18" t="n">
        <v>0</v>
      </c>
      <c r="Q456" s="19" t="n">
        <v>0</v>
      </c>
      <c r="R456" s="18" t="n">
        <v>0</v>
      </c>
      <c r="S456" s="20" t="n">
        <v>0</v>
      </c>
      <c r="T456" s="6" t="n">
        <v>2</v>
      </c>
      <c r="U456" s="5" t="inlineStr">
        <is>
          <t>독일 'BMW향 레이다 영상기록 장치' 공급 / 202 | 일본 'Benz향 영상기록장치' 공급 건 / 2021.</t>
        </is>
      </c>
      <c r="V456" s="21">
        <f>HYPERLINK("https://dart.fss.or.kr/dsaf001/main.do?rcpNo=20260814004261", "공시열람")</f>
        <v/>
      </c>
    </row>
    <row r="457">
      <c r="A457" s="5" t="inlineStr">
        <is>
          <t>동아엘텍</t>
        </is>
      </c>
      <c r="B457" s="6" t="inlineStr">
        <is>
          <t>088130</t>
        </is>
      </c>
      <c r="C457" s="6" t="inlineStr">
        <is>
          <t>2026Q2</t>
        </is>
      </c>
      <c r="D457" s="6" t="inlineStr">
        <is>
          <t>20260814</t>
        </is>
      </c>
      <c r="E457" s="16" t="n">
        <v>747949</v>
      </c>
      <c r="F457" s="16" t="n">
        <v>90641</v>
      </c>
      <c r="G457" s="16" t="n">
        <v>657308</v>
      </c>
      <c r="H457" s="6" t="inlineStr">
        <is>
          <t>백만원</t>
        </is>
      </c>
      <c r="I457" s="17" t="n">
        <v>7.4</v>
      </c>
      <c r="J457" s="18" t="n">
        <v>122292</v>
      </c>
      <c r="K457" s="19" t="n">
        <v>80925</v>
      </c>
      <c r="L457" s="18" t="n">
        <v>91460</v>
      </c>
      <c r="M457" s="19" t="n">
        <v>535233</v>
      </c>
      <c r="N457" s="18" t="n">
        <v>548338</v>
      </c>
      <c r="O457" s="19" t="n">
        <v>381527</v>
      </c>
      <c r="P457" s="18" t="n">
        <v>314071</v>
      </c>
      <c r="Q457" s="19" t="n">
        <v>121628</v>
      </c>
      <c r="R457" s="18" t="n">
        <v>612106</v>
      </c>
      <c r="S457" s="20" t="n">
        <v>657308</v>
      </c>
      <c r="T457" s="6" t="n">
        <v>6</v>
      </c>
      <c r="U457" s="5" t="inlineStr">
        <is>
          <t>증착장비 / OLED 제조장비 / 2018-03-122 | 디스플레이검사장비 / Phone / 2017-12-21 | 디스플레이검사장비 / IT / 2018-04-11202</t>
        </is>
      </c>
      <c r="V457" s="21">
        <f>HYPERLINK("https://dart.fss.or.kr/dsaf001/main.do?rcpNo=20260814003846", "공시열람")</f>
        <v/>
      </c>
    </row>
    <row r="458">
      <c r="A458" s="5" t="inlineStr">
        <is>
          <t>유라클</t>
        </is>
      </c>
      <c r="B458" s="6" t="inlineStr">
        <is>
          <t>088340</t>
        </is>
      </c>
      <c r="C458" s="6" t="inlineStr">
        <is>
          <t>2026Q2</t>
        </is>
      </c>
      <c r="D458" s="6" t="inlineStr">
        <is>
          <t>20260814</t>
        </is>
      </c>
      <c r="E458" s="16" t="n">
        <v>41693</v>
      </c>
      <c r="F458" s="16" t="n">
        <v>24382</v>
      </c>
      <c r="G458" s="16" t="n">
        <v>17312</v>
      </c>
      <c r="H458" s="6" t="inlineStr">
        <is>
          <t>백만원</t>
        </is>
      </c>
      <c r="I458" s="17" t="n">
        <v>-30.3</v>
      </c>
      <c r="J458" s="18" t="inlineStr"/>
      <c r="K458" s="19" t="inlineStr"/>
      <c r="L458" s="18" t="n">
        <v>8870</v>
      </c>
      <c r="M458" s="19" t="n">
        <v>10994</v>
      </c>
      <c r="N458" s="18" t="n">
        <v>16810</v>
      </c>
      <c r="O458" s="19" t="n">
        <v>11820</v>
      </c>
      <c r="P458" s="18" t="n">
        <v>9727</v>
      </c>
      <c r="Q458" s="19" t="n">
        <v>17424</v>
      </c>
      <c r="R458" s="18" t="n">
        <v>24822</v>
      </c>
      <c r="S458" s="20" t="n">
        <v>17312</v>
      </c>
      <c r="T458" s="6" t="n">
        <v>2</v>
      </c>
      <c r="U458" s="5" t="inlineStr">
        <is>
          <t>AIㆍ모바일 플랫폼 구축 및 운영/유지보수 등 / - | 모바일 기기 유통 / -</t>
        </is>
      </c>
      <c r="V458" s="21">
        <f>HYPERLINK("https://dart.fss.or.kr/dsaf001/main.do?rcpNo=20260814002651", "공시열람")</f>
        <v/>
      </c>
    </row>
    <row r="459">
      <c r="A459" s="5" t="inlineStr">
        <is>
          <t>이녹스</t>
        </is>
      </c>
      <c r="B459" s="6" t="inlineStr">
        <is>
          <t>088390</t>
        </is>
      </c>
      <c r="C459" s="6" t="inlineStr">
        <is>
          <t>2026Q2</t>
        </is>
      </c>
      <c r="D459" s="6" t="inlineStr">
        <is>
          <t>20260814</t>
        </is>
      </c>
      <c r="E459" s="16" t="n">
        <v>13816</v>
      </c>
      <c r="F459" s="16" t="n">
        <v>12522</v>
      </c>
      <c r="G459" s="16" t="n">
        <v>1295</v>
      </c>
      <c r="H459" s="6" t="inlineStr">
        <is>
          <t>대,백만원</t>
        </is>
      </c>
      <c r="I459" s="17" t="n">
        <v>-89.59999999999999</v>
      </c>
      <c r="J459" s="18" t="n">
        <v>3931</v>
      </c>
      <c r="K459" s="19" t="n">
        <v>1298</v>
      </c>
      <c r="L459" s="18" t="n">
        <v>563</v>
      </c>
      <c r="M459" s="19" t="n">
        <v>7303</v>
      </c>
      <c r="N459" s="18" t="n">
        <v>8883</v>
      </c>
      <c r="O459" s="19" t="n">
        <v>1846</v>
      </c>
      <c r="P459" s="18" t="n">
        <v>1735</v>
      </c>
      <c r="Q459" s="19" t="n">
        <v>11930</v>
      </c>
      <c r="R459" s="18" t="n">
        <v>12398</v>
      </c>
      <c r="S459" s="20" t="n">
        <v>1295</v>
      </c>
      <c r="T459" s="6" t="n">
        <v>2</v>
      </c>
      <c r="U459" s="5" t="inlineStr">
        <is>
          <t>보수용 부품 등 / 2026.01.30 / 2026.0 | 전기 자전거 등 / 2026.01.09 / 2026.0</t>
        </is>
      </c>
      <c r="V459" s="21">
        <f>HYPERLINK("https://dart.fss.or.kr/dsaf001/main.do?rcpNo=20260814003436", "공시열람")</f>
        <v/>
      </c>
    </row>
    <row r="460">
      <c r="A460" s="5" t="inlineStr">
        <is>
          <t>테크윙</t>
        </is>
      </c>
      <c r="B460" s="6" t="inlineStr">
        <is>
          <t>089030</t>
        </is>
      </c>
      <c r="C460" s="6" t="inlineStr">
        <is>
          <t>2026Q2</t>
        </is>
      </c>
      <c r="D460" s="6" t="inlineStr">
        <is>
          <t>20260814</t>
        </is>
      </c>
      <c r="E460" s="16" t="inlineStr"/>
      <c r="F460" s="16" t="inlineStr"/>
      <c r="G460" s="16" t="n">
        <v>60268</v>
      </c>
      <c r="H460" s="6" t="inlineStr">
        <is>
          <t>백만원</t>
        </is>
      </c>
      <c r="I460" s="17" t="n">
        <v>24.1</v>
      </c>
      <c r="J460" s="18" t="n">
        <v>28468</v>
      </c>
      <c r="K460" s="19" t="n">
        <v>28449</v>
      </c>
      <c r="L460" s="18" t="n">
        <v>19902</v>
      </c>
      <c r="M460" s="19" t="n">
        <v>26792</v>
      </c>
      <c r="N460" s="18" t="n">
        <v>19417</v>
      </c>
      <c r="O460" s="19" t="n">
        <v>10572</v>
      </c>
      <c r="P460" s="18" t="n">
        <v>9435</v>
      </c>
      <c r="Q460" s="19" t="n">
        <v>35940</v>
      </c>
      <c r="R460" s="18" t="n">
        <v>48576</v>
      </c>
      <c r="S460" s="20" t="n">
        <v>60268</v>
      </c>
      <c r="T460" s="6" t="n">
        <v>2</v>
      </c>
      <c r="U460" s="5" t="inlineStr">
        <is>
          <t>반도체 장비 / Micron, SK hynix 등 | 디스플레이장비 / 삼성디스플레이 등</t>
        </is>
      </c>
      <c r="V460" s="21">
        <f>HYPERLINK("https://dart.fss.or.kr/dsaf001/main.do?rcpNo=20260814001211", "공시열람")</f>
        <v/>
      </c>
    </row>
    <row r="461">
      <c r="A461" s="5" t="inlineStr">
        <is>
          <t>케이씨티</t>
        </is>
      </c>
      <c r="B461" s="6" t="inlineStr">
        <is>
          <t>089150</t>
        </is>
      </c>
      <c r="C461" s="6" t="inlineStr">
        <is>
          <t>2026Q2</t>
        </is>
      </c>
      <c r="D461" s="6" t="inlineStr">
        <is>
          <t>20260814</t>
        </is>
      </c>
      <c r="E461" s="16" t="n">
        <v>12917</v>
      </c>
      <c r="F461" s="16" t="n">
        <v>5388</v>
      </c>
      <c r="G461" s="16" t="n">
        <v>7529</v>
      </c>
      <c r="H461" s="6" t="inlineStr">
        <is>
          <t>백만원</t>
        </is>
      </c>
      <c r="I461" s="17" t="n">
        <v>17.9</v>
      </c>
      <c r="J461" s="18" t="n">
        <v>5207</v>
      </c>
      <c r="K461" s="19" t="n">
        <v>6572</v>
      </c>
      <c r="L461" s="18" t="n">
        <v>3577</v>
      </c>
      <c r="M461" s="19" t="n">
        <v>579</v>
      </c>
      <c r="N461" s="18" t="n">
        <v>11603</v>
      </c>
      <c r="O461" s="19" t="n">
        <v>12238</v>
      </c>
      <c r="P461" s="18" t="n">
        <v>12238</v>
      </c>
      <c r="Q461" s="19" t="n">
        <v>593</v>
      </c>
      <c r="R461" s="18" t="n">
        <v>6387</v>
      </c>
      <c r="S461" s="20" t="n">
        <v>7529</v>
      </c>
      <c r="T461" s="6" t="n">
        <v>1</v>
      </c>
      <c r="U461" s="5" t="inlineStr">
        <is>
          <t>컴퓨터프로그래밍 시스템 통합및 관리업 / ~2026년6</t>
        </is>
      </c>
      <c r="V461" s="21">
        <f>HYPERLINK("https://dart.fss.or.kr/dsaf001/main.do?rcpNo=20260814001662", "공시열람")</f>
        <v/>
      </c>
    </row>
    <row r="462">
      <c r="A462" s="5" t="inlineStr">
        <is>
          <t>제주항공</t>
        </is>
      </c>
      <c r="B462" s="6" t="inlineStr">
        <is>
          <t>089590</t>
        </is>
      </c>
      <c r="C462" s="6" t="inlineStr">
        <is>
          <t>2026Q1</t>
        </is>
      </c>
      <c r="D462" s="6" t="inlineStr">
        <is>
          <t>20260515</t>
        </is>
      </c>
      <c r="E462" s="16" t="inlineStr"/>
      <c r="F462" s="16" t="inlineStr"/>
      <c r="G462" s="16" t="n">
        <v>3281250</v>
      </c>
      <c r="H462" s="6" t="inlineStr"/>
      <c r="I462" s="17" t="n">
        <v>-25</v>
      </c>
      <c r="J462" s="18" t="n">
        <v>12031250</v>
      </c>
      <c r="K462" s="19" t="n">
        <v>10937500</v>
      </c>
      <c r="L462" s="18" t="n">
        <v>9843750</v>
      </c>
      <c r="M462" s="19" t="n">
        <v>8750000</v>
      </c>
      <c r="N462" s="18" t="n">
        <v>7656250</v>
      </c>
      <c r="O462" s="19" t="n">
        <v>6562500</v>
      </c>
      <c r="P462" s="18" t="n">
        <v>5468750</v>
      </c>
      <c r="Q462" s="19" t="n">
        <v>4375000</v>
      </c>
      <c r="R462" s="18" t="n">
        <v>3281250</v>
      </c>
      <c r="S462" s="20" t="inlineStr"/>
      <c r="T462" s="6" t="n">
        <v>1</v>
      </c>
      <c r="U462" s="5" t="inlineStr">
        <is>
          <t>통화스왑계약 / USD</t>
        </is>
      </c>
      <c r="V462" s="21">
        <f>HYPERLINK("https://dart.fss.or.kr/dsaf001/main.do?rcpNo=20260515002947", "공시열람")</f>
        <v/>
      </c>
    </row>
    <row r="463">
      <c r="A463" s="5" t="inlineStr">
        <is>
          <t>제이티</t>
        </is>
      </c>
      <c r="B463" s="6" t="inlineStr">
        <is>
          <t>089790</t>
        </is>
      </c>
      <c r="C463" s="6" t="inlineStr">
        <is>
          <t>2026Q2</t>
        </is>
      </c>
      <c r="D463" s="6" t="inlineStr">
        <is>
          <t>20260819</t>
        </is>
      </c>
      <c r="E463" s="16" t="n">
        <v>67523</v>
      </c>
      <c r="F463" s="16" t="n">
        <v>29147</v>
      </c>
      <c r="G463" s="16" t="n">
        <v>38376</v>
      </c>
      <c r="H463" s="6" t="inlineStr">
        <is>
          <t>백만원</t>
        </is>
      </c>
      <c r="I463" s="17" t="n">
        <v>63.4</v>
      </c>
      <c r="J463" s="18" t="n">
        <v>19404</v>
      </c>
      <c r="K463" s="19" t="n">
        <v>10312</v>
      </c>
      <c r="L463" s="18" t="n">
        <v>9723</v>
      </c>
      <c r="M463" s="19" t="n">
        <v>2647</v>
      </c>
      <c r="N463" s="18" t="n">
        <v>5337</v>
      </c>
      <c r="O463" s="19" t="n">
        <v>11785</v>
      </c>
      <c r="P463" s="18" t="n">
        <v>16835</v>
      </c>
      <c r="Q463" s="19" t="n">
        <v>29299</v>
      </c>
      <c r="R463" s="18" t="n">
        <v>23479</v>
      </c>
      <c r="S463" s="20" t="n">
        <v>38376</v>
      </c>
      <c r="T463" s="6" t="n">
        <v>1</v>
      </c>
      <c r="U463" s="5" t="inlineStr">
        <is>
          <t>기타 / -</t>
        </is>
      </c>
      <c r="V463" s="21">
        <f>HYPERLINK("https://dart.fss.or.kr/dsaf001/main.do?rcpNo=20260819000118", "공시열람")</f>
        <v/>
      </c>
    </row>
    <row r="464">
      <c r="A464" s="5" t="inlineStr">
        <is>
          <t>코세스</t>
        </is>
      </c>
      <c r="B464" s="6" t="inlineStr">
        <is>
          <t>089890</t>
        </is>
      </c>
      <c r="C464" s="6" t="inlineStr">
        <is>
          <t>2026Q2</t>
        </is>
      </c>
      <c r="D464" s="6" t="inlineStr">
        <is>
          <t>20260814</t>
        </is>
      </c>
      <c r="E464" s="16" t="n">
        <v>50130000</v>
      </c>
      <c r="F464" s="16" t="n">
        <v>49345320</v>
      </c>
      <c r="G464" s="16" t="n">
        <v>784680</v>
      </c>
      <c r="H464" s="6" t="inlineStr">
        <is>
          <t>USD</t>
        </is>
      </c>
      <c r="I464" s="17" t="n">
        <v>-31.7</v>
      </c>
      <c r="J464" s="18" t="n">
        <v>3211335</v>
      </c>
      <c r="K464" s="19" t="n">
        <v>1701145</v>
      </c>
      <c r="L464" s="18" t="n">
        <v>1772858</v>
      </c>
      <c r="M464" s="19" t="n">
        <v>2081640</v>
      </c>
      <c r="N464" s="18" t="n">
        <v>1833950</v>
      </c>
      <c r="O464" s="19" t="n">
        <v>1091932</v>
      </c>
      <c r="P464" s="18" t="n">
        <v>295426</v>
      </c>
      <c r="Q464" s="19" t="n">
        <v>1148696</v>
      </c>
      <c r="R464" s="18" t="n">
        <v>1148696</v>
      </c>
      <c r="S464" s="20" t="n">
        <v>784680</v>
      </c>
      <c r="T464" s="6" t="n">
        <v>4</v>
      </c>
      <c r="U464" s="5" t="inlineStr">
        <is>
          <t>2차전지 제조장비 / 2022-11-11 / 2024- | 2차전지 제조장비 / 2023-03-20 / 2025- | 2차전지 제조장비 / 2023-04-02 / 2024-</t>
        </is>
      </c>
      <c r="V464" s="21">
        <f>HYPERLINK("https://dart.fss.or.kr/dsaf001/main.do?rcpNo=20260814002531", "공시열람")</f>
        <v/>
      </c>
    </row>
    <row r="465">
      <c r="A465" s="5" t="inlineStr">
        <is>
          <t>노루페인트</t>
        </is>
      </c>
      <c r="B465" s="6" t="inlineStr">
        <is>
          <t>090350</t>
        </is>
      </c>
      <c r="C465" s="6" t="inlineStr">
        <is>
          <t>2026Q2</t>
        </is>
      </c>
      <c r="D465" s="6" t="inlineStr">
        <is>
          <t>20260814</t>
        </is>
      </c>
      <c r="E465" s="16" t="n">
        <v>81620</v>
      </c>
      <c r="F465" s="16" t="n">
        <v>42985</v>
      </c>
      <c r="G465" s="16" t="n">
        <v>38635</v>
      </c>
      <c r="H465" s="6" t="inlineStr">
        <is>
          <t>백만원,Ton</t>
        </is>
      </c>
      <c r="I465" s="17" t="n">
        <v>-34.5</v>
      </c>
      <c r="J465" s="18" t="n">
        <v>61881</v>
      </c>
      <c r="K465" s="19" t="n">
        <v>40789</v>
      </c>
      <c r="L465" s="18" t="n">
        <v>18406</v>
      </c>
      <c r="M465" s="19" t="inlineStr"/>
      <c r="N465" s="18" t="n">
        <v>65415</v>
      </c>
      <c r="O465" s="19" t="n">
        <v>41911</v>
      </c>
      <c r="P465" s="18" t="n">
        <v>20122</v>
      </c>
      <c r="Q465" s="19" t="inlineStr"/>
      <c r="R465" s="18" t="n">
        <v>59021</v>
      </c>
      <c r="S465" s="20" t="n">
        <v>38635</v>
      </c>
      <c r="T465" s="6" t="n">
        <v>1</v>
      </c>
      <c r="U465" s="5" t="inlineStr">
        <is>
          <t>칼라강판용 도료 및 관련제품(주1) / 2026.05.</t>
        </is>
      </c>
      <c r="V465" s="21">
        <f>HYPERLINK("https://dart.fss.or.kr/dsaf001/main.do?rcpNo=20260814002330", "공시열람")</f>
        <v/>
      </c>
    </row>
    <row r="466">
      <c r="A466" s="5" t="inlineStr">
        <is>
          <t>덕신이피씨</t>
        </is>
      </c>
      <c r="B466" s="6" t="inlineStr">
        <is>
          <t>090410</t>
        </is>
      </c>
      <c r="C466" s="6" t="inlineStr">
        <is>
          <t>2026Q2</t>
        </is>
      </c>
      <c r="D466" s="6" t="inlineStr">
        <is>
          <t>20260929</t>
        </is>
      </c>
      <c r="E466" s="16" t="n">
        <v>216081378888</v>
      </c>
      <c r="F466" s="16" t="n">
        <v>85522819068</v>
      </c>
      <c r="G466" s="16" t="n">
        <v>130558559820</v>
      </c>
      <c r="H466" s="6" t="inlineStr">
        <is>
          <t>원</t>
        </is>
      </c>
      <c r="I466" s="17" t="n">
        <v>22.8</v>
      </c>
      <c r="J466" s="18" t="n">
        <v>62892394244</v>
      </c>
      <c r="K466" s="19" t="n">
        <v>68078959</v>
      </c>
      <c r="L466" s="18" t="n">
        <v>68964570</v>
      </c>
      <c r="M466" s="19" t="n">
        <v>62894873</v>
      </c>
      <c r="N466" s="18" t="n">
        <v>55157989</v>
      </c>
      <c r="O466" s="19" t="n">
        <v>82837254</v>
      </c>
      <c r="P466" s="18" t="n">
        <v>68832208113</v>
      </c>
      <c r="Q466" s="19" t="n">
        <v>71565928602</v>
      </c>
      <c r="R466" s="18" t="n">
        <v>106291169556</v>
      </c>
      <c r="S466" s="20" t="n">
        <v>130558559820</v>
      </c>
      <c r="T466" s="6" t="n">
        <v>14</v>
      </c>
      <c r="U466" s="5" t="inlineStr">
        <is>
          <t>데크플레이트 / 기타 | 데크플레이트 / 삼성물산 | 데크플레이트 / 롯데건설</t>
        </is>
      </c>
      <c r="V466" s="21">
        <f>HYPERLINK("https://dart.fss.or.kr/dsaf001/main.do?rcpNo=20260929000650", "공시열람")</f>
        <v/>
      </c>
    </row>
    <row r="467">
      <c r="A467" s="5" t="inlineStr">
        <is>
          <t>제이스로보틱스</t>
        </is>
      </c>
      <c r="B467" s="6" t="inlineStr">
        <is>
          <t>090470</t>
        </is>
      </c>
      <c r="C467" s="6" t="inlineStr">
        <is>
          <t>2026Q2</t>
        </is>
      </c>
      <c r="D467" s="6" t="inlineStr">
        <is>
          <t>20260814</t>
        </is>
      </c>
      <c r="E467" s="16" t="n">
        <v>137328</v>
      </c>
      <c r="F467" s="16" t="n">
        <v>10458</v>
      </c>
      <c r="G467" s="16" t="n">
        <v>126869</v>
      </c>
      <c r="H467" s="6" t="inlineStr">
        <is>
          <t>백만원</t>
        </is>
      </c>
      <c r="I467" s="17" t="n">
        <v>-1.5</v>
      </c>
      <c r="J467" s="18" t="n">
        <v>38730</v>
      </c>
      <c r="K467" s="19" t="n">
        <v>34750</v>
      </c>
      <c r="L467" s="18" t="n">
        <v>72845</v>
      </c>
      <c r="M467" s="19" t="n">
        <v>84547</v>
      </c>
      <c r="N467" s="18" t="n">
        <v>84447</v>
      </c>
      <c r="O467" s="19" t="n">
        <v>78083</v>
      </c>
      <c r="P467" s="18" t="n">
        <v>81712</v>
      </c>
      <c r="Q467" s="19" t="n">
        <v>122439</v>
      </c>
      <c r="R467" s="18" t="n">
        <v>128796</v>
      </c>
      <c r="S467" s="20" t="n">
        <v>126869</v>
      </c>
      <c r="T467" s="6" t="n">
        <v>2</v>
      </c>
      <c r="U467" s="5" t="inlineStr">
        <is>
          <t>전년도 수주 이월액주1) | 당해년도 수주액</t>
        </is>
      </c>
      <c r="V467" s="21">
        <f>HYPERLINK("https://dart.fss.or.kr/dsaf001/main.do?rcpNo=20260814002750", "공시열람")</f>
        <v/>
      </c>
    </row>
    <row r="468">
      <c r="A468" s="5" t="inlineStr">
        <is>
          <t>한울소재과학</t>
        </is>
      </c>
      <c r="B468" s="6" t="inlineStr">
        <is>
          <t>091440</t>
        </is>
      </c>
      <c r="C468" s="6" t="inlineStr">
        <is>
          <t>2026Q2</t>
        </is>
      </c>
      <c r="D468" s="6" t="inlineStr">
        <is>
          <t>20260814</t>
        </is>
      </c>
      <c r="E468" s="16" t="n">
        <v>2320240</v>
      </c>
      <c r="F468" s="16" t="n">
        <v>1504004</v>
      </c>
      <c r="G468" s="16" t="n">
        <v>816235</v>
      </c>
      <c r="H468" s="6" t="inlineStr">
        <is>
          <t>천원</t>
        </is>
      </c>
      <c r="I468" s="17" t="n">
        <v>216.3</v>
      </c>
      <c r="J468" s="18" t="n">
        <v>3381950</v>
      </c>
      <c r="K468" s="19" t="n">
        <v>4822883</v>
      </c>
      <c r="L468" s="18" t="n">
        <v>3901059</v>
      </c>
      <c r="M468" s="19" t="n">
        <v>1650713</v>
      </c>
      <c r="N468" s="18" t="n">
        <v>4173851</v>
      </c>
      <c r="O468" s="19" t="n">
        <v>4074069</v>
      </c>
      <c r="P468" s="18" t="n">
        <v>4293804</v>
      </c>
      <c r="Q468" s="19" t="n">
        <v>323566</v>
      </c>
      <c r="R468" s="18" t="n">
        <v>258041</v>
      </c>
      <c r="S468" s="20" t="n">
        <v>816235</v>
      </c>
      <c r="T468" s="6" t="n">
        <v>15</v>
      </c>
      <c r="U468" s="5" t="inlineStr">
        <is>
          <t>"2026년 KT기간망 M5480 대개체 사업" - 계 | 2026년 국립전파연구원 기반망 사업 구축공사 / 20 | LGU+ D2000 중앙국사 텔랍스 DCS 대개체 구축</t>
        </is>
      </c>
      <c r="V468" s="21">
        <f>HYPERLINK("https://dart.fss.or.kr/dsaf001/main.do?rcpNo=20260814002428", "공시열람")</f>
        <v/>
      </c>
    </row>
    <row r="469">
      <c r="A469" s="5" t="inlineStr">
        <is>
          <t>남화토건</t>
        </is>
      </c>
      <c r="B469" s="6" t="inlineStr">
        <is>
          <t>091590</t>
        </is>
      </c>
      <c r="C469" s="6" t="inlineStr">
        <is>
          <t>2026Q2</t>
        </is>
      </c>
      <c r="D469" s="6" t="inlineStr">
        <is>
          <t>20260814</t>
        </is>
      </c>
      <c r="E469" s="16" t="n">
        <v>219362</v>
      </c>
      <c r="F469" s="16" t="n">
        <v>136408</v>
      </c>
      <c r="G469" s="16" t="n">
        <v>82954</v>
      </c>
      <c r="H469" s="6" t="inlineStr">
        <is>
          <t>백만원</t>
        </is>
      </c>
      <c r="I469" s="17" t="n">
        <v>-11.2</v>
      </c>
      <c r="J469" s="18" t="n">
        <v>148220</v>
      </c>
      <c r="K469" s="19" t="n">
        <v>138367</v>
      </c>
      <c r="L469" s="18" t="n">
        <v>131754</v>
      </c>
      <c r="M469" s="19" t="n">
        <v>119079</v>
      </c>
      <c r="N469" s="18" t="n">
        <v>108138</v>
      </c>
      <c r="O469" s="19" t="n">
        <v>83997</v>
      </c>
      <c r="P469" s="18" t="n">
        <v>97746</v>
      </c>
      <c r="Q469" s="19" t="n">
        <v>91588</v>
      </c>
      <c r="R469" s="18" t="n">
        <v>93398</v>
      </c>
      <c r="S469" s="20" t="n">
        <v>82954</v>
      </c>
      <c r="T469" s="6" t="n">
        <v>19</v>
      </c>
      <c r="U469" s="5" t="inlineStr">
        <is>
          <t>건축 / 국군재정관리단(세탁소) / 2024.03.27 | 건축 / 케어홈프리미어권선1,2호 / 2025.06.1 | 건축 / 림괄지역주택조합 / 2023.09.25</t>
        </is>
      </c>
      <c r="V469" s="21">
        <f>HYPERLINK("https://dart.fss.or.kr/dsaf001/main.do?rcpNo=20260814003286", "공시열람")</f>
        <v/>
      </c>
    </row>
    <row r="470">
      <c r="A470" s="5" t="inlineStr">
        <is>
          <t>디아이씨</t>
        </is>
      </c>
      <c r="B470" s="6" t="inlineStr">
        <is>
          <t>092200</t>
        </is>
      </c>
      <c r="C470" s="6" t="inlineStr">
        <is>
          <t>2026Q2</t>
        </is>
      </c>
      <c r="D470" s="6" t="inlineStr">
        <is>
          <t>20260813</t>
        </is>
      </c>
      <c r="E470" s="16" t="n">
        <v>361792</v>
      </c>
      <c r="F470" s="16" t="n">
        <v>361792</v>
      </c>
      <c r="G470" s="16" t="n">
        <v>0</v>
      </c>
      <c r="H470" s="6" t="inlineStr">
        <is>
          <t>백만원</t>
        </is>
      </c>
      <c r="I470" s="17" t="inlineStr"/>
      <c r="J470" s="18" t="n">
        <v>0</v>
      </c>
      <c r="K470" s="19" t="n">
        <v>0</v>
      </c>
      <c r="L470" s="18" t="n">
        <v>0</v>
      </c>
      <c r="M470" s="19" t="n">
        <v>0</v>
      </c>
      <c r="N470" s="18" t="n">
        <v>0</v>
      </c>
      <c r="O470" s="19" t="n">
        <v>0</v>
      </c>
      <c r="P470" s="18" t="n">
        <v>0</v>
      </c>
      <c r="Q470" s="19" t="n">
        <v>0</v>
      </c>
      <c r="R470" s="18" t="n">
        <v>0</v>
      </c>
      <c r="S470" s="20" t="n">
        <v>0</v>
      </c>
      <c r="T470" s="6" t="n">
        <v>4</v>
      </c>
      <c r="U470" s="5" t="inlineStr">
        <is>
          <t>자동차부품(국내) / 수시수주 / 수시납품 | 중장비부품(국내) / 수시수주 / 수시납품 | 자동차부품(수출) / 수시수주 / 수시납품</t>
        </is>
      </c>
      <c r="V470" s="21">
        <f>HYPERLINK("https://dart.fss.or.kr/dsaf001/main.do?rcpNo=20260813001541", "공시열람")</f>
        <v/>
      </c>
    </row>
    <row r="471">
      <c r="A471" s="5" t="inlineStr">
        <is>
          <t>현우산업</t>
        </is>
      </c>
      <c r="B471" s="6" t="inlineStr">
        <is>
          <t>092300</t>
        </is>
      </c>
      <c r="C471" s="6" t="inlineStr">
        <is>
          <t>2026Q2</t>
        </is>
      </c>
      <c r="D471" s="6" t="inlineStr">
        <is>
          <t>20260814</t>
        </is>
      </c>
      <c r="E471" s="16" t="n">
        <v>117101</v>
      </c>
      <c r="F471" s="16" t="n">
        <v>79832</v>
      </c>
      <c r="G471" s="16" t="n">
        <v>37278</v>
      </c>
      <c r="H471" s="6" t="inlineStr">
        <is>
          <t>백만원,천㎡</t>
        </is>
      </c>
      <c r="I471" s="17" t="n">
        <v>13.5</v>
      </c>
      <c r="J471" s="18" t="n">
        <v>29236</v>
      </c>
      <c r="K471" s="19" t="n">
        <v>29851</v>
      </c>
      <c r="L471" s="18" t="n">
        <v>25135</v>
      </c>
      <c r="M471" s="19" t="n">
        <v>37066</v>
      </c>
      <c r="N471" s="18" t="n">
        <v>29882</v>
      </c>
      <c r="O471" s="19" t="n">
        <v>32886</v>
      </c>
      <c r="P471" s="18" t="n">
        <v>34010</v>
      </c>
      <c r="Q471" s="19" t="n">
        <v>37341</v>
      </c>
      <c r="R471" s="18" t="n">
        <v>32853</v>
      </c>
      <c r="S471" s="20" t="n">
        <v>37278</v>
      </c>
      <c r="T471" s="6" t="n">
        <v>1</v>
      </c>
      <c r="U471" s="5" t="inlineStr">
        <is>
          <t>PCB / 2026.1.1~2026.06.30 / 20</t>
        </is>
      </c>
      <c r="V471" s="21">
        <f>HYPERLINK("https://dart.fss.or.kr/dsaf001/main.do?rcpNo=20260814001375", "공시열람")</f>
        <v/>
      </c>
    </row>
    <row r="472">
      <c r="A472" s="5" t="inlineStr">
        <is>
          <t>한라IMS</t>
        </is>
      </c>
      <c r="B472" s="6" t="inlineStr">
        <is>
          <t>092460</t>
        </is>
      </c>
      <c r="C472" s="6" t="inlineStr">
        <is>
          <t>2026Q2</t>
        </is>
      </c>
      <c r="D472" s="6" t="inlineStr">
        <is>
          <t>20260814</t>
        </is>
      </c>
      <c r="E472" s="16" t="n">
        <v>147101</v>
      </c>
      <c r="F472" s="16" t="inlineStr"/>
      <c r="G472" s="16" t="n">
        <v>270440</v>
      </c>
      <c r="H472" s="6" t="inlineStr">
        <is>
          <t>백만원</t>
        </is>
      </c>
      <c r="I472" s="17" t="n">
        <v>10.4</v>
      </c>
      <c r="J472" s="18" t="n">
        <v>123320</v>
      </c>
      <c r="K472" s="19" t="n">
        <v>122809</v>
      </c>
      <c r="L472" s="18" t="n">
        <v>149054</v>
      </c>
      <c r="M472" s="19" t="n">
        <v>164350</v>
      </c>
      <c r="N472" s="18" t="n">
        <v>172903</v>
      </c>
      <c r="O472" s="19" t="n">
        <v>168319062603</v>
      </c>
      <c r="P472" s="18" t="n">
        <v>171704</v>
      </c>
      <c r="Q472" s="19" t="n">
        <v>205779</v>
      </c>
      <c r="R472" s="18" t="n">
        <v>244897</v>
      </c>
      <c r="S472" s="20" t="n">
        <v>270440</v>
      </c>
      <c r="T472" s="6" t="n">
        <v>6</v>
      </c>
      <c r="U472" s="5" t="inlineStr">
        <is>
          <t>통합제어 및 모니터링 시스템(Control) / - | 정밀계측 시스템(GAUGING) / - | 고성능기계시스템(Machinery) / -</t>
        </is>
      </c>
      <c r="V472" s="21">
        <f>HYPERLINK("https://dart.fss.or.kr/dsaf001/main.do?rcpNo=20260814001748", "공시열람")</f>
        <v/>
      </c>
    </row>
    <row r="473">
      <c r="A473" s="5" t="inlineStr">
        <is>
          <t>엑시콘</t>
        </is>
      </c>
      <c r="B473" s="6" t="inlineStr">
        <is>
          <t>092870</t>
        </is>
      </c>
      <c r="C473" s="6" t="inlineStr">
        <is>
          <t>2026Q2</t>
        </is>
      </c>
      <c r="D473" s="6" t="inlineStr">
        <is>
          <t>20260814</t>
        </is>
      </c>
      <c r="E473" s="16" t="n">
        <v>101801</v>
      </c>
      <c r="F473" s="16" t="n">
        <v>17203</v>
      </c>
      <c r="G473" s="16" t="n">
        <v>84598</v>
      </c>
      <c r="H473" s="6" t="inlineStr">
        <is>
          <t>백만원</t>
        </is>
      </c>
      <c r="I473" s="17" t="n">
        <v>165.3</v>
      </c>
      <c r="J473" s="18" t="n">
        <v>5870</v>
      </c>
      <c r="K473" s="19" t="n">
        <v>4370</v>
      </c>
      <c r="L473" s="18" t="n">
        <v>0</v>
      </c>
      <c r="M473" s="19" t="n">
        <v>0</v>
      </c>
      <c r="N473" s="18" t="n">
        <v>7778</v>
      </c>
      <c r="O473" s="19" t="n">
        <v>11654</v>
      </c>
      <c r="P473" s="18" t="n">
        <v>29215</v>
      </c>
      <c r="Q473" s="19" t="n">
        <v>4112</v>
      </c>
      <c r="R473" s="18" t="n">
        <v>31886</v>
      </c>
      <c r="S473" s="20" t="n">
        <v>84598</v>
      </c>
      <c r="T473" s="6" t="n">
        <v>4</v>
      </c>
      <c r="U473" s="5" t="inlineStr">
        <is>
          <t>SSD Tester 등 / 2026-07-07 / 20 | CLT 등 / 2026-02-27 / 2026-12-3 | CIB 등 / 2026-05-26 / 2026-12-3</t>
        </is>
      </c>
      <c r="V473" s="21">
        <f>HYPERLINK("https://dart.fss.or.kr/dsaf001/main.do?rcpNo=20260814001521", "공시열람")</f>
        <v/>
      </c>
    </row>
    <row r="474">
      <c r="A474" s="5" t="inlineStr">
        <is>
          <t>형지엘리트</t>
        </is>
      </c>
      <c r="B474" s="6" t="inlineStr">
        <is>
          <t>093240</t>
        </is>
      </c>
      <c r="C474" s="6" t="inlineStr">
        <is>
          <t>2026Q2</t>
        </is>
      </c>
      <c r="D474" s="6" t="inlineStr">
        <is>
          <t>20260921</t>
        </is>
      </c>
      <c r="E474" s="16" t="n">
        <v>105091</v>
      </c>
      <c r="F474" s="16" t="n">
        <v>96765</v>
      </c>
      <c r="G474" s="16" t="n">
        <v>8326</v>
      </c>
      <c r="H474" s="6" t="inlineStr">
        <is>
          <t>개,백만원</t>
        </is>
      </c>
      <c r="I474" s="17" t="n">
        <v>-30.1</v>
      </c>
      <c r="J474" s="18" t="n">
        <v>11330</v>
      </c>
      <c r="K474" s="19" t="n">
        <v>5632</v>
      </c>
      <c r="L474" s="18" t="n">
        <v>11591</v>
      </c>
      <c r="M474" s="19" t="n">
        <v>16604</v>
      </c>
      <c r="N474" s="18" t="n">
        <v>10203</v>
      </c>
      <c r="O474" s="19" t="n">
        <v>5975</v>
      </c>
      <c r="P474" s="18" t="n">
        <v>12728</v>
      </c>
      <c r="Q474" s="19" t="n">
        <v>15454</v>
      </c>
      <c r="R474" s="18" t="n">
        <v>11909</v>
      </c>
      <c r="S474" s="20" t="n">
        <v>8326</v>
      </c>
      <c r="T474" s="6" t="n">
        <v>2</v>
      </c>
      <c r="U474" s="5" t="inlineStr">
        <is>
          <t>한화오션외 / 근무복 / 2019.06.01 | 대리점외 / 학생복 / 2025.02.23</t>
        </is>
      </c>
      <c r="V474" s="21">
        <f>HYPERLINK("https://dart.fss.or.kr/dsaf001/main.do?rcpNo=20260921000083", "공시열람")</f>
        <v/>
      </c>
    </row>
    <row r="475">
      <c r="A475" s="5" t="inlineStr">
        <is>
          <t>후성</t>
        </is>
      </c>
      <c r="B475" s="6" t="inlineStr">
        <is>
          <t>093370</t>
        </is>
      </c>
      <c r="C475" s="6" t="inlineStr">
        <is>
          <t>2025Q2</t>
        </is>
      </c>
      <c r="D475" s="6" t="inlineStr">
        <is>
          <t>20250814</t>
        </is>
      </c>
      <c r="E475" s="16" t="n">
        <v>37634843</v>
      </c>
      <c r="F475" s="16" t="inlineStr"/>
      <c r="G475" s="16" t="n">
        <v>3900669</v>
      </c>
      <c r="H475" s="6" t="inlineStr">
        <is>
          <t>USD</t>
        </is>
      </c>
      <c r="I475" s="17" t="n">
        <v>-70.7</v>
      </c>
      <c r="J475" s="18" t="n">
        <v>28434144</v>
      </c>
      <c r="K475" s="19" t="n">
        <v>23769681</v>
      </c>
      <c r="L475" s="18" t="n">
        <v>20061523</v>
      </c>
      <c r="M475" s="19" t="n">
        <v>15908228</v>
      </c>
      <c r="N475" s="18" t="n">
        <v>13324122</v>
      </c>
      <c r="O475" s="19" t="n">
        <v>3900669</v>
      </c>
      <c r="P475" s="18" t="inlineStr"/>
      <c r="Q475" s="19" t="inlineStr"/>
      <c r="R475" s="18" t="inlineStr"/>
      <c r="S475" s="20" t="inlineStr"/>
      <c r="T475" s="6" t="n">
        <v>1</v>
      </c>
      <c r="U475" s="5" t="inlineStr">
        <is>
          <t>HW23027 / 2023-07-13 / 2025-05</t>
        </is>
      </c>
      <c r="V475" s="21">
        <f>HYPERLINK("https://dart.fss.or.kr/dsaf001/main.do?rcpNo=20250814003972", "공시열람")</f>
        <v/>
      </c>
    </row>
    <row r="476">
      <c r="A476" s="5" t="inlineStr">
        <is>
          <t>일진파워</t>
        </is>
      </c>
      <c r="B476" s="6" t="inlineStr">
        <is>
          <t>094820</t>
        </is>
      </c>
      <c r="C476" s="6" t="inlineStr">
        <is>
          <t>2026Q2</t>
        </is>
      </c>
      <c r="D476" s="6" t="inlineStr">
        <is>
          <t>20260814</t>
        </is>
      </c>
      <c r="E476" s="16" t="n">
        <v>132197</v>
      </c>
      <c r="F476" s="16" t="n">
        <v>103504</v>
      </c>
      <c r="G476" s="16" t="n">
        <v>28693</v>
      </c>
      <c r="H476" s="6" t="inlineStr">
        <is>
          <t>백만원</t>
        </is>
      </c>
      <c r="I476" s="17" t="n">
        <v>22</v>
      </c>
      <c r="J476" s="18" t="n">
        <v>28779</v>
      </c>
      <c r="K476" s="19" t="n">
        <v>20404</v>
      </c>
      <c r="L476" s="18" t="n">
        <v>15226</v>
      </c>
      <c r="M476" s="19" t="n">
        <v>10622</v>
      </c>
      <c r="N476" s="18" t="n">
        <v>11128</v>
      </c>
      <c r="O476" s="19" t="n">
        <v>23894</v>
      </c>
      <c r="P476" s="18" t="n">
        <v>43776</v>
      </c>
      <c r="Q476" s="19" t="n">
        <v>40030</v>
      </c>
      <c r="R476" s="18" t="n">
        <v>23512</v>
      </c>
      <c r="S476" s="20" t="n">
        <v>28693</v>
      </c>
      <c r="T476" s="6" t="n">
        <v>7</v>
      </c>
      <c r="U476" s="5" t="inlineStr">
        <is>
          <t>원자력 / 2025-08-25 / 2027-01-21 | 원자력 / 2025-02-25 / 2027-03-31 | 정비공사 / 2026-03-30 / 2026-08-04</t>
        </is>
      </c>
      <c r="V476" s="21">
        <f>HYPERLINK("https://dart.fss.or.kr/dsaf001/main.do?rcpNo=20260814000473", "공시열람")</f>
        <v/>
      </c>
    </row>
    <row r="477">
      <c r="A477" s="5" t="inlineStr">
        <is>
          <t>푸른로보틱스</t>
        </is>
      </c>
      <c r="B477" s="6" t="inlineStr">
        <is>
          <t>094940</t>
        </is>
      </c>
      <c r="C477" s="6" t="inlineStr">
        <is>
          <t>2026Q2</t>
        </is>
      </c>
      <c r="D477" s="6" t="inlineStr">
        <is>
          <t>20260814</t>
        </is>
      </c>
      <c r="E477" s="16" t="n">
        <v>14595036</v>
      </c>
      <c r="F477" s="16" t="n">
        <v>5483461</v>
      </c>
      <c r="G477" s="16" t="n">
        <v>9111575</v>
      </c>
      <c r="H477" s="6" t="inlineStr">
        <is>
          <t>천원</t>
        </is>
      </c>
      <c r="I477" s="17" t="n">
        <v>-7.2</v>
      </c>
      <c r="J477" s="18" t="n">
        <v>17880756</v>
      </c>
      <c r="K477" s="19" t="n">
        <v>17450361</v>
      </c>
      <c r="L477" s="18" t="n">
        <v>17450361</v>
      </c>
      <c r="M477" s="19" t="n">
        <v>13256845</v>
      </c>
      <c r="N477" s="18" t="n">
        <v>12913812</v>
      </c>
      <c r="O477" s="19" t="n">
        <v>12684123</v>
      </c>
      <c r="P477" s="18" t="n">
        <v>12599046</v>
      </c>
      <c r="Q477" s="19" t="n">
        <v>9820318</v>
      </c>
      <c r="R477" s="18" t="n">
        <v>9820318</v>
      </c>
      <c r="S477" s="20" t="n">
        <v>9111575</v>
      </c>
      <c r="T477" s="6" t="n">
        <v>2</v>
      </c>
      <c r="U477" s="5" t="inlineStr">
        <is>
          <t>무인주차장비 제품 공급 | 인도 콜카타 RVNL 역무자동화 게이트하드웨어 공급</t>
        </is>
      </c>
      <c r="V477" s="21">
        <f>HYPERLINK("https://dart.fss.or.kr/dsaf001/main.do?rcpNo=20260814004195", "공시열람")</f>
        <v/>
      </c>
    </row>
    <row r="478">
      <c r="A478" s="5" t="inlineStr">
        <is>
          <t>미래나노텍</t>
        </is>
      </c>
      <c r="B478" s="6" t="inlineStr">
        <is>
          <t>095500</t>
        </is>
      </c>
      <c r="C478" s="6" t="inlineStr">
        <is>
          <t>2024Q1</t>
        </is>
      </c>
      <c r="D478" s="6" t="inlineStr">
        <is>
          <t>20240510</t>
        </is>
      </c>
      <c r="E478" s="16" t="inlineStr"/>
      <c r="F478" s="16" t="inlineStr"/>
      <c r="G478" s="16" t="n">
        <v>11800000</v>
      </c>
      <c r="H478" s="6" t="inlineStr">
        <is>
          <t>천원</t>
        </is>
      </c>
      <c r="I478" s="17" t="n">
        <v>-58.4</v>
      </c>
      <c r="J478" s="18" t="n">
        <v>11800000</v>
      </c>
      <c r="K478" s="19" t="inlineStr"/>
      <c r="L478" s="18" t="inlineStr"/>
      <c r="M478" s="19" t="inlineStr"/>
      <c r="N478" s="18" t="inlineStr"/>
      <c r="O478" s="19" t="inlineStr"/>
      <c r="P478" s="18" t="inlineStr"/>
      <c r="Q478" s="19" t="inlineStr"/>
      <c r="R478" s="18" t="inlineStr"/>
      <c r="S478" s="20" t="inlineStr"/>
      <c r="T478" s="6" t="n">
        <v>4</v>
      </c>
      <c r="U478" s="5" t="inlineStr">
        <is>
          <t>통화옵션 / 국민은행 / 2022-05-31 | 통화옵션 / 농협은행 / 2022-06-08 | 통화옵션 / 농협은행 / 2022-06-13</t>
        </is>
      </c>
      <c r="V478" s="21">
        <f>HYPERLINK("https://dart.fss.or.kr/dsaf001/main.do?rcpNo=20240510001030", "공시열람")</f>
        <v/>
      </c>
    </row>
    <row r="479">
      <c r="A479" s="5" t="inlineStr">
        <is>
          <t>테스</t>
        </is>
      </c>
      <c r="B479" s="6" t="inlineStr">
        <is>
          <t>095610</t>
        </is>
      </c>
      <c r="C479" s="6" t="inlineStr">
        <is>
          <t>2026Q2</t>
        </is>
      </c>
      <c r="D479" s="6" t="inlineStr">
        <is>
          <t>20260813</t>
        </is>
      </c>
      <c r="E479" s="16" t="n">
        <v>427858</v>
      </c>
      <c r="F479" s="16" t="n">
        <v>220914</v>
      </c>
      <c r="G479" s="16" t="n">
        <v>206944</v>
      </c>
      <c r="H479" s="6" t="inlineStr">
        <is>
          <t>백만원</t>
        </is>
      </c>
      <c r="I479" s="17" t="n">
        <v>42.2</v>
      </c>
      <c r="J479" s="18" t="n">
        <v>22237</v>
      </c>
      <c r="K479" s="19" t="n">
        <v>46000</v>
      </c>
      <c r="L479" s="18" t="n">
        <v>48835</v>
      </c>
      <c r="M479" s="19" t="n">
        <v>24383</v>
      </c>
      <c r="N479" s="18" t="n">
        <v>55167</v>
      </c>
      <c r="O479" s="19" t="n">
        <v>56313</v>
      </c>
      <c r="P479" s="18" t="n">
        <v>78264</v>
      </c>
      <c r="Q479" s="19" t="n">
        <v>41221</v>
      </c>
      <c r="R479" s="18" t="n">
        <v>145538</v>
      </c>
      <c r="S479" s="20" t="n">
        <v>206944</v>
      </c>
      <c r="T479" s="6" t="n">
        <v>1</v>
      </c>
      <c r="U479" s="5" t="inlineStr">
        <is>
          <t>반도체 /디스플레이/UVC LED 장비 등 / -</t>
        </is>
      </c>
      <c r="V479" s="21">
        <f>HYPERLINK("https://dart.fss.or.kr/dsaf001/main.do?rcpNo=20260813000486", "공시열람")</f>
        <v/>
      </c>
    </row>
    <row r="480">
      <c r="A480" s="5" t="inlineStr">
        <is>
          <t>에스에너지</t>
        </is>
      </c>
      <c r="B480" s="6" t="inlineStr">
        <is>
          <t>095910</t>
        </is>
      </c>
      <c r="C480" s="6" t="inlineStr">
        <is>
          <t>2026Q2</t>
        </is>
      </c>
      <c r="D480" s="6" t="inlineStr">
        <is>
          <t>20260814</t>
        </is>
      </c>
      <c r="E480" s="16" t="n">
        <v>46370029</v>
      </c>
      <c r="F480" s="16" t="n">
        <v>30938511</v>
      </c>
      <c r="G480" s="16" t="n">
        <v>15431517</v>
      </c>
      <c r="H480" s="6" t="inlineStr">
        <is>
          <t>EA,천원</t>
        </is>
      </c>
      <c r="I480" s="17" t="n">
        <v>-18.1</v>
      </c>
      <c r="J480" s="18" t="n">
        <v>169150984</v>
      </c>
      <c r="K480" s="19" t="n">
        <v>165127141</v>
      </c>
      <c r="L480" s="18" t="n">
        <v>180372638</v>
      </c>
      <c r="M480" s="19" t="n">
        <v>164914115</v>
      </c>
      <c r="N480" s="18" t="n">
        <v>158516540</v>
      </c>
      <c r="O480" s="19" t="n">
        <v>7035343</v>
      </c>
      <c r="P480" s="18" t="n">
        <v>1437747</v>
      </c>
      <c r="Q480" s="19" t="n">
        <v>5812025</v>
      </c>
      <c r="R480" s="18" t="n">
        <v>18838280</v>
      </c>
      <c r="S480" s="20" t="n">
        <v>15431517</v>
      </c>
      <c r="T480" s="6" t="n">
        <v>7</v>
      </c>
      <c r="U480" s="5" t="inlineStr">
        <is>
          <t>시스템(건설) | 태양광 모듈 납품 | 시스템(건설)</t>
        </is>
      </c>
      <c r="V480" s="21">
        <f>HYPERLINK("https://dart.fss.or.kr/dsaf001/main.do?rcpNo=20260814003270", "공시열람")</f>
        <v/>
      </c>
    </row>
    <row r="481">
      <c r="A481" s="5" t="inlineStr">
        <is>
          <t>대창솔루션</t>
        </is>
      </c>
      <c r="B481" s="6" t="inlineStr">
        <is>
          <t>096350</t>
        </is>
      </c>
      <c r="C481" s="6" t="inlineStr">
        <is>
          <t>2026Q2</t>
        </is>
      </c>
      <c r="D481" s="6" t="inlineStr">
        <is>
          <t>20260814</t>
        </is>
      </c>
      <c r="E481" s="16" t="inlineStr"/>
      <c r="F481" s="16" t="inlineStr"/>
      <c r="G481" s="16" t="n">
        <v>69605</v>
      </c>
      <c r="H481" s="6" t="inlineStr">
        <is>
          <t>백만원</t>
        </is>
      </c>
      <c r="I481" s="17" t="n">
        <v>-1.4</v>
      </c>
      <c r="J481" s="18" t="n">
        <v>59206</v>
      </c>
      <c r="K481" s="19" t="n">
        <v>60522</v>
      </c>
      <c r="L481" s="18" t="n">
        <v>49773</v>
      </c>
      <c r="M481" s="19" t="n">
        <v>59090</v>
      </c>
      <c r="N481" s="18" t="n">
        <v>57304</v>
      </c>
      <c r="O481" s="19" t="n">
        <v>55978</v>
      </c>
      <c r="P481" s="18" t="n">
        <v>56480</v>
      </c>
      <c r="Q481" s="19" t="n">
        <v>67281</v>
      </c>
      <c r="R481" s="18" t="n">
        <v>70580</v>
      </c>
      <c r="S481" s="20" t="n">
        <v>69605</v>
      </c>
      <c r="T481" s="6" t="n">
        <v>1</v>
      </c>
      <c r="U481" s="5" t="inlineStr">
        <is>
          <t>해양솔루션 부문원전폐기물 부문발전설비 부문조선기자재 부</t>
        </is>
      </c>
      <c r="V481" s="21">
        <f>HYPERLINK("https://dart.fss.or.kr/dsaf001/main.do?rcpNo=20260814002756", "공시열람")</f>
        <v/>
      </c>
    </row>
    <row r="482">
      <c r="A482" s="5" t="inlineStr">
        <is>
          <t>에이루트</t>
        </is>
      </c>
      <c r="B482" s="6" t="inlineStr">
        <is>
          <t>096690</t>
        </is>
      </c>
      <c r="C482" s="6" t="inlineStr">
        <is>
          <t>2026Q2</t>
        </is>
      </c>
      <c r="D482" s="6" t="inlineStr">
        <is>
          <t>20260814</t>
        </is>
      </c>
      <c r="E482" s="16" t="n">
        <v>6247</v>
      </c>
      <c r="F482" s="16" t="n">
        <v>2251</v>
      </c>
      <c r="G482" s="16" t="n">
        <v>3996</v>
      </c>
      <c r="H482" s="6" t="inlineStr">
        <is>
          <t>대,백만원</t>
        </is>
      </c>
      <c r="I482" s="17" t="n">
        <v>-5.8</v>
      </c>
      <c r="J482" s="18" t="n">
        <v>5211</v>
      </c>
      <c r="K482" s="19" t="n">
        <v>4992</v>
      </c>
      <c r="L482" s="18" t="n">
        <v>4910</v>
      </c>
      <c r="M482" s="19" t="n">
        <v>4732</v>
      </c>
      <c r="N482" s="18" t="n">
        <v>4493</v>
      </c>
      <c r="O482" s="19" t="n">
        <v>4419</v>
      </c>
      <c r="P482" s="18" t="n">
        <v>4393</v>
      </c>
      <c r="Q482" s="19" t="n">
        <v>4316</v>
      </c>
      <c r="R482" s="18" t="n">
        <v>4244</v>
      </c>
      <c r="S482" s="20" t="n">
        <v>3996</v>
      </c>
      <c r="T482" s="6" t="n">
        <v>1</v>
      </c>
      <c r="U482" s="5" t="inlineStr">
        <is>
          <t>미니프린터 / 2021.07.30 / 2026.12.3</t>
        </is>
      </c>
      <c r="V482" s="21">
        <f>HYPERLINK("https://dart.fss.or.kr/dsaf001/main.do?rcpNo=20260814003407", "공시열람")</f>
        <v/>
      </c>
    </row>
    <row r="483">
      <c r="A483" s="5" t="inlineStr">
        <is>
          <t>SK이노베이션</t>
        </is>
      </c>
      <c r="B483" s="6" t="inlineStr">
        <is>
          <t>096770</t>
        </is>
      </c>
      <c r="C483" s="6" t="inlineStr">
        <is>
          <t>2026Q2</t>
        </is>
      </c>
      <c r="D483" s="6" t="inlineStr">
        <is>
          <t>20260814</t>
        </is>
      </c>
      <c r="E483" s="16" t="n">
        <v>3858735</v>
      </c>
      <c r="F483" s="16" t="n">
        <v>3858735</v>
      </c>
      <c r="G483" s="16" t="n">
        <v>0</v>
      </c>
      <c r="H483" s="6" t="inlineStr">
        <is>
          <t>천배럴,백만원</t>
        </is>
      </c>
      <c r="I483" s="17" t="inlineStr"/>
      <c r="J483" s="18" t="n">
        <v>0</v>
      </c>
      <c r="K483" s="19" t="n">
        <v>0</v>
      </c>
      <c r="L483" s="18" t="n">
        <v>0</v>
      </c>
      <c r="M483" s="19" t="n">
        <v>0</v>
      </c>
      <c r="N483" s="18" t="n">
        <v>0</v>
      </c>
      <c r="O483" s="19" t="n">
        <v>0</v>
      </c>
      <c r="P483" s="18" t="n">
        <v>0</v>
      </c>
      <c r="Q483" s="19" t="n">
        <v>0</v>
      </c>
      <c r="R483" s="18" t="n">
        <v>0</v>
      </c>
      <c r="S483" s="20" t="n">
        <v>0</v>
      </c>
      <c r="T483" s="6" t="n">
        <v>8</v>
      </c>
      <c r="U483" s="5" t="inlineStr">
        <is>
          <t>한전 자회사 / 석유제품 / '26-01-01 / '2 | 한국군 / 석유제품 / '26-01-01 / '26-0 | 항공사 / 석유제품 / '26-01-01 / '26-0</t>
        </is>
      </c>
      <c r="V483" s="21">
        <f>HYPERLINK("https://dart.fss.or.kr/dsaf001/main.do?rcpNo=20260814002500", "공시열람")</f>
        <v/>
      </c>
    </row>
    <row r="484">
      <c r="A484" s="5" t="inlineStr">
        <is>
          <t>HJ중공업</t>
        </is>
      </c>
      <c r="B484" s="6" t="inlineStr">
        <is>
          <t>097230</t>
        </is>
      </c>
      <c r="C484" s="6" t="inlineStr">
        <is>
          <t>2026Q2</t>
        </is>
      </c>
      <c r="D484" s="6" t="inlineStr">
        <is>
          <t>20260812</t>
        </is>
      </c>
      <c r="E484" s="16" t="n">
        <v>11121142</v>
      </c>
      <c r="F484" s="16" t="n">
        <v>2790393</v>
      </c>
      <c r="G484" s="16" t="n">
        <v>8330749</v>
      </c>
      <c r="H484" s="6" t="inlineStr">
        <is>
          <t>백만원</t>
        </is>
      </c>
      <c r="I484" s="17" t="n">
        <v>36345.7</v>
      </c>
      <c r="J484" s="18" t="n">
        <v>5488310</v>
      </c>
      <c r="K484" s="19" t="n">
        <v>12651</v>
      </c>
      <c r="L484" s="18" t="n">
        <v>10689</v>
      </c>
      <c r="M484" s="19" t="n">
        <v>7354736</v>
      </c>
      <c r="N484" s="18" t="n">
        <v>19049</v>
      </c>
      <c r="O484" s="19" t="n">
        <v>19467</v>
      </c>
      <c r="P484" s="18" t="n">
        <v>21026</v>
      </c>
      <c r="Q484" s="19" t="n">
        <v>21653</v>
      </c>
      <c r="R484" s="18" t="n">
        <v>22858</v>
      </c>
      <c r="S484" s="20" t="n">
        <v>8330749</v>
      </c>
      <c r="T484" s="6" t="n">
        <v>71</v>
      </c>
      <c r="U484" s="5" t="inlineStr">
        <is>
          <t>기타 | 수도권광역급행철도 B노선 3-2공구 / 국가철도공단 / | 신분당선 광교~호매실 복선전철1공구 건설공사 / 국가철</t>
        </is>
      </c>
      <c r="V484" s="21">
        <f>HYPERLINK("https://dart.fss.or.kr/dsaf001/main.do?rcpNo=20260812000297", "공시열람")</f>
        <v/>
      </c>
    </row>
    <row r="485">
      <c r="A485" s="5" t="inlineStr">
        <is>
          <t>한텍</t>
        </is>
      </c>
      <c r="B485" s="6" t="inlineStr">
        <is>
          <t>098070</t>
        </is>
      </c>
      <c r="C485" s="6" t="inlineStr">
        <is>
          <t>2026Q2</t>
        </is>
      </c>
      <c r="D485" s="6" t="inlineStr">
        <is>
          <t>20260814</t>
        </is>
      </c>
      <c r="E485" s="16" t="n">
        <v>330437</v>
      </c>
      <c r="F485" s="16" t="n">
        <v>153471</v>
      </c>
      <c r="G485" s="16" t="n">
        <v>176966</v>
      </c>
      <c r="H485" s="6" t="inlineStr"/>
      <c r="I485" s="17" t="n">
        <v>-99.7</v>
      </c>
      <c r="J485" s="18" t="inlineStr"/>
      <c r="K485" s="19" t="inlineStr"/>
      <c r="L485" s="18" t="inlineStr"/>
      <c r="M485" s="19" t="n">
        <v>31026697</v>
      </c>
      <c r="N485" s="18" t="n">
        <v>42783377</v>
      </c>
      <c r="O485" s="19" t="n">
        <v>28589406</v>
      </c>
      <c r="P485" s="18" t="n">
        <v>37212014</v>
      </c>
      <c r="Q485" s="19" t="n">
        <v>160413</v>
      </c>
      <c r="R485" s="18" t="n">
        <v>59879252</v>
      </c>
      <c r="S485" s="20" t="n">
        <v>176966</v>
      </c>
      <c r="T485" s="6" t="n">
        <v>1</v>
      </c>
      <c r="U485" s="5" t="inlineStr">
        <is>
          <t>열교환기 외 / -</t>
        </is>
      </c>
      <c r="V485" s="21">
        <f>HYPERLINK("https://dart.fss.or.kr/dsaf001/main.do?rcpNo=20260814002456", "공시열람")</f>
        <v/>
      </c>
    </row>
    <row r="486">
      <c r="A486" s="5" t="inlineStr">
        <is>
          <t>SDN</t>
        </is>
      </c>
      <c r="B486" s="6" t="inlineStr">
        <is>
          <t>099220</t>
        </is>
      </c>
      <c r="C486" s="6" t="inlineStr">
        <is>
          <t>2026Q2</t>
        </is>
      </c>
      <c r="D486" s="6" t="inlineStr">
        <is>
          <t>20260814</t>
        </is>
      </c>
      <c r="E486" s="16" t="n">
        <v>35492</v>
      </c>
      <c r="F486" s="16" t="n">
        <v>8501</v>
      </c>
      <c r="G486" s="16" t="n">
        <v>26991</v>
      </c>
      <c r="H486" s="6" t="inlineStr">
        <is>
          <t>백만원</t>
        </is>
      </c>
      <c r="I486" s="17" t="n">
        <v>-7.8</v>
      </c>
      <c r="J486" s="18" t="n">
        <v>24772</v>
      </c>
      <c r="K486" s="19" t="n">
        <v>24181</v>
      </c>
      <c r="L486" s="18" t="n">
        <v>34901</v>
      </c>
      <c r="M486" s="19" t="n">
        <v>33560</v>
      </c>
      <c r="N486" s="18" t="n">
        <v>33560</v>
      </c>
      <c r="O486" s="19" t="n">
        <v>30441</v>
      </c>
      <c r="P486" s="18" t="n">
        <v>30441</v>
      </c>
      <c r="Q486" s="19" t="n">
        <v>29779</v>
      </c>
      <c r="R486" s="18" t="n">
        <v>29283</v>
      </c>
      <c r="S486" s="20" t="n">
        <v>26991</v>
      </c>
      <c r="T486" s="6" t="n">
        <v>2</v>
      </c>
      <c r="U486" s="5" t="inlineStr">
        <is>
          <t>태양광모듈 외 / 24.03.26 / 28.12.31 | 태양광발전소건설공사 / 24.06.03 / 27.12.</t>
        </is>
      </c>
      <c r="V486" s="21">
        <f>HYPERLINK("https://dart.fss.or.kr/dsaf001/main.do?rcpNo=20260814002380", "공시열람")</f>
        <v/>
      </c>
    </row>
    <row r="487">
      <c r="A487" s="5" t="inlineStr">
        <is>
          <t>쎄트렉아이</t>
        </is>
      </c>
      <c r="B487" s="6" t="inlineStr">
        <is>
          <t>099320</t>
        </is>
      </c>
      <c r="C487" s="6" t="inlineStr">
        <is>
          <t>2026Q2</t>
        </is>
      </c>
      <c r="D487" s="6" t="inlineStr">
        <is>
          <t>20260813</t>
        </is>
      </c>
      <c r="E487" s="16" t="n">
        <v>11477</v>
      </c>
      <c r="F487" s="16" t="n">
        <v>5903</v>
      </c>
      <c r="G487" s="16" t="n">
        <v>5574</v>
      </c>
      <c r="H487" s="6" t="inlineStr">
        <is>
          <t>억원</t>
        </is>
      </c>
      <c r="I487" s="17" t="n">
        <v>-2</v>
      </c>
      <c r="J487" s="18" t="n">
        <v>3377</v>
      </c>
      <c r="K487" s="19" t="n">
        <v>3936</v>
      </c>
      <c r="L487" s="18" t="n">
        <v>5417</v>
      </c>
      <c r="M487" s="19" t="n">
        <v>5110</v>
      </c>
      <c r="N487" s="18" t="n">
        <v>4755</v>
      </c>
      <c r="O487" s="19" t="n">
        <v>4462</v>
      </c>
      <c r="P487" s="18" t="n">
        <v>4088</v>
      </c>
      <c r="Q487" s="19" t="n">
        <v>3458</v>
      </c>
      <c r="R487" s="18" t="n">
        <v>5690</v>
      </c>
      <c r="S487" s="20" t="n">
        <v>5574</v>
      </c>
      <c r="T487" s="6" t="n">
        <v>1</v>
      </c>
      <c r="U487" s="5" t="inlineStr">
        <is>
          <t>위성사업 / -</t>
        </is>
      </c>
      <c r="V487" s="21">
        <f>HYPERLINK("https://dart.fss.or.kr/dsaf001/main.do?rcpNo=20260813001317", "공시열람")</f>
        <v/>
      </c>
    </row>
    <row r="488">
      <c r="A488" s="5" t="inlineStr">
        <is>
          <t>스맥</t>
        </is>
      </c>
      <c r="B488" s="6" t="inlineStr">
        <is>
          <t>099440</t>
        </is>
      </c>
      <c r="C488" s="6" t="inlineStr">
        <is>
          <t>2026Q2</t>
        </is>
      </c>
      <c r="D488" s="6" t="inlineStr">
        <is>
          <t>20260814</t>
        </is>
      </c>
      <c r="E488" s="16" t="n">
        <v>145850</v>
      </c>
      <c r="F488" s="16" t="n">
        <v>71500</v>
      </c>
      <c r="G488" s="16" t="n">
        <v>97050</v>
      </c>
      <c r="H488" s="6" t="inlineStr">
        <is>
          <t>대/백만원</t>
        </is>
      </c>
      <c r="I488" s="17" t="n">
        <v>36.9</v>
      </c>
      <c r="J488" s="18" t="n">
        <v>55259</v>
      </c>
      <c r="K488" s="19" t="n">
        <v>50050</v>
      </c>
      <c r="L488" s="18" t="n">
        <v>43887</v>
      </c>
      <c r="M488" s="19" t="n">
        <v>44440</v>
      </c>
      <c r="N488" s="18" t="n">
        <v>47944</v>
      </c>
      <c r="O488" s="19" t="n">
        <v>41714</v>
      </c>
      <c r="P488" s="18" t="n">
        <v>34254</v>
      </c>
      <c r="Q488" s="19" t="n">
        <v>66798</v>
      </c>
      <c r="R488" s="18" t="n">
        <v>70885</v>
      </c>
      <c r="S488" s="20" t="n">
        <v>97050</v>
      </c>
      <c r="T488" s="6" t="n">
        <v>2</v>
      </c>
      <c r="U488" s="5" t="inlineStr">
        <is>
          <t>MCT / ~ 2026-06-30 / ~ 2027-07 | CNC선반 / ~ 2026-06-30 / ~ 2027-</t>
        </is>
      </c>
      <c r="V488" s="21">
        <f>HYPERLINK("https://dart.fss.or.kr/dsaf001/main.do?rcpNo=20260814002700", "공시열람")</f>
        <v/>
      </c>
    </row>
    <row r="489">
      <c r="A489" s="5" t="inlineStr">
        <is>
          <t>DGI</t>
        </is>
      </c>
      <c r="B489" s="6" t="inlineStr">
        <is>
          <t>099520</t>
        </is>
      </c>
      <c r="C489" s="6" t="inlineStr">
        <is>
          <t>2026Q2</t>
        </is>
      </c>
      <c r="D489" s="6" t="inlineStr">
        <is>
          <t>20261001</t>
        </is>
      </c>
      <c r="E489" s="16" t="n">
        <v>88308</v>
      </c>
      <c r="F489" s="16" t="n">
        <v>18877</v>
      </c>
      <c r="G489" s="16" t="n">
        <v>69431</v>
      </c>
      <c r="H489" s="6" t="inlineStr">
        <is>
          <t>백만원</t>
        </is>
      </c>
      <c r="I489" s="17" t="n">
        <v>405.9</v>
      </c>
      <c r="J489" s="18" t="inlineStr"/>
      <c r="K489" s="19" t="inlineStr"/>
      <c r="L489" s="18" t="inlineStr"/>
      <c r="M489" s="19" t="n">
        <v>7418</v>
      </c>
      <c r="N489" s="18" t="n">
        <v>22168</v>
      </c>
      <c r="O489" s="19" t="n">
        <v>7168</v>
      </c>
      <c r="P489" s="18" t="n">
        <v>17512</v>
      </c>
      <c r="Q489" s="19" t="n">
        <v>17944</v>
      </c>
      <c r="R489" s="18" t="n">
        <v>13723</v>
      </c>
      <c r="S489" s="20" t="n">
        <v>69431</v>
      </c>
      <c r="T489" s="6" t="n">
        <v>7</v>
      </c>
      <c r="U489" s="5" t="inlineStr">
        <is>
          <t>해상풍력 EPC / 2026.04.23 / 2027.0 | 해상풍력 기자재운송 / 2026.04.23 / 2028 | 해상풍력 EPC / 2026.04.23 / 2028.0</t>
        </is>
      </c>
      <c r="V489" s="21">
        <f>HYPERLINK("https://dart.fss.or.kr/dsaf001/main.do?rcpNo=20261001000320", "공시열람")</f>
        <v/>
      </c>
    </row>
    <row r="490">
      <c r="A490" s="5" t="inlineStr">
        <is>
          <t>이지케어텍</t>
        </is>
      </c>
      <c r="B490" s="6" t="inlineStr">
        <is>
          <t>099750</t>
        </is>
      </c>
      <c r="C490" s="6" t="inlineStr">
        <is>
          <t>2026Q2</t>
        </is>
      </c>
      <c r="D490" s="6" t="inlineStr">
        <is>
          <t>20260807</t>
        </is>
      </c>
      <c r="E490" s="16" t="n">
        <v>143772</v>
      </c>
      <c r="F490" s="16" t="n">
        <v>88051</v>
      </c>
      <c r="G490" s="16" t="n">
        <v>55721</v>
      </c>
      <c r="H490" s="6" t="inlineStr">
        <is>
          <t>백만원</t>
        </is>
      </c>
      <c r="I490" s="17" t="n">
        <v>-18.4</v>
      </c>
      <c r="J490" s="18" t="n">
        <v>55194</v>
      </c>
      <c r="K490" s="19" t="n">
        <v>48338</v>
      </c>
      <c r="L490" s="18" t="n">
        <v>42200</v>
      </c>
      <c r="M490" s="19" t="n">
        <v>41625</v>
      </c>
      <c r="N490" s="18" t="n">
        <v>58466</v>
      </c>
      <c r="O490" s="19" t="n">
        <v>63507</v>
      </c>
      <c r="P490" s="18" t="n">
        <v>64624</v>
      </c>
      <c r="Q490" s="19" t="n">
        <v>74850</v>
      </c>
      <c r="R490" s="18" t="n">
        <v>68245</v>
      </c>
      <c r="S490" s="20" t="n">
        <v>55721</v>
      </c>
      <c r="T490" s="6" t="n">
        <v>2</v>
      </c>
      <c r="U490" s="5" t="inlineStr">
        <is>
          <t>의료정보시스템 운영 밎 유지보수 / 2023.11.15 | 의료정보시스템 개발 및 판매 / 2021.10.27 /</t>
        </is>
      </c>
      <c r="V490" s="21">
        <f>HYPERLINK("https://dart.fss.or.kr/dsaf001/main.do?rcpNo=20260807000168", "공시열람")</f>
        <v/>
      </c>
    </row>
    <row r="491">
      <c r="A491" s="5" t="inlineStr">
        <is>
          <t>SK오션플랜트</t>
        </is>
      </c>
      <c r="B491" s="6" t="inlineStr">
        <is>
          <t>100090</t>
        </is>
      </c>
      <c r="C491" s="6" t="inlineStr">
        <is>
          <t>2026Q2</t>
        </is>
      </c>
      <c r="D491" s="6" t="inlineStr">
        <is>
          <t>20260814</t>
        </is>
      </c>
      <c r="E491" s="16" t="inlineStr"/>
      <c r="F491" s="16" t="inlineStr"/>
      <c r="G491" s="16" t="n">
        <v>76190122.92</v>
      </c>
      <c r="H491" s="6" t="inlineStr">
        <is>
          <t>USD</t>
        </is>
      </c>
      <c r="I491" s="17" t="n">
        <v>5.1</v>
      </c>
      <c r="J491" s="18" t="n">
        <v>638515958</v>
      </c>
      <c r="K491" s="19" t="n">
        <v>592446760</v>
      </c>
      <c r="L491" s="18" t="n">
        <v>715643697</v>
      </c>
      <c r="M491" s="19" t="n">
        <v>1196760</v>
      </c>
      <c r="N491" s="18" t="n">
        <v>773150448</v>
      </c>
      <c r="O491" s="19" t="n">
        <v>569760189</v>
      </c>
      <c r="P491" s="18" t="n">
        <v>387739573</v>
      </c>
      <c r="Q491" s="19" t="n">
        <v>256534425</v>
      </c>
      <c r="R491" s="18" t="n">
        <v>72500195</v>
      </c>
      <c r="S491" s="20" t="n">
        <v>76190122.92</v>
      </c>
      <c r="T491" s="6" t="n">
        <v>2</v>
      </c>
      <c r="U491" s="5" t="inlineStr">
        <is>
          <t>통화선도 / 공정가치위험회피 / 2024.05~2024 | 통화선도 / 이자율스왑 / 2023.08.31 / 20</t>
        </is>
      </c>
      <c r="V491" s="21">
        <f>HYPERLINK("https://dart.fss.or.kr/dsaf001/main.do?rcpNo=20260814000534", "공시열람")</f>
        <v/>
      </c>
    </row>
    <row r="492">
      <c r="A492" s="5" t="inlineStr">
        <is>
          <t>동국S&amp;C</t>
        </is>
      </c>
      <c r="B492" s="6" t="inlineStr">
        <is>
          <t>100130</t>
        </is>
      </c>
      <c r="C492" s="6" t="inlineStr">
        <is>
          <t>2026Q2</t>
        </is>
      </c>
      <c r="D492" s="6" t="inlineStr">
        <is>
          <t>20260813</t>
        </is>
      </c>
      <c r="E492" s="16" t="n">
        <v>126840</v>
      </c>
      <c r="F492" s="16" t="n">
        <v>31101</v>
      </c>
      <c r="G492" s="16" t="n">
        <v>95739</v>
      </c>
      <c r="H492" s="6" t="inlineStr">
        <is>
          <t>백만원</t>
        </is>
      </c>
      <c r="I492" s="17" t="n">
        <v>45.6</v>
      </c>
      <c r="J492" s="18" t="n">
        <v>177277134</v>
      </c>
      <c r="K492" s="19" t="n">
        <v>145264</v>
      </c>
      <c r="L492" s="18" t="n">
        <v>150197</v>
      </c>
      <c r="M492" s="19" t="n">
        <v>153382</v>
      </c>
      <c r="N492" s="18" t="n">
        <v>115187</v>
      </c>
      <c r="O492" s="19" t="n">
        <v>87559</v>
      </c>
      <c r="P492" s="18" t="n">
        <v>60373086</v>
      </c>
      <c r="Q492" s="19" t="n">
        <v>64204</v>
      </c>
      <c r="R492" s="18" t="n">
        <v>65738</v>
      </c>
      <c r="S492" s="20" t="n">
        <v>95739</v>
      </c>
      <c r="T492" s="6" t="n">
        <v>2</v>
      </c>
      <c r="U492" s="5" t="inlineStr">
        <is>
          <t>WIND-TOWER / ~ 2026. 6. 30 / 2 | 건설, 에너지 개발사업 / ~ 2026. 6. 30 /</t>
        </is>
      </c>
      <c r="V492" s="21">
        <f>HYPERLINK("https://dart.fss.or.kr/dsaf001/main.do?rcpNo=20260813000877", "공시열람")</f>
        <v/>
      </c>
    </row>
    <row r="493">
      <c r="A493" s="5" t="inlineStr">
        <is>
          <t>SNT에너지</t>
        </is>
      </c>
      <c r="B493" s="6" t="inlineStr">
        <is>
          <t>100840</t>
        </is>
      </c>
      <c r="C493" s="6" t="inlineStr">
        <is>
          <t>2026Q2</t>
        </is>
      </c>
      <c r="D493" s="6" t="inlineStr">
        <is>
          <t>20260812</t>
        </is>
      </c>
      <c r="E493" s="16" t="inlineStr"/>
      <c r="F493" s="16" t="inlineStr"/>
      <c r="G493" s="16" t="n">
        <v>518005391</v>
      </c>
      <c r="H493" s="6" t="inlineStr">
        <is>
          <t>천원</t>
        </is>
      </c>
      <c r="I493" s="17" t="n">
        <v>42.8</v>
      </c>
      <c r="J493" s="18" t="n">
        <v>378660721</v>
      </c>
      <c r="K493" s="19" t="n">
        <v>510880784</v>
      </c>
      <c r="L493" s="18" t="n">
        <v>542414205</v>
      </c>
      <c r="M493" s="19" t="n">
        <v>714054404</v>
      </c>
      <c r="N493" s="18" t="n">
        <v>869785741</v>
      </c>
      <c r="O493" s="19" t="n">
        <v>713313296</v>
      </c>
      <c r="P493" s="18" t="n">
        <v>626102886</v>
      </c>
      <c r="Q493" s="19" t="n">
        <v>594100509</v>
      </c>
      <c r="R493" s="18" t="n">
        <v>362796490</v>
      </c>
      <c r="S493" s="20" t="n">
        <v>518005391</v>
      </c>
      <c r="T493" s="6" t="n">
        <v>2</v>
      </c>
      <c r="U493" s="5" t="inlineStr">
        <is>
          <t>해 외 | 국 내</t>
        </is>
      </c>
      <c r="V493" s="21">
        <f>HYPERLINK("https://dart.fss.or.kr/dsaf001/main.do?rcpNo=20260812000070", "공시열람")</f>
        <v/>
      </c>
    </row>
    <row r="494">
      <c r="A494" s="5" t="inlineStr">
        <is>
          <t>KS인더스트리</t>
        </is>
      </c>
      <c r="B494" s="6" t="inlineStr">
        <is>
          <t>101000</t>
        </is>
      </c>
      <c r="C494" s="6" t="inlineStr">
        <is>
          <t>2026Q2</t>
        </is>
      </c>
      <c r="D494" s="6" t="inlineStr">
        <is>
          <t>20261007</t>
        </is>
      </c>
      <c r="E494" s="16" t="n">
        <v>74717</v>
      </c>
      <c r="F494" s="16" t="n">
        <v>15746</v>
      </c>
      <c r="G494" s="16" t="n">
        <v>58971</v>
      </c>
      <c r="H494" s="6" t="inlineStr">
        <is>
          <t>백만원</t>
        </is>
      </c>
      <c r="I494" s="17" t="n">
        <v>-5.8</v>
      </c>
      <c r="J494" s="18" t="n">
        <v>60280</v>
      </c>
      <c r="K494" s="19" t="n">
        <v>46368</v>
      </c>
      <c r="L494" s="18" t="n">
        <v>45528</v>
      </c>
      <c r="M494" s="19" t="n">
        <v>50431</v>
      </c>
      <c r="N494" s="18" t="n">
        <v>55053</v>
      </c>
      <c r="O494" s="19" t="n">
        <v>55938</v>
      </c>
      <c r="P494" s="18" t="n">
        <v>51504</v>
      </c>
      <c r="Q494" s="19" t="n">
        <v>53494</v>
      </c>
      <c r="R494" s="18" t="n">
        <v>62575</v>
      </c>
      <c r="S494" s="20" t="n">
        <v>58971</v>
      </c>
      <c r="T494" s="6" t="n">
        <v>2</v>
      </c>
      <c r="U494" s="5" t="inlineStr">
        <is>
          <t>선박구성부분품 제조 / - | 기자재 판매 및 수리 / -</t>
        </is>
      </c>
      <c r="V494" s="21">
        <f>HYPERLINK("https://dart.fss.or.kr/dsaf001/main.do?rcpNo=20261007000070", "공시열람")</f>
        <v/>
      </c>
    </row>
    <row r="495">
      <c r="A495" s="5" t="inlineStr">
        <is>
          <t>하이드로리튬</t>
        </is>
      </c>
      <c r="B495" s="6" t="inlineStr">
        <is>
          <t>101670</t>
        </is>
      </c>
      <c r="C495" s="6" t="inlineStr">
        <is>
          <t>2025Q4</t>
        </is>
      </c>
      <c r="D495" s="6" t="inlineStr">
        <is>
          <t>20260724</t>
        </is>
      </c>
      <c r="E495" s="16" t="inlineStr"/>
      <c r="F495" s="16" t="inlineStr"/>
      <c r="G495" s="16" t="n">
        <v>1061277</v>
      </c>
      <c r="H495" s="6" t="inlineStr">
        <is>
          <t>천원</t>
        </is>
      </c>
      <c r="I495" s="17" t="n">
        <v>0</v>
      </c>
      <c r="J495" s="18" t="n">
        <v>10575</v>
      </c>
      <c r="K495" s="19" t="n">
        <v>9381</v>
      </c>
      <c r="L495" s="18" t="n">
        <v>1431</v>
      </c>
      <c r="M495" s="19" t="n">
        <v>3316358</v>
      </c>
      <c r="N495" s="18" t="n">
        <v>1061277</v>
      </c>
      <c r="O495" s="19" t="n">
        <v>1061277</v>
      </c>
      <c r="P495" s="18" t="n">
        <v>1061277</v>
      </c>
      <c r="Q495" s="19" t="n">
        <v>1061277</v>
      </c>
      <c r="R495" s="18" t="inlineStr"/>
      <c r="S495" s="20" t="inlineStr"/>
      <c r="T495" s="6" t="n">
        <v>5</v>
      </c>
      <c r="U495" s="5" t="inlineStr">
        <is>
          <t>상촌-황간 / - | 강진-광주1공구 / - | 강릉교동 / -</t>
        </is>
      </c>
      <c r="V495" s="21">
        <f>HYPERLINK("https://dart.fss.or.kr/dsaf001/main.do?rcpNo=20260724000378", "공시열람")</f>
        <v/>
      </c>
    </row>
    <row r="496">
      <c r="A496" s="5" t="inlineStr">
        <is>
          <t>한국정밀기계</t>
        </is>
      </c>
      <c r="B496" s="6" t="inlineStr">
        <is>
          <t>101680</t>
        </is>
      </c>
      <c r="C496" s="6" t="inlineStr">
        <is>
          <t>2026Q2</t>
        </is>
      </c>
      <c r="D496" s="6" t="inlineStr">
        <is>
          <t>20260814</t>
        </is>
      </c>
      <c r="E496" s="16" t="n">
        <v>1116</v>
      </c>
      <c r="F496" s="16" t="n">
        <v>128</v>
      </c>
      <c r="G496" s="16" t="n">
        <v>988</v>
      </c>
      <c r="H496" s="6" t="inlineStr">
        <is>
          <t>억원</t>
        </is>
      </c>
      <c r="I496" s="17" t="n">
        <v>15.8</v>
      </c>
      <c r="J496" s="18" t="n">
        <v>827</v>
      </c>
      <c r="K496" s="19" t="n">
        <v>744</v>
      </c>
      <c r="L496" s="18" t="n">
        <v>530</v>
      </c>
      <c r="M496" s="19" t="n">
        <v>503</v>
      </c>
      <c r="N496" s="18" t="n">
        <v>514</v>
      </c>
      <c r="O496" s="19" t="n">
        <v>496</v>
      </c>
      <c r="P496" s="18" t="n">
        <v>474</v>
      </c>
      <c r="Q496" s="19" t="n">
        <v>461</v>
      </c>
      <c r="R496" s="18" t="n">
        <v>853</v>
      </c>
      <c r="S496" s="20" t="n">
        <v>988</v>
      </c>
      <c r="T496" s="6" t="n">
        <v>1</v>
      </c>
      <c r="U496" s="5" t="inlineStr">
        <is>
          <t>공작기계 / 2026년 06월 30일 현재</t>
        </is>
      </c>
      <c r="V496" s="21">
        <f>HYPERLINK("https://dart.fss.or.kr/dsaf001/main.do?rcpNo=20260814002131", "공시열람")</f>
        <v/>
      </c>
    </row>
    <row r="497">
      <c r="A497" s="5" t="inlineStr">
        <is>
          <t>인화정공</t>
        </is>
      </c>
      <c r="B497" s="6" t="inlineStr">
        <is>
          <t>101930</t>
        </is>
      </c>
      <c r="C497" s="6" t="inlineStr">
        <is>
          <t>2026Q2</t>
        </is>
      </c>
      <c r="D497" s="6" t="inlineStr">
        <is>
          <t>20260814</t>
        </is>
      </c>
      <c r="E497" s="16" t="n">
        <v>137268</v>
      </c>
      <c r="F497" s="16" t="n">
        <v>58609</v>
      </c>
      <c r="G497" s="16" t="n">
        <v>78659</v>
      </c>
      <c r="H497" s="6" t="inlineStr">
        <is>
          <t>백만원</t>
        </is>
      </c>
      <c r="I497" s="17" t="n">
        <v>-3.7</v>
      </c>
      <c r="J497" s="18" t="n">
        <v>55744</v>
      </c>
      <c r="K497" s="19" t="n">
        <v>43007</v>
      </c>
      <c r="L497" s="18" t="n">
        <v>56304</v>
      </c>
      <c r="M497" s="19" t="n">
        <v>68955</v>
      </c>
      <c r="N497" s="18" t="n">
        <v>67993</v>
      </c>
      <c r="O497" s="19" t="n">
        <v>69869</v>
      </c>
      <c r="P497" s="18" t="n">
        <v>65852</v>
      </c>
      <c r="Q497" s="19" t="n">
        <v>72946</v>
      </c>
      <c r="R497" s="18" t="n">
        <v>81670</v>
      </c>
      <c r="S497" s="20" t="n">
        <v>78659</v>
      </c>
      <c r="T497" s="6" t="n">
        <v>13</v>
      </c>
      <c r="U497" s="5" t="inlineStr">
        <is>
          <t>Cylinder Cover / - | 지식산업센타(분양) / - | Frame Box / -</t>
        </is>
      </c>
      <c r="V497" s="21">
        <f>HYPERLINK("https://dart.fss.or.kr/dsaf001/main.do?rcpNo=20260814002712", "공시열람")</f>
        <v/>
      </c>
    </row>
    <row r="498">
      <c r="A498" s="5" t="inlineStr">
        <is>
          <t>우양에이치씨</t>
        </is>
      </c>
      <c r="B498" s="6" t="inlineStr">
        <is>
          <t>101970</t>
        </is>
      </c>
      <c r="C498" s="6" t="inlineStr">
        <is>
          <t>2026Q2</t>
        </is>
      </c>
      <c r="D498" s="6" t="inlineStr">
        <is>
          <t>20260814</t>
        </is>
      </c>
      <c r="E498" s="16" t="n">
        <v>161085</v>
      </c>
      <c r="F498" s="16" t="n">
        <v>52754</v>
      </c>
      <c r="G498" s="16" t="n">
        <v>108331</v>
      </c>
      <c r="H498" s="6" t="inlineStr">
        <is>
          <t>백만원</t>
        </is>
      </c>
      <c r="I498" s="17" t="n">
        <v>35.5</v>
      </c>
      <c r="J498" s="18" t="n">
        <v>103327</v>
      </c>
      <c r="K498" s="19" t="n">
        <v>107307</v>
      </c>
      <c r="L498" s="18" t="n">
        <v>111117</v>
      </c>
      <c r="M498" s="19" t="n">
        <v>100156</v>
      </c>
      <c r="N498" s="18" t="n">
        <v>74946</v>
      </c>
      <c r="O498" s="19" t="n">
        <v>67017</v>
      </c>
      <c r="P498" s="18" t="n">
        <v>112815</v>
      </c>
      <c r="Q498" s="19" t="n">
        <v>94833</v>
      </c>
      <c r="R498" s="18" t="n">
        <v>79953</v>
      </c>
      <c r="S498" s="20" t="n">
        <v>108331</v>
      </c>
      <c r="T498" s="6" t="n">
        <v>1</v>
      </c>
      <c r="U498" s="5" t="inlineStr">
        <is>
          <t>열교환기 외 / -</t>
        </is>
      </c>
      <c r="V498" s="21">
        <f>HYPERLINK("https://dart.fss.or.kr/dsaf001/main.do?rcpNo=20260814004059", "공시열람")</f>
        <v/>
      </c>
    </row>
    <row r="499">
      <c r="A499" s="5" t="inlineStr">
        <is>
          <t>동성케미컬</t>
        </is>
      </c>
      <c r="B499" s="6" t="inlineStr">
        <is>
          <t>102260</t>
        </is>
      </c>
      <c r="C499" s="6" t="inlineStr">
        <is>
          <t>2026Q2</t>
        </is>
      </c>
      <c r="D499" s="6" t="inlineStr">
        <is>
          <t>20260814</t>
        </is>
      </c>
      <c r="E499" s="16" t="n">
        <v>2417695</v>
      </c>
      <c r="F499" s="16" t="n">
        <v>376610</v>
      </c>
      <c r="G499" s="16" t="n">
        <v>2041085</v>
      </c>
      <c r="H499" s="6" t="inlineStr">
        <is>
          <t>백만원</t>
        </is>
      </c>
      <c r="I499" s="17" t="n">
        <v>-1.7</v>
      </c>
      <c r="J499" s="18" t="n">
        <v>2162743</v>
      </c>
      <c r="K499" s="19" t="n">
        <v>2134423</v>
      </c>
      <c r="L499" s="18" t="n">
        <v>1961903</v>
      </c>
      <c r="M499" s="19" t="n">
        <v>2463453</v>
      </c>
      <c r="N499" s="18" t="n">
        <v>2348386</v>
      </c>
      <c r="O499" s="19" t="n">
        <v>2029077</v>
      </c>
      <c r="P499" s="18" t="n">
        <v>2219631</v>
      </c>
      <c r="Q499" s="19" t="n">
        <v>2137675</v>
      </c>
      <c r="R499" s="18" t="n">
        <v>2076400</v>
      </c>
      <c r="S499" s="20" t="n">
        <v>2041085</v>
      </c>
      <c r="T499" s="6" t="n">
        <v>1</v>
      </c>
      <c r="U499" s="5" t="inlineStr">
        <is>
          <t>초저온보냉재 / -</t>
        </is>
      </c>
      <c r="V499" s="21">
        <f>HYPERLINK("https://dart.fss.or.kr/dsaf001/main.do?rcpNo=20260814003663", "공시열람")</f>
        <v/>
      </c>
    </row>
    <row r="500">
      <c r="A500" s="5" t="inlineStr">
        <is>
          <t>풍산</t>
        </is>
      </c>
      <c r="B500" s="6" t="inlineStr">
        <is>
          <t>103140</t>
        </is>
      </c>
      <c r="C500" s="6" t="inlineStr">
        <is>
          <t>2026Q2</t>
        </is>
      </c>
      <c r="D500" s="6" t="inlineStr">
        <is>
          <t>20260814</t>
        </is>
      </c>
      <c r="E500" s="16" t="n">
        <v>894520</v>
      </c>
      <c r="F500" s="16" t="inlineStr"/>
      <c r="G500" s="16" t="n">
        <v>894520</v>
      </c>
      <c r="H500" s="6" t="inlineStr">
        <is>
          <t>M/T,백만원</t>
        </is>
      </c>
      <c r="I500" s="17" t="n">
        <v>-92.40000000000001</v>
      </c>
      <c r="J500" s="18" t="n">
        <v>1806476</v>
      </c>
      <c r="K500" s="19" t="n">
        <v>2049935</v>
      </c>
      <c r="L500" s="18" t="n">
        <v>1954517</v>
      </c>
      <c r="M500" s="19" t="n">
        <v>2047983</v>
      </c>
      <c r="N500" s="18" t="n">
        <v>644071</v>
      </c>
      <c r="O500" s="19" t="n">
        <v>641296</v>
      </c>
      <c r="P500" s="18" t="n">
        <v>660749</v>
      </c>
      <c r="Q500" s="19" t="n">
        <v>15801794</v>
      </c>
      <c r="R500" s="18" t="n">
        <v>11733706</v>
      </c>
      <c r="S500" s="20" t="n">
        <v>894520</v>
      </c>
      <c r="T500" s="6" t="n">
        <v>8</v>
      </c>
      <c r="U500" s="5" t="inlineStr">
        <is>
          <t>판/대 / '26.7월이후 | 봉/선 / '26.7월이후 | 기타 / '26.7월이후</t>
        </is>
      </c>
      <c r="V500" s="21">
        <f>HYPERLINK("https://dart.fss.or.kr/dsaf001/main.do?rcpNo=20260814004203", "공시열람")</f>
        <v/>
      </c>
    </row>
    <row r="501">
      <c r="A501" s="5" t="inlineStr">
        <is>
          <t>에스앤더블류</t>
        </is>
      </c>
      <c r="B501" s="6" t="inlineStr">
        <is>
          <t>103230</t>
        </is>
      </c>
      <c r="C501" s="6" t="inlineStr">
        <is>
          <t>2026Q2</t>
        </is>
      </c>
      <c r="D501" s="6" t="inlineStr">
        <is>
          <t>20260814</t>
        </is>
      </c>
      <c r="E501" s="16" t="n">
        <v>31970238</v>
      </c>
      <c r="F501" s="16" t="inlineStr"/>
      <c r="G501" s="16" t="n">
        <v>18903460</v>
      </c>
      <c r="H501" s="6" t="inlineStr">
        <is>
          <t>개/천원</t>
        </is>
      </c>
      <c r="I501" s="17" t="n">
        <v>16.1</v>
      </c>
      <c r="J501" s="18" t="n">
        <v>14416190</v>
      </c>
      <c r="K501" s="19" t="n">
        <v>14811252</v>
      </c>
      <c r="L501" s="18" t="n">
        <v>13647213</v>
      </c>
      <c r="M501" s="19" t="inlineStr"/>
      <c r="N501" s="18" t="n">
        <v>16203506</v>
      </c>
      <c r="O501" s="19" t="n">
        <v>14686646</v>
      </c>
      <c r="P501" s="18" t="n">
        <v>17482991</v>
      </c>
      <c r="Q501" s="19" t="n">
        <v>15315763</v>
      </c>
      <c r="R501" s="18" t="n">
        <v>16287016</v>
      </c>
      <c r="S501" s="20" t="n">
        <v>18903460</v>
      </c>
      <c r="T501" s="6" t="n">
        <v>5</v>
      </c>
      <c r="U501" s="5" t="inlineStr">
        <is>
          <t>선박(디젤) 엔진부품 (ST/EA) / 엔진볼트(ST/ | 선박(디젤) 엔진부품 (ST/EA) / 캠/캠축(ST/ | 선박(디젤) 엔진부품 (ST/EA) / 밸브시트링외(S</t>
        </is>
      </c>
      <c r="V501" s="21">
        <f>HYPERLINK("https://dart.fss.or.kr/dsaf001/main.do?rcpNo=20260814000331", "공시열람")</f>
        <v/>
      </c>
    </row>
    <row r="502">
      <c r="A502" s="5" t="inlineStr">
        <is>
          <t>일진전기</t>
        </is>
      </c>
      <c r="B502" s="6" t="inlineStr">
        <is>
          <t>103590</t>
        </is>
      </c>
      <c r="C502" s="6" t="inlineStr">
        <is>
          <t>2026Q2</t>
        </is>
      </c>
      <c r="D502" s="6" t="inlineStr">
        <is>
          <t>20260811</t>
        </is>
      </c>
      <c r="E502" s="16" t="n">
        <v>2396160</v>
      </c>
      <c r="F502" s="16" t="n">
        <v>457069</v>
      </c>
      <c r="G502" s="16" t="n">
        <v>1939091</v>
      </c>
      <c r="H502" s="6" t="inlineStr">
        <is>
          <t>천USD</t>
        </is>
      </c>
      <c r="I502" s="17" t="n">
        <v>10.1</v>
      </c>
      <c r="J502" s="18" t="n">
        <v>1569945</v>
      </c>
      <c r="K502" s="19" t="n">
        <v>1645310</v>
      </c>
      <c r="L502" s="18" t="n">
        <v>1767894</v>
      </c>
      <c r="M502" s="19" t="n">
        <v>1671889</v>
      </c>
      <c r="N502" s="18" t="n">
        <v>1810470</v>
      </c>
      <c r="O502" s="19" t="n">
        <v>1892594</v>
      </c>
      <c r="P502" s="18" t="n">
        <v>1807060</v>
      </c>
      <c r="Q502" s="19" t="n">
        <v>1624785</v>
      </c>
      <c r="R502" s="18" t="n">
        <v>1761584</v>
      </c>
      <c r="S502" s="20" t="n">
        <v>1939091</v>
      </c>
      <c r="T502" s="6" t="n">
        <v>4</v>
      </c>
      <c r="U502" s="5" t="inlineStr">
        <is>
          <t>변압기 등중전기 / 해외 / ~2026년 반기 | 전력선 등 / 해외 / ~2026년 반기 | 변압기 등중전기 / 국내 / ~2026년 반기</t>
        </is>
      </c>
      <c r="V502" s="21">
        <f>HYPERLINK("https://dart.fss.or.kr/dsaf001/main.do?rcpNo=20260811000431", "공시열람")</f>
        <v/>
      </c>
    </row>
    <row r="503">
      <c r="A503" s="5" t="inlineStr">
        <is>
          <t>씨앗</t>
        </is>
      </c>
      <c r="B503" s="6" t="inlineStr">
        <is>
          <t>103660</t>
        </is>
      </c>
      <c r="C503" s="6" t="inlineStr">
        <is>
          <t>2025Q4</t>
        </is>
      </c>
      <c r="D503" s="6" t="inlineStr">
        <is>
          <t>20260331</t>
        </is>
      </c>
      <c r="E503" s="16" t="n">
        <v>18691524</v>
      </c>
      <c r="F503" s="16" t="inlineStr"/>
      <c r="G503" s="16" t="n">
        <v>18691524</v>
      </c>
      <c r="H503" s="6" t="inlineStr">
        <is>
          <t>천원</t>
        </is>
      </c>
      <c r="I503" s="17" t="n">
        <v>37.8</v>
      </c>
      <c r="J503" s="18" t="inlineStr"/>
      <c r="K503" s="19" t="inlineStr"/>
      <c r="L503" s="18" t="inlineStr"/>
      <c r="M503" s="19" t="n">
        <v>13561726</v>
      </c>
      <c r="N503" s="18" t="inlineStr"/>
      <c r="O503" s="19" t="inlineStr"/>
      <c r="P503" s="18" t="inlineStr"/>
      <c r="Q503" s="19" t="n">
        <v>18691524</v>
      </c>
      <c r="R503" s="18" t="inlineStr"/>
      <c r="S503" s="20" t="inlineStr"/>
      <c r="T503" s="6" t="n">
        <v>2</v>
      </c>
      <c r="U503" s="5" t="inlineStr">
        <is>
          <t>PHOTO 미디어 / 2025년 하반기 / 2026년  | Card미디어 / 2025년 하반기 / 2026년 연중</t>
        </is>
      </c>
      <c r="V503" s="21">
        <f>HYPERLINK("https://dart.fss.or.kr/dsaf001/main.do?rcpNo=20260331000297", "공시열람")</f>
        <v/>
      </c>
    </row>
    <row r="504">
      <c r="A504" s="5" t="inlineStr">
        <is>
          <t>디와이피엔에프</t>
        </is>
      </c>
      <c r="B504" s="6" t="inlineStr">
        <is>
          <t>104460</t>
        </is>
      </c>
      <c r="C504" s="6" t="inlineStr">
        <is>
          <t>2026Q2</t>
        </is>
      </c>
      <c r="D504" s="6" t="inlineStr">
        <is>
          <t>20260814</t>
        </is>
      </c>
      <c r="E504" s="16" t="n">
        <v>261005082</v>
      </c>
      <c r="F504" s="16" t="n">
        <v>97497132</v>
      </c>
      <c r="G504" s="16" t="n">
        <v>163507950</v>
      </c>
      <c r="H504" s="6" t="inlineStr">
        <is>
          <t>천원</t>
        </is>
      </c>
      <c r="I504" s="17" t="n">
        <v>-15.2</v>
      </c>
      <c r="J504" s="18" t="n">
        <v>577429640</v>
      </c>
      <c r="K504" s="19" t="n">
        <v>565891586</v>
      </c>
      <c r="L504" s="18" t="n">
        <v>499946272</v>
      </c>
      <c r="M504" s="19" t="n">
        <v>574855125</v>
      </c>
      <c r="N504" s="18" t="n">
        <v>403394246</v>
      </c>
      <c r="O504" s="19" t="n">
        <v>300329960</v>
      </c>
      <c r="P504" s="18" t="n">
        <v>234415692</v>
      </c>
      <c r="Q504" s="19" t="n">
        <v>245548275</v>
      </c>
      <c r="R504" s="18" t="n">
        <v>192922574</v>
      </c>
      <c r="S504" s="20" t="n">
        <v>163507950</v>
      </c>
      <c r="T504" s="6" t="n">
        <v>12</v>
      </c>
      <c r="U504" s="5" t="inlineStr">
        <is>
          <t>E&amp;R(Engineering &amp; Renovation)  | 뉴메틱 컨베잉시스템 / 진행기준 | 뉴메틱 컨베잉시스템 / 단품</t>
        </is>
      </c>
      <c r="V504" s="21">
        <f>HYPERLINK("https://dart.fss.or.kr/dsaf001/main.do?rcpNo=20260814003674", "공시열람")</f>
        <v/>
      </c>
    </row>
    <row r="505">
      <c r="A505" s="5" t="inlineStr">
        <is>
          <t>티케이케미칼</t>
        </is>
      </c>
      <c r="B505" s="6" t="inlineStr">
        <is>
          <t>104480</t>
        </is>
      </c>
      <c r="C505" s="6" t="inlineStr">
        <is>
          <t>2026Q2</t>
        </is>
      </c>
      <c r="D505" s="6" t="inlineStr">
        <is>
          <t>20260813</t>
        </is>
      </c>
      <c r="E505" s="16" t="n">
        <v>459923</v>
      </c>
      <c r="F505" s="16" t="n">
        <v>325765</v>
      </c>
      <c r="G505" s="16" t="n">
        <v>134158</v>
      </c>
      <c r="H505" s="6" t="inlineStr">
        <is>
          <t>백만원</t>
        </is>
      </c>
      <c r="I505" s="17" t="n">
        <v>-2.7</v>
      </c>
      <c r="J505" s="18" t="n">
        <v>3603</v>
      </c>
      <c r="K505" s="19" t="n">
        <v>3590</v>
      </c>
      <c r="L505" s="18" t="n">
        <v>3590</v>
      </c>
      <c r="M505" s="19" t="n">
        <v>212106</v>
      </c>
      <c r="N505" s="18" t="n">
        <v>205891</v>
      </c>
      <c r="O505" s="19" t="n">
        <v>193621</v>
      </c>
      <c r="P505" s="18" t="n">
        <v>178106</v>
      </c>
      <c r="Q505" s="19" t="n">
        <v>153376</v>
      </c>
      <c r="R505" s="18" t="n">
        <v>137835</v>
      </c>
      <c r="S505" s="20" t="n">
        <v>134158</v>
      </c>
      <c r="T505" s="6" t="n">
        <v>3</v>
      </c>
      <c r="U505" s="5" t="inlineStr">
        <is>
          <t>자체분양 / 부산사하 경남아너스빌 시그니처 현장 / 2 | 자체분양 / 송추북한산 경남아너스빌 현장 / 2020. | 자체분양 / 당진송악 경남아너스빌 현장 / 2019.1</t>
        </is>
      </c>
      <c r="V505" s="21">
        <f>HYPERLINK("https://dart.fss.or.kr/dsaf001/main.do?rcpNo=20260813001687", "공시열람")</f>
        <v/>
      </c>
    </row>
    <row r="506">
      <c r="A506" s="5" t="inlineStr">
        <is>
          <t>한국철강</t>
        </is>
      </c>
      <c r="B506" s="6" t="inlineStr">
        <is>
          <t>104700</t>
        </is>
      </c>
      <c r="C506" s="6" t="inlineStr">
        <is>
          <t>2024Q1</t>
        </is>
      </c>
      <c r="D506" s="6" t="inlineStr">
        <is>
          <t>20240516</t>
        </is>
      </c>
      <c r="E506" s="16" t="n">
        <v>235354</v>
      </c>
      <c r="F506" s="16" t="n">
        <v>203710</v>
      </c>
      <c r="G506" s="16" t="n">
        <v>31644</v>
      </c>
      <c r="H506" s="6" t="inlineStr">
        <is>
          <t>톤,백만원</t>
        </is>
      </c>
      <c r="I506" s="17" t="n">
        <v>591.4</v>
      </c>
      <c r="J506" s="18" t="n">
        <v>31644</v>
      </c>
      <c r="K506" s="19" t="inlineStr"/>
      <c r="L506" s="18" t="inlineStr"/>
      <c r="M506" s="19" t="inlineStr"/>
      <c r="N506" s="18" t="inlineStr"/>
      <c r="O506" s="19" t="inlineStr"/>
      <c r="P506" s="18" t="inlineStr"/>
      <c r="Q506" s="19" t="inlineStr"/>
      <c r="R506" s="18" t="inlineStr"/>
      <c r="S506" s="20" t="inlineStr"/>
      <c r="T506" s="6" t="n">
        <v>1</v>
      </c>
      <c r="U506" s="5" t="inlineStr">
        <is>
          <t>철근 / 조달청 / 2022.05.09</t>
        </is>
      </c>
      <c r="V506" s="21">
        <f>HYPERLINK("https://dart.fss.or.kr/dsaf001/main.do?rcpNo=20240516000934", "공시열람")</f>
        <v/>
      </c>
    </row>
    <row r="507">
      <c r="A507" s="5" t="inlineStr">
        <is>
          <t>엣지파운드리</t>
        </is>
      </c>
      <c r="B507" s="6" t="inlineStr">
        <is>
          <t>105550</t>
        </is>
      </c>
      <c r="C507" s="6" t="inlineStr">
        <is>
          <t>2026Q2</t>
        </is>
      </c>
      <c r="D507" s="6" t="inlineStr">
        <is>
          <t>20260814</t>
        </is>
      </c>
      <c r="E507" s="16" t="n">
        <v>59597040000</v>
      </c>
      <c r="F507" s="16" t="n">
        <v>2700000000</v>
      </c>
      <c r="G507" s="16" t="n">
        <v>46097040000</v>
      </c>
      <c r="H507" s="6" t="inlineStr">
        <is>
          <t>원</t>
        </is>
      </c>
      <c r="I507" s="17" t="n">
        <v>-19</v>
      </c>
      <c r="J507" s="18" t="inlineStr"/>
      <c r="K507" s="19" t="inlineStr"/>
      <c r="L507" s="18" t="inlineStr"/>
      <c r="M507" s="19" t="n">
        <v>10800000000</v>
      </c>
      <c r="N507" s="18" t="n">
        <v>10800000000</v>
      </c>
      <c r="O507" s="19" t="n">
        <v>10800000000</v>
      </c>
      <c r="P507" s="18" t="n">
        <v>10800000000</v>
      </c>
      <c r="Q507" s="19" t="n">
        <v>56897040000</v>
      </c>
      <c r="R507" s="18" t="n">
        <v>56897040000</v>
      </c>
      <c r="S507" s="20" t="n">
        <v>46097040000</v>
      </c>
      <c r="T507" s="6" t="n">
        <v>2</v>
      </c>
      <c r="U507" s="5" t="inlineStr">
        <is>
          <t>적외선 열영상센서(주2) / 2025.12.10 / 2 | 적외선열영상카메라(퀀텀레드미니)(주1) / 2022.0</t>
        </is>
      </c>
      <c r="V507" s="21">
        <f>HYPERLINK("https://dart.fss.or.kr/dsaf001/main.do?rcpNo=20260814003917", "공시열람")</f>
        <v/>
      </c>
    </row>
    <row r="508">
      <c r="A508" s="5" t="inlineStr">
        <is>
          <t>우진</t>
        </is>
      </c>
      <c r="B508" s="6" t="inlineStr">
        <is>
          <t>105840</t>
        </is>
      </c>
      <c r="C508" s="6" t="inlineStr">
        <is>
          <t>2026Q2</t>
        </is>
      </c>
      <c r="D508" s="6" t="inlineStr">
        <is>
          <t>20260814</t>
        </is>
      </c>
      <c r="E508" s="16" t="n">
        <v>97481880</v>
      </c>
      <c r="F508" s="16" t="n">
        <v>11324368</v>
      </c>
      <c r="G508" s="16" t="n">
        <v>86157512</v>
      </c>
      <c r="H508" s="6" t="inlineStr">
        <is>
          <t>천원</t>
        </is>
      </c>
      <c r="I508" s="17" t="n">
        <v>4</v>
      </c>
      <c r="J508" s="18" t="n">
        <v>5731057</v>
      </c>
      <c r="K508" s="19" t="n">
        <v>5629630</v>
      </c>
      <c r="L508" s="18" t="n">
        <v>5550278</v>
      </c>
      <c r="M508" s="19" t="n">
        <v>5553093</v>
      </c>
      <c r="N508" s="18" t="n">
        <v>28999625</v>
      </c>
      <c r="O508" s="19" t="n">
        <v>23683452</v>
      </c>
      <c r="P508" s="18" t="n">
        <v>49380721</v>
      </c>
      <c r="Q508" s="19" t="n">
        <v>72226240</v>
      </c>
      <c r="R508" s="18" t="n">
        <v>82860463</v>
      </c>
      <c r="S508" s="20" t="n">
        <v>86157512</v>
      </c>
      <c r="T508" s="6" t="n">
        <v>13</v>
      </c>
      <c r="U508" s="5" t="inlineStr">
        <is>
          <t>신한울#3,4 ICI Assembly / 2025-08 | 2027년 표준형 원전 O/H용 노내핵계측기(ICI ) | 2027년 표준형 원전 O/H용 노내핵계측기(ICI )</t>
        </is>
      </c>
      <c r="V508" s="21">
        <f>HYPERLINK("https://dart.fss.or.kr/dsaf001/main.do?rcpNo=20260814001607", "공시열람")</f>
        <v/>
      </c>
    </row>
    <row r="509">
      <c r="A509" s="5" t="inlineStr">
        <is>
          <t>하이텍팜</t>
        </is>
      </c>
      <c r="B509" s="6" t="inlineStr">
        <is>
          <t>106190</t>
        </is>
      </c>
      <c r="C509" s="6" t="inlineStr">
        <is>
          <t>2026Q2</t>
        </is>
      </c>
      <c r="D509" s="6" t="inlineStr">
        <is>
          <t>20260929</t>
        </is>
      </c>
      <c r="E509" s="16" t="inlineStr"/>
      <c r="F509" s="16" t="inlineStr"/>
      <c r="G509" s="16" t="n">
        <v>48544</v>
      </c>
      <c r="H509" s="6" t="inlineStr">
        <is>
          <t>백만원</t>
        </is>
      </c>
      <c r="I509" s="17" t="n">
        <v>81.40000000000001</v>
      </c>
      <c r="J509" s="18" t="n">
        <v>20451</v>
      </c>
      <c r="K509" s="19" t="n">
        <v>15854</v>
      </c>
      <c r="L509" s="18" t="n">
        <v>21167</v>
      </c>
      <c r="M509" s="19" t="n">
        <v>20833</v>
      </c>
      <c r="N509" s="18" t="n">
        <v>24339</v>
      </c>
      <c r="O509" s="19" t="n">
        <v>27006</v>
      </c>
      <c r="P509" s="18" t="n">
        <v>15221</v>
      </c>
      <c r="Q509" s="19" t="n">
        <v>21171</v>
      </c>
      <c r="R509" s="18" t="n">
        <v>26757</v>
      </c>
      <c r="S509" s="20" t="n">
        <v>48544</v>
      </c>
      <c r="T509" s="6" t="n">
        <v>1</v>
      </c>
      <c r="U509" s="5" t="inlineStr">
        <is>
          <t>카바페넴계세팔로스포린계 / 무균이미페넴 외무균세프트리악</t>
        </is>
      </c>
      <c r="V509" s="21">
        <f>HYPERLINK("https://dart.fss.or.kr/dsaf001/main.do?rcpNo=20260929000530", "공시열람")</f>
        <v/>
      </c>
    </row>
    <row r="510">
      <c r="A510" s="5" t="inlineStr">
        <is>
          <t>한중엔시에스</t>
        </is>
      </c>
      <c r="B510" s="6" t="inlineStr">
        <is>
          <t>107640</t>
        </is>
      </c>
      <c r="C510" s="6" t="inlineStr">
        <is>
          <t>2025Q3</t>
        </is>
      </c>
      <c r="D510" s="6" t="inlineStr">
        <is>
          <t>20251114</t>
        </is>
      </c>
      <c r="E510" s="16" t="n">
        <v>58956</v>
      </c>
      <c r="F510" s="16" t="inlineStr"/>
      <c r="G510" s="16" t="n">
        <v>58956</v>
      </c>
      <c r="H510" s="6" t="inlineStr">
        <is>
          <t>백만원</t>
        </is>
      </c>
      <c r="I510" s="17" t="n">
        <v>21.3</v>
      </c>
      <c r="J510" s="18" t="inlineStr"/>
      <c r="K510" s="19" t="n">
        <v>36546</v>
      </c>
      <c r="L510" s="18" t="n">
        <v>48364</v>
      </c>
      <c r="M510" s="19" t="n">
        <v>32367</v>
      </c>
      <c r="N510" s="18" t="n">
        <v>42518</v>
      </c>
      <c r="O510" s="19" t="n">
        <v>48604</v>
      </c>
      <c r="P510" s="18" t="n">
        <v>58956</v>
      </c>
      <c r="Q510" s="19" t="inlineStr"/>
      <c r="R510" s="18" t="inlineStr"/>
      <c r="S510" s="20" t="inlineStr"/>
      <c r="T510" s="6" t="n">
        <v>2</v>
      </c>
      <c r="U510" s="5" t="inlineStr">
        <is>
          <t>ESS(삼성에스디아이 외) / 2025.10.01 /  | EV(한온시스템 외) / 2025.10.01 / 202</t>
        </is>
      </c>
      <c r="V510" s="21">
        <f>HYPERLINK("https://dart.fss.or.kr/dsaf001/main.do?rcpNo=20251114001748", "공시열람")</f>
        <v/>
      </c>
    </row>
    <row r="511">
      <c r="A511" s="5" t="inlineStr">
        <is>
          <t>톱텍</t>
        </is>
      </c>
      <c r="B511" s="6" t="inlineStr">
        <is>
          <t>108230</t>
        </is>
      </c>
      <c r="C511" s="6" t="inlineStr">
        <is>
          <t>2026Q2</t>
        </is>
      </c>
      <c r="D511" s="6" t="inlineStr">
        <is>
          <t>20260814</t>
        </is>
      </c>
      <c r="E511" s="16" t="n">
        <v>231708</v>
      </c>
      <c r="F511" s="16" t="n">
        <v>73463</v>
      </c>
      <c r="G511" s="16" t="n">
        <v>158245</v>
      </c>
      <c r="H511" s="6" t="inlineStr"/>
      <c r="I511" s="17" t="n">
        <v>3.6</v>
      </c>
      <c r="J511" s="18" t="n">
        <v>300211</v>
      </c>
      <c r="K511" s="19" t="n">
        <v>280913</v>
      </c>
      <c r="L511" s="18" t="n">
        <v>227753</v>
      </c>
      <c r="M511" s="19" t="n">
        <v>185187</v>
      </c>
      <c r="N511" s="18" t="n">
        <v>236474</v>
      </c>
      <c r="O511" s="19" t="n">
        <v>234729</v>
      </c>
      <c r="P511" s="18" t="n">
        <v>222548</v>
      </c>
      <c r="Q511" s="19" t="n">
        <v>200532</v>
      </c>
      <c r="R511" s="18" t="n">
        <v>152758</v>
      </c>
      <c r="S511" s="20" t="n">
        <v>158245</v>
      </c>
      <c r="T511" s="6" t="n">
        <v>4</v>
      </c>
      <c r="U511" s="5" t="inlineStr">
        <is>
          <t>FA | 공사 | 제품판매</t>
        </is>
      </c>
      <c r="V511" s="21">
        <f>HYPERLINK("https://dart.fss.or.kr/dsaf001/main.do?rcpNo=20260814003301", "공시열람")</f>
        <v/>
      </c>
    </row>
    <row r="512">
      <c r="A512" s="5" t="inlineStr">
        <is>
          <t>대양전기공업</t>
        </is>
      </c>
      <c r="B512" s="6" t="inlineStr">
        <is>
          <t>108380</t>
        </is>
      </c>
      <c r="C512" s="6" t="inlineStr">
        <is>
          <t>2026Q2</t>
        </is>
      </c>
      <c r="D512" s="6" t="inlineStr">
        <is>
          <t>20260814</t>
        </is>
      </c>
      <c r="E512" s="16" t="inlineStr"/>
      <c r="F512" s="16" t="inlineStr"/>
      <c r="G512" s="16" t="n">
        <v>327611</v>
      </c>
      <c r="H512" s="6" t="inlineStr">
        <is>
          <t>백만원</t>
        </is>
      </c>
      <c r="I512" s="17" t="n">
        <v>-0.3</v>
      </c>
      <c r="J512" s="18" t="n">
        <v>251045</v>
      </c>
      <c r="K512" s="19" t="n">
        <v>256307</v>
      </c>
      <c r="L512" s="18" t="n">
        <v>269650</v>
      </c>
      <c r="M512" s="19" t="n">
        <v>280181</v>
      </c>
      <c r="N512" s="18" t="n">
        <v>25892156</v>
      </c>
      <c r="O512" s="19" t="n">
        <v>281022</v>
      </c>
      <c r="P512" s="18" t="n">
        <v>295821</v>
      </c>
      <c r="Q512" s="19" t="n">
        <v>298775</v>
      </c>
      <c r="R512" s="18" t="n">
        <v>328513</v>
      </c>
      <c r="S512" s="20" t="n">
        <v>327611</v>
      </c>
      <c r="T512" s="6" t="n">
        <v>1</v>
      </c>
      <c r="U512" s="5" t="inlineStr">
        <is>
          <t>기타 / 2021~ / ~2028</t>
        </is>
      </c>
      <c r="V512" s="21">
        <f>HYPERLINK("https://dart.fss.or.kr/dsaf001/main.do?rcpNo=20260814003411", "공시열람")</f>
        <v/>
      </c>
    </row>
    <row r="513">
      <c r="A513" s="5" t="inlineStr">
        <is>
          <t>셀바스AI</t>
        </is>
      </c>
      <c r="B513" s="6" t="inlineStr">
        <is>
          <t>108860</t>
        </is>
      </c>
      <c r="C513" s="6" t="inlineStr">
        <is>
          <t>2026Q2</t>
        </is>
      </c>
      <c r="D513" s="6" t="inlineStr">
        <is>
          <t>20260930</t>
        </is>
      </c>
      <c r="E513" s="16" t="n">
        <v>7828</v>
      </c>
      <c r="F513" s="16" t="inlineStr"/>
      <c r="G513" s="16" t="n">
        <v>3449</v>
      </c>
      <c r="H513" s="6" t="inlineStr">
        <is>
          <t>백만원</t>
        </is>
      </c>
      <c r="I513" s="17" t="n">
        <v>25.9</v>
      </c>
      <c r="J513" s="18" t="n">
        <v>5622612</v>
      </c>
      <c r="K513" s="19" t="n">
        <v>5266122</v>
      </c>
      <c r="L513" s="18" t="n">
        <v>4117692</v>
      </c>
      <c r="M513" s="19" t="n">
        <v>1383</v>
      </c>
      <c r="N513" s="18" t="n">
        <v>3718</v>
      </c>
      <c r="O513" s="19" t="n">
        <v>3462</v>
      </c>
      <c r="P513" s="18" t="n">
        <v>4291</v>
      </c>
      <c r="Q513" s="19" t="n">
        <v>2804</v>
      </c>
      <c r="R513" s="18" t="n">
        <v>2739</v>
      </c>
      <c r="S513" s="20" t="n">
        <v>3449</v>
      </c>
      <c r="T513" s="6" t="n">
        <v>2</v>
      </c>
      <c r="U513" s="5" t="inlineStr">
        <is>
          <t>인공지능 솔루션 개발 및 공급 | 의료진단기기 / -</t>
        </is>
      </c>
      <c r="V513" s="21">
        <f>HYPERLINK("https://dart.fss.or.kr/dsaf001/main.do?rcpNo=20260930000456", "공시열람")</f>
        <v/>
      </c>
    </row>
    <row r="514">
      <c r="A514" s="5" t="inlineStr">
        <is>
          <t>주성코퍼레이션</t>
        </is>
      </c>
      <c r="B514" s="6" t="inlineStr">
        <is>
          <t>109070</t>
        </is>
      </c>
      <c r="C514" s="6" t="inlineStr">
        <is>
          <t>2026Q2</t>
        </is>
      </c>
      <c r="D514" s="6" t="inlineStr">
        <is>
          <t>20260814</t>
        </is>
      </c>
      <c r="E514" s="16" t="n">
        <v>1523852</v>
      </c>
      <c r="F514" s="16" t="n">
        <v>1523852</v>
      </c>
      <c r="G514" s="16" t="n">
        <v>0</v>
      </c>
      <c r="H514" s="6" t="inlineStr">
        <is>
          <t>천원</t>
        </is>
      </c>
      <c r="I514" s="17" t="n">
        <v>-100</v>
      </c>
      <c r="J514" s="18" t="n">
        <v>1885435</v>
      </c>
      <c r="K514" s="19" t="n">
        <v>1348425</v>
      </c>
      <c r="L514" s="18" t="n">
        <v>62988</v>
      </c>
      <c r="M514" s="19" t="n">
        <v>3108206</v>
      </c>
      <c r="N514" s="18" t="n">
        <v>949179</v>
      </c>
      <c r="O514" s="19" t="n">
        <v>671528</v>
      </c>
      <c r="P514" s="18" t="n">
        <v>671528</v>
      </c>
      <c r="Q514" s="19" t="n">
        <v>264737</v>
      </c>
      <c r="R514" s="18" t="n">
        <v>51656</v>
      </c>
      <c r="S514" s="20" t="n">
        <v>0</v>
      </c>
      <c r="T514" s="6" t="n">
        <v>1</v>
      </c>
      <c r="U514" s="5" t="inlineStr">
        <is>
          <t>중계기</t>
        </is>
      </c>
      <c r="V514" s="21">
        <f>HYPERLINK("https://dart.fss.or.kr/dsaf001/main.do?rcpNo=20260814002123", "공시열람")</f>
        <v/>
      </c>
    </row>
    <row r="515">
      <c r="A515" s="5" t="inlineStr">
        <is>
          <t>디에스케이</t>
        </is>
      </c>
      <c r="B515" s="6" t="inlineStr">
        <is>
          <t>109740</t>
        </is>
      </c>
      <c r="C515" s="6" t="inlineStr">
        <is>
          <t>2026Q2</t>
        </is>
      </c>
      <c r="D515" s="6" t="inlineStr">
        <is>
          <t>20260814</t>
        </is>
      </c>
      <c r="E515" s="16" t="n">
        <v>18425509</v>
      </c>
      <c r="F515" s="16" t="n">
        <v>14905589</v>
      </c>
      <c r="G515" s="16" t="n">
        <v>3519920</v>
      </c>
      <c r="H515" s="6" t="inlineStr">
        <is>
          <t>천원</t>
        </is>
      </c>
      <c r="I515" s="17" t="n">
        <v>-34.8</v>
      </c>
      <c r="J515" s="18" t="n">
        <v>8038908</v>
      </c>
      <c r="K515" s="19" t="n">
        <v>34030887</v>
      </c>
      <c r="L515" s="18" t="n">
        <v>35025658</v>
      </c>
      <c r="M515" s="19" t="n">
        <v>34669543</v>
      </c>
      <c r="N515" s="18" t="n">
        <v>33506327</v>
      </c>
      <c r="O515" s="19" t="n">
        <v>4996301</v>
      </c>
      <c r="P515" s="18" t="n">
        <v>8191995</v>
      </c>
      <c r="Q515" s="19" t="n">
        <v>6426279</v>
      </c>
      <c r="R515" s="18" t="n">
        <v>5399195</v>
      </c>
      <c r="S515" s="20" t="n">
        <v>3519920</v>
      </c>
      <c r="T515" s="6" t="n">
        <v>2</v>
      </c>
      <c r="U515" s="5" t="inlineStr">
        <is>
          <t>FPD용 Bonding System 및 In-line  | Linear 및 기타 / -</t>
        </is>
      </c>
      <c r="V515" s="21">
        <f>HYPERLINK("https://dart.fss.or.kr/dsaf001/main.do?rcpNo=20260814003438", "공시열람")</f>
        <v/>
      </c>
    </row>
    <row r="516">
      <c r="A516" s="5" t="inlineStr">
        <is>
          <t>앱토크롬</t>
        </is>
      </c>
      <c r="B516" s="6" t="inlineStr">
        <is>
          <t>109960</t>
        </is>
      </c>
      <c r="C516" s="6" t="inlineStr">
        <is>
          <t>2026Q2</t>
        </is>
      </c>
      <c r="D516" s="6" t="inlineStr">
        <is>
          <t>20260813</t>
        </is>
      </c>
      <c r="E516" s="16" t="n">
        <v>11381</v>
      </c>
      <c r="F516" s="16" t="n">
        <v>11381</v>
      </c>
      <c r="G516" s="16" t="n">
        <v>0</v>
      </c>
      <c r="H516" s="6" t="inlineStr">
        <is>
          <t>백만원</t>
        </is>
      </c>
      <c r="I516" s="17" t="n">
        <v>-100</v>
      </c>
      <c r="J516" s="18" t="n">
        <v>4886</v>
      </c>
      <c r="K516" s="19" t="n">
        <v>3492</v>
      </c>
      <c r="L516" s="18" t="n">
        <v>3056</v>
      </c>
      <c r="M516" s="19" t="n">
        <v>1015</v>
      </c>
      <c r="N516" s="18" t="n">
        <v>198</v>
      </c>
      <c r="O516" s="19" t="n">
        <v>1005132257</v>
      </c>
      <c r="P516" s="18" t="n">
        <v>614438454</v>
      </c>
      <c r="Q516" s="19" t="n">
        <v>364</v>
      </c>
      <c r="R516" s="18" t="n">
        <v>288</v>
      </c>
      <c r="S516" s="20" t="n">
        <v>0</v>
      </c>
      <c r="T516" s="6" t="n">
        <v>1</v>
      </c>
      <c r="U516" s="5" t="inlineStr">
        <is>
          <t>새울 3, 4호기(구. 신고리 원자력 5, 6호기)주설</t>
        </is>
      </c>
      <c r="V516" s="21">
        <f>HYPERLINK("https://dart.fss.or.kr/dsaf001/main.do?rcpNo=20260813001440", "공시열람")</f>
        <v/>
      </c>
    </row>
    <row r="517">
      <c r="A517" s="5" t="inlineStr">
        <is>
          <t>디아이티</t>
        </is>
      </c>
      <c r="B517" s="6" t="inlineStr">
        <is>
          <t>110990</t>
        </is>
      </c>
      <c r="C517" s="6" t="inlineStr">
        <is>
          <t>2026Q2</t>
        </is>
      </c>
      <c r="D517" s="6" t="inlineStr">
        <is>
          <t>20260814</t>
        </is>
      </c>
      <c r="E517" s="16" t="n">
        <v>157711</v>
      </c>
      <c r="F517" s="16" t="n">
        <v>90060</v>
      </c>
      <c r="G517" s="16" t="n">
        <v>67651</v>
      </c>
      <c r="H517" s="6" t="inlineStr">
        <is>
          <t>백만원</t>
        </is>
      </c>
      <c r="I517" s="17" t="n">
        <v>-16.5</v>
      </c>
      <c r="J517" s="18" t="n">
        <v>62164</v>
      </c>
      <c r="K517" s="19" t="n">
        <v>42358</v>
      </c>
      <c r="L517" s="18" t="n">
        <v>59704</v>
      </c>
      <c r="M517" s="19" t="n">
        <v>20944</v>
      </c>
      <c r="N517" s="18" t="n">
        <v>45559</v>
      </c>
      <c r="O517" s="19" t="n">
        <v>37287</v>
      </c>
      <c r="P517" s="18" t="n">
        <v>27000</v>
      </c>
      <c r="Q517" s="19" t="n">
        <v>63804</v>
      </c>
      <c r="R517" s="18" t="n">
        <v>81051</v>
      </c>
      <c r="S517" s="20" t="n">
        <v>67651</v>
      </c>
      <c r="T517" s="6" t="n">
        <v>1</v>
      </c>
      <c r="U517" s="5" t="inlineStr">
        <is>
          <t xml:space="preserve">AOI Solution,LASER Solution 등 </t>
        </is>
      </c>
      <c r="V517" s="21">
        <f>HYPERLINK("https://dart.fss.or.kr/dsaf001/main.do?rcpNo=20260814000902", "공시열람")</f>
        <v/>
      </c>
    </row>
    <row r="518">
      <c r="A518" s="5" t="inlineStr">
        <is>
          <t>동인기연</t>
        </is>
      </c>
      <c r="B518" s="6" t="inlineStr">
        <is>
          <t>111380</t>
        </is>
      </c>
      <c r="C518" s="6" t="inlineStr">
        <is>
          <t>2024Q4</t>
        </is>
      </c>
      <c r="D518" s="6" t="inlineStr">
        <is>
          <t>20250320</t>
        </is>
      </c>
      <c r="E518" s="16" t="inlineStr"/>
      <c r="F518" s="16" t="inlineStr"/>
      <c r="G518" s="16" t="n">
        <v>61026533</v>
      </c>
      <c r="H518" s="6" t="inlineStr">
        <is>
          <t>천원</t>
        </is>
      </c>
      <c r="I518" s="17" t="n">
        <v>83.5</v>
      </c>
      <c r="J518" s="18" t="inlineStr"/>
      <c r="K518" s="19" t="inlineStr"/>
      <c r="L518" s="18" t="inlineStr"/>
      <c r="M518" s="19" t="n">
        <v>61026533</v>
      </c>
      <c r="N518" s="18" t="inlineStr"/>
      <c r="O518" s="19" t="inlineStr"/>
      <c r="P518" s="18" t="inlineStr"/>
      <c r="Q518" s="19" t="inlineStr"/>
      <c r="R518" s="18" t="inlineStr"/>
      <c r="S518" s="20" t="inlineStr"/>
      <c r="T518" s="6" t="n">
        <v>4</v>
      </c>
      <c r="U518" s="5" t="inlineStr">
        <is>
          <t>장기리스부채 / - | 사채 | 장기차입금</t>
        </is>
      </c>
      <c r="V518" s="21">
        <f>HYPERLINK("https://dart.fss.or.kr/dsaf001/main.do?rcpNo=20250320001366", "공시열람")</f>
        <v/>
      </c>
    </row>
    <row r="519">
      <c r="A519" s="5" t="inlineStr">
        <is>
          <t>KC산업</t>
        </is>
      </c>
      <c r="B519" s="6" t="inlineStr">
        <is>
          <t>112190</t>
        </is>
      </c>
      <c r="C519" s="6" t="inlineStr">
        <is>
          <t>2025Q4</t>
        </is>
      </c>
      <c r="D519" s="6" t="inlineStr">
        <is>
          <t>20260619</t>
        </is>
      </c>
      <c r="E519" s="16" t="n">
        <v>288784</v>
      </c>
      <c r="F519" s="16" t="n">
        <v>189428</v>
      </c>
      <c r="G519" s="16" t="n">
        <v>99356</v>
      </c>
      <c r="H519" s="6" t="inlineStr">
        <is>
          <t>백만원</t>
        </is>
      </c>
      <c r="I519" s="17" t="n">
        <v>6.4</v>
      </c>
      <c r="J519" s="18" t="inlineStr"/>
      <c r="K519" s="19" t="inlineStr"/>
      <c r="L519" s="18" t="inlineStr"/>
      <c r="M519" s="19" t="n">
        <v>93419</v>
      </c>
      <c r="N519" s="18" t="inlineStr"/>
      <c r="O519" s="19" t="inlineStr"/>
      <c r="P519" s="18" t="inlineStr"/>
      <c r="Q519" s="19" t="n">
        <v>99356</v>
      </c>
      <c r="R519" s="18" t="inlineStr"/>
      <c r="S519" s="20" t="inlineStr"/>
      <c r="T519" s="6" t="n">
        <v>28</v>
      </c>
      <c r="U519" s="5" t="inlineStr">
        <is>
          <t>기 타 | 평택P5 신축공사 PC 제품류 외 3종 - 거더.빔 / | 대전하수도 PC박스(차집관로 조립식) / (주)한화 /</t>
        </is>
      </c>
      <c r="V519" s="21">
        <f>HYPERLINK("https://dart.fss.or.kr/dsaf001/main.do?rcpNo=20260619000106", "공시열람")</f>
        <v/>
      </c>
    </row>
    <row r="520">
      <c r="A520" s="5" t="inlineStr">
        <is>
          <t>씨에스윈드</t>
        </is>
      </c>
      <c r="B520" s="6" t="inlineStr">
        <is>
          <t>112610</t>
        </is>
      </c>
      <c r="C520" s="6" t="inlineStr">
        <is>
          <t>2026Q2</t>
        </is>
      </c>
      <c r="D520" s="6" t="inlineStr">
        <is>
          <t>20260814</t>
        </is>
      </c>
      <c r="E520" s="16" t="n">
        <v>645</v>
      </c>
      <c r="F520" s="16" t="inlineStr"/>
      <c r="G520" s="16" t="n">
        <v>1114</v>
      </c>
      <c r="H520" s="6" t="inlineStr">
        <is>
          <t>백만USD</t>
        </is>
      </c>
      <c r="I520" s="17" t="n">
        <v>6.1</v>
      </c>
      <c r="J520" s="18" t="n">
        <v>1821</v>
      </c>
      <c r="K520" s="19" t="n">
        <v>1631</v>
      </c>
      <c r="L520" s="18" t="n">
        <v>1417</v>
      </c>
      <c r="M520" s="19" t="n">
        <v>1354</v>
      </c>
      <c r="N520" s="18" t="n">
        <v>984</v>
      </c>
      <c r="O520" s="19" t="n">
        <v>1013</v>
      </c>
      <c r="P520" s="18" t="n">
        <v>909</v>
      </c>
      <c r="Q520" s="19" t="n">
        <v>1178</v>
      </c>
      <c r="R520" s="18" t="n">
        <v>1050</v>
      </c>
      <c r="S520" s="20" t="n">
        <v>1114</v>
      </c>
      <c r="T520" s="6" t="n">
        <v>2</v>
      </c>
      <c r="U520" s="5" t="inlineStr">
        <is>
          <t>풍력타워 제조 | 해상풍력 하부구조물 / -</t>
        </is>
      </c>
      <c r="V520" s="21">
        <f>HYPERLINK("https://dart.fss.or.kr/dsaf001/main.do?rcpNo=20260814001500", "공시열람")</f>
        <v/>
      </c>
    </row>
    <row r="521">
      <c r="A521" s="5" t="inlineStr">
        <is>
          <t>강원에너지</t>
        </is>
      </c>
      <c r="B521" s="6" t="inlineStr">
        <is>
          <t>114190</t>
        </is>
      </c>
      <c r="C521" s="6" t="inlineStr">
        <is>
          <t>2026Q2</t>
        </is>
      </c>
      <c r="D521" s="6" t="inlineStr">
        <is>
          <t>20260814</t>
        </is>
      </c>
      <c r="E521" s="16" t="n">
        <v>343176854</v>
      </c>
      <c r="F521" s="16" t="n">
        <v>308247997</v>
      </c>
      <c r="G521" s="16" t="n">
        <v>34928857</v>
      </c>
      <c r="H521" s="6" t="inlineStr"/>
      <c r="I521" s="17" t="n">
        <v>0</v>
      </c>
      <c r="J521" s="18" t="n">
        <v>91967371</v>
      </c>
      <c r="K521" s="19" t="n">
        <v>91967371</v>
      </c>
      <c r="L521" s="18" t="n">
        <v>91967371</v>
      </c>
      <c r="M521" s="19" t="n">
        <v>91967371</v>
      </c>
      <c r="N521" s="18" t="n">
        <v>78332841</v>
      </c>
      <c r="O521" s="19" t="n">
        <v>46761245</v>
      </c>
      <c r="P521" s="18" t="n">
        <v>36579758</v>
      </c>
      <c r="Q521" s="19" t="n">
        <v>34928857</v>
      </c>
      <c r="R521" s="18" t="n">
        <v>34928855</v>
      </c>
      <c r="S521" s="20" t="n">
        <v>34928857</v>
      </c>
      <c r="T521" s="6" t="n">
        <v>18</v>
      </c>
      <c r="U521" s="5" t="inlineStr">
        <is>
          <t>발전에너지설비 / ALUJAIN NATIONAL IND | 화공설비 / FGS Global AB / 2021-12 | 2차전지 설비 / 포스코퓨처엠 / 2024-02-06</t>
        </is>
      </c>
      <c r="V521" s="21">
        <f>HYPERLINK("https://dart.fss.or.kr/dsaf001/main.do?rcpNo=20260814003142", "공시열람")</f>
        <v/>
      </c>
    </row>
    <row r="522">
      <c r="A522" s="5" t="inlineStr">
        <is>
          <t>폴라리스우노</t>
        </is>
      </c>
      <c r="B522" s="6" t="inlineStr">
        <is>
          <t>114630</t>
        </is>
      </c>
      <c r="C522" s="6" t="inlineStr">
        <is>
          <t>2026Q2</t>
        </is>
      </c>
      <c r="D522" s="6" t="inlineStr">
        <is>
          <t>20260814</t>
        </is>
      </c>
      <c r="E522" s="16" t="n">
        <v>10685710</v>
      </c>
      <c r="F522" s="16" t="n">
        <v>10685710</v>
      </c>
      <c r="G522" s="16" t="n">
        <v>0</v>
      </c>
      <c r="H522" s="6" t="inlineStr">
        <is>
          <t>KG,천원</t>
        </is>
      </c>
      <c r="I522" s="17" t="inlineStr"/>
      <c r="J522" s="18" t="n">
        <v>0</v>
      </c>
      <c r="K522" s="19" t="n">
        <v>0</v>
      </c>
      <c r="L522" s="18" t="n">
        <v>0</v>
      </c>
      <c r="M522" s="19" t="n">
        <v>0</v>
      </c>
      <c r="N522" s="18" t="n">
        <v>0</v>
      </c>
      <c r="O522" s="19" t="n">
        <v>0</v>
      </c>
      <c r="P522" s="18" t="n">
        <v>0</v>
      </c>
      <c r="Q522" s="19" t="n">
        <v>0</v>
      </c>
      <c r="R522" s="18" t="n">
        <v>0</v>
      </c>
      <c r="S522" s="20" t="n">
        <v>0</v>
      </c>
      <c r="T522" s="6" t="n">
        <v>4</v>
      </c>
      <c r="U522" s="5" t="inlineStr">
        <is>
          <t>합성사 / 가발용 원사 / 2026.06.30 | 합성사 / 상품 / 2026.06.30 | 합성사 / 용역 / 2026.06.30</t>
        </is>
      </c>
      <c r="V522" s="21">
        <f>HYPERLINK("https://dart.fss.or.kr/dsaf001/main.do?rcpNo=20260814004079", "공시열람")</f>
        <v/>
      </c>
    </row>
    <row r="523">
      <c r="A523" s="5" t="inlineStr">
        <is>
          <t>대주이엔티</t>
        </is>
      </c>
      <c r="B523" s="6" t="inlineStr">
        <is>
          <t>114920</t>
        </is>
      </c>
      <c r="C523" s="6" t="inlineStr">
        <is>
          <t>2025Q4</t>
        </is>
      </c>
      <c r="D523" s="6" t="inlineStr">
        <is>
          <t>20260331</t>
        </is>
      </c>
      <c r="E523" s="16" t="n">
        <v>13897</v>
      </c>
      <c r="F523" s="16" t="inlineStr"/>
      <c r="G523" s="16" t="n">
        <v>5704</v>
      </c>
      <c r="H523" s="6" t="inlineStr">
        <is>
          <t>백만원</t>
        </is>
      </c>
      <c r="I523" s="17" t="n">
        <v>54.6</v>
      </c>
      <c r="J523" s="18" t="inlineStr"/>
      <c r="K523" s="19" t="inlineStr"/>
      <c r="L523" s="18" t="inlineStr"/>
      <c r="M523" s="19" t="n">
        <v>3690</v>
      </c>
      <c r="N523" s="18" t="inlineStr"/>
      <c r="O523" s="19" t="inlineStr"/>
      <c r="P523" s="18" t="inlineStr"/>
      <c r="Q523" s="19" t="n">
        <v>5704</v>
      </c>
      <c r="R523" s="18" t="inlineStr"/>
      <c r="S523" s="20" t="inlineStr"/>
      <c r="T523" s="6" t="n">
        <v>3</v>
      </c>
      <c r="U523" s="5" t="inlineStr">
        <is>
          <t>인천종합에너지2,3차 열수송 | LHQ+ 인천1권역 | 기타 / -</t>
        </is>
      </c>
      <c r="V523" s="21">
        <f>HYPERLINK("https://dart.fss.or.kr/dsaf001/main.do?rcpNo=20260331003389", "공시열람")</f>
        <v/>
      </c>
    </row>
    <row r="524">
      <c r="A524" s="5" t="inlineStr">
        <is>
          <t>HLB테라퓨틱스</t>
        </is>
      </c>
      <c r="B524" s="6" t="inlineStr">
        <is>
          <t>115450</t>
        </is>
      </c>
      <c r="C524" s="6" t="inlineStr">
        <is>
          <t>2026Q2</t>
        </is>
      </c>
      <c r="D524" s="6" t="inlineStr">
        <is>
          <t>20260813</t>
        </is>
      </c>
      <c r="E524" s="16" t="n">
        <v>4007</v>
      </c>
      <c r="F524" s="16" t="n">
        <v>2666</v>
      </c>
      <c r="G524" s="16" t="n">
        <v>1341</v>
      </c>
      <c r="H524" s="6" t="inlineStr">
        <is>
          <t>백만원</t>
        </is>
      </c>
      <c r="I524" s="17" t="n">
        <v>-65.8</v>
      </c>
      <c r="J524" s="18" t="n">
        <v>15300</v>
      </c>
      <c r="K524" s="19" t="n">
        <v>10237</v>
      </c>
      <c r="L524" s="18" t="n">
        <v>5.118</v>
      </c>
      <c r="M524" s="19" t="n">
        <v>12473</v>
      </c>
      <c r="N524" s="18" t="n">
        <v>6237</v>
      </c>
      <c r="O524" s="19" t="n">
        <v>0</v>
      </c>
      <c r="P524" s="18" t="n">
        <v>0</v>
      </c>
      <c r="Q524" s="19" t="n">
        <v>6100</v>
      </c>
      <c r="R524" s="18" t="n">
        <v>3926</v>
      </c>
      <c r="S524" s="20" t="n">
        <v>1341</v>
      </c>
      <c r="T524" s="6" t="n">
        <v>1</v>
      </c>
      <c r="U524" s="5" t="inlineStr">
        <is>
          <t>수막구균 백신 공급 / 2025년 11월 06일 / -</t>
        </is>
      </c>
      <c r="V524" s="21">
        <f>HYPERLINK("https://dart.fss.or.kr/dsaf001/main.do?rcpNo=20260813001699", "공시열람")</f>
        <v/>
      </c>
    </row>
    <row r="525">
      <c r="A525" s="5" t="inlineStr">
        <is>
          <t>케이씨에스</t>
        </is>
      </c>
      <c r="B525" s="6" t="inlineStr">
        <is>
          <t>115500</t>
        </is>
      </c>
      <c r="C525" s="6" t="inlineStr">
        <is>
          <t>2026Q2</t>
        </is>
      </c>
      <c r="D525" s="6" t="inlineStr">
        <is>
          <t>20260814</t>
        </is>
      </c>
      <c r="E525" s="16" t="n">
        <v>9037932</v>
      </c>
      <c r="F525" s="16" t="n">
        <v>83267</v>
      </c>
      <c r="G525" s="16" t="n">
        <v>8954665</v>
      </c>
      <c r="H525" s="6" t="inlineStr">
        <is>
          <t>천원</t>
        </is>
      </c>
      <c r="I525" s="17" t="n">
        <v>620.8</v>
      </c>
      <c r="J525" s="18" t="n">
        <v>2787903</v>
      </c>
      <c r="K525" s="19" t="n">
        <v>3424856</v>
      </c>
      <c r="L525" s="18" t="n">
        <v>1610616</v>
      </c>
      <c r="M525" s="19" t="n">
        <v>790400</v>
      </c>
      <c r="N525" s="18" t="n">
        <v>660000</v>
      </c>
      <c r="O525" s="19" t="n">
        <v>301150</v>
      </c>
      <c r="P525" s="18" t="n">
        <v>236600</v>
      </c>
      <c r="Q525" s="19" t="n">
        <v>1044660</v>
      </c>
      <c r="R525" s="18" t="n">
        <v>1242331</v>
      </c>
      <c r="S525" s="20" t="n">
        <v>8954665</v>
      </c>
      <c r="T525" s="6" t="n">
        <v>4</v>
      </c>
      <c r="U525" s="5" t="inlineStr">
        <is>
          <t>NSK | HSM | HSM</t>
        </is>
      </c>
      <c r="V525" s="21">
        <f>HYPERLINK("https://dart.fss.or.kr/dsaf001/main.do?rcpNo=20260814001104", "공시열람")</f>
        <v/>
      </c>
    </row>
    <row r="526">
      <c r="A526" s="5" t="inlineStr">
        <is>
          <t>씨엔플러스</t>
        </is>
      </c>
      <c r="B526" s="6" t="inlineStr">
        <is>
          <t>115530</t>
        </is>
      </c>
      <c r="C526" s="6" t="inlineStr">
        <is>
          <t>2026Q2</t>
        </is>
      </c>
      <c r="D526" s="6" t="inlineStr">
        <is>
          <t>20260814</t>
        </is>
      </c>
      <c r="E526" s="16" t="n">
        <v>74490182</v>
      </c>
      <c r="F526" s="16" t="n">
        <v>57105283</v>
      </c>
      <c r="G526" s="16" t="n">
        <v>17384899</v>
      </c>
      <c r="H526" s="6" t="inlineStr">
        <is>
          <t>천원</t>
        </is>
      </c>
      <c r="I526" s="17" t="n">
        <v>-61.3</v>
      </c>
      <c r="J526" s="18" t="n">
        <v>2940000</v>
      </c>
      <c r="K526" s="19" t="n">
        <v>5650000</v>
      </c>
      <c r="L526" s="18" t="n">
        <v>5650000</v>
      </c>
      <c r="M526" s="19" t="n">
        <v>23093095</v>
      </c>
      <c r="N526" s="18" t="n">
        <v>20574632</v>
      </c>
      <c r="O526" s="19" t="n">
        <v>16963093</v>
      </c>
      <c r="P526" s="18" t="n">
        <v>16963093</v>
      </c>
      <c r="Q526" s="19" t="n">
        <v>44930816</v>
      </c>
      <c r="R526" s="18" t="n">
        <v>44930816</v>
      </c>
      <c r="S526" s="20" t="n">
        <v>17384899</v>
      </c>
      <c r="T526" s="6" t="n">
        <v>6</v>
      </c>
      <c r="U526" s="5" t="inlineStr">
        <is>
          <t>영광 낙월 해상풍력 사전 조립공사 / 2025.08.0 | 영광 낙월 해상풍력 상부구조물 설치 공사 / 2025. | 의성 황학산 풍력발전단지 건설을 위한 EPC 도급 추가</t>
        </is>
      </c>
      <c r="V526" s="21">
        <f>HYPERLINK("https://dart.fss.or.kr/dsaf001/main.do?rcpNo=20260814004253", "공시열람")</f>
        <v/>
      </c>
    </row>
    <row r="527">
      <c r="A527" s="5" t="inlineStr">
        <is>
          <t>포메탈</t>
        </is>
      </c>
      <c r="B527" s="6" t="inlineStr">
        <is>
          <t>119500</t>
        </is>
      </c>
      <c r="C527" s="6" t="inlineStr">
        <is>
          <t>2026Q2</t>
        </is>
      </c>
      <c r="D527" s="6" t="inlineStr">
        <is>
          <t>20260814</t>
        </is>
      </c>
      <c r="E527" s="16" t="n">
        <v>32801</v>
      </c>
      <c r="F527" s="16" t="n">
        <v>31603</v>
      </c>
      <c r="G527" s="16" t="n">
        <v>1198</v>
      </c>
      <c r="H527" s="6" t="inlineStr">
        <is>
          <t>EA/백만원</t>
        </is>
      </c>
      <c r="I527" s="17" t="n">
        <v>25.1</v>
      </c>
      <c r="J527" s="18" t="n">
        <v>879</v>
      </c>
      <c r="K527" s="19" t="n">
        <v>1034</v>
      </c>
      <c r="L527" s="18" t="n">
        <v>1091</v>
      </c>
      <c r="M527" s="19" t="n">
        <v>534</v>
      </c>
      <c r="N527" s="18" t="n">
        <v>646</v>
      </c>
      <c r="O527" s="19" t="n">
        <v>1791</v>
      </c>
      <c r="P527" s="18" t="n">
        <v>965</v>
      </c>
      <c r="Q527" s="19" t="n">
        <v>575</v>
      </c>
      <c r="R527" s="18" t="n">
        <v>958</v>
      </c>
      <c r="S527" s="20" t="n">
        <v>1198</v>
      </c>
      <c r="T527" s="6" t="n">
        <v>11</v>
      </c>
      <c r="U527" s="5" t="inlineStr">
        <is>
          <t>CAM SHAFT外 / 2026-05-08 / 2026 | MK KNUCKLE外 / 2026-05-12 / 202 | CONN-ROD外 / 2026-05-06 / 2026-</t>
        </is>
      </c>
      <c r="V527" s="21">
        <f>HYPERLINK("https://dart.fss.or.kr/dsaf001/main.do?rcpNo=20260814002231", "공시열람")</f>
        <v/>
      </c>
    </row>
    <row r="528">
      <c r="A528" s="5" t="inlineStr">
        <is>
          <t>KC코트렐</t>
        </is>
      </c>
      <c r="B528" s="6" t="inlineStr">
        <is>
          <t>119650</t>
        </is>
      </c>
      <c r="C528" s="6" t="inlineStr">
        <is>
          <t>2026Q2</t>
        </is>
      </c>
      <c r="D528" s="6" t="inlineStr">
        <is>
          <t>20260814</t>
        </is>
      </c>
      <c r="E528" s="16" t="inlineStr"/>
      <c r="F528" s="16" t="inlineStr"/>
      <c r="G528" s="16" t="n">
        <v>665505422.5599999</v>
      </c>
      <c r="H528" s="6" t="inlineStr">
        <is>
          <t>천원,USD등</t>
        </is>
      </c>
      <c r="I528" s="17" t="n">
        <v>479.8</v>
      </c>
      <c r="J528" s="18" t="n">
        <v>417865350</v>
      </c>
      <c r="K528" s="19" t="n">
        <v>403931878</v>
      </c>
      <c r="L528" s="18" t="n">
        <v>315499682</v>
      </c>
      <c r="M528" s="19" t="n">
        <v>5773500545.56</v>
      </c>
      <c r="N528" s="18" t="n">
        <v>216711869</v>
      </c>
      <c r="O528" s="19" t="n">
        <v>166982089</v>
      </c>
      <c r="P528" s="18" t="n">
        <v>128428467</v>
      </c>
      <c r="Q528" s="19" t="n">
        <v>119704590</v>
      </c>
      <c r="R528" s="18" t="n">
        <v>114774809</v>
      </c>
      <c r="S528" s="20" t="n">
        <v>665505422.5599999</v>
      </c>
      <c r="T528" s="6" t="n">
        <v>4</v>
      </c>
      <c r="U528" s="5" t="inlineStr">
        <is>
          <t>INR | TWD | USD</t>
        </is>
      </c>
      <c r="V528" s="21">
        <f>HYPERLINK("https://dart.fss.or.kr/dsaf001/main.do?rcpNo=20260814002619", "공시열람")</f>
        <v/>
      </c>
    </row>
    <row r="529">
      <c r="A529" s="5" t="inlineStr">
        <is>
          <t>유니포인트</t>
        </is>
      </c>
      <c r="B529" s="6" t="inlineStr">
        <is>
          <t>121060</t>
        </is>
      </c>
      <c r="C529" s="6" t="inlineStr">
        <is>
          <t>2024Q4</t>
        </is>
      </c>
      <c r="D529" s="6" t="inlineStr">
        <is>
          <t>20250710</t>
        </is>
      </c>
      <c r="E529" s="16" t="n">
        <v>23342</v>
      </c>
      <c r="F529" s="16" t="inlineStr"/>
      <c r="G529" s="16" t="n">
        <v>6992</v>
      </c>
      <c r="H529" s="6" t="inlineStr">
        <is>
          <t>백만원</t>
        </is>
      </c>
      <c r="I529" s="17" t="n">
        <v>345.1</v>
      </c>
      <c r="J529" s="18" t="inlineStr"/>
      <c r="K529" s="19" t="inlineStr"/>
      <c r="L529" s="18" t="inlineStr"/>
      <c r="M529" s="19" t="n">
        <v>6992</v>
      </c>
      <c r="N529" s="18" t="inlineStr"/>
      <c r="O529" s="19" t="inlineStr"/>
      <c r="P529" s="18" t="inlineStr"/>
      <c r="Q529" s="19" t="inlineStr"/>
      <c r="R529" s="18" t="inlineStr"/>
      <c r="S529" s="20" t="inlineStr"/>
      <c r="T529" s="6" t="n">
        <v>3</v>
      </c>
      <c r="U529" s="5" t="inlineStr">
        <is>
          <t>처브라이프생명보험(주) / 상품 | 수협은행 / 유지보수 | 케이씨씨정보통신 / 보안</t>
        </is>
      </c>
      <c r="V529" s="21">
        <f>HYPERLINK("https://dart.fss.or.kr/dsaf001/main.do?rcpNo=20250710000060", "공시열람")</f>
        <v/>
      </c>
    </row>
    <row r="530">
      <c r="A530" s="5" t="inlineStr">
        <is>
          <t>에스디시스템</t>
        </is>
      </c>
      <c r="B530" s="6" t="inlineStr">
        <is>
          <t>121890</t>
        </is>
      </c>
      <c r="C530" s="6" t="inlineStr">
        <is>
          <t>2026Q2</t>
        </is>
      </c>
      <c r="D530" s="6" t="inlineStr">
        <is>
          <t>20260813</t>
        </is>
      </c>
      <c r="E530" s="16" t="n">
        <v>3137675</v>
      </c>
      <c r="F530" s="16" t="n">
        <v>1437889</v>
      </c>
      <c r="G530" s="16" t="n">
        <v>1699782</v>
      </c>
      <c r="H530" s="6" t="inlineStr">
        <is>
          <t>천원</t>
        </is>
      </c>
      <c r="I530" s="17" t="n">
        <v>76.90000000000001</v>
      </c>
      <c r="J530" s="18" t="n">
        <v>2413871</v>
      </c>
      <c r="K530" s="19" t="n">
        <v>5226901</v>
      </c>
      <c r="L530" s="18" t="n">
        <v>3246158</v>
      </c>
      <c r="M530" s="19" t="n">
        <v>9263902</v>
      </c>
      <c r="N530" s="18" t="n">
        <v>6355155</v>
      </c>
      <c r="O530" s="19" t="n">
        <v>5002994</v>
      </c>
      <c r="P530" s="18" t="n">
        <v>3031967</v>
      </c>
      <c r="Q530" s="19" t="n">
        <v>1258732</v>
      </c>
      <c r="R530" s="18" t="n">
        <v>960679</v>
      </c>
      <c r="S530" s="20" t="n">
        <v>1699782</v>
      </c>
      <c r="T530" s="6" t="n">
        <v>8</v>
      </c>
      <c r="U530" s="5" t="inlineStr">
        <is>
          <t>공사 영종대교 VMS 및 진입차단설비 구매설치 / 20 | 공사 구조물(Pole) 및 L4스위치 납품(설치 포함) | 공사 경남하이웨이 불모산터널 라디오재방송 주장치 제조·</t>
        </is>
      </c>
      <c r="V530" s="21">
        <f>HYPERLINK("https://dart.fss.or.kr/dsaf001/main.do?rcpNo=20260813001031", "공시열람")</f>
        <v/>
      </c>
    </row>
    <row r="531">
      <c r="A531" s="5" t="inlineStr">
        <is>
          <t>알엔티엑스</t>
        </is>
      </c>
      <c r="B531" s="6" t="inlineStr">
        <is>
          <t>123010</t>
        </is>
      </c>
      <c r="C531" s="6" t="inlineStr">
        <is>
          <t>2025Q2</t>
        </is>
      </c>
      <c r="D531" s="6" t="inlineStr">
        <is>
          <t>20250814</t>
        </is>
      </c>
      <c r="E531" s="16" t="inlineStr"/>
      <c r="F531" s="16" t="inlineStr"/>
      <c r="G531" s="16" t="n">
        <v>109632</v>
      </c>
      <c r="H531" s="6" t="inlineStr">
        <is>
          <t>천원</t>
        </is>
      </c>
      <c r="I531" s="17" t="inlineStr"/>
      <c r="J531" s="18" t="inlineStr"/>
      <c r="K531" s="19" t="inlineStr"/>
      <c r="L531" s="18" t="inlineStr"/>
      <c r="M531" s="19" t="inlineStr"/>
      <c r="N531" s="18" t="inlineStr"/>
      <c r="O531" s="19" t="n">
        <v>109632</v>
      </c>
      <c r="P531" s="18" t="inlineStr"/>
      <c r="Q531" s="19" t="inlineStr"/>
      <c r="R531" s="18" t="inlineStr"/>
      <c r="S531" s="20" t="inlineStr"/>
      <c r="T531" s="6" t="n">
        <v>2</v>
      </c>
      <c r="U531" s="5" t="inlineStr">
        <is>
          <t>TK REAR AXLE 조립라인 조립설비 신규제작 /  | 현대트랜시스 P1, P2 후처리 라인 / - / (22</t>
        </is>
      </c>
      <c r="V531" s="21">
        <f>HYPERLINK("https://dart.fss.or.kr/dsaf001/main.do?rcpNo=20250814003277", "공시열람")</f>
        <v/>
      </c>
    </row>
    <row r="532">
      <c r="A532" s="5" t="inlineStr">
        <is>
          <t>알톤</t>
        </is>
      </c>
      <c r="B532" s="6" t="inlineStr">
        <is>
          <t>123750</t>
        </is>
      </c>
      <c r="C532" s="6" t="inlineStr">
        <is>
          <t>2026Q2</t>
        </is>
      </c>
      <c r="D532" s="6" t="inlineStr">
        <is>
          <t>20260814</t>
        </is>
      </c>
      <c r="E532" s="16" t="n">
        <v>13816</v>
      </c>
      <c r="F532" s="16" t="n">
        <v>12522</v>
      </c>
      <c r="G532" s="16" t="n">
        <v>1295</v>
      </c>
      <c r="H532" s="6" t="inlineStr">
        <is>
          <t>대,백만원</t>
        </is>
      </c>
      <c r="I532" s="17" t="n">
        <v>-89.59999999999999</v>
      </c>
      <c r="J532" s="18" t="n">
        <v>3931</v>
      </c>
      <c r="K532" s="19" t="n">
        <v>1298</v>
      </c>
      <c r="L532" s="18" t="n">
        <v>563</v>
      </c>
      <c r="M532" s="19" t="n">
        <v>7303</v>
      </c>
      <c r="N532" s="18" t="n">
        <v>8883</v>
      </c>
      <c r="O532" s="19" t="n">
        <v>1846</v>
      </c>
      <c r="P532" s="18" t="n">
        <v>1735</v>
      </c>
      <c r="Q532" s="19" t="n">
        <v>11930</v>
      </c>
      <c r="R532" s="18" t="n">
        <v>12398</v>
      </c>
      <c r="S532" s="20" t="n">
        <v>1295</v>
      </c>
      <c r="T532" s="6" t="n">
        <v>2</v>
      </c>
      <c r="U532" s="5" t="inlineStr">
        <is>
          <t>보수용 부품 등 / 2026.01.30 / 2026.0 | 전기 자전거 등 / 2026.01.09 / 2026.0</t>
        </is>
      </c>
      <c r="V532" s="21">
        <f>HYPERLINK("https://dart.fss.or.kr/dsaf001/main.do?rcpNo=20260814001246", "공시열람")</f>
        <v/>
      </c>
    </row>
    <row r="533">
      <c r="A533" s="5" t="inlineStr">
        <is>
          <t>뉴온</t>
        </is>
      </c>
      <c r="B533" s="6" t="inlineStr">
        <is>
          <t>123840</t>
        </is>
      </c>
      <c r="C533" s="6" t="inlineStr">
        <is>
          <t>2024Q4</t>
        </is>
      </c>
      <c r="D533" s="6" t="inlineStr">
        <is>
          <t>20250319</t>
        </is>
      </c>
      <c r="E533" s="16" t="n">
        <v>2067</v>
      </c>
      <c r="F533" s="16" t="inlineStr"/>
      <c r="G533" s="16" t="n">
        <v>2067</v>
      </c>
      <c r="H533" s="6" t="inlineStr"/>
      <c r="I533" s="17" t="n">
        <v>-21</v>
      </c>
      <c r="J533" s="18" t="n">
        <v>2067</v>
      </c>
      <c r="K533" s="19" t="n">
        <v>2067</v>
      </c>
      <c r="L533" s="18" t="n">
        <v>2617</v>
      </c>
      <c r="M533" s="19" t="n">
        <v>2067</v>
      </c>
      <c r="N533" s="18" t="inlineStr"/>
      <c r="O533" s="19" t="inlineStr"/>
      <c r="P533" s="18" t="inlineStr"/>
      <c r="Q533" s="19" t="inlineStr"/>
      <c r="R533" s="18" t="inlineStr"/>
      <c r="S533" s="20" t="inlineStr"/>
      <c r="T533" s="6" t="n">
        <v>1</v>
      </c>
      <c r="U533" s="5" t="inlineStr">
        <is>
          <t>진공코팅장비 공급계약 / 2024.03.15 / 202</t>
        </is>
      </c>
      <c r="V533" s="21">
        <f>HYPERLINK("https://dart.fss.or.kr/dsaf001/main.do?rcpNo=20250319001016", "공시열람")</f>
        <v/>
      </c>
    </row>
    <row r="534">
      <c r="A534" s="5" t="inlineStr">
        <is>
          <t>아이티센글로벌</t>
        </is>
      </c>
      <c r="B534" s="6" t="inlineStr">
        <is>
          <t>124500</t>
        </is>
      </c>
      <c r="C534" s="6" t="inlineStr">
        <is>
          <t>2026Q2</t>
        </is>
      </c>
      <c r="D534" s="6" t="inlineStr">
        <is>
          <t>20260813</t>
        </is>
      </c>
      <c r="E534" s="16" t="n">
        <v>30634</v>
      </c>
      <c r="F534" s="16" t="n">
        <v>17020</v>
      </c>
      <c r="G534" s="16" t="n">
        <v>13614</v>
      </c>
      <c r="H534" s="6" t="inlineStr">
        <is>
          <t>백만원</t>
        </is>
      </c>
      <c r="I534" s="17" t="n">
        <v>-18.3</v>
      </c>
      <c r="J534" s="18" t="n">
        <v>14690</v>
      </c>
      <c r="K534" s="19" t="n">
        <v>10882</v>
      </c>
      <c r="L534" s="18" t="n">
        <v>12392</v>
      </c>
      <c r="M534" s="19" t="n">
        <v>8564</v>
      </c>
      <c r="N534" s="18" t="n">
        <v>29542</v>
      </c>
      <c r="O534" s="19" t="n">
        <v>25185</v>
      </c>
      <c r="P534" s="18" t="n">
        <v>21702</v>
      </c>
      <c r="Q534" s="19" t="n">
        <v>18727</v>
      </c>
      <c r="R534" s="18" t="n">
        <v>16671</v>
      </c>
      <c r="S534" s="20" t="n">
        <v>13614</v>
      </c>
      <c r="T534" s="6" t="n">
        <v>2</v>
      </c>
      <c r="U534" s="5" t="inlineStr">
        <is>
          <t>2025~2027년 K-에듀파인 물적기반 유지관리 /  | 2025년~2026년 K-에듀파인 운영 및 유지보수 /</t>
        </is>
      </c>
      <c r="V534" s="21">
        <f>HYPERLINK("https://dart.fss.or.kr/dsaf001/main.do?rcpNo=20260813001059", "공시열람")</f>
        <v/>
      </c>
    </row>
    <row r="535">
      <c r="A535" s="5" t="inlineStr">
        <is>
          <t>태웅로직스</t>
        </is>
      </c>
      <c r="B535" s="6" t="inlineStr">
        <is>
          <t>124560</t>
        </is>
      </c>
      <c r="C535" s="6" t="inlineStr">
        <is>
          <t>2026Q2</t>
        </is>
      </c>
      <c r="D535" s="6" t="inlineStr">
        <is>
          <t>20260814</t>
        </is>
      </c>
      <c r="E535" s="16" t="n">
        <v>58408623</v>
      </c>
      <c r="F535" s="16" t="n">
        <v>46850000</v>
      </c>
      <c r="G535" s="16" t="n">
        <v>11558623</v>
      </c>
      <c r="H535" s="6" t="inlineStr">
        <is>
          <t>USD</t>
        </is>
      </c>
      <c r="I535" s="17" t="n">
        <v>-32.2</v>
      </c>
      <c r="J535" s="18" t="n">
        <v>2180000</v>
      </c>
      <c r="K535" s="19" t="n">
        <v>900000</v>
      </c>
      <c r="L535" s="18" t="n">
        <v>21223017</v>
      </c>
      <c r="M535" s="19" t="n">
        <v>20123017</v>
      </c>
      <c r="N535" s="18" t="n">
        <v>32623017</v>
      </c>
      <c r="O535" s="19" t="n">
        <v>23023017</v>
      </c>
      <c r="P535" s="18" t="n">
        <v>19543017</v>
      </c>
      <c r="Q535" s="19" t="n">
        <v>12328623</v>
      </c>
      <c r="R535" s="18" t="n">
        <v>17048623</v>
      </c>
      <c r="S535" s="20" t="n">
        <v>11558623</v>
      </c>
      <c r="T535" s="6" t="n">
        <v>6</v>
      </c>
      <c r="U535" s="5" t="inlineStr">
        <is>
          <t>건설자재 | 전동차 | 건설자재</t>
        </is>
      </c>
      <c r="V535" s="21">
        <f>HYPERLINK("https://dart.fss.or.kr/dsaf001/main.do?rcpNo=20260814001028", "공시열람")</f>
        <v/>
      </c>
    </row>
    <row r="536">
      <c r="A536" s="5" t="inlineStr">
        <is>
          <t>현대퓨처넷</t>
        </is>
      </c>
      <c r="B536" s="6" t="inlineStr">
        <is>
          <t>126560</t>
        </is>
      </c>
      <c r="C536" s="6" t="inlineStr">
        <is>
          <t>2024Q3</t>
        </is>
      </c>
      <c r="D536" s="6" t="inlineStr">
        <is>
          <t>20241114</t>
        </is>
      </c>
      <c r="E536" s="16" t="n">
        <v>378</v>
      </c>
      <c r="F536" s="16" t="n">
        <v>246</v>
      </c>
      <c r="G536" s="16" t="n">
        <v>132</v>
      </c>
      <c r="H536" s="6" t="inlineStr">
        <is>
          <t>백만원/VAT포함</t>
        </is>
      </c>
      <c r="I536" s="17" t="n">
        <v>4.8</v>
      </c>
      <c r="J536" s="18" t="n">
        <v>0</v>
      </c>
      <c r="K536" s="19" t="n">
        <v>126</v>
      </c>
      <c r="L536" s="18" t="n">
        <v>132</v>
      </c>
      <c r="M536" s="19" t="inlineStr"/>
      <c r="N536" s="18" t="inlineStr"/>
      <c r="O536" s="19" t="inlineStr"/>
      <c r="P536" s="18" t="inlineStr"/>
      <c r="Q536" s="19" t="inlineStr"/>
      <c r="R536" s="18" t="inlineStr"/>
      <c r="S536" s="20" t="inlineStr"/>
      <c r="T536" s="6" t="n">
        <v>1</v>
      </c>
      <c r="U536" s="5" t="inlineStr">
        <is>
          <t>SI (시스템 개발) / 현대백화점그룹 / -</t>
        </is>
      </c>
      <c r="V536" s="21">
        <f>HYPERLINK("https://dart.fss.or.kr/dsaf001/main.do?rcpNo=20241114002263", "공시열람")</f>
        <v/>
      </c>
    </row>
    <row r="537">
      <c r="A537" s="5" t="inlineStr">
        <is>
          <t>하이비젼시스템</t>
        </is>
      </c>
      <c r="B537" s="6" t="inlineStr">
        <is>
          <t>126700</t>
        </is>
      </c>
      <c r="C537" s="6" t="inlineStr">
        <is>
          <t>2026Q2</t>
        </is>
      </c>
      <c r="D537" s="6" t="inlineStr">
        <is>
          <t>20260814</t>
        </is>
      </c>
      <c r="E537" s="16" t="n">
        <v>366701</v>
      </c>
      <c r="F537" s="16" t="n">
        <v>78315</v>
      </c>
      <c r="G537" s="16" t="n">
        <v>288386</v>
      </c>
      <c r="H537" s="6" t="inlineStr">
        <is>
          <t>백만원</t>
        </is>
      </c>
      <c r="I537" s="17" t="n">
        <v>31.3</v>
      </c>
      <c r="J537" s="18" t="n">
        <v>206393</v>
      </c>
      <c r="K537" s="19" t="n">
        <v>203675</v>
      </c>
      <c r="L537" s="18" t="n">
        <v>184294</v>
      </c>
      <c r="M537" s="19" t="n">
        <v>147896</v>
      </c>
      <c r="N537" s="18" t="n">
        <v>168044</v>
      </c>
      <c r="O537" s="19" t="n">
        <v>141481</v>
      </c>
      <c r="P537" s="18" t="n">
        <v>100002</v>
      </c>
      <c r="Q537" s="19" t="n">
        <v>126441</v>
      </c>
      <c r="R537" s="18" t="n">
        <v>219664</v>
      </c>
      <c r="S537" s="20" t="n">
        <v>288386</v>
      </c>
      <c r="T537" s="6" t="n">
        <v>4</v>
      </c>
      <c r="U537" s="5" t="inlineStr">
        <is>
          <t>IT/모바일 부문 / - | 2차전지 부문 / - | 3D 프린터 및 기타 부문 / -</t>
        </is>
      </c>
      <c r="V537" s="21">
        <f>HYPERLINK("https://dart.fss.or.kr/dsaf001/main.do?rcpNo=20260814003565", "공시열람")</f>
        <v/>
      </c>
    </row>
    <row r="538">
      <c r="A538" s="5" t="inlineStr">
        <is>
          <t>수산인더스트리</t>
        </is>
      </c>
      <c r="B538" s="6" t="inlineStr">
        <is>
          <t>126720</t>
        </is>
      </c>
      <c r="C538" s="6" t="inlineStr">
        <is>
          <t>2026Q2</t>
        </is>
      </c>
      <c r="D538" s="6" t="inlineStr">
        <is>
          <t>20260814</t>
        </is>
      </c>
      <c r="E538" s="16" t="n">
        <v>1239387</v>
      </c>
      <c r="F538" s="16" t="n">
        <v>932242</v>
      </c>
      <c r="G538" s="16" t="n">
        <v>307154</v>
      </c>
      <c r="H538" s="6" t="inlineStr">
        <is>
          <t>백만원</t>
        </is>
      </c>
      <c r="I538" s="17" t="n">
        <v>-10.6</v>
      </c>
      <c r="J538" s="18" t="n">
        <v>416841</v>
      </c>
      <c r="K538" s="19" t="n">
        <v>412026</v>
      </c>
      <c r="L538" s="18" t="n">
        <v>458401</v>
      </c>
      <c r="M538" s="19" t="n">
        <v>372370</v>
      </c>
      <c r="N538" s="18" t="n">
        <v>373753</v>
      </c>
      <c r="O538" s="19" t="n">
        <v>352204</v>
      </c>
      <c r="P538" s="18" t="n">
        <v>356272</v>
      </c>
      <c r="Q538" s="19" t="n">
        <v>303187</v>
      </c>
      <c r="R538" s="18" t="n">
        <v>343757</v>
      </c>
      <c r="S538" s="20" t="n">
        <v>307154</v>
      </c>
      <c r="T538" s="6" t="n">
        <v>143</v>
      </c>
      <c r="U538" s="5" t="inlineStr">
        <is>
          <t xml:space="preserve">신한울3,4호기 안전계통 제어기(PLC) 구매 / 20 | 신한울3,4호기 기자재 품질검사 용역(2403-3104 | 신월성 1,2호기 경상정비공사(2507-2706) / </t>
        </is>
      </c>
      <c r="V538" s="21">
        <f>HYPERLINK("https://dart.fss.or.kr/dsaf001/main.do?rcpNo=20260814001283", "공시열람")</f>
        <v/>
      </c>
    </row>
    <row r="539">
      <c r="A539" s="5" t="inlineStr">
        <is>
          <t>제이엔케이글로벌</t>
        </is>
      </c>
      <c r="B539" s="6" t="inlineStr">
        <is>
          <t>126880</t>
        </is>
      </c>
      <c r="C539" s="6" t="inlineStr">
        <is>
          <t>2026Q2</t>
        </is>
      </c>
      <c r="D539" s="6" t="inlineStr">
        <is>
          <t>20260814</t>
        </is>
      </c>
      <c r="E539" s="16" t="n">
        <v>785438</v>
      </c>
      <c r="F539" s="16" t="n">
        <v>389499</v>
      </c>
      <c r="G539" s="16" t="n">
        <v>395940</v>
      </c>
      <c r="H539" s="6" t="inlineStr">
        <is>
          <t>백만원</t>
        </is>
      </c>
      <c r="I539" s="17" t="n">
        <v>-9.6</v>
      </c>
      <c r="J539" s="18" t="n">
        <v>217252</v>
      </c>
      <c r="K539" s="19" t="n">
        <v>211745566</v>
      </c>
      <c r="L539" s="18" t="n">
        <v>136807</v>
      </c>
      <c r="M539" s="19" t="n">
        <v>211745566</v>
      </c>
      <c r="N539" s="18" t="n">
        <v>153198696</v>
      </c>
      <c r="O539" s="19" t="n">
        <v>121962</v>
      </c>
      <c r="P539" s="18" t="n">
        <v>528016</v>
      </c>
      <c r="Q539" s="19" t="n">
        <v>516304971878</v>
      </c>
      <c r="R539" s="18" t="n">
        <v>437892</v>
      </c>
      <c r="S539" s="20" t="n">
        <v>395940</v>
      </c>
      <c r="T539" s="6" t="n">
        <v>10</v>
      </c>
      <c r="U539" s="5" t="inlineStr">
        <is>
          <t>Fired Heater / 2025-09-19 / 20 | Fired Heater / 2025-09-19 / 20 | Fired Heater / 2025-05-19 / 20</t>
        </is>
      </c>
      <c r="V539" s="21">
        <f>HYPERLINK("https://dart.fss.or.kr/dsaf001/main.do?rcpNo=20260814001305", "공시열람")</f>
        <v/>
      </c>
    </row>
    <row r="540">
      <c r="A540" s="5" t="inlineStr">
        <is>
          <t>제이에스링크</t>
        </is>
      </c>
      <c r="B540" s="6" t="inlineStr">
        <is>
          <t>127120</t>
        </is>
      </c>
      <c r="C540" s="6" t="inlineStr">
        <is>
          <t>2026Q2</t>
        </is>
      </c>
      <c r="D540" s="6" t="inlineStr">
        <is>
          <t>20260814</t>
        </is>
      </c>
      <c r="E540" s="16" t="n">
        <v>12946092655</v>
      </c>
      <c r="F540" s="16" t="n">
        <v>7192093809</v>
      </c>
      <c r="G540" s="16" t="n">
        <v>5753998846</v>
      </c>
      <c r="H540" s="6" t="inlineStr">
        <is>
          <t>원</t>
        </is>
      </c>
      <c r="I540" s="17" t="n">
        <v>-19.9</v>
      </c>
      <c r="J540" s="18" t="n">
        <v>50766064</v>
      </c>
      <c r="K540" s="19" t="n">
        <v>2305393336</v>
      </c>
      <c r="L540" s="18" t="n">
        <v>919455336</v>
      </c>
      <c r="M540" s="19" t="n">
        <v>0</v>
      </c>
      <c r="N540" s="18" t="n">
        <v>624474655</v>
      </c>
      <c r="O540" s="19" t="n">
        <v>14073951636</v>
      </c>
      <c r="P540" s="18" t="n">
        <v>11972594957</v>
      </c>
      <c r="Q540" s="19" t="n">
        <v>7311282275</v>
      </c>
      <c r="R540" s="18" t="n">
        <v>7181619679</v>
      </c>
      <c r="S540" s="20" t="n">
        <v>5753998846</v>
      </c>
      <c r="T540" s="6" t="n">
        <v>2</v>
      </c>
      <c r="U540" s="5" t="inlineStr">
        <is>
          <t xml:space="preserve">국가 통합 바이오 빅데이터 구축 사업을 위한 유전체와  | 한국인 범유전체 구축을 위한 염기서열정보생산 (II) </t>
        </is>
      </c>
      <c r="V540" s="21">
        <f>HYPERLINK("https://dart.fss.or.kr/dsaf001/main.do?rcpNo=20260814002018", "공시열람")</f>
        <v/>
      </c>
    </row>
    <row r="541">
      <c r="A541" s="5" t="inlineStr">
        <is>
          <t>피제이메탈</t>
        </is>
      </c>
      <c r="B541" s="6" t="inlineStr">
        <is>
          <t>128660</t>
        </is>
      </c>
      <c r="C541" s="6" t="inlineStr">
        <is>
          <t>2026Q1</t>
        </is>
      </c>
      <c r="D541" s="6" t="inlineStr">
        <is>
          <t>20260515</t>
        </is>
      </c>
      <c r="E541" s="16" t="n">
        <v>73041</v>
      </c>
      <c r="F541" s="16" t="n">
        <v>36660</v>
      </c>
      <c r="G541" s="16" t="n">
        <v>36381</v>
      </c>
      <c r="H541" s="6" t="inlineStr">
        <is>
          <t>톤,백만원</t>
        </is>
      </c>
      <c r="I541" s="17" t="n">
        <v>4546.4</v>
      </c>
      <c r="J541" s="18" t="n">
        <v>24723</v>
      </c>
      <c r="K541" s="19" t="n">
        <v>2421</v>
      </c>
      <c r="L541" s="18" t="n">
        <v>29688</v>
      </c>
      <c r="M541" s="19" t="n">
        <v>3785</v>
      </c>
      <c r="N541" s="18" t="n">
        <v>31920</v>
      </c>
      <c r="O541" s="19" t="n">
        <v>783</v>
      </c>
      <c r="P541" s="18" t="n">
        <v>23890</v>
      </c>
      <c r="Q541" s="19" t="n">
        <v>783</v>
      </c>
      <c r="R541" s="18" t="n">
        <v>36381</v>
      </c>
      <c r="S541" s="20" t="inlineStr"/>
      <c r="T541" s="6" t="n">
        <v>1</v>
      </c>
      <c r="U541" s="5" t="inlineStr">
        <is>
          <t>탈산제 / 2025년 12월 11일 / 2026년 상반</t>
        </is>
      </c>
      <c r="V541" s="21">
        <f>HYPERLINK("https://dart.fss.or.kr/dsaf001/main.do?rcpNo=20260515000714", "공시열람")</f>
        <v/>
      </c>
    </row>
    <row r="542">
      <c r="A542" s="5" t="inlineStr">
        <is>
          <t>인터지스</t>
        </is>
      </c>
      <c r="B542" s="6" t="inlineStr">
        <is>
          <t>129260</t>
        </is>
      </c>
      <c r="C542" s="6" t="inlineStr">
        <is>
          <t>2025Q3</t>
        </is>
      </c>
      <c r="D542" s="6" t="inlineStr">
        <is>
          <t>20251114</t>
        </is>
      </c>
      <c r="E542" s="16" t="n">
        <v>300</v>
      </c>
      <c r="F542" s="16" t="n">
        <v>300</v>
      </c>
      <c r="G542" s="16" t="n">
        <v>0</v>
      </c>
      <c r="H542" s="6" t="inlineStr">
        <is>
          <t>만톤</t>
        </is>
      </c>
      <c r="I542" s="17" t="n">
        <v>-100</v>
      </c>
      <c r="J542" s="18" t="n">
        <v>45</v>
      </c>
      <c r="K542" s="19" t="inlineStr"/>
      <c r="L542" s="18" t="n">
        <v>25</v>
      </c>
      <c r="M542" s="19" t="inlineStr"/>
      <c r="N542" s="18" t="inlineStr"/>
      <c r="O542" s="19" t="inlineStr"/>
      <c r="P542" s="18" t="n">
        <v>0</v>
      </c>
      <c r="Q542" s="19" t="inlineStr"/>
      <c r="R542" s="18" t="inlineStr"/>
      <c r="S542" s="20" t="inlineStr"/>
      <c r="T542" s="6" t="n">
        <v>1</v>
      </c>
      <c r="U542" s="5" t="inlineStr">
        <is>
          <t>SLAB 해상운송 / 2010년 10월 05일 / 15</t>
        </is>
      </c>
      <c r="V542" s="21">
        <f>HYPERLINK("https://dart.fss.or.kr/dsaf001/main.do?rcpNo=20251114001098", "공시열람")</f>
        <v/>
      </c>
    </row>
    <row r="543">
      <c r="A543" s="5" t="inlineStr">
        <is>
          <t>대성하이텍</t>
        </is>
      </c>
      <c r="B543" s="6" t="inlineStr">
        <is>
          <t>129920</t>
        </is>
      </c>
      <c r="C543" s="6" t="inlineStr">
        <is>
          <t>2026Q2</t>
        </is>
      </c>
      <c r="D543" s="6" t="inlineStr">
        <is>
          <t>20260814</t>
        </is>
      </c>
      <c r="E543" s="16" t="n">
        <v>73703090</v>
      </c>
      <c r="F543" s="16" t="inlineStr"/>
      <c r="G543" s="16" t="n">
        <v>76488134</v>
      </c>
      <c r="H543" s="6" t="inlineStr">
        <is>
          <t>천원</t>
        </is>
      </c>
      <c r="I543" s="17" t="n">
        <v>14.1</v>
      </c>
      <c r="J543" s="18" t="n">
        <v>29043640</v>
      </c>
      <c r="K543" s="19" t="n">
        <v>31687070</v>
      </c>
      <c r="L543" s="18" t="n">
        <v>28884774</v>
      </c>
      <c r="M543" s="19" t="n">
        <v>19545821</v>
      </c>
      <c r="N543" s="18" t="n">
        <v>28404172</v>
      </c>
      <c r="O543" s="19" t="n">
        <v>31315405</v>
      </c>
      <c r="P543" s="18" t="n">
        <v>26854695</v>
      </c>
      <c r="Q543" s="19" t="n">
        <v>38608521</v>
      </c>
      <c r="R543" s="18" t="n">
        <v>67013759</v>
      </c>
      <c r="S543" s="20" t="n">
        <v>76488134</v>
      </c>
      <c r="T543" s="6" t="n">
        <v>4</v>
      </c>
      <c r="U543" s="5" t="inlineStr">
        <is>
          <t>정밀부품 / TLR1 외 / 2026/01/01~202 | 스위스턴 자동선반 / NN-25J3-SW-YWL 외 / | 컴팩트 머시닝 센터 / TX-40DSⅡ(15K/24T)</t>
        </is>
      </c>
      <c r="V543" s="21">
        <f>HYPERLINK("https://dart.fss.or.kr/dsaf001/main.do?rcpNo=20260814002715", "공시열람")</f>
        <v/>
      </c>
    </row>
    <row r="544">
      <c r="A544" s="5" t="inlineStr">
        <is>
          <t>티에스이</t>
        </is>
      </c>
      <c r="B544" s="6" t="inlineStr">
        <is>
          <t>131290</t>
        </is>
      </c>
      <c r="C544" s="6" t="inlineStr">
        <is>
          <t>2026Q2</t>
        </is>
      </c>
      <c r="D544" s="6" t="inlineStr">
        <is>
          <t>20260814</t>
        </is>
      </c>
      <c r="E544" s="16" t="n">
        <v>281340</v>
      </c>
      <c r="F544" s="16" t="n">
        <v>149428</v>
      </c>
      <c r="G544" s="16" t="n">
        <v>131912</v>
      </c>
      <c r="H544" s="6" t="inlineStr">
        <is>
          <t>개,백만원</t>
        </is>
      </c>
      <c r="I544" s="17" t="n">
        <v>37.9</v>
      </c>
      <c r="J544" s="18" t="n">
        <v>13641</v>
      </c>
      <c r="K544" s="19" t="n">
        <v>35423</v>
      </c>
      <c r="L544" s="18" t="n">
        <v>56839</v>
      </c>
      <c r="M544" s="19" t="n">
        <v>41915</v>
      </c>
      <c r="N544" s="18" t="n">
        <v>36018</v>
      </c>
      <c r="O544" s="19" t="n">
        <v>41024</v>
      </c>
      <c r="P544" s="18" t="n">
        <v>52234</v>
      </c>
      <c r="Q544" s="19" t="n">
        <v>74099</v>
      </c>
      <c r="R544" s="18" t="n">
        <v>95625</v>
      </c>
      <c r="S544" s="20" t="n">
        <v>131912</v>
      </c>
      <c r="T544" s="6" t="n">
        <v>4</v>
      </c>
      <c r="U544" s="5" t="inlineStr">
        <is>
          <t>Probe Card / 2026.01.01 ~ 2026 | OLED/LED 검사 장비 / 2026.01.01 ~  | Interface Board / 2026.01.01 ~</t>
        </is>
      </c>
      <c r="V544" s="21">
        <f>HYPERLINK("https://dart.fss.or.kr/dsaf001/main.do?rcpNo=20260814002616", "공시열람")</f>
        <v/>
      </c>
    </row>
    <row r="545">
      <c r="A545" s="5" t="inlineStr">
        <is>
          <t>파인텍</t>
        </is>
      </c>
      <c r="B545" s="6" t="inlineStr">
        <is>
          <t>131760</t>
        </is>
      </c>
      <c r="C545" s="6" t="inlineStr">
        <is>
          <t>2026Q2</t>
        </is>
      </c>
      <c r="D545" s="6" t="inlineStr">
        <is>
          <t>20260814</t>
        </is>
      </c>
      <c r="E545" s="16" t="n">
        <v>50641425</v>
      </c>
      <c r="F545" s="16" t="n">
        <v>22270126</v>
      </c>
      <c r="G545" s="16" t="n">
        <v>28371299</v>
      </c>
      <c r="H545" s="6" t="inlineStr">
        <is>
          <t>천원</t>
        </is>
      </c>
      <c r="I545" s="17" t="n">
        <v>616.6</v>
      </c>
      <c r="J545" s="18" t="n">
        <v>17940552</v>
      </c>
      <c r="K545" s="19" t="n">
        <v>27659633</v>
      </c>
      <c r="L545" s="18" t="n">
        <v>8583075</v>
      </c>
      <c r="M545" s="19" t="n">
        <v>7181420</v>
      </c>
      <c r="N545" s="18" t="n">
        <v>7313536</v>
      </c>
      <c r="O545" s="19" t="n">
        <v>5383335</v>
      </c>
      <c r="P545" s="18" t="n">
        <v>12027228</v>
      </c>
      <c r="Q545" s="19" t="n">
        <v>5137023</v>
      </c>
      <c r="R545" s="18" t="n">
        <v>3958902</v>
      </c>
      <c r="S545" s="20" t="n">
        <v>28371299</v>
      </c>
      <c r="T545" s="6" t="n">
        <v>2</v>
      </c>
      <c r="U545" s="5" t="inlineStr">
        <is>
          <t>디스플레이 및 2차전지 제조 장비 / 2026년 / - | 디스플레이 및 2차전지 제조 장비 / 전년도 수주 이월</t>
        </is>
      </c>
      <c r="V545" s="21">
        <f>HYPERLINK("https://dart.fss.or.kr/dsaf001/main.do?rcpNo=20260814002275", "공시열람")</f>
        <v/>
      </c>
    </row>
    <row r="546">
      <c r="A546" s="5" t="inlineStr">
        <is>
          <t>원일티엔아이</t>
        </is>
      </c>
      <c r="B546" s="6" t="inlineStr">
        <is>
          <t>136150</t>
        </is>
      </c>
      <c r="C546" s="6" t="inlineStr">
        <is>
          <t>2026Q2</t>
        </is>
      </c>
      <c r="D546" s="6" t="inlineStr">
        <is>
          <t>20260814</t>
        </is>
      </c>
      <c r="E546" s="16" t="n">
        <v>115128600</v>
      </c>
      <c r="F546" s="16" t="inlineStr"/>
      <c r="G546" s="16" t="n">
        <v>51113519</v>
      </c>
      <c r="H546" s="6" t="inlineStr">
        <is>
          <t>천원</t>
        </is>
      </c>
      <c r="I546" s="17" t="n">
        <v>21.8</v>
      </c>
      <c r="J546" s="18" t="inlineStr"/>
      <c r="K546" s="19" t="inlineStr"/>
      <c r="L546" s="18" t="inlineStr"/>
      <c r="M546" s="19" t="inlineStr"/>
      <c r="N546" s="18" t="inlineStr"/>
      <c r="O546" s="19" t="n">
        <v>28551984</v>
      </c>
      <c r="P546" s="18" t="n">
        <v>26144920</v>
      </c>
      <c r="Q546" s="19" t="n">
        <v>29963239</v>
      </c>
      <c r="R546" s="18" t="n">
        <v>41956345</v>
      </c>
      <c r="S546" s="20" t="n">
        <v>51113519</v>
      </c>
      <c r="T546" s="6" t="n">
        <v>7</v>
      </c>
      <c r="U546" s="5" t="inlineStr">
        <is>
          <t>기타 / - | 개질기 / 2026년 / 2027년 | 고압연소식기화기 / 2025년 / 2026년</t>
        </is>
      </c>
      <c r="V546" s="21">
        <f>HYPERLINK("https://dart.fss.or.kr/dsaf001/main.do?rcpNo=20260814000662", "공시열람")</f>
        <v/>
      </c>
    </row>
    <row r="547">
      <c r="A547" s="5" t="inlineStr">
        <is>
          <t>에스디바이오센서</t>
        </is>
      </c>
      <c r="B547" s="6" t="inlineStr">
        <is>
          <t>137310</t>
        </is>
      </c>
      <c r="C547" s="6" t="inlineStr">
        <is>
          <t>2022Q4</t>
        </is>
      </c>
      <c r="D547" s="6" t="inlineStr">
        <is>
          <t>20250822</t>
        </is>
      </c>
      <c r="E547" s="16" t="inlineStr"/>
      <c r="F547" s="16" t="inlineStr"/>
      <c r="G547" s="16" t="n">
        <v>20492561</v>
      </c>
      <c r="H547" s="6" t="inlineStr">
        <is>
          <t>천원</t>
        </is>
      </c>
      <c r="I547" s="17" t="inlineStr"/>
      <c r="J547" s="18" t="inlineStr"/>
      <c r="K547" s="19" t="inlineStr"/>
      <c r="L547" s="18" t="inlineStr"/>
      <c r="M547" s="19" t="inlineStr"/>
      <c r="N547" s="18" t="inlineStr"/>
      <c r="O547" s="19" t="inlineStr"/>
      <c r="P547" s="18" t="inlineStr"/>
      <c r="Q547" s="19" t="inlineStr"/>
      <c r="R547" s="18" t="inlineStr"/>
      <c r="S547" s="20" t="inlineStr"/>
      <c r="T547" s="6" t="n">
        <v>3</v>
      </c>
      <c r="U547" s="5" t="inlineStr">
        <is>
          <t>연결범위변동 | 기말장부가액 | 환산차이</t>
        </is>
      </c>
      <c r="V547" s="21">
        <f>HYPERLINK("https://dart.fss.or.kr/dsaf001/main.do?rcpNo=20250822000225", "공시열람")</f>
        <v/>
      </c>
    </row>
    <row r="548">
      <c r="A548" s="5" t="inlineStr">
        <is>
          <t>넥스트아이</t>
        </is>
      </c>
      <c r="B548" s="6" t="inlineStr">
        <is>
          <t>137940</t>
        </is>
      </c>
      <c r="C548" s="6" t="inlineStr">
        <is>
          <t>2025Q4</t>
        </is>
      </c>
      <c r="D548" s="6" t="inlineStr">
        <is>
          <t>20260703</t>
        </is>
      </c>
      <c r="E548" s="16" t="n">
        <v>3438240</v>
      </c>
      <c r="F548" s="16" t="n">
        <v>3197907</v>
      </c>
      <c r="G548" s="16" t="n">
        <v>240333</v>
      </c>
      <c r="H548" s="6" t="inlineStr">
        <is>
          <t>천원</t>
        </is>
      </c>
      <c r="I548" s="17" t="n">
        <v>-31.7</v>
      </c>
      <c r="J548" s="18" t="n">
        <v>887110</v>
      </c>
      <c r="K548" s="19" t="n">
        <v>1285193</v>
      </c>
      <c r="L548" s="18" t="n">
        <v>325322</v>
      </c>
      <c r="M548" s="19" t="n">
        <v>5894227</v>
      </c>
      <c r="N548" s="18" t="n">
        <v>358000</v>
      </c>
      <c r="O548" s="19" t="n">
        <v>859904</v>
      </c>
      <c r="P548" s="18" t="n">
        <v>352076</v>
      </c>
      <c r="Q548" s="19" t="n">
        <v>240333</v>
      </c>
      <c r="R548" s="18" t="inlineStr"/>
      <c r="S548" s="20" t="inlineStr"/>
      <c r="T548" s="6" t="n">
        <v>1</v>
      </c>
      <c r="U548" s="5" t="inlineStr">
        <is>
          <t>A / 2024-11-14 / 2025-11-30</t>
        </is>
      </c>
      <c r="V548" s="21">
        <f>HYPERLINK("https://dart.fss.or.kr/dsaf001/main.do?rcpNo=20260703000467", "공시열람")</f>
        <v/>
      </c>
    </row>
    <row r="549">
      <c r="A549" s="5" t="inlineStr">
        <is>
          <t>오이솔루션</t>
        </is>
      </c>
      <c r="B549" s="6" t="inlineStr">
        <is>
          <t>138080</t>
        </is>
      </c>
      <c r="C549" s="6" t="inlineStr">
        <is>
          <t>2026Q2</t>
        </is>
      </c>
      <c r="D549" s="6" t="inlineStr">
        <is>
          <t>20260814</t>
        </is>
      </c>
      <c r="E549" s="16" t="n">
        <v>79605</v>
      </c>
      <c r="F549" s="16" t="n">
        <v>37469</v>
      </c>
      <c r="G549" s="16" t="n">
        <v>42136</v>
      </c>
      <c r="H549" s="6" t="inlineStr">
        <is>
          <t>백만원</t>
        </is>
      </c>
      <c r="I549" s="17" t="n">
        <v>75.40000000000001</v>
      </c>
      <c r="J549" s="18" t="n">
        <v>11977</v>
      </c>
      <c r="K549" s="19" t="n">
        <v>11377</v>
      </c>
      <c r="L549" s="18" t="n">
        <v>14614</v>
      </c>
      <c r="M549" s="19" t="n">
        <v>21784</v>
      </c>
      <c r="N549" s="18" t="n">
        <v>23502</v>
      </c>
      <c r="O549" s="19" t="n">
        <v>20354</v>
      </c>
      <c r="P549" s="18" t="n">
        <v>19978</v>
      </c>
      <c r="Q549" s="19" t="n">
        <v>19094</v>
      </c>
      <c r="R549" s="18" t="n">
        <v>24023</v>
      </c>
      <c r="S549" s="20" t="n">
        <v>42136</v>
      </c>
      <c r="T549" s="6" t="n">
        <v>2</v>
      </c>
      <c r="U549" s="5" t="inlineStr">
        <is>
          <t>광통신 모듈 | 광통신 소자</t>
        </is>
      </c>
      <c r="V549" s="21">
        <f>HYPERLINK("https://dart.fss.or.kr/dsaf001/main.do?rcpNo=20260814002929", "공시열람")</f>
        <v/>
      </c>
    </row>
    <row r="550">
      <c r="A550" s="5" t="inlineStr">
        <is>
          <t>앤로보틱스</t>
        </is>
      </c>
      <c r="B550" s="6" t="inlineStr">
        <is>
          <t>138360</t>
        </is>
      </c>
      <c r="C550" s="6" t="inlineStr">
        <is>
          <t>2026Q2</t>
        </is>
      </c>
      <c r="D550" s="6" t="inlineStr">
        <is>
          <t>20260814</t>
        </is>
      </c>
      <c r="E550" s="16" t="n">
        <v>35545</v>
      </c>
      <c r="F550" s="16" t="n">
        <v>31717</v>
      </c>
      <c r="G550" s="16" t="n">
        <v>5516</v>
      </c>
      <c r="H550" s="6" t="inlineStr">
        <is>
          <t>백만원</t>
        </is>
      </c>
      <c r="I550" s="17" t="n">
        <v>0</v>
      </c>
      <c r="J550" s="18" t="n">
        <v>21680</v>
      </c>
      <c r="K550" s="19" t="n">
        <v>25581</v>
      </c>
      <c r="L550" s="18" t="n">
        <v>19959</v>
      </c>
      <c r="M550" s="19" t="n">
        <v>19588</v>
      </c>
      <c r="N550" s="18" t="n">
        <v>21197</v>
      </c>
      <c r="O550" s="19" t="n">
        <v>18522</v>
      </c>
      <c r="P550" s="18" t="n">
        <v>8679</v>
      </c>
      <c r="Q550" s="19" t="n">
        <v>3976</v>
      </c>
      <c r="R550" s="18" t="n">
        <v>5516</v>
      </c>
      <c r="S550" s="20" t="n">
        <v>5516</v>
      </c>
      <c r="T550" s="6" t="n">
        <v>6</v>
      </c>
      <c r="U550" s="5" t="inlineStr">
        <is>
          <t>식품제조설비 / 2025.01.01~ 2025.12.3 | 공공기관 발급기 시스템등, 유지보수 / 2026.01. | 식품제조설비 / 2024.01.01~ 2024.12.3</t>
        </is>
      </c>
      <c r="V550" s="21">
        <f>HYPERLINK("https://dart.fss.or.kr/dsaf001/main.do?rcpNo=20260814001624", "공시열람")</f>
        <v/>
      </c>
    </row>
    <row r="551">
      <c r="A551" s="5" t="inlineStr">
        <is>
          <t>나이벡</t>
        </is>
      </c>
      <c r="B551" s="6" t="inlineStr">
        <is>
          <t>138610</t>
        </is>
      </c>
      <c r="C551" s="6" t="inlineStr">
        <is>
          <t>2022Q4</t>
        </is>
      </c>
      <c r="D551" s="6" t="inlineStr">
        <is>
          <t>20240311</t>
        </is>
      </c>
      <c r="E551" s="16" t="n">
        <v>21982</v>
      </c>
      <c r="F551" s="16" t="n">
        <v>15540</v>
      </c>
      <c r="G551" s="16" t="n">
        <v>6442</v>
      </c>
      <c r="H551" s="6" t="inlineStr">
        <is>
          <t>천미불</t>
        </is>
      </c>
      <c r="I551" s="17" t="inlineStr"/>
      <c r="J551" s="18" t="inlineStr"/>
      <c r="K551" s="19" t="inlineStr"/>
      <c r="L551" s="18" t="inlineStr"/>
      <c r="M551" s="19" t="inlineStr"/>
      <c r="N551" s="18" t="inlineStr"/>
      <c r="O551" s="19" t="inlineStr"/>
      <c r="P551" s="18" t="inlineStr"/>
      <c r="Q551" s="19" t="inlineStr"/>
      <c r="R551" s="18" t="inlineStr"/>
      <c r="S551" s="20" t="inlineStr"/>
      <c r="T551" s="6" t="n">
        <v>1</v>
      </c>
      <c r="U551" s="5" t="inlineStr">
        <is>
          <t>치과용 골이식재 / 2019-02-21 / 2024-0</t>
        </is>
      </c>
      <c r="V551" s="21">
        <f>HYPERLINK("https://dart.fss.or.kr/dsaf001/main.do?rcpNo=20240311000726", "공시열람")</f>
        <v/>
      </c>
    </row>
    <row r="552">
      <c r="A552" s="5" t="inlineStr">
        <is>
          <t>이마트</t>
        </is>
      </c>
      <c r="B552" s="6" t="inlineStr">
        <is>
          <t>139480</t>
        </is>
      </c>
      <c r="C552" s="6" t="inlineStr">
        <is>
          <t>2026Q2</t>
        </is>
      </c>
      <c r="D552" s="6" t="inlineStr">
        <is>
          <t>20260814</t>
        </is>
      </c>
      <c r="E552" s="16" t="n">
        <v>4015432</v>
      </c>
      <c r="F552" s="16" t="n">
        <v>2127937</v>
      </c>
      <c r="G552" s="16" t="n">
        <v>1887495</v>
      </c>
      <c r="H552" s="6" t="inlineStr">
        <is>
          <t>백만원</t>
        </is>
      </c>
      <c r="I552" s="17" t="n">
        <v>-9</v>
      </c>
      <c r="J552" s="18" t="n">
        <v>1975135</v>
      </c>
      <c r="K552" s="19" t="n">
        <v>2687936</v>
      </c>
      <c r="L552" s="18" t="n">
        <v>2584887</v>
      </c>
      <c r="M552" s="19" t="n">
        <v>2492258</v>
      </c>
      <c r="N552" s="18" t="n">
        <v>2334087</v>
      </c>
      <c r="O552" s="19" t="n">
        <v>2321385</v>
      </c>
      <c r="P552" s="18" t="n">
        <v>2142985</v>
      </c>
      <c r="Q552" s="19" t="n">
        <v>2274360</v>
      </c>
      <c r="R552" s="18" t="n">
        <v>2073875</v>
      </c>
      <c r="S552" s="20" t="n">
        <v>1887495</v>
      </c>
      <c r="T552" s="6" t="n">
        <v>19</v>
      </c>
      <c r="U552" s="5" t="inlineStr">
        <is>
          <t>스타필드청라현장 / 2024.06.28 / 2027.1 | 청담동 52-3 복합시설 개발사업 / 2025.12.2 | 스타필드창원현장 / 2025.04.01 / 2028.0</t>
        </is>
      </c>
      <c r="V552" s="21">
        <f>HYPERLINK("https://dart.fss.or.kr/dsaf001/main.do?rcpNo=20260814002794", "공시열람")</f>
        <v/>
      </c>
    </row>
    <row r="553">
      <c r="A553" s="5" t="inlineStr">
        <is>
          <t>아주스틸</t>
        </is>
      </c>
      <c r="B553" s="6" t="inlineStr">
        <is>
          <t>139990</t>
        </is>
      </c>
      <c r="C553" s="6" t="inlineStr">
        <is>
          <t>2024Q3</t>
        </is>
      </c>
      <c r="D553" s="6" t="inlineStr">
        <is>
          <t>20241114</t>
        </is>
      </c>
      <c r="E553" s="16" t="inlineStr"/>
      <c r="F553" s="16" t="inlineStr"/>
      <c r="G553" s="16" t="n">
        <v>14989856082</v>
      </c>
      <c r="H553" s="6" t="inlineStr">
        <is>
          <t>원</t>
        </is>
      </c>
      <c r="I553" s="17" t="n">
        <v>-60.1</v>
      </c>
      <c r="J553" s="18" t="n">
        <v>29913612693</v>
      </c>
      <c r="K553" s="19" t="n">
        <v>37601052018</v>
      </c>
      <c r="L553" s="18" t="n">
        <v>14989856082</v>
      </c>
      <c r="M553" s="19" t="inlineStr"/>
      <c r="N553" s="18" t="inlineStr"/>
      <c r="O553" s="19" t="inlineStr"/>
      <c r="P553" s="18" t="inlineStr"/>
      <c r="Q553" s="19" t="inlineStr"/>
      <c r="R553" s="18" t="inlineStr"/>
      <c r="S553" s="20" t="inlineStr"/>
      <c r="T553" s="6" t="n">
        <v>1</v>
      </c>
      <c r="U553" s="5" t="inlineStr">
        <is>
          <t>전문건설공사</t>
        </is>
      </c>
      <c r="V553" s="21">
        <f>HYPERLINK("https://dart.fss.or.kr/dsaf001/main.do?rcpNo=20241114002793", "공시열람")</f>
        <v/>
      </c>
    </row>
    <row r="554">
      <c r="A554" s="5" t="inlineStr">
        <is>
          <t>카티스</t>
        </is>
      </c>
      <c r="B554" s="6" t="inlineStr">
        <is>
          <t>140430</t>
        </is>
      </c>
      <c r="C554" s="6" t="inlineStr">
        <is>
          <t>2026Q2</t>
        </is>
      </c>
      <c r="D554" s="6" t="inlineStr">
        <is>
          <t>20260814</t>
        </is>
      </c>
      <c r="E554" s="16" t="inlineStr"/>
      <c r="F554" s="16" t="inlineStr"/>
      <c r="G554" s="16" t="n">
        <v>17314421</v>
      </c>
      <c r="H554" s="6" t="inlineStr">
        <is>
          <t>천원</t>
        </is>
      </c>
      <c r="I554" s="17" t="n">
        <v>108.8</v>
      </c>
      <c r="J554" s="18" t="n">
        <v>823531</v>
      </c>
      <c r="K554" s="19" t="n">
        <v>34610963</v>
      </c>
      <c r="L554" s="18" t="n">
        <v>29654260</v>
      </c>
      <c r="M554" s="19" t="n">
        <v>24385655</v>
      </c>
      <c r="N554" s="18" t="n">
        <v>24385655</v>
      </c>
      <c r="O554" s="19" t="n">
        <v>24385655</v>
      </c>
      <c r="P554" s="18" t="n">
        <v>24385655</v>
      </c>
      <c r="Q554" s="19" t="n">
        <v>24385655</v>
      </c>
      <c r="R554" s="18" t="n">
        <v>8292188</v>
      </c>
      <c r="S554" s="20" t="n">
        <v>17314421</v>
      </c>
      <c r="T554" s="6" t="n">
        <v>5</v>
      </c>
      <c r="U554" s="5" t="inlineStr">
        <is>
          <t>Digital Realty ICN11 김포데이터센터 S | 인천국제공항 4단계 대인검색장비 구매설치사업 | 데이터센터 각 세종 물리보안 구축</t>
        </is>
      </c>
      <c r="V554" s="21">
        <f>HYPERLINK("https://dart.fss.or.kr/dsaf001/main.do?rcpNo=20260814001604", "공시열람")</f>
        <v/>
      </c>
    </row>
    <row r="555">
      <c r="A555" s="5" t="inlineStr">
        <is>
          <t>알에스오토메이션</t>
        </is>
      </c>
      <c r="B555" s="6" t="inlineStr">
        <is>
          <t>140670</t>
        </is>
      </c>
      <c r="C555" s="6" t="inlineStr">
        <is>
          <t>2026Q2</t>
        </is>
      </c>
      <c r="D555" s="6" t="inlineStr">
        <is>
          <t>20260814</t>
        </is>
      </c>
      <c r="E555" s="16" t="n">
        <v>20205</v>
      </c>
      <c r="F555" s="16" t="n">
        <v>0</v>
      </c>
      <c r="G555" s="16" t="n">
        <v>20205</v>
      </c>
      <c r="H555" s="6" t="inlineStr">
        <is>
          <t>대,백만원</t>
        </is>
      </c>
      <c r="I555" s="17" t="n">
        <v>4.3</v>
      </c>
      <c r="J555" s="18" t="n">
        <v>22166</v>
      </c>
      <c r="K555" s="19" t="n">
        <v>19565</v>
      </c>
      <c r="L555" s="18" t="n">
        <v>18519</v>
      </c>
      <c r="M555" s="19" t="n">
        <v>9639</v>
      </c>
      <c r="N555" s="18" t="n">
        <v>15745</v>
      </c>
      <c r="O555" s="19" t="n">
        <v>22136</v>
      </c>
      <c r="P555" s="18" t="n">
        <v>18487</v>
      </c>
      <c r="Q555" s="19" t="n">
        <v>15305</v>
      </c>
      <c r="R555" s="18" t="n">
        <v>19365</v>
      </c>
      <c r="S555" s="20" t="n">
        <v>20205</v>
      </c>
      <c r="T555" s="6" t="n">
        <v>2</v>
      </c>
      <c r="U555" s="5" t="inlineStr">
        <is>
          <t>로봇모션제어기 / 26년 6월 ~26년 7월 / 26년 | 에너지 제어장치 / 26년 6월 ~26년 7월 / 26</t>
        </is>
      </c>
      <c r="V555" s="21">
        <f>HYPERLINK("https://dart.fss.or.kr/dsaf001/main.do?rcpNo=20260814002367", "공시열람")</f>
        <v/>
      </c>
    </row>
    <row r="556">
      <c r="A556" s="5" t="inlineStr">
        <is>
          <t>파크시스템스</t>
        </is>
      </c>
      <c r="B556" s="6" t="inlineStr">
        <is>
          <t>140860</t>
        </is>
      </c>
      <c r="C556" s="6" t="inlineStr">
        <is>
          <t>2026Q2</t>
        </is>
      </c>
      <c r="D556" s="6" t="inlineStr">
        <is>
          <t>20260814</t>
        </is>
      </c>
      <c r="E556" s="16" t="inlineStr"/>
      <c r="F556" s="16" t="inlineStr"/>
      <c r="G556" s="16" t="n">
        <v>19400000</v>
      </c>
      <c r="H556" s="6" t="inlineStr">
        <is>
          <t>USD,천원</t>
        </is>
      </c>
      <c r="I556" s="17" t="n">
        <v>22164.8</v>
      </c>
      <c r="J556" s="18" t="n">
        <v>29000000</v>
      </c>
      <c r="K556" s="19" t="n">
        <v>23500000</v>
      </c>
      <c r="L556" s="18" t="n">
        <v>75357</v>
      </c>
      <c r="M556" s="19" t="n">
        <v>61225</v>
      </c>
      <c r="N556" s="18" t="n">
        <v>89298</v>
      </c>
      <c r="O556" s="19" t="n">
        <v>69260</v>
      </c>
      <c r="P556" s="18" t="n">
        <v>64532</v>
      </c>
      <c r="Q556" s="19" t="n">
        <v>63633</v>
      </c>
      <c r="R556" s="18" t="n">
        <v>87133</v>
      </c>
      <c r="S556" s="20" t="n">
        <v>19400000</v>
      </c>
      <c r="T556" s="6" t="n">
        <v>6</v>
      </c>
      <c r="U556" s="5" t="inlineStr">
        <is>
          <t>통화옵션(목표이익 선물환) / 씨티은행 / 2025.0 | 통화옵션(목표이익 선물환) / 부산은행 / 2025.0 | 통화옵션(목표이익 선물환) / 씨티은행 / 2025.0</t>
        </is>
      </c>
      <c r="V556" s="21">
        <f>HYPERLINK("https://dart.fss.or.kr/dsaf001/main.do?rcpNo=20260814004158", "공시열람")</f>
        <v/>
      </c>
    </row>
    <row r="557">
      <c r="A557" s="5" t="inlineStr">
        <is>
          <t>비아트론</t>
        </is>
      </c>
      <c r="B557" s="6" t="inlineStr">
        <is>
          <t>141000</t>
        </is>
      </c>
      <c r="C557" s="6" t="inlineStr">
        <is>
          <t>2026Q2</t>
        </is>
      </c>
      <c r="D557" s="6" t="inlineStr">
        <is>
          <t>20260814</t>
        </is>
      </c>
      <c r="E557" s="16" t="n">
        <v>67901865</v>
      </c>
      <c r="F557" s="16" t="n">
        <v>39561217</v>
      </c>
      <c r="G557" s="16" t="n">
        <v>28340648</v>
      </c>
      <c r="H557" s="6" t="inlineStr">
        <is>
          <t>천원</t>
        </is>
      </c>
      <c r="I557" s="17" t="n">
        <v>6.7</v>
      </c>
      <c r="J557" s="18" t="n">
        <v>47676</v>
      </c>
      <c r="K557" s="19" t="n">
        <v>45880</v>
      </c>
      <c r="L557" s="18" t="n">
        <v>17445</v>
      </c>
      <c r="M557" s="19" t="n">
        <v>58063</v>
      </c>
      <c r="N557" s="18" t="n">
        <v>34070</v>
      </c>
      <c r="O557" s="19" t="n">
        <v>17613</v>
      </c>
      <c r="P557" s="18" t="n">
        <v>26533</v>
      </c>
      <c r="Q557" s="19" t="n">
        <v>28555192</v>
      </c>
      <c r="R557" s="18" t="n">
        <v>26560573</v>
      </c>
      <c r="S557" s="20" t="n">
        <v>28340648</v>
      </c>
      <c r="T557" s="6" t="n">
        <v>1</v>
      </c>
      <c r="U557" s="5" t="inlineStr">
        <is>
          <t xml:space="preserve">디스플레이 및 반도체제조장비 / 2023년~2026년 </t>
        </is>
      </c>
      <c r="V557" s="21">
        <f>HYPERLINK("https://dart.fss.or.kr/dsaf001/main.do?rcpNo=20260814001535", "공시열람")</f>
        <v/>
      </c>
    </row>
    <row r="558">
      <c r="A558" s="5" t="inlineStr">
        <is>
          <t>녹십자엠에스</t>
        </is>
      </c>
      <c r="B558" s="6" t="inlineStr">
        <is>
          <t>142280</t>
        </is>
      </c>
      <c r="C558" s="6" t="inlineStr">
        <is>
          <t>2026Q2</t>
        </is>
      </c>
      <c r="D558" s="6" t="inlineStr">
        <is>
          <t>20260814</t>
        </is>
      </c>
      <c r="E558" s="16" t="n">
        <v>8147</v>
      </c>
      <c r="F558" s="16" t="n">
        <v>206</v>
      </c>
      <c r="G558" s="16" t="n">
        <v>7941</v>
      </c>
      <c r="H558" s="6" t="inlineStr">
        <is>
          <t>백만원</t>
        </is>
      </c>
      <c r="I558" s="17" t="n">
        <v>0</v>
      </c>
      <c r="J558" s="18" t="n">
        <v>100177</v>
      </c>
      <c r="K558" s="19" t="n">
        <v>56107</v>
      </c>
      <c r="L558" s="18" t="n">
        <v>52851</v>
      </c>
      <c r="M558" s="19" t="n">
        <v>51199</v>
      </c>
      <c r="N558" s="18" t="n">
        <v>100177</v>
      </c>
      <c r="O558" s="19" t="n">
        <v>41202</v>
      </c>
      <c r="P558" s="18" t="n">
        <v>18716</v>
      </c>
      <c r="Q558" s="19" t="n">
        <v>7985</v>
      </c>
      <c r="R558" s="18" t="n">
        <v>7941</v>
      </c>
      <c r="S558" s="20" t="n">
        <v>7941</v>
      </c>
      <c r="T558" s="6" t="n">
        <v>1</v>
      </c>
      <c r="U558" s="5" t="inlineStr">
        <is>
          <t>Arkray / HbA1c / 유럽,아시아</t>
        </is>
      </c>
      <c r="V558" s="21">
        <f>HYPERLINK("https://dart.fss.or.kr/dsaf001/main.do?rcpNo=20260814003325", "공시열람")</f>
        <v/>
      </c>
    </row>
    <row r="559">
      <c r="A559" s="5" t="inlineStr">
        <is>
          <t>영우디에스피</t>
        </is>
      </c>
      <c r="B559" s="6" t="inlineStr">
        <is>
          <t>143540</t>
        </is>
      </c>
      <c r="C559" s="6" t="inlineStr">
        <is>
          <t>2026Q2</t>
        </is>
      </c>
      <c r="D559" s="6" t="inlineStr">
        <is>
          <t>20260814</t>
        </is>
      </c>
      <c r="E559" s="16" t="n">
        <v>81826</v>
      </c>
      <c r="F559" s="16" t="n">
        <v>39871</v>
      </c>
      <c r="G559" s="16" t="n">
        <v>41955</v>
      </c>
      <c r="H559" s="6" t="inlineStr">
        <is>
          <t>백만원</t>
        </is>
      </c>
      <c r="I559" s="17" t="n">
        <v>15.6</v>
      </c>
      <c r="J559" s="18" t="n">
        <v>41223</v>
      </c>
      <c r="K559" s="19" t="n">
        <v>31203</v>
      </c>
      <c r="L559" s="18" t="n">
        <v>37317</v>
      </c>
      <c r="M559" s="19" t="n">
        <v>27913</v>
      </c>
      <c r="N559" s="18" t="n">
        <v>39659</v>
      </c>
      <c r="O559" s="19" t="n">
        <v>31012</v>
      </c>
      <c r="P559" s="18" t="n">
        <v>51803</v>
      </c>
      <c r="Q559" s="19" t="n">
        <v>36463</v>
      </c>
      <c r="R559" s="18" t="n">
        <v>36292</v>
      </c>
      <c r="S559" s="20" t="n">
        <v>41955</v>
      </c>
      <c r="T559" s="6" t="n">
        <v>3</v>
      </c>
      <c r="U559" s="5" t="inlineStr">
        <is>
          <t>디스플레이 장비 / - | 스마트 물류 자동화 시스템 / - | 반도체 장비 / -</t>
        </is>
      </c>
      <c r="V559" s="21">
        <f>HYPERLINK("https://dart.fss.or.kr/dsaf001/main.do?rcpNo=20260814002804", "공시열람")</f>
        <v/>
      </c>
    </row>
    <row r="560">
      <c r="A560" s="5" t="inlineStr">
        <is>
          <t>다이나믹디자인</t>
        </is>
      </c>
      <c r="B560" s="6" t="inlineStr">
        <is>
          <t>145210</t>
        </is>
      </c>
      <c r="C560" s="6" t="inlineStr">
        <is>
          <t>2026Q2</t>
        </is>
      </c>
      <c r="D560" s="6" t="inlineStr">
        <is>
          <t>20260814</t>
        </is>
      </c>
      <c r="E560" s="16" t="n">
        <v>33123</v>
      </c>
      <c r="F560" s="16" t="n">
        <v>16625</v>
      </c>
      <c r="G560" s="16" t="n">
        <v>16498</v>
      </c>
      <c r="H560" s="6" t="inlineStr">
        <is>
          <t>조,백만원</t>
        </is>
      </c>
      <c r="I560" s="17" t="n">
        <v>50.2</v>
      </c>
      <c r="J560" s="18" t="n">
        <v>6420</v>
      </c>
      <c r="K560" s="19" t="n">
        <v>6851</v>
      </c>
      <c r="L560" s="18" t="n">
        <v>7022</v>
      </c>
      <c r="M560" s="19" t="n">
        <v>9544</v>
      </c>
      <c r="N560" s="18" t="n">
        <v>6021</v>
      </c>
      <c r="O560" s="19" t="n">
        <v>8944</v>
      </c>
      <c r="P560" s="18" t="n">
        <v>13935</v>
      </c>
      <c r="Q560" s="19" t="n">
        <v>12324</v>
      </c>
      <c r="R560" s="18" t="n">
        <v>10985</v>
      </c>
      <c r="S560" s="20" t="n">
        <v>16498</v>
      </c>
      <c r="T560" s="6" t="n">
        <v>1</v>
      </c>
      <c r="U560" s="5" t="inlineStr">
        <is>
          <t>타이어금형 / 2026.01.01 ~ 2026.06.3</t>
        </is>
      </c>
      <c r="V560" s="21">
        <f>HYPERLINK("https://dart.fss.or.kr/dsaf001/main.do?rcpNo=20260814002665", "공시열람")</f>
        <v/>
      </c>
    </row>
    <row r="561">
      <c r="A561" s="5" t="inlineStr">
        <is>
          <t>덴티움</t>
        </is>
      </c>
      <c r="B561" s="6" t="inlineStr">
        <is>
          <t>145720</t>
        </is>
      </c>
      <c r="C561" s="6" t="inlineStr">
        <is>
          <t>2024Q3</t>
        </is>
      </c>
      <c r="D561" s="6" t="inlineStr">
        <is>
          <t>20241114</t>
        </is>
      </c>
      <c r="E561" s="16" t="inlineStr"/>
      <c r="F561" s="16" t="inlineStr"/>
      <c r="G561" s="16" t="n">
        <v>15000000</v>
      </c>
      <c r="H561" s="6" t="inlineStr">
        <is>
          <t>천원</t>
        </is>
      </c>
      <c r="I561" s="17" t="n">
        <v>0</v>
      </c>
      <c r="J561" s="18" t="n">
        <v>17500000</v>
      </c>
      <c r="K561" s="19" t="n">
        <v>15000000</v>
      </c>
      <c r="L561" s="18" t="n">
        <v>15000000</v>
      </c>
      <c r="M561" s="19" t="inlineStr"/>
      <c r="N561" s="18" t="inlineStr"/>
      <c r="O561" s="19" t="inlineStr"/>
      <c r="P561" s="18" t="inlineStr"/>
      <c r="Q561" s="19" t="inlineStr"/>
      <c r="R561" s="18" t="inlineStr"/>
      <c r="S561" s="20" t="inlineStr"/>
      <c r="T561" s="6" t="n">
        <v>1</v>
      </c>
      <c r="U561" s="5" t="inlineStr">
        <is>
          <t>이자율스왑 / 신한은행 / 2019.04.26</t>
        </is>
      </c>
      <c r="V561" s="21">
        <f>HYPERLINK("https://dart.fss.or.kr/dsaf001/main.do?rcpNo=20241114001922", "공시열람")</f>
        <v/>
      </c>
    </row>
    <row r="562">
      <c r="A562" s="5" t="inlineStr">
        <is>
          <t>제룡산업</t>
        </is>
      </c>
      <c r="B562" s="6" t="inlineStr">
        <is>
          <t>147830</t>
        </is>
      </c>
      <c r="C562" s="6" t="inlineStr">
        <is>
          <t>2026Q2</t>
        </is>
      </c>
      <c r="D562" s="6" t="inlineStr">
        <is>
          <t>20260814</t>
        </is>
      </c>
      <c r="E562" s="16" t="n">
        <v>25009633</v>
      </c>
      <c r="F562" s="16" t="n">
        <v>19658463</v>
      </c>
      <c r="G562" s="16" t="n">
        <v>5351170</v>
      </c>
      <c r="H562" s="6" t="inlineStr">
        <is>
          <t>천원</t>
        </is>
      </c>
      <c r="I562" s="17" t="n">
        <v>-54.2</v>
      </c>
      <c r="J562" s="18" t="n">
        <v>4430532</v>
      </c>
      <c r="K562" s="19" t="n">
        <v>3776035</v>
      </c>
      <c r="L562" s="18" t="n">
        <v>4828199</v>
      </c>
      <c r="M562" s="19" t="n">
        <v>1331731</v>
      </c>
      <c r="N562" s="18" t="n">
        <v>20598896</v>
      </c>
      <c r="O562" s="19" t="n">
        <v>18284950</v>
      </c>
      <c r="P562" s="18" t="n">
        <v>25650838</v>
      </c>
      <c r="Q562" s="19" t="n">
        <v>20075851</v>
      </c>
      <c r="R562" s="18" t="n">
        <v>11673010</v>
      </c>
      <c r="S562" s="20" t="n">
        <v>5351170</v>
      </c>
      <c r="T562" s="6" t="n">
        <v>9</v>
      </c>
      <c r="U562" s="5" t="inlineStr">
        <is>
          <t>HVDC 애자 및 전선 금구류 / 2025.01.09  | 조립식이음관 / 2026.04.22 / " | 전주도색판 / 2026.04.28 / "</t>
        </is>
      </c>
      <c r="V562" s="21">
        <f>HYPERLINK("https://dart.fss.or.kr/dsaf001/main.do?rcpNo=20260814000834", "공시열람")</f>
        <v/>
      </c>
    </row>
    <row r="563">
      <c r="A563" s="5" t="inlineStr">
        <is>
          <t>에이치와이티씨</t>
        </is>
      </c>
      <c r="B563" s="6" t="inlineStr">
        <is>
          <t>148930</t>
        </is>
      </c>
      <c r="C563" s="6" t="inlineStr">
        <is>
          <t>2026Q2</t>
        </is>
      </c>
      <c r="D563" s="6" t="inlineStr">
        <is>
          <t>20260814</t>
        </is>
      </c>
      <c r="E563" s="16" t="n">
        <v>6574</v>
      </c>
      <c r="F563" s="16" t="n">
        <v>666</v>
      </c>
      <c r="G563" s="16" t="n">
        <v>5908</v>
      </c>
      <c r="H563" s="6" t="inlineStr">
        <is>
          <t>EA,백만원</t>
        </is>
      </c>
      <c r="I563" s="17" t="n">
        <v>0</v>
      </c>
      <c r="J563" s="18" t="inlineStr"/>
      <c r="K563" s="19" t="inlineStr"/>
      <c r="L563" s="18" t="inlineStr"/>
      <c r="M563" s="19" t="n">
        <v>6278</v>
      </c>
      <c r="N563" s="18" t="n">
        <v>6278</v>
      </c>
      <c r="O563" s="19" t="n">
        <v>6204</v>
      </c>
      <c r="P563" s="18" t="n">
        <v>6130</v>
      </c>
      <c r="Q563" s="19" t="n">
        <v>5908</v>
      </c>
      <c r="R563" s="18" t="n">
        <v>5908</v>
      </c>
      <c r="S563" s="20" t="n">
        <v>5908</v>
      </c>
      <c r="T563" s="6" t="n">
        <v>1</v>
      </c>
      <c r="U563" s="5" t="inlineStr">
        <is>
          <t>이차전지 제조용 노칭금형 및 부품 / 2024-10-1</t>
        </is>
      </c>
      <c r="V563" s="21">
        <f>HYPERLINK("https://dart.fss.or.kr/dsaf001/main.do?rcpNo=20260814000821", "공시열람")</f>
        <v/>
      </c>
    </row>
    <row r="564">
      <c r="A564" s="5" t="inlineStr">
        <is>
          <t>아이케이세미콘</t>
        </is>
      </c>
      <c r="B564" s="6" t="inlineStr">
        <is>
          <t>149010</t>
        </is>
      </c>
      <c r="C564" s="6" t="inlineStr">
        <is>
          <t>2024Q4</t>
        </is>
      </c>
      <c r="D564" s="6" t="inlineStr">
        <is>
          <t>20250321</t>
        </is>
      </c>
      <c r="E564" s="16" t="inlineStr"/>
      <c r="F564" s="16" t="inlineStr"/>
      <c r="G564" s="16" t="n">
        <v>4411</v>
      </c>
      <c r="H564" s="6" t="inlineStr"/>
      <c r="I564" s="17" t="n">
        <v>9.699999999999999</v>
      </c>
      <c r="J564" s="18" t="inlineStr"/>
      <c r="K564" s="19" t="inlineStr"/>
      <c r="L564" s="18" t="inlineStr"/>
      <c r="M564" s="19" t="n">
        <v>4411</v>
      </c>
      <c r="N564" s="18" t="inlineStr"/>
      <c r="O564" s="19" t="inlineStr"/>
      <c r="P564" s="18" t="inlineStr"/>
      <c r="Q564" s="19" t="inlineStr"/>
      <c r="R564" s="18" t="inlineStr"/>
      <c r="S564" s="20" t="inlineStr"/>
      <c r="T564" s="6" t="n">
        <v>2</v>
      </c>
      <c r="U564" s="5" t="inlineStr">
        <is>
          <t>해 외 | 국 내</t>
        </is>
      </c>
      <c r="V564" s="21">
        <f>HYPERLINK("https://dart.fss.or.kr/dsaf001/main.do?rcpNo=20250321000195", "공시열람")</f>
        <v/>
      </c>
    </row>
    <row r="565">
      <c r="A565" s="5" t="inlineStr">
        <is>
          <t>KG에코솔루션</t>
        </is>
      </c>
      <c r="B565" s="6" t="inlineStr">
        <is>
          <t>151860</t>
        </is>
      </c>
      <c r="C565" s="6" t="inlineStr">
        <is>
          <t>2026Q2</t>
        </is>
      </c>
      <c r="D565" s="6" t="inlineStr">
        <is>
          <t>20260814</t>
        </is>
      </c>
      <c r="E565" s="16" t="n">
        <v>57906</v>
      </c>
      <c r="F565" s="16" t="n">
        <v>48922</v>
      </c>
      <c r="G565" s="16" t="n">
        <v>8984</v>
      </c>
      <c r="H565" s="6" t="inlineStr">
        <is>
          <t>톤,백만원</t>
        </is>
      </c>
      <c r="I565" s="17" t="n">
        <v>-25.9</v>
      </c>
      <c r="J565" s="18" t="n">
        <v>29295</v>
      </c>
      <c r="K565" s="19" t="n">
        <v>35425</v>
      </c>
      <c r="L565" s="18" t="n">
        <v>19664</v>
      </c>
      <c r="M565" s="19" t="n">
        <v>16371</v>
      </c>
      <c r="N565" s="18" t="n">
        <v>13584</v>
      </c>
      <c r="O565" s="19" t="n">
        <v>13602</v>
      </c>
      <c r="P565" s="18" t="n">
        <v>14962</v>
      </c>
      <c r="Q565" s="19" t="n">
        <v>14085</v>
      </c>
      <c r="R565" s="18" t="n">
        <v>12117</v>
      </c>
      <c r="S565" s="20" t="n">
        <v>8984</v>
      </c>
      <c r="T565" s="6" t="n">
        <v>3</v>
      </c>
      <c r="U565" s="5" t="inlineStr">
        <is>
          <t>일반철골공사 / - | PEB 제품판매 / - | PEB 철골공사 / -</t>
        </is>
      </c>
      <c r="V565" s="21">
        <f>HYPERLINK("https://dart.fss.or.kr/dsaf001/main.do?rcpNo=20260814002621", "공시열람")</f>
        <v/>
      </c>
    </row>
    <row r="566">
      <c r="A566" s="5" t="inlineStr">
        <is>
          <t>와이엠씨</t>
        </is>
      </c>
      <c r="B566" s="6" t="inlineStr">
        <is>
          <t>155650</t>
        </is>
      </c>
      <c r="C566" s="6" t="inlineStr">
        <is>
          <t>2025Q4</t>
        </is>
      </c>
      <c r="D566" s="6" t="inlineStr">
        <is>
          <t>20260313</t>
        </is>
      </c>
      <c r="E566" s="16" t="n">
        <v>21593</v>
      </c>
      <c r="F566" s="16" t="n">
        <v>21593</v>
      </c>
      <c r="G566" s="16" t="n">
        <v>0</v>
      </c>
      <c r="H566" s="6" t="inlineStr">
        <is>
          <t>백만원</t>
        </is>
      </c>
      <c r="I566" s="17" t="inlineStr"/>
      <c r="J566" s="18" t="n">
        <v>4464</v>
      </c>
      <c r="K566" s="19" t="n">
        <v>19194</v>
      </c>
      <c r="L566" s="18" t="n">
        <v>11996</v>
      </c>
      <c r="M566" s="19" t="n">
        <v>4798</v>
      </c>
      <c r="N566" s="18" t="n">
        <v>0</v>
      </c>
      <c r="O566" s="19" t="n">
        <v>0</v>
      </c>
      <c r="P566" s="18" t="n">
        <v>0</v>
      </c>
      <c r="Q566" s="19" t="n">
        <v>0</v>
      </c>
      <c r="R566" s="18" t="inlineStr"/>
      <c r="S566" s="20" t="inlineStr"/>
      <c r="T566" s="6" t="n">
        <v>1</v>
      </c>
      <c r="U566" s="5" t="inlineStr">
        <is>
          <t>디스플레이 제조 설비 유지 보수 / 2024.05.30</t>
        </is>
      </c>
      <c r="V566" s="21">
        <f>HYPERLINK("https://dart.fss.or.kr/dsaf001/main.do?rcpNo=20260313001301", "공시열람")</f>
        <v/>
      </c>
    </row>
    <row r="567">
      <c r="A567" s="5" t="inlineStr">
        <is>
          <t>에코글로우</t>
        </is>
      </c>
      <c r="B567" s="6" t="inlineStr">
        <is>
          <t>159910</t>
        </is>
      </c>
      <c r="C567" s="6" t="inlineStr">
        <is>
          <t>2026Q1</t>
        </is>
      </c>
      <c r="D567" s="6" t="inlineStr">
        <is>
          <t>20260515</t>
        </is>
      </c>
      <c r="E567" s="16" t="n">
        <v>3000</v>
      </c>
      <c r="F567" s="16" t="n">
        <v>3000</v>
      </c>
      <c r="G567" s="16" t="n">
        <v>0</v>
      </c>
      <c r="H567" s="6" t="inlineStr">
        <is>
          <t>백만원</t>
        </is>
      </c>
      <c r="I567" s="17" t="inlineStr"/>
      <c r="J567" s="18" t="inlineStr"/>
      <c r="K567" s="19" t="inlineStr"/>
      <c r="L567" s="18" t="inlineStr"/>
      <c r="M567" s="19" t="inlineStr"/>
      <c r="N567" s="18" t="inlineStr"/>
      <c r="O567" s="19" t="inlineStr"/>
      <c r="P567" s="18" t="inlineStr"/>
      <c r="Q567" s="19" t="inlineStr"/>
      <c r="R567" s="18" t="n">
        <v>0</v>
      </c>
      <c r="S567" s="20" t="inlineStr"/>
      <c r="T567" s="6" t="n">
        <v>1</v>
      </c>
      <c r="U567" s="5" t="inlineStr">
        <is>
          <t>ESG 통합 캠페인 및 프로젝트 대행 계약 / 2026</t>
        </is>
      </c>
      <c r="V567" s="21">
        <f>HYPERLINK("https://dart.fss.or.kr/dsaf001/main.do?rcpNo=20260515000599", "공시열람")</f>
        <v/>
      </c>
    </row>
    <row r="568">
      <c r="A568" s="5" t="inlineStr">
        <is>
          <t>필옵틱스</t>
        </is>
      </c>
      <c r="B568" s="6" t="inlineStr">
        <is>
          <t>161580</t>
        </is>
      </c>
      <c r="C568" s="6" t="inlineStr">
        <is>
          <t>2026Q2</t>
        </is>
      </c>
      <c r="D568" s="6" t="inlineStr">
        <is>
          <t>20260814</t>
        </is>
      </c>
      <c r="E568" s="16" t="n">
        <v>144994</v>
      </c>
      <c r="F568" s="16" t="n">
        <v>19170</v>
      </c>
      <c r="G568" s="16" t="n">
        <v>125824</v>
      </c>
      <c r="H568" s="6" t="inlineStr">
        <is>
          <t>백만원</t>
        </is>
      </c>
      <c r="I568" s="17" t="n">
        <v>13.3</v>
      </c>
      <c r="J568" s="18" t="n">
        <v>437179</v>
      </c>
      <c r="K568" s="19" t="n">
        <v>335078</v>
      </c>
      <c r="L568" s="18" t="n">
        <v>288534</v>
      </c>
      <c r="M568" s="19" t="n">
        <v>154135</v>
      </c>
      <c r="N568" s="18" t="n">
        <v>121225</v>
      </c>
      <c r="O568" s="19" t="n">
        <v>91999</v>
      </c>
      <c r="P568" s="18" t="n">
        <v>101438</v>
      </c>
      <c r="Q568" s="19" t="n">
        <v>105938</v>
      </c>
      <c r="R568" s="18" t="n">
        <v>111039</v>
      </c>
      <c r="S568" s="20" t="n">
        <v>125824</v>
      </c>
      <c r="T568" s="6" t="n">
        <v>2</v>
      </c>
      <c r="U568" s="5" t="inlineStr">
        <is>
          <t>이차전지 공정장비 / - | 디스플레이, 반도체 장비 등 / -</t>
        </is>
      </c>
      <c r="V568" s="21">
        <f>HYPERLINK("https://dart.fss.or.kr/dsaf001/main.do?rcpNo=20260814002796", "공시열람")</f>
        <v/>
      </c>
    </row>
    <row r="569">
      <c r="A569" s="5" t="inlineStr">
        <is>
          <t>루켄테크놀러지스</t>
        </is>
      </c>
      <c r="B569" s="6" t="inlineStr">
        <is>
          <t>162120</t>
        </is>
      </c>
      <c r="C569" s="6" t="inlineStr">
        <is>
          <t>2025Q4</t>
        </is>
      </c>
      <c r="D569" s="6" t="inlineStr">
        <is>
          <t>20260323</t>
        </is>
      </c>
      <c r="E569" s="16" t="n">
        <v>7652</v>
      </c>
      <c r="F569" s="16" t="inlineStr"/>
      <c r="G569" s="16" t="n">
        <v>7652</v>
      </c>
      <c r="H569" s="6" t="inlineStr">
        <is>
          <t>EA,백만원</t>
        </is>
      </c>
      <c r="I569" s="17" t="n">
        <v>-99.90000000000001</v>
      </c>
      <c r="J569" s="18" t="inlineStr"/>
      <c r="K569" s="19" t="inlineStr"/>
      <c r="L569" s="18" t="inlineStr"/>
      <c r="M569" s="19" t="n">
        <v>6746997</v>
      </c>
      <c r="N569" s="18" t="inlineStr"/>
      <c r="O569" s="19" t="inlineStr"/>
      <c r="P569" s="18" t="inlineStr"/>
      <c r="Q569" s="19" t="n">
        <v>7652</v>
      </c>
      <c r="R569" s="18" t="inlineStr"/>
      <c r="S569" s="20" t="inlineStr"/>
      <c r="T569" s="6" t="n">
        <v>2</v>
      </c>
      <c r="U569" s="5" t="inlineStr">
        <is>
          <t>디스플레이검사장비 / - | 반도체 부품 / -</t>
        </is>
      </c>
      <c r="V569" s="21">
        <f>HYPERLINK("https://dart.fss.or.kr/dsaf001/main.do?rcpNo=20260323000759", "공시열람")</f>
        <v/>
      </c>
    </row>
    <row r="570">
      <c r="A570" s="5" t="inlineStr">
        <is>
          <t>에어레인</t>
        </is>
      </c>
      <c r="B570" s="6" t="inlineStr">
        <is>
          <t>163280</t>
        </is>
      </c>
      <c r="C570" s="6" t="inlineStr">
        <is>
          <t>2026Q2</t>
        </is>
      </c>
      <c r="D570" s="6" t="inlineStr">
        <is>
          <t>20260813</t>
        </is>
      </c>
      <c r="E570" s="16" t="n">
        <v>10357</v>
      </c>
      <c r="F570" s="16" t="n">
        <v>5688</v>
      </c>
      <c r="G570" s="16" t="n">
        <v>4669</v>
      </c>
      <c r="H570" s="6" t="inlineStr">
        <is>
          <t>백만원</t>
        </is>
      </c>
      <c r="I570" s="17" t="n">
        <v>6</v>
      </c>
      <c r="J570" s="18" t="inlineStr"/>
      <c r="K570" s="19" t="inlineStr"/>
      <c r="L570" s="18" t="inlineStr"/>
      <c r="M570" s="19" t="n">
        <v>5079</v>
      </c>
      <c r="N570" s="18" t="n">
        <v>5054</v>
      </c>
      <c r="O570" s="19" t="n">
        <v>2487</v>
      </c>
      <c r="P570" s="18" t="n">
        <v>5221</v>
      </c>
      <c r="Q570" s="19" t="n">
        <v>3961</v>
      </c>
      <c r="R570" s="18" t="n">
        <v>4406</v>
      </c>
      <c r="S570" s="20" t="n">
        <v>4669</v>
      </c>
      <c r="T570" s="6" t="n">
        <v>15</v>
      </c>
      <c r="U570" s="5" t="inlineStr">
        <is>
          <t>바이오가스 고질화설비 / 2025.07.25 / 202 | 수소생산 / 2026.06.22 / 2027.05.31 | CO2포집실증 / 2023.07.01 / 2026.07</t>
        </is>
      </c>
      <c r="V570" s="21">
        <f>HYPERLINK("https://dart.fss.or.kr/dsaf001/main.do?rcpNo=20260813000378", "공시열람")</f>
        <v/>
      </c>
    </row>
    <row r="571">
      <c r="A571" s="5" t="inlineStr">
        <is>
          <t>핑거</t>
        </is>
      </c>
      <c r="B571" s="6" t="inlineStr">
        <is>
          <t>163730</t>
        </is>
      </c>
      <c r="C571" s="6" t="inlineStr">
        <is>
          <t>2026Q2</t>
        </is>
      </c>
      <c r="D571" s="6" t="inlineStr">
        <is>
          <t>20260814</t>
        </is>
      </c>
      <c r="E571" s="16" t="n">
        <v>60795</v>
      </c>
      <c r="F571" s="16" t="n">
        <v>20804</v>
      </c>
      <c r="G571" s="16" t="n">
        <v>39991</v>
      </c>
      <c r="H571" s="6" t="inlineStr">
        <is>
          <t>백만원</t>
        </is>
      </c>
      <c r="I571" s="17" t="n">
        <v>0</v>
      </c>
      <c r="J571" s="18" t="n">
        <v>35312</v>
      </c>
      <c r="K571" s="19" t="n">
        <v>27623</v>
      </c>
      <c r="L571" s="18" t="n">
        <v>18716</v>
      </c>
      <c r="M571" s="19" t="n">
        <v>24510</v>
      </c>
      <c r="N571" s="18" t="n">
        <v>37278</v>
      </c>
      <c r="O571" s="19" t="n">
        <v>35074</v>
      </c>
      <c r="P571" s="18" t="n">
        <v>24824</v>
      </c>
      <c r="Q571" s="19" t="n">
        <v>14283</v>
      </c>
      <c r="R571" s="18" t="n">
        <v>39991</v>
      </c>
      <c r="S571" s="20" t="n">
        <v>39991</v>
      </c>
      <c r="T571" s="6" t="n">
        <v>6</v>
      </c>
      <c r="U571" s="5" t="inlineStr">
        <is>
          <t xml:space="preserve">기타 | O2O플랫폼 전담반 및 유지보수 / 2026.01.13 | 차세대 지급결제시스템 유리관리 / 2026.01.01 </t>
        </is>
      </c>
      <c r="V571" s="21">
        <f>HYPERLINK("https://dart.fss.or.kr/dsaf001/main.do?rcpNo=20260814003937", "공시열람")</f>
        <v/>
      </c>
    </row>
    <row r="572">
      <c r="A572" s="5" t="inlineStr">
        <is>
          <t>코아스템켐온</t>
        </is>
      </c>
      <c r="B572" s="6" t="inlineStr">
        <is>
          <t>166480</t>
        </is>
      </c>
      <c r="C572" s="6" t="inlineStr">
        <is>
          <t>2026Q2</t>
        </is>
      </c>
      <c r="D572" s="6" t="inlineStr">
        <is>
          <t>20260814</t>
        </is>
      </c>
      <c r="E572" s="16" t="n">
        <v>27153</v>
      </c>
      <c r="F572" s="16" t="n">
        <v>14462</v>
      </c>
      <c r="G572" s="16" t="n">
        <v>12692</v>
      </c>
      <c r="H572" s="6" t="inlineStr">
        <is>
          <t>백만원</t>
        </is>
      </c>
      <c r="I572" s="17" t="n">
        <v>-18.3</v>
      </c>
      <c r="J572" s="18" t="n">
        <v>14003</v>
      </c>
      <c r="K572" s="19" t="n">
        <v>12793</v>
      </c>
      <c r="L572" s="18" t="n">
        <v>9639</v>
      </c>
      <c r="M572" s="19" t="n">
        <v>12279</v>
      </c>
      <c r="N572" s="18" t="n">
        <v>14819</v>
      </c>
      <c r="O572" s="19" t="n">
        <v>20249</v>
      </c>
      <c r="P572" s="18" t="n">
        <v>11236</v>
      </c>
      <c r="Q572" s="19" t="n">
        <v>6949</v>
      </c>
      <c r="R572" s="18" t="n">
        <v>15538</v>
      </c>
      <c r="S572" s="20" t="n">
        <v>12692</v>
      </c>
      <c r="T572" s="6" t="n">
        <v>1</v>
      </c>
      <c r="U572" s="5" t="inlineStr">
        <is>
          <t>안전성평가 / -</t>
        </is>
      </c>
      <c r="V572" s="21">
        <f>HYPERLINK("https://dart.fss.or.kr/dsaf001/main.do?rcpNo=20260814002892", "공시열람")</f>
        <v/>
      </c>
    </row>
    <row r="573">
      <c r="A573" s="5" t="inlineStr">
        <is>
          <t>엠브레인</t>
        </is>
      </c>
      <c r="B573" s="6" t="inlineStr">
        <is>
          <t>169330</t>
        </is>
      </c>
      <c r="C573" s="6" t="inlineStr">
        <is>
          <t>2026Q2</t>
        </is>
      </c>
      <c r="D573" s="6" t="inlineStr">
        <is>
          <t>20260929</t>
        </is>
      </c>
      <c r="E573" s="16" t="n">
        <v>55308</v>
      </c>
      <c r="F573" s="16" t="inlineStr"/>
      <c r="G573" s="16" t="n">
        <v>16288</v>
      </c>
      <c r="H573" s="6" t="inlineStr">
        <is>
          <t>백만원</t>
        </is>
      </c>
      <c r="I573" s="17" t="n">
        <v>-0.7</v>
      </c>
      <c r="J573" s="18" t="n">
        <v>11891</v>
      </c>
      <c r="K573" s="19" t="n">
        <v>12349</v>
      </c>
      <c r="L573" s="18" t="n">
        <v>15826</v>
      </c>
      <c r="M573" s="19" t="n">
        <v>11240</v>
      </c>
      <c r="N573" s="18" t="n">
        <v>13255</v>
      </c>
      <c r="O573" s="19" t="n">
        <v>13512</v>
      </c>
      <c r="P573" s="18" t="n">
        <v>16022</v>
      </c>
      <c r="Q573" s="19" t="n">
        <v>12572</v>
      </c>
      <c r="R573" s="18" t="n">
        <v>16399</v>
      </c>
      <c r="S573" s="20" t="n">
        <v>16288</v>
      </c>
      <c r="T573" s="6" t="n">
        <v>0</v>
      </c>
      <c r="U573" s="5" t="inlineStr"/>
      <c r="V573" s="21">
        <f>HYPERLINK("https://dart.fss.or.kr/dsaf001/main.do?rcpNo=20260929000427", "공시열람")</f>
        <v/>
      </c>
    </row>
    <row r="574">
      <c r="A574" s="5" t="inlineStr">
        <is>
          <t>코스텍시스템</t>
        </is>
      </c>
      <c r="B574" s="6" t="inlineStr">
        <is>
          <t>169670</t>
        </is>
      </c>
      <c r="C574" s="6" t="inlineStr">
        <is>
          <t>2025Q4</t>
        </is>
      </c>
      <c r="D574" s="6" t="inlineStr">
        <is>
          <t>20260331</t>
        </is>
      </c>
      <c r="E574" s="16" t="n">
        <v>25200</v>
      </c>
      <c r="F574" s="16" t="n">
        <v>12005</v>
      </c>
      <c r="G574" s="16" t="n">
        <v>13195</v>
      </c>
      <c r="H574" s="6" t="inlineStr">
        <is>
          <t>백만원/대</t>
        </is>
      </c>
      <c r="I574" s="17" t="n">
        <v>0</v>
      </c>
      <c r="J574" s="18" t="inlineStr"/>
      <c r="K574" s="19" t="inlineStr"/>
      <c r="L574" s="18" t="inlineStr"/>
      <c r="M574" s="19" t="n">
        <v>13195</v>
      </c>
      <c r="N574" s="18" t="inlineStr"/>
      <c r="O574" s="19" t="inlineStr"/>
      <c r="P574" s="18" t="inlineStr"/>
      <c r="Q574" s="19" t="n">
        <v>13195</v>
      </c>
      <c r="R574" s="18" t="inlineStr"/>
      <c r="S574" s="20" t="inlineStr"/>
      <c r="T574" s="6" t="n">
        <v>1</v>
      </c>
      <c r="U574" s="5" t="inlineStr">
        <is>
          <t>반도체 웨이퍼 이송장치 / 2026.01.01~ 202</t>
        </is>
      </c>
      <c r="V574" s="21">
        <f>HYPERLINK("https://dart.fss.or.kr/dsaf001/main.do?rcpNo=20260331001824", "공시열람")</f>
        <v/>
      </c>
    </row>
    <row r="575">
      <c r="A575" s="5" t="inlineStr">
        <is>
          <t>엘티씨</t>
        </is>
      </c>
      <c r="B575" s="6" t="inlineStr">
        <is>
          <t>170920</t>
        </is>
      </c>
      <c r="C575" s="6" t="inlineStr">
        <is>
          <t>2026Q2</t>
        </is>
      </c>
      <c r="D575" s="6" t="inlineStr">
        <is>
          <t>20260813</t>
        </is>
      </c>
      <c r="E575" s="16" t="n">
        <v>17566325</v>
      </c>
      <c r="F575" s="16" t="n">
        <v>12724527</v>
      </c>
      <c r="G575" s="16" t="n">
        <v>4841798</v>
      </c>
      <c r="H575" s="6" t="inlineStr">
        <is>
          <t>천원</t>
        </is>
      </c>
      <c r="I575" s="17" t="n">
        <v>-72.7</v>
      </c>
      <c r="J575" s="18" t="inlineStr"/>
      <c r="K575" s="19" t="inlineStr"/>
      <c r="L575" s="18" t="inlineStr"/>
      <c r="M575" s="19" t="n">
        <v>13390553</v>
      </c>
      <c r="N575" s="18" t="n">
        <v>11596172</v>
      </c>
      <c r="O575" s="19" t="n">
        <v>34960749</v>
      </c>
      <c r="P575" s="18" t="n">
        <v>19433741</v>
      </c>
      <c r="Q575" s="19" t="n">
        <v>19058576</v>
      </c>
      <c r="R575" s="18" t="n">
        <v>17764000</v>
      </c>
      <c r="S575" s="20" t="n">
        <v>4841798</v>
      </c>
      <c r="T575" s="6" t="n">
        <v>1</v>
      </c>
      <c r="U575" s="5" t="inlineStr">
        <is>
          <t>반도체장비 / -</t>
        </is>
      </c>
      <c r="V575" s="21">
        <f>HYPERLINK("https://dart.fss.or.kr/dsaf001/main.do?rcpNo=20260813001364", "공시열람")</f>
        <v/>
      </c>
    </row>
    <row r="576">
      <c r="A576" s="5" t="inlineStr">
        <is>
          <t>선익시스템</t>
        </is>
      </c>
      <c r="B576" s="6" t="inlineStr">
        <is>
          <t>171090</t>
        </is>
      </c>
      <c r="C576" s="6" t="inlineStr">
        <is>
          <t>2026Q2</t>
        </is>
      </c>
      <c r="D576" s="6" t="inlineStr">
        <is>
          <t>20260814</t>
        </is>
      </c>
      <c r="E576" s="16" t="n">
        <v>675033</v>
      </c>
      <c r="F576" s="16" t="n">
        <v>33028</v>
      </c>
      <c r="G576" s="16" t="n">
        <v>642005</v>
      </c>
      <c r="H576" s="6" t="inlineStr">
        <is>
          <t>백만원</t>
        </is>
      </c>
      <c r="I576" s="17" t="n">
        <v>10.3</v>
      </c>
      <c r="J576" s="18" t="n">
        <v>100045</v>
      </c>
      <c r="K576" s="19" t="n">
        <v>73821</v>
      </c>
      <c r="L576" s="18" t="n">
        <v>86930</v>
      </c>
      <c r="M576" s="19" t="n">
        <v>528042</v>
      </c>
      <c r="N576" s="18" t="n">
        <v>532929</v>
      </c>
      <c r="O576" s="19" t="n">
        <v>372838</v>
      </c>
      <c r="P576" s="18" t="n">
        <v>307259</v>
      </c>
      <c r="Q576" s="19" t="n">
        <v>95980</v>
      </c>
      <c r="R576" s="18" t="n">
        <v>582273</v>
      </c>
      <c r="S576" s="20" t="n">
        <v>642005</v>
      </c>
      <c r="T576" s="6" t="n">
        <v>1</v>
      </c>
      <c r="U576" s="5" t="inlineStr">
        <is>
          <t>증착장비 / 2018.03.12 ~ 2026.06.22</t>
        </is>
      </c>
      <c r="V576" s="21">
        <f>HYPERLINK("https://dart.fss.or.kr/dsaf001/main.do?rcpNo=20260814003806", "공시열람")</f>
        <v/>
      </c>
    </row>
    <row r="577">
      <c r="A577" s="5" t="inlineStr">
        <is>
          <t>오파스넷</t>
        </is>
      </c>
      <c r="B577" s="6" t="inlineStr">
        <is>
          <t>173130</t>
        </is>
      </c>
      <c r="C577" s="6" t="inlineStr">
        <is>
          <t>2026Q2</t>
        </is>
      </c>
      <c r="D577" s="6" t="inlineStr">
        <is>
          <t>20260814</t>
        </is>
      </c>
      <c r="E577" s="16" t="n">
        <v>362281</v>
      </c>
      <c r="F577" s="16" t="n">
        <v>214004</v>
      </c>
      <c r="G577" s="16" t="n">
        <v>148277</v>
      </c>
      <c r="H577" s="6" t="inlineStr">
        <is>
          <t>백만원</t>
        </is>
      </c>
      <c r="I577" s="17" t="n">
        <v>2.6</v>
      </c>
      <c r="J577" s="18" t="n">
        <v>118987</v>
      </c>
      <c r="K577" s="19" t="n">
        <v>122700</v>
      </c>
      <c r="L577" s="18" t="n">
        <v>133425</v>
      </c>
      <c r="M577" s="19" t="n">
        <v>124113</v>
      </c>
      <c r="N577" s="18" t="n">
        <v>150954</v>
      </c>
      <c r="O577" s="19" t="n">
        <v>151935</v>
      </c>
      <c r="P577" s="18" t="n">
        <v>157006</v>
      </c>
      <c r="Q577" s="19" t="n">
        <v>112917</v>
      </c>
      <c r="R577" s="18" t="n">
        <v>144450</v>
      </c>
      <c r="S577" s="20" t="n">
        <v>148277</v>
      </c>
      <c r="T577" s="6" t="n">
        <v>4</v>
      </c>
      <c r="U577" s="5" t="inlineStr">
        <is>
          <t xml:space="preserve">기타 / - | (NEW ITO)네트워크 ITO 운영 및 고도화 계약  | 21년도 댁내장비를 활용한 응급안전안심서비스 구매사업 </t>
        </is>
      </c>
      <c r="V577" s="21">
        <f>HYPERLINK("https://dart.fss.or.kr/dsaf001/main.do?rcpNo=20260814000094", "공시열람")</f>
        <v/>
      </c>
    </row>
    <row r="578">
      <c r="A578" s="5" t="inlineStr">
        <is>
          <t>아고스</t>
        </is>
      </c>
      <c r="B578" s="6" t="inlineStr">
        <is>
          <t>175140</t>
        </is>
      </c>
      <c r="C578" s="6" t="inlineStr">
        <is>
          <t>2026Q2</t>
        </is>
      </c>
      <c r="D578" s="6" t="inlineStr">
        <is>
          <t>20260814</t>
        </is>
      </c>
      <c r="E578" s="16" t="n">
        <v>15000</v>
      </c>
      <c r="F578" s="16" t="n">
        <v>15000</v>
      </c>
      <c r="G578" s="16" t="n">
        <v>0</v>
      </c>
      <c r="H578" s="6" t="inlineStr">
        <is>
          <t>백만원</t>
        </is>
      </c>
      <c r="I578" s="17" t="n">
        <v>-100</v>
      </c>
      <c r="J578" s="18" t="n">
        <v>21540</v>
      </c>
      <c r="K578" s="19" t="n">
        <v>18200</v>
      </c>
      <c r="L578" s="18" t="n">
        <v>13419</v>
      </c>
      <c r="M578" s="19" t="n">
        <v>21586</v>
      </c>
      <c r="N578" s="18" t="n">
        <v>4869</v>
      </c>
      <c r="O578" s="19" t="n">
        <v>15000</v>
      </c>
      <c r="P578" s="18" t="n">
        <v>10440</v>
      </c>
      <c r="Q578" s="19" t="n">
        <v>7080</v>
      </c>
      <c r="R578" s="18" t="n">
        <v>3240</v>
      </c>
      <c r="S578" s="20" t="n">
        <v>0</v>
      </c>
      <c r="T578" s="6" t="n">
        <v>1</v>
      </c>
      <c r="U578" s="5" t="inlineStr">
        <is>
          <t>AI스피커 / 2025.06.16 / 2026.05.3</t>
        </is>
      </c>
      <c r="V578" s="21">
        <f>HYPERLINK("https://dart.fss.or.kr/dsaf001/main.do?rcpNo=20260814003137", "공시열람")</f>
        <v/>
      </c>
    </row>
    <row r="579">
      <c r="A579" s="5" t="inlineStr">
        <is>
          <t>코나솔</t>
        </is>
      </c>
      <c r="B579" s="6" t="inlineStr">
        <is>
          <t>176590</t>
        </is>
      </c>
      <c r="C579" s="6" t="inlineStr">
        <is>
          <t>2023Q4</t>
        </is>
      </c>
      <c r="D579" s="6" t="inlineStr">
        <is>
          <t>20240704</t>
        </is>
      </c>
      <c r="E579" s="16" t="n">
        <v>21034</v>
      </c>
      <c r="F579" s="16" t="n">
        <v>17345</v>
      </c>
      <c r="G579" s="16" t="n">
        <v>3689</v>
      </c>
      <c r="H579" s="6" t="inlineStr">
        <is>
          <t>개,백만원</t>
        </is>
      </c>
      <c r="I579" s="17" t="inlineStr"/>
      <c r="J579" s="18" t="inlineStr"/>
      <c r="K579" s="19" t="inlineStr"/>
      <c r="L579" s="18" t="inlineStr"/>
      <c r="M579" s="19" t="inlineStr"/>
      <c r="N579" s="18" t="inlineStr"/>
      <c r="O579" s="19" t="inlineStr"/>
      <c r="P579" s="18" t="inlineStr"/>
      <c r="Q579" s="19" t="inlineStr"/>
      <c r="R579" s="18" t="inlineStr"/>
      <c r="S579" s="20" t="inlineStr"/>
      <c r="T579" s="6" t="n">
        <v>2</v>
      </c>
      <c r="U579" s="5" t="inlineStr">
        <is>
          <t>철강사업부 / 2023.01~2023.12 / - | 나노렉스 외 / 2023.01~2023.12 / -</t>
        </is>
      </c>
      <c r="V579" s="21">
        <f>HYPERLINK("https://dart.fss.or.kr/dsaf001/main.do?rcpNo=20240704000080", "공시열람")</f>
        <v/>
      </c>
    </row>
    <row r="580">
      <c r="A580" s="5" t="inlineStr">
        <is>
          <t>베셀</t>
        </is>
      </c>
      <c r="B580" s="6" t="inlineStr">
        <is>
          <t>177350</t>
        </is>
      </c>
      <c r="C580" s="6" t="inlineStr">
        <is>
          <t>2025Q1</t>
        </is>
      </c>
      <c r="D580" s="6" t="inlineStr">
        <is>
          <t>20250515</t>
        </is>
      </c>
      <c r="E580" s="16" t="n">
        <v>415000</v>
      </c>
      <c r="F580" s="16" t="inlineStr"/>
      <c r="G580" s="16" t="n">
        <v>415000</v>
      </c>
      <c r="H580" s="6" t="inlineStr">
        <is>
          <t>천원</t>
        </is>
      </c>
      <c r="I580" s="17" t="n">
        <v>0</v>
      </c>
      <c r="J580" s="18" t="n">
        <v>6008600</v>
      </c>
      <c r="K580" s="19" t="n">
        <v>3315000</v>
      </c>
      <c r="L580" s="18" t="n">
        <v>415000</v>
      </c>
      <c r="M580" s="19" t="n">
        <v>415000</v>
      </c>
      <c r="N580" s="18" t="n">
        <v>415000</v>
      </c>
      <c r="O580" s="19" t="inlineStr"/>
      <c r="P580" s="18" t="inlineStr"/>
      <c r="Q580" s="19" t="inlineStr"/>
      <c r="R580" s="18" t="inlineStr"/>
      <c r="S580" s="20" t="inlineStr"/>
      <c r="T580" s="6" t="n">
        <v>1</v>
      </c>
      <c r="U580" s="5" t="inlineStr">
        <is>
          <t>디스플레이 / 2024-06-24 / 2025-12-3</t>
        </is>
      </c>
      <c r="V580" s="21">
        <f>HYPERLINK("https://dart.fss.or.kr/dsaf001/main.do?rcpNo=20250515000411", "공시열람")</f>
        <v/>
      </c>
    </row>
    <row r="581">
      <c r="A581" s="5" t="inlineStr">
        <is>
          <t>쓰리에이로직스</t>
        </is>
      </c>
      <c r="B581" s="6" t="inlineStr">
        <is>
          <t>177900</t>
        </is>
      </c>
      <c r="C581" s="6" t="inlineStr">
        <is>
          <t>2026Q2</t>
        </is>
      </c>
      <c r="D581" s="6" t="inlineStr">
        <is>
          <t>20260814</t>
        </is>
      </c>
      <c r="E581" s="16" t="n">
        <v>11375</v>
      </c>
      <c r="F581" s="16" t="n">
        <v>3191</v>
      </c>
      <c r="G581" s="16" t="n">
        <v>8184</v>
      </c>
      <c r="H581" s="6" t="inlineStr">
        <is>
          <t>백만원</t>
        </is>
      </c>
      <c r="I581" s="17" t="inlineStr"/>
      <c r="J581" s="18" t="inlineStr"/>
      <c r="K581" s="19" t="inlineStr"/>
      <c r="L581" s="18" t="inlineStr"/>
      <c r="M581" s="19" t="inlineStr"/>
      <c r="N581" s="18" t="inlineStr"/>
      <c r="O581" s="19" t="inlineStr"/>
      <c r="P581" s="18" t="inlineStr"/>
      <c r="Q581" s="19" t="inlineStr"/>
      <c r="R581" s="18" t="inlineStr"/>
      <c r="S581" s="20" t="n">
        <v>8184</v>
      </c>
      <c r="T581" s="6" t="n">
        <v>1</v>
      </c>
      <c r="U581" s="5" t="inlineStr">
        <is>
          <t>ESL용 NFC Dynamic Tag IC / 2026</t>
        </is>
      </c>
      <c r="V581" s="21">
        <f>HYPERLINK("https://dart.fss.or.kr/dsaf001/main.do?rcpNo=20260814002917", "공시열람")</f>
        <v/>
      </c>
    </row>
    <row r="582">
      <c r="A582" s="5" t="inlineStr">
        <is>
          <t>엠아이텍</t>
        </is>
      </c>
      <c r="B582" s="6" t="inlineStr">
        <is>
          <t>179290</t>
        </is>
      </c>
      <c r="C582" s="6" t="inlineStr">
        <is>
          <t>2026Q2</t>
        </is>
      </c>
      <c r="D582" s="6" t="inlineStr">
        <is>
          <t>20260814</t>
        </is>
      </c>
      <c r="E582" s="16" t="n">
        <v>7379157</v>
      </c>
      <c r="F582" s="16" t="n">
        <v>1859965</v>
      </c>
      <c r="G582" s="16" t="n">
        <v>5519192</v>
      </c>
      <c r="H582" s="6" t="inlineStr">
        <is>
          <t>개,천원</t>
        </is>
      </c>
      <c r="I582" s="17" t="n">
        <v>-33</v>
      </c>
      <c r="J582" s="18" t="n">
        <v>4464317</v>
      </c>
      <c r="K582" s="19" t="n">
        <v>6116972</v>
      </c>
      <c r="L582" s="18" t="n">
        <v>6838985</v>
      </c>
      <c r="M582" s="19" t="n">
        <v>9839578</v>
      </c>
      <c r="N582" s="18" t="n">
        <v>6240903</v>
      </c>
      <c r="O582" s="19" t="n">
        <v>4241454</v>
      </c>
      <c r="P582" s="18" t="n">
        <v>6900120</v>
      </c>
      <c r="Q582" s="19" t="n">
        <v>6407008</v>
      </c>
      <c r="R582" s="18" t="n">
        <v>8233844</v>
      </c>
      <c r="S582" s="20" t="n">
        <v>5519192</v>
      </c>
      <c r="T582" s="6" t="n">
        <v>141</v>
      </c>
      <c r="U582" s="5" t="inlineStr">
        <is>
          <t>스텐트 / 2026-06-14 / 2026년 8월 | 스텐트 / 2026-06-08 / 2026년 7월 | 스텐트 / 2026-06-17 / 2026년 9월</t>
        </is>
      </c>
      <c r="V582" s="21">
        <f>HYPERLINK("https://dart.fss.or.kr/dsaf001/main.do?rcpNo=20260814002272", "공시열람")</f>
        <v/>
      </c>
    </row>
    <row r="583">
      <c r="A583" s="5" t="inlineStr">
        <is>
          <t>탑선</t>
        </is>
      </c>
      <c r="B583" s="6" t="inlineStr">
        <is>
          <t>180060</t>
        </is>
      </c>
      <c r="C583" s="6" t="inlineStr">
        <is>
          <t>2025Q4</t>
        </is>
      </c>
      <c r="D583" s="6" t="inlineStr">
        <is>
          <t>20260430</t>
        </is>
      </c>
      <c r="E583" s="16" t="n">
        <v>730275999</v>
      </c>
      <c r="F583" s="16" t="n">
        <v>302795591</v>
      </c>
      <c r="G583" s="16" t="n">
        <v>427480408</v>
      </c>
      <c r="H583" s="6" t="inlineStr">
        <is>
          <t>천원</t>
        </is>
      </c>
      <c r="I583" s="17" t="n">
        <v>513.1</v>
      </c>
      <c r="J583" s="18" t="inlineStr"/>
      <c r="K583" s="19" t="inlineStr"/>
      <c r="L583" s="18" t="inlineStr"/>
      <c r="M583" s="19" t="n">
        <v>69719268</v>
      </c>
      <c r="N583" s="18" t="inlineStr"/>
      <c r="O583" s="19" t="inlineStr"/>
      <c r="P583" s="18" t="inlineStr"/>
      <c r="Q583" s="19" t="n">
        <v>427480408</v>
      </c>
      <c r="R583" s="18" t="inlineStr"/>
      <c r="S583" s="20" t="inlineStr"/>
      <c r="T583" s="6" t="n">
        <v>31</v>
      </c>
      <c r="U583" s="5" t="inlineStr">
        <is>
          <t>미국 텍사스 콘초 Lucy PJT 456.82MW 모듈 | 신안증도 137MW 빛과소금 및 증도솔라팜태양광발전소  | 신의도 및 장산도 변전소 및 송전선로공사 / 2025.</t>
        </is>
      </c>
      <c r="V583" s="21">
        <f>HYPERLINK("https://dart.fss.or.kr/dsaf001/main.do?rcpNo=20260430001147", "공시열람")</f>
        <v/>
      </c>
    </row>
    <row r="584">
      <c r="A584" s="5" t="inlineStr">
        <is>
          <t>큐브엔터</t>
        </is>
      </c>
      <c r="B584" s="6" t="inlineStr">
        <is>
          <t>182360</t>
        </is>
      </c>
      <c r="C584" s="6" t="inlineStr">
        <is>
          <t>2026Q2</t>
        </is>
      </c>
      <c r="D584" s="6" t="inlineStr">
        <is>
          <t>20260813</t>
        </is>
      </c>
      <c r="E584" s="16" t="n">
        <v>118181818</v>
      </c>
      <c r="F584" s="16" t="n">
        <v>32807507</v>
      </c>
      <c r="G584" s="16" t="n">
        <v>85374311</v>
      </c>
      <c r="H584" s="6" t="inlineStr">
        <is>
          <t>천원</t>
        </is>
      </c>
      <c r="I584" s="17" t="n">
        <v>-1.9</v>
      </c>
      <c r="J584" s="18" t="n">
        <v>28997816</v>
      </c>
      <c r="K584" s="19" t="n">
        <v>17905373</v>
      </c>
      <c r="L584" s="18" t="n">
        <v>4878304</v>
      </c>
      <c r="M584" s="19" t="n">
        <v>2200740</v>
      </c>
      <c r="N584" s="18" t="n">
        <v>116176234</v>
      </c>
      <c r="O584" s="19" t="n">
        <v>102691043</v>
      </c>
      <c r="P584" s="18" t="n">
        <v>94182068</v>
      </c>
      <c r="Q584" s="19" t="n">
        <v>88830545</v>
      </c>
      <c r="R584" s="18" t="n">
        <v>87009047</v>
      </c>
      <c r="S584" s="20" t="n">
        <v>85374311</v>
      </c>
      <c r="T584" s="6" t="n">
        <v>1</v>
      </c>
      <c r="U584" s="5" t="inlineStr">
        <is>
          <t xml:space="preserve">(주)카카오엔터테인먼트(주2) / 2025.02.28 </t>
        </is>
      </c>
      <c r="V584" s="21">
        <f>HYPERLINK("https://dart.fss.or.kr/dsaf001/main.do?rcpNo=20260813001647", "공시열람")</f>
        <v/>
      </c>
    </row>
    <row r="585">
      <c r="A585" s="5" t="inlineStr">
        <is>
          <t>엔케이젠바이오텍코리아</t>
        </is>
      </c>
      <c r="B585" s="6" t="inlineStr">
        <is>
          <t>182400</t>
        </is>
      </c>
      <c r="C585" s="6" t="inlineStr">
        <is>
          <t>2026Q2</t>
        </is>
      </c>
      <c r="D585" s="6" t="inlineStr">
        <is>
          <t>20260930</t>
        </is>
      </c>
      <c r="E585" s="16" t="n">
        <v>1509194483500</v>
      </c>
      <c r="F585" s="16" t="n">
        <v>2850188223</v>
      </c>
      <c r="G585" s="16" t="n">
        <v>1506344295277</v>
      </c>
      <c r="H585" s="6" t="inlineStr">
        <is>
          <t>원</t>
        </is>
      </c>
      <c r="I585" s="17" t="n">
        <v>0</v>
      </c>
      <c r="J585" s="18" t="n">
        <v>1507019926238</v>
      </c>
      <c r="K585" s="19" t="n">
        <v>1506344295277</v>
      </c>
      <c r="L585" s="18" t="n">
        <v>1506344295277</v>
      </c>
      <c r="M585" s="19" t="n">
        <v>1506344295277</v>
      </c>
      <c r="N585" s="18" t="n">
        <v>1506344295277</v>
      </c>
      <c r="O585" s="19" t="n">
        <v>1506344295277</v>
      </c>
      <c r="P585" s="18" t="n">
        <v>1506344295277</v>
      </c>
      <c r="Q585" s="19" t="n">
        <v>1506344295277</v>
      </c>
      <c r="R585" s="18" t="n">
        <v>1506344295277</v>
      </c>
      <c r="S585" s="20" t="n">
        <v>1506344295277</v>
      </c>
      <c r="T585" s="6" t="n">
        <v>5</v>
      </c>
      <c r="U585" s="5" t="inlineStr">
        <is>
          <t>NK Vue ELISA KIT &amp; TUBE(*주3) / | NK Vue ELISA KIT &amp; TUBE (*주1)  | NK Vue ELISA KIT &amp; TUBE(*주2) /</t>
        </is>
      </c>
      <c r="V585" s="21">
        <f>HYPERLINK("https://dart.fss.or.kr/dsaf001/main.do?rcpNo=20260930000644", "공시열람")</f>
        <v/>
      </c>
    </row>
    <row r="586">
      <c r="A586" s="5" t="inlineStr">
        <is>
          <t>수프로</t>
        </is>
      </c>
      <c r="B586" s="6" t="inlineStr">
        <is>
          <t>185190</t>
        </is>
      </c>
      <c r="C586" s="6" t="inlineStr">
        <is>
          <t>2026Q1</t>
        </is>
      </c>
      <c r="D586" s="6" t="inlineStr">
        <is>
          <t>20260617</t>
        </is>
      </c>
      <c r="E586" s="16" t="n">
        <v>11563414497</v>
      </c>
      <c r="F586" s="16" t="n">
        <v>6666110307</v>
      </c>
      <c r="G586" s="16" t="n">
        <v>4897304190</v>
      </c>
      <c r="H586" s="6" t="inlineStr">
        <is>
          <t>원</t>
        </is>
      </c>
      <c r="I586" s="17" t="n">
        <v>36</v>
      </c>
      <c r="J586" s="18" t="n">
        <v>5177019155</v>
      </c>
      <c r="K586" s="19" t="inlineStr"/>
      <c r="L586" s="18" t="inlineStr"/>
      <c r="M586" s="19" t="inlineStr"/>
      <c r="N586" s="18" t="n">
        <v>3601846124</v>
      </c>
      <c r="O586" s="19" t="inlineStr"/>
      <c r="P586" s="18" t="inlineStr"/>
      <c r="Q586" s="19" t="inlineStr"/>
      <c r="R586" s="18" t="n">
        <v>4897304190</v>
      </c>
      <c r="S586" s="20" t="inlineStr"/>
      <c r="T586" s="6" t="n">
        <v>14</v>
      </c>
      <c r="U586" s="5" t="inlineStr">
        <is>
          <t xml:space="preserve">성남금토 공공주택지구 조경공사 중 조경식재공사 / 20 | 수원당수 공공주택지구 / 2023-11-01 / 202 | 종로 숭인동 임대주택 신축공사 / 2025-12-15 </t>
        </is>
      </c>
      <c r="V586" s="21">
        <f>HYPERLINK("https://dart.fss.or.kr/dsaf001/main.do?rcpNo=20260617000188", "공시열람")</f>
        <v/>
      </c>
    </row>
    <row r="587">
      <c r="A587" s="5" t="inlineStr">
        <is>
          <t>그린플러스</t>
        </is>
      </c>
      <c r="B587" s="6" t="inlineStr">
        <is>
          <t>186230</t>
        </is>
      </c>
      <c r="C587" s="6" t="inlineStr">
        <is>
          <t>2026Q2</t>
        </is>
      </c>
      <c r="D587" s="6" t="inlineStr">
        <is>
          <t>20260814</t>
        </is>
      </c>
      <c r="E587" s="16" t="n">
        <v>111452431</v>
      </c>
      <c r="F587" s="16" t="n">
        <v>68893658</v>
      </c>
      <c r="G587" s="16" t="n">
        <v>42558773</v>
      </c>
      <c r="H587" s="6" t="inlineStr">
        <is>
          <t>천원</t>
        </is>
      </c>
      <c r="I587" s="17" t="n">
        <v>-13.2</v>
      </c>
      <c r="J587" s="18" t="n">
        <v>24431334</v>
      </c>
      <c r="K587" s="19" t="n">
        <v>19038449</v>
      </c>
      <c r="L587" s="18" t="n">
        <v>21070574</v>
      </c>
      <c r="M587" s="19" t="n">
        <v>30454859</v>
      </c>
      <c r="N587" s="18" t="n">
        <v>40952755</v>
      </c>
      <c r="O587" s="19" t="n">
        <v>46325035</v>
      </c>
      <c r="P587" s="18" t="n">
        <v>65123890</v>
      </c>
      <c r="Q587" s="19" t="n">
        <v>60005283</v>
      </c>
      <c r="R587" s="18" t="n">
        <v>49040318</v>
      </c>
      <c r="S587" s="20" t="n">
        <v>42558773</v>
      </c>
      <c r="T587" s="6" t="n">
        <v>30</v>
      </c>
      <c r="U587" s="5" t="inlineStr">
        <is>
          <t xml:space="preserve">㈜신흥종합건설 / 2026.06.22 / 2027.07 | 하나종합건설㈜, 아산건설㈜ / 2025.09.30 /  | ㈜케이엔지플러스, ㈜선진이앤씨 / 2024.12.24 </t>
        </is>
      </c>
      <c r="V587" s="21">
        <f>HYPERLINK("https://dart.fss.or.kr/dsaf001/main.do?rcpNo=20260814001909", "공시열람")</f>
        <v/>
      </c>
    </row>
    <row r="588">
      <c r="A588" s="5" t="inlineStr">
        <is>
          <t>페니트리움바이오</t>
        </is>
      </c>
      <c r="B588" s="6" t="inlineStr">
        <is>
          <t>187660</t>
        </is>
      </c>
      <c r="C588" s="6" t="inlineStr">
        <is>
          <t>2026Q2</t>
        </is>
      </c>
      <c r="D588" s="6" t="inlineStr">
        <is>
          <t>20260814</t>
        </is>
      </c>
      <c r="E588" s="16" t="n">
        <v>42418255</v>
      </c>
      <c r="F588" s="16" t="n">
        <v>23819597</v>
      </c>
      <c r="G588" s="16" t="n">
        <v>18598658</v>
      </c>
      <c r="H588" s="6" t="inlineStr">
        <is>
          <t>천원</t>
        </is>
      </c>
      <c r="I588" s="17" t="n">
        <v>-0.6</v>
      </c>
      <c r="J588" s="18" t="n">
        <v>21066471</v>
      </c>
      <c r="K588" s="19" t="n">
        <v>20962101</v>
      </c>
      <c r="L588" s="18" t="n">
        <v>22328856</v>
      </c>
      <c r="M588" s="19" t="n">
        <v>22239091</v>
      </c>
      <c r="N588" s="18" t="n">
        <v>21305105</v>
      </c>
      <c r="O588" s="19" t="n">
        <v>22047281</v>
      </c>
      <c r="P588" s="18" t="n">
        <v>20924392</v>
      </c>
      <c r="Q588" s="19" t="n">
        <v>19127572</v>
      </c>
      <c r="R588" s="18" t="n">
        <v>18706866</v>
      </c>
      <c r="S588" s="20" t="n">
        <v>18598658</v>
      </c>
      <c r="T588" s="6" t="n">
        <v>1</v>
      </c>
      <c r="U588" s="5" t="inlineStr">
        <is>
          <t>임상등</t>
        </is>
      </c>
      <c r="V588" s="21">
        <f>HYPERLINK("https://dart.fss.or.kr/dsaf001/main.do?rcpNo=20260814002474", "공시열람")</f>
        <v/>
      </c>
    </row>
    <row r="589">
      <c r="A589" s="5" t="inlineStr">
        <is>
          <t>나노</t>
        </is>
      </c>
      <c r="B589" s="6" t="inlineStr">
        <is>
          <t>187790</t>
        </is>
      </c>
      <c r="C589" s="6" t="inlineStr">
        <is>
          <t>2026Q2</t>
        </is>
      </c>
      <c r="D589" s="6" t="inlineStr">
        <is>
          <t>20260814</t>
        </is>
      </c>
      <c r="E589" s="16" t="n">
        <v>92057188</v>
      </c>
      <c r="F589" s="16" t="n">
        <v>29686839</v>
      </c>
      <c r="G589" s="16" t="n">
        <v>62370349</v>
      </c>
      <c r="H589" s="6" t="inlineStr">
        <is>
          <t>m3,천원</t>
        </is>
      </c>
      <c r="I589" s="17" t="n">
        <v>16.9</v>
      </c>
      <c r="J589" s="18" t="n">
        <v>13464928</v>
      </c>
      <c r="K589" s="19" t="n">
        <v>45890210</v>
      </c>
      <c r="L589" s="18" t="n">
        <v>39913303</v>
      </c>
      <c r="M589" s="19" t="n">
        <v>50714041</v>
      </c>
      <c r="N589" s="18" t="n">
        <v>55623783</v>
      </c>
      <c r="O589" s="19" t="n">
        <v>57515303</v>
      </c>
      <c r="P589" s="18" t="n">
        <v>41860483</v>
      </c>
      <c r="Q589" s="19" t="n">
        <v>39469111</v>
      </c>
      <c r="R589" s="18" t="n">
        <v>53331782</v>
      </c>
      <c r="S589" s="20" t="n">
        <v>62370349</v>
      </c>
      <c r="T589" s="6" t="n">
        <v>3</v>
      </c>
      <c r="U589" s="5" t="inlineStr">
        <is>
          <t>기 타 / - | 하니컴 / 25.07.17 / 27.03.31 | 하니컴 / 25.06.01 / 27.05.31</t>
        </is>
      </c>
      <c r="V589" s="21">
        <f>HYPERLINK("https://dart.fss.or.kr/dsaf001/main.do?rcpNo=20260814001571", "공시열람")</f>
        <v/>
      </c>
    </row>
    <row r="590">
      <c r="A590" s="5" t="inlineStr">
        <is>
          <t>인텔리안테크</t>
        </is>
      </c>
      <c r="B590" s="6" t="inlineStr">
        <is>
          <t>189300</t>
        </is>
      </c>
      <c r="C590" s="6" t="inlineStr">
        <is>
          <t>2026Q2</t>
        </is>
      </c>
      <c r="D590" s="6" t="inlineStr">
        <is>
          <t>20260814</t>
        </is>
      </c>
      <c r="E590" s="16" t="n">
        <v>100087</v>
      </c>
      <c r="F590" s="16" t="n">
        <v>69659</v>
      </c>
      <c r="G590" s="16" t="n">
        <v>30428</v>
      </c>
      <c r="H590" s="6" t="inlineStr">
        <is>
          <t>백만원</t>
        </is>
      </c>
      <c r="I590" s="17" t="n">
        <v>-60.5</v>
      </c>
      <c r="J590" s="18" t="n">
        <v>9395</v>
      </c>
      <c r="K590" s="19" t="n">
        <v>4438</v>
      </c>
      <c r="L590" s="18" t="n">
        <v>2333</v>
      </c>
      <c r="M590" s="19" t="inlineStr"/>
      <c r="N590" s="18" t="inlineStr"/>
      <c r="O590" s="19" t="n">
        <v>40379</v>
      </c>
      <c r="P590" s="18" t="n">
        <v>40528</v>
      </c>
      <c r="Q590" s="19" t="n">
        <v>77422</v>
      </c>
      <c r="R590" s="18" t="n">
        <v>77064</v>
      </c>
      <c r="S590" s="20" t="n">
        <v>30428</v>
      </c>
      <c r="T590" s="6" t="n">
        <v>2</v>
      </c>
      <c r="U590" s="5" t="inlineStr">
        <is>
          <t>Ground Gateway Antenna(TELESAT | 중궤도 User terminal(SES) / 2021.</t>
        </is>
      </c>
      <c r="V590" s="21">
        <f>HYPERLINK("https://dart.fss.or.kr/dsaf001/main.do?rcpNo=20260814002495", "공시열람")</f>
        <v/>
      </c>
    </row>
    <row r="591">
      <c r="A591" s="5" t="inlineStr">
        <is>
          <t>씨이랩</t>
        </is>
      </c>
      <c r="B591" s="6" t="inlineStr">
        <is>
          <t>189330</t>
        </is>
      </c>
      <c r="C591" s="6" t="inlineStr">
        <is>
          <t>2026Q2</t>
        </is>
      </c>
      <c r="D591" s="6" t="inlineStr">
        <is>
          <t>20260813</t>
        </is>
      </c>
      <c r="E591" s="16" t="n">
        <v>3917862</v>
      </c>
      <c r="F591" s="16" t="n">
        <v>747340</v>
      </c>
      <c r="G591" s="16" t="n">
        <v>3170522</v>
      </c>
      <c r="H591" s="6" t="inlineStr">
        <is>
          <t>천원</t>
        </is>
      </c>
      <c r="I591" s="17" t="n">
        <v>23</v>
      </c>
      <c r="J591" s="18" t="n">
        <v>182297</v>
      </c>
      <c r="K591" s="19" t="n">
        <v>983818</v>
      </c>
      <c r="L591" s="18" t="n">
        <v>3073328</v>
      </c>
      <c r="M591" s="19" t="n">
        <v>1807323</v>
      </c>
      <c r="N591" s="18" t="n">
        <v>863422</v>
      </c>
      <c r="O591" s="19" t="n">
        <v>2552800</v>
      </c>
      <c r="P591" s="18" t="n">
        <v>3528116</v>
      </c>
      <c r="Q591" s="19" t="n">
        <v>1733395</v>
      </c>
      <c r="R591" s="18" t="n">
        <v>2578420</v>
      </c>
      <c r="S591" s="20" t="n">
        <v>3170522</v>
      </c>
      <c r="T591" s="6" t="n">
        <v>8</v>
      </c>
      <c r="U591" s="5" t="inlineStr">
        <is>
          <t>AI Infra / 2026년 | AI Infra / 2026년 / 2027년 | Vision AI / 2026년</t>
        </is>
      </c>
      <c r="V591" s="21">
        <f>HYPERLINK("https://dart.fss.or.kr/dsaf001/main.do?rcpNo=20260813001284", "공시열람")</f>
        <v/>
      </c>
    </row>
    <row r="592">
      <c r="A592" s="5" t="inlineStr">
        <is>
          <t>코셋</t>
        </is>
      </c>
      <c r="B592" s="6" t="inlineStr">
        <is>
          <t>189350</t>
        </is>
      </c>
      <c r="C592" s="6" t="inlineStr">
        <is>
          <t>2025Q4</t>
        </is>
      </c>
      <c r="D592" s="6" t="inlineStr">
        <is>
          <t>20260309</t>
        </is>
      </c>
      <c r="E592" s="16" t="n">
        <v>12445</v>
      </c>
      <c r="F592" s="16" t="n">
        <v>10637</v>
      </c>
      <c r="G592" s="16" t="n">
        <v>1808</v>
      </c>
      <c r="H592" s="6" t="inlineStr">
        <is>
          <t>개/백만원</t>
        </is>
      </c>
      <c r="I592" s="17" t="n">
        <v>60</v>
      </c>
      <c r="J592" s="18" t="inlineStr"/>
      <c r="K592" s="19" t="inlineStr"/>
      <c r="L592" s="18" t="inlineStr"/>
      <c r="M592" s="19" t="n">
        <v>1130</v>
      </c>
      <c r="N592" s="18" t="inlineStr"/>
      <c r="O592" s="19" t="inlineStr"/>
      <c r="P592" s="18" t="inlineStr"/>
      <c r="Q592" s="19" t="n">
        <v>1808</v>
      </c>
      <c r="R592" s="18" t="inlineStr"/>
      <c r="S592" s="20" t="inlineStr"/>
      <c r="T592" s="6" t="n">
        <v>1</v>
      </c>
      <c r="U592" s="5" t="inlineStr">
        <is>
          <t>광증폭기용 소자 / -</t>
        </is>
      </c>
      <c r="V592" s="21">
        <f>HYPERLINK("https://dart.fss.or.kr/dsaf001/main.do?rcpNo=20260309001126", "공시열람")</f>
        <v/>
      </c>
    </row>
    <row r="593">
      <c r="A593" s="5" t="inlineStr">
        <is>
          <t>서전기전</t>
        </is>
      </c>
      <c r="B593" s="6" t="inlineStr">
        <is>
          <t>189860</t>
        </is>
      </c>
      <c r="C593" s="6" t="inlineStr">
        <is>
          <t>2026Q2</t>
        </is>
      </c>
      <c r="D593" s="6" t="inlineStr">
        <is>
          <t>20260814</t>
        </is>
      </c>
      <c r="E593" s="16" t="n">
        <v>704464</v>
      </c>
      <c r="F593" s="16" t="n">
        <v>648398</v>
      </c>
      <c r="G593" s="16" t="n">
        <v>59066</v>
      </c>
      <c r="H593" s="6" t="inlineStr">
        <is>
          <t>백만원</t>
        </is>
      </c>
      <c r="I593" s="17" t="n">
        <v>-9.800000000000001</v>
      </c>
      <c r="J593" s="18" t="n">
        <v>53137</v>
      </c>
      <c r="K593" s="19" t="n">
        <v>63803</v>
      </c>
      <c r="L593" s="18" t="n">
        <v>67037</v>
      </c>
      <c r="M593" s="19" t="n">
        <v>64435</v>
      </c>
      <c r="N593" s="18" t="n">
        <v>72586</v>
      </c>
      <c r="O593" s="19" t="n">
        <v>72776</v>
      </c>
      <c r="P593" s="18" t="n">
        <v>73694</v>
      </c>
      <c r="Q593" s="19" t="n">
        <v>60187</v>
      </c>
      <c r="R593" s="18" t="n">
        <v>65504</v>
      </c>
      <c r="S593" s="20" t="n">
        <v>59066</v>
      </c>
      <c r="T593" s="6" t="n">
        <v>1</v>
      </c>
      <c r="U593" s="5" t="inlineStr">
        <is>
          <t>수배전반 및 전력기기 / ~2026.06.30 / ~2</t>
        </is>
      </c>
      <c r="V593" s="21">
        <f>HYPERLINK("https://dart.fss.or.kr/dsaf001/main.do?rcpNo=20260814001021", "공시열람")</f>
        <v/>
      </c>
    </row>
    <row r="594">
      <c r="A594" s="5" t="inlineStr">
        <is>
          <t>육일씨엔에쓰</t>
        </is>
      </c>
      <c r="B594" s="6" t="inlineStr">
        <is>
          <t>191410</t>
        </is>
      </c>
      <c r="C594" s="6" t="inlineStr">
        <is>
          <t>2026Q2</t>
        </is>
      </c>
      <c r="D594" s="6" t="inlineStr">
        <is>
          <t>20260814</t>
        </is>
      </c>
      <c r="E594" s="16" t="inlineStr"/>
      <c r="F594" s="16" t="inlineStr"/>
      <c r="G594" s="16" t="n">
        <v>1117993</v>
      </c>
      <c r="H594" s="6" t="inlineStr">
        <is>
          <t>천원</t>
        </is>
      </c>
      <c r="I594" s="17" t="n">
        <v>-14.3</v>
      </c>
      <c r="J594" s="18" t="inlineStr"/>
      <c r="K594" s="19" t="inlineStr"/>
      <c r="L594" s="18" t="n">
        <v>1304326</v>
      </c>
      <c r="M594" s="19" t="n">
        <v>1117993</v>
      </c>
      <c r="N594" s="18" t="n">
        <v>1304325</v>
      </c>
      <c r="O594" s="19" t="n">
        <v>1117993</v>
      </c>
      <c r="P594" s="18" t="n">
        <v>1117993</v>
      </c>
      <c r="Q594" s="19" t="n">
        <v>1117993</v>
      </c>
      <c r="R594" s="18" t="n">
        <v>1304325</v>
      </c>
      <c r="S594" s="20" t="n">
        <v>1117993</v>
      </c>
      <c r="T594" s="6" t="n">
        <v>2</v>
      </c>
      <c r="U594" s="5" t="inlineStr">
        <is>
          <t>기초금액 | 기초금액</t>
        </is>
      </c>
      <c r="V594" s="21">
        <f>HYPERLINK("https://dart.fss.or.kr/dsaf001/main.do?rcpNo=20260814001982", "공시열람")</f>
        <v/>
      </c>
    </row>
    <row r="595">
      <c r="A595" s="5" t="inlineStr">
        <is>
          <t>테고사이언스</t>
        </is>
      </c>
      <c r="B595" s="6" t="inlineStr">
        <is>
          <t>191420</t>
        </is>
      </c>
      <c r="C595" s="6" t="inlineStr">
        <is>
          <t>2024Q4</t>
        </is>
      </c>
      <c r="D595" s="6" t="inlineStr">
        <is>
          <t>20250319</t>
        </is>
      </c>
      <c r="E595" s="16" t="n">
        <v>2000000000</v>
      </c>
      <c r="F595" s="16" t="n">
        <v>1940822007</v>
      </c>
      <c r="G595" s="16" t="n">
        <v>59177993</v>
      </c>
      <c r="H595" s="6" t="inlineStr"/>
      <c r="I595" s="17" t="n">
        <v>-32.9</v>
      </c>
      <c r="J595" s="18" t="n">
        <v>262546256</v>
      </c>
      <c r="K595" s="19" t="n">
        <v>175388429</v>
      </c>
      <c r="L595" s="18" t="n">
        <v>88230602</v>
      </c>
      <c r="M595" s="19" t="n">
        <v>59177993</v>
      </c>
      <c r="N595" s="18" t="inlineStr"/>
      <c r="O595" s="19" t="inlineStr"/>
      <c r="P595" s="18" t="inlineStr"/>
      <c r="Q595" s="19" t="inlineStr"/>
      <c r="R595" s="18" t="inlineStr"/>
      <c r="S595" s="20" t="inlineStr"/>
      <c r="T595" s="6" t="n">
        <v>1</v>
      </c>
      <c r="U595" s="5" t="inlineStr">
        <is>
          <t>CDMO매출 / 셀라퓨틱스 바이오 / 2021.10.2</t>
        </is>
      </c>
      <c r="V595" s="21">
        <f>HYPERLINK("https://dart.fss.or.kr/dsaf001/main.do?rcpNo=20250319000640", "공시열람")</f>
        <v/>
      </c>
    </row>
    <row r="596">
      <c r="A596" s="5" t="inlineStr">
        <is>
          <t>블루탑</t>
        </is>
      </c>
      <c r="B596" s="6" t="inlineStr">
        <is>
          <t>191600</t>
        </is>
      </c>
      <c r="C596" s="6" t="inlineStr">
        <is>
          <t>2025Q4</t>
        </is>
      </c>
      <c r="D596" s="6" t="inlineStr">
        <is>
          <t>20260323</t>
        </is>
      </c>
      <c r="E596" s="16" t="n">
        <v>44885</v>
      </c>
      <c r="F596" s="16" t="n">
        <v>39560</v>
      </c>
      <c r="G596" s="16" t="n">
        <v>5325</v>
      </c>
      <c r="H596" s="6" t="inlineStr">
        <is>
          <t>백만원</t>
        </is>
      </c>
      <c r="I596" s="17" t="n">
        <v>49.9</v>
      </c>
      <c r="J596" s="18" t="inlineStr"/>
      <c r="K596" s="19" t="inlineStr"/>
      <c r="L596" s="18" t="inlineStr"/>
      <c r="M596" s="19" t="n">
        <v>3553</v>
      </c>
      <c r="N596" s="18" t="inlineStr"/>
      <c r="O596" s="19" t="inlineStr"/>
      <c r="P596" s="18" t="inlineStr"/>
      <c r="Q596" s="19" t="n">
        <v>5325</v>
      </c>
      <c r="R596" s="18" t="inlineStr"/>
      <c r="S596" s="20" t="inlineStr"/>
      <c r="T596" s="6" t="n">
        <v>5</v>
      </c>
      <c r="U596" s="5" t="inlineStr">
        <is>
          <t>전장 / 2025.01.01 ~ 2025.12.31 | Mobile / 2025.01.01 ~ 2025.12. | 통신 / 2025.01.01 ~ 2025.12.31</t>
        </is>
      </c>
      <c r="V596" s="21">
        <f>HYPERLINK("https://dart.fss.or.kr/dsaf001/main.do?rcpNo=20260323001028", "공시열람")</f>
        <v/>
      </c>
    </row>
    <row r="597">
      <c r="A597" s="5" t="inlineStr">
        <is>
          <t>윈하이텍</t>
        </is>
      </c>
      <c r="B597" s="6" t="inlineStr">
        <is>
          <t>192390</t>
        </is>
      </c>
      <c r="C597" s="6" t="inlineStr">
        <is>
          <t>2026Q2</t>
        </is>
      </c>
      <c r="D597" s="6" t="inlineStr">
        <is>
          <t>20260814</t>
        </is>
      </c>
      <c r="E597" s="16" t="n">
        <v>149305</v>
      </c>
      <c r="F597" s="16" t="n">
        <v>84140</v>
      </c>
      <c r="G597" s="16" t="n">
        <v>65165</v>
      </c>
      <c r="H597" s="6" t="inlineStr">
        <is>
          <t>백만원</t>
        </is>
      </c>
      <c r="I597" s="17" t="n">
        <v>0.6</v>
      </c>
      <c r="J597" s="18" t="n">
        <v>73488</v>
      </c>
      <c r="K597" s="19" t="n">
        <v>58683</v>
      </c>
      <c r="L597" s="18" t="n">
        <v>38920</v>
      </c>
      <c r="M597" s="19" t="n">
        <v>37365</v>
      </c>
      <c r="N597" s="18" t="n">
        <v>38231</v>
      </c>
      <c r="O597" s="19" t="n">
        <v>49025</v>
      </c>
      <c r="P597" s="18" t="n">
        <v>43370</v>
      </c>
      <c r="Q597" s="19" t="n">
        <v>43672</v>
      </c>
      <c r="R597" s="18" t="n">
        <v>64748</v>
      </c>
      <c r="S597" s="20" t="n">
        <v>65165</v>
      </c>
      <c r="T597" s="6" t="n">
        <v>9</v>
      </c>
      <c r="U597" s="5" t="inlineStr">
        <is>
          <t>데크플레이트외 / ㈜케이씨씨건설 외 | 데크플레이트외 / 케이엠유키즈파크개발㈜ | 데크플레이트외 / 지에스건설(주)</t>
        </is>
      </c>
      <c r="V597" s="21">
        <f>HYPERLINK("https://dart.fss.or.kr/dsaf001/main.do?rcpNo=20260814003331", "공시열람")</f>
        <v/>
      </c>
    </row>
    <row r="598">
      <c r="A598" s="5" t="inlineStr">
        <is>
          <t>루트K</t>
        </is>
      </c>
      <c r="B598" s="6" t="inlineStr">
        <is>
          <t>195990</t>
        </is>
      </c>
      <c r="C598" s="6" t="inlineStr">
        <is>
          <t>2024Q4</t>
        </is>
      </c>
      <c r="D598" s="6" t="inlineStr">
        <is>
          <t>20250320</t>
        </is>
      </c>
      <c r="E598" s="16" t="n">
        <v>10420000</v>
      </c>
      <c r="F598" s="16" t="n">
        <v>10420000</v>
      </c>
      <c r="G598" s="16" t="n">
        <v>0</v>
      </c>
      <c r="H598" s="6" t="inlineStr">
        <is>
          <t>천원</t>
        </is>
      </c>
      <c r="I598" s="17" t="inlineStr"/>
      <c r="J598" s="18" t="n">
        <v>10420000</v>
      </c>
      <c r="K598" s="19" t="n">
        <v>10420000</v>
      </c>
      <c r="L598" s="18" t="n">
        <v>0</v>
      </c>
      <c r="M598" s="19" t="n">
        <v>0</v>
      </c>
      <c r="N598" s="18" t="inlineStr"/>
      <c r="O598" s="19" t="inlineStr"/>
      <c r="P598" s="18" t="inlineStr"/>
      <c r="Q598" s="19" t="inlineStr"/>
      <c r="R598" s="18" t="inlineStr"/>
      <c r="S598" s="20" t="inlineStr"/>
      <c r="T598" s="6" t="n">
        <v>1</v>
      </c>
      <c r="U598" s="5" t="inlineStr">
        <is>
          <t>공작기계 / 2024.02.29 / 2024.08.31</t>
        </is>
      </c>
      <c r="V598" s="21">
        <f>HYPERLINK("https://dart.fss.or.kr/dsaf001/main.do?rcpNo=20250320001144", "공시열람")</f>
        <v/>
      </c>
    </row>
    <row r="599">
      <c r="A599" s="5" t="inlineStr">
        <is>
          <t>알테오젠</t>
        </is>
      </c>
      <c r="B599" s="6" t="inlineStr">
        <is>
          <t>196170</t>
        </is>
      </c>
      <c r="C599" s="6" t="inlineStr">
        <is>
          <t>2024Q1</t>
        </is>
      </c>
      <c r="D599" s="6" t="inlineStr">
        <is>
          <t>20240516</t>
        </is>
      </c>
      <c r="E599" s="16" t="n">
        <v>65104</v>
      </c>
      <c r="F599" s="16" t="inlineStr"/>
      <c r="G599" s="16" t="n">
        <v>5378</v>
      </c>
      <c r="H599" s="6" t="inlineStr">
        <is>
          <t>백만원</t>
        </is>
      </c>
      <c r="I599" s="17" t="n">
        <v>-50.5</v>
      </c>
      <c r="J599" s="18" t="n">
        <v>5378</v>
      </c>
      <c r="K599" s="19" t="inlineStr"/>
      <c r="L599" s="18" t="inlineStr"/>
      <c r="M599" s="19" t="inlineStr"/>
      <c r="N599" s="18" t="inlineStr"/>
      <c r="O599" s="19" t="inlineStr"/>
      <c r="P599" s="18" t="inlineStr"/>
      <c r="Q599" s="19" t="inlineStr"/>
      <c r="R599" s="18" t="inlineStr"/>
      <c r="S599" s="20" t="inlineStr"/>
      <c r="T599" s="6" t="n">
        <v>1</v>
      </c>
      <c r="U599" s="5" t="inlineStr">
        <is>
          <t>B사 / 기술용역 / 23.01.12 ~24.07.31</t>
        </is>
      </c>
      <c r="V599" s="21">
        <f>HYPERLINK("https://dart.fss.or.kr/dsaf001/main.do?rcpNo=20240516000132", "공시열람")</f>
        <v/>
      </c>
    </row>
    <row r="600">
      <c r="A600" s="5" t="inlineStr">
        <is>
          <t>HLB펩</t>
        </is>
      </c>
      <c r="B600" s="6" t="inlineStr">
        <is>
          <t>196300</t>
        </is>
      </c>
      <c r="C600" s="6" t="inlineStr">
        <is>
          <t>2026Q2</t>
        </is>
      </c>
      <c r="D600" s="6" t="inlineStr">
        <is>
          <t>20260813</t>
        </is>
      </c>
      <c r="E600" s="16" t="n">
        <v>765</v>
      </c>
      <c r="F600" s="16" t="n">
        <v>200</v>
      </c>
      <c r="G600" s="16" t="n">
        <v>565</v>
      </c>
      <c r="H600" s="6" t="inlineStr">
        <is>
          <t>백만원</t>
        </is>
      </c>
      <c r="I600" s="17" t="n">
        <v>0</v>
      </c>
      <c r="J600" s="18" t="inlineStr"/>
      <c r="K600" s="19" t="inlineStr"/>
      <c r="L600" s="18" t="inlineStr"/>
      <c r="M600" s="19" t="inlineStr"/>
      <c r="N600" s="18" t="inlineStr"/>
      <c r="O600" s="19" t="inlineStr"/>
      <c r="P600" s="18" t="n">
        <v>276</v>
      </c>
      <c r="Q600" s="19" t="n">
        <v>565</v>
      </c>
      <c r="R600" s="18" t="n">
        <v>565</v>
      </c>
      <c r="S600" s="20" t="n">
        <v>565</v>
      </c>
      <c r="T600" s="6" t="n">
        <v>1</v>
      </c>
      <c r="U600" s="5" t="inlineStr">
        <is>
          <t>임상용 원료의약품 위탁개발생산계약 / 2025.12.3</t>
        </is>
      </c>
      <c r="V600" s="21">
        <f>HYPERLINK("https://dart.fss.or.kr/dsaf001/main.do?rcpNo=20260813001367", "공시열람")</f>
        <v/>
      </c>
    </row>
    <row r="601">
      <c r="A601" s="5" t="inlineStr">
        <is>
          <t>웹스</t>
        </is>
      </c>
      <c r="B601" s="6" t="inlineStr">
        <is>
          <t>196700</t>
        </is>
      </c>
      <c r="C601" s="6" t="inlineStr">
        <is>
          <t>2026Q2</t>
        </is>
      </c>
      <c r="D601" s="6" t="inlineStr">
        <is>
          <t>20260814</t>
        </is>
      </c>
      <c r="E601" s="16" t="n">
        <v>841494200</v>
      </c>
      <c r="F601" s="16" t="n">
        <v>603890200</v>
      </c>
      <c r="G601" s="16" t="n">
        <v>237604000</v>
      </c>
      <c r="H601" s="6" t="inlineStr">
        <is>
          <t>경간,m,원</t>
        </is>
      </c>
      <c r="I601" s="17" t="inlineStr"/>
      <c r="J601" s="18" t="n">
        <v>511513780</v>
      </c>
      <c r="K601" s="19" t="n">
        <v>307277500</v>
      </c>
      <c r="L601" s="18" t="n">
        <v>588440000</v>
      </c>
      <c r="M601" s="19" t="n">
        <v>430116500</v>
      </c>
      <c r="N601" s="18" t="n">
        <v>136750400</v>
      </c>
      <c r="O601" s="19" t="n">
        <v>483306020</v>
      </c>
      <c r="P601" s="18" t="n">
        <v>291867040</v>
      </c>
      <c r="Q601" s="19" t="n">
        <v>506726194</v>
      </c>
      <c r="R601" s="18" t="n">
        <v>0</v>
      </c>
      <c r="S601" s="20" t="n">
        <v>237604000</v>
      </c>
      <c r="T601" s="6" t="n">
        <v>34</v>
      </c>
      <c r="U601" s="5" t="inlineStr">
        <is>
          <t>SAN025150 / 2026-06-25 / 2026- | DSFPY-104 / 2026-04-09 / 2026- | SAN025150 / 2026-06-18 / 2027-</t>
        </is>
      </c>
      <c r="V601" s="21">
        <f>HYPERLINK("https://dart.fss.or.kr/dsaf001/main.do?rcpNo=20260814000532", "공시열람")</f>
        <v/>
      </c>
    </row>
    <row r="602">
      <c r="A602" s="5" t="inlineStr">
        <is>
          <t>디지캡</t>
        </is>
      </c>
      <c r="B602" s="6" t="inlineStr">
        <is>
          <t>197140</t>
        </is>
      </c>
      <c r="C602" s="6" t="inlineStr">
        <is>
          <t>2024Q3</t>
        </is>
      </c>
      <c r="D602" s="6" t="inlineStr">
        <is>
          <t>20241114</t>
        </is>
      </c>
      <c r="E602" s="16" t="n">
        <v>4140747</v>
      </c>
      <c r="F602" s="16" t="n">
        <v>860569</v>
      </c>
      <c r="G602" s="16" t="n">
        <v>3280179</v>
      </c>
      <c r="H602" s="6" t="inlineStr">
        <is>
          <t>천원</t>
        </is>
      </c>
      <c r="I602" s="17" t="n">
        <v>120.2</v>
      </c>
      <c r="J602" s="18" t="n">
        <v>1729853</v>
      </c>
      <c r="K602" s="19" t="n">
        <v>1489590</v>
      </c>
      <c r="L602" s="18" t="n">
        <v>3280179</v>
      </c>
      <c r="M602" s="19" t="inlineStr"/>
      <c r="N602" s="18" t="inlineStr"/>
      <c r="O602" s="19" t="inlineStr"/>
      <c r="P602" s="18" t="inlineStr"/>
      <c r="Q602" s="19" t="inlineStr"/>
      <c r="R602" s="18" t="inlineStr"/>
      <c r="S602" s="20" t="inlineStr"/>
      <c r="T602" s="6" t="n">
        <v>13</v>
      </c>
      <c r="U602" s="5" t="inlineStr">
        <is>
          <t>기타 / 2024.08.14 / 2025.08.11 | 기타 / 2024.08.19 / 2025.08.06 | 보호솔루션 / 2024.09.30 / 2025.09.3</t>
        </is>
      </c>
      <c r="V602" s="21">
        <f>HYPERLINK("https://dart.fss.or.kr/dsaf001/main.do?rcpNo=20241114000662", "공시열람")</f>
        <v/>
      </c>
    </row>
    <row r="603">
      <c r="A603" s="5" t="inlineStr">
        <is>
          <t>데이터스트림즈</t>
        </is>
      </c>
      <c r="B603" s="6" t="inlineStr">
        <is>
          <t>199150</t>
        </is>
      </c>
      <c r="C603" s="6" t="inlineStr">
        <is>
          <t>2025Q4</t>
        </is>
      </c>
      <c r="D603" s="6" t="inlineStr">
        <is>
          <t>20260319</t>
        </is>
      </c>
      <c r="E603" s="16" t="n">
        <v>13744</v>
      </c>
      <c r="F603" s="16" t="inlineStr"/>
      <c r="G603" s="16" t="n">
        <v>5202</v>
      </c>
      <c r="H603" s="6" t="inlineStr">
        <is>
          <t>백만원</t>
        </is>
      </c>
      <c r="I603" s="17" t="n">
        <v>24.8</v>
      </c>
      <c r="J603" s="18" t="inlineStr"/>
      <c r="K603" s="19" t="inlineStr"/>
      <c r="L603" s="18" t="inlineStr"/>
      <c r="M603" s="19" t="n">
        <v>4168</v>
      </c>
      <c r="N603" s="18" t="inlineStr"/>
      <c r="O603" s="19" t="inlineStr"/>
      <c r="P603" s="18" t="inlineStr"/>
      <c r="Q603" s="19" t="n">
        <v>5202</v>
      </c>
      <c r="R603" s="18" t="inlineStr"/>
      <c r="S603" s="20" t="inlineStr"/>
      <c r="T603" s="6" t="n">
        <v>5</v>
      </c>
      <c r="U603" s="5" t="inlineStr">
        <is>
          <t>금융 | 제조 | 공공</t>
        </is>
      </c>
      <c r="V603" s="21">
        <f>HYPERLINK("https://dart.fss.or.kr/dsaf001/main.do?rcpNo=20260319000707", "공시열람")</f>
        <v/>
      </c>
    </row>
    <row r="604">
      <c r="A604" s="5" t="inlineStr">
        <is>
          <t>바이오프로테크</t>
        </is>
      </c>
      <c r="B604" s="6" t="inlineStr">
        <is>
          <t>199290</t>
        </is>
      </c>
      <c r="C604" s="6" t="inlineStr">
        <is>
          <t>2025Q4</t>
        </is>
      </c>
      <c r="D604" s="6" t="inlineStr">
        <is>
          <t>20260330</t>
        </is>
      </c>
      <c r="E604" s="16" t="inlineStr"/>
      <c r="F604" s="16" t="inlineStr"/>
      <c r="G604" s="16" t="n">
        <v>6467</v>
      </c>
      <c r="H604" s="6" t="inlineStr">
        <is>
          <t>천EA,백만원</t>
        </is>
      </c>
      <c r="I604" s="17" t="n">
        <v>-4.6</v>
      </c>
      <c r="J604" s="18" t="inlineStr"/>
      <c r="K604" s="19" t="inlineStr"/>
      <c r="L604" s="18" t="inlineStr"/>
      <c r="M604" s="19" t="n">
        <v>6776</v>
      </c>
      <c r="N604" s="18" t="inlineStr"/>
      <c r="O604" s="19" t="inlineStr"/>
      <c r="P604" s="18" t="inlineStr"/>
      <c r="Q604" s="19" t="n">
        <v>6467</v>
      </c>
      <c r="R604" s="18" t="inlineStr"/>
      <c r="S604" s="20" t="inlineStr"/>
      <c r="T604" s="6" t="n">
        <v>14</v>
      </c>
      <c r="U604" s="5" t="inlineStr">
        <is>
          <t>ECG / - | TAB / - | Smoke / -</t>
        </is>
      </c>
      <c r="V604" s="21">
        <f>HYPERLINK("https://dart.fss.or.kr/dsaf001/main.do?rcpNo=20260330001644", "공시열람")</f>
        <v/>
      </c>
    </row>
    <row r="605">
      <c r="A605" s="5" t="inlineStr">
        <is>
          <t>뱅크웨어글로벌</t>
        </is>
      </c>
      <c r="B605" s="6" t="inlineStr">
        <is>
          <t>199480</t>
        </is>
      </c>
      <c r="C605" s="6" t="inlineStr">
        <is>
          <t>2026Q2</t>
        </is>
      </c>
      <c r="D605" s="6" t="inlineStr">
        <is>
          <t>20260814</t>
        </is>
      </c>
      <c r="E605" s="16" t="n">
        <v>129510640320</v>
      </c>
      <c r="F605" s="16" t="n">
        <v>84086296796</v>
      </c>
      <c r="G605" s="16" t="n">
        <v>45424343523</v>
      </c>
      <c r="H605" s="6" t="inlineStr">
        <is>
          <t>원</t>
        </is>
      </c>
      <c r="I605" s="17" t="n">
        <v>3.6</v>
      </c>
      <c r="J605" s="18" t="inlineStr"/>
      <c r="K605" s="19" t="inlineStr"/>
      <c r="L605" s="18" t="n">
        <v>36898365549</v>
      </c>
      <c r="M605" s="19" t="n">
        <v>38060</v>
      </c>
      <c r="N605" s="18" t="n">
        <v>46574686540</v>
      </c>
      <c r="O605" s="19" t="n">
        <v>62082692354</v>
      </c>
      <c r="P605" s="18" t="n">
        <v>49567465233</v>
      </c>
      <c r="Q605" s="19" t="n">
        <v>39114</v>
      </c>
      <c r="R605" s="18" t="n">
        <v>43832292621</v>
      </c>
      <c r="S605" s="20" t="n">
        <v>45424343523</v>
      </c>
      <c r="T605" s="6" t="n">
        <v>1</v>
      </c>
      <c r="U605" s="5" t="inlineStr">
        <is>
          <t>금융기관 등 / 시스템구축 및 유지보수 / -</t>
        </is>
      </c>
      <c r="V605" s="21">
        <f>HYPERLINK("https://dart.fss.or.kr/dsaf001/main.do?rcpNo=20260814002727", "공시열람")</f>
        <v/>
      </c>
    </row>
    <row r="606">
      <c r="A606" s="5" t="inlineStr">
        <is>
          <t>바이오인프라</t>
        </is>
      </c>
      <c r="B606" s="6" t="inlineStr">
        <is>
          <t>199730</t>
        </is>
      </c>
      <c r="C606" s="6" t="inlineStr">
        <is>
          <t>2026Q2</t>
        </is>
      </c>
      <c r="D606" s="6" t="inlineStr">
        <is>
          <t>20260812</t>
        </is>
      </c>
      <c r="E606" s="16" t="n">
        <v>13432153</v>
      </c>
      <c r="F606" s="16" t="inlineStr"/>
      <c r="G606" s="16" t="n">
        <v>21993826</v>
      </c>
      <c r="H606" s="6" t="inlineStr">
        <is>
          <t>천원</t>
        </is>
      </c>
      <c r="I606" s="17" t="n">
        <v>-5</v>
      </c>
      <c r="J606" s="18" t="n">
        <v>18115972</v>
      </c>
      <c r="K606" s="19" t="n">
        <v>19823636</v>
      </c>
      <c r="L606" s="18" t="n">
        <v>17120020</v>
      </c>
      <c r="M606" s="19" t="n">
        <v>16184008</v>
      </c>
      <c r="N606" s="18" t="n">
        <v>16988255</v>
      </c>
      <c r="O606" s="19" t="n">
        <v>17210976</v>
      </c>
      <c r="P606" s="18" t="n">
        <v>18784818</v>
      </c>
      <c r="Q606" s="19" t="n">
        <v>23742095</v>
      </c>
      <c r="R606" s="18" t="n">
        <v>23141912</v>
      </c>
      <c r="S606" s="20" t="n">
        <v>21993826</v>
      </c>
      <c r="T606" s="6" t="n">
        <v>8</v>
      </c>
      <c r="U606" s="5" t="inlineStr">
        <is>
          <t>개량신약 임상시험 / 국내 | 생물학적 동등성시험 / 국내 | 허가용 임상시험 / 국내</t>
        </is>
      </c>
      <c r="V606" s="21">
        <f>HYPERLINK("https://dart.fss.or.kr/dsaf001/main.do?rcpNo=20260812000618", "공시열람")</f>
        <v/>
      </c>
    </row>
    <row r="607">
      <c r="A607" s="5" t="inlineStr">
        <is>
          <t>제일일렉트릭</t>
        </is>
      </c>
      <c r="B607" s="6" t="inlineStr">
        <is>
          <t>199820</t>
        </is>
      </c>
      <c r="C607" s="6" t="inlineStr">
        <is>
          <t>2026Q2</t>
        </is>
      </c>
      <c r="D607" s="6" t="inlineStr">
        <is>
          <t>20260814</t>
        </is>
      </c>
      <c r="E607" s="16" t="n">
        <v>90999</v>
      </c>
      <c r="F607" s="16" t="inlineStr"/>
      <c r="G607" s="16" t="n">
        <v>90999</v>
      </c>
      <c r="H607" s="6" t="inlineStr">
        <is>
          <t>백만원</t>
        </is>
      </c>
      <c r="I607" s="17" t="n">
        <v>12.2</v>
      </c>
      <c r="J607" s="18" t="n">
        <v>96600</v>
      </c>
      <c r="K607" s="19" t="n">
        <v>103005</v>
      </c>
      <c r="L607" s="18" t="n">
        <v>102151</v>
      </c>
      <c r="M607" s="19" t="n">
        <v>88980</v>
      </c>
      <c r="N607" s="18" t="n">
        <v>89622</v>
      </c>
      <c r="O607" s="19" t="n">
        <v>85956</v>
      </c>
      <c r="P607" s="18" t="n">
        <v>77650</v>
      </c>
      <c r="Q607" s="19" t="n">
        <v>72566</v>
      </c>
      <c r="R607" s="18" t="n">
        <v>81137</v>
      </c>
      <c r="S607" s="20" t="n">
        <v>90999</v>
      </c>
      <c r="T607" s="6" t="n">
        <v>1</v>
      </c>
      <c r="U607" s="5" t="inlineStr">
        <is>
          <t>스마트배선기구 외 / 2026.06.30. 이전 / 2</t>
        </is>
      </c>
      <c r="V607" s="21">
        <f>HYPERLINK("https://dart.fss.or.kr/dsaf001/main.do?rcpNo=20260814003693", "공시열람")</f>
        <v/>
      </c>
    </row>
    <row r="608">
      <c r="A608" s="5" t="inlineStr">
        <is>
          <t>텔콘RF제약</t>
        </is>
      </c>
      <c r="B608" s="6" t="inlineStr">
        <is>
          <t>200230</t>
        </is>
      </c>
      <c r="C608" s="6" t="inlineStr">
        <is>
          <t>2026Q2</t>
        </is>
      </c>
      <c r="D608" s="6" t="inlineStr">
        <is>
          <t>20260814</t>
        </is>
      </c>
      <c r="E608" s="16" t="n">
        <v>54054700000</v>
      </c>
      <c r="F608" s="16" t="n">
        <v>13222180750</v>
      </c>
      <c r="G608" s="16" t="n">
        <v>40832519250</v>
      </c>
      <c r="H608" s="6" t="inlineStr">
        <is>
          <t>원</t>
        </is>
      </c>
      <c r="I608" s="17" t="n">
        <v>0</v>
      </c>
      <c r="J608" s="18" t="n">
        <v>43727411750</v>
      </c>
      <c r="K608" s="19" t="n">
        <v>42367533250</v>
      </c>
      <c r="L608" s="18" t="n">
        <v>42257069250</v>
      </c>
      <c r="M608" s="19" t="n">
        <v>42257069250</v>
      </c>
      <c r="N608" s="18" t="n">
        <v>42257069250</v>
      </c>
      <c r="O608" s="19" t="n">
        <v>42257069250</v>
      </c>
      <c r="P608" s="18" t="n">
        <v>41565719250</v>
      </c>
      <c r="Q608" s="19" t="n">
        <v>40832519250</v>
      </c>
      <c r="R608" s="18" t="n">
        <v>40832519250</v>
      </c>
      <c r="S608" s="20" t="n">
        <v>40832519250</v>
      </c>
      <c r="T608" s="6" t="n">
        <v>1</v>
      </c>
      <c r="U608" s="5" t="inlineStr">
        <is>
          <t>PGLG 공급계약(*) / 2017.07.12 / 20</t>
        </is>
      </c>
      <c r="V608" s="21">
        <f>HYPERLINK("https://dart.fss.or.kr/dsaf001/main.do?rcpNo=20260814002996", "공시열람")</f>
        <v/>
      </c>
    </row>
    <row r="609">
      <c r="A609" s="5" t="inlineStr">
        <is>
          <t>아티스트스튜디오</t>
        </is>
      </c>
      <c r="B609" s="6" t="inlineStr">
        <is>
          <t>200350</t>
        </is>
      </c>
      <c r="C609" s="6" t="inlineStr">
        <is>
          <t>2026Q2</t>
        </is>
      </c>
      <c r="D609" s="6" t="inlineStr">
        <is>
          <t>20260814</t>
        </is>
      </c>
      <c r="E609" s="16" t="n">
        <v>6150000</v>
      </c>
      <c r="F609" s="16" t="n">
        <v>6150000</v>
      </c>
      <c r="G609" s="16" t="n">
        <v>0</v>
      </c>
      <c r="H609" s="6" t="inlineStr">
        <is>
          <t>천원</t>
        </is>
      </c>
      <c r="I609" s="17" t="inlineStr"/>
      <c r="J609" s="18" t="n">
        <v>8545223</v>
      </c>
      <c r="K609" s="19" t="n">
        <v>15112192</v>
      </c>
      <c r="L609" s="18" t="n">
        <v>7511335</v>
      </c>
      <c r="M609" s="19" t="n">
        <v>4534805</v>
      </c>
      <c r="N609" s="18" t="n">
        <v>4534805</v>
      </c>
      <c r="O609" s="19" t="n">
        <v>9316454</v>
      </c>
      <c r="P609" s="18" t="n">
        <v>3597380</v>
      </c>
      <c r="Q609" s="19" t="n">
        <v>116357</v>
      </c>
      <c r="R609" s="18" t="n">
        <v>0</v>
      </c>
      <c r="S609" s="20" t="n">
        <v>0</v>
      </c>
      <c r="T609" s="6" t="n">
        <v>1</v>
      </c>
      <c r="U609" s="5" t="inlineStr">
        <is>
          <t>프로젝트A / 2025.05.07 / 2025.09.0</t>
        </is>
      </c>
      <c r="V609" s="21">
        <f>HYPERLINK("https://dart.fss.or.kr/dsaf001/main.do?rcpNo=20260814002900", "공시열람")</f>
        <v/>
      </c>
    </row>
    <row r="610">
      <c r="A610" s="5" t="inlineStr">
        <is>
          <t>메디쎄이</t>
        </is>
      </c>
      <c r="B610" s="6" t="inlineStr">
        <is>
          <t>200580</t>
        </is>
      </c>
      <c r="C610" s="6" t="inlineStr">
        <is>
          <t>2025Q4</t>
        </is>
      </c>
      <c r="D610" s="6" t="inlineStr">
        <is>
          <t>20260327</t>
        </is>
      </c>
      <c r="E610" s="16" t="n">
        <v>8014817</v>
      </c>
      <c r="F610" s="16" t="n">
        <v>6594066</v>
      </c>
      <c r="G610" s="16" t="n">
        <v>1420751</v>
      </c>
      <c r="H610" s="6" t="inlineStr">
        <is>
          <t>개,$</t>
        </is>
      </c>
      <c r="I610" s="17" t="n">
        <v>-38.5</v>
      </c>
      <c r="J610" s="18" t="inlineStr"/>
      <c r="K610" s="19" t="inlineStr"/>
      <c r="L610" s="18" t="inlineStr"/>
      <c r="M610" s="19" t="n">
        <v>2308509</v>
      </c>
      <c r="N610" s="18" t="inlineStr"/>
      <c r="O610" s="19" t="inlineStr"/>
      <c r="P610" s="18" t="inlineStr"/>
      <c r="Q610" s="19" t="n">
        <v>1420751</v>
      </c>
      <c r="R610" s="18" t="inlineStr"/>
      <c r="S610" s="20" t="inlineStr"/>
      <c r="T610" s="6" t="n">
        <v>1</v>
      </c>
      <c r="U610" s="5" t="inlineStr">
        <is>
          <t>척추임플란트 외 / -</t>
        </is>
      </c>
      <c r="V610" s="21">
        <f>HYPERLINK("https://dart.fss.or.kr/dsaf001/main.do?rcpNo=20260327001807", "공시열람")</f>
        <v/>
      </c>
    </row>
    <row r="611">
      <c r="A611" s="5" t="inlineStr">
        <is>
          <t>에이비온</t>
        </is>
      </c>
      <c r="B611" s="6" t="inlineStr">
        <is>
          <t>203400</t>
        </is>
      </c>
      <c r="C611" s="6" t="inlineStr">
        <is>
          <t>2026Q2</t>
        </is>
      </c>
      <c r="D611" s="6" t="inlineStr">
        <is>
          <t>20260814</t>
        </is>
      </c>
      <c r="E611" s="16" t="n">
        <v>1736363</v>
      </c>
      <c r="F611" s="16" t="n">
        <v>1215455</v>
      </c>
      <c r="G611" s="16" t="n">
        <v>520908</v>
      </c>
      <c r="H611" s="6" t="inlineStr">
        <is>
          <t>천원</t>
        </is>
      </c>
      <c r="I611" s="17" t="n">
        <v>-28.4</v>
      </c>
      <c r="J611" s="18" t="n">
        <v>76746</v>
      </c>
      <c r="K611" s="19" t="n">
        <v>1109691</v>
      </c>
      <c r="L611" s="18" t="n">
        <v>1109691</v>
      </c>
      <c r="M611" s="19" t="n">
        <v>1076746</v>
      </c>
      <c r="N611" s="18" t="n">
        <v>1000000</v>
      </c>
      <c r="O611" s="19" t="n">
        <v>727272</v>
      </c>
      <c r="P611" s="18" t="n">
        <v>727272</v>
      </c>
      <c r="Q611" s="19" t="n">
        <v>727272</v>
      </c>
      <c r="R611" s="18" t="n">
        <v>727272</v>
      </c>
      <c r="S611" s="20" t="n">
        <v>520908</v>
      </c>
      <c r="T611" s="6" t="n">
        <v>1</v>
      </c>
      <c r="U611" s="5" t="inlineStr">
        <is>
          <t>용역매출 / 2024.04.11 / 2026.10.31</t>
        </is>
      </c>
      <c r="V611" s="21">
        <f>HYPERLINK("https://dart.fss.or.kr/dsaf001/main.do?rcpNo=20260814001789", "공시열람")</f>
        <v/>
      </c>
    </row>
    <row r="612">
      <c r="A612" s="5" t="inlineStr">
        <is>
          <t>HL만도</t>
        </is>
      </c>
      <c r="B612" s="6" t="inlineStr">
        <is>
          <t>204320</t>
        </is>
      </c>
      <c r="C612" s="6" t="inlineStr">
        <is>
          <t>2026Q2</t>
        </is>
      </c>
      <c r="D612" s="6" t="inlineStr">
        <is>
          <t>20260814</t>
        </is>
      </c>
      <c r="E612" s="16" t="n">
        <v>1404449</v>
      </c>
      <c r="F612" s="16" t="n">
        <v>461221</v>
      </c>
      <c r="G612" s="16" t="n">
        <v>943228</v>
      </c>
      <c r="H612" s="6" t="inlineStr">
        <is>
          <t>백만원</t>
        </is>
      </c>
      <c r="I612" s="17" t="n">
        <v>-4.1</v>
      </c>
      <c r="J612" s="18" t="n">
        <v>1301908</v>
      </c>
      <c r="K612" s="19" t="n">
        <v>1265755</v>
      </c>
      <c r="L612" s="18" t="n">
        <v>1226938</v>
      </c>
      <c r="M612" s="19" t="n">
        <v>1190518</v>
      </c>
      <c r="N612" s="18" t="n">
        <v>1146594</v>
      </c>
      <c r="O612" s="19" t="n">
        <v>1102277</v>
      </c>
      <c r="P612" s="18" t="n">
        <v>1062269</v>
      </c>
      <c r="Q612" s="19" t="n">
        <v>1025769</v>
      </c>
      <c r="R612" s="18" t="n">
        <v>983729</v>
      </c>
      <c r="S612" s="20" t="n">
        <v>943228</v>
      </c>
      <c r="T612" s="6" t="n">
        <v>1</v>
      </c>
      <c r="U612" s="5" t="inlineStr">
        <is>
          <t>Shock absorber, Strut 등서스펜션 부품</t>
        </is>
      </c>
      <c r="V612" s="21">
        <f>HYPERLINK("https://dart.fss.or.kr/dsaf001/main.do?rcpNo=20260814004041", "공시열람")</f>
        <v/>
      </c>
    </row>
    <row r="613">
      <c r="A613" s="5" t="inlineStr">
        <is>
          <t>지엘팜텍</t>
        </is>
      </c>
      <c r="B613" s="6" t="inlineStr">
        <is>
          <t>204840</t>
        </is>
      </c>
      <c r="C613" s="6" t="inlineStr">
        <is>
          <t>2026Q2</t>
        </is>
      </c>
      <c r="D613" s="6" t="inlineStr">
        <is>
          <t>20260813</t>
        </is>
      </c>
      <c r="E613" s="16" t="n">
        <v>2100</v>
      </c>
      <c r="F613" s="16" t="inlineStr"/>
      <c r="G613" s="16" t="n">
        <v>1000</v>
      </c>
      <c r="H613" s="6" t="inlineStr">
        <is>
          <t>백만원</t>
        </is>
      </c>
      <c r="I613" s="17" t="n">
        <v>0</v>
      </c>
      <c r="J613" s="18" t="n">
        <v>1000</v>
      </c>
      <c r="K613" s="19" t="n">
        <v>1000</v>
      </c>
      <c r="L613" s="18" t="n">
        <v>1000</v>
      </c>
      <c r="M613" s="19" t="n">
        <v>1000</v>
      </c>
      <c r="N613" s="18" t="n">
        <v>1000</v>
      </c>
      <c r="O613" s="19" t="n">
        <v>1000</v>
      </c>
      <c r="P613" s="18" t="n">
        <v>1000</v>
      </c>
      <c r="Q613" s="19" t="n">
        <v>1000</v>
      </c>
      <c r="R613" s="18" t="n">
        <v>1000</v>
      </c>
      <c r="S613" s="20" t="n">
        <v>1000</v>
      </c>
      <c r="T613" s="6" t="n">
        <v>1</v>
      </c>
      <c r="U613" s="5" t="inlineStr">
        <is>
          <t>의약품연구개발서비스 / 오큐라바이오사이언스 / GLH8</t>
        </is>
      </c>
      <c r="V613" s="21">
        <f>HYPERLINK("https://dart.fss.or.kr/dsaf001/main.do?rcpNo=20260813000453", "공시열람")</f>
        <v/>
      </c>
    </row>
    <row r="614">
      <c r="A614" s="5" t="inlineStr">
        <is>
          <t>엑셈</t>
        </is>
      </c>
      <c r="B614" s="6" t="inlineStr">
        <is>
          <t>205100</t>
        </is>
      </c>
      <c r="C614" s="6" t="inlineStr">
        <is>
          <t>2026Q2</t>
        </is>
      </c>
      <c r="D614" s="6" t="inlineStr">
        <is>
          <t>20260814</t>
        </is>
      </c>
      <c r="E614" s="16" t="n">
        <v>8111</v>
      </c>
      <c r="F614" s="16" t="n">
        <v>3140</v>
      </c>
      <c r="G614" s="16" t="n">
        <v>4971</v>
      </c>
      <c r="H614" s="6" t="inlineStr">
        <is>
          <t>백만원</t>
        </is>
      </c>
      <c r="I614" s="17" t="n">
        <v>14.5</v>
      </c>
      <c r="J614" s="18" t="n">
        <v>1207</v>
      </c>
      <c r="K614" s="19" t="n">
        <v>1207</v>
      </c>
      <c r="L614" s="18" t="n">
        <v>1207</v>
      </c>
      <c r="M614" s="19" t="n">
        <v>1207</v>
      </c>
      <c r="N614" s="18" t="n">
        <v>3549</v>
      </c>
      <c r="O614" s="19" t="n">
        <v>3549</v>
      </c>
      <c r="P614" s="18" t="n">
        <v>1118</v>
      </c>
      <c r="Q614" s="19" t="n">
        <v>3366</v>
      </c>
      <c r="R614" s="18" t="n">
        <v>4341</v>
      </c>
      <c r="S614" s="20" t="n">
        <v>4971</v>
      </c>
      <c r="T614" s="6" t="n">
        <v>4</v>
      </c>
      <c r="U614" s="5" t="inlineStr">
        <is>
          <t>KSS해운 DX-AX 1단계 구축 사업 용역 / KSS | 경기 AI 학습데이터 통합 관리체계 도입 사업 / 경기 | 2026년 서울시 빅데이터 서비스 플랫폼 통합 운영 /</t>
        </is>
      </c>
      <c r="V614" s="21">
        <f>HYPERLINK("https://dart.fss.or.kr/dsaf001/main.do?rcpNo=20260814001932", "공시열람")</f>
        <v/>
      </c>
    </row>
    <row r="615">
      <c r="A615" s="5" t="inlineStr">
        <is>
          <t>베노티앤알</t>
        </is>
      </c>
      <c r="B615" s="6" t="inlineStr">
        <is>
          <t>206400</t>
        </is>
      </c>
      <c r="C615" s="6" t="inlineStr">
        <is>
          <t>2026Q2</t>
        </is>
      </c>
      <c r="D615" s="6" t="inlineStr">
        <is>
          <t>20260814</t>
        </is>
      </c>
      <c r="E615" s="16" t="n">
        <v>31718184</v>
      </c>
      <c r="F615" s="16" t="n">
        <v>29314989</v>
      </c>
      <c r="G615" s="16" t="n">
        <v>2403195</v>
      </c>
      <c r="H615" s="6" t="inlineStr">
        <is>
          <t>천원</t>
        </is>
      </c>
      <c r="I615" s="17" t="n">
        <v>196.7</v>
      </c>
      <c r="J615" s="18" t="n">
        <v>19651564</v>
      </c>
      <c r="K615" s="19" t="n">
        <v>8649706</v>
      </c>
      <c r="L615" s="18" t="n">
        <v>4151658</v>
      </c>
      <c r="M615" s="19" t="n">
        <v>1397099</v>
      </c>
      <c r="N615" s="18" t="n">
        <v>1744542</v>
      </c>
      <c r="O615" s="19" t="n">
        <v>604819</v>
      </c>
      <c r="P615" s="18" t="n">
        <v>303607</v>
      </c>
      <c r="Q615" s="19" t="n">
        <v>810998</v>
      </c>
      <c r="R615" s="18" t="n">
        <v>809855</v>
      </c>
      <c r="S615" s="20" t="n">
        <v>2403195</v>
      </c>
      <c r="T615" s="6" t="n">
        <v>17</v>
      </c>
      <c r="U615" s="5" t="inlineStr">
        <is>
          <t>도배 / 2026.05.26 / 2027.05.13 | 도배 / 2026.06.04 / 2027.08.31 | 도배 / 2025.11.20 / 2026.12.31</t>
        </is>
      </c>
      <c r="V615" s="21">
        <f>HYPERLINK("https://dart.fss.or.kr/dsaf001/main.do?rcpNo=20260814003019", "공시열람")</f>
        <v/>
      </c>
    </row>
    <row r="616">
      <c r="A616" s="5" t="inlineStr">
        <is>
          <t>덱스터</t>
        </is>
      </c>
      <c r="B616" s="6" t="inlineStr">
        <is>
          <t>206560</t>
        </is>
      </c>
      <c r="C616" s="6" t="inlineStr">
        <is>
          <t>2026Q2</t>
        </is>
      </c>
      <c r="D616" s="6" t="inlineStr">
        <is>
          <t>20260814</t>
        </is>
      </c>
      <c r="E616" s="16" t="n">
        <v>10526916</v>
      </c>
      <c r="F616" s="16" t="n">
        <v>5836142</v>
      </c>
      <c r="G616" s="16" t="n">
        <v>4690774</v>
      </c>
      <c r="H616" s="6" t="inlineStr">
        <is>
          <t>천원</t>
        </is>
      </c>
      <c r="I616" s="17" t="n">
        <v>-12.5</v>
      </c>
      <c r="J616" s="18" t="n">
        <v>3023647</v>
      </c>
      <c r="K616" s="19" t="n">
        <v>0</v>
      </c>
      <c r="L616" s="18" t="n">
        <v>0</v>
      </c>
      <c r="M616" s="19" t="n">
        <v>3415643</v>
      </c>
      <c r="N616" s="18" t="n">
        <v>3207051</v>
      </c>
      <c r="O616" s="19" t="n">
        <v>2847757</v>
      </c>
      <c r="P616" s="18" t="n">
        <v>8029139</v>
      </c>
      <c r="Q616" s="19" t="n">
        <v>6594218</v>
      </c>
      <c r="R616" s="18" t="n">
        <v>5363389</v>
      </c>
      <c r="S616" s="20" t="n">
        <v>4690774</v>
      </c>
      <c r="T616" s="6" t="n">
        <v>2</v>
      </c>
      <c r="U616" s="5" t="inlineStr">
        <is>
          <t>드라마 T / 25.07.18 / 27.01.29 | 드라마 E / 24.12.01 / 26.07.31</t>
        </is>
      </c>
      <c r="V616" s="21">
        <f>HYPERLINK("https://dart.fss.or.kr/dsaf001/main.do?rcpNo=20260814003090", "공시열람")</f>
        <v/>
      </c>
    </row>
    <row r="617">
      <c r="A617" s="5" t="inlineStr">
        <is>
          <t>유바이오로직스</t>
        </is>
      </c>
      <c r="B617" s="6" t="inlineStr">
        <is>
          <t>206650</t>
        </is>
      </c>
      <c r="C617" s="6" t="inlineStr">
        <is>
          <t>2026Q2</t>
        </is>
      </c>
      <c r="D617" s="6" t="inlineStr">
        <is>
          <t>20260813</t>
        </is>
      </c>
      <c r="E617" s="16" t="n">
        <v>108523</v>
      </c>
      <c r="F617" s="16" t="n">
        <v>35411</v>
      </c>
      <c r="G617" s="16" t="n">
        <v>73112</v>
      </c>
      <c r="H617" s="6" t="inlineStr">
        <is>
          <t>만도즈,천달러</t>
        </is>
      </c>
      <c r="I617" s="17" t="n">
        <v>-22.4</v>
      </c>
      <c r="J617" s="18" t="n">
        <v>52725</v>
      </c>
      <c r="K617" s="19" t="n">
        <v>79171</v>
      </c>
      <c r="L617" s="18" t="n">
        <v>53201</v>
      </c>
      <c r="M617" s="19" t="n">
        <v>30559</v>
      </c>
      <c r="N617" s="18" t="n">
        <v>78805</v>
      </c>
      <c r="O617" s="19" t="n">
        <v>72151</v>
      </c>
      <c r="P617" s="18" t="n">
        <v>46905</v>
      </c>
      <c r="Q617" s="19" t="n">
        <v>32995</v>
      </c>
      <c r="R617" s="18" t="n">
        <v>94188</v>
      </c>
      <c r="S617" s="20" t="n">
        <v>73112</v>
      </c>
      <c r="T617" s="6" t="n">
        <v>2</v>
      </c>
      <c r="U617" s="5" t="inlineStr">
        <is>
          <t>유비콜-플러스/ 유비콜-에스 / 2026.01.01 / | 유비콜 / 2026.01.01 / 2026.12.31</t>
        </is>
      </c>
      <c r="V617" s="21">
        <f>HYPERLINK("https://dart.fss.or.kr/dsaf001/main.do?rcpNo=20260813001113", "공시열람")</f>
        <v/>
      </c>
    </row>
    <row r="618">
      <c r="A618" s="5" t="inlineStr">
        <is>
          <t>에이펙스인텍</t>
        </is>
      </c>
      <c r="B618" s="6" t="inlineStr">
        <is>
          <t>207490</t>
        </is>
      </c>
      <c r="C618" s="6" t="inlineStr">
        <is>
          <t>2025Q4</t>
        </is>
      </c>
      <c r="D618" s="6" t="inlineStr">
        <is>
          <t>20260318</t>
        </is>
      </c>
      <c r="E618" s="16" t="n">
        <v>33365</v>
      </c>
      <c r="F618" s="16" t="n">
        <v>2105</v>
      </c>
      <c r="G618" s="16" t="n">
        <v>31259</v>
      </c>
      <c r="H618" s="6" t="inlineStr">
        <is>
          <t>EA,백만원</t>
        </is>
      </c>
      <c r="I618" s="17" t="n">
        <v>376</v>
      </c>
      <c r="J618" s="18" t="inlineStr"/>
      <c r="K618" s="19" t="inlineStr"/>
      <c r="L618" s="18" t="inlineStr"/>
      <c r="M618" s="19" t="n">
        <v>6567</v>
      </c>
      <c r="N618" s="18" t="inlineStr"/>
      <c r="O618" s="19" t="inlineStr"/>
      <c r="P618" s="18" t="inlineStr"/>
      <c r="Q618" s="19" t="n">
        <v>31259</v>
      </c>
      <c r="R618" s="18" t="inlineStr"/>
      <c r="S618" s="20" t="inlineStr"/>
      <c r="T618" s="6" t="n">
        <v>12</v>
      </c>
      <c r="U618" s="5" t="inlineStr">
        <is>
          <t>태양광발전장치 / ~2026.02.27 / ~2027. | 터널등 / ~2026.02.27 / ~2026.10.3 | 세대등 / ~2026.02.27 / ~2026.04.1</t>
        </is>
      </c>
      <c r="V618" s="21">
        <f>HYPERLINK("https://dart.fss.or.kr/dsaf001/main.do?rcpNo=20260318000509", "공시열람")</f>
        <v/>
      </c>
    </row>
    <row r="619">
      <c r="A619" s="5" t="inlineStr">
        <is>
          <t>삼성바이오로직스</t>
        </is>
      </c>
      <c r="B619" s="6" t="inlineStr">
        <is>
          <t>207940</t>
        </is>
      </c>
      <c r="C619" s="6" t="inlineStr">
        <is>
          <t>2026Q2</t>
        </is>
      </c>
      <c r="D619" s="6" t="inlineStr">
        <is>
          <t>20260814</t>
        </is>
      </c>
      <c r="E619" s="16" t="n">
        <v>45981</v>
      </c>
      <c r="F619" s="16" t="n">
        <v>23532</v>
      </c>
      <c r="G619" s="16" t="n">
        <v>22449</v>
      </c>
      <c r="H619" s="6" t="inlineStr">
        <is>
          <t>백만달러</t>
        </is>
      </c>
      <c r="I619" s="17" t="n">
        <v>-4</v>
      </c>
      <c r="J619" s="18" t="n">
        <v>18629</v>
      </c>
      <c r="K619" s="19" t="n">
        <v>18808</v>
      </c>
      <c r="L619" s="18" t="n">
        <v>19055</v>
      </c>
      <c r="M619" s="19" t="n">
        <v>21002</v>
      </c>
      <c r="N619" s="18" t="n">
        <v>21893</v>
      </c>
      <c r="O619" s="19" t="n">
        <v>22236</v>
      </c>
      <c r="P619" s="18" t="n">
        <v>23273</v>
      </c>
      <c r="Q619" s="19" t="n">
        <v>24136</v>
      </c>
      <c r="R619" s="18" t="n">
        <v>23378</v>
      </c>
      <c r="S619" s="20" t="n">
        <v>22449</v>
      </c>
      <c r="T619" s="6" t="n">
        <v>2</v>
      </c>
      <c r="U619" s="5" t="inlineStr">
        <is>
          <t>CDMO / 항체의약품 / 2015년~(계약별상이) | CDMO / 항체의약품 / 2015년~(계약별상이)</t>
        </is>
      </c>
      <c r="V619" s="21">
        <f>HYPERLINK("https://dart.fss.or.kr/dsaf001/main.do?rcpNo=20260814003375", "공시열람")</f>
        <v/>
      </c>
    </row>
    <row r="620">
      <c r="A620" s="5" t="inlineStr">
        <is>
          <t>이비테크</t>
        </is>
      </c>
      <c r="B620" s="6" t="inlineStr">
        <is>
          <t>208850</t>
        </is>
      </c>
      <c r="C620" s="6" t="inlineStr">
        <is>
          <t>2025Q4</t>
        </is>
      </c>
      <c r="D620" s="6" t="inlineStr">
        <is>
          <t>20260319</t>
        </is>
      </c>
      <c r="E620" s="16" t="n">
        <v>5176</v>
      </c>
      <c r="F620" s="16" t="n">
        <v>1831</v>
      </c>
      <c r="G620" s="16" t="n">
        <v>3345</v>
      </c>
      <c r="H620" s="6" t="inlineStr">
        <is>
          <t>백만원</t>
        </is>
      </c>
      <c r="I620" s="17" t="n">
        <v>0</v>
      </c>
      <c r="J620" s="18" t="inlineStr"/>
      <c r="K620" s="19" t="inlineStr"/>
      <c r="L620" s="18" t="inlineStr"/>
      <c r="M620" s="19" t="n">
        <v>3344</v>
      </c>
      <c r="N620" s="18" t="inlineStr"/>
      <c r="O620" s="19" t="inlineStr"/>
      <c r="P620" s="18" t="inlineStr"/>
      <c r="Q620" s="19" t="n">
        <v>3345</v>
      </c>
      <c r="R620" s="18" t="inlineStr"/>
      <c r="S620" s="20" t="inlineStr"/>
      <c r="T620" s="6" t="n">
        <v>3</v>
      </c>
      <c r="U620" s="5" t="inlineStr">
        <is>
          <t>전자가속기 / 25.06.04 / 26.06.30 | 전자가속기 / 25.09.11 / 26.12.10 | 전자가속기 / 25.06.04 / 26.04.30</t>
        </is>
      </c>
      <c r="V620" s="21">
        <f>HYPERLINK("https://dart.fss.or.kr/dsaf001/main.do?rcpNo=20260319001155", "공시열람")</f>
        <v/>
      </c>
    </row>
    <row r="621">
      <c r="A621" s="5" t="inlineStr">
        <is>
          <t>와이제이링크</t>
        </is>
      </c>
      <c r="B621" s="6" t="inlineStr">
        <is>
          <t>209640</t>
        </is>
      </c>
      <c r="C621" s="6" t="inlineStr">
        <is>
          <t>2026Q2</t>
        </is>
      </c>
      <c r="D621" s="6" t="inlineStr">
        <is>
          <t>20260814</t>
        </is>
      </c>
      <c r="E621" s="16" t="n">
        <v>4140</v>
      </c>
      <c r="F621" s="16" t="inlineStr"/>
      <c r="G621" s="16" t="n">
        <v>4140</v>
      </c>
      <c r="H621" s="6" t="inlineStr">
        <is>
          <t>백만원</t>
        </is>
      </c>
      <c r="I621" s="17" t="n">
        <v>0</v>
      </c>
      <c r="J621" s="18" t="inlineStr"/>
      <c r="K621" s="19" t="inlineStr"/>
      <c r="L621" s="18" t="inlineStr"/>
      <c r="M621" s="19" t="inlineStr"/>
      <c r="N621" s="18" t="inlineStr"/>
      <c r="O621" s="19" t="inlineStr"/>
      <c r="P621" s="18" t="inlineStr"/>
      <c r="Q621" s="19" t="inlineStr"/>
      <c r="R621" s="18" t="n">
        <v>4140</v>
      </c>
      <c r="S621" s="20" t="n">
        <v>4140</v>
      </c>
      <c r="T621" s="6" t="n">
        <v>1</v>
      </c>
      <c r="U621" s="5" t="inlineStr">
        <is>
          <t>SMT Full Line / 2026.03.12 / 2</t>
        </is>
      </c>
      <c r="V621" s="21">
        <f>HYPERLINK("https://dart.fss.or.kr/dsaf001/main.do?rcpNo=20260814000588", "공시열람")</f>
        <v/>
      </c>
    </row>
    <row r="622">
      <c r="A622" s="5" t="inlineStr">
        <is>
          <t>SK디앤디</t>
        </is>
      </c>
      <c r="B622" s="6" t="inlineStr">
        <is>
          <t>210980</t>
        </is>
      </c>
      <c r="C622" s="6" t="inlineStr">
        <is>
          <t>2026Q2</t>
        </is>
      </c>
      <c r="D622" s="6" t="inlineStr">
        <is>
          <t>20260814</t>
        </is>
      </c>
      <c r="E622" s="16" t="n">
        <v>784189</v>
      </c>
      <c r="F622" s="16" t="n">
        <v>595180</v>
      </c>
      <c r="G622" s="16" t="n">
        <v>189009</v>
      </c>
      <c r="H622" s="6" t="inlineStr">
        <is>
          <t>백만원</t>
        </is>
      </c>
      <c r="I622" s="17" t="n">
        <v>-22.8</v>
      </c>
      <c r="J622" s="18" t="n">
        <v>661437</v>
      </c>
      <c r="K622" s="19" t="n">
        <v>625905</v>
      </c>
      <c r="L622" s="18" t="n">
        <v>588265</v>
      </c>
      <c r="M622" s="19" t="n">
        <v>523296</v>
      </c>
      <c r="N622" s="18" t="n">
        <v>447908</v>
      </c>
      <c r="O622" s="19" t="n">
        <v>380744</v>
      </c>
      <c r="P622" s="18" t="n">
        <v>288902</v>
      </c>
      <c r="Q622" s="19" t="n">
        <v>226290</v>
      </c>
      <c r="R622" s="18" t="n">
        <v>244863</v>
      </c>
      <c r="S622" s="20" t="n">
        <v>189009</v>
      </c>
      <c r="T622" s="6" t="n">
        <v>7</v>
      </c>
      <c r="U622" s="5" t="inlineStr">
        <is>
          <t>에스케이디앤디㈜ / 구로 생각공장(분양사업) / 지식산 | 에스케이디앤디㈜ / ㈜군포복합개발피에프브이 / 군포역  | 디앤디프라퍼티솔루션㈜ / 지에스건설㈜ / 과천4단지 프</t>
        </is>
      </c>
      <c r="V622" s="21">
        <f>HYPERLINK("https://dart.fss.or.kr/dsaf001/main.do?rcpNo=20260814002026", "공시열람")</f>
        <v/>
      </c>
    </row>
    <row r="623">
      <c r="A623" s="5" t="inlineStr">
        <is>
          <t>AP위성</t>
        </is>
      </c>
      <c r="B623" s="6" t="inlineStr">
        <is>
          <t>211270</t>
        </is>
      </c>
      <c r="C623" s="6" t="inlineStr">
        <is>
          <t>2026Q2</t>
        </is>
      </c>
      <c r="D623" s="6" t="inlineStr">
        <is>
          <t>20260814</t>
        </is>
      </c>
      <c r="E623" s="16" t="inlineStr"/>
      <c r="F623" s="16" t="inlineStr"/>
      <c r="G623" s="16" t="n">
        <v>24927574</v>
      </c>
      <c r="H623" s="6" t="inlineStr">
        <is>
          <t>천원</t>
        </is>
      </c>
      <c r="I623" s="17" t="n">
        <v>-99.90000000000001</v>
      </c>
      <c r="J623" s="18" t="n">
        <v>54705110601</v>
      </c>
      <c r="K623" s="19" t="n">
        <v>53090488</v>
      </c>
      <c r="L623" s="18" t="n">
        <v>49607096</v>
      </c>
      <c r="M623" s="19" t="n">
        <v>36549611692</v>
      </c>
      <c r="N623" s="18" t="n">
        <v>36234566812</v>
      </c>
      <c r="O623" s="19" t="n">
        <v>28214042018</v>
      </c>
      <c r="P623" s="18" t="n">
        <v>25271360583</v>
      </c>
      <c r="Q623" s="19" t="n">
        <v>24927573793</v>
      </c>
      <c r="R623" s="18" t="n">
        <v>24288135783</v>
      </c>
      <c r="S623" s="20" t="n">
        <v>24927574</v>
      </c>
      <c r="T623" s="6" t="n">
        <v>1</v>
      </c>
      <c r="U623" s="5" t="inlineStr">
        <is>
          <t>위성제조 및 서비스 솔루션</t>
        </is>
      </c>
      <c r="V623" s="21">
        <f>HYPERLINK("https://dart.fss.or.kr/dsaf001/main.do?rcpNo=20260814000726", "공시열람")</f>
        <v/>
      </c>
    </row>
    <row r="624">
      <c r="A624" s="5" t="inlineStr">
        <is>
          <t>네오오토</t>
        </is>
      </c>
      <c r="B624" s="6" t="inlineStr">
        <is>
          <t>212560</t>
        </is>
      </c>
      <c r="C624" s="6" t="inlineStr">
        <is>
          <t>2026Q2</t>
        </is>
      </c>
      <c r="D624" s="6" t="inlineStr">
        <is>
          <t>20260814</t>
        </is>
      </c>
      <c r="E624" s="16" t="n">
        <v>3279643</v>
      </c>
      <c r="F624" s="16" t="n">
        <v>2324758</v>
      </c>
      <c r="G624" s="16" t="n">
        <v>954885</v>
      </c>
      <c r="H624" s="6" t="inlineStr">
        <is>
          <t>천만EA,백만원</t>
        </is>
      </c>
      <c r="I624" s="17" t="n">
        <v>-6.2</v>
      </c>
      <c r="J624" s="18" t="n">
        <v>864474</v>
      </c>
      <c r="K624" s="19" t="n">
        <v>866926</v>
      </c>
      <c r="L624" s="18" t="n">
        <v>821804</v>
      </c>
      <c r="M624" s="19" t="n">
        <v>781171</v>
      </c>
      <c r="N624" s="18" t="n">
        <v>1050712</v>
      </c>
      <c r="O624" s="19" t="n">
        <v>1005816</v>
      </c>
      <c r="P624" s="18" t="n">
        <v>960804</v>
      </c>
      <c r="Q624" s="19" t="n">
        <v>1068893</v>
      </c>
      <c r="R624" s="18" t="n">
        <v>1017701</v>
      </c>
      <c r="S624" s="20" t="n">
        <v>954885</v>
      </c>
      <c r="T624" s="6" t="n">
        <v>4</v>
      </c>
      <c r="U624" s="5" t="inlineStr">
        <is>
          <t>대형기어 등 / 수시 | 피니언기어 / 수시 | EV감속기 부품 / 수시</t>
        </is>
      </c>
      <c r="V624" s="21">
        <f>HYPERLINK("https://dart.fss.or.kr/dsaf001/main.do?rcpNo=20260814003021", "공시열람")</f>
        <v/>
      </c>
    </row>
    <row r="625">
      <c r="A625" s="5" t="inlineStr">
        <is>
          <t>아이에스티이</t>
        </is>
      </c>
      <c r="B625" s="6" t="inlineStr">
        <is>
          <t>212710</t>
        </is>
      </c>
      <c r="C625" s="6" t="inlineStr">
        <is>
          <t>2026Q2</t>
        </is>
      </c>
      <c r="D625" s="6" t="inlineStr">
        <is>
          <t>20260813</t>
        </is>
      </c>
      <c r="E625" s="16" t="n">
        <v>78512982</v>
      </c>
      <c r="F625" s="16" t="n">
        <v>37177803</v>
      </c>
      <c r="G625" s="16" t="n">
        <v>41396058</v>
      </c>
      <c r="H625" s="6" t="inlineStr">
        <is>
          <t>천원</t>
        </is>
      </c>
      <c r="I625" s="17" t="n">
        <v>39.7</v>
      </c>
      <c r="J625" s="18" t="inlineStr"/>
      <c r="K625" s="19" t="inlineStr"/>
      <c r="L625" s="18" t="inlineStr"/>
      <c r="M625" s="19" t="n">
        <v>15112708</v>
      </c>
      <c r="N625" s="18" t="n">
        <v>10914655</v>
      </c>
      <c r="O625" s="19" t="n">
        <v>12417596</v>
      </c>
      <c r="P625" s="18" t="n">
        <v>18481004</v>
      </c>
      <c r="Q625" s="19" t="n">
        <v>15731110</v>
      </c>
      <c r="R625" s="18" t="n">
        <v>29622929</v>
      </c>
      <c r="S625" s="20" t="n">
        <v>41396058</v>
      </c>
      <c r="T625" s="6" t="n">
        <v>4</v>
      </c>
      <c r="U625" s="5" t="inlineStr">
        <is>
          <t>에너지사업(EPC) / 23.09~26.06 / 24. | FOUP Cleaner(반도체장비) / 25.11 ~2 | Automation(반도체장비) / 26.01~26.0</t>
        </is>
      </c>
      <c r="V625" s="21">
        <f>HYPERLINK("https://dart.fss.or.kr/dsaf001/main.do?rcpNo=20260813000001", "공시열람")</f>
        <v/>
      </c>
    </row>
    <row r="626">
      <c r="A626" s="5" t="inlineStr">
        <is>
          <t>덕산네오룩스</t>
        </is>
      </c>
      <c r="B626" s="6" t="inlineStr">
        <is>
          <t>213420</t>
        </is>
      </c>
      <c r="C626" s="6" t="inlineStr">
        <is>
          <t>2026Q2</t>
        </is>
      </c>
      <c r="D626" s="6" t="inlineStr">
        <is>
          <t>20260813</t>
        </is>
      </c>
      <c r="E626" s="16" t="n">
        <v>432215</v>
      </c>
      <c r="F626" s="16" t="n">
        <v>40622</v>
      </c>
      <c r="G626" s="16" t="n">
        <v>391593</v>
      </c>
      <c r="H626" s="6" t="inlineStr">
        <is>
          <t>백만원</t>
        </is>
      </c>
      <c r="I626" s="17" t="n">
        <v>16.4</v>
      </c>
      <c r="J626" s="18" t="n">
        <v>6744007.61</v>
      </c>
      <c r="K626" s="19" t="n">
        <v>7685961.460000001</v>
      </c>
      <c r="L626" s="18" t="n">
        <v>8222733.34</v>
      </c>
      <c r="M626" s="19" t="n">
        <v>8793023.969999999</v>
      </c>
      <c r="N626" s="18" t="n">
        <v>2462</v>
      </c>
      <c r="O626" s="19" t="n">
        <v>263706</v>
      </c>
      <c r="P626" s="18" t="n">
        <v>309218</v>
      </c>
      <c r="Q626" s="19" t="n">
        <v>266727</v>
      </c>
      <c r="R626" s="18" t="n">
        <v>336403</v>
      </c>
      <c r="S626" s="20" t="n">
        <v>391593</v>
      </c>
      <c r="T626" s="6" t="n">
        <v>1</v>
      </c>
      <c r="U626" s="5" t="inlineStr">
        <is>
          <t>펌프 및 압축기 / -</t>
        </is>
      </c>
      <c r="V626" s="21">
        <f>HYPERLINK("https://dart.fss.or.kr/dsaf001/main.do?rcpNo=20260813001263", "공시열람")</f>
        <v/>
      </c>
    </row>
    <row r="627">
      <c r="A627" s="5" t="inlineStr">
        <is>
          <t>한솔제지</t>
        </is>
      </c>
      <c r="B627" s="6" t="inlineStr">
        <is>
          <t>213500</t>
        </is>
      </c>
      <c r="C627" s="6" t="inlineStr">
        <is>
          <t>2026Q2</t>
        </is>
      </c>
      <c r="D627" s="6" t="inlineStr">
        <is>
          <t>20260813</t>
        </is>
      </c>
      <c r="E627" s="16" t="n">
        <v>575053</v>
      </c>
      <c r="F627" s="16" t="n">
        <v>327879</v>
      </c>
      <c r="G627" s="16" t="n">
        <v>247174</v>
      </c>
      <c r="H627" s="6" t="inlineStr">
        <is>
          <t>백만원</t>
        </is>
      </c>
      <c r="I627" s="17" t="n">
        <v>9.800000000000001</v>
      </c>
      <c r="J627" s="18" t="n">
        <v>217440</v>
      </c>
      <c r="K627" s="19" t="n">
        <v>214253</v>
      </c>
      <c r="L627" s="18" t="n">
        <v>222835</v>
      </c>
      <c r="M627" s="19" t="n">
        <v>270449</v>
      </c>
      <c r="N627" s="18" t="n">
        <v>347172</v>
      </c>
      <c r="O627" s="19" t="n">
        <v>309523</v>
      </c>
      <c r="P627" s="18" t="n">
        <v>292405</v>
      </c>
      <c r="Q627" s="19" t="n">
        <v>246809</v>
      </c>
      <c r="R627" s="18" t="n">
        <v>225032</v>
      </c>
      <c r="S627" s="20" t="n">
        <v>247174</v>
      </c>
      <c r="T627" s="6" t="n">
        <v>16</v>
      </c>
      <c r="U627" s="5" t="inlineStr">
        <is>
          <t>에티오피아 관개사업 / 2023-12-20 / 2028 | 모잠비크 마푸토 매립장 / 2025-02-28 / 20 | 케냐 지능형 교통망 / 2024-12-05 / 2027</t>
        </is>
      </c>
      <c r="V627" s="21">
        <f>HYPERLINK("https://dart.fss.or.kr/dsaf001/main.do?rcpNo=20260813001710", "공시열람")</f>
        <v/>
      </c>
    </row>
    <row r="628">
      <c r="A628" s="5" t="inlineStr">
        <is>
          <t>아이쓰리시스템</t>
        </is>
      </c>
      <c r="B628" s="6" t="inlineStr">
        <is>
          <t>214430</t>
        </is>
      </c>
      <c r="C628" s="6" t="inlineStr">
        <is>
          <t>2026Q2</t>
        </is>
      </c>
      <c r="D628" s="6" t="inlineStr">
        <is>
          <t>20260813</t>
        </is>
      </c>
      <c r="E628" s="16" t="n">
        <v>455931</v>
      </c>
      <c r="F628" s="16" t="n">
        <v>359576</v>
      </c>
      <c r="G628" s="16" t="n">
        <v>96355</v>
      </c>
      <c r="H628" s="6" t="inlineStr">
        <is>
          <t>백만원</t>
        </is>
      </c>
      <c r="I628" s="17" t="n">
        <v>-11.9</v>
      </c>
      <c r="J628" s="18" t="n">
        <v>63981</v>
      </c>
      <c r="K628" s="19" t="n">
        <v>62078</v>
      </c>
      <c r="L628" s="18" t="n">
        <v>72822</v>
      </c>
      <c r="M628" s="19" t="n">
        <v>80834</v>
      </c>
      <c r="N628" s="18" t="n">
        <v>122969</v>
      </c>
      <c r="O628" s="19" t="n">
        <v>113230</v>
      </c>
      <c r="P628" s="18" t="n">
        <v>118585</v>
      </c>
      <c r="Q628" s="19" t="n">
        <v>119557</v>
      </c>
      <c r="R628" s="18" t="n">
        <v>109360</v>
      </c>
      <c r="S628" s="20" t="n">
        <v>96355</v>
      </c>
      <c r="T628" s="6" t="n">
        <v>18</v>
      </c>
      <c r="U628" s="5" t="inlineStr">
        <is>
          <t>보병용 중거리 유도무기(현궁) 3차 양산 / 2020- | K1E1 포수조준경 기술변경 KGPS Ⅱ형 / 2022 | 천검 소형 무장헬기 / 2023-09-15 / 2028</t>
        </is>
      </c>
      <c r="V628" s="21">
        <f>HYPERLINK("https://dart.fss.or.kr/dsaf001/main.do?rcpNo=20260813000390", "공시열람")</f>
        <v/>
      </c>
    </row>
    <row r="629">
      <c r="A629" s="5" t="inlineStr">
        <is>
          <t>솔디펜스</t>
        </is>
      </c>
      <c r="B629" s="6" t="inlineStr">
        <is>
          <t>215090</t>
        </is>
      </c>
      <c r="C629" s="6" t="inlineStr">
        <is>
          <t>2026Q2</t>
        </is>
      </c>
      <c r="D629" s="6" t="inlineStr">
        <is>
          <t>20260814</t>
        </is>
      </c>
      <c r="E629" s="16" t="n">
        <v>52388267</v>
      </c>
      <c r="F629" s="16" t="n">
        <v>15093502</v>
      </c>
      <c r="G629" s="16" t="n">
        <v>37294765</v>
      </c>
      <c r="H629" s="6" t="inlineStr">
        <is>
          <t>천원</t>
        </is>
      </c>
      <c r="I629" s="17" t="n">
        <v>-1</v>
      </c>
      <c r="J629" s="18" t="n">
        <v>30614392</v>
      </c>
      <c r="K629" s="19" t="n">
        <v>24226446</v>
      </c>
      <c r="L629" s="18" t="n">
        <v>31226459</v>
      </c>
      <c r="M629" s="19" t="n">
        <v>28759657</v>
      </c>
      <c r="N629" s="18" t="n">
        <v>25895253</v>
      </c>
      <c r="O629" s="19" t="n">
        <v>22696599</v>
      </c>
      <c r="P629" s="18" t="n">
        <v>32107443</v>
      </c>
      <c r="Q629" s="19" t="n">
        <v>33940394</v>
      </c>
      <c r="R629" s="18" t="n">
        <v>37686787</v>
      </c>
      <c r="S629" s="20" t="n">
        <v>37294765</v>
      </c>
      <c r="T629" s="6" t="n">
        <v>4</v>
      </c>
      <c r="U629" s="5" t="inlineStr">
        <is>
          <t>유도무기 / - | 항공전자 / - | 방산기타 / -</t>
        </is>
      </c>
      <c r="V629" s="21">
        <f>HYPERLINK("https://dart.fss.or.kr/dsaf001/main.do?rcpNo=20260814003515", "공시열람")</f>
        <v/>
      </c>
    </row>
    <row r="630">
      <c r="A630" s="5" t="inlineStr">
        <is>
          <t>콜마바이오텍</t>
        </is>
      </c>
      <c r="B630" s="6" t="inlineStr">
        <is>
          <t>215380</t>
        </is>
      </c>
      <c r="C630" s="6" t="inlineStr">
        <is>
          <t>2026Q2</t>
        </is>
      </c>
      <c r="D630" s="6" t="inlineStr">
        <is>
          <t>20260814</t>
        </is>
      </c>
      <c r="E630" s="16" t="n">
        <v>29206</v>
      </c>
      <c r="F630" s="16" t="n">
        <v>18796</v>
      </c>
      <c r="G630" s="16" t="n">
        <v>10410</v>
      </c>
      <c r="H630" s="6" t="inlineStr">
        <is>
          <t>백만원</t>
        </is>
      </c>
      <c r="I630" s="17" t="n">
        <v>-12.4</v>
      </c>
      <c r="J630" s="18" t="n">
        <v>17321</v>
      </c>
      <c r="K630" s="19" t="n">
        <v>10730</v>
      </c>
      <c r="L630" s="18" t="n">
        <v>10909</v>
      </c>
      <c r="M630" s="19" t="n">
        <v>15561</v>
      </c>
      <c r="N630" s="18" t="n">
        <v>11003</v>
      </c>
      <c r="O630" s="19" t="n">
        <v>13614</v>
      </c>
      <c r="P630" s="18" t="n">
        <v>14070</v>
      </c>
      <c r="Q630" s="19" t="n">
        <v>10995</v>
      </c>
      <c r="R630" s="18" t="n">
        <v>11881</v>
      </c>
      <c r="S630" s="20" t="n">
        <v>10410</v>
      </c>
      <c r="T630" s="6" t="n">
        <v>4</v>
      </c>
      <c r="U630" s="5" t="inlineStr">
        <is>
          <t>건축 및 장비 | 실험연구 및 대행 | 유지보수 및 멸균용역</t>
        </is>
      </c>
      <c r="V630" s="21">
        <f>HYPERLINK("https://dart.fss.or.kr/dsaf001/main.do?rcpNo=20260814002175", "공시열람")</f>
        <v/>
      </c>
    </row>
    <row r="631">
      <c r="A631" s="5" t="inlineStr">
        <is>
          <t>크로넥스</t>
        </is>
      </c>
      <c r="B631" s="6" t="inlineStr">
        <is>
          <t>215570</t>
        </is>
      </c>
      <c r="C631" s="6" t="inlineStr">
        <is>
          <t>2025Q4</t>
        </is>
      </c>
      <c r="D631" s="6" t="inlineStr">
        <is>
          <t>20260709</t>
        </is>
      </c>
      <c r="E631" s="16" t="n">
        <v>461300000</v>
      </c>
      <c r="F631" s="16" t="n">
        <v>224506234</v>
      </c>
      <c r="G631" s="16" t="n">
        <v>236793766</v>
      </c>
      <c r="H631" s="6" t="inlineStr">
        <is>
          <t>원</t>
        </is>
      </c>
      <c r="I631" s="17" t="n">
        <v>-43.4</v>
      </c>
      <c r="J631" s="18" t="inlineStr"/>
      <c r="K631" s="19" t="inlineStr"/>
      <c r="L631" s="18" t="inlineStr"/>
      <c r="M631" s="19" t="n">
        <v>418054812</v>
      </c>
      <c r="N631" s="18" t="inlineStr"/>
      <c r="O631" s="19" t="inlineStr"/>
      <c r="P631" s="18" t="inlineStr"/>
      <c r="Q631" s="19" t="n">
        <v>236793766</v>
      </c>
      <c r="R631" s="18" t="inlineStr"/>
      <c r="S631" s="20" t="inlineStr"/>
      <c r="T631" s="6" t="n">
        <v>4</v>
      </c>
      <c r="U631" s="5" t="inlineStr">
        <is>
          <t>용역매출 / 2025-12-04 / 2026-01-31 | 용역매출 / 2025-08-13 / 2026-01-07 | 용역매출 / 2025-12-15 / 2026-01-19</t>
        </is>
      </c>
      <c r="V631" s="21">
        <f>HYPERLINK("https://dart.fss.or.kr/dsaf001/main.do?rcpNo=20260709000504", "공시열람")</f>
        <v/>
      </c>
    </row>
    <row r="632">
      <c r="A632" s="5" t="inlineStr">
        <is>
          <t>인바이츠바이오코아</t>
        </is>
      </c>
      <c r="B632" s="6" t="inlineStr">
        <is>
          <t>216400</t>
        </is>
      </c>
      <c r="C632" s="6" t="inlineStr">
        <is>
          <t>2025Q4</t>
        </is>
      </c>
      <c r="D632" s="6" t="inlineStr">
        <is>
          <t>20260612</t>
        </is>
      </c>
      <c r="E632" s="16" t="n">
        <v>33647452</v>
      </c>
      <c r="F632" s="16" t="n">
        <v>24653698</v>
      </c>
      <c r="G632" s="16" t="n">
        <v>8993754</v>
      </c>
      <c r="H632" s="6" t="inlineStr">
        <is>
          <t>천원</t>
        </is>
      </c>
      <c r="I632" s="17" t="n">
        <v>2.5</v>
      </c>
      <c r="J632" s="18" t="inlineStr"/>
      <c r="K632" s="19" t="inlineStr"/>
      <c r="L632" s="18" t="inlineStr"/>
      <c r="M632" s="19" t="n">
        <v>8772680</v>
      </c>
      <c r="N632" s="18" t="inlineStr"/>
      <c r="O632" s="19" t="inlineStr"/>
      <c r="P632" s="18" t="inlineStr"/>
      <c r="Q632" s="19" t="n">
        <v>8993754</v>
      </c>
      <c r="R632" s="18" t="inlineStr"/>
      <c r="S632" s="20" t="inlineStr"/>
      <c r="T632" s="6" t="n">
        <v>3</v>
      </c>
      <c r="U632" s="5" t="inlineStr">
        <is>
          <t>임상시험 / 2025.12.31~ | 생동성시험 / 2025.12.31~ | 분석시험 / 2025.12.31~</t>
        </is>
      </c>
      <c r="V632" s="21">
        <f>HYPERLINK("https://dart.fss.or.kr/dsaf001/main.do?rcpNo=20260612000200", "공시열람")</f>
        <v/>
      </c>
    </row>
    <row r="633">
      <c r="A633" s="5" t="inlineStr">
        <is>
          <t>제너셈</t>
        </is>
      </c>
      <c r="B633" s="6" t="inlineStr">
        <is>
          <t>217190</t>
        </is>
      </c>
      <c r="C633" s="6" t="inlineStr">
        <is>
          <t>2026Q2</t>
        </is>
      </c>
      <c r="D633" s="6" t="inlineStr">
        <is>
          <t>20260813</t>
        </is>
      </c>
      <c r="E633" s="16" t="inlineStr"/>
      <c r="F633" s="16" t="inlineStr"/>
      <c r="G633" s="16" t="n">
        <v>74916</v>
      </c>
      <c r="H633" s="6" t="inlineStr">
        <is>
          <t>백만원</t>
        </is>
      </c>
      <c r="I633" s="17" t="n">
        <v>76.40000000000001</v>
      </c>
      <c r="J633" s="18" t="n">
        <v>42067</v>
      </c>
      <c r="K633" s="19" t="n">
        <v>26473</v>
      </c>
      <c r="L633" s="18" t="n">
        <v>23179</v>
      </c>
      <c r="M633" s="19" t="n">
        <v>22357</v>
      </c>
      <c r="N633" s="18" t="n">
        <v>41411</v>
      </c>
      <c r="O633" s="19" t="n">
        <v>29993</v>
      </c>
      <c r="P633" s="18" t="n">
        <v>21150</v>
      </c>
      <c r="Q633" s="19" t="n">
        <v>28650</v>
      </c>
      <c r="R633" s="18" t="n">
        <v>42460</v>
      </c>
      <c r="S633" s="20" t="n">
        <v>74916</v>
      </c>
      <c r="T633" s="6" t="n">
        <v>1</v>
      </c>
      <c r="U633" s="5" t="inlineStr">
        <is>
          <t>반도체 후공정 장비 외 / ~2026.06.30</t>
        </is>
      </c>
      <c r="V633" s="21">
        <f>HYPERLINK("https://dart.fss.or.kr/dsaf001/main.do?rcpNo=20260813000859", "공시열람")</f>
        <v/>
      </c>
    </row>
    <row r="634">
      <c r="A634" s="5" t="inlineStr">
        <is>
          <t>썬테크</t>
        </is>
      </c>
      <c r="B634" s="6" t="inlineStr">
        <is>
          <t>217320</t>
        </is>
      </c>
      <c r="C634" s="6" t="inlineStr">
        <is>
          <t>2024Q4</t>
        </is>
      </c>
      <c r="D634" s="6" t="inlineStr">
        <is>
          <t>20250317</t>
        </is>
      </c>
      <c r="E634" s="16" t="n">
        <v>14674</v>
      </c>
      <c r="F634" s="16" t="n">
        <v>4189</v>
      </c>
      <c r="G634" s="16" t="n">
        <v>10485</v>
      </c>
      <c r="H634" s="6" t="inlineStr">
        <is>
          <t>백만원</t>
        </is>
      </c>
      <c r="I634" s="17" t="n">
        <v>11.9</v>
      </c>
      <c r="J634" s="18" t="inlineStr"/>
      <c r="K634" s="19" t="inlineStr"/>
      <c r="L634" s="18" t="inlineStr"/>
      <c r="M634" s="19" t="n">
        <v>10485</v>
      </c>
      <c r="N634" s="18" t="inlineStr"/>
      <c r="O634" s="19" t="inlineStr"/>
      <c r="P634" s="18" t="inlineStr"/>
      <c r="Q634" s="19" t="inlineStr"/>
      <c r="R634" s="18" t="inlineStr"/>
      <c r="S634" s="20" t="inlineStr"/>
      <c r="T634" s="6" t="n">
        <v>90</v>
      </c>
      <c r="U634" s="5" t="inlineStr">
        <is>
          <t>제품 / 2024.12.09 / 2026.04.30 | 제품 / 2024.08.08 / 2026.06.30 | 제품 / 2024.10.18 / 2025.10.31</t>
        </is>
      </c>
      <c r="V634" s="21">
        <f>HYPERLINK("https://dart.fss.or.kr/dsaf001/main.do?rcpNo=20250317000968", "공시열람")</f>
        <v/>
      </c>
    </row>
    <row r="635">
      <c r="A635" s="5" t="inlineStr">
        <is>
          <t>러셀</t>
        </is>
      </c>
      <c r="B635" s="6" t="inlineStr">
        <is>
          <t>217500</t>
        </is>
      </c>
      <c r="C635" s="6" t="inlineStr">
        <is>
          <t>2026Q2</t>
        </is>
      </c>
      <c r="D635" s="6" t="inlineStr">
        <is>
          <t>20260814</t>
        </is>
      </c>
      <c r="E635" s="16" t="n">
        <v>32346</v>
      </c>
      <c r="F635" s="16" t="n">
        <v>11216</v>
      </c>
      <c r="G635" s="16" t="n">
        <v>21130</v>
      </c>
      <c r="H635" s="6" t="inlineStr">
        <is>
          <t>백만원</t>
        </is>
      </c>
      <c r="I635" s="17" t="n">
        <v>15.7</v>
      </c>
      <c r="J635" s="18" t="n">
        <v>8391</v>
      </c>
      <c r="K635" s="19" t="n">
        <v>8525</v>
      </c>
      <c r="L635" s="18" t="n">
        <v>5888</v>
      </c>
      <c r="M635" s="19" t="n">
        <v>4856</v>
      </c>
      <c r="N635" s="18" t="n">
        <v>2490</v>
      </c>
      <c r="O635" s="19" t="n">
        <v>5525</v>
      </c>
      <c r="P635" s="18" t="n">
        <v>5528</v>
      </c>
      <c r="Q635" s="19" t="n">
        <v>6984</v>
      </c>
      <c r="R635" s="18" t="n">
        <v>18267</v>
      </c>
      <c r="S635" s="20" t="n">
        <v>21130</v>
      </c>
      <c r="T635" s="6" t="n">
        <v>1</v>
      </c>
      <c r="U635" s="5" t="inlineStr">
        <is>
          <t xml:space="preserve">반도체 Refurbish외 / ~2026.06.30. </t>
        </is>
      </c>
      <c r="V635" s="21">
        <f>HYPERLINK("https://dart.fss.or.kr/dsaf001/main.do?rcpNo=20260814002921", "공시열람")</f>
        <v/>
      </c>
    </row>
    <row r="636">
      <c r="A636" s="5" t="inlineStr">
        <is>
          <t>티엠씨</t>
        </is>
      </c>
      <c r="B636" s="6" t="inlineStr">
        <is>
          <t>217590</t>
        </is>
      </c>
      <c r="C636" s="6" t="inlineStr">
        <is>
          <t>2026Q2</t>
        </is>
      </c>
      <c r="D636" s="6" t="inlineStr">
        <is>
          <t>20260814</t>
        </is>
      </c>
      <c r="E636" s="16" t="n">
        <v>192096</v>
      </c>
      <c r="F636" s="16" t="inlineStr"/>
      <c r="G636" s="16" t="n">
        <v>169671</v>
      </c>
      <c r="H636" s="6" t="inlineStr">
        <is>
          <t>백만원</t>
        </is>
      </c>
      <c r="I636" s="17" t="n">
        <v>47.1</v>
      </c>
      <c r="J636" s="18" t="inlineStr"/>
      <c r="K636" s="19" t="inlineStr"/>
      <c r="L636" s="18" t="inlineStr"/>
      <c r="M636" s="19" t="inlineStr"/>
      <c r="N636" s="18" t="inlineStr"/>
      <c r="O636" s="19" t="inlineStr"/>
      <c r="P636" s="18" t="n">
        <v>77857</v>
      </c>
      <c r="Q636" s="19" t="n">
        <v>57601</v>
      </c>
      <c r="R636" s="18" t="n">
        <v>115321</v>
      </c>
      <c r="S636" s="20" t="n">
        <v>169671</v>
      </c>
      <c r="T636" s="6" t="n">
        <v>1</v>
      </c>
      <c r="U636" s="5" t="inlineStr">
        <is>
          <t>선박선 및 광 케이블</t>
        </is>
      </c>
      <c r="V636" s="21">
        <f>HYPERLINK("https://dart.fss.or.kr/dsaf001/main.do?rcpNo=20260814003281", "공시열람")</f>
        <v/>
      </c>
    </row>
    <row r="637">
      <c r="A637" s="5" t="inlineStr">
        <is>
          <t>강스템바이오텍</t>
        </is>
      </c>
      <c r="B637" s="6" t="inlineStr">
        <is>
          <t>217730</t>
        </is>
      </c>
      <c r="C637" s="6" t="inlineStr">
        <is>
          <t>2024Q1</t>
        </is>
      </c>
      <c r="D637" s="6" t="inlineStr">
        <is>
          <t>20240516</t>
        </is>
      </c>
      <c r="E637" s="16" t="n">
        <v>45473</v>
      </c>
      <c r="F637" s="16" t="n">
        <v>34658</v>
      </c>
      <c r="G637" s="16" t="n">
        <v>10815</v>
      </c>
      <c r="H637" s="6" t="inlineStr">
        <is>
          <t>백만원</t>
        </is>
      </c>
      <c r="I637" s="17" t="n">
        <v>-0.1</v>
      </c>
      <c r="J637" s="18" t="n">
        <v>10815</v>
      </c>
      <c r="K637" s="19" t="inlineStr"/>
      <c r="L637" s="18" t="inlineStr"/>
      <c r="M637" s="19" t="inlineStr"/>
      <c r="N637" s="18" t="inlineStr"/>
      <c r="O637" s="19" t="inlineStr"/>
      <c r="P637" s="18" t="inlineStr"/>
      <c r="Q637" s="19" t="inlineStr"/>
      <c r="R637" s="18" t="inlineStr"/>
      <c r="S637" s="20" t="inlineStr"/>
      <c r="T637" s="6" t="n">
        <v>1</v>
      </c>
      <c r="U637" s="5" t="inlineStr">
        <is>
          <t>비임상 사업부 / 용역매출</t>
        </is>
      </c>
      <c r="V637" s="21">
        <f>HYPERLINK("https://dart.fss.or.kr/dsaf001/main.do?rcpNo=20240516000984", "공시열람")</f>
        <v/>
      </c>
    </row>
    <row r="638">
      <c r="A638" s="5" t="inlineStr">
        <is>
          <t>틸론</t>
        </is>
      </c>
      <c r="B638" s="6" t="inlineStr">
        <is>
          <t>217880</t>
        </is>
      </c>
      <c r="C638" s="6" t="inlineStr">
        <is>
          <t>2024Q1</t>
        </is>
      </c>
      <c r="D638" s="6" t="inlineStr">
        <is>
          <t>20240510</t>
        </is>
      </c>
      <c r="E638" s="16" t="n">
        <v>11203</v>
      </c>
      <c r="F638" s="16" t="inlineStr"/>
      <c r="G638" s="16" t="n">
        <v>1483</v>
      </c>
      <c r="H638" s="6" t="inlineStr">
        <is>
          <t>백만원</t>
        </is>
      </c>
      <c r="I638" s="17" t="n">
        <v>-0.6</v>
      </c>
      <c r="J638" s="18" t="n">
        <v>1483</v>
      </c>
      <c r="K638" s="19" t="inlineStr"/>
      <c r="L638" s="18" t="inlineStr"/>
      <c r="M638" s="19" t="inlineStr"/>
      <c r="N638" s="18" t="inlineStr"/>
      <c r="O638" s="19" t="inlineStr"/>
      <c r="P638" s="18" t="inlineStr"/>
      <c r="Q638" s="19" t="inlineStr"/>
      <c r="R638" s="18" t="inlineStr"/>
      <c r="S638" s="20" t="inlineStr"/>
      <c r="T638" s="6" t="n">
        <v>2</v>
      </c>
      <c r="U638" s="5" t="inlineStr">
        <is>
          <t>구독형 | 유지보수형</t>
        </is>
      </c>
      <c r="V638" s="21">
        <f>HYPERLINK("https://dart.fss.or.kr/dsaf001/main.do?rcpNo=20240510000999", "공시열람")</f>
        <v/>
      </c>
    </row>
    <row r="639">
      <c r="A639" s="5" t="inlineStr">
        <is>
          <t>RFHIC</t>
        </is>
      </c>
      <c r="B639" s="6" t="inlineStr">
        <is>
          <t>218410</t>
        </is>
      </c>
      <c r="C639" s="6" t="inlineStr">
        <is>
          <t>2024Q3</t>
        </is>
      </c>
      <c r="D639" s="6" t="inlineStr">
        <is>
          <t>20241114</t>
        </is>
      </c>
      <c r="E639" s="16" t="inlineStr"/>
      <c r="F639" s="16" t="inlineStr"/>
      <c r="G639" s="16" t="n">
        <v>59416609</v>
      </c>
      <c r="H639" s="6" t="inlineStr">
        <is>
          <t>천원</t>
        </is>
      </c>
      <c r="I639" s="17" t="n">
        <v>-10.2</v>
      </c>
      <c r="J639" s="18" t="n">
        <v>36706921</v>
      </c>
      <c r="K639" s="19" t="n">
        <v>66197388</v>
      </c>
      <c r="L639" s="18" t="n">
        <v>59416609</v>
      </c>
      <c r="M639" s="19" t="inlineStr"/>
      <c r="N639" s="18" t="inlineStr"/>
      <c r="O639" s="19" t="inlineStr"/>
      <c r="P639" s="18" t="inlineStr"/>
      <c r="Q639" s="19" t="inlineStr"/>
      <c r="R639" s="18" t="inlineStr"/>
      <c r="S639" s="20" t="inlineStr"/>
      <c r="T639" s="6" t="n">
        <v>1</v>
      </c>
      <c r="U639" s="5" t="inlineStr">
        <is>
          <t>레이더용 GaN 전력증폭기</t>
        </is>
      </c>
      <c r="V639" s="21">
        <f>HYPERLINK("https://dart.fss.or.kr/dsaf001/main.do?rcpNo=20241114000956", "공시열람")</f>
        <v/>
      </c>
    </row>
    <row r="640">
      <c r="A640" s="5" t="inlineStr">
        <is>
          <t>링크제니시스</t>
        </is>
      </c>
      <c r="B640" s="6" t="inlineStr">
        <is>
          <t>219420</t>
        </is>
      </c>
      <c r="C640" s="6" t="inlineStr">
        <is>
          <t>2026Q2</t>
        </is>
      </c>
      <c r="D640" s="6" t="inlineStr">
        <is>
          <t>20260814</t>
        </is>
      </c>
      <c r="E640" s="16" t="n">
        <v>1348</v>
      </c>
      <c r="F640" s="16" t="n">
        <v>1340</v>
      </c>
      <c r="G640" s="16" t="n">
        <v>8</v>
      </c>
      <c r="H640" s="6" t="inlineStr">
        <is>
          <t>백만원</t>
        </is>
      </c>
      <c r="I640" s="17" t="inlineStr"/>
      <c r="J640" s="18" t="inlineStr"/>
      <c r="K640" s="19" t="inlineStr"/>
      <c r="L640" s="18" t="n">
        <v>686</v>
      </c>
      <c r="M640" s="19" t="n">
        <v>0</v>
      </c>
      <c r="N640" s="18" t="n">
        <v>440</v>
      </c>
      <c r="O640" s="19" t="n">
        <v>440</v>
      </c>
      <c r="P640" s="18" t="n">
        <v>445</v>
      </c>
      <c r="Q640" s="19" t="n">
        <v>0</v>
      </c>
      <c r="R640" s="18" t="inlineStr"/>
      <c r="S640" s="20" t="n">
        <v>8</v>
      </c>
      <c r="T640" s="6" t="n">
        <v>1</v>
      </c>
      <c r="U640" s="5" t="inlineStr">
        <is>
          <t>LG전자 PO용역(1~6월) / 2026.04.22 /</t>
        </is>
      </c>
      <c r="V640" s="21">
        <f>HYPERLINK("https://dart.fss.or.kr/dsaf001/main.do?rcpNo=20260814000566", "공시열람")</f>
        <v/>
      </c>
    </row>
    <row r="641">
      <c r="A641" s="5" t="inlineStr">
        <is>
          <t>퓨쳐켐</t>
        </is>
      </c>
      <c r="B641" s="6" t="inlineStr">
        <is>
          <t>220100</t>
        </is>
      </c>
      <c r="C641" s="6" t="inlineStr">
        <is>
          <t>2026Q2</t>
        </is>
      </c>
      <c r="D641" s="6" t="inlineStr">
        <is>
          <t>20260814</t>
        </is>
      </c>
      <c r="E641" s="16" t="n">
        <v>405460</v>
      </c>
      <c r="F641" s="16" t="n">
        <v>405460</v>
      </c>
      <c r="G641" s="16" t="n">
        <v>0</v>
      </c>
      <c r="H641" s="6" t="inlineStr">
        <is>
          <t>천원</t>
        </is>
      </c>
      <c r="I641" s="17" t="inlineStr"/>
      <c r="J641" s="18" t="n">
        <v>0</v>
      </c>
      <c r="K641" s="19" t="n">
        <v>850</v>
      </c>
      <c r="L641" s="18" t="n">
        <v>0</v>
      </c>
      <c r="M641" s="19" t="n">
        <v>0</v>
      </c>
      <c r="N641" s="18" t="n">
        <v>0</v>
      </c>
      <c r="O641" s="19" t="n">
        <v>0</v>
      </c>
      <c r="P641" s="18" t="n">
        <v>0</v>
      </c>
      <c r="Q641" s="19" t="n">
        <v>0</v>
      </c>
      <c r="R641" s="18" t="n">
        <v>0</v>
      </c>
      <c r="S641" s="20" t="n">
        <v>0</v>
      </c>
      <c r="T641" s="6" t="n">
        <v>3</v>
      </c>
      <c r="U641" s="5" t="inlineStr">
        <is>
          <t>퓨쳐켐헬스케어 / 2026.01.02 / 2026.03 | 카이바이오텍 / 2026.03.05 / 2026.06. | 기타</t>
        </is>
      </c>
      <c r="V641" s="21">
        <f>HYPERLINK("https://dart.fss.or.kr/dsaf001/main.do?rcpNo=20260814001204", "공시열람")</f>
        <v/>
      </c>
    </row>
    <row r="642">
      <c r="A642" s="5" t="inlineStr">
        <is>
          <t>핸디소프트</t>
        </is>
      </c>
      <c r="B642" s="6" t="inlineStr">
        <is>
          <t>220180</t>
        </is>
      </c>
      <c r="C642" s="6" t="inlineStr">
        <is>
          <t>2026Q2</t>
        </is>
      </c>
      <c r="D642" s="6" t="inlineStr">
        <is>
          <t>20260814</t>
        </is>
      </c>
      <c r="E642" s="16" t="n">
        <v>35211904</v>
      </c>
      <c r="F642" s="16" t="n">
        <v>10746709</v>
      </c>
      <c r="G642" s="16" t="n">
        <v>24465194</v>
      </c>
      <c r="H642" s="6" t="inlineStr">
        <is>
          <t>건,천원</t>
        </is>
      </c>
      <c r="I642" s="17" t="n">
        <v>10</v>
      </c>
      <c r="J642" s="18" t="n">
        <v>9807</v>
      </c>
      <c r="K642" s="19" t="n">
        <v>20190</v>
      </c>
      <c r="L642" s="18" t="n">
        <v>27176</v>
      </c>
      <c r="M642" s="19" t="n">
        <v>31639</v>
      </c>
      <c r="N642" s="18" t="n">
        <v>24785</v>
      </c>
      <c r="O642" s="19" t="n">
        <v>24205</v>
      </c>
      <c r="P642" s="18" t="n">
        <v>20949</v>
      </c>
      <c r="Q642" s="19" t="n">
        <v>25370</v>
      </c>
      <c r="R642" s="18" t="n">
        <v>22246253</v>
      </c>
      <c r="S642" s="20" t="n">
        <v>24465194</v>
      </c>
      <c r="T642" s="6" t="n">
        <v>2</v>
      </c>
      <c r="U642" s="5" t="inlineStr">
        <is>
          <t>소프트웨어사업부문 / 프로젝트 / 2026.06.30 | 소프트웨어사업부문 / 유지보수 / 2026.06.30</t>
        </is>
      </c>
      <c r="V642" s="21">
        <f>HYPERLINK("https://dart.fss.or.kr/dsaf001/main.do?rcpNo=20260814003834", "공시열람")</f>
        <v/>
      </c>
    </row>
    <row r="643">
      <c r="A643" s="5" t="inlineStr">
        <is>
          <t>지구홀딩스</t>
        </is>
      </c>
      <c r="B643" s="6" t="inlineStr">
        <is>
          <t>221800</t>
        </is>
      </c>
      <c r="C643" s="6" t="inlineStr">
        <is>
          <t>2026Q2</t>
        </is>
      </c>
      <c r="D643" s="6" t="inlineStr">
        <is>
          <t>20261001</t>
        </is>
      </c>
      <c r="E643" s="16" t="n">
        <v>18076695</v>
      </c>
      <c r="F643" s="16" t="n">
        <v>8642498</v>
      </c>
      <c r="G643" s="16" t="n">
        <v>9434197</v>
      </c>
      <c r="H643" s="6" t="inlineStr"/>
      <c r="I643" s="17" t="inlineStr"/>
      <c r="J643" s="18" t="inlineStr"/>
      <c r="K643" s="19" t="inlineStr"/>
      <c r="L643" s="18" t="inlineStr"/>
      <c r="M643" s="19" t="inlineStr"/>
      <c r="N643" s="18" t="inlineStr"/>
      <c r="O643" s="19" t="inlineStr"/>
      <c r="P643" s="18" t="inlineStr"/>
      <c r="Q643" s="19" t="inlineStr"/>
      <c r="R643" s="18" t="inlineStr"/>
      <c r="S643" s="20" t="n">
        <v>9434197</v>
      </c>
      <c r="T643" s="6" t="n">
        <v>59</v>
      </c>
      <c r="U643" s="5" t="inlineStr">
        <is>
          <t>임상54 / - | 임상3 | 임상57 / -</t>
        </is>
      </c>
      <c r="V643" s="21">
        <f>HYPERLINK("https://dart.fss.or.kr/dsaf001/main.do?rcpNo=20261001000155", "공시열람")</f>
        <v/>
      </c>
    </row>
    <row r="644">
      <c r="A644" s="5" t="inlineStr">
        <is>
          <t>하이즈항공</t>
        </is>
      </c>
      <c r="B644" s="6" t="inlineStr">
        <is>
          <t>221840</t>
        </is>
      </c>
      <c r="C644" s="6" t="inlineStr">
        <is>
          <t>2026Q2</t>
        </is>
      </c>
      <c r="D644" s="6" t="inlineStr">
        <is>
          <t>20260813</t>
        </is>
      </c>
      <c r="E644" s="16" t="n">
        <v>1759074</v>
      </c>
      <c r="F644" s="16" t="n">
        <v>575610</v>
      </c>
      <c r="G644" s="16" t="n">
        <v>1183464</v>
      </c>
      <c r="H644" s="6" t="inlineStr">
        <is>
          <t>백만원</t>
        </is>
      </c>
      <c r="I644" s="17" t="n">
        <v>2.2</v>
      </c>
      <c r="J644" s="18" t="n">
        <v>1131695</v>
      </c>
      <c r="K644" s="19" t="n">
        <v>1143199</v>
      </c>
      <c r="L644" s="18" t="n">
        <v>1116605</v>
      </c>
      <c r="M644" s="19" t="n">
        <v>1119912</v>
      </c>
      <c r="N644" s="18" t="n">
        <v>1140127</v>
      </c>
      <c r="O644" s="19" t="n">
        <v>1100188</v>
      </c>
      <c r="P644" s="18" t="n">
        <v>1076315</v>
      </c>
      <c r="Q644" s="19" t="n">
        <v>1162538</v>
      </c>
      <c r="R644" s="18" t="n">
        <v>1157968</v>
      </c>
      <c r="S644" s="20" t="n">
        <v>1183464</v>
      </c>
      <c r="T644" s="6" t="n">
        <v>2</v>
      </c>
      <c r="U644" s="5" t="inlineStr">
        <is>
          <t>조립 / - | 부품 / -</t>
        </is>
      </c>
      <c r="V644" s="21">
        <f>HYPERLINK("https://dart.fss.or.kr/dsaf001/main.do?rcpNo=20260813000891", "공시열람")</f>
        <v/>
      </c>
    </row>
    <row r="645">
      <c r="A645" s="5" t="inlineStr">
        <is>
          <t>SFA넥셀</t>
        </is>
      </c>
      <c r="B645" s="6" t="inlineStr">
        <is>
          <t>222080</t>
        </is>
      </c>
      <c r="C645" s="6" t="inlineStr">
        <is>
          <t>2026Q2</t>
        </is>
      </c>
      <c r="D645" s="6" t="inlineStr">
        <is>
          <t>20260818</t>
        </is>
      </c>
      <c r="E645" s="16" t="n">
        <v>30830301644</v>
      </c>
      <c r="F645" s="16" t="inlineStr"/>
      <c r="G645" s="16" t="n">
        <v>275070266501</v>
      </c>
      <c r="H645" s="6" t="inlineStr">
        <is>
          <t>원</t>
        </is>
      </c>
      <c r="I645" s="17" t="n">
        <v>-12.6</v>
      </c>
      <c r="J645" s="18" t="n">
        <v>879582723536</v>
      </c>
      <c r="K645" s="19" t="n">
        <v>861484499816</v>
      </c>
      <c r="L645" s="18" t="n">
        <v>593498709419</v>
      </c>
      <c r="M645" s="19" t="n">
        <v>578727566074</v>
      </c>
      <c r="N645" s="18" t="n">
        <v>499803876277</v>
      </c>
      <c r="O645" s="19" t="n">
        <v>370372106841</v>
      </c>
      <c r="P645" s="18" t="n">
        <v>315539623461</v>
      </c>
      <c r="Q645" s="19" t="n">
        <v>258638252519</v>
      </c>
      <c r="R645" s="18" t="n">
        <v>314657269846</v>
      </c>
      <c r="S645" s="20" t="n">
        <v>275070266501</v>
      </c>
      <c r="T645" s="6" t="n">
        <v>4</v>
      </c>
      <c r="U645" s="5" t="inlineStr">
        <is>
          <t>이차전지전극공정장비 등 / 국외 | 증착 및검사ㆍ측정장비 등 / 국외 | 이차전지전극공정장비 등 / 국내</t>
        </is>
      </c>
      <c r="V645" s="21">
        <f>HYPERLINK("https://dart.fss.or.kr/dsaf001/main.do?rcpNo=20260818000223", "공시열람")</f>
        <v/>
      </c>
    </row>
    <row r="646">
      <c r="A646" s="5" t="inlineStr">
        <is>
          <t>팬젠</t>
        </is>
      </c>
      <c r="B646" s="6" t="inlineStr">
        <is>
          <t>222110</t>
        </is>
      </c>
      <c r="C646" s="6" t="inlineStr">
        <is>
          <t>2026Q2</t>
        </is>
      </c>
      <c r="D646" s="6" t="inlineStr">
        <is>
          <t>20260813</t>
        </is>
      </c>
      <c r="E646" s="16" t="n">
        <v>15572618</v>
      </c>
      <c r="F646" s="16" t="n">
        <v>7869888</v>
      </c>
      <c r="G646" s="16" t="n">
        <v>7702730</v>
      </c>
      <c r="H646" s="6" t="inlineStr">
        <is>
          <t>천원,$</t>
        </is>
      </c>
      <c r="I646" s="17" t="n">
        <v>46.3</v>
      </c>
      <c r="J646" s="18" t="n">
        <v>2557174</v>
      </c>
      <c r="K646" s="19" t="n">
        <v>8104838</v>
      </c>
      <c r="L646" s="18" t="n">
        <v>7172031</v>
      </c>
      <c r="M646" s="19" t="n">
        <v>4703538</v>
      </c>
      <c r="N646" s="18" t="n">
        <v>4499182</v>
      </c>
      <c r="O646" s="19" t="n">
        <v>5311994</v>
      </c>
      <c r="P646" s="18" t="n">
        <v>4574962</v>
      </c>
      <c r="Q646" s="19" t="n">
        <v>4450667</v>
      </c>
      <c r="R646" s="18" t="n">
        <v>5265948</v>
      </c>
      <c r="S646" s="20" t="n">
        <v>7702730</v>
      </c>
      <c r="T646" s="6" t="n">
        <v>10</v>
      </c>
      <c r="U646" s="5" t="inlineStr">
        <is>
          <t>CDO / 26.06.22 / 28.12.31 | CMO / 26.04.15 / 26.07.30 | 시험용역 / 24.07.08 / 30.07.07</t>
        </is>
      </c>
      <c r="V646" s="21">
        <f>HYPERLINK("https://dart.fss.or.kr/dsaf001/main.do?rcpNo=20260813001197", "공시열람")</f>
        <v/>
      </c>
    </row>
    <row r="647">
      <c r="A647" s="5" t="inlineStr">
        <is>
          <t>NPX</t>
        </is>
      </c>
      <c r="B647" s="6" t="inlineStr">
        <is>
          <t>222160</t>
        </is>
      </c>
      <c r="C647" s="6" t="inlineStr">
        <is>
          <t>2026Q1</t>
        </is>
      </c>
      <c r="D647" s="6" t="inlineStr">
        <is>
          <t>20260515</t>
        </is>
      </c>
      <c r="E647" s="16" t="n">
        <v>53</v>
      </c>
      <c r="F647" s="16" t="inlineStr"/>
      <c r="G647" s="16" t="n">
        <v>53</v>
      </c>
      <c r="H647" s="6" t="inlineStr">
        <is>
          <t>대/억원</t>
        </is>
      </c>
      <c r="I647" s="17" t="n">
        <v>0</v>
      </c>
      <c r="J647" s="18" t="inlineStr"/>
      <c r="K647" s="19" t="inlineStr"/>
      <c r="L647" s="18" t="inlineStr"/>
      <c r="M647" s="19" t="inlineStr"/>
      <c r="N647" s="18" t="inlineStr"/>
      <c r="O647" s="19" t="inlineStr"/>
      <c r="P647" s="18" t="n">
        <v>3.4</v>
      </c>
      <c r="Q647" s="19" t="n">
        <v>53</v>
      </c>
      <c r="R647" s="18" t="n">
        <v>53</v>
      </c>
      <c r="S647" s="20" t="inlineStr"/>
      <c r="T647" s="6" t="n">
        <v>2</v>
      </c>
      <c r="U647" s="5" t="inlineStr">
        <is>
          <t>반도체기판 전기검사기 | 반도체기판 전기검사기</t>
        </is>
      </c>
      <c r="V647" s="21">
        <f>HYPERLINK("https://dart.fss.or.kr/dsaf001/main.do?rcpNo=20260515001601", "공시열람")</f>
        <v/>
      </c>
    </row>
    <row r="648">
      <c r="A648" s="5" t="inlineStr">
        <is>
          <t>쎄노텍</t>
        </is>
      </c>
      <c r="B648" s="6" t="inlineStr">
        <is>
          <t>222420</t>
        </is>
      </c>
      <c r="C648" s="6" t="inlineStr">
        <is>
          <t>2026Q2</t>
        </is>
      </c>
      <c r="D648" s="6" t="inlineStr">
        <is>
          <t>20260731</t>
        </is>
      </c>
      <c r="E648" s="16" t="n">
        <v>24165347</v>
      </c>
      <c r="F648" s="16" t="n">
        <v>15751360</v>
      </c>
      <c r="G648" s="16" t="n">
        <v>8413987</v>
      </c>
      <c r="H648" s="6" t="inlineStr">
        <is>
          <t>톤,USD</t>
        </is>
      </c>
      <c r="I648" s="17" t="n">
        <v>101.7</v>
      </c>
      <c r="J648" s="18" t="n">
        <v>4349493</v>
      </c>
      <c r="K648" s="19" t="n">
        <v>5246723</v>
      </c>
      <c r="L648" s="18" t="n">
        <v>5973493</v>
      </c>
      <c r="M648" s="19" t="n">
        <v>5911328</v>
      </c>
      <c r="N648" s="18" t="n">
        <v>1843996</v>
      </c>
      <c r="O648" s="19" t="n">
        <v>2107367</v>
      </c>
      <c r="P648" s="18" t="n">
        <v>1736150</v>
      </c>
      <c r="Q648" s="19" t="n">
        <v>3928292</v>
      </c>
      <c r="R648" s="18" t="n">
        <v>4172399</v>
      </c>
      <c r="S648" s="20" t="n">
        <v>8413987</v>
      </c>
      <c r="T648" s="6" t="n">
        <v>6</v>
      </c>
      <c r="U648" s="5" t="inlineStr">
        <is>
          <t>세라믹 비드 / 광산용 및 제지/잉크 등 / 2025- | 이차전지 첨가제 / 2026-01-08 | 플럭스 / 2026-01-08</t>
        </is>
      </c>
      <c r="V648" s="21">
        <f>HYPERLINK("https://dart.fss.or.kr/dsaf001/main.do?rcpNo=20260731000295", "공시열람")</f>
        <v/>
      </c>
    </row>
    <row r="649">
      <c r="A649" s="5" t="inlineStr">
        <is>
          <t>심텍</t>
        </is>
      </c>
      <c r="B649" s="6" t="inlineStr">
        <is>
          <t>222800</t>
        </is>
      </c>
      <c r="C649" s="6" t="inlineStr">
        <is>
          <t>2026Q2</t>
        </is>
      </c>
      <c r="D649" s="6" t="inlineStr">
        <is>
          <t>20260813</t>
        </is>
      </c>
      <c r="E649" s="16" t="n">
        <v>998848</v>
      </c>
      <c r="F649" s="16" t="n">
        <v>606493</v>
      </c>
      <c r="G649" s="16" t="n">
        <v>392355</v>
      </c>
      <c r="H649" s="6" t="inlineStr">
        <is>
          <t>㎡,천USD</t>
        </is>
      </c>
      <c r="I649" s="17" t="n">
        <v>18.7</v>
      </c>
      <c r="J649" s="18" t="n">
        <v>273020</v>
      </c>
      <c r="K649" s="19" t="n">
        <v>140227</v>
      </c>
      <c r="L649" s="18" t="n">
        <v>130125</v>
      </c>
      <c r="M649" s="19" t="n">
        <v>136721</v>
      </c>
      <c r="N649" s="18" t="n">
        <v>118259</v>
      </c>
      <c r="O649" s="19" t="n">
        <v>191263</v>
      </c>
      <c r="P649" s="18" t="n">
        <v>261706</v>
      </c>
      <c r="Q649" s="19" t="n">
        <v>294564</v>
      </c>
      <c r="R649" s="18" t="n">
        <v>330609</v>
      </c>
      <c r="S649" s="20" t="n">
        <v>392355</v>
      </c>
      <c r="T649" s="6" t="n">
        <v>1</v>
      </c>
      <c r="U649" s="5" t="inlineStr">
        <is>
          <t>인쇄회로기판 / 2026.01 ~ 2026.06 / -</t>
        </is>
      </c>
      <c r="V649" s="21">
        <f>HYPERLINK("https://dart.fss.or.kr/dsaf001/main.do?rcpNo=20260813001430", "공시열람")</f>
        <v/>
      </c>
    </row>
    <row r="650">
      <c r="A650" s="5" t="inlineStr">
        <is>
          <t>드림씨아이에스</t>
        </is>
      </c>
      <c r="B650" s="6" t="inlineStr">
        <is>
          <t>223250</t>
        </is>
      </c>
      <c r="C650" s="6" t="inlineStr">
        <is>
          <t>2026Q2</t>
        </is>
      </c>
      <c r="D650" s="6" t="inlineStr">
        <is>
          <t>20260813</t>
        </is>
      </c>
      <c r="E650" s="16" t="n">
        <v>36086726</v>
      </c>
      <c r="F650" s="16" t="inlineStr"/>
      <c r="G650" s="16" t="n">
        <v>251491876</v>
      </c>
      <c r="H650" s="6" t="inlineStr">
        <is>
          <t>천원</t>
        </is>
      </c>
      <c r="I650" s="17" t="n">
        <v>3.6</v>
      </c>
      <c r="J650" s="18" t="n">
        <v>160580539</v>
      </c>
      <c r="K650" s="19" t="n">
        <v>173048794</v>
      </c>
      <c r="L650" s="18" t="n">
        <v>179923823</v>
      </c>
      <c r="M650" s="19" t="n">
        <v>207552658</v>
      </c>
      <c r="N650" s="18" t="n">
        <v>202005742</v>
      </c>
      <c r="O650" s="19" t="n">
        <v>205979766</v>
      </c>
      <c r="P650" s="18" t="n">
        <v>218306863</v>
      </c>
      <c r="Q650" s="19" t="n">
        <v>247112303</v>
      </c>
      <c r="R650" s="18" t="n">
        <v>242848397</v>
      </c>
      <c r="S650" s="20" t="n">
        <v>251491876</v>
      </c>
      <c r="T650" s="6" t="n">
        <v>0</v>
      </c>
      <c r="U650" s="5" t="inlineStr"/>
      <c r="V650" s="21">
        <f>HYPERLINK("https://dart.fss.or.kr/dsaf001/main.do?rcpNo=20260813001135", "공시열람")</f>
        <v/>
      </c>
    </row>
    <row r="651">
      <c r="A651" s="5" t="inlineStr">
        <is>
          <t>더코디</t>
        </is>
      </c>
      <c r="B651" s="6" t="inlineStr">
        <is>
          <t>224060</t>
        </is>
      </c>
      <c r="C651" s="6" t="inlineStr">
        <is>
          <t>2026Q2</t>
        </is>
      </c>
      <c r="D651" s="6" t="inlineStr">
        <is>
          <t>20260814</t>
        </is>
      </c>
      <c r="E651" s="16" t="n">
        <v>12071</v>
      </c>
      <c r="F651" s="16" t="n">
        <v>7858</v>
      </c>
      <c r="G651" s="16" t="n">
        <v>4213</v>
      </c>
      <c r="H651" s="6" t="inlineStr">
        <is>
          <t>백만원</t>
        </is>
      </c>
      <c r="I651" s="17" t="n">
        <v>-3.7</v>
      </c>
      <c r="J651" s="18" t="n">
        <v>1579</v>
      </c>
      <c r="K651" s="19" t="n">
        <v>2283</v>
      </c>
      <c r="L651" s="18" t="n">
        <v>2628</v>
      </c>
      <c r="M651" s="19" t="n">
        <v>1782</v>
      </c>
      <c r="N651" s="18" t="n">
        <v>5615</v>
      </c>
      <c r="O651" s="19" t="n">
        <v>3453</v>
      </c>
      <c r="P651" s="18" t="n">
        <v>4260</v>
      </c>
      <c r="Q651" s="19" t="n">
        <v>4836</v>
      </c>
      <c r="R651" s="18" t="n">
        <v>4376</v>
      </c>
      <c r="S651" s="20" t="n">
        <v>4213</v>
      </c>
      <c r="T651" s="6" t="n">
        <v>1</v>
      </c>
      <c r="U651" s="5" t="inlineStr">
        <is>
          <t>전자부품 / 2026년 2분기 / -</t>
        </is>
      </c>
      <c r="V651" s="21">
        <f>HYPERLINK("https://dart.fss.or.kr/dsaf001/main.do?rcpNo=20260814002189", "공시열람")</f>
        <v/>
      </c>
    </row>
    <row r="652">
      <c r="A652" s="5" t="inlineStr">
        <is>
          <t>엔에스컴퍼니</t>
        </is>
      </c>
      <c r="B652" s="6" t="inlineStr">
        <is>
          <t>224760</t>
        </is>
      </c>
      <c r="C652" s="6" t="inlineStr">
        <is>
          <t>2023Q4</t>
        </is>
      </c>
      <c r="D652" s="6" t="inlineStr">
        <is>
          <t>20240321</t>
        </is>
      </c>
      <c r="E652" s="16" t="n">
        <v>198558319367</v>
      </c>
      <c r="F652" s="16" t="n">
        <v>108229395773</v>
      </c>
      <c r="G652" s="16" t="n">
        <v>90328893594</v>
      </c>
      <c r="H652" s="6" t="inlineStr"/>
      <c r="I652" s="17" t="inlineStr"/>
      <c r="J652" s="18" t="inlineStr"/>
      <c r="K652" s="19" t="inlineStr"/>
      <c r="L652" s="18" t="inlineStr"/>
      <c r="M652" s="19" t="inlineStr"/>
      <c r="N652" s="18" t="inlineStr"/>
      <c r="O652" s="19" t="inlineStr"/>
      <c r="P652" s="18" t="inlineStr"/>
      <c r="Q652" s="19" t="inlineStr"/>
      <c r="R652" s="18" t="inlineStr"/>
      <c r="S652" s="20" t="inlineStr"/>
      <c r="T652" s="6" t="n">
        <v>25</v>
      </c>
      <c r="U652" s="5" t="inlineStr">
        <is>
          <t>당진기지 LNG탱크 건설공사(1,4호기 탱크 본체 기계 | 배관공사(배관 및 소방설비공사) 및 기계공사(Liner | 1,4호기 보온보냉공사</t>
        </is>
      </c>
      <c r="V652" s="21">
        <f>HYPERLINK("https://dart.fss.or.kr/dsaf001/main.do?rcpNo=20240321000764", "공시열람")</f>
        <v/>
      </c>
    </row>
    <row r="653">
      <c r="A653" s="5" t="inlineStr">
        <is>
          <t>엄지하우스</t>
        </is>
      </c>
      <c r="B653" s="6" t="inlineStr">
        <is>
          <t>224810</t>
        </is>
      </c>
      <c r="C653" s="6" t="inlineStr">
        <is>
          <t>2025Q4</t>
        </is>
      </c>
      <c r="D653" s="6" t="inlineStr">
        <is>
          <t>20260323</t>
        </is>
      </c>
      <c r="E653" s="16" t="inlineStr"/>
      <c r="F653" s="16" t="inlineStr"/>
      <c r="G653" s="16" t="n">
        <v>39731310</v>
      </c>
      <c r="H653" s="6" t="inlineStr">
        <is>
          <t>천원</t>
        </is>
      </c>
      <c r="I653" s="17" t="n">
        <v>-26.6</v>
      </c>
      <c r="J653" s="18" t="inlineStr"/>
      <c r="K653" s="19" t="inlineStr"/>
      <c r="L653" s="18" t="inlineStr"/>
      <c r="M653" s="19" t="n">
        <v>54113100</v>
      </c>
      <c r="N653" s="18" t="inlineStr"/>
      <c r="O653" s="19" t="inlineStr"/>
      <c r="P653" s="18" t="inlineStr"/>
      <c r="Q653" s="19" t="n">
        <v>39731310</v>
      </c>
      <c r="R653" s="18" t="inlineStr"/>
      <c r="S653" s="20" t="inlineStr"/>
      <c r="T653" s="6" t="n">
        <v>4</v>
      </c>
      <c r="U653" s="5" t="inlineStr">
        <is>
          <t>C 공용부 시설 / 2025.07.08 / 2026.0 | D 사옥 / 2025.09.08 / 2026.04.30 | A 리조트 / 2025.01.15 / 2026.05.1</t>
        </is>
      </c>
      <c r="V653" s="21">
        <f>HYPERLINK("https://dart.fss.or.kr/dsaf001/main.do?rcpNo=20260323001051", "공시열람")</f>
        <v/>
      </c>
    </row>
    <row r="654">
      <c r="A654" s="5" t="inlineStr">
        <is>
          <t>제놀루션</t>
        </is>
      </c>
      <c r="B654" s="6" t="inlineStr">
        <is>
          <t>225220</t>
        </is>
      </c>
      <c r="C654" s="6" t="inlineStr">
        <is>
          <t>2025Q3</t>
        </is>
      </c>
      <c r="D654" s="6" t="inlineStr">
        <is>
          <t>20251114</t>
        </is>
      </c>
      <c r="E654" s="16" t="inlineStr"/>
      <c r="F654" s="16" t="n">
        <v>7131</v>
      </c>
      <c r="G654" s="16" t="n">
        <v>2193</v>
      </c>
      <c r="H654" s="6" t="inlineStr">
        <is>
          <t>kit,대</t>
        </is>
      </c>
      <c r="I654" s="17" t="n">
        <v>62.7</v>
      </c>
      <c r="J654" s="18" t="n">
        <v>7415</v>
      </c>
      <c r="K654" s="19" t="n">
        <v>1089</v>
      </c>
      <c r="L654" s="18" t="n">
        <v>7144</v>
      </c>
      <c r="M654" s="19" t="n">
        <v>1197</v>
      </c>
      <c r="N654" s="18" t="n">
        <v>878</v>
      </c>
      <c r="O654" s="19" t="n">
        <v>1348</v>
      </c>
      <c r="P654" s="18" t="n">
        <v>2193</v>
      </c>
      <c r="Q654" s="19" t="inlineStr"/>
      <c r="R654" s="18" t="inlineStr"/>
      <c r="S654" s="20" t="inlineStr"/>
      <c r="T654" s="6" t="n">
        <v>1</v>
      </c>
      <c r="U654" s="5" t="inlineStr">
        <is>
          <t>핵산추출시약</t>
        </is>
      </c>
      <c r="V654" s="21">
        <f>HYPERLINK("https://dart.fss.or.kr/dsaf001/main.do?rcpNo=20251114002436", "공시열람")</f>
        <v/>
      </c>
    </row>
    <row r="655">
      <c r="A655" s="5" t="inlineStr">
        <is>
          <t>신테카바이오</t>
        </is>
      </c>
      <c r="B655" s="6" t="inlineStr">
        <is>
          <t>226330</t>
        </is>
      </c>
      <c r="C655" s="6" t="inlineStr">
        <is>
          <t>2026Q2</t>
        </is>
      </c>
      <c r="D655" s="6" t="inlineStr">
        <is>
          <t>20260814</t>
        </is>
      </c>
      <c r="E655" s="16" t="n">
        <v>1061</v>
      </c>
      <c r="F655" s="16" t="n">
        <v>262</v>
      </c>
      <c r="G655" s="16" t="n">
        <v>799</v>
      </c>
      <c r="H655" s="6" t="inlineStr">
        <is>
          <t>백만원</t>
        </is>
      </c>
      <c r="I655" s="17" t="n">
        <v>14.5</v>
      </c>
      <c r="J655" s="18" t="n">
        <v>1000</v>
      </c>
      <c r="K655" s="19" t="n">
        <v>1000</v>
      </c>
      <c r="L655" s="18" t="n">
        <v>1000</v>
      </c>
      <c r="M655" s="19" t="n">
        <v>1000</v>
      </c>
      <c r="N655" s="18" t="n">
        <v>645</v>
      </c>
      <c r="O655" s="19" t="n">
        <v>618</v>
      </c>
      <c r="P655" s="18" t="n">
        <v>591</v>
      </c>
      <c r="Q655" s="19" t="n">
        <v>799</v>
      </c>
      <c r="R655" s="18" t="n">
        <v>698</v>
      </c>
      <c r="S655" s="20" t="n">
        <v>799</v>
      </c>
      <c r="T655" s="6" t="n">
        <v>3</v>
      </c>
      <c r="U655" s="5" t="inlineStr">
        <is>
          <t>DeepMatcher 플랫폼 서비스 / 2024-12- | IDC 서비스 / 2024-11-27 / 2026-12 | IDC 서비스 / 2025-09-01 / 2026-08</t>
        </is>
      </c>
      <c r="V655" s="21">
        <f>HYPERLINK("https://dart.fss.or.kr/dsaf001/main.do?rcpNo=20260814004304", "공시열람")</f>
        <v/>
      </c>
    </row>
    <row r="656">
      <c r="A656" s="5" t="inlineStr">
        <is>
          <t>본느</t>
        </is>
      </c>
      <c r="B656" s="6" t="inlineStr">
        <is>
          <t>226340</t>
        </is>
      </c>
      <c r="C656" s="6" t="inlineStr">
        <is>
          <t>2026Q2</t>
        </is>
      </c>
      <c r="D656" s="6" t="inlineStr">
        <is>
          <t>20261007</t>
        </is>
      </c>
      <c r="E656" s="16" t="n">
        <v>7486688.26</v>
      </c>
      <c r="F656" s="16" t="inlineStr"/>
      <c r="G656" s="16" t="n">
        <v>6780514.42</v>
      </c>
      <c r="H656" s="6" t="inlineStr"/>
      <c r="I656" s="17" t="n">
        <v>-25</v>
      </c>
      <c r="J656" s="18" t="n">
        <v>16095768.77</v>
      </c>
      <c r="K656" s="19" t="n">
        <v>12579670.55</v>
      </c>
      <c r="L656" s="18" t="n">
        <v>13174852104</v>
      </c>
      <c r="M656" s="19" t="n">
        <v>9469757.17</v>
      </c>
      <c r="N656" s="18" t="n">
        <v>12422303518</v>
      </c>
      <c r="O656" s="19" t="n">
        <v>9321569237</v>
      </c>
      <c r="P656" s="18" t="n">
        <v>13211439893</v>
      </c>
      <c r="Q656" s="19" t="n">
        <v>13435653520</v>
      </c>
      <c r="R656" s="18" t="n">
        <v>9046289.17</v>
      </c>
      <c r="S656" s="20" t="n">
        <v>6780514.42</v>
      </c>
      <c r="T656" s="6" t="n">
        <v>16</v>
      </c>
      <c r="U656" s="5" t="inlineStr">
        <is>
          <t>원화환산금액 | 미국 / 기초 및 색조 화장품 / 2025.10~202 | 영국 / 기초 및 색조 화장품 / 2025.10~202</t>
        </is>
      </c>
      <c r="V656" s="21">
        <f>HYPERLINK("https://dart.fss.or.kr/dsaf001/main.do?rcpNo=20261007000362", "공시열람")</f>
        <v/>
      </c>
    </row>
    <row r="657">
      <c r="A657" s="5" t="inlineStr">
        <is>
          <t>LS에코에너지</t>
        </is>
      </c>
      <c r="B657" s="6" t="inlineStr">
        <is>
          <t>229640</t>
        </is>
      </c>
      <c r="C657" s="6" t="inlineStr">
        <is>
          <t>2026Q2</t>
        </is>
      </c>
      <c r="D657" s="6" t="inlineStr">
        <is>
          <t>20260814</t>
        </is>
      </c>
      <c r="E657" s="16" t="n">
        <v>1047999</v>
      </c>
      <c r="F657" s="16" t="inlineStr"/>
      <c r="G657" s="16" t="n">
        <v>245548</v>
      </c>
      <c r="H657" s="6" t="inlineStr">
        <is>
          <t>백만원</t>
        </is>
      </c>
      <c r="I657" s="17" t="n">
        <v>77.3</v>
      </c>
      <c r="J657" s="18" t="n">
        <v>213976</v>
      </c>
      <c r="K657" s="19" t="n">
        <v>215502</v>
      </c>
      <c r="L657" s="18" t="n">
        <v>210156</v>
      </c>
      <c r="M657" s="19" t="n">
        <v>182672</v>
      </c>
      <c r="N657" s="18" t="n">
        <v>194346</v>
      </c>
      <c r="O657" s="19" t="n">
        <v>219550</v>
      </c>
      <c r="P657" s="18" t="n">
        <v>164061</v>
      </c>
      <c r="Q657" s="19" t="n">
        <v>196201</v>
      </c>
      <c r="R657" s="18" t="n">
        <v>138465</v>
      </c>
      <c r="S657" s="20" t="n">
        <v>245548</v>
      </c>
      <c r="T657" s="6" t="n">
        <v>2</v>
      </c>
      <c r="U657" s="5" t="inlineStr">
        <is>
          <t>LS-VINA Cable &amp; System Joint S | LS Cable &amp; System Vietnam Co.,</t>
        </is>
      </c>
      <c r="V657" s="21">
        <f>HYPERLINK("https://dart.fss.or.kr/dsaf001/main.do?rcpNo=20260814002014", "공시열람")</f>
        <v/>
      </c>
    </row>
    <row r="658">
      <c r="A658" s="5" t="inlineStr">
        <is>
          <t>에치에프알</t>
        </is>
      </c>
      <c r="B658" s="6" t="inlineStr">
        <is>
          <t>230240</t>
        </is>
      </c>
      <c r="C658" s="6" t="inlineStr">
        <is>
          <t>2026Q2</t>
        </is>
      </c>
      <c r="D658" s="6" t="inlineStr">
        <is>
          <t>20260814</t>
        </is>
      </c>
      <c r="E658" s="16" t="n">
        <v>9725</v>
      </c>
      <c r="F658" s="16" t="n">
        <v>14177</v>
      </c>
      <c r="G658" s="16" t="n">
        <v>30456</v>
      </c>
      <c r="H658" s="6" t="inlineStr">
        <is>
          <t>백만원</t>
        </is>
      </c>
      <c r="I658" s="17" t="n">
        <v>1838.6</v>
      </c>
      <c r="J658" s="18" t="n">
        <v>19350</v>
      </c>
      <c r="K658" s="19" t="n">
        <v>9116</v>
      </c>
      <c r="L658" s="18" t="n">
        <v>7066</v>
      </c>
      <c r="M658" s="19" t="n">
        <v>10130</v>
      </c>
      <c r="N658" s="18" t="n">
        <v>19577</v>
      </c>
      <c r="O658" s="19" t="n">
        <v>20613</v>
      </c>
      <c r="P658" s="18" t="n">
        <v>24440</v>
      </c>
      <c r="Q658" s="19" t="n">
        <v>2469</v>
      </c>
      <c r="R658" s="18" t="n">
        <v>1571</v>
      </c>
      <c r="S658" s="20" t="n">
        <v>30456</v>
      </c>
      <c r="T658" s="6" t="n">
        <v>2</v>
      </c>
      <c r="U658" s="5" t="inlineStr">
        <is>
          <t>제품 및 솔루션(국내) | 제품 및 솔루션(해외)</t>
        </is>
      </c>
      <c r="V658" s="21">
        <f>HYPERLINK("https://dart.fss.or.kr/dsaf001/main.do?rcpNo=20260814002714", "공시열람")</f>
        <v/>
      </c>
    </row>
    <row r="659">
      <c r="A659" s="5" t="inlineStr">
        <is>
          <t>와이씨</t>
        </is>
      </c>
      <c r="B659" s="6" t="inlineStr">
        <is>
          <t>232140</t>
        </is>
      </c>
      <c r="C659" s="6" t="inlineStr">
        <is>
          <t>2026Q2</t>
        </is>
      </c>
      <c r="D659" s="6" t="inlineStr">
        <is>
          <t>20260814</t>
        </is>
      </c>
      <c r="E659" s="16" t="n">
        <v>243660</v>
      </c>
      <c r="F659" s="16" t="n">
        <v>29450</v>
      </c>
      <c r="G659" s="16" t="n">
        <v>214210</v>
      </c>
      <c r="H659" s="6" t="inlineStr">
        <is>
          <t>백만원</t>
        </is>
      </c>
      <c r="I659" s="17" t="n">
        <v>214.1</v>
      </c>
      <c r="J659" s="18" t="n">
        <v>75888</v>
      </c>
      <c r="K659" s="19" t="n">
        <v>40176</v>
      </c>
      <c r="L659" s="18" t="n">
        <v>119556</v>
      </c>
      <c r="M659" s="19" t="inlineStr"/>
      <c r="N659" s="18" t="inlineStr"/>
      <c r="O659" s="19" t="inlineStr"/>
      <c r="P659" s="18" t="inlineStr"/>
      <c r="Q659" s="19" t="n">
        <v>68200</v>
      </c>
      <c r="R659" s="18" t="inlineStr"/>
      <c r="S659" s="20" t="n">
        <v>214210</v>
      </c>
      <c r="T659" s="6" t="n">
        <v>1</v>
      </c>
      <c r="U659" s="5" t="inlineStr">
        <is>
          <t>Memory Tester / 2025-06-16 / 2</t>
        </is>
      </c>
      <c r="V659" s="21">
        <f>HYPERLINK("https://dart.fss.or.kr/dsaf001/main.do?rcpNo=20260814001745", "공시열람")</f>
        <v/>
      </c>
    </row>
    <row r="660">
      <c r="A660" s="5" t="inlineStr">
        <is>
          <t>라온로보틱스</t>
        </is>
      </c>
      <c r="B660" s="6" t="inlineStr">
        <is>
          <t>232680</t>
        </is>
      </c>
      <c r="C660" s="6" t="inlineStr">
        <is>
          <t>2026Q2</t>
        </is>
      </c>
      <c r="D660" s="6" t="inlineStr">
        <is>
          <t>20260813</t>
        </is>
      </c>
      <c r="E660" s="16" t="n">
        <v>81498</v>
      </c>
      <c r="F660" s="16" t="n">
        <v>29146</v>
      </c>
      <c r="G660" s="16" t="n">
        <v>52352</v>
      </c>
      <c r="H660" s="6" t="inlineStr">
        <is>
          <t>백만원</t>
        </is>
      </c>
      <c r="I660" s="17" t="n">
        <v>78.5</v>
      </c>
      <c r="J660" s="18" t="n">
        <v>15636</v>
      </c>
      <c r="K660" s="19" t="n">
        <v>16868</v>
      </c>
      <c r="L660" s="18" t="n">
        <v>23497</v>
      </c>
      <c r="M660" s="19" t="n">
        <v>17694</v>
      </c>
      <c r="N660" s="18" t="n">
        <v>18151</v>
      </c>
      <c r="O660" s="19" t="n">
        <v>14453</v>
      </c>
      <c r="P660" s="18" t="n">
        <v>16402</v>
      </c>
      <c r="Q660" s="19" t="n">
        <v>14815</v>
      </c>
      <c r="R660" s="18" t="n">
        <v>29322</v>
      </c>
      <c r="S660" s="20" t="n">
        <v>52352</v>
      </c>
      <c r="T660" s="6" t="n">
        <v>1</v>
      </c>
      <c r="U660" s="5" t="inlineStr">
        <is>
          <t xml:space="preserve">반도체 웨이퍼 이송모듈 외 / 2026.06.30까지 </t>
        </is>
      </c>
      <c r="V660" s="21">
        <f>HYPERLINK("https://dart.fss.or.kr/dsaf001/main.do?rcpNo=20260813000995", "공시열람")</f>
        <v/>
      </c>
    </row>
    <row r="661">
      <c r="A661" s="5" t="inlineStr">
        <is>
          <t>아이티센피엔에스</t>
        </is>
      </c>
      <c r="B661" s="6" t="inlineStr">
        <is>
          <t>232830</t>
        </is>
      </c>
      <c r="C661" s="6" t="inlineStr">
        <is>
          <t>2026Q2</t>
        </is>
      </c>
      <c r="D661" s="6" t="inlineStr">
        <is>
          <t>20260812</t>
        </is>
      </c>
      <c r="E661" s="16" t="n">
        <v>11477813</v>
      </c>
      <c r="F661" s="16" t="inlineStr"/>
      <c r="G661" s="16" t="n">
        <v>5006140</v>
      </c>
      <c r="H661" s="6" t="inlineStr">
        <is>
          <t>천원</t>
        </is>
      </c>
      <c r="I661" s="17" t="n">
        <v>-2.1</v>
      </c>
      <c r="J661" s="18" t="n">
        <v>3770878</v>
      </c>
      <c r="K661" s="19" t="n">
        <v>7028331</v>
      </c>
      <c r="L661" s="18" t="n">
        <v>6652247</v>
      </c>
      <c r="M661" s="19" t="n">
        <v>4339476</v>
      </c>
      <c r="N661" s="18" t="n">
        <v>36956</v>
      </c>
      <c r="O661" s="19" t="n">
        <v>6453073</v>
      </c>
      <c r="P661" s="18" t="n">
        <v>7653515</v>
      </c>
      <c r="Q661" s="19" t="n">
        <v>6662854</v>
      </c>
      <c r="R661" s="18" t="n">
        <v>5113943</v>
      </c>
      <c r="S661" s="20" t="n">
        <v>5006140</v>
      </c>
      <c r="T661" s="6" t="n">
        <v>13</v>
      </c>
      <c r="U661" s="5" t="inlineStr">
        <is>
          <t xml:space="preserve">[한국씨티은행] ITO 소비자금융전산부 BAU업무 통합 | [IBK기업은행] IBK 카드앱 상시운영반 운영업무 위 | [한국산업은행] 글로벌 표준 뱅킹시스템 재구축 계정계 </t>
        </is>
      </c>
      <c r="V661" s="21">
        <f>HYPERLINK("https://dart.fss.or.kr/dsaf001/main.do?rcpNo=20260812000605", "공시열람")</f>
        <v/>
      </c>
    </row>
    <row r="662">
      <c r="A662" s="5" t="inlineStr">
        <is>
          <t>폴라리스세원</t>
        </is>
      </c>
      <c r="B662" s="6" t="inlineStr">
        <is>
          <t>234100</t>
        </is>
      </c>
      <c r="C662" s="6" t="inlineStr">
        <is>
          <t>2025Q2</t>
        </is>
      </c>
      <c r="D662" s="6" t="inlineStr">
        <is>
          <t>20250814</t>
        </is>
      </c>
      <c r="E662" s="16" t="n">
        <v>53300411</v>
      </c>
      <c r="F662" s="16" t="n">
        <v>43616063</v>
      </c>
      <c r="G662" s="16" t="n">
        <v>6300767</v>
      </c>
      <c r="H662" s="6" t="inlineStr">
        <is>
          <t>천원</t>
        </is>
      </c>
      <c r="I662" s="17" t="n">
        <v>81.59999999999999</v>
      </c>
      <c r="J662" s="18" t="n">
        <v>0</v>
      </c>
      <c r="K662" s="19" t="n">
        <v>8947876</v>
      </c>
      <c r="L662" s="18" t="n">
        <v>12396827</v>
      </c>
      <c r="M662" s="19" t="n">
        <v>4675002</v>
      </c>
      <c r="N662" s="18" t="n">
        <v>3468711</v>
      </c>
      <c r="O662" s="19" t="n">
        <v>6300767</v>
      </c>
      <c r="P662" s="18" t="inlineStr"/>
      <c r="Q662" s="19" t="inlineStr"/>
      <c r="R662" s="18" t="inlineStr"/>
      <c r="S662" s="20" t="inlineStr"/>
      <c r="T662" s="6" t="n">
        <v>3</v>
      </c>
      <c r="U662" s="5" t="inlineStr">
        <is>
          <t>마곡 16단지 공공주택 정보통신공사 사업 / 2025. | 치안업무용 재난안전통신망 무선시스템 유지관리(장기계속) | 재난안전통신망 사업 / 2018.12.18 / 2025</t>
        </is>
      </c>
      <c r="V662" s="21">
        <f>HYPERLINK("https://dart.fss.or.kr/dsaf001/main.do?rcpNo=20250814004110", "공시열람")</f>
        <v/>
      </c>
    </row>
    <row r="663">
      <c r="A663" s="5" t="inlineStr">
        <is>
          <t>에스트래픽</t>
        </is>
      </c>
      <c r="B663" s="6" t="inlineStr">
        <is>
          <t>234300</t>
        </is>
      </c>
      <c r="C663" s="6" t="inlineStr">
        <is>
          <t>2026Q2</t>
        </is>
      </c>
      <c r="D663" s="6" t="inlineStr">
        <is>
          <t>20260929</t>
        </is>
      </c>
      <c r="E663" s="16" t="inlineStr"/>
      <c r="F663" s="16" t="inlineStr"/>
      <c r="G663" s="16" t="n">
        <v>128705328</v>
      </c>
      <c r="H663" s="6" t="inlineStr">
        <is>
          <t>천원</t>
        </is>
      </c>
      <c r="I663" s="17" t="n">
        <v>-8.6</v>
      </c>
      <c r="J663" s="18" t="n">
        <v>196436449</v>
      </c>
      <c r="K663" s="19" t="n">
        <v>189955989</v>
      </c>
      <c r="L663" s="18" t="n">
        <v>179948385</v>
      </c>
      <c r="M663" s="19" t="n">
        <v>188290977</v>
      </c>
      <c r="N663" s="18" t="n">
        <v>152526910</v>
      </c>
      <c r="O663" s="19" t="n">
        <v>156402850</v>
      </c>
      <c r="P663" s="18" t="n">
        <v>145064228</v>
      </c>
      <c r="Q663" s="19" t="n">
        <v>139618090</v>
      </c>
      <c r="R663" s="18" t="n">
        <v>140798815</v>
      </c>
      <c r="S663" s="20" t="n">
        <v>128705328</v>
      </c>
      <c r="T663" s="6" t="n">
        <v>2</v>
      </c>
      <c r="U663" s="5" t="inlineStr">
        <is>
          <t>철도 | 도로</t>
        </is>
      </c>
      <c r="V663" s="21">
        <f>HYPERLINK("https://dart.fss.or.kr/dsaf001/main.do?rcpNo=20260929000473", "공시열람")</f>
        <v/>
      </c>
    </row>
    <row r="664">
      <c r="A664" s="5" t="inlineStr">
        <is>
          <t>자이글</t>
        </is>
      </c>
      <c r="B664" s="6" t="inlineStr">
        <is>
          <t>234920</t>
        </is>
      </c>
      <c r="C664" s="6" t="inlineStr">
        <is>
          <t>2025Q2</t>
        </is>
      </c>
      <c r="D664" s="6" t="inlineStr">
        <is>
          <t>20250814</t>
        </is>
      </c>
      <c r="E664" s="16" t="n">
        <v>2545</v>
      </c>
      <c r="F664" s="16" t="n">
        <v>862</v>
      </c>
      <c r="G664" s="16" t="n">
        <v>1683</v>
      </c>
      <c r="H664" s="6" t="inlineStr">
        <is>
          <t>EA,백만원</t>
        </is>
      </c>
      <c r="I664" s="17" t="n">
        <v>0</v>
      </c>
      <c r="J664" s="18" t="inlineStr"/>
      <c r="K664" s="19" t="inlineStr"/>
      <c r="L664" s="18" t="inlineStr"/>
      <c r="M664" s="19" t="n">
        <v>2057</v>
      </c>
      <c r="N664" s="18" t="n">
        <v>1683</v>
      </c>
      <c r="O664" s="19" t="n">
        <v>1683</v>
      </c>
      <c r="P664" s="18" t="inlineStr"/>
      <c r="Q664" s="19" t="inlineStr"/>
      <c r="R664" s="18" t="inlineStr"/>
      <c r="S664" s="20" t="inlineStr"/>
      <c r="T664" s="6" t="n">
        <v>1</v>
      </c>
      <c r="U664" s="5" t="inlineStr">
        <is>
          <t>고주파마사지기 외 / 2024.11.06 / 2025.</t>
        </is>
      </c>
      <c r="V664" s="21">
        <f>HYPERLINK("https://dart.fss.or.kr/dsaf001/main.do?rcpNo=20250814002203", "공시열람")</f>
        <v/>
      </c>
    </row>
    <row r="665">
      <c r="A665" s="5" t="inlineStr">
        <is>
          <t>에스티팜</t>
        </is>
      </c>
      <c r="B665" s="6" t="inlineStr">
        <is>
          <t>237690</t>
        </is>
      </c>
      <c r="C665" s="6" t="inlineStr">
        <is>
          <t>2026Q2</t>
        </is>
      </c>
      <c r="D665" s="6" t="inlineStr">
        <is>
          <t>20260814</t>
        </is>
      </c>
      <c r="E665" s="16" t="n">
        <v>765540</v>
      </c>
      <c r="F665" s="16" t="n">
        <v>490574</v>
      </c>
      <c r="G665" s="16" t="n">
        <v>274967</v>
      </c>
      <c r="H665" s="6" t="inlineStr">
        <is>
          <t>천USD,천CHF,백만KRW</t>
        </is>
      </c>
      <c r="I665" s="17" t="n">
        <v>-8.199999999999999</v>
      </c>
      <c r="J665" s="18" t="n">
        <v>142129</v>
      </c>
      <c r="K665" s="19" t="n">
        <v>144305</v>
      </c>
      <c r="L665" s="18" t="n">
        <v>205983</v>
      </c>
      <c r="M665" s="19" t="n">
        <v>212587</v>
      </c>
      <c r="N665" s="18" t="n">
        <v>229059</v>
      </c>
      <c r="O665" s="19" t="n">
        <v>255542</v>
      </c>
      <c r="P665" s="18" t="n">
        <v>224306</v>
      </c>
      <c r="Q665" s="19" t="n">
        <v>192994</v>
      </c>
      <c r="R665" s="18" t="n">
        <v>299658</v>
      </c>
      <c r="S665" s="20" t="n">
        <v>274967</v>
      </c>
      <c r="T665" s="6" t="n">
        <v>80</v>
      </c>
      <c r="U665" s="5" t="inlineStr">
        <is>
          <t>올리고핵산치료제 신약 원료의약품(Oligonucleot | 올리고핵산치료제 신약 원료의약품(Oligonucleot | 저분자 화학합성 신약원료 의약품</t>
        </is>
      </c>
      <c r="V665" s="21">
        <f>HYPERLINK("https://dart.fss.or.kr/dsaf001/main.do?rcpNo=20260814003399", "공시열람")</f>
        <v/>
      </c>
    </row>
    <row r="666">
      <c r="A666" s="5" t="inlineStr">
        <is>
          <t>피앤씨테크</t>
        </is>
      </c>
      <c r="B666" s="6" t="inlineStr">
        <is>
          <t>237750</t>
        </is>
      </c>
      <c r="C666" s="6" t="inlineStr">
        <is>
          <t>2026Q2</t>
        </is>
      </c>
      <c r="D666" s="6" t="inlineStr">
        <is>
          <t>20260814</t>
        </is>
      </c>
      <c r="E666" s="16" t="n">
        <v>2956</v>
      </c>
      <c r="F666" s="16" t="n">
        <v>754</v>
      </c>
      <c r="G666" s="16" t="n">
        <v>2201</v>
      </c>
      <c r="H666" s="6" t="inlineStr">
        <is>
          <t>백만원</t>
        </is>
      </c>
      <c r="I666" s="17" t="n">
        <v>206.5</v>
      </c>
      <c r="J666" s="18" t="n">
        <v>0</v>
      </c>
      <c r="K666" s="19" t="n">
        <v>0</v>
      </c>
      <c r="L666" s="18" t="n">
        <v>0</v>
      </c>
      <c r="M666" s="19" t="n">
        <v>0</v>
      </c>
      <c r="N666" s="18" t="n">
        <v>1375</v>
      </c>
      <c r="O666" s="19" t="n">
        <v>1375</v>
      </c>
      <c r="P666" s="18" t="n">
        <v>719</v>
      </c>
      <c r="Q666" s="19" t="n">
        <v>718</v>
      </c>
      <c r="R666" s="18" t="n">
        <v>718</v>
      </c>
      <c r="S666" s="20" t="n">
        <v>2201</v>
      </c>
      <c r="T666" s="6" t="n">
        <v>6</v>
      </c>
      <c r="U666" s="5" t="inlineStr">
        <is>
          <t>SYSTEM / 2026.06.30 / 2026.10. | SYSTEM / 2025.02.28 / 2027.01. | SYSTEM / 2025.08.28 / 2026.11.</t>
        </is>
      </c>
      <c r="V666" s="21">
        <f>HYPERLINK("https://dart.fss.or.kr/dsaf001/main.do?rcpNo=20260814003816", "공시열람")</f>
        <v/>
      </c>
    </row>
    <row r="667">
      <c r="A667" s="5" t="inlineStr">
        <is>
          <t>힘스</t>
        </is>
      </c>
      <c r="B667" s="6" t="inlineStr">
        <is>
          <t>238490</t>
        </is>
      </c>
      <c r="C667" s="6" t="inlineStr">
        <is>
          <t>2026Q2</t>
        </is>
      </c>
      <c r="D667" s="6" t="inlineStr">
        <is>
          <t>20260813</t>
        </is>
      </c>
      <c r="E667" s="16" t="n">
        <v>36756</v>
      </c>
      <c r="F667" s="16" t="n">
        <v>0</v>
      </c>
      <c r="G667" s="16" t="n">
        <v>36756</v>
      </c>
      <c r="H667" s="6" t="inlineStr">
        <is>
          <t>EA,백만원</t>
        </is>
      </c>
      <c r="I667" s="17" t="n">
        <v>-15</v>
      </c>
      <c r="J667" s="18" t="n">
        <v>140</v>
      </c>
      <c r="K667" s="19" t="n">
        <v>28189</v>
      </c>
      <c r="L667" s="18" t="n">
        <v>123</v>
      </c>
      <c r="M667" s="19" t="n">
        <v>25588</v>
      </c>
      <c r="N667" s="18" t="n">
        <v>47854</v>
      </c>
      <c r="O667" s="19" t="n">
        <v>36147</v>
      </c>
      <c r="P667" s="18" t="n">
        <v>32055</v>
      </c>
      <c r="Q667" s="19" t="n">
        <v>40120</v>
      </c>
      <c r="R667" s="18" t="n">
        <v>43227</v>
      </c>
      <c r="S667" s="20" t="n">
        <v>36756</v>
      </c>
      <c r="T667" s="6" t="n">
        <v>4</v>
      </c>
      <c r="U667" s="5" t="inlineStr">
        <is>
          <t>OLED장비 / ~25.12.03 / ~27.01.31 | NON-OLED장비 / ~26.02.26 / ~26.0 | 상품 및 기타 / ~23.05.08 / ~26.12.3</t>
        </is>
      </c>
      <c r="V667" s="21">
        <f>HYPERLINK("https://dart.fss.or.kr/dsaf001/main.do?rcpNo=20260813001330", "공시열람")</f>
        <v/>
      </c>
    </row>
    <row r="668">
      <c r="A668" s="5" t="inlineStr">
        <is>
          <t>유진테크놀로지</t>
        </is>
      </c>
      <c r="B668" s="6" t="inlineStr">
        <is>
          <t>240600</t>
        </is>
      </c>
      <c r="C668" s="6" t="inlineStr">
        <is>
          <t>2026Q2</t>
        </is>
      </c>
      <c r="D668" s="6" t="inlineStr">
        <is>
          <t>20260814</t>
        </is>
      </c>
      <c r="E668" s="16" t="n">
        <v>10798</v>
      </c>
      <c r="F668" s="16" t="n">
        <v>1298</v>
      </c>
      <c r="G668" s="16" t="n">
        <v>9500</v>
      </c>
      <c r="H668" s="6" t="inlineStr">
        <is>
          <t>백만원</t>
        </is>
      </c>
      <c r="I668" s="17" t="n">
        <v>96.7</v>
      </c>
      <c r="J668" s="18" t="n">
        <v>7494</v>
      </c>
      <c r="K668" s="19" t="n">
        <v>22164</v>
      </c>
      <c r="L668" s="18" t="n">
        <v>7703</v>
      </c>
      <c r="M668" s="19" t="n">
        <v>1735</v>
      </c>
      <c r="N668" s="18" t="n">
        <v>1597</v>
      </c>
      <c r="O668" s="19" t="n">
        <v>1357</v>
      </c>
      <c r="P668" s="18" t="n">
        <v>6604</v>
      </c>
      <c r="Q668" s="19" t="n">
        <v>7353</v>
      </c>
      <c r="R668" s="18" t="n">
        <v>4830</v>
      </c>
      <c r="S668" s="20" t="n">
        <v>9500</v>
      </c>
      <c r="T668" s="6" t="n">
        <v>4</v>
      </c>
      <c r="U668" s="5" t="inlineStr">
        <is>
          <t>정밀기계부품 / 2026년 6월 30일 이전 / 202 | 정밀금형 / 2026년 6월 30일 이전 / 2026년 | 자동화장비 / 2026년 6월 30일 이전 / 2026</t>
        </is>
      </c>
      <c r="V668" s="21">
        <f>HYPERLINK("https://dart.fss.or.kr/dsaf001/main.do?rcpNo=20260814003601", "공시열람")</f>
        <v/>
      </c>
    </row>
    <row r="669">
      <c r="A669" s="5" t="inlineStr">
        <is>
          <t>원익IPS</t>
        </is>
      </c>
      <c r="B669" s="6" t="inlineStr">
        <is>
          <t>240810</t>
        </is>
      </c>
      <c r="C669" s="6" t="inlineStr">
        <is>
          <t>2026Q2</t>
        </is>
      </c>
      <c r="D669" s="6" t="inlineStr">
        <is>
          <t>20260814</t>
        </is>
      </c>
      <c r="E669" s="16" t="n">
        <v>1197393</v>
      </c>
      <c r="F669" s="16" t="n">
        <v>562803</v>
      </c>
      <c r="G669" s="16" t="n">
        <v>634590</v>
      </c>
      <c r="H669" s="6" t="inlineStr">
        <is>
          <t>백만원</t>
        </is>
      </c>
      <c r="I669" s="17" t="n">
        <v>58.5</v>
      </c>
      <c r="J669" s="18" t="n">
        <v>231645</v>
      </c>
      <c r="K669" s="19" t="n">
        <v>160431</v>
      </c>
      <c r="L669" s="18" t="n">
        <v>105167</v>
      </c>
      <c r="M669" s="19" t="n">
        <v>287864</v>
      </c>
      <c r="N669" s="18" t="n">
        <v>260680</v>
      </c>
      <c r="O669" s="19" t="n">
        <v>197749</v>
      </c>
      <c r="P669" s="18" t="n">
        <v>209252</v>
      </c>
      <c r="Q669" s="19" t="n">
        <v>298229</v>
      </c>
      <c r="R669" s="18" t="n">
        <v>400388</v>
      </c>
      <c r="S669" s="20" t="n">
        <v>634590</v>
      </c>
      <c r="T669" s="6" t="n">
        <v>1</v>
      </c>
      <c r="U669" s="5" t="inlineStr">
        <is>
          <t>반도체/Display 장비 / 2026년 반기 / -</t>
        </is>
      </c>
      <c r="V669" s="21">
        <f>HYPERLINK("https://dart.fss.or.kr/dsaf001/main.do?rcpNo=20260814001845", "공시열람")</f>
        <v/>
      </c>
    </row>
    <row r="670">
      <c r="A670" s="5" t="inlineStr">
        <is>
          <t>티이엠씨씨엔에스</t>
        </is>
      </c>
      <c r="B670" s="6" t="inlineStr">
        <is>
          <t>241790</t>
        </is>
      </c>
      <c r="C670" s="6" t="inlineStr">
        <is>
          <t>2026Q2</t>
        </is>
      </c>
      <c r="D670" s="6" t="inlineStr">
        <is>
          <t>20260814</t>
        </is>
      </c>
      <c r="E670" s="16" t="n">
        <v>413</v>
      </c>
      <c r="F670" s="16" t="n">
        <v>370</v>
      </c>
      <c r="G670" s="16" t="n">
        <v>1475</v>
      </c>
      <c r="H670" s="6" t="inlineStr">
        <is>
          <t>억</t>
        </is>
      </c>
      <c r="I670" s="17" t="n">
        <v>-8.5</v>
      </c>
      <c r="J670" s="18" t="n">
        <v>692</v>
      </c>
      <c r="K670" s="19" t="n">
        <v>623</v>
      </c>
      <c r="L670" s="18" t="n">
        <v>811</v>
      </c>
      <c r="M670" s="19" t="n">
        <v>766</v>
      </c>
      <c r="N670" s="18" t="n">
        <v>811</v>
      </c>
      <c r="O670" s="19" t="n">
        <v>580</v>
      </c>
      <c r="P670" s="18" t="n">
        <v>1271</v>
      </c>
      <c r="Q670" s="19" t="n">
        <v>1432</v>
      </c>
      <c r="R670" s="18" t="n">
        <v>1612</v>
      </c>
      <c r="S670" s="20" t="n">
        <v>1475</v>
      </c>
      <c r="T670" s="6" t="n">
        <v>1</v>
      </c>
      <c r="U670" s="5" t="inlineStr">
        <is>
          <t>장비 / 2026년</t>
        </is>
      </c>
      <c r="V670" s="21">
        <f>HYPERLINK("https://dart.fss.or.kr/dsaf001/main.do?rcpNo=20260814000992", "공시열람")</f>
        <v/>
      </c>
    </row>
    <row r="671">
      <c r="A671" s="5" t="inlineStr">
        <is>
          <t>아이티센코어</t>
        </is>
      </c>
      <c r="B671" s="6" t="inlineStr">
        <is>
          <t>243870</t>
        </is>
      </c>
      <c r="C671" s="6" t="inlineStr">
        <is>
          <t>2025Q4</t>
        </is>
      </c>
      <c r="D671" s="6" t="inlineStr">
        <is>
          <t>20260731</t>
        </is>
      </c>
      <c r="E671" s="16" t="n">
        <v>10558824</v>
      </c>
      <c r="F671" s="16" t="n">
        <v>9793315</v>
      </c>
      <c r="G671" s="16" t="n">
        <v>765509</v>
      </c>
      <c r="H671" s="6" t="inlineStr">
        <is>
          <t>천원</t>
        </is>
      </c>
      <c r="I671" s="17" t="inlineStr"/>
      <c r="J671" s="18" t="inlineStr"/>
      <c r="K671" s="19" t="inlineStr"/>
      <c r="L671" s="18" t="inlineStr"/>
      <c r="M671" s="19" t="n">
        <v>0</v>
      </c>
      <c r="N671" s="18" t="inlineStr"/>
      <c r="O671" s="19" t="inlineStr"/>
      <c r="P671" s="18" t="inlineStr"/>
      <c r="Q671" s="19" t="n">
        <v>765509</v>
      </c>
      <c r="R671" s="18" t="inlineStr"/>
      <c r="S671" s="20" t="inlineStr"/>
      <c r="T671" s="6" t="n">
        <v>5</v>
      </c>
      <c r="U671" s="5" t="inlineStr">
        <is>
          <t>건설계약 / 2025-09-15 / 2026-07-14 | 용역서비스 / 2025-01-01 / 2025-12-3 | 용역서비스 / 2025-01-01 / 2025-12-3</t>
        </is>
      </c>
      <c r="V671" s="21">
        <f>HYPERLINK("https://dart.fss.or.kr/dsaf001/main.do?rcpNo=20260731000744", "공시열람")</f>
        <v/>
      </c>
    </row>
    <row r="672">
      <c r="A672" s="5" t="inlineStr">
        <is>
          <t>나눔테크</t>
        </is>
      </c>
      <c r="B672" s="6" t="inlineStr">
        <is>
          <t>244880</t>
        </is>
      </c>
      <c r="C672" s="6" t="inlineStr">
        <is>
          <t>2024Q4</t>
        </is>
      </c>
      <c r="D672" s="6" t="inlineStr">
        <is>
          <t>20250321</t>
        </is>
      </c>
      <c r="E672" s="16" t="n">
        <v>120230</v>
      </c>
      <c r="F672" s="16" t="inlineStr"/>
      <c r="G672" s="16" t="n">
        <v>120230</v>
      </c>
      <c r="H672" s="6" t="inlineStr">
        <is>
          <t>천원</t>
        </is>
      </c>
      <c r="I672" s="17" t="n">
        <v>-7.1</v>
      </c>
      <c r="J672" s="18" t="inlineStr"/>
      <c r="K672" s="19" t="inlineStr"/>
      <c r="L672" s="18" t="inlineStr"/>
      <c r="M672" s="19" t="n">
        <v>120230</v>
      </c>
      <c r="N672" s="18" t="inlineStr"/>
      <c r="O672" s="19" t="inlineStr"/>
      <c r="P672" s="18" t="inlineStr"/>
      <c r="Q672" s="19" t="inlineStr"/>
      <c r="R672" s="18" t="inlineStr"/>
      <c r="S672" s="20" t="inlineStr"/>
      <c r="T672" s="6" t="n">
        <v>6</v>
      </c>
      <c r="U672" s="5" t="inlineStr">
        <is>
          <t>AED 외 / 2025-03-17 / 2025-03-2 | AED 외 / 2025-03-14 / 2025-03-2 | AED 외 / 2025-03-11 / 2025-03-2</t>
        </is>
      </c>
      <c r="V672" s="21">
        <f>HYPERLINK("https://dart.fss.or.kr/dsaf001/main.do?rcpNo=20250321000468", "공시열람")</f>
        <v/>
      </c>
    </row>
    <row r="673">
      <c r="A673" s="5" t="inlineStr">
        <is>
          <t>아스타</t>
        </is>
      </c>
      <c r="B673" s="6" t="inlineStr">
        <is>
          <t>246720</t>
        </is>
      </c>
      <c r="C673" s="6" t="inlineStr">
        <is>
          <t>2026Q1</t>
        </is>
      </c>
      <c r="D673" s="6" t="inlineStr">
        <is>
          <t>20260515</t>
        </is>
      </c>
      <c r="E673" s="16" t="n">
        <v>841669</v>
      </c>
      <c r="F673" s="16" t="inlineStr"/>
      <c r="G673" s="16" t="n">
        <v>841669</v>
      </c>
      <c r="H673" s="6" t="inlineStr">
        <is>
          <t>천원</t>
        </is>
      </c>
      <c r="I673" s="17" t="inlineStr"/>
      <c r="J673" s="18" t="inlineStr"/>
      <c r="K673" s="19" t="inlineStr"/>
      <c r="L673" s="18" t="inlineStr"/>
      <c r="M673" s="19" t="inlineStr"/>
      <c r="N673" s="18" t="inlineStr"/>
      <c r="O673" s="19" t="inlineStr"/>
      <c r="P673" s="18" t="inlineStr"/>
      <c r="Q673" s="19" t="inlineStr"/>
      <c r="R673" s="18" t="n">
        <v>841669</v>
      </c>
      <c r="S673" s="20" t="inlineStr"/>
      <c r="T673" s="6" t="n">
        <v>2</v>
      </c>
      <c r="U673" s="5" t="inlineStr">
        <is>
          <t>질량분석기(MALDI-MS) / 2026-03-20 / | 질량분석기(MALDI-MS) / 2026-04-21 /</t>
        </is>
      </c>
      <c r="V673" s="21">
        <f>HYPERLINK("https://dart.fss.or.kr/dsaf001/main.do?rcpNo=20260515000309", "공시열람")</f>
        <v/>
      </c>
    </row>
    <row r="674">
      <c r="A674" s="5" t="inlineStr">
        <is>
          <t>모비스</t>
        </is>
      </c>
      <c r="B674" s="6" t="inlineStr">
        <is>
          <t>250060</t>
        </is>
      </c>
      <c r="C674" s="6" t="inlineStr">
        <is>
          <t>2026Q2</t>
        </is>
      </c>
      <c r="D674" s="6" t="inlineStr">
        <is>
          <t>20261006</t>
        </is>
      </c>
      <c r="E674" s="16" t="inlineStr"/>
      <c r="F674" s="16" t="inlineStr"/>
      <c r="G674" s="16" t="n">
        <v>7208059797</v>
      </c>
      <c r="H674" s="6" t="inlineStr">
        <is>
          <t>원</t>
        </is>
      </c>
      <c r="I674" s="17" t="n">
        <v>119601.8</v>
      </c>
      <c r="J674" s="18" t="n">
        <v>25561508</v>
      </c>
      <c r="K674" s="19" t="n">
        <v>6974162</v>
      </c>
      <c r="L674" s="18" t="n">
        <v>7861922</v>
      </c>
      <c r="M674" s="19" t="n">
        <v>6232958</v>
      </c>
      <c r="N674" s="18" t="n">
        <v>6634185</v>
      </c>
      <c r="O674" s="19" t="n">
        <v>5528206</v>
      </c>
      <c r="P674" s="18" t="n">
        <v>4953188</v>
      </c>
      <c r="Q674" s="19" t="n">
        <v>4357048</v>
      </c>
      <c r="R674" s="18" t="n">
        <v>6021678</v>
      </c>
      <c r="S674" s="20" t="n">
        <v>7208059797</v>
      </c>
      <c r="T674" s="6" t="n">
        <v>2</v>
      </c>
      <c r="U674" s="5" t="inlineStr">
        <is>
          <t>기초과학 | 스마트팩토리</t>
        </is>
      </c>
      <c r="V674" s="21">
        <f>HYPERLINK("https://dart.fss.or.kr/dsaf001/main.do?rcpNo=20261006000433", "공시열람")</f>
        <v/>
      </c>
    </row>
    <row r="675">
      <c r="A675" s="5" t="inlineStr">
        <is>
          <t>브이원텍</t>
        </is>
      </c>
      <c r="B675" s="6" t="inlineStr">
        <is>
          <t>251630</t>
        </is>
      </c>
      <c r="C675" s="6" t="inlineStr">
        <is>
          <t>2026Q2</t>
        </is>
      </c>
      <c r="D675" s="6" t="inlineStr">
        <is>
          <t>20260814</t>
        </is>
      </c>
      <c r="E675" s="16" t="n">
        <v>77643</v>
      </c>
      <c r="F675" s="16" t="n">
        <v>31955</v>
      </c>
      <c r="G675" s="16" t="n">
        <v>45688</v>
      </c>
      <c r="H675" s="6" t="inlineStr">
        <is>
          <t>백만원</t>
        </is>
      </c>
      <c r="I675" s="17" t="n">
        <v>-8.4</v>
      </c>
      <c r="J675" s="18" t="n">
        <v>60624</v>
      </c>
      <c r="K675" s="19" t="n">
        <v>62575</v>
      </c>
      <c r="L675" s="18" t="n">
        <v>54780</v>
      </c>
      <c r="M675" s="19" t="n">
        <v>45967</v>
      </c>
      <c r="N675" s="18" t="n">
        <v>47878</v>
      </c>
      <c r="O675" s="19" t="n">
        <v>50180</v>
      </c>
      <c r="P675" s="18" t="n">
        <v>75011</v>
      </c>
      <c r="Q675" s="19" t="n">
        <v>56953</v>
      </c>
      <c r="R675" s="18" t="n">
        <v>49900</v>
      </c>
      <c r="S675" s="20" t="n">
        <v>45688</v>
      </c>
      <c r="T675" s="6" t="n">
        <v>3</v>
      </c>
      <c r="U675" s="5" t="inlineStr">
        <is>
          <t>2차전지 검사시스템 / - | 로보틱스/운반기계 / - | LCD/OLED 압흔검사기 / -</t>
        </is>
      </c>
      <c r="V675" s="21">
        <f>HYPERLINK("https://dart.fss.or.kr/dsaf001/main.do?rcpNo=20260814002781", "공시열람")</f>
        <v/>
      </c>
    </row>
    <row r="676">
      <c r="A676" s="5" t="inlineStr">
        <is>
          <t>네오셈</t>
        </is>
      </c>
      <c r="B676" s="6" t="inlineStr">
        <is>
          <t>253590</t>
        </is>
      </c>
      <c r="C676" s="6" t="inlineStr">
        <is>
          <t>2026Q2</t>
        </is>
      </c>
      <c r="D676" s="6" t="inlineStr">
        <is>
          <t>20260814</t>
        </is>
      </c>
      <c r="E676" s="16" t="n">
        <v>28463</v>
      </c>
      <c r="F676" s="16" t="n">
        <v>2203</v>
      </c>
      <c r="G676" s="16" t="n">
        <v>26260</v>
      </c>
      <c r="H676" s="6" t="inlineStr">
        <is>
          <t>K$,백만원</t>
        </is>
      </c>
      <c r="I676" s="17" t="n">
        <v>-1.7</v>
      </c>
      <c r="J676" s="18" t="n">
        <v>12761</v>
      </c>
      <c r="K676" s="19" t="n">
        <v>16315</v>
      </c>
      <c r="L676" s="18" t="n">
        <v>10598</v>
      </c>
      <c r="M676" s="19" t="n">
        <v>2573</v>
      </c>
      <c r="N676" s="18" t="n">
        <v>1518</v>
      </c>
      <c r="O676" s="19" t="n">
        <v>1315</v>
      </c>
      <c r="P676" s="18" t="inlineStr"/>
      <c r="Q676" s="19" t="n">
        <v>14152</v>
      </c>
      <c r="R676" s="18" t="n">
        <v>26712</v>
      </c>
      <c r="S676" s="20" t="n">
        <v>26260</v>
      </c>
      <c r="T676" s="6" t="n">
        <v>7</v>
      </c>
      <c r="U676" s="5" t="inlineStr">
        <is>
          <t>반도체 검사장비 외 / 2026-05-27 / 2026 | CLT Interface Board / 2026-05- | 반도체 검사장비 외 / 2026-05-06 / 2026</t>
        </is>
      </c>
      <c r="V676" s="21">
        <f>HYPERLINK("https://dart.fss.or.kr/dsaf001/main.do?rcpNo=20260814000817", "공시열람")</f>
        <v/>
      </c>
    </row>
    <row r="677">
      <c r="A677" s="5" t="inlineStr">
        <is>
          <t>자비스</t>
        </is>
      </c>
      <c r="B677" s="6" t="inlineStr">
        <is>
          <t>254120</t>
        </is>
      </c>
      <c r="C677" s="6" t="inlineStr">
        <is>
          <t>2026Q2</t>
        </is>
      </c>
      <c r="D677" s="6" t="inlineStr">
        <is>
          <t>20260814</t>
        </is>
      </c>
      <c r="E677" s="16" t="n">
        <v>14044411741</v>
      </c>
      <c r="F677" s="16" t="n">
        <v>8303760154</v>
      </c>
      <c r="G677" s="16" t="n">
        <v>13745255556</v>
      </c>
      <c r="H677" s="6" t="inlineStr">
        <is>
          <t>원</t>
        </is>
      </c>
      <c r="I677" s="17" t="n">
        <v>-10.6</v>
      </c>
      <c r="J677" s="18" t="n">
        <v>18127996948</v>
      </c>
      <c r="K677" s="19" t="n">
        <v>8191279519</v>
      </c>
      <c r="L677" s="18" t="n">
        <v>7224578397</v>
      </c>
      <c r="M677" s="19" t="n">
        <v>7657082097</v>
      </c>
      <c r="N677" s="18" t="n">
        <v>17189492624</v>
      </c>
      <c r="O677" s="19" t="n">
        <v>15585271210</v>
      </c>
      <c r="P677" s="18" t="n">
        <v>15735178060</v>
      </c>
      <c r="Q677" s="19" t="n">
        <v>15708789085</v>
      </c>
      <c r="R677" s="18" t="n">
        <v>15381628821</v>
      </c>
      <c r="S677" s="20" t="n">
        <v>13745255556</v>
      </c>
      <c r="T677" s="6" t="n">
        <v>2</v>
      </c>
      <c r="U677" s="5" t="inlineStr">
        <is>
          <t xml:space="preserve">XSCAN / 2026.01.01~2026.06.30  | FSCAN / 2026.01.01~2026.06.30 </t>
        </is>
      </c>
      <c r="V677" s="21">
        <f>HYPERLINK("https://dart.fss.or.kr/dsaf001/main.do?rcpNo=20260814003907", "공시열람")</f>
        <v/>
      </c>
    </row>
    <row r="678">
      <c r="A678" s="5" t="inlineStr">
        <is>
          <t>제이엠멀티</t>
        </is>
      </c>
      <c r="B678" s="6" t="inlineStr">
        <is>
          <t>254160</t>
        </is>
      </c>
      <c r="C678" s="6" t="inlineStr">
        <is>
          <t>2025Q4</t>
        </is>
      </c>
      <c r="D678" s="6" t="inlineStr">
        <is>
          <t>20260429</t>
        </is>
      </c>
      <c r="E678" s="16" t="n">
        <v>45950</v>
      </c>
      <c r="F678" s="16" t="n">
        <v>23741</v>
      </c>
      <c r="G678" s="16" t="n">
        <v>22209</v>
      </c>
      <c r="H678" s="6" t="inlineStr">
        <is>
          <t>건,백만원</t>
        </is>
      </c>
      <c r="I678" s="17" t="n">
        <v>99.3</v>
      </c>
      <c r="J678" s="18" t="inlineStr"/>
      <c r="K678" s="19" t="inlineStr"/>
      <c r="L678" s="18" t="inlineStr"/>
      <c r="M678" s="19" t="n">
        <v>11146</v>
      </c>
      <c r="N678" s="18" t="inlineStr"/>
      <c r="O678" s="19" t="inlineStr"/>
      <c r="P678" s="18" t="inlineStr"/>
      <c r="Q678" s="19" t="n">
        <v>22209</v>
      </c>
      <c r="R678" s="18" t="inlineStr"/>
      <c r="S678" s="20" t="inlineStr"/>
      <c r="T678" s="6" t="n">
        <v>3</v>
      </c>
      <c r="U678" s="5" t="inlineStr">
        <is>
          <t>데크로드시스템 / (주)피플로드 / 2025.01.01 | 데크로드시스템 / (주)알티스멀티 / 2025.01.0 | 데크로드시스템 / (주)제이엠멀티 / 2025.01.0</t>
        </is>
      </c>
      <c r="V678" s="21">
        <f>HYPERLINK("https://dart.fss.or.kr/dsaf001/main.do?rcpNo=20260429000588", "공시열람")</f>
        <v/>
      </c>
    </row>
    <row r="679">
      <c r="A679" s="5" t="inlineStr">
        <is>
          <t>야스</t>
        </is>
      </c>
      <c r="B679" s="6" t="inlineStr">
        <is>
          <t>255440</t>
        </is>
      </c>
      <c r="C679" s="6" t="inlineStr">
        <is>
          <t>2026Q2</t>
        </is>
      </c>
      <c r="D679" s="6" t="inlineStr">
        <is>
          <t>20260814</t>
        </is>
      </c>
      <c r="E679" s="16" t="n">
        <v>26026113</v>
      </c>
      <c r="F679" s="16" t="inlineStr"/>
      <c r="G679" s="16" t="n">
        <v>14894831</v>
      </c>
      <c r="H679" s="6" t="inlineStr">
        <is>
          <t>천원</t>
        </is>
      </c>
      <c r="I679" s="17" t="n">
        <v>290247.6</v>
      </c>
      <c r="J679" s="18" t="n">
        <v>6849</v>
      </c>
      <c r="K679" s="19" t="n">
        <v>6571</v>
      </c>
      <c r="L679" s="18" t="n">
        <v>4187</v>
      </c>
      <c r="M679" s="19" t="n">
        <v>3863</v>
      </c>
      <c r="N679" s="18" t="n">
        <v>3490</v>
      </c>
      <c r="O679" s="19" t="n">
        <v>9046</v>
      </c>
      <c r="P679" s="18" t="n">
        <v>5130</v>
      </c>
      <c r="Q679" s="19" t="inlineStr"/>
      <c r="R679" s="18" t="inlineStr"/>
      <c r="S679" s="20" t="n">
        <v>14894831</v>
      </c>
      <c r="T679" s="6" t="n">
        <v>1</v>
      </c>
      <c r="U679" s="5" t="inlineStr">
        <is>
          <t>증착시스템 및 증발원 등</t>
        </is>
      </c>
      <c r="V679" s="21">
        <f>HYPERLINK("https://dart.fss.or.kr/dsaf001/main.do?rcpNo=20260814001714", "공시열람")</f>
        <v/>
      </c>
    </row>
    <row r="680">
      <c r="A680" s="5" t="inlineStr">
        <is>
          <t>한국비엔씨</t>
        </is>
      </c>
      <c r="B680" s="6" t="inlineStr">
        <is>
          <t>256840</t>
        </is>
      </c>
      <c r="C680" s="6" t="inlineStr">
        <is>
          <t>2026Q2</t>
        </is>
      </c>
      <c r="D680" s="6" t="inlineStr">
        <is>
          <t>20260814</t>
        </is>
      </c>
      <c r="E680" s="16" t="n">
        <v>10154025</v>
      </c>
      <c r="F680" s="16" t="n">
        <v>10154025</v>
      </c>
      <c r="G680" s="16" t="n">
        <v>0</v>
      </c>
      <c r="H680" s="6" t="inlineStr">
        <is>
          <t>천개,천원</t>
        </is>
      </c>
      <c r="I680" s="17" t="n">
        <v>-100</v>
      </c>
      <c r="J680" s="18" t="n">
        <v>9191310</v>
      </c>
      <c r="K680" s="19" t="n">
        <v>8557412</v>
      </c>
      <c r="L680" s="18" t="n">
        <v>7648468</v>
      </c>
      <c r="M680" s="19" t="n">
        <v>6057684</v>
      </c>
      <c r="N680" s="18" t="n">
        <v>5531430</v>
      </c>
      <c r="O680" s="19" t="n">
        <v>3972414</v>
      </c>
      <c r="P680" s="18" t="n">
        <v>3444900</v>
      </c>
      <c r="Q680" s="19" t="n">
        <v>2038169</v>
      </c>
      <c r="R680" s="18" t="n">
        <v>429256</v>
      </c>
      <c r="S680" s="20" t="n">
        <v>0</v>
      </c>
      <c r="T680" s="6" t="n">
        <v>1</v>
      </c>
      <c r="U680" s="5" t="inlineStr">
        <is>
          <t>메조테라피 등 6개품목 / 2024.01.01 / 20</t>
        </is>
      </c>
      <c r="V680" s="21">
        <f>HYPERLINK("https://dart.fss.or.kr/dsaf001/main.do?rcpNo=20260814004180", "공시열람")</f>
        <v/>
      </c>
    </row>
    <row r="681">
      <c r="A681" s="5" t="inlineStr">
        <is>
          <t>킵스파마</t>
        </is>
      </c>
      <c r="B681" s="6" t="inlineStr">
        <is>
          <t>256940</t>
        </is>
      </c>
      <c r="C681" s="6" t="inlineStr">
        <is>
          <t>2025Q1</t>
        </is>
      </c>
      <c r="D681" s="6" t="inlineStr">
        <is>
          <t>20250515</t>
        </is>
      </c>
      <c r="E681" s="16" t="n">
        <v>51890</v>
      </c>
      <c r="F681" s="16" t="n">
        <v>54140</v>
      </c>
      <c r="G681" s="16" t="n">
        <v>1151</v>
      </c>
      <c r="H681" s="6" t="inlineStr">
        <is>
          <t>백만원</t>
        </is>
      </c>
      <c r="I681" s="17" t="n">
        <v>-0.3</v>
      </c>
      <c r="J681" s="18" t="n">
        <v>3983</v>
      </c>
      <c r="K681" s="19" t="n">
        <v>3983</v>
      </c>
      <c r="L681" s="18" t="n">
        <v>1038</v>
      </c>
      <c r="M681" s="19" t="n">
        <v>1154</v>
      </c>
      <c r="N681" s="18" t="n">
        <v>1151</v>
      </c>
      <c r="O681" s="19" t="inlineStr"/>
      <c r="P681" s="18" t="inlineStr"/>
      <c r="Q681" s="19" t="inlineStr"/>
      <c r="R681" s="18" t="inlineStr"/>
      <c r="S681" s="20" t="inlineStr"/>
      <c r="T681" s="6" t="n">
        <v>4</v>
      </c>
      <c r="U681" s="5" t="inlineStr">
        <is>
          <t>OLED 장비 / 2023년 | OLED 장비 / 2016년 / 2017년 | OLED 장비 / 2024년</t>
        </is>
      </c>
      <c r="V681" s="21">
        <f>HYPERLINK("https://dart.fss.or.kr/dsaf001/main.do?rcpNo=20250515002869", "공시열람")</f>
        <v/>
      </c>
    </row>
    <row r="682">
      <c r="A682" s="5" t="inlineStr">
        <is>
          <t>피엔티엠에스</t>
        </is>
      </c>
      <c r="B682" s="6" t="inlineStr">
        <is>
          <t>257370</t>
        </is>
      </c>
      <c r="C682" s="6" t="inlineStr">
        <is>
          <t>2026Q2</t>
        </is>
      </c>
      <c r="D682" s="6" t="inlineStr">
        <is>
          <t>20260812</t>
        </is>
      </c>
      <c r="E682" s="16" t="n">
        <v>29172</v>
      </c>
      <c r="F682" s="16" t="n">
        <v>6383</v>
      </c>
      <c r="G682" s="16" t="n">
        <v>22789</v>
      </c>
      <c r="H682" s="6" t="inlineStr">
        <is>
          <t>백만원</t>
        </is>
      </c>
      <c r="I682" s="17" t="n">
        <v>-21.9</v>
      </c>
      <c r="J682" s="18" t="n">
        <v>38920</v>
      </c>
      <c r="K682" s="19" t="n">
        <v>41984</v>
      </c>
      <c r="L682" s="18" t="n">
        <v>36550</v>
      </c>
      <c r="M682" s="19" t="n">
        <v>34600</v>
      </c>
      <c r="N682" s="18" t="n">
        <v>30500</v>
      </c>
      <c r="O682" s="19" t="n">
        <v>27000</v>
      </c>
      <c r="P682" s="18" t="n">
        <v>27000</v>
      </c>
      <c r="Q682" s="19" t="n">
        <v>27000</v>
      </c>
      <c r="R682" s="18" t="n">
        <v>29172</v>
      </c>
      <c r="S682" s="20" t="n">
        <v>22789</v>
      </c>
      <c r="T682" s="6" t="n">
        <v>3</v>
      </c>
      <c r="U682" s="5" t="inlineStr">
        <is>
          <t>SEPARATOR FILM LINE 설비(제작, 설치) | Tentar Cure Machine 제작_1SET /  | HP 03/04 Line Swelling 추출조 건조조</t>
        </is>
      </c>
      <c r="V682" s="21">
        <f>HYPERLINK("https://dart.fss.or.kr/dsaf001/main.do?rcpNo=20260812000533", "공시열람")</f>
        <v/>
      </c>
    </row>
    <row r="683">
      <c r="A683" s="5" t="inlineStr">
        <is>
          <t>테크트랜스</t>
        </is>
      </c>
      <c r="B683" s="6" t="inlineStr">
        <is>
          <t>258050</t>
        </is>
      </c>
      <c r="C683" s="6" t="inlineStr">
        <is>
          <t>2023Q4</t>
        </is>
      </c>
      <c r="D683" s="6" t="inlineStr">
        <is>
          <t>20240320</t>
        </is>
      </c>
      <c r="E683" s="16" t="n">
        <v>13000000000</v>
      </c>
      <c r="F683" s="16" t="n">
        <v>197810</v>
      </c>
      <c r="G683" s="16" t="n">
        <v>12802190</v>
      </c>
      <c r="H683" s="6" t="inlineStr"/>
      <c r="I683" s="17" t="inlineStr"/>
      <c r="J683" s="18" t="inlineStr"/>
      <c r="K683" s="19" t="inlineStr"/>
      <c r="L683" s="18" t="inlineStr"/>
      <c r="M683" s="19" t="inlineStr"/>
      <c r="N683" s="18" t="inlineStr"/>
      <c r="O683" s="19" t="inlineStr"/>
      <c r="P683" s="18" t="inlineStr"/>
      <c r="Q683" s="19" t="inlineStr"/>
      <c r="R683" s="18" t="inlineStr"/>
      <c r="S683" s="20" t="inlineStr"/>
      <c r="T683" s="6" t="n">
        <v>1</v>
      </c>
      <c r="U683" s="5" t="inlineStr">
        <is>
          <t>안마의자부품</t>
        </is>
      </c>
      <c r="V683" s="21">
        <f>HYPERLINK("https://dart.fss.or.kr/dsaf001/main.do?rcpNo=20240320000610", "공시열람")</f>
        <v/>
      </c>
    </row>
    <row r="684">
      <c r="A684" s="5" t="inlineStr">
        <is>
          <t>케일럼</t>
        </is>
      </c>
      <c r="B684" s="6" t="inlineStr">
        <is>
          <t>258610</t>
        </is>
      </c>
      <c r="C684" s="6" t="inlineStr">
        <is>
          <t>2026Q2</t>
        </is>
      </c>
      <c r="D684" s="6" t="inlineStr">
        <is>
          <t>20260930</t>
        </is>
      </c>
      <c r="E684" s="16" t="n">
        <v>302066</v>
      </c>
      <c r="F684" s="16" t="n">
        <v>139452</v>
      </c>
      <c r="G684" s="16" t="n">
        <v>162614</v>
      </c>
      <c r="H684" s="6" t="inlineStr">
        <is>
          <t>백만원</t>
        </is>
      </c>
      <c r="I684" s="17" t="n">
        <v>-3.9</v>
      </c>
      <c r="J684" s="18" t="n">
        <v>245607</v>
      </c>
      <c r="K684" s="19" t="n">
        <v>241091</v>
      </c>
      <c r="L684" s="18" t="n">
        <v>236443</v>
      </c>
      <c r="M684" s="19" t="n">
        <v>231564</v>
      </c>
      <c r="N684" s="18" t="n">
        <v>219019</v>
      </c>
      <c r="O684" s="19" t="n">
        <v>214777</v>
      </c>
      <c r="P684" s="18" t="n">
        <v>180785</v>
      </c>
      <c r="Q684" s="19" t="n">
        <v>175561</v>
      </c>
      <c r="R684" s="18" t="n">
        <v>169247</v>
      </c>
      <c r="S684" s="20" t="n">
        <v>162614</v>
      </c>
      <c r="T684" s="6" t="n">
        <v>12</v>
      </c>
      <c r="U684" s="5" t="inlineStr">
        <is>
          <t>MTU Seal 2차 / 2019년 / 2035년 | LM2500 LPT / 2015년 / 2030년 | LEAP 1B VANE 1단계 / 2022년 / 203</t>
        </is>
      </c>
      <c r="V684" s="21">
        <f>HYPERLINK("https://dart.fss.or.kr/dsaf001/main.do?rcpNo=20260930000171", "공시열람")</f>
        <v/>
      </c>
    </row>
    <row r="685">
      <c r="A685" s="5" t="inlineStr">
        <is>
          <t>엠플러스</t>
        </is>
      </c>
      <c r="B685" s="6" t="inlineStr">
        <is>
          <t>259630</t>
        </is>
      </c>
      <c r="C685" s="6" t="inlineStr">
        <is>
          <t>2026Q2</t>
        </is>
      </c>
      <c r="D685" s="6" t="inlineStr">
        <is>
          <t>20260814</t>
        </is>
      </c>
      <c r="E685" s="16" t="n">
        <v>1461</v>
      </c>
      <c r="F685" s="16" t="n">
        <v>830</v>
      </c>
      <c r="G685" s="16" t="n">
        <v>631</v>
      </c>
      <c r="H685" s="6" t="inlineStr">
        <is>
          <t>억원</t>
        </is>
      </c>
      <c r="I685" s="17" t="n">
        <v>-42.3</v>
      </c>
      <c r="J685" s="18" t="n">
        <v>3097</v>
      </c>
      <c r="K685" s="19" t="n">
        <v>2847</v>
      </c>
      <c r="L685" s="18" t="n">
        <v>2746</v>
      </c>
      <c r="M685" s="19" t="n">
        <v>2225</v>
      </c>
      <c r="N685" s="18" t="n">
        <v>2604</v>
      </c>
      <c r="O685" s="19" t="n">
        <v>2262</v>
      </c>
      <c r="P685" s="18" t="n">
        <v>1706</v>
      </c>
      <c r="Q685" s="19" t="n">
        <v>1721</v>
      </c>
      <c r="R685" s="18" t="n">
        <v>1094</v>
      </c>
      <c r="S685" s="20" t="n">
        <v>631</v>
      </c>
      <c r="T685" s="6" t="n">
        <v>1</v>
      </c>
      <c r="U685" s="5" t="inlineStr">
        <is>
          <t>이차전지 조립장비 / -</t>
        </is>
      </c>
      <c r="V685" s="21">
        <f>HYPERLINK("https://dart.fss.or.kr/dsaf001/main.do?rcpNo=20260814003181", "공시열람")</f>
        <v/>
      </c>
    </row>
    <row r="686">
      <c r="A686" s="5" t="inlineStr">
        <is>
          <t>아이퀘스트</t>
        </is>
      </c>
      <c r="B686" s="6" t="inlineStr">
        <is>
          <t>262840</t>
        </is>
      </c>
      <c r="C686" s="6" t="inlineStr">
        <is>
          <t>2026Q2</t>
        </is>
      </c>
      <c r="D686" s="6" t="inlineStr">
        <is>
          <t>20260812</t>
        </is>
      </c>
      <c r="E686" s="16" t="n">
        <v>25051</v>
      </c>
      <c r="F686" s="16" t="n">
        <v>10595</v>
      </c>
      <c r="G686" s="16" t="n">
        <v>14456</v>
      </c>
      <c r="H686" s="6" t="inlineStr">
        <is>
          <t>백만원</t>
        </is>
      </c>
      <c r="I686" s="17" t="n">
        <v>-3.4</v>
      </c>
      <c r="J686" s="18" t="n">
        <v>13970</v>
      </c>
      <c r="K686" s="19" t="n">
        <v>10609</v>
      </c>
      <c r="L686" s="18" t="n">
        <v>9930</v>
      </c>
      <c r="M686" s="19" t="n">
        <v>7320</v>
      </c>
      <c r="N686" s="18" t="n">
        <v>14588</v>
      </c>
      <c r="O686" s="19" t="n">
        <v>13817</v>
      </c>
      <c r="P686" s="18" t="n">
        <v>10002</v>
      </c>
      <c r="Q686" s="19" t="n">
        <v>7292</v>
      </c>
      <c r="R686" s="18" t="n">
        <v>14959</v>
      </c>
      <c r="S686" s="20" t="n">
        <v>14456</v>
      </c>
      <c r="T686" s="6" t="n">
        <v>2</v>
      </c>
      <c r="U686" s="5" t="inlineStr">
        <is>
          <t>IT 컨설팅 / 시스템 구축 및 운영/유지 보수 / ' | B2B 소프트웨어 / SAP B1 ERP 공급 및 구축</t>
        </is>
      </c>
      <c r="V686" s="21">
        <f>HYPERLINK("https://dart.fss.or.kr/dsaf001/main.do?rcpNo=20260812000182", "공시열람")</f>
        <v/>
      </c>
    </row>
    <row r="687">
      <c r="A687" s="5" t="inlineStr">
        <is>
          <t>디케이앤디</t>
        </is>
      </c>
      <c r="B687" s="6" t="inlineStr">
        <is>
          <t>263020</t>
        </is>
      </c>
      <c r="C687" s="6" t="inlineStr">
        <is>
          <t>2026Q2</t>
        </is>
      </c>
      <c r="D687" s="6" t="inlineStr">
        <is>
          <t>20260813</t>
        </is>
      </c>
      <c r="E687" s="16" t="n">
        <v>18443</v>
      </c>
      <c r="F687" s="16" t="n">
        <v>15255</v>
      </c>
      <c r="G687" s="16" t="n">
        <v>3188</v>
      </c>
      <c r="H687" s="6" t="inlineStr">
        <is>
          <t>YD,백만원</t>
        </is>
      </c>
      <c r="I687" s="17" t="n">
        <v>-37.9</v>
      </c>
      <c r="J687" s="18" t="inlineStr"/>
      <c r="K687" s="19" t="inlineStr"/>
      <c r="L687" s="18" t="inlineStr"/>
      <c r="M687" s="19" t="inlineStr"/>
      <c r="N687" s="18" t="n">
        <v>14575</v>
      </c>
      <c r="O687" s="19" t="inlineStr"/>
      <c r="P687" s="18" t="inlineStr"/>
      <c r="Q687" s="19" t="inlineStr"/>
      <c r="R687" s="18" t="n">
        <v>5130</v>
      </c>
      <c r="S687" s="20" t="n">
        <v>3188</v>
      </c>
      <c r="T687" s="6" t="n">
        <v>1</v>
      </c>
      <c r="U687" s="5" t="inlineStr">
        <is>
          <t>헤드셋용 합성피혁 / 2024.10.23 / 2027.</t>
        </is>
      </c>
      <c r="V687" s="21">
        <f>HYPERLINK("https://dart.fss.or.kr/dsaf001/main.do?rcpNo=20260813001190", "공시열람")</f>
        <v/>
      </c>
    </row>
    <row r="688">
      <c r="A688" s="5" t="inlineStr">
        <is>
          <t>유틸렉스</t>
        </is>
      </c>
      <c r="B688" s="6" t="inlineStr">
        <is>
          <t>263050</t>
        </is>
      </c>
      <c r="C688" s="6" t="inlineStr">
        <is>
          <t>2026Q2</t>
        </is>
      </c>
      <c r="D688" s="6" t="inlineStr">
        <is>
          <t>20260814</t>
        </is>
      </c>
      <c r="E688" s="16" t="n">
        <v>3359832</v>
      </c>
      <c r="F688" s="16" t="n">
        <v>1527457</v>
      </c>
      <c r="G688" s="16" t="n">
        <v>1832375</v>
      </c>
      <c r="H688" s="6" t="inlineStr">
        <is>
          <t>천원</t>
        </is>
      </c>
      <c r="I688" s="17" t="n">
        <v>-53.5</v>
      </c>
      <c r="J688" s="18" t="inlineStr"/>
      <c r="K688" s="19" t="n">
        <v>1905455</v>
      </c>
      <c r="L688" s="18" t="n">
        <v>960566</v>
      </c>
      <c r="M688" s="19" t="n">
        <v>690673</v>
      </c>
      <c r="N688" s="18" t="n">
        <v>512050</v>
      </c>
      <c r="O688" s="19" t="n">
        <v>1967977</v>
      </c>
      <c r="P688" s="18" t="n">
        <v>3756945</v>
      </c>
      <c r="Q688" s="19" t="n">
        <v>1939095</v>
      </c>
      <c r="R688" s="18" t="n">
        <v>3939263</v>
      </c>
      <c r="S688" s="20" t="n">
        <v>1832375</v>
      </c>
      <c r="T688" s="6" t="n">
        <v>3</v>
      </c>
      <c r="U688" s="5" t="inlineStr">
        <is>
          <t>2025 건강보험공단 징수 차세대-자격 / 2026-0 | 2025 건강보험공단 징수 차세대-수납 연계/위탁회계  | 2025년 건강보험공단 기능개선사업 / 2025-05-</t>
        </is>
      </c>
      <c r="V688" s="21">
        <f>HYPERLINK("https://dart.fss.or.kr/dsaf001/main.do?rcpNo=20260814003647", "공시열람")</f>
        <v/>
      </c>
    </row>
    <row r="689">
      <c r="A689" s="5" t="inlineStr">
        <is>
          <t>데이타솔루션</t>
        </is>
      </c>
      <c r="B689" s="6" t="inlineStr">
        <is>
          <t>263800</t>
        </is>
      </c>
      <c r="C689" s="6" t="inlineStr">
        <is>
          <t>2024Q4</t>
        </is>
      </c>
      <c r="D689" s="6" t="inlineStr">
        <is>
          <t>20250312</t>
        </is>
      </c>
      <c r="E689" s="16" t="n">
        <v>5985</v>
      </c>
      <c r="F689" s="16" t="n">
        <v>5664</v>
      </c>
      <c r="G689" s="16" t="n">
        <v>321</v>
      </c>
      <c r="H689" s="6" t="inlineStr"/>
      <c r="I689" s="17" t="n">
        <v>365.2</v>
      </c>
      <c r="J689" s="18" t="n">
        <v>535</v>
      </c>
      <c r="K689" s="19" t="n">
        <v>203</v>
      </c>
      <c r="L689" s="18" t="n">
        <v>69</v>
      </c>
      <c r="M689" s="19" t="n">
        <v>321</v>
      </c>
      <c r="N689" s="18" t="inlineStr"/>
      <c r="O689" s="19" t="inlineStr"/>
      <c r="P689" s="18" t="inlineStr"/>
      <c r="Q689" s="19" t="inlineStr"/>
      <c r="R689" s="18" t="inlineStr"/>
      <c r="S689" s="20" t="inlineStr"/>
      <c r="T689" s="6" t="n">
        <v>1</v>
      </c>
      <c r="U689" s="5" t="inlineStr">
        <is>
          <t>시스템통합 / 2020-10-16 / 2025-03-3</t>
        </is>
      </c>
      <c r="V689" s="21">
        <f>HYPERLINK("https://dart.fss.or.kr/dsaf001/main.do?rcpNo=20250312000588", "공시열람")</f>
        <v/>
      </c>
    </row>
    <row r="690">
      <c r="A690" s="5" t="inlineStr">
        <is>
          <t>유비쿼스</t>
        </is>
      </c>
      <c r="B690" s="6" t="inlineStr">
        <is>
          <t>264450</t>
        </is>
      </c>
      <c r="C690" s="6" t="inlineStr">
        <is>
          <t>2026Q2</t>
        </is>
      </c>
      <c r="D690" s="6" t="inlineStr">
        <is>
          <t>20260814</t>
        </is>
      </c>
      <c r="E690" s="16" t="n">
        <v>179424</v>
      </c>
      <c r="F690" s="16" t="n">
        <v>91937</v>
      </c>
      <c r="G690" s="16" t="n">
        <v>87487</v>
      </c>
      <c r="H690" s="6" t="inlineStr">
        <is>
          <t>백만원</t>
        </is>
      </c>
      <c r="I690" s="17" t="n">
        <v>-15.1</v>
      </c>
      <c r="J690" s="18" t="n">
        <v>171554</v>
      </c>
      <c r="K690" s="19" t="n">
        <v>167430</v>
      </c>
      <c r="L690" s="18" t="n">
        <v>161375</v>
      </c>
      <c r="M690" s="19" t="n">
        <v>147635</v>
      </c>
      <c r="N690" s="18" t="n">
        <v>141886</v>
      </c>
      <c r="O690" s="19" t="n">
        <v>136578</v>
      </c>
      <c r="P690" s="18" t="n">
        <v>124743</v>
      </c>
      <c r="Q690" s="19" t="n">
        <v>112050</v>
      </c>
      <c r="R690" s="18" t="n">
        <v>103021</v>
      </c>
      <c r="S690" s="20" t="n">
        <v>87487</v>
      </c>
      <c r="T690" s="6" t="n">
        <v>1</v>
      </c>
      <c r="U690" s="5" t="inlineStr">
        <is>
          <t>LGU+ 가입자망용 EPON/스위치 단가계약</t>
        </is>
      </c>
      <c r="V690" s="21">
        <f>HYPERLINK("https://dart.fss.or.kr/dsaf001/main.do?rcpNo=20260814001072", "공시열람")</f>
        <v/>
      </c>
    </row>
    <row r="691">
      <c r="A691" s="5" t="inlineStr">
        <is>
          <t>씨앤지하이테크</t>
        </is>
      </c>
      <c r="B691" s="6" t="inlineStr">
        <is>
          <t>264660</t>
        </is>
      </c>
      <c r="C691" s="6" t="inlineStr">
        <is>
          <t>2026Q2</t>
        </is>
      </c>
      <c r="D691" s="6" t="inlineStr">
        <is>
          <t>20260813</t>
        </is>
      </c>
      <c r="E691" s="16" t="n">
        <v>58524</v>
      </c>
      <c r="F691" s="16" t="n">
        <v>33338</v>
      </c>
      <c r="G691" s="16" t="n">
        <v>25186</v>
      </c>
      <c r="H691" s="6" t="inlineStr">
        <is>
          <t>백만원</t>
        </is>
      </c>
      <c r="I691" s="17" t="inlineStr"/>
      <c r="J691" s="18" t="n">
        <v>50912</v>
      </c>
      <c r="K691" s="19" t="n">
        <v>4592</v>
      </c>
      <c r="L691" s="18" t="n">
        <v>18563</v>
      </c>
      <c r="M691" s="19" t="n">
        <v>3163</v>
      </c>
      <c r="N691" s="18" t="n">
        <v>24074</v>
      </c>
      <c r="O691" s="19" t="n">
        <v>19107</v>
      </c>
      <c r="P691" s="18" t="n">
        <v>9322</v>
      </c>
      <c r="Q691" s="19" t="n">
        <v>0</v>
      </c>
      <c r="R691" s="18" t="n">
        <v>0</v>
      </c>
      <c r="S691" s="20" t="n">
        <v>25186</v>
      </c>
      <c r="T691" s="6" t="n">
        <v>2</v>
      </c>
      <c r="U691" s="5" t="inlineStr">
        <is>
          <t>반도체 등 제조장비 / 2026.06.27 / 2026 | 반도체 등 제조장비 / 2026.04.10 / 2026</t>
        </is>
      </c>
      <c r="V691" s="21">
        <f>HYPERLINK("https://dart.fss.or.kr/dsaf001/main.do?rcpNo=20260813000962", "공시열람")</f>
        <v/>
      </c>
    </row>
    <row r="692">
      <c r="A692" s="5" t="inlineStr">
        <is>
          <t>AP시스템</t>
        </is>
      </c>
      <c r="B692" s="6" t="inlineStr">
        <is>
          <t>265520</t>
        </is>
      </c>
      <c r="C692" s="6" t="inlineStr">
        <is>
          <t>2026Q2</t>
        </is>
      </c>
      <c r="D692" s="6" t="inlineStr">
        <is>
          <t>20260814</t>
        </is>
      </c>
      <c r="E692" s="16" t="n">
        <v>804989</v>
      </c>
      <c r="F692" s="16" t="n">
        <v>591790</v>
      </c>
      <c r="G692" s="16" t="n">
        <v>213199</v>
      </c>
      <c r="H692" s="6" t="inlineStr">
        <is>
          <t>백만원</t>
        </is>
      </c>
      <c r="I692" s="17" t="n">
        <v>14.4</v>
      </c>
      <c r="J692" s="18" t="n">
        <v>211401</v>
      </c>
      <c r="K692" s="19" t="n">
        <v>190627</v>
      </c>
      <c r="L692" s="18" t="n">
        <v>175169</v>
      </c>
      <c r="M692" s="19" t="n">
        <v>140816</v>
      </c>
      <c r="N692" s="18" t="n">
        <v>91781</v>
      </c>
      <c r="O692" s="19" t="n">
        <v>131161</v>
      </c>
      <c r="P692" s="18" t="n">
        <v>211308</v>
      </c>
      <c r="Q692" s="19" t="n">
        <v>228659</v>
      </c>
      <c r="R692" s="18" t="n">
        <v>186441</v>
      </c>
      <c r="S692" s="20" t="n">
        <v>213199</v>
      </c>
      <c r="T692" s="6" t="n">
        <v>3</v>
      </c>
      <c r="U692" s="5" t="inlineStr">
        <is>
          <t>디스플레이 제조장비 / - | 반도체 제조장비 / - | 이차전지 제조장비 / -</t>
        </is>
      </c>
      <c r="V692" s="21">
        <f>HYPERLINK("https://dart.fss.or.kr/dsaf001/main.do?rcpNo=20260814003234", "공시열람")</f>
        <v/>
      </c>
    </row>
    <row r="693">
      <c r="A693" s="5" t="inlineStr">
        <is>
          <t>덕산넵코어스</t>
        </is>
      </c>
      <c r="B693" s="6" t="inlineStr">
        <is>
          <t>266690</t>
        </is>
      </c>
      <c r="C693" s="6" t="inlineStr">
        <is>
          <t>2025Q3</t>
        </is>
      </c>
      <c r="D693" s="6" t="inlineStr">
        <is>
          <t>20251114</t>
        </is>
      </c>
      <c r="E693" s="16" t="n">
        <v>966</v>
      </c>
      <c r="F693" s="16" t="n">
        <v>312</v>
      </c>
      <c r="G693" s="16" t="n">
        <v>654</v>
      </c>
      <c r="H693" s="6" t="inlineStr">
        <is>
          <t>억원</t>
        </is>
      </c>
      <c r="I693" s="17" t="inlineStr"/>
      <c r="J693" s="18" t="inlineStr"/>
      <c r="K693" s="19" t="inlineStr"/>
      <c r="L693" s="18" t="inlineStr"/>
      <c r="M693" s="19" t="inlineStr"/>
      <c r="N693" s="18" t="inlineStr"/>
      <c r="O693" s="19" t="inlineStr"/>
      <c r="P693" s="18" t="n">
        <v>654</v>
      </c>
      <c r="Q693" s="19" t="inlineStr"/>
      <c r="R693" s="18" t="inlineStr"/>
      <c r="S693" s="20" t="inlineStr"/>
      <c r="T693" s="6" t="n">
        <v>1</v>
      </c>
      <c r="U693" s="5" t="inlineStr">
        <is>
          <t>-</t>
        </is>
      </c>
      <c r="V693" s="21">
        <f>HYPERLINK("https://dart.fss.or.kr/dsaf001/main.do?rcpNo=20251114000710", "공시열람")</f>
        <v/>
      </c>
    </row>
    <row r="694">
      <c r="A694" s="5" t="inlineStr">
        <is>
          <t>HD현대</t>
        </is>
      </c>
      <c r="B694" s="6" t="inlineStr">
        <is>
          <t>267250</t>
        </is>
      </c>
      <c r="C694" s="6" t="inlineStr">
        <is>
          <t>2026Q2</t>
        </is>
      </c>
      <c r="D694" s="6" t="inlineStr">
        <is>
          <t>20260814</t>
        </is>
      </c>
      <c r="E694" s="16" t="inlineStr"/>
      <c r="F694" s="16" t="inlineStr"/>
      <c r="G694" s="16" t="n">
        <v>2243852713</v>
      </c>
      <c r="H694" s="6" t="inlineStr">
        <is>
          <t>천원,천USD,천JPY</t>
        </is>
      </c>
      <c r="I694" s="17" t="n">
        <v>2418.6</v>
      </c>
      <c r="J694" s="18" t="n">
        <v>77179596</v>
      </c>
      <c r="K694" s="19" t="n">
        <v>78510928</v>
      </c>
      <c r="L694" s="18" t="n">
        <v>77076074</v>
      </c>
      <c r="M694" s="19" t="n">
        <v>83508459</v>
      </c>
      <c r="N694" s="18" t="n">
        <v>84046817</v>
      </c>
      <c r="O694" s="19" t="n">
        <v>81442477</v>
      </c>
      <c r="P694" s="18" t="n">
        <v>79890507</v>
      </c>
      <c r="Q694" s="19" t="n">
        <v>82236880</v>
      </c>
      <c r="R694" s="18" t="n">
        <v>89093027</v>
      </c>
      <c r="S694" s="20" t="n">
        <v>2243852713</v>
      </c>
      <c r="T694" s="6" t="n">
        <v>3</v>
      </c>
      <c r="U694" s="5" t="inlineStr">
        <is>
          <t>매매목적 / 통화선도 / 약정환율로 만기일 매도 | 현금흐름위험회피 / 원유선도 등 / 약정가격으로 만기일 | 현금흐름위험회피 / 통화선도 / 약정환율로 만기일 매입</t>
        </is>
      </c>
      <c r="V694" s="21">
        <f>HYPERLINK("https://dart.fss.or.kr/dsaf001/main.do?rcpNo=20260814003420", "공시열람")</f>
        <v/>
      </c>
    </row>
    <row r="695">
      <c r="A695" s="5" t="inlineStr">
        <is>
          <t>HD현대일렉트릭</t>
        </is>
      </c>
      <c r="B695" s="6" t="inlineStr">
        <is>
          <t>267260</t>
        </is>
      </c>
      <c r="C695" s="6" t="inlineStr">
        <is>
          <t>2026Q2</t>
        </is>
      </c>
      <c r="D695" s="6" t="inlineStr">
        <is>
          <t>20260814</t>
        </is>
      </c>
      <c r="E695" s="16" t="n">
        <v>14488813</v>
      </c>
      <c r="F695" s="16" t="n">
        <v>2178313</v>
      </c>
      <c r="G695" s="16" t="n">
        <v>12310500</v>
      </c>
      <c r="H695" s="6" t="inlineStr">
        <is>
          <t>백만원</t>
        </is>
      </c>
      <c r="I695" s="17" t="n">
        <v>7.6</v>
      </c>
      <c r="J695" s="18" t="n">
        <v>6497280</v>
      </c>
      <c r="K695" s="19" t="n">
        <v>7090200</v>
      </c>
      <c r="L695" s="18" t="n">
        <v>7180670</v>
      </c>
      <c r="M695" s="19" t="n">
        <v>7646580</v>
      </c>
      <c r="N695" s="18" t="n">
        <v>8493900</v>
      </c>
      <c r="O695" s="19" t="n">
        <v>8711500</v>
      </c>
      <c r="P695" s="18" t="n">
        <v>9566710</v>
      </c>
      <c r="Q695" s="19" t="n">
        <v>9423400</v>
      </c>
      <c r="R695" s="18" t="n">
        <v>11437600</v>
      </c>
      <c r="S695" s="20" t="n">
        <v>12310500</v>
      </c>
      <c r="T695" s="6" t="n">
        <v>1</v>
      </c>
      <c r="U695" s="5" t="inlineStr">
        <is>
          <t>전기전자부문 / 변압기, 고압차단기회전기, 저압전동기배</t>
        </is>
      </c>
      <c r="V695" s="21">
        <f>HYPERLINK("https://dart.fss.or.kr/dsaf001/main.do?rcpNo=20260814003228", "공시열람")</f>
        <v/>
      </c>
    </row>
    <row r="696">
      <c r="A696" s="5" t="inlineStr">
        <is>
          <t>아시아나IDT</t>
        </is>
      </c>
      <c r="B696" s="6" t="inlineStr">
        <is>
          <t>267850</t>
        </is>
      </c>
      <c r="C696" s="6" t="inlineStr">
        <is>
          <t>2026Q2</t>
        </is>
      </c>
      <c r="D696" s="6" t="inlineStr">
        <is>
          <t>20260812</t>
        </is>
      </c>
      <c r="E696" s="16" t="n">
        <v>2526</v>
      </c>
      <c r="F696" s="16" t="n">
        <v>1418</v>
      </c>
      <c r="G696" s="16" t="n">
        <v>1108</v>
      </c>
      <c r="H696" s="6" t="inlineStr">
        <is>
          <t>억원</t>
        </is>
      </c>
      <c r="I696" s="17" t="n">
        <v>-19.1</v>
      </c>
      <c r="J696" s="18" t="n">
        <v>479</v>
      </c>
      <c r="K696" s="19" t="n">
        <v>502</v>
      </c>
      <c r="L696" s="18" t="n">
        <v>441</v>
      </c>
      <c r="M696" s="19" t="n">
        <v>551</v>
      </c>
      <c r="N696" s="18" t="n">
        <v>446</v>
      </c>
      <c r="O696" s="19" t="n">
        <v>324</v>
      </c>
      <c r="P696" s="18" t="n">
        <v>634</v>
      </c>
      <c r="Q696" s="19" t="n">
        <v>768</v>
      </c>
      <c r="R696" s="18" t="n">
        <v>1370</v>
      </c>
      <c r="S696" s="20" t="n">
        <v>1108</v>
      </c>
      <c r="T696" s="6" t="n">
        <v>2</v>
      </c>
      <c r="U696" s="5" t="inlineStr">
        <is>
          <t>운영유지보수 / - | 컨설팅/SI 등 / -</t>
        </is>
      </c>
      <c r="V696" s="21">
        <f>HYPERLINK("https://dart.fss.or.kr/dsaf001/main.do?rcpNo=20260812000800", "공시열람")</f>
        <v/>
      </c>
    </row>
    <row r="697">
      <c r="A697" s="5" t="inlineStr">
        <is>
          <t>에스알바이오텍</t>
        </is>
      </c>
      <c r="B697" s="6" t="inlineStr">
        <is>
          <t>270210</t>
        </is>
      </c>
      <c r="C697" s="6" t="inlineStr">
        <is>
          <t>2024Q4</t>
        </is>
      </c>
      <c r="D697" s="6" t="inlineStr">
        <is>
          <t>20250319</t>
        </is>
      </c>
      <c r="E697" s="16" t="n">
        <v>8125274</v>
      </c>
      <c r="F697" s="16" t="inlineStr"/>
      <c r="G697" s="16" t="n">
        <v>3735917</v>
      </c>
      <c r="H697" s="6" t="inlineStr"/>
      <c r="I697" s="17" t="n">
        <v>80.59999999999999</v>
      </c>
      <c r="J697" s="18" t="inlineStr"/>
      <c r="K697" s="19" t="inlineStr"/>
      <c r="L697" s="18" t="inlineStr"/>
      <c r="M697" s="19" t="n">
        <v>3735917</v>
      </c>
      <c r="N697" s="18" t="inlineStr"/>
      <c r="O697" s="19" t="inlineStr"/>
      <c r="P697" s="18" t="inlineStr"/>
      <c r="Q697" s="19" t="inlineStr"/>
      <c r="R697" s="18" t="inlineStr"/>
      <c r="S697" s="20" t="inlineStr"/>
      <c r="T697" s="6" t="n">
        <v>6</v>
      </c>
      <c r="U697" s="5" t="inlineStr">
        <is>
          <t>주식회사 스킨천사 / 제품 / 5월~12월 | (주)제이크리컴퍼니 / 제품 / 12월 | 엔비엘케이 / 제품 / 12월</t>
        </is>
      </c>
      <c r="V697" s="21">
        <f>HYPERLINK("https://dart.fss.or.kr/dsaf001/main.do?rcpNo=20250319000677", "공시열람")</f>
        <v/>
      </c>
    </row>
    <row r="698">
      <c r="A698" s="5" t="inlineStr">
        <is>
          <t>에브리봇</t>
        </is>
      </c>
      <c r="B698" s="6" t="inlineStr">
        <is>
          <t>270660</t>
        </is>
      </c>
      <c r="C698" s="6" t="inlineStr">
        <is>
          <t>2025Q3</t>
        </is>
      </c>
      <c r="D698" s="6" t="inlineStr">
        <is>
          <t>20251114</t>
        </is>
      </c>
      <c r="E698" s="16" t="n">
        <v>2066000000</v>
      </c>
      <c r="F698" s="16" t="n">
        <v>2066000000</v>
      </c>
      <c r="G698" s="16" t="n">
        <v>0</v>
      </c>
      <c r="H698" s="6" t="inlineStr">
        <is>
          <t>원</t>
        </is>
      </c>
      <c r="I698" s="17" t="inlineStr"/>
      <c r="J698" s="18" t="inlineStr"/>
      <c r="K698" s="19" t="inlineStr"/>
      <c r="L698" s="18" t="inlineStr"/>
      <c r="M698" s="19" t="inlineStr"/>
      <c r="N698" s="18" t="n">
        <v>1850000000</v>
      </c>
      <c r="O698" s="19" t="n">
        <v>0</v>
      </c>
      <c r="P698" s="18" t="n">
        <v>0</v>
      </c>
      <c r="Q698" s="19" t="inlineStr"/>
      <c r="R698" s="18" t="inlineStr"/>
      <c r="S698" s="20" t="inlineStr"/>
      <c r="T698" s="6" t="n">
        <v>2</v>
      </c>
      <c r="U698" s="5" t="inlineStr">
        <is>
          <t>AI 자율주행 공기청정기 개발용역 / 2025.3.31 | S/W 추가 개발용역 / 2025.7.24 / 2025</t>
        </is>
      </c>
      <c r="V698" s="21">
        <f>HYPERLINK("https://dart.fss.or.kr/dsaf001/main.do?rcpNo=20251114000204", "공시열람")</f>
        <v/>
      </c>
    </row>
    <row r="699">
      <c r="A699" s="5" t="inlineStr">
        <is>
          <t>팸텍</t>
        </is>
      </c>
      <c r="B699" s="6" t="inlineStr">
        <is>
          <t>271830</t>
        </is>
      </c>
      <c r="C699" s="6" t="inlineStr">
        <is>
          <t>2026Q2</t>
        </is>
      </c>
      <c r="D699" s="6" t="inlineStr">
        <is>
          <t>20260814</t>
        </is>
      </c>
      <c r="E699" s="16" t="n">
        <v>43295</v>
      </c>
      <c r="F699" s="16" t="n">
        <v>12569</v>
      </c>
      <c r="G699" s="16" t="n">
        <v>30727</v>
      </c>
      <c r="H699" s="6" t="inlineStr">
        <is>
          <t>백만원</t>
        </is>
      </c>
      <c r="I699" s="17" t="n">
        <v>85.2</v>
      </c>
      <c r="J699" s="18" t="n">
        <v>15082</v>
      </c>
      <c r="K699" s="19" t="n">
        <v>16199</v>
      </c>
      <c r="L699" s="18" t="n">
        <v>15198</v>
      </c>
      <c r="M699" s="19" t="n">
        <v>6392</v>
      </c>
      <c r="N699" s="18" t="n">
        <v>10791</v>
      </c>
      <c r="O699" s="19" t="n">
        <v>23451</v>
      </c>
      <c r="P699" s="18" t="n">
        <v>27024</v>
      </c>
      <c r="Q699" s="19" t="n">
        <v>10669</v>
      </c>
      <c r="R699" s="18" t="n">
        <v>16594</v>
      </c>
      <c r="S699" s="20" t="n">
        <v>30727</v>
      </c>
      <c r="T699" s="6" t="n">
        <v>4</v>
      </c>
      <c r="U699" s="5" t="inlineStr">
        <is>
          <t>카메라모듈 / 제품 | 반도체 / 제품 | 모빌리티 / 제품</t>
        </is>
      </c>
      <c r="V699" s="21">
        <f>HYPERLINK("https://dart.fss.or.kr/dsaf001/main.do?rcpNo=20260814002911", "공시열람")</f>
        <v/>
      </c>
    </row>
    <row r="700">
      <c r="A700" s="5" t="inlineStr">
        <is>
          <t>한화시스템</t>
        </is>
      </c>
      <c r="B700" s="6" t="inlineStr">
        <is>
          <t>272210</t>
        </is>
      </c>
      <c r="C700" s="6" t="inlineStr">
        <is>
          <t>2026Q2</t>
        </is>
      </c>
      <c r="D700" s="6" t="inlineStr">
        <is>
          <t>20260820</t>
        </is>
      </c>
      <c r="E700" s="16" t="n">
        <v>13245410</v>
      </c>
      <c r="F700" s="16" t="n">
        <v>1926822</v>
      </c>
      <c r="G700" s="16" t="n">
        <v>11318588</v>
      </c>
      <c r="H700" s="6" t="inlineStr">
        <is>
          <t>백만원</t>
        </is>
      </c>
      <c r="I700" s="17" t="n">
        <v>-7.2</v>
      </c>
      <c r="J700" s="18" t="n">
        <v>7049779</v>
      </c>
      <c r="K700" s="19" t="n">
        <v>6967870</v>
      </c>
      <c r="L700" s="18" t="n">
        <v>7923594</v>
      </c>
      <c r="M700" s="19" t="n">
        <v>10557886</v>
      </c>
      <c r="N700" s="18" t="n">
        <v>10498985</v>
      </c>
      <c r="O700" s="19" t="n">
        <v>10362144</v>
      </c>
      <c r="P700" s="18" t="n">
        <v>11175820</v>
      </c>
      <c r="Q700" s="19" t="n">
        <v>12216300</v>
      </c>
      <c r="R700" s="18" t="n">
        <v>12196397</v>
      </c>
      <c r="S700" s="20" t="n">
        <v>11318588</v>
      </c>
      <c r="T700" s="6" t="n">
        <v>3</v>
      </c>
      <c r="U700" s="5" t="inlineStr">
        <is>
          <t>방산 / 한화시스템 / 군수장비 | 기타 / H FOUNDATION PTE. LTD.Han | ICT / 한화시스템 / 전산시스템 설계 및 구축,전산</t>
        </is>
      </c>
      <c r="V700" s="21">
        <f>HYPERLINK("https://dart.fss.or.kr/dsaf001/main.do?rcpNo=20260820000123", "공시열람")</f>
        <v/>
      </c>
    </row>
    <row r="701">
      <c r="A701" s="5" t="inlineStr">
        <is>
          <t>와이엠텍</t>
        </is>
      </c>
      <c r="B701" s="6" t="inlineStr">
        <is>
          <t>273640</t>
        </is>
      </c>
      <c r="C701" s="6" t="inlineStr">
        <is>
          <t>2023Q4</t>
        </is>
      </c>
      <c r="D701" s="6" t="inlineStr">
        <is>
          <t>20240315</t>
        </is>
      </c>
      <c r="E701" s="16" t="n">
        <v>36701182</v>
      </c>
      <c r="F701" s="16" t="n">
        <v>34852927</v>
      </c>
      <c r="G701" s="16" t="n">
        <v>1848254</v>
      </c>
      <c r="H701" s="6" t="inlineStr">
        <is>
          <t>EA/천원</t>
        </is>
      </c>
      <c r="I701" s="17" t="inlineStr"/>
      <c r="J701" s="18" t="inlineStr"/>
      <c r="K701" s="19" t="inlineStr"/>
      <c r="L701" s="18" t="inlineStr"/>
      <c r="M701" s="19" t="inlineStr"/>
      <c r="N701" s="18" t="inlineStr"/>
      <c r="O701" s="19" t="inlineStr"/>
      <c r="P701" s="18" t="inlineStr"/>
      <c r="Q701" s="19" t="inlineStr"/>
      <c r="R701" s="18" t="inlineStr"/>
      <c r="S701" s="20" t="inlineStr"/>
      <c r="T701" s="6" t="n">
        <v>1</v>
      </c>
      <c r="U701" s="5" t="inlineStr">
        <is>
          <t>EV Relay / 23.12.31 / 23.01~24</t>
        </is>
      </c>
      <c r="V701" s="21">
        <f>HYPERLINK("https://dart.fss.or.kr/dsaf001/main.do?rcpNo=20240315000026", "공시열람")</f>
        <v/>
      </c>
    </row>
    <row r="702">
      <c r="A702" s="5" t="inlineStr">
        <is>
          <t>이노시뮬레이션</t>
        </is>
      </c>
      <c r="B702" s="6" t="inlineStr">
        <is>
          <t>274400</t>
        </is>
      </c>
      <c r="C702" s="6" t="inlineStr">
        <is>
          <t>2026Q2</t>
        </is>
      </c>
      <c r="D702" s="6" t="inlineStr">
        <is>
          <t>20260814</t>
        </is>
      </c>
      <c r="E702" s="16" t="inlineStr"/>
      <c r="F702" s="16" t="inlineStr"/>
      <c r="G702" s="16" t="n">
        <v>27474718</v>
      </c>
      <c r="H702" s="6" t="inlineStr">
        <is>
          <t>천원</t>
        </is>
      </c>
      <c r="I702" s="17" t="n">
        <v>149073.2</v>
      </c>
      <c r="J702" s="18" t="n">
        <v>11025</v>
      </c>
      <c r="K702" s="19" t="n">
        <v>17251</v>
      </c>
      <c r="L702" s="18" t="n">
        <v>15840</v>
      </c>
      <c r="M702" s="19" t="n">
        <v>15401</v>
      </c>
      <c r="N702" s="18" t="n">
        <v>21465</v>
      </c>
      <c r="O702" s="19" t="n">
        <v>17996</v>
      </c>
      <c r="P702" s="18" t="n">
        <v>16114</v>
      </c>
      <c r="Q702" s="19" t="n">
        <v>15574</v>
      </c>
      <c r="R702" s="18" t="n">
        <v>18418</v>
      </c>
      <c r="S702" s="20" t="n">
        <v>27474718</v>
      </c>
      <c r="T702" s="6" t="n">
        <v>2</v>
      </c>
      <c r="U702" s="5" t="inlineStr">
        <is>
          <t>당반기 | 전반기</t>
        </is>
      </c>
      <c r="V702" s="21">
        <f>HYPERLINK("https://dart.fss.or.kr/dsaf001/main.do?rcpNo=20260814003512", "공시열람")</f>
        <v/>
      </c>
    </row>
    <row r="703">
      <c r="A703" s="5" t="inlineStr">
        <is>
          <t>스코넥</t>
        </is>
      </c>
      <c r="B703" s="6" t="inlineStr">
        <is>
          <t>276040</t>
        </is>
      </c>
      <c r="C703" s="6" t="inlineStr">
        <is>
          <t>2026Q2</t>
        </is>
      </c>
      <c r="D703" s="6" t="inlineStr">
        <is>
          <t>20260814</t>
        </is>
      </c>
      <c r="E703" s="16" t="n">
        <v>1433</v>
      </c>
      <c r="F703" s="16" t="n">
        <v>1433</v>
      </c>
      <c r="G703" s="16" t="n">
        <v>0</v>
      </c>
      <c r="H703" s="6" t="inlineStr">
        <is>
          <t>백만원</t>
        </is>
      </c>
      <c r="I703" s="17" t="n">
        <v>-100</v>
      </c>
      <c r="J703" s="18" t="n">
        <v>0</v>
      </c>
      <c r="K703" s="19" t="n">
        <v>1812</v>
      </c>
      <c r="L703" s="18" t="n">
        <v>2360</v>
      </c>
      <c r="M703" s="19" t="n">
        <v>1074</v>
      </c>
      <c r="N703" s="18" t="n">
        <v>3211</v>
      </c>
      <c r="O703" s="19" t="n">
        <v>3158</v>
      </c>
      <c r="P703" s="18" t="n">
        <v>2233</v>
      </c>
      <c r="Q703" s="19" t="n">
        <v>142</v>
      </c>
      <c r="R703" s="18" t="n">
        <v>431</v>
      </c>
      <c r="S703" s="20" t="n">
        <v>0</v>
      </c>
      <c r="T703" s="6" t="n">
        <v>3</v>
      </c>
      <c r="U703" s="5" t="inlineStr">
        <is>
          <t>XR 콘텐츠 개발 및 제작 / 2025-08-28 /  | XR 콘텐츠 개발 및 제작 / 2026-01-30 /  | 콘텐츠 개발 등</t>
        </is>
      </c>
      <c r="V703" s="21">
        <f>HYPERLINK("https://dart.fss.or.kr/dsaf001/main.do?rcpNo=20260814003564", "공시열람")</f>
        <v/>
      </c>
    </row>
    <row r="704">
      <c r="A704" s="5" t="inlineStr">
        <is>
          <t>엘리비젼</t>
        </is>
      </c>
      <c r="B704" s="6" t="inlineStr">
        <is>
          <t>276240</t>
        </is>
      </c>
      <c r="C704" s="6" t="inlineStr">
        <is>
          <t>2025Q4</t>
        </is>
      </c>
      <c r="D704" s="6" t="inlineStr">
        <is>
          <t>20260323</t>
        </is>
      </c>
      <c r="E704" s="16" t="n">
        <v>800500</v>
      </c>
      <c r="F704" s="16" t="inlineStr"/>
      <c r="G704" s="16" t="n">
        <v>800500</v>
      </c>
      <c r="H704" s="6" t="inlineStr">
        <is>
          <t>천원</t>
        </is>
      </c>
      <c r="I704" s="17" t="n">
        <v>369.5</v>
      </c>
      <c r="J704" s="18" t="inlineStr"/>
      <c r="K704" s="19" t="inlineStr"/>
      <c r="L704" s="18" t="inlineStr"/>
      <c r="M704" s="19" t="n">
        <v>170486</v>
      </c>
      <c r="N704" s="18" t="inlineStr"/>
      <c r="O704" s="19" t="inlineStr"/>
      <c r="P704" s="18" t="inlineStr"/>
      <c r="Q704" s="19" t="n">
        <v>800500</v>
      </c>
      <c r="R704" s="18" t="inlineStr"/>
      <c r="S704" s="20" t="inlineStr"/>
      <c r="T704" s="6" t="n">
        <v>6</v>
      </c>
      <c r="U704" s="5" t="inlineStr">
        <is>
          <t>Interactive KIOSK | Interactive KIOSK | Interactive KIOSK</t>
        </is>
      </c>
      <c r="V704" s="21">
        <f>HYPERLINK("https://dart.fss.or.kr/dsaf001/main.do?rcpNo=20260323000763", "공시열람")</f>
        <v/>
      </c>
    </row>
    <row r="705">
      <c r="A705" s="5" t="inlineStr">
        <is>
          <t>티에스아이</t>
        </is>
      </c>
      <c r="B705" s="6" t="inlineStr">
        <is>
          <t>277880</t>
        </is>
      </c>
      <c r="C705" s="6" t="inlineStr">
        <is>
          <t>2026Q2</t>
        </is>
      </c>
      <c r="D705" s="6" t="inlineStr">
        <is>
          <t>20260814</t>
        </is>
      </c>
      <c r="E705" s="16" t="n">
        <v>753663</v>
      </c>
      <c r="F705" s="16" t="n">
        <v>545504</v>
      </c>
      <c r="G705" s="16" t="n">
        <v>208160</v>
      </c>
      <c r="H705" s="6" t="inlineStr">
        <is>
          <t>백만원</t>
        </is>
      </c>
      <c r="I705" s="17" t="n">
        <v>-39.3</v>
      </c>
      <c r="J705" s="18" t="n">
        <v>465915</v>
      </c>
      <c r="K705" s="19" t="n">
        <v>103345</v>
      </c>
      <c r="L705" s="18" t="n">
        <v>507077</v>
      </c>
      <c r="M705" s="19" t="n">
        <v>492364</v>
      </c>
      <c r="N705" s="18" t="n">
        <v>465313</v>
      </c>
      <c r="O705" s="19" t="n">
        <v>274355</v>
      </c>
      <c r="P705" s="18" t="n">
        <v>208298</v>
      </c>
      <c r="Q705" s="19" t="n">
        <v>293628</v>
      </c>
      <c r="R705" s="18" t="n">
        <v>342659</v>
      </c>
      <c r="S705" s="20" t="n">
        <v>208160</v>
      </c>
      <c r="T705" s="6" t="n">
        <v>3</v>
      </c>
      <c r="U705" s="5" t="inlineStr">
        <is>
          <t>믹싱시스템 / - | 공사 / - | 제작품 / -</t>
        </is>
      </c>
      <c r="V705" s="21">
        <f>HYPERLINK("https://dart.fss.or.kr/dsaf001/main.do?rcpNo=20260814001782", "공시열람")</f>
        <v/>
      </c>
    </row>
    <row r="706">
      <c r="A706" s="5" t="inlineStr">
        <is>
          <t>HLB바이오스텝</t>
        </is>
      </c>
      <c r="B706" s="6" t="inlineStr">
        <is>
          <t>278650</t>
        </is>
      </c>
      <c r="C706" s="6" t="inlineStr">
        <is>
          <t>2026Q2</t>
        </is>
      </c>
      <c r="D706" s="6" t="inlineStr">
        <is>
          <t>20260814</t>
        </is>
      </c>
      <c r="E706" s="16" t="inlineStr"/>
      <c r="F706" s="16" t="inlineStr"/>
      <c r="G706" s="16" t="n">
        <v>34083</v>
      </c>
      <c r="H706" s="6" t="inlineStr">
        <is>
          <t>천원</t>
        </is>
      </c>
      <c r="I706" s="17" t="n">
        <v>-99.90000000000001</v>
      </c>
      <c r="J706" s="18" t="inlineStr"/>
      <c r="K706" s="19" t="inlineStr"/>
      <c r="L706" s="18" t="inlineStr"/>
      <c r="M706" s="19" t="inlineStr"/>
      <c r="N706" s="18" t="inlineStr"/>
      <c r="O706" s="19" t="inlineStr"/>
      <c r="P706" s="18" t="n">
        <v>31970718</v>
      </c>
      <c r="Q706" s="19" t="inlineStr"/>
      <c r="R706" s="18" t="n">
        <v>24648959</v>
      </c>
      <c r="S706" s="20" t="n">
        <v>34083</v>
      </c>
      <c r="T706" s="6" t="n">
        <v>3</v>
      </c>
      <c r="U706" s="5" t="inlineStr">
        <is>
          <t>CRO용역(독성) / - / 2026년 04월~2026 | CRO용역(유효성) / - / 2026년 04월~202 | 구축사업 / - / 2026년 04월~2026년 11월</t>
        </is>
      </c>
      <c r="V706" s="21">
        <f>HYPERLINK("https://dart.fss.or.kr/dsaf001/main.do?rcpNo=20260814003288", "공시열람")</f>
        <v/>
      </c>
    </row>
    <row r="707">
      <c r="A707" s="5" t="inlineStr">
        <is>
          <t>이노벡스</t>
        </is>
      </c>
      <c r="B707" s="6" t="inlineStr">
        <is>
          <t>279060</t>
        </is>
      </c>
      <c r="C707" s="6" t="inlineStr">
        <is>
          <t>2025Q4</t>
        </is>
      </c>
      <c r="D707" s="6" t="inlineStr">
        <is>
          <t>20260331</t>
        </is>
      </c>
      <c r="E707" s="16" t="n">
        <v>10452000</v>
      </c>
      <c r="F707" s="16" t="n">
        <v>7306900</v>
      </c>
      <c r="G707" s="16" t="n">
        <v>3145100</v>
      </c>
      <c r="H707" s="6" t="inlineStr">
        <is>
          <t>천원</t>
        </is>
      </c>
      <c r="I707" s="17" t="n">
        <v>-71</v>
      </c>
      <c r="J707" s="18" t="inlineStr"/>
      <c r="K707" s="19" t="inlineStr"/>
      <c r="L707" s="18" t="inlineStr"/>
      <c r="M707" s="19" t="n">
        <v>10860600</v>
      </c>
      <c r="N707" s="18" t="inlineStr"/>
      <c r="O707" s="19" t="inlineStr"/>
      <c r="P707" s="18" t="inlineStr"/>
      <c r="Q707" s="19" t="n">
        <v>3145100</v>
      </c>
      <c r="R707" s="18" t="inlineStr"/>
      <c r="S707" s="20" t="inlineStr"/>
      <c r="T707" s="6" t="n">
        <v>6</v>
      </c>
      <c r="U707" s="5" t="inlineStr">
        <is>
          <t>2차전지활성화공정장비 / 2024-12-05 / 202 | TAS사업 / 2025-12-26 / 2026-04-3 | 2차전지활성화공정장비 / 2024-12-13 / 202</t>
        </is>
      </c>
      <c r="V707" s="21">
        <f>HYPERLINK("https://dart.fss.or.kr/dsaf001/main.do?rcpNo=20260331004637", "공시열람")</f>
        <v/>
      </c>
    </row>
    <row r="708">
      <c r="A708" s="5" t="inlineStr">
        <is>
          <t>미디어젠</t>
        </is>
      </c>
      <c r="B708" s="6" t="inlineStr">
        <is>
          <t>279600</t>
        </is>
      </c>
      <c r="C708" s="6" t="inlineStr">
        <is>
          <t>2026Q2</t>
        </is>
      </c>
      <c r="D708" s="6" t="inlineStr">
        <is>
          <t>20260813</t>
        </is>
      </c>
      <c r="E708" s="16" t="n">
        <v>14368</v>
      </c>
      <c r="F708" s="16" t="n">
        <v>6159</v>
      </c>
      <c r="G708" s="16" t="n">
        <v>8210</v>
      </c>
      <c r="H708" s="6" t="inlineStr">
        <is>
          <t>백만원</t>
        </is>
      </c>
      <c r="I708" s="17" t="n">
        <v>3.4</v>
      </c>
      <c r="J708" s="18" t="n">
        <v>3337</v>
      </c>
      <c r="K708" s="19" t="n">
        <v>9729</v>
      </c>
      <c r="L708" s="18" t="n">
        <v>9627</v>
      </c>
      <c r="M708" s="19" t="n">
        <v>15285</v>
      </c>
      <c r="N708" s="18" t="n">
        <v>9319</v>
      </c>
      <c r="O708" s="19" t="n">
        <v>8581</v>
      </c>
      <c r="P708" s="18" t="n">
        <v>11503</v>
      </c>
      <c r="Q708" s="19" t="n">
        <v>7181</v>
      </c>
      <c r="R708" s="18" t="n">
        <v>7938</v>
      </c>
      <c r="S708" s="20" t="n">
        <v>8210</v>
      </c>
      <c r="T708" s="6" t="n">
        <v>6</v>
      </c>
      <c r="U708" s="5" t="inlineStr">
        <is>
          <t>음성인식용역 / 전년도 수주이월(주1) / - | 음성인식용역 / 2026.1~2026.6 / - | 기타개발용역 / 2026.1~2026.6 / -</t>
        </is>
      </c>
      <c r="V708" s="21">
        <f>HYPERLINK("https://dart.fss.or.kr/dsaf001/main.do?rcpNo=20260813001467", "공시열람")</f>
        <v/>
      </c>
    </row>
    <row r="709">
      <c r="A709" s="5" t="inlineStr">
        <is>
          <t>케이씨텍</t>
        </is>
      </c>
      <c r="B709" s="6" t="inlineStr">
        <is>
          <t>281820</t>
        </is>
      </c>
      <c r="C709" s="6" t="inlineStr">
        <is>
          <t>2024Q4</t>
        </is>
      </c>
      <c r="D709" s="6" t="inlineStr">
        <is>
          <t>20250318</t>
        </is>
      </c>
      <c r="E709" s="16" t="inlineStr"/>
      <c r="F709" s="16" t="inlineStr"/>
      <c r="G709" s="16" t="n">
        <v>40755952</v>
      </c>
      <c r="H709" s="6" t="inlineStr">
        <is>
          <t>천원</t>
        </is>
      </c>
      <c r="I709" s="17" t="n">
        <v>-4.6</v>
      </c>
      <c r="J709" s="18" t="n">
        <v>40755952</v>
      </c>
      <c r="K709" s="19" t="n">
        <v>40755952</v>
      </c>
      <c r="L709" s="18" t="n">
        <v>42728355</v>
      </c>
      <c r="M709" s="19" t="n">
        <v>40755952</v>
      </c>
      <c r="N709" s="18" t="inlineStr"/>
      <c r="O709" s="19" t="inlineStr"/>
      <c r="P709" s="18" t="inlineStr"/>
      <c r="Q709" s="19" t="inlineStr"/>
      <c r="R709" s="18" t="inlineStr"/>
      <c r="S709" s="20" t="inlineStr"/>
      <c r="T709" s="6" t="n">
        <v>2</v>
      </c>
      <c r="U709" s="5" t="inlineStr">
        <is>
          <t>디스플레이부문 | 반도체부문</t>
        </is>
      </c>
      <c r="V709" s="21">
        <f>HYPERLINK("https://dart.fss.or.kr/dsaf001/main.do?rcpNo=20250318001445", "공시열람")</f>
        <v/>
      </c>
    </row>
    <row r="710">
      <c r="A710" s="5" t="inlineStr">
        <is>
          <t>금양그린파워</t>
        </is>
      </c>
      <c r="B710" s="6" t="inlineStr">
        <is>
          <t>282720</t>
        </is>
      </c>
      <c r="C710" s="6" t="inlineStr">
        <is>
          <t>2026Q2</t>
        </is>
      </c>
      <c r="D710" s="6" t="inlineStr">
        <is>
          <t>20260813</t>
        </is>
      </c>
      <c r="E710" s="16" t="n">
        <v>955164337</v>
      </c>
      <c r="F710" s="16" t="n">
        <v>690688046</v>
      </c>
      <c r="G710" s="16" t="n">
        <v>264476291</v>
      </c>
      <c r="H710" s="6" t="inlineStr">
        <is>
          <t>천원</t>
        </is>
      </c>
      <c r="I710" s="17" t="n">
        <v>11.2</v>
      </c>
      <c r="J710" s="18" t="n">
        <v>114143303</v>
      </c>
      <c r="K710" s="19" t="n">
        <v>140437022</v>
      </c>
      <c r="L710" s="18" t="n">
        <v>238060040</v>
      </c>
      <c r="M710" s="19" t="n">
        <v>307278734</v>
      </c>
      <c r="N710" s="18" t="n">
        <v>340992707</v>
      </c>
      <c r="O710" s="19" t="n">
        <v>310093799</v>
      </c>
      <c r="P710" s="18" t="n">
        <v>276403054</v>
      </c>
      <c r="Q710" s="19" t="n">
        <v>293047761</v>
      </c>
      <c r="R710" s="18" t="n">
        <v>237793433</v>
      </c>
      <c r="S710" s="20" t="n">
        <v>264476291</v>
      </c>
      <c r="T710" s="6" t="n">
        <v>48</v>
      </c>
      <c r="U710" s="5" t="inlineStr">
        <is>
          <t>Saudi ARAMCO / 사우디 Amiral | 현대건설 / 신한울3,4호기 전기계장 | 동백마울풍력발전소 / 제주 동백마을 풍력발전</t>
        </is>
      </c>
      <c r="V710" s="21">
        <f>HYPERLINK("https://dart.fss.or.kr/dsaf001/main.do?rcpNo=20260813001497", "공시열람")</f>
        <v/>
      </c>
    </row>
    <row r="711">
      <c r="A711" s="5" t="inlineStr">
        <is>
          <t>코윈테크</t>
        </is>
      </c>
      <c r="B711" s="6" t="inlineStr">
        <is>
          <t>282880</t>
        </is>
      </c>
      <c r="C711" s="6" t="inlineStr">
        <is>
          <t>2026Q2</t>
        </is>
      </c>
      <c r="D711" s="6" t="inlineStr">
        <is>
          <t>20260814</t>
        </is>
      </c>
      <c r="E711" s="16" t="inlineStr"/>
      <c r="F711" s="16" t="inlineStr"/>
      <c r="G711" s="16" t="n">
        <v>281816</v>
      </c>
      <c r="H711" s="6" t="inlineStr">
        <is>
          <t>백만원</t>
        </is>
      </c>
      <c r="I711" s="17" t="n">
        <v>-4.9</v>
      </c>
      <c r="J711" s="18" t="n">
        <v>387003</v>
      </c>
      <c r="K711" s="19" t="n">
        <v>347996</v>
      </c>
      <c r="L711" s="18" t="n">
        <v>262705</v>
      </c>
      <c r="M711" s="19" t="n">
        <v>276601</v>
      </c>
      <c r="N711" s="18" t="n">
        <v>286189</v>
      </c>
      <c r="O711" s="19" t="n">
        <v>250320</v>
      </c>
      <c r="P711" s="18" t="n">
        <v>256779</v>
      </c>
      <c r="Q711" s="19" t="n">
        <v>243857</v>
      </c>
      <c r="R711" s="18" t="n">
        <v>296373</v>
      </c>
      <c r="S711" s="20" t="n">
        <v>281816</v>
      </c>
      <c r="T711" s="6" t="n">
        <v>2</v>
      </c>
      <c r="U711" s="5" t="inlineStr">
        <is>
          <t>로봇 자동화 | 2차전지 시스템엔지니어링</t>
        </is>
      </c>
      <c r="V711" s="21">
        <f>HYPERLINK("https://dart.fss.or.kr/dsaf001/main.do?rcpNo=20260814001249", "공시열람")</f>
        <v/>
      </c>
    </row>
    <row r="712">
      <c r="A712" s="5" t="inlineStr">
        <is>
          <t>SK케미칼</t>
        </is>
      </c>
      <c r="B712" s="6" t="inlineStr">
        <is>
          <t>285130</t>
        </is>
      </c>
      <c r="C712" s="6" t="inlineStr">
        <is>
          <t>2026Q2</t>
        </is>
      </c>
      <c r="D712" s="6" t="inlineStr">
        <is>
          <t>20260813</t>
        </is>
      </c>
      <c r="E712" s="16" t="n">
        <v>2511572</v>
      </c>
      <c r="F712" s="16" t="n">
        <v>1933255</v>
      </c>
      <c r="G712" s="16" t="n">
        <v>578317</v>
      </c>
      <c r="H712" s="6" t="inlineStr">
        <is>
          <t>백만원</t>
        </is>
      </c>
      <c r="I712" s="17" t="n">
        <v>-30.1</v>
      </c>
      <c r="J712" s="18" t="n">
        <v>114955</v>
      </c>
      <c r="K712" s="19" t="n">
        <v>141644</v>
      </c>
      <c r="L712" s="18" t="n">
        <v>107602</v>
      </c>
      <c r="M712" s="19" t="n">
        <v>979319</v>
      </c>
      <c r="N712" s="18" t="n">
        <v>882738</v>
      </c>
      <c r="O712" s="19" t="n">
        <v>804123</v>
      </c>
      <c r="P712" s="18" t="n">
        <v>720658</v>
      </c>
      <c r="Q712" s="19" t="n">
        <v>801010</v>
      </c>
      <c r="R712" s="18" t="n">
        <v>827917</v>
      </c>
      <c r="S712" s="20" t="n">
        <v>578317</v>
      </c>
      <c r="T712" s="6" t="n">
        <v>2</v>
      </c>
      <c r="U712" s="5" t="inlineStr">
        <is>
          <t>CDMO / 2015년~(계약별 상이) / ~2029년 | 백신 원액 및 완제 생산 / 2022년~(계약별 상이)</t>
        </is>
      </c>
      <c r="V712" s="21">
        <f>HYPERLINK("https://dart.fss.or.kr/dsaf001/main.do?rcpNo=20260813001371", "공시열람")</f>
        <v/>
      </c>
    </row>
    <row r="713">
      <c r="A713" s="5" t="inlineStr">
        <is>
          <t>나노실리칸첨단소재</t>
        </is>
      </c>
      <c r="B713" s="6" t="inlineStr">
        <is>
          <t>286750</t>
        </is>
      </c>
      <c r="C713" s="6" t="inlineStr">
        <is>
          <t>2026Q2</t>
        </is>
      </c>
      <c r="D713" s="6" t="inlineStr">
        <is>
          <t>20260814</t>
        </is>
      </c>
      <c r="E713" s="16" t="n">
        <v>3091515</v>
      </c>
      <c r="F713" s="16" t="n">
        <v>1933260</v>
      </c>
      <c r="G713" s="16" t="n">
        <v>1158255</v>
      </c>
      <c r="H713" s="6" t="inlineStr">
        <is>
          <t>EA,천원</t>
        </is>
      </c>
      <c r="I713" s="17" t="n">
        <v>-0.2</v>
      </c>
      <c r="J713" s="18" t="inlineStr"/>
      <c r="K713" s="19" t="inlineStr"/>
      <c r="L713" s="18" t="inlineStr"/>
      <c r="M713" s="19" t="n">
        <v>1959205</v>
      </c>
      <c r="N713" s="18" t="n">
        <v>1284649</v>
      </c>
      <c r="O713" s="19" t="n">
        <v>2812123</v>
      </c>
      <c r="P713" s="18" t="n">
        <v>438228</v>
      </c>
      <c r="Q713" s="19" t="n">
        <v>1519455</v>
      </c>
      <c r="R713" s="18" t="n">
        <v>1160381</v>
      </c>
      <c r="S713" s="20" t="n">
        <v>1158255</v>
      </c>
      <c r="T713" s="6" t="n">
        <v>2</v>
      </c>
      <c r="U713" s="5" t="inlineStr">
        <is>
          <t>M-Tag / 2026-04-22 / 2026-09-1 | M-Tag / 2025-11-26 / 2026-06-3</t>
        </is>
      </c>
      <c r="V713" s="21">
        <f>HYPERLINK("https://dart.fss.or.kr/dsaf001/main.do?rcpNo=20260814002695", "공시열람")</f>
        <v/>
      </c>
    </row>
    <row r="714">
      <c r="A714" s="5" t="inlineStr">
        <is>
          <t>롯데이노베이트</t>
        </is>
      </c>
      <c r="B714" s="6" t="inlineStr">
        <is>
          <t>286940</t>
        </is>
      </c>
      <c r="C714" s="6" t="inlineStr">
        <is>
          <t>2026Q2</t>
        </is>
      </c>
      <c r="D714" s="6" t="inlineStr">
        <is>
          <t>20260813</t>
        </is>
      </c>
      <c r="E714" s="16" t="n">
        <v>326973</v>
      </c>
      <c r="F714" s="16" t="n">
        <v>151834</v>
      </c>
      <c r="G714" s="16" t="n">
        <v>175140</v>
      </c>
      <c r="H714" s="6" t="inlineStr">
        <is>
          <t>백만원</t>
        </is>
      </c>
      <c r="I714" s="17" t="n">
        <v>5.5</v>
      </c>
      <c r="J714" s="18" t="n">
        <v>104192</v>
      </c>
      <c r="K714" s="19" t="n">
        <v>168416</v>
      </c>
      <c r="L714" s="18" t="n">
        <v>185820</v>
      </c>
      <c r="M714" s="19" t="n">
        <v>156942</v>
      </c>
      <c r="N714" s="18" t="n">
        <v>171681</v>
      </c>
      <c r="O714" s="19" t="n">
        <v>157710</v>
      </c>
      <c r="P714" s="18" t="n">
        <v>123869</v>
      </c>
      <c r="Q714" s="19" t="n">
        <v>97278</v>
      </c>
      <c r="R714" s="18" t="n">
        <v>165974</v>
      </c>
      <c r="S714" s="20" t="n">
        <v>175140</v>
      </c>
      <c r="T714" s="6" t="n">
        <v>1</v>
      </c>
      <c r="U714" s="5" t="inlineStr">
        <is>
          <t>시스템 구축 및 운영/유지보수 / -</t>
        </is>
      </c>
      <c r="V714" s="21">
        <f>HYPERLINK("https://dart.fss.or.kr/dsaf001/main.do?rcpNo=20260813001539", "공시열람")</f>
        <v/>
      </c>
    </row>
    <row r="715">
      <c r="A715" s="5" t="inlineStr">
        <is>
          <t>에스프리즘</t>
        </is>
      </c>
      <c r="B715" s="6" t="inlineStr">
        <is>
          <t>288620</t>
        </is>
      </c>
      <c r="C715" s="6" t="inlineStr">
        <is>
          <t>2026Q2</t>
        </is>
      </c>
      <c r="D715" s="6" t="inlineStr">
        <is>
          <t>20260814</t>
        </is>
      </c>
      <c r="E715" s="16" t="n">
        <v>19987</v>
      </c>
      <c r="F715" s="16" t="n">
        <v>6023</v>
      </c>
      <c r="G715" s="16" t="n">
        <v>13964</v>
      </c>
      <c r="H715" s="6" t="inlineStr">
        <is>
          <t>백만원</t>
        </is>
      </c>
      <c r="I715" s="17" t="n">
        <v>18.9</v>
      </c>
      <c r="J715" s="18" t="n">
        <v>18659958</v>
      </c>
      <c r="K715" s="19" t="n">
        <v>20171792</v>
      </c>
      <c r="L715" s="18" t="n">
        <v>20810552</v>
      </c>
      <c r="M715" s="19" t="n">
        <v>18869499</v>
      </c>
      <c r="N715" s="18" t="n">
        <v>15320</v>
      </c>
      <c r="O715" s="19" t="n">
        <v>13401</v>
      </c>
      <c r="P715" s="18" t="n">
        <v>10314</v>
      </c>
      <c r="Q715" s="19" t="n">
        <v>5212</v>
      </c>
      <c r="R715" s="18" t="n">
        <v>11741</v>
      </c>
      <c r="S715" s="20" t="n">
        <v>13964</v>
      </c>
      <c r="T715" s="6" t="n">
        <v>2</v>
      </c>
      <c r="U715" s="5" t="inlineStr">
        <is>
          <t>건물용 연료전지 / ~2026.06.30 / ~2026 | 발전용 연료전지 / ~2026.06.30 / ~2033</t>
        </is>
      </c>
      <c r="V715" s="21">
        <f>HYPERLINK("https://dart.fss.or.kr/dsaf001/main.do?rcpNo=20260814003226", "공시열람")</f>
        <v/>
      </c>
    </row>
    <row r="716">
      <c r="A716" s="5" t="inlineStr">
        <is>
          <t>모아데이타</t>
        </is>
      </c>
      <c r="B716" s="6" t="inlineStr">
        <is>
          <t>288980</t>
        </is>
      </c>
      <c r="C716" s="6" t="inlineStr">
        <is>
          <t>2026Q2</t>
        </is>
      </c>
      <c r="D716" s="6" t="inlineStr">
        <is>
          <t>20260814</t>
        </is>
      </c>
      <c r="E716" s="16" t="n">
        <v>2392870</v>
      </c>
      <c r="F716" s="16" t="inlineStr"/>
      <c r="G716" s="16" t="n">
        <v>2392870</v>
      </c>
      <c r="H716" s="6" t="inlineStr">
        <is>
          <t>천원</t>
        </is>
      </c>
      <c r="I716" s="17" t="n">
        <v>0</v>
      </c>
      <c r="J716" s="18" t="n">
        <v>2392870</v>
      </c>
      <c r="K716" s="19" t="n">
        <v>2392870</v>
      </c>
      <c r="L716" s="18" t="n">
        <v>2392870</v>
      </c>
      <c r="M716" s="19" t="n">
        <v>4847938</v>
      </c>
      <c r="N716" s="18" t="n">
        <v>4132870</v>
      </c>
      <c r="O716" s="19" t="n">
        <v>3791226</v>
      </c>
      <c r="P716" s="18" t="n">
        <v>3791226</v>
      </c>
      <c r="Q716" s="19" t="n">
        <v>2392870</v>
      </c>
      <c r="R716" s="18" t="n">
        <v>2392870</v>
      </c>
      <c r="S716" s="20" t="n">
        <v>2392870</v>
      </c>
      <c r="T716" s="6" t="n">
        <v>1</v>
      </c>
      <c r="U716" s="5" t="inlineStr">
        <is>
          <t>AI 탄소중립 융복합구축(주1) / 2024-02-28</t>
        </is>
      </c>
      <c r="V716" s="21">
        <f>HYPERLINK("https://dart.fss.or.kr/dsaf001/main.do?rcpNo=20260814002441", "공시열람")</f>
        <v/>
      </c>
    </row>
    <row r="717">
      <c r="A717" s="5" t="inlineStr">
        <is>
          <t>자이언트스텝</t>
        </is>
      </c>
      <c r="B717" s="6" t="inlineStr">
        <is>
          <t>289220</t>
        </is>
      </c>
      <c r="C717" s="6" t="inlineStr">
        <is>
          <t>2026Q2</t>
        </is>
      </c>
      <c r="D717" s="6" t="inlineStr">
        <is>
          <t>20260814</t>
        </is>
      </c>
      <c r="E717" s="16" t="n">
        <v>48</v>
      </c>
      <c r="F717" s="16" t="n">
        <v>3.6</v>
      </c>
      <c r="G717" s="16" t="n">
        <v>44.4</v>
      </c>
      <c r="H717" s="6" t="inlineStr">
        <is>
          <t>억원</t>
        </is>
      </c>
      <c r="I717" s="17" t="n">
        <v>0</v>
      </c>
      <c r="J717" s="18" t="n">
        <v>44.4</v>
      </c>
      <c r="K717" s="19" t="n">
        <v>44.4</v>
      </c>
      <c r="L717" s="18" t="n">
        <v>44.4</v>
      </c>
      <c r="M717" s="19" t="n">
        <v>44</v>
      </c>
      <c r="N717" s="18" t="n">
        <v>44.4</v>
      </c>
      <c r="O717" s="19" t="n">
        <v>44.4</v>
      </c>
      <c r="P717" s="18" t="n">
        <v>44.4</v>
      </c>
      <c r="Q717" s="19" t="n">
        <v>44.4</v>
      </c>
      <c r="R717" s="18" t="n">
        <v>44.4</v>
      </c>
      <c r="S717" s="20" t="n">
        <v>44.4</v>
      </c>
      <c r="T717" s="6" t="n">
        <v>1</v>
      </c>
      <c r="U717" s="5" t="inlineStr">
        <is>
          <t xml:space="preserve">영화 "하이브(HIVE)" VFX 계약 / 2021년 </t>
        </is>
      </c>
      <c r="V717" s="21">
        <f>HYPERLINK("https://dart.fss.or.kr/dsaf001/main.do?rcpNo=20260814002501", "공시열람")</f>
        <v/>
      </c>
    </row>
    <row r="718">
      <c r="A718" s="5" t="inlineStr">
        <is>
          <t>웨이비스</t>
        </is>
      </c>
      <c r="B718" s="6" t="inlineStr">
        <is>
          <t>289930</t>
        </is>
      </c>
      <c r="C718" s="6" t="inlineStr">
        <is>
          <t>2026Q2</t>
        </is>
      </c>
      <c r="D718" s="6" t="inlineStr">
        <is>
          <t>20260813</t>
        </is>
      </c>
      <c r="E718" s="16" t="n">
        <v>16629129536</v>
      </c>
      <c r="F718" s="16" t="inlineStr"/>
      <c r="G718" s="16" t="n">
        <v>94135747</v>
      </c>
      <c r="H718" s="6" t="inlineStr">
        <is>
          <t>원</t>
        </is>
      </c>
      <c r="I718" s="17" t="n">
        <v>0</v>
      </c>
      <c r="J718" s="18" t="inlineStr"/>
      <c r="K718" s="19" t="inlineStr"/>
      <c r="L718" s="18" t="inlineStr"/>
      <c r="M718" s="19" t="n">
        <v>4393222104</v>
      </c>
      <c r="N718" s="18" t="n">
        <v>3117911353</v>
      </c>
      <c r="O718" s="19" t="n">
        <v>2936596693</v>
      </c>
      <c r="P718" s="18" t="n">
        <v>1235472408</v>
      </c>
      <c r="Q718" s="19" t="n">
        <v>94135747</v>
      </c>
      <c r="R718" s="18" t="n">
        <v>94135747</v>
      </c>
      <c r="S718" s="20" t="n">
        <v>94135747</v>
      </c>
      <c r="T718" s="6" t="n">
        <v>1</v>
      </c>
      <c r="U718" s="5" t="inlineStr">
        <is>
          <t>프로젝트A / 2021.05.24 / 2030.12.3</t>
        </is>
      </c>
      <c r="V718" s="21">
        <f>HYPERLINK("https://dart.fss.or.kr/dsaf001/main.do?rcpNo=20260813000472", "공시열람")</f>
        <v/>
      </c>
    </row>
    <row r="719">
      <c r="A719" s="5" t="inlineStr">
        <is>
          <t>트윔</t>
        </is>
      </c>
      <c r="B719" s="6" t="inlineStr">
        <is>
          <t>290090</t>
        </is>
      </c>
      <c r="C719" s="6" t="inlineStr">
        <is>
          <t>2026Q2</t>
        </is>
      </c>
      <c r="D719" s="6" t="inlineStr">
        <is>
          <t>20260814</t>
        </is>
      </c>
      <c r="E719" s="16" t="n">
        <v>17975</v>
      </c>
      <c r="F719" s="16" t="n">
        <v>4945</v>
      </c>
      <c r="G719" s="16" t="n">
        <v>13030</v>
      </c>
      <c r="H719" s="6" t="inlineStr">
        <is>
          <t>건수,백만원</t>
        </is>
      </c>
      <c r="I719" s="17" t="n">
        <v>14.2</v>
      </c>
      <c r="J719" s="18" t="n">
        <v>18491</v>
      </c>
      <c r="K719" s="19" t="n">
        <v>9884</v>
      </c>
      <c r="L719" s="18" t="n">
        <v>4385</v>
      </c>
      <c r="M719" s="19" t="n">
        <v>6713</v>
      </c>
      <c r="N719" s="18" t="n">
        <v>8383</v>
      </c>
      <c r="O719" s="19" t="n">
        <v>8427</v>
      </c>
      <c r="P719" s="18" t="n">
        <v>9381</v>
      </c>
      <c r="Q719" s="19" t="n">
        <v>10019</v>
      </c>
      <c r="R719" s="18" t="n">
        <v>11409</v>
      </c>
      <c r="S719" s="20" t="n">
        <v>13030</v>
      </c>
      <c r="T719" s="6" t="n">
        <v>1</v>
      </c>
      <c r="U719" s="5" t="inlineStr"/>
      <c r="V719" s="21">
        <f>HYPERLINK("https://dart.fss.or.kr/dsaf001/main.do?rcpNo=20260814002271", "공시열람")</f>
        <v/>
      </c>
    </row>
    <row r="720">
      <c r="A720" s="5" t="inlineStr">
        <is>
          <t>신도기연</t>
        </is>
      </c>
      <c r="B720" s="6" t="inlineStr">
        <is>
          <t>290520</t>
        </is>
      </c>
      <c r="C720" s="6" t="inlineStr">
        <is>
          <t>2026Q2</t>
        </is>
      </c>
      <c r="D720" s="6" t="inlineStr">
        <is>
          <t>20260814</t>
        </is>
      </c>
      <c r="E720" s="16" t="n">
        <v>12801</v>
      </c>
      <c r="F720" s="16" t="n">
        <v>9313</v>
      </c>
      <c r="G720" s="16" t="n">
        <v>3488</v>
      </c>
      <c r="H720" s="6" t="inlineStr">
        <is>
          <t>백만원</t>
        </is>
      </c>
      <c r="I720" s="17" t="n">
        <v>-67.8</v>
      </c>
      <c r="J720" s="18" t="n">
        <v>6245</v>
      </c>
      <c r="K720" s="19" t="n">
        <v>4822</v>
      </c>
      <c r="L720" s="18" t="n">
        <v>3689</v>
      </c>
      <c r="M720" s="19" t="n">
        <v>28340</v>
      </c>
      <c r="N720" s="18" t="n">
        <v>33622</v>
      </c>
      <c r="O720" s="19" t="n">
        <v>31132</v>
      </c>
      <c r="P720" s="18" t="n">
        <v>28968</v>
      </c>
      <c r="Q720" s="19" t="n">
        <v>11004</v>
      </c>
      <c r="R720" s="18" t="n">
        <v>10829</v>
      </c>
      <c r="S720" s="20" t="n">
        <v>3488</v>
      </c>
      <c r="T720" s="6" t="n">
        <v>1</v>
      </c>
      <c r="U720" s="5" t="inlineStr">
        <is>
          <t>디스플레이제조 장비등 / -</t>
        </is>
      </c>
      <c r="V720" s="21">
        <f>HYPERLINK("https://dart.fss.or.kr/dsaf001/main.do?rcpNo=20260814001825", "공시열람")</f>
        <v/>
      </c>
    </row>
    <row r="721">
      <c r="A721" s="5" t="inlineStr">
        <is>
          <t>소룩스</t>
        </is>
      </c>
      <c r="B721" s="6" t="inlineStr">
        <is>
          <t>290690</t>
        </is>
      </c>
      <c r="C721" s="6" t="inlineStr">
        <is>
          <t>2026Q2</t>
        </is>
      </c>
      <c r="D721" s="6" t="inlineStr">
        <is>
          <t>20260930</t>
        </is>
      </c>
      <c r="E721" s="16" t="n">
        <v>110446192920</v>
      </c>
      <c r="F721" s="16" t="n">
        <v>42509644828</v>
      </c>
      <c r="G721" s="16" t="n">
        <v>67936548093</v>
      </c>
      <c r="H721" s="6" t="inlineStr">
        <is>
          <t>천원</t>
        </is>
      </c>
      <c r="I721" s="17" t="n">
        <v>234905.4</v>
      </c>
      <c r="J721" s="18" t="n">
        <v>40841979</v>
      </c>
      <c r="K721" s="19" t="n">
        <v>37891649</v>
      </c>
      <c r="L721" s="18" t="n">
        <v>33661170</v>
      </c>
      <c r="M721" s="19" t="n">
        <v>26456926</v>
      </c>
      <c r="N721" s="18" t="n">
        <v>42972889</v>
      </c>
      <c r="O721" s="19" t="n">
        <v>39828481</v>
      </c>
      <c r="P721" s="18" t="n">
        <v>41723721</v>
      </c>
      <c r="Q721" s="19" t="n">
        <v>33751941</v>
      </c>
      <c r="R721" s="18" t="n">
        <v>28908499</v>
      </c>
      <c r="S721" s="20" t="n">
        <v>67936548093</v>
      </c>
      <c r="T721" s="6" t="n">
        <v>11</v>
      </c>
      <c r="U721" s="5" t="inlineStr">
        <is>
          <t>괴정동 지역주택조합 전기소방통신설비공사 / 2026-0 | 부산 에코2차(13BL) 통신공사 2단계(공사) / 2 | 기타 201개 현장 / -</t>
        </is>
      </c>
      <c r="V721" s="21">
        <f>HYPERLINK("https://dart.fss.or.kr/dsaf001/main.do?rcpNo=20260930000794", "공시열람")</f>
        <v/>
      </c>
    </row>
    <row r="722">
      <c r="A722" s="5" t="inlineStr">
        <is>
          <t>엔피</t>
        </is>
      </c>
      <c r="B722" s="6" t="inlineStr">
        <is>
          <t>291230</t>
        </is>
      </c>
      <c r="C722" s="6" t="inlineStr">
        <is>
          <t>2022Q4</t>
        </is>
      </c>
      <c r="D722" s="6" t="inlineStr">
        <is>
          <t>20240126</t>
        </is>
      </c>
      <c r="E722" s="16" t="inlineStr"/>
      <c r="F722" s="16" t="inlineStr"/>
      <c r="G722" s="16" t="n">
        <v>1321959</v>
      </c>
      <c r="H722" s="6" t="inlineStr">
        <is>
          <t>천원</t>
        </is>
      </c>
      <c r="I722" s="17" t="n">
        <v>-9.5</v>
      </c>
      <c r="J722" s="18" t="inlineStr"/>
      <c r="K722" s="19" t="inlineStr"/>
      <c r="L722" s="18" t="inlineStr"/>
      <c r="M722" s="19" t="inlineStr"/>
      <c r="N722" s="18" t="inlineStr"/>
      <c r="O722" s="19" t="inlineStr"/>
      <c r="P722" s="18" t="inlineStr"/>
      <c r="Q722" s="19" t="inlineStr"/>
      <c r="R722" s="18" t="inlineStr"/>
      <c r="S722" s="20" t="inlineStr"/>
      <c r="T722" s="6" t="n">
        <v>1</v>
      </c>
      <c r="U722" s="5" t="inlineStr"/>
      <c r="V722" s="21">
        <f>HYPERLINK("https://dart.fss.or.kr/dsaf001/main.do?rcpNo=20240126000505", "공시열람")</f>
        <v/>
      </c>
    </row>
    <row r="723">
      <c r="A723" s="5" t="inlineStr">
        <is>
          <t>츌립앤사이언스</t>
        </is>
      </c>
      <c r="B723" s="6" t="inlineStr">
        <is>
          <t>291650</t>
        </is>
      </c>
      <c r="C723" s="6" t="inlineStr">
        <is>
          <t>2026Q2</t>
        </is>
      </c>
      <c r="D723" s="6" t="inlineStr">
        <is>
          <t>20260814</t>
        </is>
      </c>
      <c r="E723" s="16" t="n">
        <v>3596929</v>
      </c>
      <c r="F723" s="16" t="inlineStr"/>
      <c r="G723" s="16" t="n">
        <v>771524</v>
      </c>
      <c r="H723" s="6" t="inlineStr">
        <is>
          <t>천원</t>
        </is>
      </c>
      <c r="I723" s="17" t="n">
        <v>-49.4</v>
      </c>
      <c r="J723" s="18" t="inlineStr"/>
      <c r="K723" s="19" t="inlineStr"/>
      <c r="L723" s="18" t="inlineStr"/>
      <c r="M723" s="19" t="n">
        <v>382965</v>
      </c>
      <c r="N723" s="18" t="n">
        <v>690495</v>
      </c>
      <c r="O723" s="19" t="n">
        <v>774456405</v>
      </c>
      <c r="P723" s="18" t="n">
        <v>1108606</v>
      </c>
      <c r="Q723" s="19" t="n">
        <v>1527765</v>
      </c>
      <c r="R723" s="18" t="n">
        <v>1525438</v>
      </c>
      <c r="S723" s="20" t="n">
        <v>771524</v>
      </c>
      <c r="T723" s="6" t="n">
        <v>3</v>
      </c>
      <c r="U723" s="5" t="inlineStr">
        <is>
          <t>임상시험 검체분석 / 국내 | 허가목적이 아닌 검체분석 / 국내 | 비임상시험 검체분석 / 국내</t>
        </is>
      </c>
      <c r="V723" s="21">
        <f>HYPERLINK("https://dart.fss.or.kr/dsaf001/main.do?rcpNo=20260814003116", "공시열람")</f>
        <v/>
      </c>
    </row>
    <row r="724">
      <c r="A724" s="5" t="inlineStr">
        <is>
          <t>핀텔</t>
        </is>
      </c>
      <c r="B724" s="6" t="inlineStr">
        <is>
          <t>291810</t>
        </is>
      </c>
      <c r="C724" s="6" t="inlineStr">
        <is>
          <t>2026Q2</t>
        </is>
      </c>
      <c r="D724" s="6" t="inlineStr">
        <is>
          <t>20260812</t>
        </is>
      </c>
      <c r="E724" s="16" t="n">
        <v>7140</v>
      </c>
      <c r="F724" s="16" t="n">
        <v>4385</v>
      </c>
      <c r="G724" s="16" t="n">
        <v>2755</v>
      </c>
      <c r="H724" s="6" t="inlineStr">
        <is>
          <t>백만원</t>
        </is>
      </c>
      <c r="I724" s="17" t="n">
        <v>11.1</v>
      </c>
      <c r="J724" s="18" t="n">
        <v>4320</v>
      </c>
      <c r="K724" s="19" t="n">
        <v>4501</v>
      </c>
      <c r="L724" s="18" t="n">
        <v>4088</v>
      </c>
      <c r="M724" s="19" t="n">
        <v>2819</v>
      </c>
      <c r="N724" s="18" t="n">
        <v>2010</v>
      </c>
      <c r="O724" s="19" t="n">
        <v>5106</v>
      </c>
      <c r="P724" s="18" t="n">
        <v>4767</v>
      </c>
      <c r="Q724" s="19" t="n">
        <v>4507</v>
      </c>
      <c r="R724" s="18" t="n">
        <v>2480</v>
      </c>
      <c r="S724" s="20" t="n">
        <v>2755</v>
      </c>
      <c r="T724" s="6" t="n">
        <v>2</v>
      </c>
      <c r="U724" s="5" t="inlineStr">
        <is>
          <t>보안분야 / - | 교통분야 / -</t>
        </is>
      </c>
      <c r="V724" s="21">
        <f>HYPERLINK("https://dart.fss.or.kr/dsaf001/main.do?rcpNo=20260812000620", "공시열람")</f>
        <v/>
      </c>
    </row>
    <row r="725">
      <c r="A725" s="5" t="inlineStr">
        <is>
          <t>하나제약</t>
        </is>
      </c>
      <c r="B725" s="6" t="inlineStr">
        <is>
          <t>293480</t>
        </is>
      </c>
      <c r="C725" s="6" t="inlineStr">
        <is>
          <t>2026Q2</t>
        </is>
      </c>
      <c r="D725" s="6" t="inlineStr">
        <is>
          <t>20260814</t>
        </is>
      </c>
      <c r="E725" s="16" t="n">
        <v>57378</v>
      </c>
      <c r="F725" s="16" t="n">
        <v>4932</v>
      </c>
      <c r="G725" s="16" t="n">
        <v>52446</v>
      </c>
      <c r="H725" s="6" t="inlineStr">
        <is>
          <t>백만원</t>
        </is>
      </c>
      <c r="I725" s="17" t="n">
        <v>-5.5</v>
      </c>
      <c r="J725" s="18" t="n">
        <v>757</v>
      </c>
      <c r="K725" s="19" t="n">
        <v>9</v>
      </c>
      <c r="L725" s="18" t="inlineStr"/>
      <c r="M725" s="19" t="inlineStr"/>
      <c r="N725" s="18" t="n">
        <v>595</v>
      </c>
      <c r="O725" s="19" t="n">
        <v>57378</v>
      </c>
      <c r="P725" s="18" t="n">
        <v>55966</v>
      </c>
      <c r="Q725" s="19" t="n">
        <v>55524</v>
      </c>
      <c r="R725" s="18" t="n">
        <v>55524</v>
      </c>
      <c r="S725" s="20" t="n">
        <v>52446</v>
      </c>
      <c r="T725" s="6" t="n">
        <v>1</v>
      </c>
      <c r="U725" s="5" t="inlineStr">
        <is>
          <t>CMO</t>
        </is>
      </c>
      <c r="V725" s="21">
        <f>HYPERLINK("https://dart.fss.or.kr/dsaf001/main.do?rcpNo=20260814001371", "공시열람")</f>
        <v/>
      </c>
    </row>
    <row r="726">
      <c r="A726" s="5" t="inlineStr">
        <is>
          <t>이오플로우</t>
        </is>
      </c>
      <c r="B726" s="6" t="inlineStr">
        <is>
          <t>294090</t>
        </is>
      </c>
      <c r="C726" s="6" t="inlineStr">
        <is>
          <t>2025Q3</t>
        </is>
      </c>
      <c r="D726" s="6" t="inlineStr">
        <is>
          <t>20251114</t>
        </is>
      </c>
      <c r="E726" s="16" t="n">
        <v>1157</v>
      </c>
      <c r="F726" s="16" t="n">
        <v>355</v>
      </c>
      <c r="G726" s="16" t="n">
        <v>802</v>
      </c>
      <c r="H726" s="6" t="inlineStr">
        <is>
          <t>백만원,천개</t>
        </is>
      </c>
      <c r="I726" s="17" t="n">
        <v>0</v>
      </c>
      <c r="J726" s="18" t="n">
        <v>150</v>
      </c>
      <c r="K726" s="19" t="n">
        <v>860</v>
      </c>
      <c r="L726" s="18" t="n">
        <v>118</v>
      </c>
      <c r="M726" s="19" t="n">
        <v>413</v>
      </c>
      <c r="N726" s="18" t="n">
        <v>802</v>
      </c>
      <c r="O726" s="19" t="n">
        <v>802</v>
      </c>
      <c r="P726" s="18" t="n">
        <v>802</v>
      </c>
      <c r="Q726" s="19" t="inlineStr"/>
      <c r="R726" s="18" t="inlineStr"/>
      <c r="S726" s="20" t="inlineStr"/>
      <c r="T726" s="6" t="n">
        <v>6</v>
      </c>
      <c r="U726" s="5" t="inlineStr">
        <is>
          <t>EOPatch / 2025.03.18 / 2025.05 | EOPatch / 2025.03.28 / 2025.05 | EOPatch / 2025.01.21 / 2025.03</t>
        </is>
      </c>
      <c r="V726" s="21">
        <f>HYPERLINK("https://dart.fss.or.kr/dsaf001/main.do?rcpNo=20251114000863", "공시열람")</f>
        <v/>
      </c>
    </row>
    <row r="727">
      <c r="A727" s="5" t="inlineStr">
        <is>
          <t>레몬</t>
        </is>
      </c>
      <c r="B727" s="6" t="inlineStr">
        <is>
          <t>294140</t>
        </is>
      </c>
      <c r="C727" s="6" t="inlineStr">
        <is>
          <t>2026Q2</t>
        </is>
      </c>
      <c r="D727" s="6" t="inlineStr">
        <is>
          <t>20260814</t>
        </is>
      </c>
      <c r="E727" s="16" t="n">
        <v>11024</v>
      </c>
      <c r="F727" s="16" t="n">
        <v>9321</v>
      </c>
      <c r="G727" s="16" t="n">
        <v>1703</v>
      </c>
      <c r="H727" s="6" t="inlineStr">
        <is>
          <t>백만원</t>
        </is>
      </c>
      <c r="I727" s="17" t="n">
        <v>-19.2</v>
      </c>
      <c r="J727" s="18" t="n">
        <v>120</v>
      </c>
      <c r="K727" s="19" t="n">
        <v>143</v>
      </c>
      <c r="L727" s="18" t="n">
        <v>45</v>
      </c>
      <c r="M727" s="19" t="n">
        <v>225</v>
      </c>
      <c r="N727" s="18" t="n">
        <v>269</v>
      </c>
      <c r="O727" s="19" t="n">
        <v>168</v>
      </c>
      <c r="P727" s="18" t="n">
        <v>1001</v>
      </c>
      <c r="Q727" s="19" t="n">
        <v>1556</v>
      </c>
      <c r="R727" s="18" t="n">
        <v>2107</v>
      </c>
      <c r="S727" s="20" t="n">
        <v>1703</v>
      </c>
      <c r="T727" s="6" t="n">
        <v>2</v>
      </c>
      <c r="U727" s="5" t="inlineStr">
        <is>
          <t>나노관련 | 기타</t>
        </is>
      </c>
      <c r="V727" s="21">
        <f>HYPERLINK("https://dart.fss.or.kr/dsaf001/main.do?rcpNo=20260814002294", "공시열람")</f>
        <v/>
      </c>
    </row>
    <row r="728">
      <c r="A728" s="5" t="inlineStr">
        <is>
          <t>쿠콘</t>
        </is>
      </c>
      <c r="B728" s="6" t="inlineStr">
        <is>
          <t>294570</t>
        </is>
      </c>
      <c r="C728" s="6" t="inlineStr">
        <is>
          <t>2024Q3</t>
        </is>
      </c>
      <c r="D728" s="6" t="inlineStr">
        <is>
          <t>20241114</t>
        </is>
      </c>
      <c r="E728" s="16" t="n">
        <v>4375</v>
      </c>
      <c r="F728" s="16" t="n">
        <v>4375</v>
      </c>
      <c r="G728" s="16" t="n">
        <v>0</v>
      </c>
      <c r="H728" s="6" t="inlineStr">
        <is>
          <t>백만원</t>
        </is>
      </c>
      <c r="I728" s="17" t="n">
        <v>-100</v>
      </c>
      <c r="J728" s="18" t="n">
        <v>26</v>
      </c>
      <c r="K728" s="19" t="n">
        <v>26</v>
      </c>
      <c r="L728" s="18" t="n">
        <v>0</v>
      </c>
      <c r="M728" s="19" t="inlineStr"/>
      <c r="N728" s="18" t="inlineStr"/>
      <c r="O728" s="19" t="inlineStr"/>
      <c r="P728" s="18" t="inlineStr"/>
      <c r="Q728" s="19" t="inlineStr"/>
      <c r="R728" s="18" t="inlineStr"/>
      <c r="S728" s="20" t="inlineStr"/>
      <c r="T728" s="6" t="n">
        <v>1</v>
      </c>
      <c r="U728" s="5" t="inlineStr">
        <is>
          <t>플랫폼 고도화 / 2023년 4월 / 2024년 5월</t>
        </is>
      </c>
      <c r="V728" s="21">
        <f>HYPERLINK("https://dart.fss.or.kr/dsaf001/main.do?rcpNo=20241114002883", "공시열람")</f>
        <v/>
      </c>
    </row>
    <row r="729">
      <c r="A729" s="5" t="inlineStr">
        <is>
          <t>서남</t>
        </is>
      </c>
      <c r="B729" s="6" t="inlineStr">
        <is>
          <t>294630</t>
        </is>
      </c>
      <c r="C729" s="6" t="inlineStr">
        <is>
          <t>2026Q2</t>
        </is>
      </c>
      <c r="D729" s="6" t="inlineStr">
        <is>
          <t>20260813</t>
        </is>
      </c>
      <c r="E729" s="16" t="inlineStr"/>
      <c r="F729" s="16" t="inlineStr"/>
      <c r="G729" s="16" t="n">
        <v>2590588360</v>
      </c>
      <c r="H729" s="6" t="inlineStr">
        <is>
          <t>원</t>
        </is>
      </c>
      <c r="I729" s="17" t="n">
        <v>171039.5</v>
      </c>
      <c r="J729" s="18" t="n">
        <v>2544425651</v>
      </c>
      <c r="K729" s="19" t="n">
        <v>499236303</v>
      </c>
      <c r="L729" s="18" t="n">
        <v>3577431</v>
      </c>
      <c r="M729" s="19" t="n">
        <v>3577431</v>
      </c>
      <c r="N729" s="18" t="n">
        <v>3198302</v>
      </c>
      <c r="O729" s="19" t="n">
        <v>2590588</v>
      </c>
      <c r="P729" s="18" t="n">
        <v>2216452</v>
      </c>
      <c r="Q729" s="19" t="n">
        <v>1828877</v>
      </c>
      <c r="R729" s="18" t="n">
        <v>1513729</v>
      </c>
      <c r="S729" s="20" t="n">
        <v>2590588360</v>
      </c>
      <c r="T729" s="6" t="n">
        <v>1</v>
      </c>
      <c r="U729" s="5" t="inlineStr">
        <is>
          <t>A Reel to Reel PVD system / -</t>
        </is>
      </c>
      <c r="V729" s="21">
        <f>HYPERLINK("https://dart.fss.or.kr/dsaf001/main.do?rcpNo=20260813001650", "공시열람")</f>
        <v/>
      </c>
    </row>
    <row r="730">
      <c r="A730" s="5" t="inlineStr">
        <is>
          <t>IPARK현대산업개발</t>
        </is>
      </c>
      <c r="B730" s="6" t="inlineStr">
        <is>
          <t>294870</t>
        </is>
      </c>
      <c r="C730" s="6" t="inlineStr">
        <is>
          <t>2026Q2</t>
        </is>
      </c>
      <c r="D730" s="6" t="inlineStr">
        <is>
          <t>20260818</t>
        </is>
      </c>
      <c r="E730" s="16" t="n">
        <v>26519376</v>
      </c>
      <c r="F730" s="16" t="n">
        <v>4225760</v>
      </c>
      <c r="G730" s="16" t="n">
        <v>22293615</v>
      </c>
      <c r="H730" s="6" t="inlineStr">
        <is>
          <t>백만원</t>
        </is>
      </c>
      <c r="I730" s="17" t="n">
        <v>2.8</v>
      </c>
      <c r="J730" s="18" t="n">
        <v>20870598</v>
      </c>
      <c r="K730" s="19" t="n">
        <v>19565207</v>
      </c>
      <c r="L730" s="18" t="n">
        <v>19215968</v>
      </c>
      <c r="M730" s="19" t="n">
        <v>19942970</v>
      </c>
      <c r="N730" s="18" t="n">
        <v>19528498</v>
      </c>
      <c r="O730" s="19" t="n">
        <v>19472415</v>
      </c>
      <c r="P730" s="18" t="n">
        <v>20661544</v>
      </c>
      <c r="Q730" s="19" t="n">
        <v>20955039</v>
      </c>
      <c r="R730" s="18" t="n">
        <v>21681977</v>
      </c>
      <c r="S730" s="20" t="n">
        <v>22293615</v>
      </c>
      <c r="T730" s="6" t="n">
        <v>2</v>
      </c>
      <c r="U730" s="5" t="inlineStr">
        <is>
          <t>민간공사 | 관급공사</t>
        </is>
      </c>
      <c r="V730" s="21">
        <f>HYPERLINK("https://dart.fss.or.kr/dsaf001/main.do?rcpNo=20260818000088", "공시열람")</f>
        <v/>
      </c>
    </row>
    <row r="731">
      <c r="A731" s="5" t="inlineStr">
        <is>
          <t>에이치브이엠</t>
        </is>
      </c>
      <c r="B731" s="6" t="inlineStr">
        <is>
          <t>295310</t>
        </is>
      </c>
      <c r="C731" s="6" t="inlineStr">
        <is>
          <t>2026Q2</t>
        </is>
      </c>
      <c r="D731" s="6" t="inlineStr">
        <is>
          <t>20260814</t>
        </is>
      </c>
      <c r="E731" s="16" t="inlineStr"/>
      <c r="F731" s="16" t="inlineStr"/>
      <c r="G731" s="16" t="n">
        <v>63078</v>
      </c>
      <c r="H731" s="6" t="inlineStr">
        <is>
          <t>백만원</t>
        </is>
      </c>
      <c r="I731" s="17" t="n">
        <v>29.8</v>
      </c>
      <c r="J731" s="18" t="inlineStr"/>
      <c r="K731" s="19" t="n">
        <v>21979</v>
      </c>
      <c r="L731" s="18" t="n">
        <v>24738</v>
      </c>
      <c r="M731" s="19" t="n">
        <v>23450</v>
      </c>
      <c r="N731" s="18" t="n">
        <v>19830</v>
      </c>
      <c r="O731" s="19" t="n">
        <v>31960</v>
      </c>
      <c r="P731" s="18" t="n">
        <v>35395</v>
      </c>
      <c r="Q731" s="19" t="n">
        <v>31102</v>
      </c>
      <c r="R731" s="18" t="n">
        <v>48593</v>
      </c>
      <c r="S731" s="20" t="n">
        <v>63078</v>
      </c>
      <c r="T731" s="6" t="n">
        <v>0</v>
      </c>
      <c r="U731" s="5" t="inlineStr"/>
      <c r="V731" s="21">
        <f>HYPERLINK("https://dart.fss.or.kr/dsaf001/main.do?rcpNo=20260814004157", "공시열람")</f>
        <v/>
      </c>
    </row>
    <row r="732">
      <c r="A732" s="5" t="inlineStr">
        <is>
          <t>이노에이엑스</t>
        </is>
      </c>
      <c r="B732" s="6" t="inlineStr">
        <is>
          <t>296640</t>
        </is>
      </c>
      <c r="C732" s="6" t="inlineStr">
        <is>
          <t>2026Q2</t>
        </is>
      </c>
      <c r="D732" s="6" t="inlineStr">
        <is>
          <t>20260814</t>
        </is>
      </c>
      <c r="E732" s="16" t="n">
        <v>40192</v>
      </c>
      <c r="F732" s="16" t="n">
        <v>22341</v>
      </c>
      <c r="G732" s="16" t="n">
        <v>17856</v>
      </c>
      <c r="H732" s="6" t="inlineStr">
        <is>
          <t>백만원</t>
        </is>
      </c>
      <c r="I732" s="17" t="n">
        <v>-1.4</v>
      </c>
      <c r="J732" s="18" t="n">
        <v>17100</v>
      </c>
      <c r="K732" s="19" t="n">
        <v>16965</v>
      </c>
      <c r="L732" s="18" t="n">
        <v>13105</v>
      </c>
      <c r="M732" s="19" t="n">
        <v>18549</v>
      </c>
      <c r="N732" s="18" t="n">
        <v>16541</v>
      </c>
      <c r="O732" s="19" t="n">
        <v>15792</v>
      </c>
      <c r="P732" s="18" t="n">
        <v>16183</v>
      </c>
      <c r="Q732" s="19" t="n">
        <v>18159</v>
      </c>
      <c r="R732" s="18" t="n">
        <v>18111</v>
      </c>
      <c r="S732" s="20" t="n">
        <v>17856</v>
      </c>
      <c r="T732" s="6" t="n">
        <v>3</v>
      </c>
      <c r="U732" s="5" t="inlineStr">
        <is>
          <t>프로페셔널 서비스 | 기술료 | 라이선스</t>
        </is>
      </c>
      <c r="V732" s="21">
        <f>HYPERLINK("https://dart.fss.or.kr/dsaf001/main.do?rcpNo=20260814001685", "공시열람")</f>
        <v/>
      </c>
    </row>
    <row r="733">
      <c r="A733" s="5" t="inlineStr">
        <is>
          <t>HB솔루션</t>
        </is>
      </c>
      <c r="B733" s="6" t="inlineStr">
        <is>
          <t>297890</t>
        </is>
      </c>
      <c r="C733" s="6" t="inlineStr">
        <is>
          <t>2026Q2</t>
        </is>
      </c>
      <c r="D733" s="6" t="inlineStr">
        <is>
          <t>20260814</t>
        </is>
      </c>
      <c r="E733" s="16" t="n">
        <v>51959</v>
      </c>
      <c r="F733" s="16" t="n">
        <v>24863</v>
      </c>
      <c r="G733" s="16" t="n">
        <v>27096</v>
      </c>
      <c r="H733" s="6" t="inlineStr">
        <is>
          <t>백만원</t>
        </is>
      </c>
      <c r="I733" s="17" t="n">
        <v>47.9</v>
      </c>
      <c r="J733" s="18" t="n">
        <v>87927</v>
      </c>
      <c r="K733" s="19" t="n">
        <v>44871</v>
      </c>
      <c r="L733" s="18" t="n">
        <v>64852</v>
      </c>
      <c r="M733" s="19" t="n">
        <v>54824</v>
      </c>
      <c r="N733" s="18" t="n">
        <v>40929</v>
      </c>
      <c r="O733" s="19" t="n">
        <v>13965</v>
      </c>
      <c r="P733" s="18" t="n">
        <v>19717</v>
      </c>
      <c r="Q733" s="19" t="n">
        <v>16793</v>
      </c>
      <c r="R733" s="18" t="n">
        <v>18319</v>
      </c>
      <c r="S733" s="20" t="n">
        <v>27096</v>
      </c>
      <c r="T733" s="6" t="n">
        <v>1</v>
      </c>
      <c r="U733" s="5" t="inlineStr">
        <is>
          <t>디스플레이, 반도체,이차전지 설비 / -</t>
        </is>
      </c>
      <c r="V733" s="21">
        <f>HYPERLINK("https://dart.fss.or.kr/dsaf001/main.do?rcpNo=20260814002863", "공시열람")</f>
        <v/>
      </c>
    </row>
    <row r="734">
      <c r="A734" s="5" t="inlineStr">
        <is>
          <t>효성중공업</t>
        </is>
      </c>
      <c r="B734" s="6" t="inlineStr">
        <is>
          <t>298040</t>
        </is>
      </c>
      <c r="C734" s="6" t="inlineStr">
        <is>
          <t>2026Q2</t>
        </is>
      </c>
      <c r="D734" s="6" t="inlineStr">
        <is>
          <t>20260813</t>
        </is>
      </c>
      <c r="E734" s="16" t="n">
        <v>12131411</v>
      </c>
      <c r="F734" s="16" t="n">
        <v>3971095</v>
      </c>
      <c r="G734" s="16" t="n">
        <v>32958249</v>
      </c>
      <c r="H734" s="6" t="inlineStr">
        <is>
          <t>백만원</t>
        </is>
      </c>
      <c r="I734" s="17" t="n">
        <v>11.8</v>
      </c>
      <c r="J734" s="18" t="n">
        <v>39741022</v>
      </c>
      <c r="K734" s="19" t="n">
        <v>40867602</v>
      </c>
      <c r="L734" s="18" t="n">
        <v>44210450</v>
      </c>
      <c r="M734" s="19" t="n">
        <v>49657494</v>
      </c>
      <c r="N734" s="18" t="n">
        <v>20976755</v>
      </c>
      <c r="O734" s="19" t="n">
        <v>21920840</v>
      </c>
      <c r="P734" s="18" t="n">
        <v>22245977</v>
      </c>
      <c r="Q734" s="19" t="n">
        <v>24389683</v>
      </c>
      <c r="R734" s="18" t="n">
        <v>29489574</v>
      </c>
      <c r="S734" s="20" t="n">
        <v>32958249</v>
      </c>
      <c r="T734" s="6" t="n">
        <v>3</v>
      </c>
      <c r="U734" s="5" t="inlineStr">
        <is>
          <t xml:space="preserve">중공업 / 효성중공업(주) / 변압기, 차단기, 전동기 | 건설 / 효성중공업(주) / 아파트, 상업시설, 도로, | 건설 / 진흥기업(주) / 아파트, 상업시설, 도로, </t>
        </is>
      </c>
      <c r="V734" s="21">
        <f>HYPERLINK("https://dart.fss.or.kr/dsaf001/main.do?rcpNo=20260813001554", "공시열람")</f>
        <v/>
      </c>
    </row>
    <row r="735">
      <c r="A735" s="5" t="inlineStr">
        <is>
          <t>하나기술</t>
        </is>
      </c>
      <c r="B735" s="6" t="inlineStr">
        <is>
          <t>299030</t>
        </is>
      </c>
      <c r="C735" s="6" t="inlineStr">
        <is>
          <t>2026Q2</t>
        </is>
      </c>
      <c r="D735" s="6" t="inlineStr">
        <is>
          <t>20260814</t>
        </is>
      </c>
      <c r="E735" s="16" t="n">
        <v>577804</v>
      </c>
      <c r="F735" s="16" t="n">
        <v>95266</v>
      </c>
      <c r="G735" s="16" t="n">
        <v>482537</v>
      </c>
      <c r="H735" s="6" t="inlineStr">
        <is>
          <t>백만원</t>
        </is>
      </c>
      <c r="I735" s="17" t="n">
        <v>42.2</v>
      </c>
      <c r="J735" s="18" t="n">
        <v>372236</v>
      </c>
      <c r="K735" s="19" t="n">
        <v>221947</v>
      </c>
      <c r="L735" s="18" t="n">
        <v>146924</v>
      </c>
      <c r="M735" s="19" t="n">
        <v>153465</v>
      </c>
      <c r="N735" s="18" t="n">
        <v>195962</v>
      </c>
      <c r="O735" s="19" t="n">
        <v>203611</v>
      </c>
      <c r="P735" s="18" t="inlineStr"/>
      <c r="Q735" s="19" t="n">
        <v>326212</v>
      </c>
      <c r="R735" s="18" t="n">
        <v>339342</v>
      </c>
      <c r="S735" s="20" t="n">
        <v>482537</v>
      </c>
      <c r="T735" s="6" t="n">
        <v>1</v>
      </c>
      <c r="U735" s="5" t="inlineStr">
        <is>
          <t>이차전지 제조장비 / -</t>
        </is>
      </c>
      <c r="V735" s="21">
        <f>HYPERLINK("https://dart.fss.or.kr/dsaf001/main.do?rcpNo=20260814003482", "공시열람")</f>
        <v/>
      </c>
    </row>
    <row r="736">
      <c r="A736" s="5" t="inlineStr">
        <is>
          <t>셀리드</t>
        </is>
      </c>
      <c r="B736" s="6" t="inlineStr">
        <is>
          <t>299660</t>
        </is>
      </c>
      <c r="C736" s="6" t="inlineStr">
        <is>
          <t>2026Q2</t>
        </is>
      </c>
      <c r="D736" s="6" t="inlineStr">
        <is>
          <t>20260814</t>
        </is>
      </c>
      <c r="E736" s="16" t="n">
        <v>4888000</v>
      </c>
      <c r="F736" s="16" t="n">
        <v>496000</v>
      </c>
      <c r="G736" s="16" t="n">
        <v>4392000</v>
      </c>
      <c r="H736" s="6" t="inlineStr">
        <is>
          <t>천원</t>
        </is>
      </c>
      <c r="I736" s="17" t="n">
        <v>0</v>
      </c>
      <c r="J736" s="18" t="n">
        <v>4888000</v>
      </c>
      <c r="K736" s="19" t="n">
        <v>4484000</v>
      </c>
      <c r="L736" s="18" t="n">
        <v>4392000</v>
      </c>
      <c r="M736" s="19" t="n">
        <v>4576000</v>
      </c>
      <c r="N736" s="18" t="n">
        <v>4576000</v>
      </c>
      <c r="O736" s="19" t="n">
        <v>4576000</v>
      </c>
      <c r="P736" s="18" t="n">
        <v>4392000</v>
      </c>
      <c r="Q736" s="19" t="n">
        <v>4392000</v>
      </c>
      <c r="R736" s="18" t="n">
        <v>4392000</v>
      </c>
      <c r="S736" s="20" t="n">
        <v>4392000</v>
      </c>
      <c r="T736" s="6" t="n">
        <v>1</v>
      </c>
      <c r="U736" s="5" t="inlineStr">
        <is>
          <t>세포유전자치료제 / 2023.03.16 / (주)</t>
        </is>
      </c>
      <c r="V736" s="21">
        <f>HYPERLINK("https://dart.fss.or.kr/dsaf001/main.do?rcpNo=20260814004146", "공시열람")</f>
        <v/>
      </c>
    </row>
    <row r="737">
      <c r="A737" s="5" t="inlineStr">
        <is>
          <t>위지윅스튜디오</t>
        </is>
      </c>
      <c r="B737" s="6" t="inlineStr">
        <is>
          <t>299900</t>
        </is>
      </c>
      <c r="C737" s="6" t="inlineStr">
        <is>
          <t>2023Q4</t>
        </is>
      </c>
      <c r="D737" s="6" t="inlineStr">
        <is>
          <t>20240724</t>
        </is>
      </c>
      <c r="E737" s="16" t="inlineStr"/>
      <c r="F737" s="16" t="inlineStr"/>
      <c r="G737" s="16" t="n">
        <v>1402977</v>
      </c>
      <c r="H737" s="6" t="inlineStr">
        <is>
          <t>천원</t>
        </is>
      </c>
      <c r="I737" s="17" t="inlineStr"/>
      <c r="J737" s="18" t="inlineStr"/>
      <c r="K737" s="19" t="inlineStr"/>
      <c r="L737" s="18" t="inlineStr"/>
      <c r="M737" s="19" t="inlineStr"/>
      <c r="N737" s="18" t="inlineStr"/>
      <c r="O737" s="19" t="inlineStr"/>
      <c r="P737" s="18" t="inlineStr"/>
      <c r="Q737" s="19" t="inlineStr"/>
      <c r="R737" s="18" t="inlineStr"/>
      <c r="S737" s="20" t="inlineStr"/>
      <c r="T737" s="6" t="n">
        <v>1</v>
      </c>
      <c r="U737" s="5" t="inlineStr">
        <is>
          <t>취득원가</t>
        </is>
      </c>
      <c r="V737" s="21">
        <f>HYPERLINK("https://dart.fss.or.kr/dsaf001/main.do?rcpNo=20240724000502", "공시열람")</f>
        <v/>
      </c>
    </row>
    <row r="738">
      <c r="A738" s="5" t="inlineStr">
        <is>
          <t>라온피플</t>
        </is>
      </c>
      <c r="B738" s="6" t="inlineStr">
        <is>
          <t>300120</t>
        </is>
      </c>
      <c r="C738" s="6" t="inlineStr">
        <is>
          <t>2026Q2</t>
        </is>
      </c>
      <c r="D738" s="6" t="inlineStr">
        <is>
          <t>20260814</t>
        </is>
      </c>
      <c r="E738" s="16" t="n">
        <v>385704</v>
      </c>
      <c r="F738" s="16" t="n">
        <v>103956</v>
      </c>
      <c r="G738" s="16" t="n">
        <v>281748</v>
      </c>
      <c r="H738" s="6" t="inlineStr">
        <is>
          <t>백만원</t>
        </is>
      </c>
      <c r="I738" s="17" t="n">
        <v>-4.5</v>
      </c>
      <c r="J738" s="18" t="n">
        <v>39777</v>
      </c>
      <c r="K738" s="19" t="n">
        <v>205291</v>
      </c>
      <c r="L738" s="18" t="n">
        <v>193742</v>
      </c>
      <c r="M738" s="19" t="n">
        <v>7682</v>
      </c>
      <c r="N738" s="18" t="inlineStr"/>
      <c r="O738" s="19" t="n">
        <v>280089</v>
      </c>
      <c r="P738" s="18" t="n">
        <v>275363</v>
      </c>
      <c r="Q738" s="19" t="n">
        <v>316153</v>
      </c>
      <c r="R738" s="18" t="n">
        <v>294879</v>
      </c>
      <c r="S738" s="20" t="n">
        <v>281748</v>
      </c>
      <c r="T738" s="6" t="n">
        <v>3</v>
      </c>
      <c r="U738" s="5" t="inlineStr">
        <is>
          <t>클라우드 등 | AI 비전생성형 AIPlatform | 카메라모듈검사</t>
        </is>
      </c>
      <c r="V738" s="21">
        <f>HYPERLINK("https://dart.fss.or.kr/dsaf001/main.do?rcpNo=20260814002571", "공시열람")</f>
        <v/>
      </c>
    </row>
    <row r="739">
      <c r="A739" s="5" t="inlineStr">
        <is>
          <t>한일시멘트</t>
        </is>
      </c>
      <c r="B739" s="6" t="inlineStr">
        <is>
          <t>300720</t>
        </is>
      </c>
      <c r="C739" s="6" t="inlineStr">
        <is>
          <t>2026Q2</t>
        </is>
      </c>
      <c r="D739" s="6" t="inlineStr">
        <is>
          <t>20260814</t>
        </is>
      </c>
      <c r="E739" s="16" t="n">
        <v>363217</v>
      </c>
      <c r="F739" s="16" t="n">
        <v>180146</v>
      </c>
      <c r="G739" s="16" t="n">
        <v>183071</v>
      </c>
      <c r="H739" s="6" t="inlineStr">
        <is>
          <t>백만원</t>
        </is>
      </c>
      <c r="I739" s="17" t="n">
        <v>2.7</v>
      </c>
      <c r="J739" s="18" t="n">
        <v>259193100290</v>
      </c>
      <c r="K739" s="19" t="n">
        <v>220013996173</v>
      </c>
      <c r="L739" s="18" t="n">
        <v>204122</v>
      </c>
      <c r="M739" s="19" t="n">
        <v>226837</v>
      </c>
      <c r="N739" s="18" t="n">
        <v>214066</v>
      </c>
      <c r="O739" s="19" t="n">
        <v>215258</v>
      </c>
      <c r="P739" s="18" t="n">
        <v>195065</v>
      </c>
      <c r="Q739" s="19" t="n">
        <v>193955</v>
      </c>
      <c r="R739" s="18" t="n">
        <v>178189</v>
      </c>
      <c r="S739" s="20" t="n">
        <v>183071</v>
      </c>
      <c r="T739" s="6" t="n">
        <v>22</v>
      </c>
      <c r="U739" s="5" t="inlineStr">
        <is>
          <t>넥스트레인㈜ / 신안산선 복선전철 민간투자사업 / 20 | 한국토지주택공사 / 부천대장 A-78BL 및 A-8BL | 한국토지주택공사 / 행정중심복합도시 5-1L1BL 아파</t>
        </is>
      </c>
      <c r="V739" s="21">
        <f>HYPERLINK("https://dart.fss.or.kr/dsaf001/main.do?rcpNo=20260814003685", "공시열람")</f>
        <v/>
      </c>
    </row>
    <row r="740">
      <c r="A740" s="5" t="inlineStr">
        <is>
          <t>바이브컴퍼니</t>
        </is>
      </c>
      <c r="B740" s="6" t="inlineStr">
        <is>
          <t>301300</t>
        </is>
      </c>
      <c r="C740" s="6" t="inlineStr">
        <is>
          <t>2026Q2</t>
        </is>
      </c>
      <c r="D740" s="6" t="inlineStr">
        <is>
          <t>20260814</t>
        </is>
      </c>
      <c r="E740" s="16" t="n">
        <v>18792106</v>
      </c>
      <c r="F740" s="16" t="n">
        <v>10901280</v>
      </c>
      <c r="G740" s="16" t="n">
        <v>7890826</v>
      </c>
      <c r="H740" s="6" t="inlineStr">
        <is>
          <t>천원</t>
        </is>
      </c>
      <c r="I740" s="17" t="n">
        <v>3.6</v>
      </c>
      <c r="J740" s="18" t="n">
        <v>5453850</v>
      </c>
      <c r="K740" s="19" t="inlineStr"/>
      <c r="L740" s="18" t="n">
        <v>7344196</v>
      </c>
      <c r="M740" s="19" t="n">
        <v>2404113</v>
      </c>
      <c r="N740" s="18" t="n">
        <v>5172613</v>
      </c>
      <c r="O740" s="19" t="n">
        <v>9112885</v>
      </c>
      <c r="P740" s="18" t="n">
        <v>7032627</v>
      </c>
      <c r="Q740" s="19" t="n">
        <v>2655025</v>
      </c>
      <c r="R740" s="18" t="n">
        <v>7620023</v>
      </c>
      <c r="S740" s="20" t="n">
        <v>7890826</v>
      </c>
      <c r="T740" s="6" t="n">
        <v>21</v>
      </c>
      <c r="U740" s="5" t="inlineStr">
        <is>
          <t>AI솔루션 | SI/SM | AI솔루션</t>
        </is>
      </c>
      <c r="V740" s="21">
        <f>HYPERLINK("https://dart.fss.or.kr/dsaf001/main.do?rcpNo=20260814002481", "공시열람")</f>
        <v/>
      </c>
    </row>
    <row r="741">
      <c r="A741" s="5" t="inlineStr">
        <is>
          <t>이노메트리</t>
        </is>
      </c>
      <c r="B741" s="6" t="inlineStr">
        <is>
          <t>302430</t>
        </is>
      </c>
      <c r="C741" s="6" t="inlineStr">
        <is>
          <t>2024Q1</t>
        </is>
      </c>
      <c r="D741" s="6" t="inlineStr">
        <is>
          <t>20240516</t>
        </is>
      </c>
      <c r="E741" s="16" t="n">
        <v>71769339</v>
      </c>
      <c r="F741" s="16" t="n">
        <v>48635690</v>
      </c>
      <c r="G741" s="16" t="n">
        <v>23133649</v>
      </c>
      <c r="H741" s="6" t="inlineStr">
        <is>
          <t>천원</t>
        </is>
      </c>
      <c r="I741" s="17" t="n">
        <v>-8.800000000000001</v>
      </c>
      <c r="J741" s="18" t="n">
        <v>23133649</v>
      </c>
      <c r="K741" s="19" t="inlineStr"/>
      <c r="L741" s="18" t="inlineStr"/>
      <c r="M741" s="19" t="inlineStr"/>
      <c r="N741" s="18" t="inlineStr"/>
      <c r="O741" s="19" t="inlineStr"/>
      <c r="P741" s="18" t="inlineStr"/>
      <c r="Q741" s="19" t="inlineStr"/>
      <c r="R741" s="18" t="inlineStr"/>
      <c r="S741" s="20" t="inlineStr"/>
      <c r="T741" s="6" t="n">
        <v>13</v>
      </c>
      <c r="U741" s="5" t="inlineStr">
        <is>
          <t>2차전지검사장비 / 2023-11-04 / 2025-0 | 2차전지검사장비 / 2022-12-22 / 2024-0 | 2차전지검사장비 / 2022-12-22 / 2024-0</t>
        </is>
      </c>
      <c r="V741" s="21">
        <f>HYPERLINK("https://dart.fss.or.kr/dsaf001/main.do?rcpNo=20240516000062", "공시열람")</f>
        <v/>
      </c>
    </row>
    <row r="742">
      <c r="A742" s="5" t="inlineStr">
        <is>
          <t>SK바이오사이언스</t>
        </is>
      </c>
      <c r="B742" s="6" t="inlineStr">
        <is>
          <t>302440</t>
        </is>
      </c>
      <c r="C742" s="6" t="inlineStr">
        <is>
          <t>2026Q2</t>
        </is>
      </c>
      <c r="D742" s="6" t="inlineStr">
        <is>
          <t>20260813</t>
        </is>
      </c>
      <c r="E742" s="16" t="n">
        <v>2511572</v>
      </c>
      <c r="F742" s="16" t="n">
        <v>1933255</v>
      </c>
      <c r="G742" s="16" t="n">
        <v>578317</v>
      </c>
      <c r="H742" s="6" t="inlineStr">
        <is>
          <t>백만원</t>
        </is>
      </c>
      <c r="I742" s="17" t="n">
        <v>-30.1</v>
      </c>
      <c r="J742" s="18" t="n">
        <v>114955</v>
      </c>
      <c r="K742" s="19" t="n">
        <v>141644</v>
      </c>
      <c r="L742" s="18" t="n">
        <v>107602</v>
      </c>
      <c r="M742" s="19" t="n">
        <v>979319</v>
      </c>
      <c r="N742" s="18" t="n">
        <v>882738</v>
      </c>
      <c r="O742" s="19" t="n">
        <v>804123</v>
      </c>
      <c r="P742" s="18" t="n">
        <v>720658</v>
      </c>
      <c r="Q742" s="19" t="n">
        <v>801010</v>
      </c>
      <c r="R742" s="18" t="n">
        <v>827917</v>
      </c>
      <c r="S742" s="20" t="n">
        <v>578317</v>
      </c>
      <c r="T742" s="6" t="n">
        <v>2</v>
      </c>
      <c r="U742" s="5" t="inlineStr">
        <is>
          <t>CDMO / 2015년~(계약별 상이) / ~2029년 | 백신 원액 및 완제 생산 / 2022년~(계약별 상이)</t>
        </is>
      </c>
      <c r="V742" s="21">
        <f>HYPERLINK("https://dart.fss.or.kr/dsaf001/main.do?rcpNo=20260813001292", "공시열람")</f>
        <v/>
      </c>
    </row>
    <row r="743">
      <c r="A743" s="5" t="inlineStr">
        <is>
          <t>리메드</t>
        </is>
      </c>
      <c r="B743" s="6" t="inlineStr">
        <is>
          <t>302550</t>
        </is>
      </c>
      <c r="C743" s="6" t="inlineStr">
        <is>
          <t>2026Q2</t>
        </is>
      </c>
      <c r="D743" s="6" t="inlineStr">
        <is>
          <t>20260812</t>
        </is>
      </c>
      <c r="E743" s="16" t="n">
        <v>23436000</v>
      </c>
      <c r="F743" s="16" t="n">
        <v>1922088</v>
      </c>
      <c r="G743" s="16" t="n">
        <v>21513912</v>
      </c>
      <c r="H743" s="6" t="inlineStr">
        <is>
          <t>대,천원</t>
        </is>
      </c>
      <c r="I743" s="17" t="n">
        <v>0</v>
      </c>
      <c r="J743" s="18" t="n">
        <v>21538520</v>
      </c>
      <c r="K743" s="19" t="n">
        <v>21538520</v>
      </c>
      <c r="L743" s="18" t="n">
        <v>21538520</v>
      </c>
      <c r="M743" s="19" t="n">
        <v>21513912</v>
      </c>
      <c r="N743" s="18" t="n">
        <v>21513912</v>
      </c>
      <c r="O743" s="19" t="n">
        <v>21513912</v>
      </c>
      <c r="P743" s="18" t="n">
        <v>21513912</v>
      </c>
      <c r="Q743" s="19" t="n">
        <v>21513912</v>
      </c>
      <c r="R743" s="18" t="n">
        <v>21513912</v>
      </c>
      <c r="S743" s="20" t="n">
        <v>21513912</v>
      </c>
      <c r="T743" s="6" t="n">
        <v>13</v>
      </c>
      <c r="U743" s="5" t="inlineStr">
        <is>
          <t>ZTone plus / 2023.11.02 / 2023 | ZTone plus / 2021.09.27 / 2021 | ZTone plus / 2024.01.16 / 2024</t>
        </is>
      </c>
      <c r="V743" s="21">
        <f>HYPERLINK("https://dart.fss.or.kr/dsaf001/main.do?rcpNo=20260812000883", "공시열람")</f>
        <v/>
      </c>
    </row>
    <row r="744">
      <c r="A744" s="5" t="inlineStr">
        <is>
          <t>동국생명과학</t>
        </is>
      </c>
      <c r="B744" s="6" t="inlineStr">
        <is>
          <t>303810</t>
        </is>
      </c>
      <c r="C744" s="6" t="inlineStr">
        <is>
          <t>2026Q2</t>
        </is>
      </c>
      <c r="D744" s="6" t="inlineStr">
        <is>
          <t>20260814</t>
        </is>
      </c>
      <c r="E744" s="16" t="n">
        <v>1532255</v>
      </c>
      <c r="F744" s="16" t="inlineStr"/>
      <c r="G744" s="16" t="n">
        <v>1532255</v>
      </c>
      <c r="H744" s="6" t="inlineStr">
        <is>
          <t>천원</t>
        </is>
      </c>
      <c r="I744" s="17" t="n">
        <v>-33.4</v>
      </c>
      <c r="J744" s="18" t="inlineStr"/>
      <c r="K744" s="19" t="inlineStr"/>
      <c r="L744" s="18" t="inlineStr"/>
      <c r="M744" s="19" t="n">
        <v>4699240</v>
      </c>
      <c r="N744" s="18" t="n">
        <v>4699240</v>
      </c>
      <c r="O744" s="19" t="n">
        <v>1305331</v>
      </c>
      <c r="P744" s="18" t="n">
        <v>2062558</v>
      </c>
      <c r="Q744" s="19" t="n">
        <v>1399658</v>
      </c>
      <c r="R744" s="18" t="n">
        <v>2301490</v>
      </c>
      <c r="S744" s="20" t="n">
        <v>1532255</v>
      </c>
      <c r="T744" s="6" t="n">
        <v>3</v>
      </c>
      <c r="U744" s="5" t="inlineStr">
        <is>
          <t>C사 / 조영제 / Vial | B사 / 조영제 API / Kg | A사 / 조영제 / Vial</t>
        </is>
      </c>
      <c r="V744" s="21">
        <f>HYPERLINK("https://dart.fss.or.kr/dsaf001/main.do?rcpNo=20260814002097", "공시열람")</f>
        <v/>
      </c>
    </row>
    <row r="745">
      <c r="A745" s="5" t="inlineStr">
        <is>
          <t>솔트룩스</t>
        </is>
      </c>
      <c r="B745" s="6" t="inlineStr">
        <is>
          <t>304100</t>
        </is>
      </c>
      <c r="C745" s="6" t="inlineStr">
        <is>
          <t>2026Q2</t>
        </is>
      </c>
      <c r="D745" s="6" t="inlineStr">
        <is>
          <t>20260814</t>
        </is>
      </c>
      <c r="E745" s="16" t="n">
        <v>19855414</v>
      </c>
      <c r="F745" s="16" t="n">
        <v>6935031</v>
      </c>
      <c r="G745" s="16" t="n">
        <v>12920384</v>
      </c>
      <c r="H745" s="6" t="inlineStr">
        <is>
          <t>천원</t>
        </is>
      </c>
      <c r="I745" s="17" t="n">
        <v>309.5</v>
      </c>
      <c r="J745" s="18" t="n">
        <v>1249055</v>
      </c>
      <c r="K745" s="19" t="n">
        <v>25163</v>
      </c>
      <c r="L745" s="18" t="n">
        <v>19371</v>
      </c>
      <c r="M745" s="19" t="n">
        <v>595897</v>
      </c>
      <c r="N745" s="18" t="n">
        <v>391003</v>
      </c>
      <c r="O745" s="19" t="n">
        <v>3729941</v>
      </c>
      <c r="P745" s="18" t="n">
        <v>4080403</v>
      </c>
      <c r="Q745" s="19" t="n">
        <v>3860077</v>
      </c>
      <c r="R745" s="18" t="n">
        <v>3155538</v>
      </c>
      <c r="S745" s="20" t="n">
        <v>12920384</v>
      </c>
      <c r="T745" s="6" t="n">
        <v>15</v>
      </c>
      <c r="U745" s="5" t="inlineStr">
        <is>
          <t>AI Suite / 삼성에스디에스(주) / 2026-0 | AI Suite / 한전원자력연료 / 2026-06-0 | AI Suite / 동양생명보험(주) / 2026-05</t>
        </is>
      </c>
      <c r="V745" s="21">
        <f>HYPERLINK("https://dart.fss.or.kr/dsaf001/main.do?rcpNo=20260814001518", "공시열람")</f>
        <v/>
      </c>
    </row>
    <row r="746">
      <c r="A746" s="5" t="inlineStr">
        <is>
          <t>세아제강</t>
        </is>
      </c>
      <c r="B746" s="6" t="inlineStr">
        <is>
          <t>306200</t>
        </is>
      </c>
      <c r="C746" s="6" t="inlineStr">
        <is>
          <t>2026Q2</t>
        </is>
      </c>
      <c r="D746" s="6" t="inlineStr">
        <is>
          <t>20260814</t>
        </is>
      </c>
      <c r="E746" s="16" t="n">
        <v>270602</v>
      </c>
      <c r="F746" s="16" t="n">
        <v>202482</v>
      </c>
      <c r="G746" s="16" t="n">
        <v>57760</v>
      </c>
      <c r="H746" s="6" t="inlineStr">
        <is>
          <t>백만원</t>
        </is>
      </c>
      <c r="I746" s="17" t="n">
        <v>-41.9</v>
      </c>
      <c r="J746" s="18" t="n">
        <v>59518</v>
      </c>
      <c r="K746" s="19" t="n">
        <v>39297</v>
      </c>
      <c r="L746" s="18" t="n">
        <v>28941</v>
      </c>
      <c r="M746" s="19" t="n">
        <v>28312</v>
      </c>
      <c r="N746" s="18" t="n">
        <v>22063</v>
      </c>
      <c r="O746" s="19" t="n">
        <v>13697</v>
      </c>
      <c r="P746" s="18" t="n">
        <v>11118</v>
      </c>
      <c r="Q746" s="19" t="n">
        <v>108537</v>
      </c>
      <c r="R746" s="18" t="n">
        <v>99347</v>
      </c>
      <c r="S746" s="20" t="n">
        <v>57760</v>
      </c>
      <c r="T746" s="6" t="n">
        <v>2</v>
      </c>
      <c r="U746" s="5" t="inlineStr">
        <is>
          <t xml:space="preserve">천연가스 이송용 PIPE 공급 계약 / 2025.12. | 카타르 LNG 북부 가스전 프로젝트(STS PIPE) </t>
        </is>
      </c>
      <c r="V746" s="21">
        <f>HYPERLINK("https://dart.fss.or.kr/dsaf001/main.do?rcpNo=20260814003277", "공시열람")</f>
        <v/>
      </c>
    </row>
    <row r="747">
      <c r="A747" s="5" t="inlineStr">
        <is>
          <t>아이엘</t>
        </is>
      </c>
      <c r="B747" s="6" t="inlineStr">
        <is>
          <t>307180</t>
        </is>
      </c>
      <c r="C747" s="6" t="inlineStr">
        <is>
          <t>2026Q2</t>
        </is>
      </c>
      <c r="D747" s="6" t="inlineStr">
        <is>
          <t>20260812</t>
        </is>
      </c>
      <c r="E747" s="16" t="n">
        <v>125025045</v>
      </c>
      <c r="F747" s="16" t="n">
        <v>38197706</v>
      </c>
      <c r="G747" s="16" t="n">
        <v>86817339</v>
      </c>
      <c r="H747" s="6" t="inlineStr">
        <is>
          <t>천원</t>
        </is>
      </c>
      <c r="I747" s="17" t="n">
        <v>0</v>
      </c>
      <c r="J747" s="18" t="n">
        <v>71459722</v>
      </c>
      <c r="K747" s="19" t="n">
        <v>72042712</v>
      </c>
      <c r="L747" s="18" t="n">
        <v>72042712</v>
      </c>
      <c r="M747" s="19" t="n">
        <v>72185570</v>
      </c>
      <c r="N747" s="18" t="n">
        <v>95977954</v>
      </c>
      <c r="O747" s="19" t="n">
        <v>67643548</v>
      </c>
      <c r="P747" s="18" t="n">
        <v>68417593</v>
      </c>
      <c r="Q747" s="19" t="n">
        <v>76025371</v>
      </c>
      <c r="R747" s="18" t="n">
        <v>86817339</v>
      </c>
      <c r="S747" s="20" t="n">
        <v>86817339</v>
      </c>
      <c r="T747" s="6" t="n">
        <v>5</v>
      </c>
      <c r="U747" s="5" t="inlineStr">
        <is>
          <t>전장/조명외 | LED조명/시스템 / - | 모듈 및 램프</t>
        </is>
      </c>
      <c r="V747" s="21">
        <f>HYPERLINK("https://dart.fss.or.kr/dsaf001/main.do?rcpNo=20260812000513", "공시열람")</f>
        <v/>
      </c>
    </row>
    <row r="748">
      <c r="A748" s="5" t="inlineStr">
        <is>
          <t>비투엔</t>
        </is>
      </c>
      <c r="B748" s="6" t="inlineStr">
        <is>
          <t>307870</t>
        </is>
      </c>
      <c r="C748" s="6" t="inlineStr">
        <is>
          <t>2026Q2</t>
        </is>
      </c>
      <c r="D748" s="6" t="inlineStr">
        <is>
          <t>20260813</t>
        </is>
      </c>
      <c r="E748" s="16" t="inlineStr"/>
      <c r="F748" s="16" t="inlineStr"/>
      <c r="G748" s="16" t="n">
        <v>5279</v>
      </c>
      <c r="H748" s="6" t="inlineStr">
        <is>
          <t>백만원</t>
        </is>
      </c>
      <c r="I748" s="17" t="n">
        <v>25.3</v>
      </c>
      <c r="J748" s="18" t="n">
        <v>11610</v>
      </c>
      <c r="K748" s="19" t="n">
        <v>9405</v>
      </c>
      <c r="L748" s="18" t="n">
        <v>9761</v>
      </c>
      <c r="M748" s="19" t="n">
        <v>5934</v>
      </c>
      <c r="N748" s="18" t="n">
        <v>8238</v>
      </c>
      <c r="O748" s="19" t="n">
        <v>4515</v>
      </c>
      <c r="P748" s="18" t="n">
        <v>6208</v>
      </c>
      <c r="Q748" s="19" t="n">
        <v>4579</v>
      </c>
      <c r="R748" s="18" t="n">
        <v>4214</v>
      </c>
      <c r="S748" s="20" t="n">
        <v>5279</v>
      </c>
      <c r="T748" s="6" t="n">
        <v>4</v>
      </c>
      <c r="U748" s="5" t="inlineStr">
        <is>
          <t xml:space="preserve">기타 / - | K사 / 융자차세대시스템 구축_정보계, 데이터관리전환  | 공공 / 차세대 상장공시시스템 구축을 위한 개발 용역 </t>
        </is>
      </c>
      <c r="V748" s="21">
        <f>HYPERLINK("https://dart.fss.or.kr/dsaf001/main.do?rcpNo=20260813000458", "공시열람")</f>
        <v/>
      </c>
    </row>
    <row r="749">
      <c r="A749" s="5" t="inlineStr">
        <is>
          <t>현대오토에버</t>
        </is>
      </c>
      <c r="B749" s="6" t="inlineStr">
        <is>
          <t>307950</t>
        </is>
      </c>
      <c r="C749" s="6" t="inlineStr">
        <is>
          <t>2026Q2</t>
        </is>
      </c>
      <c r="D749" s="6" t="inlineStr">
        <is>
          <t>20260814</t>
        </is>
      </c>
      <c r="E749" s="16" t="n">
        <v>18896</v>
      </c>
      <c r="F749" s="16" t="n">
        <v>6155</v>
      </c>
      <c r="G749" s="16" t="n">
        <v>12741</v>
      </c>
      <c r="H749" s="6" t="inlineStr">
        <is>
          <t>억원</t>
        </is>
      </c>
      <c r="I749" s="17" t="n">
        <v>13.8</v>
      </c>
      <c r="J749" s="18" t="n">
        <v>8031</v>
      </c>
      <c r="K749" s="19" t="n">
        <v>8660</v>
      </c>
      <c r="L749" s="18" t="n">
        <v>10167</v>
      </c>
      <c r="M749" s="19" t="n">
        <v>2888</v>
      </c>
      <c r="N749" s="18" t="n">
        <v>10743</v>
      </c>
      <c r="O749" s="19" t="n">
        <v>14200</v>
      </c>
      <c r="P749" s="18" t="n">
        <v>10072</v>
      </c>
      <c r="Q749" s="19" t="n">
        <v>10775</v>
      </c>
      <c r="R749" s="18" t="n">
        <v>11200</v>
      </c>
      <c r="S749" s="20" t="n">
        <v>12741</v>
      </c>
      <c r="T749" s="6" t="n">
        <v>1</v>
      </c>
      <c r="U749" s="5" t="inlineStr">
        <is>
          <t>시스템 구축 / -</t>
        </is>
      </c>
      <c r="V749" s="21">
        <f>HYPERLINK("https://dart.fss.or.kr/dsaf001/main.do?rcpNo=20260814003571", "공시열람")</f>
        <v/>
      </c>
    </row>
    <row r="750">
      <c r="A750" s="5" t="inlineStr">
        <is>
          <t>아이티켐</t>
        </is>
      </c>
      <c r="B750" s="6" t="inlineStr">
        <is>
          <t>309710</t>
        </is>
      </c>
      <c r="C750" s="6" t="inlineStr">
        <is>
          <t>2026Q1</t>
        </is>
      </c>
      <c r="D750" s="6" t="inlineStr">
        <is>
          <t>20260601</t>
        </is>
      </c>
      <c r="E750" s="16" t="n">
        <v>19921</v>
      </c>
      <c r="F750" s="16" t="n">
        <v>1519</v>
      </c>
      <c r="G750" s="16" t="n">
        <v>18402</v>
      </c>
      <c r="H750" s="6" t="inlineStr">
        <is>
          <t>Kg,백만원</t>
        </is>
      </c>
      <c r="I750" s="17" t="n">
        <v>8.800000000000001</v>
      </c>
      <c r="J750" s="18" t="inlineStr"/>
      <c r="K750" s="19" t="inlineStr"/>
      <c r="L750" s="18" t="inlineStr"/>
      <c r="M750" s="19" t="inlineStr"/>
      <c r="N750" s="18" t="inlineStr"/>
      <c r="O750" s="19" t="n">
        <v>11301</v>
      </c>
      <c r="P750" s="18" t="n">
        <v>9821</v>
      </c>
      <c r="Q750" s="19" t="n">
        <v>16918</v>
      </c>
      <c r="R750" s="18" t="n">
        <v>18402</v>
      </c>
      <c r="S750" s="20" t="inlineStr"/>
      <c r="T750" s="6" t="n">
        <v>14</v>
      </c>
      <c r="U750" s="5" t="inlineStr">
        <is>
          <t>BCBB / 2025-12-04 / 2027-05-31 | SK-BMK / 2026-02-28 / 2026-07- | TPB-100T / 2026-03-20 / 2027-0</t>
        </is>
      </c>
      <c r="V750" s="21">
        <f>HYPERLINK("https://dart.fss.or.kr/dsaf001/main.do?rcpNo=20260601001979", "공시열람")</f>
        <v/>
      </c>
    </row>
    <row r="751">
      <c r="A751" s="5" t="inlineStr">
        <is>
          <t>엘에이티</t>
        </is>
      </c>
      <c r="B751" s="6" t="inlineStr">
        <is>
          <t>311060</t>
        </is>
      </c>
      <c r="C751" s="6" t="inlineStr">
        <is>
          <t>2023Q4</t>
        </is>
      </c>
      <c r="D751" s="6" t="inlineStr">
        <is>
          <t>20240320</t>
        </is>
      </c>
      <c r="E751" s="16" t="n">
        <v>43849725</v>
      </c>
      <c r="F751" s="16" t="n">
        <v>7560166</v>
      </c>
      <c r="G751" s="16" t="n">
        <v>36289559</v>
      </c>
      <c r="H751" s="6" t="inlineStr">
        <is>
          <t>천원</t>
        </is>
      </c>
      <c r="I751" s="17" t="inlineStr"/>
      <c r="J751" s="18" t="inlineStr"/>
      <c r="K751" s="19" t="inlineStr"/>
      <c r="L751" s="18" t="inlineStr"/>
      <c r="M751" s="19" t="inlineStr"/>
      <c r="N751" s="18" t="inlineStr"/>
      <c r="O751" s="19" t="inlineStr"/>
      <c r="P751" s="18" t="inlineStr"/>
      <c r="Q751" s="19" t="inlineStr"/>
      <c r="R751" s="18" t="inlineStr"/>
      <c r="S751" s="20" t="inlineStr"/>
      <c r="T751" s="6" t="n">
        <v>1</v>
      </c>
      <c r="U751" s="5" t="inlineStr">
        <is>
          <t>반도체/Display 장비 등 / 2023년 / 202</t>
        </is>
      </c>
      <c r="V751" s="21">
        <f>HYPERLINK("https://dart.fss.or.kr/dsaf001/main.do?rcpNo=20240320001509", "공시열람")</f>
        <v/>
      </c>
    </row>
    <row r="752">
      <c r="A752" s="5" t="inlineStr">
        <is>
          <t>인터로이드</t>
        </is>
      </c>
      <c r="B752" s="6" t="inlineStr">
        <is>
          <t>311960</t>
        </is>
      </c>
      <c r="C752" s="6" t="inlineStr">
        <is>
          <t>2025Q4</t>
        </is>
      </c>
      <c r="D752" s="6" t="inlineStr">
        <is>
          <t>20260326</t>
        </is>
      </c>
      <c r="E752" s="16" t="inlineStr"/>
      <c r="F752" s="16" t="inlineStr"/>
      <c r="G752" s="16" t="n">
        <v>328458</v>
      </c>
      <c r="H752" s="6" t="inlineStr">
        <is>
          <t>천원</t>
        </is>
      </c>
      <c r="I752" s="17" t="n">
        <v>-65.40000000000001</v>
      </c>
      <c r="J752" s="18" t="inlineStr"/>
      <c r="K752" s="19" t="inlineStr"/>
      <c r="L752" s="18" t="inlineStr"/>
      <c r="M752" s="19" t="n">
        <v>948339</v>
      </c>
      <c r="N752" s="18" t="inlineStr"/>
      <c r="O752" s="19" t="inlineStr"/>
      <c r="P752" s="18" t="inlineStr"/>
      <c r="Q752" s="19" t="n">
        <v>328458</v>
      </c>
      <c r="R752" s="18" t="inlineStr"/>
      <c r="S752" s="20" t="inlineStr"/>
      <c r="T752" s="6" t="n">
        <v>2</v>
      </c>
      <c r="U752" s="5" t="inlineStr">
        <is>
          <t xml:space="preserve">공장설립인허가사전진단서비스시범구축 / 한국산업단지공단  | 24년 사회보장정보시스템 확대개편 사업 / 보건복지부 </t>
        </is>
      </c>
      <c r="V752" s="21">
        <f>HYPERLINK("https://dart.fss.or.kr/dsaf001/main.do?rcpNo=20260326000677", "공시열람")</f>
        <v/>
      </c>
    </row>
    <row r="753">
      <c r="A753" s="5" t="inlineStr">
        <is>
          <t>캐리</t>
        </is>
      </c>
      <c r="B753" s="6" t="inlineStr">
        <is>
          <t>313760</t>
        </is>
      </c>
      <c r="C753" s="6" t="inlineStr">
        <is>
          <t>2024Q4</t>
        </is>
      </c>
      <c r="D753" s="6" t="inlineStr">
        <is>
          <t>20250326</t>
        </is>
      </c>
      <c r="E753" s="16" t="inlineStr"/>
      <c r="F753" s="16" t="inlineStr"/>
      <c r="G753" s="16" t="n">
        <v>125654</v>
      </c>
      <c r="H753" s="6" t="inlineStr">
        <is>
          <t>천원</t>
        </is>
      </c>
      <c r="I753" s="17" t="n">
        <v>-96</v>
      </c>
      <c r="J753" s="18" t="inlineStr"/>
      <c r="K753" s="19" t="inlineStr"/>
      <c r="L753" s="18" t="inlineStr"/>
      <c r="M753" s="19" t="n">
        <v>125654</v>
      </c>
      <c r="N753" s="18" t="inlineStr"/>
      <c r="O753" s="19" t="inlineStr"/>
      <c r="P753" s="18" t="inlineStr"/>
      <c r="Q753" s="19" t="inlineStr"/>
      <c r="R753" s="18" t="inlineStr"/>
      <c r="S753" s="20" t="inlineStr"/>
      <c r="T753" s="6" t="n">
        <v>1</v>
      </c>
      <c r="U753" s="5" t="inlineStr">
        <is>
          <t>효성광양금호1호 태양광발전소 건설 공사</t>
        </is>
      </c>
      <c r="V753" s="21">
        <f>HYPERLINK("https://dart.fss.or.kr/dsaf001/main.do?rcpNo=20250326000865", "공시열람")</f>
        <v/>
      </c>
    </row>
    <row r="754">
      <c r="A754" s="5" t="inlineStr">
        <is>
          <t>지놈앤컴퍼니</t>
        </is>
      </c>
      <c r="B754" s="6" t="inlineStr">
        <is>
          <t>314130</t>
        </is>
      </c>
      <c r="C754" s="6" t="inlineStr">
        <is>
          <t>2026Q2</t>
        </is>
      </c>
      <c r="D754" s="6" t="inlineStr">
        <is>
          <t>20260814</t>
        </is>
      </c>
      <c r="E754" s="16" t="n">
        <v>4916</v>
      </c>
      <c r="F754" s="16" t="n">
        <v>-1484</v>
      </c>
      <c r="G754" s="16" t="n">
        <v>6400</v>
      </c>
      <c r="H754" s="6" t="inlineStr">
        <is>
          <t>백만원</t>
        </is>
      </c>
      <c r="I754" s="17" t="n">
        <v>102.1</v>
      </c>
      <c r="J754" s="18" t="n">
        <v>3298</v>
      </c>
      <c r="K754" s="19" t="n">
        <v>5178</v>
      </c>
      <c r="L754" s="18" t="n">
        <v>7935</v>
      </c>
      <c r="M754" s="19" t="n">
        <v>8000</v>
      </c>
      <c r="N754" s="18" t="n">
        <v>2270</v>
      </c>
      <c r="O754" s="19" t="n">
        <v>5006</v>
      </c>
      <c r="P754" s="18" t="n">
        <v>3501</v>
      </c>
      <c r="Q754" s="19" t="n">
        <v>3488</v>
      </c>
      <c r="R754" s="18" t="n">
        <v>3167</v>
      </c>
      <c r="S754" s="20" t="n">
        <v>6400</v>
      </c>
      <c r="T754" s="6" t="n">
        <v>1</v>
      </c>
      <c r="U754" s="5" t="inlineStr">
        <is>
          <t>CDMO / 2023~ / ~2026</t>
        </is>
      </c>
      <c r="V754" s="21">
        <f>HYPERLINK("https://dart.fss.or.kr/dsaf001/main.do?rcpNo=20260814003059", "공시열람")</f>
        <v/>
      </c>
    </row>
    <row r="755">
      <c r="A755" s="5" t="inlineStr">
        <is>
          <t>딥노이드</t>
        </is>
      </c>
      <c r="B755" s="6" t="inlineStr">
        <is>
          <t>315640</t>
        </is>
      </c>
      <c r="C755" s="6" t="inlineStr">
        <is>
          <t>2026Q2</t>
        </is>
      </c>
      <c r="D755" s="6" t="inlineStr">
        <is>
          <t>20260814</t>
        </is>
      </c>
      <c r="E755" s="16" t="n">
        <v>11954197</v>
      </c>
      <c r="F755" s="16" t="n">
        <v>9390406</v>
      </c>
      <c r="G755" s="16" t="n">
        <v>2563791</v>
      </c>
      <c r="H755" s="6" t="inlineStr">
        <is>
          <t>천원</t>
        </is>
      </c>
      <c r="I755" s="17" t="n">
        <v>-25.8</v>
      </c>
      <c r="J755" s="18" t="n">
        <v>9641359</v>
      </c>
      <c r="K755" s="19" t="n">
        <v>7863159</v>
      </c>
      <c r="L755" s="18" t="n">
        <v>6105915</v>
      </c>
      <c r="M755" s="19" t="n">
        <v>4071022</v>
      </c>
      <c r="N755" s="18" t="n">
        <v>3414278</v>
      </c>
      <c r="O755" s="19" t="n">
        <v>4293914</v>
      </c>
      <c r="P755" s="18" t="n">
        <v>2891025</v>
      </c>
      <c r="Q755" s="19" t="n">
        <v>3303459</v>
      </c>
      <c r="R755" s="18" t="n">
        <v>3455588</v>
      </c>
      <c r="S755" s="20" t="n">
        <v>2563791</v>
      </c>
      <c r="T755" s="6" t="n">
        <v>1</v>
      </c>
      <c r="U755" s="5" t="inlineStr">
        <is>
          <t>인공지능 솔루션 외</t>
        </is>
      </c>
      <c r="V755" s="21">
        <f>HYPERLINK("https://dart.fss.or.kr/dsaf001/main.do?rcpNo=20260814003155", "공시열람")</f>
        <v/>
      </c>
    </row>
    <row r="756">
      <c r="A756" s="5" t="inlineStr">
        <is>
          <t>자이에스앤디</t>
        </is>
      </c>
      <c r="B756" s="6" t="inlineStr">
        <is>
          <t>317400</t>
        </is>
      </c>
      <c r="C756" s="6" t="inlineStr">
        <is>
          <t>2026Q2</t>
        </is>
      </c>
      <c r="D756" s="6" t="inlineStr">
        <is>
          <t>20260814</t>
        </is>
      </c>
      <c r="E756" s="16" t="inlineStr"/>
      <c r="F756" s="16" t="n">
        <v>455806</v>
      </c>
      <c r="G756" s="16" t="n">
        <v>3222374</v>
      </c>
      <c r="H756" s="6" t="inlineStr">
        <is>
          <t>백만원</t>
        </is>
      </c>
      <c r="I756" s="17" t="n">
        <v>3.5</v>
      </c>
      <c r="J756" s="18" t="n">
        <v>1959428</v>
      </c>
      <c r="K756" s="19" t="n">
        <v>2163936</v>
      </c>
      <c r="L756" s="18" t="n">
        <v>2138083</v>
      </c>
      <c r="M756" s="19" t="n">
        <v>2096342</v>
      </c>
      <c r="N756" s="18" t="n">
        <v>893468</v>
      </c>
      <c r="O756" s="19" t="n">
        <v>1070282</v>
      </c>
      <c r="P756" s="18" t="n">
        <v>888890</v>
      </c>
      <c r="Q756" s="19" t="n">
        <v>3046867</v>
      </c>
      <c r="R756" s="18" t="n">
        <v>3111951</v>
      </c>
      <c r="S756" s="20" t="n">
        <v>3222374</v>
      </c>
      <c r="T756" s="6" t="n">
        <v>14</v>
      </c>
      <c r="U756" s="5" t="inlineStr">
        <is>
          <t>주택사업 / 기타 | Home Solution 사업 / 광주원주고속도로_BT | 주택사업 / 상주자이르네 / 고은건설</t>
        </is>
      </c>
      <c r="V756" s="21">
        <f>HYPERLINK("https://dart.fss.or.kr/dsaf001/main.do?rcpNo=20260814000451", "공시열람")</f>
        <v/>
      </c>
    </row>
    <row r="757">
      <c r="A757" s="5" t="inlineStr">
        <is>
          <t>에스피시스템스</t>
        </is>
      </c>
      <c r="B757" s="6" t="inlineStr">
        <is>
          <t>317830</t>
        </is>
      </c>
      <c r="C757" s="6" t="inlineStr">
        <is>
          <t>2026Q2</t>
        </is>
      </c>
      <c r="D757" s="6" t="inlineStr">
        <is>
          <t>20260930</t>
        </is>
      </c>
      <c r="E757" s="16" t="n">
        <v>107924386</v>
      </c>
      <c r="F757" s="16" t="n">
        <v>83301732</v>
      </c>
      <c r="G757" s="16" t="n">
        <v>24622654</v>
      </c>
      <c r="H757" s="6" t="inlineStr">
        <is>
          <t>천원</t>
        </is>
      </c>
      <c r="I757" s="17" t="n">
        <v>18.8</v>
      </c>
      <c r="J757" s="18" t="n">
        <v>36764409</v>
      </c>
      <c r="K757" s="19" t="n">
        <v>30105272</v>
      </c>
      <c r="L757" s="18" t="n">
        <v>27100452</v>
      </c>
      <c r="M757" s="19" t="n">
        <v>24782556</v>
      </c>
      <c r="N757" s="18" t="n">
        <v>23521045</v>
      </c>
      <c r="O757" s="19" t="n">
        <v>20825020</v>
      </c>
      <c r="P757" s="18" t="n">
        <v>22517781</v>
      </c>
      <c r="Q757" s="19" t="n">
        <v>16924168</v>
      </c>
      <c r="R757" s="18" t="n">
        <v>20718497</v>
      </c>
      <c r="S757" s="20" t="n">
        <v>24622654</v>
      </c>
      <c r="T757" s="6" t="n">
        <v>2</v>
      </c>
      <c r="U757" s="5" t="inlineStr">
        <is>
          <t>자동화시스템 / - | 스마트팩토리솔루션 / -</t>
        </is>
      </c>
      <c r="V757" s="21">
        <f>HYPERLINK("https://dart.fss.or.kr/dsaf001/main.do?rcpNo=20260930000593", "공시열람")</f>
        <v/>
      </c>
    </row>
    <row r="758">
      <c r="A758" s="5" t="inlineStr">
        <is>
          <t>대모</t>
        </is>
      </c>
      <c r="B758" s="6" t="inlineStr">
        <is>
          <t>317850</t>
        </is>
      </c>
      <c r="C758" s="6" t="inlineStr">
        <is>
          <t>2026Q2</t>
        </is>
      </c>
      <c r="D758" s="6" t="inlineStr">
        <is>
          <t>20260814</t>
        </is>
      </c>
      <c r="E758" s="16" t="n">
        <v>29056237</v>
      </c>
      <c r="F758" s="16" t="n">
        <v>22831190</v>
      </c>
      <c r="G758" s="16" t="n">
        <v>6225047</v>
      </c>
      <c r="H758" s="6" t="inlineStr">
        <is>
          <t>천원</t>
        </is>
      </c>
      <c r="I758" s="17" t="n">
        <v>30.9</v>
      </c>
      <c r="J758" s="18" t="n">
        <v>4880287</v>
      </c>
      <c r="K758" s="19" t="n">
        <v>5695854</v>
      </c>
      <c r="L758" s="18" t="n">
        <v>5343881</v>
      </c>
      <c r="M758" s="19" t="n">
        <v>4808916</v>
      </c>
      <c r="N758" s="18" t="n">
        <v>4520733</v>
      </c>
      <c r="O758" s="19" t="n">
        <v>4262696</v>
      </c>
      <c r="P758" s="18" t="n">
        <v>2846846</v>
      </c>
      <c r="Q758" s="19" t="n">
        <v>5646003</v>
      </c>
      <c r="R758" s="18" t="n">
        <v>4757243</v>
      </c>
      <c r="S758" s="20" t="n">
        <v>6225047</v>
      </c>
      <c r="T758" s="6" t="n">
        <v>1</v>
      </c>
      <c r="U758" s="5" t="inlineStr">
        <is>
          <t>유압브레이커 외 / 2026년 1월 ~ 현재 / 202</t>
        </is>
      </c>
      <c r="V758" s="21">
        <f>HYPERLINK("https://dart.fss.or.kr/dsaf001/main.do?rcpNo=20260814001352", "공시열람")</f>
        <v/>
      </c>
    </row>
    <row r="759">
      <c r="A759" s="5" t="inlineStr">
        <is>
          <t>타임기술</t>
        </is>
      </c>
      <c r="B759" s="6" t="inlineStr">
        <is>
          <t>318660</t>
        </is>
      </c>
      <c r="C759" s="6" t="inlineStr">
        <is>
          <t>2025Q4</t>
        </is>
      </c>
      <c r="D759" s="6" t="inlineStr">
        <is>
          <t>20260323</t>
        </is>
      </c>
      <c r="E759" s="16" t="n">
        <v>12050414</v>
      </c>
      <c r="F759" s="16" t="n">
        <v>6658852</v>
      </c>
      <c r="G759" s="16" t="n">
        <v>5391558</v>
      </c>
      <c r="H759" s="6" t="inlineStr">
        <is>
          <t>천원</t>
        </is>
      </c>
      <c r="I759" s="17" t="n">
        <v>-16.3</v>
      </c>
      <c r="J759" s="18" t="inlineStr"/>
      <c r="K759" s="19" t="inlineStr"/>
      <c r="L759" s="18" t="inlineStr"/>
      <c r="M759" s="19" t="n">
        <v>6438018</v>
      </c>
      <c r="N759" s="18" t="inlineStr"/>
      <c r="O759" s="19" t="inlineStr"/>
      <c r="P759" s="18" t="inlineStr"/>
      <c r="Q759" s="19" t="n">
        <v>5391558</v>
      </c>
      <c r="R759" s="18" t="inlineStr"/>
      <c r="S759" s="20" t="inlineStr"/>
      <c r="T759" s="6" t="n">
        <v>26</v>
      </c>
      <c r="U759" s="5" t="inlineStr">
        <is>
          <t>IPS / 한국항공우주산업 / 2025-01-01 | IPS / 한국항공우주산업 / 2024-09-10 | 콘텐츠 / 현대로템 / 2025-08-08</t>
        </is>
      </c>
      <c r="V759" s="21">
        <f>HYPERLINK("https://dart.fss.or.kr/dsaf001/main.do?rcpNo=20260323000081", "공시열람")</f>
        <v/>
      </c>
    </row>
    <row r="760">
      <c r="A760" s="5" t="inlineStr">
        <is>
          <t>현대무벡스</t>
        </is>
      </c>
      <c r="B760" s="6" t="inlineStr">
        <is>
          <t>319400</t>
        </is>
      </c>
      <c r="C760" s="6" t="inlineStr">
        <is>
          <t>2026Q2</t>
        </is>
      </c>
      <c r="D760" s="6" t="inlineStr">
        <is>
          <t>20260814</t>
        </is>
      </c>
      <c r="E760" s="16" t="n">
        <v>548128800</v>
      </c>
      <c r="F760" s="16" t="n">
        <v>166327510</v>
      </c>
      <c r="G760" s="16" t="n">
        <v>381801290</v>
      </c>
      <c r="H760" s="6" t="inlineStr">
        <is>
          <t>천원</t>
        </is>
      </c>
      <c r="I760" s="17" t="n">
        <v>3.9</v>
      </c>
      <c r="J760" s="18" t="n">
        <v>15268789</v>
      </c>
      <c r="K760" s="19" t="n">
        <v>540418228</v>
      </c>
      <c r="L760" s="18" t="n">
        <v>486486816</v>
      </c>
      <c r="M760" s="19" t="n">
        <v>426861169</v>
      </c>
      <c r="N760" s="18" t="n">
        <v>466303912</v>
      </c>
      <c r="O760" s="19" t="n">
        <v>421481842</v>
      </c>
      <c r="P760" s="18" t="n">
        <v>363174184</v>
      </c>
      <c r="Q760" s="19" t="n">
        <v>373176713</v>
      </c>
      <c r="R760" s="18" t="n">
        <v>367420774</v>
      </c>
      <c r="S760" s="20" t="n">
        <v>381801290</v>
      </c>
      <c r="T760" s="6" t="n">
        <v>3</v>
      </c>
      <c r="U760" s="5" t="inlineStr">
        <is>
          <t>물류자동화 / 2026.06.30. 까지 | 승강장 안전문 / 2026.06.30. 까지 | IT서비스 / 2026.06.30. 까지</t>
        </is>
      </c>
      <c r="V760" s="21">
        <f>HYPERLINK("https://dart.fss.or.kr/dsaf001/main.do?rcpNo=20260814003499", "공시열람")</f>
        <v/>
      </c>
    </row>
    <row r="761">
      <c r="A761" s="5" t="inlineStr">
        <is>
          <t>한울반도체</t>
        </is>
      </c>
      <c r="B761" s="6" t="inlineStr">
        <is>
          <t>320000</t>
        </is>
      </c>
      <c r="C761" s="6" t="inlineStr">
        <is>
          <t>2026Q2</t>
        </is>
      </c>
      <c r="D761" s="6" t="inlineStr">
        <is>
          <t>20260814</t>
        </is>
      </c>
      <c r="E761" s="16" t="n">
        <v>9908436</v>
      </c>
      <c r="F761" s="16" t="n">
        <v>4976149</v>
      </c>
      <c r="G761" s="16" t="n">
        <v>4932288</v>
      </c>
      <c r="H761" s="6" t="inlineStr">
        <is>
          <t>천원</t>
        </is>
      </c>
      <c r="I761" s="17" t="n">
        <v>-1.8</v>
      </c>
      <c r="J761" s="18" t="n">
        <v>8322663</v>
      </c>
      <c r="K761" s="19" t="n">
        <v>6124561</v>
      </c>
      <c r="L761" s="18" t="n">
        <v>6804608</v>
      </c>
      <c r="M761" s="19" t="n">
        <v>7629493</v>
      </c>
      <c r="N761" s="18" t="n">
        <v>8734250</v>
      </c>
      <c r="O761" s="19" t="n">
        <v>8959316</v>
      </c>
      <c r="P761" s="18" t="n">
        <v>9579565</v>
      </c>
      <c r="Q761" s="19" t="n">
        <v>6363585</v>
      </c>
      <c r="R761" s="18" t="n">
        <v>5020482</v>
      </c>
      <c r="S761" s="20" t="n">
        <v>4932288</v>
      </c>
      <c r="T761" s="6" t="n">
        <v>3</v>
      </c>
      <c r="U761" s="5" t="inlineStr">
        <is>
          <t>머신비전(주1) / Chip 검사장비 / - | 머신비전(주1) / Display 검사장비 / - | 머신비전(주1) / Film 검사장비 / -</t>
        </is>
      </c>
      <c r="V761" s="21">
        <f>HYPERLINK("https://dart.fss.or.kr/dsaf001/main.do?rcpNo=20260814003668", "공시열람")</f>
        <v/>
      </c>
    </row>
    <row r="762">
      <c r="A762" s="5" t="inlineStr">
        <is>
          <t>프로이천</t>
        </is>
      </c>
      <c r="B762" s="6" t="inlineStr">
        <is>
          <t>321260</t>
        </is>
      </c>
      <c r="C762" s="6" t="inlineStr">
        <is>
          <t>2026Q2</t>
        </is>
      </c>
      <c r="D762" s="6" t="inlineStr">
        <is>
          <t>20260813</t>
        </is>
      </c>
      <c r="E762" s="16" t="n">
        <v>15482</v>
      </c>
      <c r="F762" s="16" t="n">
        <v>15482</v>
      </c>
      <c r="G762" s="16" t="n">
        <v>0</v>
      </c>
      <c r="H762" s="6" t="inlineStr">
        <is>
          <t>백만원</t>
        </is>
      </c>
      <c r="I762" s="17" t="n">
        <v>-100</v>
      </c>
      <c r="J762" s="18" t="n">
        <v>9626</v>
      </c>
      <c r="K762" s="19" t="n">
        <v>4205</v>
      </c>
      <c r="L762" s="18" t="n">
        <v>2500</v>
      </c>
      <c r="M762" s="19" t="n">
        <v>4836</v>
      </c>
      <c r="N762" s="18" t="n">
        <v>2485</v>
      </c>
      <c r="O762" s="19" t="n">
        <v>2781</v>
      </c>
      <c r="P762" s="18" t="n">
        <v>4046</v>
      </c>
      <c r="Q762" s="19" t="n">
        <v>3069</v>
      </c>
      <c r="R762" s="18" t="n">
        <v>5221</v>
      </c>
      <c r="S762" s="20" t="n">
        <v>0</v>
      </c>
      <c r="T762" s="6" t="n">
        <v>2</v>
      </c>
      <c r="U762" s="5" t="inlineStr">
        <is>
          <t>디스플레이 검사장치 / - | 반도체 검사장치 / -</t>
        </is>
      </c>
      <c r="V762" s="21">
        <f>HYPERLINK("https://dart.fss.or.kr/dsaf001/main.do?rcpNo=20260813000508", "공시열람")</f>
        <v/>
      </c>
    </row>
    <row r="763">
      <c r="A763" s="5" t="inlineStr">
        <is>
          <t>센서뷰</t>
        </is>
      </c>
      <c r="B763" s="6" t="inlineStr">
        <is>
          <t>321370</t>
        </is>
      </c>
      <c r="C763" s="6" t="inlineStr">
        <is>
          <t>2026Q2</t>
        </is>
      </c>
      <c r="D763" s="6" t="inlineStr">
        <is>
          <t>20260814</t>
        </is>
      </c>
      <c r="E763" s="16" t="inlineStr"/>
      <c r="F763" s="16" t="inlineStr"/>
      <c r="G763" s="16" t="n">
        <v>22089913</v>
      </c>
      <c r="H763" s="6" t="inlineStr">
        <is>
          <t>천원</t>
        </is>
      </c>
      <c r="I763" s="17" t="n">
        <v>33.9</v>
      </c>
      <c r="J763" s="18" t="inlineStr"/>
      <c r="K763" s="19" t="inlineStr"/>
      <c r="L763" s="18" t="n">
        <v>945562</v>
      </c>
      <c r="M763" s="19" t="n">
        <v>4577353</v>
      </c>
      <c r="N763" s="18" t="n">
        <v>5679754</v>
      </c>
      <c r="O763" s="19" t="n">
        <v>10415701</v>
      </c>
      <c r="P763" s="18" t="n">
        <v>10449728</v>
      </c>
      <c r="Q763" s="19" t="n">
        <v>8177397</v>
      </c>
      <c r="R763" s="18" t="n">
        <v>16496947</v>
      </c>
      <c r="S763" s="20" t="n">
        <v>22089913</v>
      </c>
      <c r="T763" s="6" t="n">
        <v>0</v>
      </c>
      <c r="U763" s="5" t="inlineStr"/>
      <c r="V763" s="21">
        <f>HYPERLINK("https://dart.fss.or.kr/dsaf001/main.do?rcpNo=20260814002382", "공시열람")</f>
        <v/>
      </c>
    </row>
    <row r="764">
      <c r="A764" s="5" t="inlineStr">
        <is>
          <t>티움바이오</t>
        </is>
      </c>
      <c r="B764" s="6" t="inlineStr">
        <is>
          <t>321550</t>
        </is>
      </c>
      <c r="C764" s="6" t="inlineStr">
        <is>
          <t>2026Q2</t>
        </is>
      </c>
      <c r="D764" s="6" t="inlineStr">
        <is>
          <t>20260814</t>
        </is>
      </c>
      <c r="E764" s="16" t="n">
        <v>41513346</v>
      </c>
      <c r="F764" s="16" t="n">
        <v>16193935</v>
      </c>
      <c r="G764" s="16" t="n">
        <v>25319411</v>
      </c>
      <c r="H764" s="6" t="inlineStr">
        <is>
          <t>천원</t>
        </is>
      </c>
      <c r="I764" s="17" t="n">
        <v>3</v>
      </c>
      <c r="J764" s="18" t="n">
        <v>6459279</v>
      </c>
      <c r="K764" s="19" t="n">
        <v>6352419</v>
      </c>
      <c r="L764" s="18" t="n">
        <v>5391920</v>
      </c>
      <c r="M764" s="19" t="n">
        <v>4426646</v>
      </c>
      <c r="N764" s="18" t="n">
        <v>5494042</v>
      </c>
      <c r="O764" s="19" t="n">
        <v>14990431</v>
      </c>
      <c r="P764" s="18" t="n">
        <v>23035137</v>
      </c>
      <c r="Q764" s="19" t="n">
        <v>20577295</v>
      </c>
      <c r="R764" s="18" t="n">
        <v>24583961</v>
      </c>
      <c r="S764" s="20" t="n">
        <v>25319411</v>
      </c>
      <c r="T764" s="6" t="n">
        <v>2</v>
      </c>
      <c r="U764" s="5" t="inlineStr">
        <is>
          <t>위탁개발 및 분석 | 천연화장품 OEM/ODM</t>
        </is>
      </c>
      <c r="V764" s="21">
        <f>HYPERLINK("https://dart.fss.or.kr/dsaf001/main.do?rcpNo=20260814001441", "공시열람")</f>
        <v/>
      </c>
    </row>
    <row r="765">
      <c r="A765" s="5" t="inlineStr">
        <is>
          <t>HD현대에너지솔루션</t>
        </is>
      </c>
      <c r="B765" s="6" t="inlineStr">
        <is>
          <t>322000</t>
        </is>
      </c>
      <c r="C765" s="6" t="inlineStr">
        <is>
          <t>2026Q2</t>
        </is>
      </c>
      <c r="D765" s="6" t="inlineStr">
        <is>
          <t>20260814</t>
        </is>
      </c>
      <c r="E765" s="16" t="inlineStr"/>
      <c r="F765" s="16" t="inlineStr"/>
      <c r="G765" s="16" t="n">
        <v>14303229</v>
      </c>
      <c r="H765" s="6" t="inlineStr">
        <is>
          <t>천원</t>
        </is>
      </c>
      <c r="I765" s="17" t="n">
        <v>35.8</v>
      </c>
      <c r="J765" s="18" t="n">
        <v>27217550</v>
      </c>
      <c r="K765" s="19" t="n">
        <v>15399084</v>
      </c>
      <c r="L765" s="18" t="n">
        <v>19232675</v>
      </c>
      <c r="M765" s="19" t="n">
        <v>23807433</v>
      </c>
      <c r="N765" s="18" t="n">
        <v>23807433</v>
      </c>
      <c r="O765" s="19" t="n">
        <v>4927681</v>
      </c>
      <c r="P765" s="18" t="n">
        <v>4324569</v>
      </c>
      <c r="Q765" s="19" t="n">
        <v>5379590</v>
      </c>
      <c r="R765" s="18" t="n">
        <v>10529250</v>
      </c>
      <c r="S765" s="20" t="n">
        <v>14303229</v>
      </c>
      <c r="T765" s="6" t="n">
        <v>1</v>
      </c>
      <c r="U765" s="5" t="inlineStr">
        <is>
          <t>모듈설치 공사 / '26.06.30 까지 / -</t>
        </is>
      </c>
      <c r="V765" s="21">
        <f>HYPERLINK("https://dart.fss.or.kr/dsaf001/main.do?rcpNo=20260814002295", "공시열람")</f>
        <v/>
      </c>
    </row>
    <row r="766">
      <c r="A766" s="5" t="inlineStr">
        <is>
          <t>LS티라유텍</t>
        </is>
      </c>
      <c r="B766" s="6" t="inlineStr">
        <is>
          <t>322180</t>
        </is>
      </c>
      <c r="C766" s="6" t="inlineStr">
        <is>
          <t>2026Q2</t>
        </is>
      </c>
      <c r="D766" s="6" t="inlineStr">
        <is>
          <t>20260814</t>
        </is>
      </c>
      <c r="E766" s="16" t="n">
        <v>50590</v>
      </c>
      <c r="F766" s="16" t="n">
        <v>37187</v>
      </c>
      <c r="G766" s="16" t="n">
        <v>13404</v>
      </c>
      <c r="H766" s="6" t="inlineStr">
        <is>
          <t>백만원</t>
        </is>
      </c>
      <c r="I766" s="17" t="n">
        <v>-13.2</v>
      </c>
      <c r="J766" s="18" t="n">
        <v>17017</v>
      </c>
      <c r="K766" s="19" t="n">
        <v>16240</v>
      </c>
      <c r="L766" s="18" t="n">
        <v>11441</v>
      </c>
      <c r="M766" s="19" t="n">
        <v>1098</v>
      </c>
      <c r="N766" s="18" t="n">
        <v>14792</v>
      </c>
      <c r="O766" s="19" t="n">
        <v>581</v>
      </c>
      <c r="P766" s="18" t="n">
        <v>14469</v>
      </c>
      <c r="Q766" s="19" t="n">
        <v>309</v>
      </c>
      <c r="R766" s="18" t="n">
        <v>15445</v>
      </c>
      <c r="S766" s="20" t="n">
        <v>13404</v>
      </c>
      <c r="T766" s="6" t="n">
        <v>5</v>
      </c>
      <c r="U766" s="5" t="inlineStr">
        <is>
          <t>IT서비스 및 SW매출 / - | 파우치형 이차전지 스마트팩토리 구축 / 2024-05- | 물류자동화 공급 / 2025-07-28 / 2026-1</t>
        </is>
      </c>
      <c r="V766" s="21">
        <f>HYPERLINK("https://dart.fss.or.kr/dsaf001/main.do?rcpNo=20260814002493", "공시열람")</f>
        <v/>
      </c>
    </row>
    <row r="767">
      <c r="A767" s="5" t="inlineStr">
        <is>
          <t>제이엘케이</t>
        </is>
      </c>
      <c r="B767" s="6" t="inlineStr">
        <is>
          <t>322510</t>
        </is>
      </c>
      <c r="C767" s="6" t="inlineStr">
        <is>
          <t>2026Q2</t>
        </is>
      </c>
      <c r="D767" s="6" t="inlineStr">
        <is>
          <t>20260814</t>
        </is>
      </c>
      <c r="E767" s="16" t="n">
        <v>1000</v>
      </c>
      <c r="F767" s="16" t="n">
        <v>750</v>
      </c>
      <c r="G767" s="16" t="n">
        <v>250</v>
      </c>
      <c r="H767" s="6" t="inlineStr">
        <is>
          <t>백만원</t>
        </is>
      </c>
      <c r="I767" s="17" t="n">
        <v>0</v>
      </c>
      <c r="J767" s="18" t="n">
        <v>1360</v>
      </c>
      <c r="K767" s="19" t="n">
        <v>1360</v>
      </c>
      <c r="L767" s="18" t="n">
        <v>1360</v>
      </c>
      <c r="M767" s="19" t="n">
        <v>1360</v>
      </c>
      <c r="N767" s="18" t="n">
        <v>700</v>
      </c>
      <c r="O767" s="19" t="n">
        <v>500</v>
      </c>
      <c r="P767" s="18" t="n">
        <v>500</v>
      </c>
      <c r="Q767" s="19" t="n">
        <v>250</v>
      </c>
      <c r="R767" s="18" t="n">
        <v>250</v>
      </c>
      <c r="S767" s="20" t="n">
        <v>250</v>
      </c>
      <c r="T767" s="6" t="n">
        <v>1</v>
      </c>
      <c r="U767" s="5" t="inlineStr">
        <is>
          <t>JVIEWER-X(AI 기반 흉부 X-ray 폐영상 분</t>
        </is>
      </c>
      <c r="V767" s="21">
        <f>HYPERLINK("https://dart.fss.or.kr/dsaf001/main.do?rcpNo=20260814002418", "공시열람")</f>
        <v/>
      </c>
    </row>
    <row r="768">
      <c r="A768" s="5" t="inlineStr">
        <is>
          <t>태성</t>
        </is>
      </c>
      <c r="B768" s="6" t="inlineStr">
        <is>
          <t>323280</t>
        </is>
      </c>
      <c r="C768" s="6" t="inlineStr">
        <is>
          <t>2026Q2</t>
        </is>
      </c>
      <c r="D768" s="6" t="inlineStr">
        <is>
          <t>20260812</t>
        </is>
      </c>
      <c r="E768" s="16" t="n">
        <v>68975</v>
      </c>
      <c r="F768" s="16" t="n">
        <v>23382</v>
      </c>
      <c r="G768" s="16" t="n">
        <v>45593</v>
      </c>
      <c r="H768" s="6" t="inlineStr">
        <is>
          <t>백만원</t>
        </is>
      </c>
      <c r="I768" s="17" t="n">
        <v>43</v>
      </c>
      <c r="J768" s="18" t="n">
        <v>22375</v>
      </c>
      <c r="K768" s="19" t="n">
        <v>16537</v>
      </c>
      <c r="L768" s="18" t="n">
        <v>8512</v>
      </c>
      <c r="M768" s="19" t="n">
        <v>7468</v>
      </c>
      <c r="N768" s="18" t="n">
        <v>7737</v>
      </c>
      <c r="O768" s="19" t="n">
        <v>7076</v>
      </c>
      <c r="P768" s="18" t="n">
        <v>13999</v>
      </c>
      <c r="Q768" s="19" t="n">
        <v>38453</v>
      </c>
      <c r="R768" s="18" t="n">
        <v>31891</v>
      </c>
      <c r="S768" s="20" t="n">
        <v>45593</v>
      </c>
      <c r="T768" s="6" t="n">
        <v>9</v>
      </c>
      <c r="U768" s="5" t="inlineStr">
        <is>
          <t>제품 / - | 제품 / - | 제품 / -</t>
        </is>
      </c>
      <c r="V768" s="21">
        <f>HYPERLINK("https://dart.fss.or.kr/dsaf001/main.do?rcpNo=20260812000203", "공시열람")</f>
        <v/>
      </c>
    </row>
    <row r="769">
      <c r="A769" s="5" t="inlineStr">
        <is>
          <t>다원넥스뷰</t>
        </is>
      </c>
      <c r="B769" s="6" t="inlineStr">
        <is>
          <t>323350</t>
        </is>
      </c>
      <c r="C769" s="6" t="inlineStr">
        <is>
          <t>2023Q4</t>
        </is>
      </c>
      <c r="D769" s="6" t="inlineStr">
        <is>
          <t>20240314</t>
        </is>
      </c>
      <c r="E769" s="16" t="n">
        <v>20729</v>
      </c>
      <c r="F769" s="16" t="n">
        <v>6556</v>
      </c>
      <c r="G769" s="16" t="n">
        <v>14173</v>
      </c>
      <c r="H769" s="6" t="inlineStr"/>
      <c r="I769" s="17" t="inlineStr"/>
      <c r="J769" s="18" t="inlineStr"/>
      <c r="K769" s="19" t="inlineStr"/>
      <c r="L769" s="18" t="inlineStr"/>
      <c r="M769" s="19" t="inlineStr"/>
      <c r="N769" s="18" t="inlineStr"/>
      <c r="O769" s="19" t="inlineStr"/>
      <c r="P769" s="18" t="inlineStr"/>
      <c r="Q769" s="19" t="inlineStr"/>
      <c r="R769" s="18" t="inlineStr"/>
      <c r="S769" s="20" t="inlineStr"/>
      <c r="T769" s="6" t="n">
        <v>1</v>
      </c>
      <c r="U769" s="5" t="inlineStr">
        <is>
          <t>LSMB / 23.01.01 ~ 23.12.31 / 2</t>
        </is>
      </c>
      <c r="V769" s="21">
        <f>HYPERLINK("https://dart.fss.or.kr/dsaf001/main.do?rcpNo=20240314000984", "공시열람")</f>
        <v/>
      </c>
    </row>
    <row r="770">
      <c r="A770" s="5" t="inlineStr">
        <is>
          <t>루닛</t>
        </is>
      </c>
      <c r="B770" s="6" t="inlineStr">
        <is>
          <t>328130</t>
        </is>
      </c>
      <c r="C770" s="6" t="inlineStr">
        <is>
          <t>2026Q2</t>
        </is>
      </c>
      <c r="D770" s="6" t="inlineStr">
        <is>
          <t>20260811</t>
        </is>
      </c>
      <c r="E770" s="16" t="inlineStr"/>
      <c r="F770" s="16" t="inlineStr"/>
      <c r="G770" s="16" t="n">
        <v>20000000</v>
      </c>
      <c r="H770" s="6" t="inlineStr">
        <is>
          <t>USD</t>
        </is>
      </c>
      <c r="I770" s="17" t="n">
        <v>1846.5</v>
      </c>
      <c r="J770" s="18" t="n">
        <v>75903</v>
      </c>
      <c r="K770" s="19" t="n">
        <v>30473</v>
      </c>
      <c r="L770" s="18" t="n">
        <v>70894</v>
      </c>
      <c r="M770" s="19" t="n">
        <v>20650000</v>
      </c>
      <c r="N770" s="18" t="n">
        <v>870689</v>
      </c>
      <c r="O770" s="19" t="n">
        <v>96424</v>
      </c>
      <c r="P770" s="18" t="n">
        <v>23000000</v>
      </c>
      <c r="Q770" s="19" t="n">
        <v>490463</v>
      </c>
      <c r="R770" s="18" t="n">
        <v>1027482</v>
      </c>
      <c r="S770" s="20" t="n">
        <v>20000000</v>
      </c>
      <c r="T770" s="6" t="n">
        <v>1</v>
      </c>
      <c r="U770" s="5" t="inlineStr">
        <is>
          <t>통화선도 / USD</t>
        </is>
      </c>
      <c r="V770" s="21">
        <f>HYPERLINK("https://dart.fss.or.kr/dsaf001/main.do?rcpNo=20260811000657", "공시열람")</f>
        <v/>
      </c>
    </row>
    <row r="771">
      <c r="A771" s="5" t="inlineStr">
        <is>
          <t>HD현대중공업</t>
        </is>
      </c>
      <c r="B771" s="6" t="inlineStr">
        <is>
          <t>329180</t>
        </is>
      </c>
      <c r="C771" s="6" t="inlineStr">
        <is>
          <t>2026Q2</t>
        </is>
      </c>
      <c r="D771" s="6" t="inlineStr">
        <is>
          <t>20260814</t>
        </is>
      </c>
      <c r="E771" s="16" t="inlineStr"/>
      <c r="F771" s="16" t="inlineStr"/>
      <c r="G771" s="16" t="n">
        <v>69514154</v>
      </c>
      <c r="H771" s="6" t="inlineStr">
        <is>
          <t>백만원</t>
        </is>
      </c>
      <c r="I771" s="17" t="n">
        <v>11.8</v>
      </c>
      <c r="J771" s="18" t="n">
        <v>45978622</v>
      </c>
      <c r="K771" s="19" t="n">
        <v>46328902</v>
      </c>
      <c r="L771" s="18" t="n">
        <v>43957480</v>
      </c>
      <c r="M771" s="19" t="n">
        <v>46931768</v>
      </c>
      <c r="N771" s="18" t="n">
        <v>49633635</v>
      </c>
      <c r="O771" s="19" t="n">
        <v>46344247</v>
      </c>
      <c r="P771" s="18" t="n">
        <v>45018051</v>
      </c>
      <c r="Q771" s="19" t="n">
        <v>56384472</v>
      </c>
      <c r="R771" s="18" t="n">
        <v>62170777</v>
      </c>
      <c r="S771" s="20" t="n">
        <v>69514154</v>
      </c>
      <c r="T771" s="6" t="n">
        <v>3</v>
      </c>
      <c r="U771" s="5" t="inlineStr">
        <is>
          <t>조 선 / '26.06.30일까지 / - | 기 타 / '26.06.30일까지 / - | 해양플랜트 / '26.06.30일까지 / -</t>
        </is>
      </c>
      <c r="V771" s="21">
        <f>HYPERLINK("https://dart.fss.or.kr/dsaf001/main.do?rcpNo=20260814002879", "공시열람")</f>
        <v/>
      </c>
    </row>
    <row r="772">
      <c r="A772" s="5" t="inlineStr">
        <is>
          <t>아우토크립트</t>
        </is>
      </c>
      <c r="B772" s="6" t="inlineStr">
        <is>
          <t>331740</t>
        </is>
      </c>
      <c r="C772" s="6" t="inlineStr">
        <is>
          <t>2026Q2</t>
        </is>
      </c>
      <c r="D772" s="6" t="inlineStr">
        <is>
          <t>20260814</t>
        </is>
      </c>
      <c r="E772" s="16" t="n">
        <v>17521589</v>
      </c>
      <c r="F772" s="16" t="inlineStr"/>
      <c r="G772" s="16" t="n">
        <v>8919273</v>
      </c>
      <c r="H772" s="6" t="inlineStr">
        <is>
          <t>천원</t>
        </is>
      </c>
      <c r="I772" s="17" t="n">
        <v>-0.6</v>
      </c>
      <c r="J772" s="18" t="inlineStr"/>
      <c r="K772" s="19" t="inlineStr"/>
      <c r="L772" s="18" t="inlineStr"/>
      <c r="M772" s="19" t="inlineStr"/>
      <c r="N772" s="18" t="inlineStr"/>
      <c r="O772" s="19" t="n">
        <v>8837124</v>
      </c>
      <c r="P772" s="18" t="inlineStr"/>
      <c r="Q772" s="19" t="n">
        <v>8853891</v>
      </c>
      <c r="R772" s="18" t="n">
        <v>8969064</v>
      </c>
      <c r="S772" s="20" t="n">
        <v>8919273</v>
      </c>
      <c r="T772" s="6" t="n">
        <v>16</v>
      </c>
      <c r="U772" s="5" t="inlineStr">
        <is>
          <t xml:space="preserve">기타 | CryptoDev(IVS 사업) / 차량 제어기 보안  | CryptoComm (V2X 사업) / 차량통신 보안 </t>
        </is>
      </c>
      <c r="V772" s="21">
        <f>HYPERLINK("https://dart.fss.or.kr/dsaf001/main.do?rcpNo=20260814003908", "공시열람")</f>
        <v/>
      </c>
    </row>
    <row r="773">
      <c r="A773" s="5" t="inlineStr">
        <is>
          <t>누보</t>
        </is>
      </c>
      <c r="B773" s="6" t="inlineStr">
        <is>
          <t>332290</t>
        </is>
      </c>
      <c r="C773" s="6" t="inlineStr">
        <is>
          <t>2026Q2</t>
        </is>
      </c>
      <c r="D773" s="6" t="inlineStr">
        <is>
          <t>20260929</t>
        </is>
      </c>
      <c r="E773" s="16" t="n">
        <v>8267</v>
      </c>
      <c r="F773" s="16" t="n">
        <v>8153</v>
      </c>
      <c r="G773" s="16" t="n">
        <v>114</v>
      </c>
      <c r="H773" s="6" t="inlineStr">
        <is>
          <t>천KG,천USD</t>
        </is>
      </c>
      <c r="I773" s="17" t="n">
        <v>850</v>
      </c>
      <c r="J773" s="18" t="n">
        <v>794</v>
      </c>
      <c r="K773" s="19" t="n">
        <v>395</v>
      </c>
      <c r="L773" s="18" t="n">
        <v>22217</v>
      </c>
      <c r="M773" s="19" t="n">
        <v>6661</v>
      </c>
      <c r="N773" s="18" t="n">
        <v>2320</v>
      </c>
      <c r="O773" s="19" t="n">
        <v>4790</v>
      </c>
      <c r="P773" s="18" t="n">
        <v>5642</v>
      </c>
      <c r="Q773" s="19" t="n">
        <v>12956</v>
      </c>
      <c r="R773" s="18" t="n">
        <v>12</v>
      </c>
      <c r="S773" s="20" t="n">
        <v>114</v>
      </c>
      <c r="T773" s="6" t="n">
        <v>3</v>
      </c>
      <c r="U773" s="5" t="inlineStr">
        <is>
          <t>비료류 / 2025년~ / 2026년내 | 녹차류 / 2025년~ / 2026년내 | 기타 / 2025년~ / 2026년내</t>
        </is>
      </c>
      <c r="V773" s="21">
        <f>HYPERLINK("https://dart.fss.or.kr/dsaf001/main.do?rcpNo=20260929000100", "공시열람")</f>
        <v/>
      </c>
    </row>
    <row r="774">
      <c r="A774" s="5" t="inlineStr">
        <is>
          <t>이노테나</t>
        </is>
      </c>
      <c r="B774" s="6" t="inlineStr">
        <is>
          <t>333050</t>
        </is>
      </c>
      <c r="C774" s="6" t="inlineStr">
        <is>
          <t>2026Q2</t>
        </is>
      </c>
      <c r="D774" s="6" t="inlineStr">
        <is>
          <t>20260814</t>
        </is>
      </c>
      <c r="E774" s="16" t="n">
        <v>11495022</v>
      </c>
      <c r="F774" s="16" t="inlineStr"/>
      <c r="G774" s="16" t="n">
        <v>17339878</v>
      </c>
      <c r="H774" s="6" t="inlineStr">
        <is>
          <t>천원</t>
        </is>
      </c>
      <c r="I774" s="17" t="n">
        <v>-0.6</v>
      </c>
      <c r="J774" s="18" t="n">
        <v>25008165</v>
      </c>
      <c r="K774" s="19" t="n">
        <v>26825963</v>
      </c>
      <c r="L774" s="18" t="n">
        <v>16915661</v>
      </c>
      <c r="M774" s="19" t="n">
        <v>20391974</v>
      </c>
      <c r="N774" s="18" t="n">
        <v>19518222</v>
      </c>
      <c r="O774" s="19" t="n">
        <v>20026973</v>
      </c>
      <c r="P774" s="18" t="n">
        <v>16303465</v>
      </c>
      <c r="Q774" s="19" t="n">
        <v>18248026</v>
      </c>
      <c r="R774" s="18" t="n">
        <v>17450213</v>
      </c>
      <c r="S774" s="20" t="n">
        <v>17339878</v>
      </c>
      <c r="T774" s="6" t="n">
        <v>3</v>
      </c>
      <c r="U774" s="5" t="inlineStr">
        <is>
          <t>연계솔루션사업 | 클라우드솔루션사업 (APM솔루션 포함) | 보안솔루션사업</t>
        </is>
      </c>
      <c r="V774" s="21">
        <f>HYPERLINK("https://dart.fss.or.kr/dsaf001/main.do?rcpNo=20260814001122", "공시열람")</f>
        <v/>
      </c>
    </row>
    <row r="775">
      <c r="A775" s="5" t="inlineStr">
        <is>
          <t>일승</t>
        </is>
      </c>
      <c r="B775" s="6" t="inlineStr">
        <is>
          <t>333430</t>
        </is>
      </c>
      <c r="C775" s="6" t="inlineStr">
        <is>
          <t>2026Q2</t>
        </is>
      </c>
      <c r="D775" s="6" t="inlineStr">
        <is>
          <t>20260814</t>
        </is>
      </c>
      <c r="E775" s="16" t="n">
        <v>59575</v>
      </c>
      <c r="F775" s="16" t="n">
        <v>28308</v>
      </c>
      <c r="G775" s="16" t="n">
        <v>31267</v>
      </c>
      <c r="H775" s="6" t="inlineStr">
        <is>
          <t>백만원</t>
        </is>
      </c>
      <c r="I775" s="17" t="n">
        <v>10.2</v>
      </c>
      <c r="J775" s="18" t="n">
        <v>24571</v>
      </c>
      <c r="K775" s="19" t="n">
        <v>22487</v>
      </c>
      <c r="L775" s="18" t="n">
        <v>23948</v>
      </c>
      <c r="M775" s="19" t="n">
        <v>20527</v>
      </c>
      <c r="N775" s="18" t="n">
        <v>22835</v>
      </c>
      <c r="O775" s="19" t="n">
        <v>20899</v>
      </c>
      <c r="P775" s="18" t="n">
        <v>27380</v>
      </c>
      <c r="Q775" s="19" t="n">
        <v>27136</v>
      </c>
      <c r="R775" s="18" t="n">
        <v>28376</v>
      </c>
      <c r="S775" s="20" t="n">
        <v>31267</v>
      </c>
      <c r="T775" s="6" t="n">
        <v>1</v>
      </c>
      <c r="U775" s="5" t="inlineStr"/>
      <c r="V775" s="21">
        <f>HYPERLINK("https://dart.fss.or.kr/dsaf001/main.do?rcpNo=20260814000008", "공시열람")</f>
        <v/>
      </c>
    </row>
    <row r="776">
      <c r="A776" s="5" t="inlineStr">
        <is>
          <t>엔시스</t>
        </is>
      </c>
      <c r="B776" s="6" t="inlineStr">
        <is>
          <t>333620</t>
        </is>
      </c>
      <c r="C776" s="6" t="inlineStr">
        <is>
          <t>2026Q2</t>
        </is>
      </c>
      <c r="D776" s="6" t="inlineStr">
        <is>
          <t>20260814</t>
        </is>
      </c>
      <c r="E776" s="16" t="n">
        <v>45384</v>
      </c>
      <c r="F776" s="16" t="n">
        <v>26287</v>
      </c>
      <c r="G776" s="16" t="n">
        <v>61834</v>
      </c>
      <c r="H776" s="6" t="inlineStr">
        <is>
          <t>백만원</t>
        </is>
      </c>
      <c r="I776" s="17" t="n">
        <v>-8.800000000000001</v>
      </c>
      <c r="J776" s="18" t="n">
        <v>80195</v>
      </c>
      <c r="K776" s="19" t="n">
        <v>72779</v>
      </c>
      <c r="L776" s="18" t="n">
        <v>66953</v>
      </c>
      <c r="M776" s="19" t="n">
        <v>60589</v>
      </c>
      <c r="N776" s="18" t="n">
        <v>54683</v>
      </c>
      <c r="O776" s="19" t="n">
        <v>50059</v>
      </c>
      <c r="P776" s="18" t="n">
        <v>47821</v>
      </c>
      <c r="Q776" s="19" t="n">
        <v>53212</v>
      </c>
      <c r="R776" s="18" t="n">
        <v>67794</v>
      </c>
      <c r="S776" s="20" t="n">
        <v>61834</v>
      </c>
      <c r="T776" s="6" t="n">
        <v>1</v>
      </c>
      <c r="U776" s="5" t="inlineStr">
        <is>
          <t>2차전지 검사장비</t>
        </is>
      </c>
      <c r="V776" s="21">
        <f>HYPERLINK("https://dart.fss.or.kr/dsaf001/main.do?rcpNo=20260814000383", "공시열람")</f>
        <v/>
      </c>
    </row>
    <row r="777">
      <c r="A777" s="5" t="inlineStr">
        <is>
          <t>프레스티지바이오로직스</t>
        </is>
      </c>
      <c r="B777" s="6" t="inlineStr">
        <is>
          <t>334970</t>
        </is>
      </c>
      <c r="C777" s="6" t="inlineStr">
        <is>
          <t>2026Q2</t>
        </is>
      </c>
      <c r="D777" s="6" t="inlineStr">
        <is>
          <t>20260928</t>
        </is>
      </c>
      <c r="E777" s="16" t="n">
        <v>75363</v>
      </c>
      <c r="F777" s="16" t="n">
        <v>14890</v>
      </c>
      <c r="G777" s="16" t="n">
        <v>60473</v>
      </c>
      <c r="H777" s="6" t="inlineStr">
        <is>
          <t>천$,백만원</t>
        </is>
      </c>
      <c r="I777" s="17" t="n">
        <v>21.3</v>
      </c>
      <c r="J777" s="18" t="n">
        <v>11000</v>
      </c>
      <c r="K777" s="19" t="n">
        <v>88863</v>
      </c>
      <c r="L777" s="18" t="n">
        <v>11000</v>
      </c>
      <c r="M777" s="19" t="n">
        <v>19071047</v>
      </c>
      <c r="N777" s="18" t="n">
        <v>19320937</v>
      </c>
      <c r="O777" s="19" t="n">
        <v>21282648</v>
      </c>
      <c r="P777" s="18" t="n">
        <v>15074696</v>
      </c>
      <c r="Q777" s="19" t="n">
        <v>48008</v>
      </c>
      <c r="R777" s="18" t="n">
        <v>49863</v>
      </c>
      <c r="S777" s="20" t="n">
        <v>60473</v>
      </c>
      <c r="T777" s="6" t="n">
        <v>2</v>
      </c>
      <c r="U777" s="5" t="inlineStr">
        <is>
          <t>CDMO(CMO, CDO, QC분석서비스 등) / 바이 | CDMO(CMO, CDO, QC분석서비스 등) / 바이</t>
        </is>
      </c>
      <c r="V777" s="21">
        <f>HYPERLINK("https://dart.fss.or.kr/dsaf001/main.do?rcpNo=20260928000204", "공시열람")</f>
        <v/>
      </c>
    </row>
    <row r="778">
      <c r="A778" s="5" t="inlineStr">
        <is>
          <t>웨이버스</t>
        </is>
      </c>
      <c r="B778" s="6" t="inlineStr">
        <is>
          <t>336060</t>
        </is>
      </c>
      <c r="C778" s="6" t="inlineStr">
        <is>
          <t>2026Q2</t>
        </is>
      </c>
      <c r="D778" s="6" t="inlineStr">
        <is>
          <t>20260814</t>
        </is>
      </c>
      <c r="E778" s="16" t="n">
        <v>53408129</v>
      </c>
      <c r="F778" s="16" t="inlineStr"/>
      <c r="G778" s="16" t="n">
        <v>35117803</v>
      </c>
      <c r="H778" s="6" t="inlineStr">
        <is>
          <t>천원</t>
        </is>
      </c>
      <c r="I778" s="17" t="n">
        <v>36.1</v>
      </c>
      <c r="J778" s="18" t="n">
        <v>30551891</v>
      </c>
      <c r="K778" s="19" t="n">
        <v>39835879</v>
      </c>
      <c r="L778" s="18" t="n">
        <v>32261188</v>
      </c>
      <c r="M778" s="19" t="n">
        <v>31857383</v>
      </c>
      <c r="N778" s="18" t="n">
        <v>31807449</v>
      </c>
      <c r="O778" s="19" t="n">
        <v>33122474</v>
      </c>
      <c r="P778" s="18" t="n">
        <v>24962084</v>
      </c>
      <c r="Q778" s="19" t="n">
        <v>16944148</v>
      </c>
      <c r="R778" s="18" t="n">
        <v>25797203</v>
      </c>
      <c r="S778" s="20" t="n">
        <v>35117803</v>
      </c>
      <c r="T778" s="6" t="n">
        <v>9</v>
      </c>
      <c r="U778" s="5" t="inlineStr">
        <is>
          <t>공공기관 / 공간정보 SM / 2026-06-01 | 공공기관 / 공간정보 SM / 2026-01-01 | 공공기관 / 공간정보 SI / 2023-11-30</t>
        </is>
      </c>
      <c r="V778" s="21">
        <f>HYPERLINK("https://dart.fss.or.kr/dsaf001/main.do?rcpNo=20260814001981", "공시열람")</f>
        <v/>
      </c>
    </row>
    <row r="779">
      <c r="A779" s="5" t="inlineStr">
        <is>
          <t>뷰노</t>
        </is>
      </c>
      <c r="B779" s="6" t="inlineStr">
        <is>
          <t>338220</t>
        </is>
      </c>
      <c r="C779" s="6" t="inlineStr">
        <is>
          <t>2026Q2</t>
        </is>
      </c>
      <c r="D779" s="6" t="inlineStr">
        <is>
          <t>20260814</t>
        </is>
      </c>
      <c r="E779" s="16" t="n">
        <v>507</v>
      </c>
      <c r="F779" s="16" t="n">
        <v>487</v>
      </c>
      <c r="G779" s="16" t="n">
        <v>20</v>
      </c>
      <c r="H779" s="6" t="inlineStr">
        <is>
          <t>백만원</t>
        </is>
      </c>
      <c r="I779" s="17" t="n">
        <v>0</v>
      </c>
      <c r="J779" s="18" t="n">
        <v>1021</v>
      </c>
      <c r="K779" s="19" t="n">
        <v>1010</v>
      </c>
      <c r="L779" s="18" t="n">
        <v>962</v>
      </c>
      <c r="M779" s="19" t="n">
        <v>694</v>
      </c>
      <c r="N779" s="18" t="n">
        <v>615</v>
      </c>
      <c r="O779" s="19" t="n">
        <v>345</v>
      </c>
      <c r="P779" s="18" t="n">
        <v>40</v>
      </c>
      <c r="Q779" s="19" t="n">
        <v>40</v>
      </c>
      <c r="R779" s="18" t="n">
        <v>20</v>
      </c>
      <c r="S779" s="20" t="n">
        <v>20</v>
      </c>
      <c r="T779" s="6" t="n">
        <v>1</v>
      </c>
      <c r="U779" s="5" t="inlineStr">
        <is>
          <t>인공지능기반 희귀질환 스크리닝 솔루션 / 2021-11</t>
        </is>
      </c>
      <c r="V779" s="21">
        <f>HYPERLINK("https://dart.fss.or.kr/dsaf001/main.do?rcpNo=20260814002777", "공시열람")</f>
        <v/>
      </c>
    </row>
    <row r="780">
      <c r="A780" s="5" t="inlineStr">
        <is>
          <t>티앤엘</t>
        </is>
      </c>
      <c r="B780" s="6" t="inlineStr">
        <is>
          <t>340570</t>
        </is>
      </c>
      <c r="C780" s="6" t="inlineStr">
        <is>
          <t>2025Q1</t>
        </is>
      </c>
      <c r="D780" s="6" t="inlineStr">
        <is>
          <t>20250514</t>
        </is>
      </c>
      <c r="E780" s="16" t="n">
        <v>7679525</v>
      </c>
      <c r="F780" s="16" t="inlineStr"/>
      <c r="G780" s="16" t="n">
        <v>7679525</v>
      </c>
      <c r="H780" s="6" t="inlineStr">
        <is>
          <t>천원</t>
        </is>
      </c>
      <c r="I780" s="17" t="n">
        <v>-27.2</v>
      </c>
      <c r="J780" s="18" t="n">
        <v>41196255</v>
      </c>
      <c r="K780" s="19" t="n">
        <v>40239752</v>
      </c>
      <c r="L780" s="18" t="n">
        <v>35932640</v>
      </c>
      <c r="M780" s="19" t="n">
        <v>10545983</v>
      </c>
      <c r="N780" s="18" t="n">
        <v>7679525</v>
      </c>
      <c r="O780" s="19" t="inlineStr"/>
      <c r="P780" s="18" t="inlineStr"/>
      <c r="Q780" s="19" t="inlineStr"/>
      <c r="R780" s="18" t="inlineStr"/>
      <c r="S780" s="20" t="inlineStr"/>
      <c r="T780" s="6" t="n">
        <v>6</v>
      </c>
      <c r="U780" s="5" t="inlineStr">
        <is>
          <t>창상피복재 | 창상피복재 | 창상피복재</t>
        </is>
      </c>
      <c r="V780" s="21">
        <f>HYPERLINK("https://dart.fss.or.kr/dsaf001/main.do?rcpNo=20250514001008", "공시열람")</f>
        <v/>
      </c>
    </row>
    <row r="781">
      <c r="A781" s="5" t="inlineStr">
        <is>
          <t>시선AI</t>
        </is>
      </c>
      <c r="B781" s="6" t="inlineStr">
        <is>
          <t>340810</t>
        </is>
      </c>
      <c r="C781" s="6" t="inlineStr">
        <is>
          <t>2026Q2</t>
        </is>
      </c>
      <c r="D781" s="6" t="inlineStr">
        <is>
          <t>20260814</t>
        </is>
      </c>
      <c r="E781" s="16" t="n">
        <v>34780</v>
      </c>
      <c r="F781" s="16" t="n">
        <v>22514</v>
      </c>
      <c r="G781" s="16" t="n">
        <v>12266</v>
      </c>
      <c r="H781" s="6" t="inlineStr">
        <is>
          <t>백만원</t>
        </is>
      </c>
      <c r="I781" s="17" t="n">
        <v>9.4</v>
      </c>
      <c r="J781" s="18" t="n">
        <v>9313</v>
      </c>
      <c r="K781" s="19" t="n">
        <v>12286</v>
      </c>
      <c r="L781" s="18" t="n">
        <v>8608</v>
      </c>
      <c r="M781" s="19" t="n">
        <v>6071</v>
      </c>
      <c r="N781" s="18" t="n">
        <v>5469</v>
      </c>
      <c r="O781" s="19" t="n">
        <v>5180</v>
      </c>
      <c r="P781" s="18" t="n">
        <v>6798</v>
      </c>
      <c r="Q781" s="19" t="n">
        <v>12185</v>
      </c>
      <c r="R781" s="18" t="n">
        <v>11207</v>
      </c>
      <c r="S781" s="20" t="n">
        <v>12266</v>
      </c>
      <c r="T781" s="6" t="n">
        <v>12</v>
      </c>
      <c r="U781" s="5" t="inlineStr">
        <is>
          <t>SI사업 / SR-MaaS 통합정보시스템 구축 사업 / | 기타 / 올인원 보안 검색 플랫폼 개발 / 2025-0 | AI 얼굴인식 시스템 / K사 재난망 운영 및 유지보수</t>
        </is>
      </c>
      <c r="V781" s="21">
        <f>HYPERLINK("https://dart.fss.or.kr/dsaf001/main.do?rcpNo=20260814001583", "공시열람")</f>
        <v/>
      </c>
    </row>
    <row r="782">
      <c r="A782" s="5" t="inlineStr">
        <is>
          <t>케이씨씨글라스</t>
        </is>
      </c>
      <c r="B782" s="6" t="inlineStr">
        <is>
          <t>344820</t>
        </is>
      </c>
      <c r="C782" s="6" t="inlineStr">
        <is>
          <t>2026Q2</t>
        </is>
      </c>
      <c r="D782" s="6" t="inlineStr">
        <is>
          <t>20260820</t>
        </is>
      </c>
      <c r="E782" s="16" t="n">
        <v>175723</v>
      </c>
      <c r="F782" s="16" t="n">
        <v>63051</v>
      </c>
      <c r="G782" s="16" t="n">
        <v>112672</v>
      </c>
      <c r="H782" s="6" t="inlineStr">
        <is>
          <t>백만원</t>
        </is>
      </c>
      <c r="I782" s="17" t="n">
        <v>2.3</v>
      </c>
      <c r="J782" s="18" t="n">
        <v>127373</v>
      </c>
      <c r="K782" s="19" t="n">
        <v>96723</v>
      </c>
      <c r="L782" s="18" t="n">
        <v>79466</v>
      </c>
      <c r="M782" s="19" t="n">
        <v>93562</v>
      </c>
      <c r="N782" s="18" t="n">
        <v>49344</v>
      </c>
      <c r="O782" s="19" t="n">
        <v>75007</v>
      </c>
      <c r="P782" s="18" t="n">
        <v>87069</v>
      </c>
      <c r="Q782" s="19" t="n">
        <v>100686</v>
      </c>
      <c r="R782" s="18" t="n">
        <v>110139</v>
      </c>
      <c r="S782" s="20" t="n">
        <v>112672</v>
      </c>
      <c r="T782" s="6" t="n">
        <v>3</v>
      </c>
      <c r="U782" s="5" t="inlineStr">
        <is>
          <t>유리 / ~ 2026.06.30 / - | 인테리어 및 유통 / ~ 2026.06.30 / - | 파일사업 / ~ 2026.06.30 / -</t>
        </is>
      </c>
      <c r="V782" s="21">
        <f>HYPERLINK("https://dart.fss.or.kr/dsaf001/main.do?rcpNo=20260820000314", "공시열람")</f>
        <v/>
      </c>
    </row>
    <row r="783">
      <c r="A783" s="5" t="inlineStr">
        <is>
          <t>타이드</t>
        </is>
      </c>
      <c r="B783" s="6" t="inlineStr">
        <is>
          <t>346010</t>
        </is>
      </c>
      <c r="C783" s="6" t="inlineStr">
        <is>
          <t>2025Q4</t>
        </is>
      </c>
      <c r="D783" s="6" t="inlineStr">
        <is>
          <t>20260407</t>
        </is>
      </c>
      <c r="E783" s="16" t="n">
        <v>674925</v>
      </c>
      <c r="F783" s="16" t="inlineStr"/>
      <c r="G783" s="16" t="n">
        <v>674925</v>
      </c>
      <c r="H783" s="6" t="inlineStr">
        <is>
          <t>천원</t>
        </is>
      </c>
      <c r="I783" s="17" t="n">
        <v>-60.9</v>
      </c>
      <c r="J783" s="18" t="inlineStr"/>
      <c r="K783" s="19" t="inlineStr"/>
      <c r="L783" s="18" t="inlineStr"/>
      <c r="M783" s="19" t="n">
        <v>1728000</v>
      </c>
      <c r="N783" s="18" t="inlineStr"/>
      <c r="O783" s="19" t="inlineStr"/>
      <c r="P783" s="18" t="inlineStr"/>
      <c r="Q783" s="19" t="n">
        <v>674925</v>
      </c>
      <c r="R783" s="18" t="inlineStr"/>
      <c r="S783" s="20" t="inlineStr"/>
      <c r="T783" s="6" t="n">
        <v>1</v>
      </c>
      <c r="U783" s="5" t="inlineStr">
        <is>
          <t>PLC</t>
        </is>
      </c>
      <c r="V783" s="21">
        <f>HYPERLINK("https://dart.fss.or.kr/dsaf001/main.do?rcpNo=20260407000793", "공시열람")</f>
        <v/>
      </c>
    </row>
    <row r="784">
      <c r="A784" s="5" t="inlineStr">
        <is>
          <t>센코</t>
        </is>
      </c>
      <c r="B784" s="6" t="inlineStr">
        <is>
          <t>347000</t>
        </is>
      </c>
      <c r="C784" s="6" t="inlineStr">
        <is>
          <t>2026Q2</t>
        </is>
      </c>
      <c r="D784" s="6" t="inlineStr">
        <is>
          <t>20260814</t>
        </is>
      </c>
      <c r="E784" s="16" t="n">
        <v>6793472855</v>
      </c>
      <c r="F784" s="16" t="n">
        <v>4743282395</v>
      </c>
      <c r="G784" s="16" t="n">
        <v>2050190460</v>
      </c>
      <c r="H784" s="6" t="inlineStr">
        <is>
          <t>원</t>
        </is>
      </c>
      <c r="I784" s="17" t="n">
        <v>45.5</v>
      </c>
      <c r="J784" s="18" t="n">
        <v>2108055554</v>
      </c>
      <c r="K784" s="19" t="n">
        <v>2108055554</v>
      </c>
      <c r="L784" s="18" t="n">
        <v>4784929449</v>
      </c>
      <c r="M784" s="19" t="n">
        <v>3350630000</v>
      </c>
      <c r="N784" s="18" t="n">
        <v>10323012000</v>
      </c>
      <c r="O784" s="19" t="n">
        <v>10323012000</v>
      </c>
      <c r="P784" s="18" t="n">
        <v>10323012000</v>
      </c>
      <c r="Q784" s="19" t="n">
        <v>1409428095</v>
      </c>
      <c r="R784" s="18" t="n">
        <v>1409428095</v>
      </c>
      <c r="S784" s="20" t="n">
        <v>2050190460</v>
      </c>
      <c r="T784" s="6" t="n">
        <v>4</v>
      </c>
      <c r="U784" s="5" t="inlineStr">
        <is>
          <t>군포시 스마트 하수도 관리체계 구축사업 통합관리시스템  | 세종5-1생활권 스마트도시기반서비스설계 및 구축사업(* | 2023년 평택시 강소형 스마트도시 조성사업 G4 그린</t>
        </is>
      </c>
      <c r="V784" s="21">
        <f>HYPERLINK("https://dart.fss.or.kr/dsaf001/main.do?rcpNo=20260814001161", "공시열람")</f>
        <v/>
      </c>
    </row>
    <row r="785">
      <c r="A785" s="5" t="inlineStr">
        <is>
          <t>스피어</t>
        </is>
      </c>
      <c r="B785" s="6" t="inlineStr">
        <is>
          <t>347700</t>
        </is>
      </c>
      <c r="C785" s="6" t="inlineStr">
        <is>
          <t>2026Q2</t>
        </is>
      </c>
      <c r="D785" s="6" t="inlineStr">
        <is>
          <t>20260814</t>
        </is>
      </c>
      <c r="E785" s="16" t="n">
        <v>204787048</v>
      </c>
      <c r="F785" s="16" t="n">
        <v>89052955</v>
      </c>
      <c r="G785" s="16" t="n">
        <v>115734093</v>
      </c>
      <c r="H785" s="6" t="inlineStr">
        <is>
          <t>USD</t>
        </is>
      </c>
      <c r="I785" s="17" t="n">
        <v>20.8</v>
      </c>
      <c r="J785" s="18" t="inlineStr"/>
      <c r="K785" s="19" t="inlineStr"/>
      <c r="L785" s="18" t="inlineStr"/>
      <c r="M785" s="19" t="inlineStr"/>
      <c r="N785" s="18" t="inlineStr"/>
      <c r="O785" s="19" t="n">
        <v>30280260</v>
      </c>
      <c r="P785" s="18" t="n">
        <v>43545655</v>
      </c>
      <c r="Q785" s="19" t="n">
        <v>57635487</v>
      </c>
      <c r="R785" s="18" t="n">
        <v>95772506</v>
      </c>
      <c r="S785" s="20" t="n">
        <v>115734093</v>
      </c>
      <c r="T785" s="6" t="n">
        <v>31</v>
      </c>
      <c r="U785" s="5" t="inlineStr">
        <is>
          <t>특수합금 공급 / 2025-09-27 / 2027-02 | 특수합금 공급 / 2026-06-08 / 2026-12 | 특수합금 공급 / 2026-06-15 / 2026-07</t>
        </is>
      </c>
      <c r="V785" s="21">
        <f>HYPERLINK("https://dart.fss.or.kr/dsaf001/main.do?rcpNo=20260814003121", "공시열람")</f>
        <v/>
      </c>
    </row>
    <row r="786">
      <c r="A786" s="5" t="inlineStr">
        <is>
          <t>피엔케이피부임상연구센타</t>
        </is>
      </c>
      <c r="B786" s="6" t="inlineStr">
        <is>
          <t>347740</t>
        </is>
      </c>
      <c r="C786" s="6" t="inlineStr">
        <is>
          <t>2026Q2</t>
        </is>
      </c>
      <c r="D786" s="6" t="inlineStr">
        <is>
          <t>20260814</t>
        </is>
      </c>
      <c r="E786" s="16" t="n">
        <v>9261</v>
      </c>
      <c r="F786" s="16" t="n">
        <v>1017</v>
      </c>
      <c r="G786" s="16" t="n">
        <v>8244</v>
      </c>
      <c r="H786" s="6" t="inlineStr">
        <is>
          <t>백만원</t>
        </is>
      </c>
      <c r="I786" s="17" t="n">
        <v>36.9</v>
      </c>
      <c r="J786" s="18" t="n">
        <v>3049</v>
      </c>
      <c r="K786" s="19" t="n">
        <v>4757</v>
      </c>
      <c r="L786" s="18" t="n">
        <v>5786</v>
      </c>
      <c r="M786" s="19" t="n">
        <v>6148</v>
      </c>
      <c r="N786" s="18" t="n">
        <v>5009</v>
      </c>
      <c r="O786" s="19" t="n">
        <v>5216</v>
      </c>
      <c r="P786" s="18" t="n">
        <v>5389</v>
      </c>
      <c r="Q786" s="19" t="n">
        <v>6085</v>
      </c>
      <c r="R786" s="18" t="n">
        <v>6020</v>
      </c>
      <c r="S786" s="20" t="n">
        <v>8244</v>
      </c>
      <c r="T786" s="6" t="n">
        <v>1</v>
      </c>
      <c r="U786" s="5" t="inlineStr">
        <is>
          <t>화장품 인체적용시험외 / -</t>
        </is>
      </c>
      <c r="V786" s="21">
        <f>HYPERLINK("https://dart.fss.or.kr/dsaf001/main.do?rcpNo=20260814002845", "공시열람")</f>
        <v/>
      </c>
    </row>
    <row r="787">
      <c r="A787" s="5" t="inlineStr">
        <is>
          <t>알체라</t>
        </is>
      </c>
      <c r="B787" s="6" t="inlineStr">
        <is>
          <t>347860</t>
        </is>
      </c>
      <c r="C787" s="6" t="inlineStr">
        <is>
          <t>2026Q2</t>
        </is>
      </c>
      <c r="D787" s="6" t="inlineStr">
        <is>
          <t>20260814</t>
        </is>
      </c>
      <c r="E787" s="16" t="n">
        <v>16140</v>
      </c>
      <c r="F787" s="16" t="n">
        <v>3780</v>
      </c>
      <c r="G787" s="16" t="n">
        <v>12360</v>
      </c>
      <c r="H787" s="6" t="inlineStr">
        <is>
          <t>백만원</t>
        </is>
      </c>
      <c r="I787" s="17" t="n">
        <v>6.7</v>
      </c>
      <c r="J787" s="18" t="n">
        <v>9764</v>
      </c>
      <c r="K787" s="19" t="n">
        <v>13821</v>
      </c>
      <c r="L787" s="18" t="n">
        <v>14153</v>
      </c>
      <c r="M787" s="19" t="n">
        <v>9004</v>
      </c>
      <c r="N787" s="18" t="n">
        <v>9801</v>
      </c>
      <c r="O787" s="19" t="n">
        <v>12110</v>
      </c>
      <c r="P787" s="18" t="n">
        <v>12131</v>
      </c>
      <c r="Q787" s="19" t="n">
        <v>9630</v>
      </c>
      <c r="R787" s="18" t="n">
        <v>11583</v>
      </c>
      <c r="S787" s="20" t="n">
        <v>12360</v>
      </c>
      <c r="T787" s="6" t="n">
        <v>6</v>
      </c>
      <c r="U787" s="5" t="inlineStr">
        <is>
          <t>AI 학습 데이타구축 서비스 / ~ 2025년 | 안면인식 AI솔루션 등 / ~ 2025년 | AI 학습 데이타구축 서비스 / 2026년 1월 ~ 6</t>
        </is>
      </c>
      <c r="V787" s="21">
        <f>HYPERLINK("https://dart.fss.or.kr/dsaf001/main.do?rcpNo=20260814001661", "공시열람")</f>
        <v/>
      </c>
    </row>
    <row r="788">
      <c r="A788" s="5" t="inlineStr">
        <is>
          <t>엠엑스온</t>
        </is>
      </c>
      <c r="B788" s="6" t="inlineStr">
        <is>
          <t>347890</t>
        </is>
      </c>
      <c r="C788" s="6" t="inlineStr">
        <is>
          <t>2026Q2</t>
        </is>
      </c>
      <c r="D788" s="6" t="inlineStr">
        <is>
          <t>20260814</t>
        </is>
      </c>
      <c r="E788" s="16" t="n">
        <v>235918460</v>
      </c>
      <c r="F788" s="16" t="n">
        <v>46028966</v>
      </c>
      <c r="G788" s="16" t="n">
        <v>189889494</v>
      </c>
      <c r="H788" s="6" t="inlineStr">
        <is>
          <t>천원</t>
        </is>
      </c>
      <c r="I788" s="17" t="n">
        <v>3.9</v>
      </c>
      <c r="J788" s="18" t="inlineStr"/>
      <c r="K788" s="19" t="inlineStr"/>
      <c r="L788" s="18" t="inlineStr"/>
      <c r="M788" s="19" t="inlineStr"/>
      <c r="N788" s="18" t="inlineStr"/>
      <c r="O788" s="19" t="inlineStr"/>
      <c r="P788" s="18" t="inlineStr"/>
      <c r="Q788" s="19" t="n">
        <v>164329344</v>
      </c>
      <c r="R788" s="18" t="n">
        <v>182779407</v>
      </c>
      <c r="S788" s="20" t="n">
        <v>189889494</v>
      </c>
      <c r="T788" s="6" t="n">
        <v>2</v>
      </c>
      <c r="U788" s="5" t="inlineStr">
        <is>
          <t xml:space="preserve">해외 자동화 물류시스템 외 / ~ 2026.06.30  | 국내 자동화 물류시스템 외 / ~ 2026.06.30 </t>
        </is>
      </c>
      <c r="V788" s="21">
        <f>HYPERLINK("https://dart.fss.or.kr/dsaf001/main.do?rcpNo=20260814004040", "공시열람")</f>
        <v/>
      </c>
    </row>
    <row r="789">
      <c r="A789" s="5" t="inlineStr">
        <is>
          <t>큐라티스</t>
        </is>
      </c>
      <c r="B789" s="6" t="inlineStr">
        <is>
          <t>348080</t>
        </is>
      </c>
      <c r="C789" s="6" t="inlineStr">
        <is>
          <t>2022Q4</t>
        </is>
      </c>
      <c r="D789" s="6" t="inlineStr">
        <is>
          <t>20250325</t>
        </is>
      </c>
      <c r="E789" s="16" t="n">
        <v>1851000</v>
      </c>
      <c r="F789" s="16" t="n">
        <v>1287314</v>
      </c>
      <c r="G789" s="16" t="n">
        <v>563686</v>
      </c>
      <c r="H789" s="6" t="inlineStr">
        <is>
          <t>천원</t>
        </is>
      </c>
      <c r="I789" s="17" t="inlineStr"/>
      <c r="J789" s="18" t="inlineStr"/>
      <c r="K789" s="19" t="inlineStr"/>
      <c r="L789" s="18" t="inlineStr"/>
      <c r="M789" s="19" t="inlineStr"/>
      <c r="N789" s="18" t="inlineStr"/>
      <c r="O789" s="19" t="inlineStr"/>
      <c r="P789" s="18" t="inlineStr"/>
      <c r="Q789" s="19" t="inlineStr"/>
      <c r="R789" s="18" t="inlineStr"/>
      <c r="S789" s="20" t="inlineStr"/>
      <c r="T789" s="6" t="n">
        <v>9</v>
      </c>
      <c r="U789" s="5" t="inlineStr">
        <is>
          <t>프로앱텍 / 2021.03.01 | 에이비온 / 2022.03.03 | 펩진 / 2022.09.21</t>
        </is>
      </c>
      <c r="V789" s="21">
        <f>HYPERLINK("https://dart.fss.or.kr/dsaf001/main.do?rcpNo=20250325000150", "공시열람")</f>
        <v/>
      </c>
    </row>
    <row r="790">
      <c r="A790" s="5" t="inlineStr">
        <is>
          <t>넥스틴</t>
        </is>
      </c>
      <c r="B790" s="6" t="inlineStr">
        <is>
          <t>348210</t>
        </is>
      </c>
      <c r="C790" s="6" t="inlineStr">
        <is>
          <t>2026Q2</t>
        </is>
      </c>
      <c r="D790" s="6" t="inlineStr">
        <is>
          <t>20260814</t>
        </is>
      </c>
      <c r="E790" s="16" t="n">
        <v>21012</v>
      </c>
      <c r="F790" s="16" t="n">
        <v>19770</v>
      </c>
      <c r="G790" s="16" t="n">
        <v>8978</v>
      </c>
      <c r="H790" s="6" t="inlineStr">
        <is>
          <t>백만원</t>
        </is>
      </c>
      <c r="I790" s="17" t="n">
        <v>-65.09999999999999</v>
      </c>
      <c r="J790" s="18" t="n">
        <v>22474</v>
      </c>
      <c r="K790" s="19" t="n">
        <v>25435</v>
      </c>
      <c r="L790" s="18" t="n">
        <v>27272</v>
      </c>
      <c r="M790" s="19" t="n">
        <v>11670</v>
      </c>
      <c r="N790" s="18" t="inlineStr"/>
      <c r="O790" s="19" t="n">
        <v>11855</v>
      </c>
      <c r="P790" s="18" t="n">
        <v>15214</v>
      </c>
      <c r="Q790" s="19" t="n">
        <v>7736</v>
      </c>
      <c r="R790" s="18" t="n">
        <v>25748</v>
      </c>
      <c r="S790" s="20" t="n">
        <v>8978</v>
      </c>
      <c r="T790" s="6" t="n">
        <v>1</v>
      </c>
      <c r="U790" s="5" t="inlineStr">
        <is>
          <t>Wafer InspectionSystem</t>
        </is>
      </c>
      <c r="V790" s="21">
        <f>HYPERLINK("https://dart.fss.or.kr/dsaf001/main.do?rcpNo=20260814003931", "공시열람")</f>
        <v/>
      </c>
    </row>
    <row r="791">
      <c r="A791" s="5" t="inlineStr">
        <is>
          <t>위드텍</t>
        </is>
      </c>
      <c r="B791" s="6" t="inlineStr">
        <is>
          <t>348350</t>
        </is>
      </c>
      <c r="C791" s="6" t="inlineStr">
        <is>
          <t>2026Q2</t>
        </is>
      </c>
      <c r="D791" s="6" t="inlineStr">
        <is>
          <t>20260814</t>
        </is>
      </c>
      <c r="E791" s="16" t="n">
        <v>54187</v>
      </c>
      <c r="F791" s="16" t="n">
        <v>23559</v>
      </c>
      <c r="G791" s="16" t="n">
        <v>30628</v>
      </c>
      <c r="H791" s="6" t="inlineStr">
        <is>
          <t>백만원</t>
        </is>
      </c>
      <c r="I791" s="17" t="n">
        <v>27.4</v>
      </c>
      <c r="J791" s="18" t="n">
        <v>7881</v>
      </c>
      <c r="K791" s="19" t="n">
        <v>7784</v>
      </c>
      <c r="L791" s="18" t="n">
        <v>8558</v>
      </c>
      <c r="M791" s="19" t="n">
        <v>7953</v>
      </c>
      <c r="N791" s="18" t="n">
        <v>14858</v>
      </c>
      <c r="O791" s="19" t="n">
        <v>22390</v>
      </c>
      <c r="P791" s="18" t="n">
        <v>16598</v>
      </c>
      <c r="Q791" s="19" t="n">
        <v>19428</v>
      </c>
      <c r="R791" s="18" t="n">
        <v>24042</v>
      </c>
      <c r="S791" s="20" t="n">
        <v>30628</v>
      </c>
      <c r="T791" s="6" t="n">
        <v>3</v>
      </c>
      <c r="U791" s="5" t="inlineStr">
        <is>
          <t>대기 / - | 공정 / - | 환경(TMS) / -</t>
        </is>
      </c>
      <c r="V791" s="21">
        <f>HYPERLINK("https://dart.fss.or.kr/dsaf001/main.do?rcpNo=20260814001848", "공시열람")</f>
        <v/>
      </c>
    </row>
    <row r="792">
      <c r="A792" s="5" t="inlineStr">
        <is>
          <t>넥사다이내믹스</t>
        </is>
      </c>
      <c r="B792" s="6" t="inlineStr">
        <is>
          <t>351320</t>
        </is>
      </c>
      <c r="C792" s="6" t="inlineStr">
        <is>
          <t>2026Q2</t>
        </is>
      </c>
      <c r="D792" s="6" t="inlineStr">
        <is>
          <t>20260814</t>
        </is>
      </c>
      <c r="E792" s="16" t="n">
        <v>6431</v>
      </c>
      <c r="F792" s="16" t="n">
        <v>627</v>
      </c>
      <c r="G792" s="16" t="n">
        <v>5804</v>
      </c>
      <c r="H792" s="6" t="inlineStr">
        <is>
          <t>백만원</t>
        </is>
      </c>
      <c r="I792" s="17" t="n">
        <v>267.8</v>
      </c>
      <c r="J792" s="18" t="n">
        <v>7652</v>
      </c>
      <c r="K792" s="19" t="n">
        <v>5427</v>
      </c>
      <c r="L792" s="18" t="n">
        <v>13849</v>
      </c>
      <c r="M792" s="19" t="n">
        <v>11413</v>
      </c>
      <c r="N792" s="18" t="n">
        <v>2676</v>
      </c>
      <c r="O792" s="19" t="n">
        <v>1721</v>
      </c>
      <c r="P792" s="18" t="n">
        <v>1409</v>
      </c>
      <c r="Q792" s="19" t="n">
        <v>1588</v>
      </c>
      <c r="R792" s="18" t="n">
        <v>1578</v>
      </c>
      <c r="S792" s="20" t="n">
        <v>5804</v>
      </c>
      <c r="T792" s="6" t="n">
        <v>1</v>
      </c>
      <c r="U792" s="5" t="inlineStr">
        <is>
          <t>제조장비 / -</t>
        </is>
      </c>
      <c r="V792" s="21">
        <f>HYPERLINK("https://dart.fss.or.kr/dsaf001/main.do?rcpNo=20260814003563", "공시열람")</f>
        <v/>
      </c>
    </row>
    <row r="793">
      <c r="A793" s="5" t="inlineStr">
        <is>
          <t>오비고</t>
        </is>
      </c>
      <c r="B793" s="6" t="inlineStr">
        <is>
          <t>352910</t>
        </is>
      </c>
      <c r="C793" s="6" t="inlineStr">
        <is>
          <t>2026Q2</t>
        </is>
      </c>
      <c r="D793" s="6" t="inlineStr">
        <is>
          <t>20260814</t>
        </is>
      </c>
      <c r="E793" s="16" t="n">
        <v>11914285</v>
      </c>
      <c r="F793" s="16" t="n">
        <v>5344424</v>
      </c>
      <c r="G793" s="16" t="n">
        <v>6569860</v>
      </c>
      <c r="H793" s="6" t="inlineStr">
        <is>
          <t>천원</t>
        </is>
      </c>
      <c r="I793" s="17" t="n">
        <v>108636.5</v>
      </c>
      <c r="J793" s="18" t="n">
        <v>5902815</v>
      </c>
      <c r="K793" s="19" t="n">
        <v>4950245</v>
      </c>
      <c r="L793" s="18" t="n">
        <v>4506260</v>
      </c>
      <c r="M793" s="19" t="n">
        <v>5251100</v>
      </c>
      <c r="N793" s="18" t="n">
        <v>5650308</v>
      </c>
      <c r="O793" s="19" t="n">
        <v>5641</v>
      </c>
      <c r="P793" s="18" t="n">
        <v>5545</v>
      </c>
      <c r="Q793" s="19" t="n">
        <v>2646</v>
      </c>
      <c r="R793" s="18" t="n">
        <v>6042</v>
      </c>
      <c r="S793" s="20" t="n">
        <v>6569860</v>
      </c>
      <c r="T793" s="6" t="n">
        <v>3</v>
      </c>
      <c r="U793" s="5" t="inlineStr">
        <is>
          <t>AI 콘텐츠 | AI 카케어 | 피지컬 AI 솔루션</t>
        </is>
      </c>
      <c r="V793" s="21">
        <f>HYPERLINK("https://dart.fss.or.kr/dsaf001/main.do?rcpNo=20260814002505", "공시열람")</f>
        <v/>
      </c>
    </row>
    <row r="794">
      <c r="A794" s="5" t="inlineStr">
        <is>
          <t>인바이오</t>
        </is>
      </c>
      <c r="B794" s="6" t="inlineStr">
        <is>
          <t>352940</t>
        </is>
      </c>
      <c r="C794" s="6" t="inlineStr">
        <is>
          <t>2026Q2</t>
        </is>
      </c>
      <c r="D794" s="6" t="inlineStr">
        <is>
          <t>20260813</t>
        </is>
      </c>
      <c r="E794" s="16" t="n">
        <v>9310088</v>
      </c>
      <c r="F794" s="16" t="n">
        <v>5720301</v>
      </c>
      <c r="G794" s="16" t="n">
        <v>3589787</v>
      </c>
      <c r="H794" s="6" t="inlineStr">
        <is>
          <t>병/봉,천원</t>
        </is>
      </c>
      <c r="I794" s="17" t="n">
        <v>-41</v>
      </c>
      <c r="J794" s="18" t="n">
        <v>3938317</v>
      </c>
      <c r="K794" s="19" t="n">
        <v>3376638</v>
      </c>
      <c r="L794" s="18" t="n">
        <v>1408326</v>
      </c>
      <c r="M794" s="19" t="n">
        <v>2389562</v>
      </c>
      <c r="N794" s="18" t="n">
        <v>1843689</v>
      </c>
      <c r="O794" s="19" t="n">
        <v>867162</v>
      </c>
      <c r="P794" s="18" t="n">
        <v>273113</v>
      </c>
      <c r="Q794" s="19" t="n">
        <v>544106</v>
      </c>
      <c r="R794" s="18" t="n">
        <v>6080203</v>
      </c>
      <c r="S794" s="20" t="n">
        <v>3589787</v>
      </c>
      <c r="T794" s="6" t="n">
        <v>1</v>
      </c>
      <c r="U794" s="5" t="inlineStr">
        <is>
          <t>농약 / 2026.01.31 / 2026.01.31~2</t>
        </is>
      </c>
      <c r="V794" s="21">
        <f>HYPERLINK("https://dart.fss.or.kr/dsaf001/main.do?rcpNo=20260813000903", "공시열람")</f>
        <v/>
      </c>
    </row>
    <row r="795">
      <c r="A795" s="5" t="inlineStr">
        <is>
          <t>대덕전자</t>
        </is>
      </c>
      <c r="B795" s="6" t="inlineStr">
        <is>
          <t>353200</t>
        </is>
      </c>
      <c r="C795" s="6" t="inlineStr">
        <is>
          <t>2026Q2</t>
        </is>
      </c>
      <c r="D795" s="6" t="inlineStr">
        <is>
          <t>20260813</t>
        </is>
      </c>
      <c r="E795" s="16" t="n">
        <v>10777</v>
      </c>
      <c r="F795" s="16" t="n">
        <v>7449</v>
      </c>
      <c r="G795" s="16" t="n">
        <v>3328</v>
      </c>
      <c r="H795" s="6" t="inlineStr">
        <is>
          <t>천㎡,억원</t>
        </is>
      </c>
      <c r="I795" s="17" t="n">
        <v>40.2</v>
      </c>
      <c r="J795" s="18" t="n">
        <v>723</v>
      </c>
      <c r="K795" s="19" t="n">
        <v>682</v>
      </c>
      <c r="L795" s="18" t="n">
        <v>776</v>
      </c>
      <c r="M795" s="19" t="n">
        <v>357</v>
      </c>
      <c r="N795" s="18" t="n">
        <v>792</v>
      </c>
      <c r="O795" s="19" t="n">
        <v>1283</v>
      </c>
      <c r="P795" s="18" t="n">
        <v>3110</v>
      </c>
      <c r="Q795" s="19" t="n">
        <v>2168</v>
      </c>
      <c r="R795" s="18" t="n">
        <v>2374</v>
      </c>
      <c r="S795" s="20" t="n">
        <v>3328</v>
      </c>
      <c r="T795" s="6" t="n">
        <v>1</v>
      </c>
      <c r="U795" s="5" t="inlineStr">
        <is>
          <t>PCB / 2026.01.01~ 2026.06.30</t>
        </is>
      </c>
      <c r="V795" s="21">
        <f>HYPERLINK("https://dart.fss.or.kr/dsaf001/main.do?rcpNo=20260813001620", "공시열람")</f>
        <v/>
      </c>
    </row>
    <row r="796">
      <c r="A796" s="5" t="inlineStr">
        <is>
          <t>바스칸바이오제약</t>
        </is>
      </c>
      <c r="B796" s="6" t="inlineStr">
        <is>
          <t>354390</t>
        </is>
      </c>
      <c r="C796" s="6" t="inlineStr">
        <is>
          <t>2023Q4</t>
        </is>
      </c>
      <c r="D796" s="6" t="inlineStr">
        <is>
          <t>20240318</t>
        </is>
      </c>
      <c r="E796" s="16" t="inlineStr"/>
      <c r="F796" s="16" t="inlineStr"/>
      <c r="G796" s="16" t="n">
        <v>6623811</v>
      </c>
      <c r="H796" s="6" t="inlineStr"/>
      <c r="I796" s="17" t="inlineStr"/>
      <c r="J796" s="18" t="inlineStr"/>
      <c r="K796" s="19" t="inlineStr"/>
      <c r="L796" s="18" t="inlineStr"/>
      <c r="M796" s="19" t="inlineStr"/>
      <c r="N796" s="18" t="inlineStr"/>
      <c r="O796" s="19" t="inlineStr"/>
      <c r="P796" s="18" t="inlineStr"/>
      <c r="Q796" s="19" t="inlineStr"/>
      <c r="R796" s="18" t="inlineStr"/>
      <c r="S796" s="20" t="inlineStr"/>
      <c r="T796" s="6" t="n">
        <v>69</v>
      </c>
      <c r="U796" s="5" t="inlineStr">
        <is>
          <t>마더스제약 / 메모엠연질캡슐 | 씨엠지제약 / 엘카르닌정 | 알리코제약 / 다이제틴정</t>
        </is>
      </c>
      <c r="V796" s="21">
        <f>HYPERLINK("https://dart.fss.or.kr/dsaf001/main.do?rcpNo=20240318000263", "공시열람")</f>
        <v/>
      </c>
    </row>
    <row r="797">
      <c r="A797" s="5" t="inlineStr">
        <is>
          <t>코스텍시스</t>
        </is>
      </c>
      <c r="B797" s="6" t="inlineStr">
        <is>
          <t>355150</t>
        </is>
      </c>
      <c r="C797" s="6" t="inlineStr">
        <is>
          <t>2025Q4</t>
        </is>
      </c>
      <c r="D797" s="6" t="inlineStr">
        <is>
          <t>20260318</t>
        </is>
      </c>
      <c r="E797" s="16" t="n">
        <v>7396</v>
      </c>
      <c r="F797" s="16" t="n">
        <v>6169</v>
      </c>
      <c r="G797" s="16" t="n">
        <v>1227</v>
      </c>
      <c r="H797" s="6" t="inlineStr"/>
      <c r="I797" s="17" t="n">
        <v>-63.8</v>
      </c>
      <c r="J797" s="18" t="n">
        <v>8953</v>
      </c>
      <c r="K797" s="19" t="n">
        <v>10252</v>
      </c>
      <c r="L797" s="18" t="n">
        <v>11707</v>
      </c>
      <c r="M797" s="19" t="n">
        <v>6418</v>
      </c>
      <c r="N797" s="18" t="n">
        <v>2079</v>
      </c>
      <c r="O797" s="19" t="n">
        <v>755</v>
      </c>
      <c r="P797" s="18" t="n">
        <v>3385</v>
      </c>
      <c r="Q797" s="19" t="n">
        <v>1227</v>
      </c>
      <c r="R797" s="18" t="inlineStr"/>
      <c r="S797" s="20" t="inlineStr"/>
      <c r="T797" s="6" t="n">
        <v>4</v>
      </c>
      <c r="U797" s="5" t="inlineStr">
        <is>
          <t>OM780 / 2025.09.23 / 2026.03.1 | OM780 / 2025.07.07 / 2026.03.1 | OM780 / 2025.02.10 / 2026.03.1</t>
        </is>
      </c>
      <c r="V797" s="21">
        <f>HYPERLINK("https://dart.fss.or.kr/dsaf001/main.do?rcpNo=20260318000866", "공시열람")</f>
        <v/>
      </c>
    </row>
    <row r="798">
      <c r="A798" s="5" t="inlineStr">
        <is>
          <t>크라우드웍스</t>
        </is>
      </c>
      <c r="B798" s="6" t="inlineStr">
        <is>
          <t>355390</t>
        </is>
      </c>
      <c r="C798" s="6" t="inlineStr">
        <is>
          <t>2026Q2</t>
        </is>
      </c>
      <c r="D798" s="6" t="inlineStr">
        <is>
          <t>20260814</t>
        </is>
      </c>
      <c r="E798" s="16" t="n">
        <v>10636</v>
      </c>
      <c r="F798" s="16" t="n">
        <v>7344</v>
      </c>
      <c r="G798" s="16" t="n">
        <v>3292</v>
      </c>
      <c r="H798" s="6" t="inlineStr">
        <is>
          <t>개,백만원</t>
        </is>
      </c>
      <c r="I798" s="17" t="n">
        <v>2.5</v>
      </c>
      <c r="J798" s="18" t="n">
        <v>6226</v>
      </c>
      <c r="K798" s="19" t="n">
        <v>7914</v>
      </c>
      <c r="L798" s="18" t="n">
        <v>7577</v>
      </c>
      <c r="M798" s="19" t="n">
        <v>3221</v>
      </c>
      <c r="N798" s="18" t="n">
        <v>3445</v>
      </c>
      <c r="O798" s="19" t="n">
        <v>3943</v>
      </c>
      <c r="P798" s="18" t="n">
        <v>5911</v>
      </c>
      <c r="Q798" s="19" t="n">
        <v>3212</v>
      </c>
      <c r="R798" s="18" t="n">
        <v>3212</v>
      </c>
      <c r="S798" s="20" t="n">
        <v>3292</v>
      </c>
      <c r="T798" s="6" t="n">
        <v>7</v>
      </c>
      <c r="U798" s="5" t="inlineStr">
        <is>
          <t>Enterprise AI Solution / 주1) | LLM Data / 주1) | AI Data / 주1)</t>
        </is>
      </c>
      <c r="V798" s="21">
        <f>HYPERLINK("https://dart.fss.or.kr/dsaf001/main.do?rcpNo=20260814001178", "공시열람")</f>
        <v/>
      </c>
    </row>
    <row r="799">
      <c r="A799" s="5" t="inlineStr">
        <is>
          <t>티엘비</t>
        </is>
      </c>
      <c r="B799" s="6" t="inlineStr">
        <is>
          <t>356860</t>
        </is>
      </c>
      <c r="C799" s="6" t="inlineStr">
        <is>
          <t>2026Q2</t>
        </is>
      </c>
      <c r="D799" s="6" t="inlineStr">
        <is>
          <t>20260814</t>
        </is>
      </c>
      <c r="E799" s="16" t="n">
        <v>2959</v>
      </c>
      <c r="F799" s="16" t="n">
        <v>1641</v>
      </c>
      <c r="G799" s="16" t="n">
        <v>1318</v>
      </c>
      <c r="H799" s="6" t="inlineStr">
        <is>
          <t>억원</t>
        </is>
      </c>
      <c r="I799" s="17" t="n">
        <v>144.5</v>
      </c>
      <c r="J799" s="18" t="n">
        <v>140</v>
      </c>
      <c r="K799" s="19" t="n">
        <v>178</v>
      </c>
      <c r="L799" s="18" t="n">
        <v>158</v>
      </c>
      <c r="M799" s="19" t="n">
        <v>130</v>
      </c>
      <c r="N799" s="18" t="n">
        <v>362</v>
      </c>
      <c r="O799" s="19" t="n">
        <v>442</v>
      </c>
      <c r="P799" s="18" t="n">
        <v>445</v>
      </c>
      <c r="Q799" s="19" t="n">
        <v>526</v>
      </c>
      <c r="R799" s="18" t="n">
        <v>539</v>
      </c>
      <c r="S799" s="20" t="n">
        <v>1318</v>
      </c>
      <c r="T799" s="6" t="n">
        <v>1</v>
      </c>
      <c r="U799" s="5" t="inlineStr">
        <is>
          <t>인쇄회로기판 / 2026.01.01~2026.06.30</t>
        </is>
      </c>
      <c r="V799" s="21">
        <f>HYPERLINK("https://dart.fss.or.kr/dsaf001/main.do?rcpNo=20260814000485", "공시열람")</f>
        <v/>
      </c>
    </row>
    <row r="800">
      <c r="A800" s="5" t="inlineStr">
        <is>
          <t>싸이버원</t>
        </is>
      </c>
      <c r="B800" s="6" t="inlineStr">
        <is>
          <t>356890</t>
        </is>
      </c>
      <c r="C800" s="6" t="inlineStr">
        <is>
          <t>2025Q1</t>
        </is>
      </c>
      <c r="D800" s="6" t="inlineStr">
        <is>
          <t>20250514</t>
        </is>
      </c>
      <c r="E800" s="16" t="n">
        <v>13849</v>
      </c>
      <c r="F800" s="16" t="n">
        <v>4368</v>
      </c>
      <c r="G800" s="16" t="n">
        <v>9481</v>
      </c>
      <c r="H800" s="6" t="inlineStr">
        <is>
          <t>백만원</t>
        </is>
      </c>
      <c r="I800" s="17" t="n">
        <v>33.4</v>
      </c>
      <c r="J800" s="18" t="n">
        <v>8235</v>
      </c>
      <c r="K800" s="19" t="n">
        <v>10145</v>
      </c>
      <c r="L800" s="18" t="n">
        <v>8608</v>
      </c>
      <c r="M800" s="19" t="n">
        <v>7108</v>
      </c>
      <c r="N800" s="18" t="n">
        <v>9481</v>
      </c>
      <c r="O800" s="19" t="inlineStr"/>
      <c r="P800" s="18" t="inlineStr"/>
      <c r="Q800" s="19" t="inlineStr"/>
      <c r="R800" s="18" t="inlineStr"/>
      <c r="S800" s="20" t="inlineStr"/>
      <c r="T800" s="6" t="n">
        <v>3</v>
      </c>
      <c r="U800" s="5" t="inlineStr">
        <is>
          <t>보안컨설팅 용역 / 2025.03.07 / 2025.1 | 클라우드 운영 / 2024.04.01 / 2027.03 | 보안컨설팅 용역 / 2024.01.01 / 2026.1</t>
        </is>
      </c>
      <c r="V800" s="21">
        <f>HYPERLINK("https://dart.fss.or.kr/dsaf001/main.do?rcpNo=20250514001216", "공시열람")</f>
        <v/>
      </c>
    </row>
    <row r="801">
      <c r="A801" s="5" t="inlineStr">
        <is>
          <t>씨엔알리서치</t>
        </is>
      </c>
      <c r="B801" s="6" t="inlineStr">
        <is>
          <t>359090</t>
        </is>
      </c>
      <c r="C801" s="6" t="inlineStr">
        <is>
          <t>2026Q2</t>
        </is>
      </c>
      <c r="D801" s="6" t="inlineStr">
        <is>
          <t>20260814</t>
        </is>
      </c>
      <c r="E801" s="16" t="n">
        <v>370486</v>
      </c>
      <c r="F801" s="16" t="n">
        <v>210425</v>
      </c>
      <c r="G801" s="16" t="n">
        <v>160061</v>
      </c>
      <c r="H801" s="6" t="inlineStr">
        <is>
          <t>백만원</t>
        </is>
      </c>
      <c r="I801" s="17" t="n">
        <v>7.1</v>
      </c>
      <c r="J801" s="18" t="n">
        <v>145157</v>
      </c>
      <c r="K801" s="19" t="n">
        <v>152409</v>
      </c>
      <c r="L801" s="18" t="n">
        <v>151856</v>
      </c>
      <c r="M801" s="19" t="n">
        <v>154569</v>
      </c>
      <c r="N801" s="18" t="n">
        <v>160868</v>
      </c>
      <c r="O801" s="19" t="n">
        <v>153206</v>
      </c>
      <c r="P801" s="18" t="n">
        <v>148944</v>
      </c>
      <c r="Q801" s="19" t="n">
        <v>151038</v>
      </c>
      <c r="R801" s="18" t="n">
        <v>149422</v>
      </c>
      <c r="S801" s="20" t="n">
        <v>160061</v>
      </c>
      <c r="T801" s="6" t="n">
        <v>0</v>
      </c>
      <c r="U801" s="5" t="inlineStr"/>
      <c r="V801" s="21">
        <f>HYPERLINK("https://dart.fss.or.kr/dsaf001/main.do?rcpNo=20260814001641", "공시열람")</f>
        <v/>
      </c>
    </row>
    <row r="802">
      <c r="A802" s="5" t="inlineStr">
        <is>
          <t>탑머티리얼</t>
        </is>
      </c>
      <c r="B802" s="6" t="inlineStr">
        <is>
          <t>360070</t>
        </is>
      </c>
      <c r="C802" s="6" t="inlineStr">
        <is>
          <t>2026Q2</t>
        </is>
      </c>
      <c r="D802" s="6" t="inlineStr">
        <is>
          <t>20260814</t>
        </is>
      </c>
      <c r="E802" s="16" t="n">
        <v>240113958</v>
      </c>
      <c r="F802" s="16" t="n">
        <v>195334760</v>
      </c>
      <c r="G802" s="16" t="n">
        <v>55223846</v>
      </c>
      <c r="H802" s="6" t="inlineStr">
        <is>
          <t>천원</t>
        </is>
      </c>
      <c r="I802" s="17" t="n">
        <v>15.7</v>
      </c>
      <c r="J802" s="18" t="n">
        <v>75108043</v>
      </c>
      <c r="K802" s="19" t="n">
        <v>98673944</v>
      </c>
      <c r="L802" s="18" t="n">
        <v>59906801</v>
      </c>
      <c r="M802" s="19" t="n">
        <v>38902313</v>
      </c>
      <c r="N802" s="18" t="n">
        <v>39469802</v>
      </c>
      <c r="O802" s="19" t="n">
        <v>37185938</v>
      </c>
      <c r="P802" s="18" t="n">
        <v>30863438</v>
      </c>
      <c r="Q802" s="19" t="n">
        <v>37222316</v>
      </c>
      <c r="R802" s="18" t="n">
        <v>47741532</v>
      </c>
      <c r="S802" s="20" t="n">
        <v>55223846</v>
      </c>
      <c r="T802" s="6" t="n">
        <v>1</v>
      </c>
      <c r="U802" s="5" t="inlineStr">
        <is>
          <t>2차전지시스템엔지니어링 / -</t>
        </is>
      </c>
      <c r="V802" s="21">
        <f>HYPERLINK("https://dart.fss.or.kr/dsaf001/main.do?rcpNo=20260814004277", "공시열람")</f>
        <v/>
      </c>
    </row>
    <row r="803">
      <c r="A803" s="5" t="inlineStr">
        <is>
          <t>코셈</t>
        </is>
      </c>
      <c r="B803" s="6" t="inlineStr">
        <is>
          <t>360350</t>
        </is>
      </c>
      <c r="C803" s="6" t="inlineStr">
        <is>
          <t>2026Q2</t>
        </is>
      </c>
      <c r="D803" s="6" t="inlineStr">
        <is>
          <t>20260814</t>
        </is>
      </c>
      <c r="E803" s="16" t="inlineStr"/>
      <c r="F803" s="16" t="inlineStr"/>
      <c r="G803" s="16" t="n">
        <v>1776.2</v>
      </c>
      <c r="H803" s="6" t="inlineStr">
        <is>
          <t>백만원</t>
        </is>
      </c>
      <c r="I803" s="17" t="n">
        <v>54.6</v>
      </c>
      <c r="J803" s="18" t="n">
        <v>1463.1</v>
      </c>
      <c r="K803" s="19" t="n">
        <v>1467.5</v>
      </c>
      <c r="L803" s="18" t="n">
        <v>2643.3</v>
      </c>
      <c r="M803" s="19" t="n">
        <v>1278.5</v>
      </c>
      <c r="N803" s="18" t="n">
        <v>1261.4</v>
      </c>
      <c r="O803" s="19" t="n">
        <v>726.6</v>
      </c>
      <c r="P803" s="18" t="n">
        <v>1535.4</v>
      </c>
      <c r="Q803" s="19" t="n">
        <v>972.9</v>
      </c>
      <c r="R803" s="18" t="n">
        <v>1148.9</v>
      </c>
      <c r="S803" s="20" t="n">
        <v>1776.2</v>
      </c>
      <c r="T803" s="6" t="n">
        <v>19</v>
      </c>
      <c r="U803" s="5" t="inlineStr">
        <is>
          <t>IJ사 / CX시리즈 / 2026-05-20 | SB사 / EM시리즈 / 2026-06-16 | TR대학교 / EM시리즈 / 2026-05-25</t>
        </is>
      </c>
      <c r="V803" s="21">
        <f>HYPERLINK("https://dart.fss.or.kr/dsaf001/main.do?rcpNo=20260814001928", "공시열람")</f>
        <v/>
      </c>
    </row>
    <row r="804">
      <c r="A804" s="5" t="inlineStr">
        <is>
          <t>제노코</t>
        </is>
      </c>
      <c r="B804" s="6" t="inlineStr">
        <is>
          <t>361390</t>
        </is>
      </c>
      <c r="C804" s="6" t="inlineStr">
        <is>
          <t>2026Q2</t>
        </is>
      </c>
      <c r="D804" s="6" t="inlineStr">
        <is>
          <t>20260814</t>
        </is>
      </c>
      <c r="E804" s="16" t="n">
        <v>183312</v>
      </c>
      <c r="F804" s="16" t="n">
        <v>118819</v>
      </c>
      <c r="G804" s="16" t="n">
        <v>64492</v>
      </c>
      <c r="H804" s="6" t="inlineStr">
        <is>
          <t>백만원</t>
        </is>
      </c>
      <c r="I804" s="17" t="n">
        <v>-5.8</v>
      </c>
      <c r="J804" s="18" t="n">
        <v>97312790</v>
      </c>
      <c r="K804" s="19" t="n">
        <v>98527556</v>
      </c>
      <c r="L804" s="18" t="n">
        <v>105139348</v>
      </c>
      <c r="M804" s="19" t="n">
        <v>93242557</v>
      </c>
      <c r="N804" s="18" t="n">
        <v>93673409</v>
      </c>
      <c r="O804" s="19" t="n">
        <v>89997</v>
      </c>
      <c r="P804" s="18" t="n">
        <v>82149293</v>
      </c>
      <c r="Q804" s="19" t="n">
        <v>63572</v>
      </c>
      <c r="R804" s="18" t="n">
        <v>68487</v>
      </c>
      <c r="S804" s="20" t="n">
        <v>64492</v>
      </c>
      <c r="T804" s="6" t="n">
        <v>4</v>
      </c>
      <c r="U804" s="5" t="inlineStr">
        <is>
          <t>위성통신 / 2016년 / ~2028년 | 핵심부품 등 / 2021년 / ~2030년 | 항공전자 등 / 2019년 / ~2031년</t>
        </is>
      </c>
      <c r="V804" s="21">
        <f>HYPERLINK("https://dart.fss.or.kr/dsaf001/main.do?rcpNo=20260814000659", "공시열람")</f>
        <v/>
      </c>
    </row>
    <row r="805">
      <c r="A805" s="5" t="inlineStr">
        <is>
          <t>티와이홀딩스</t>
        </is>
      </c>
      <c r="B805" s="6" t="inlineStr">
        <is>
          <t>363280</t>
        </is>
      </c>
      <c r="C805" s="6" t="inlineStr">
        <is>
          <t>2024Q3</t>
        </is>
      </c>
      <c r="D805" s="6" t="inlineStr">
        <is>
          <t>20241114</t>
        </is>
      </c>
      <c r="E805" s="16" t="inlineStr"/>
      <c r="F805" s="16" t="n">
        <v>24483448702</v>
      </c>
      <c r="G805" s="16" t="n">
        <v>16332763222</v>
      </c>
      <c r="H805" s="6" t="inlineStr">
        <is>
          <t>천원</t>
        </is>
      </c>
      <c r="I805" s="17" t="n">
        <v>-7.8</v>
      </c>
      <c r="J805" s="18" t="n">
        <v>18879296934</v>
      </c>
      <c r="K805" s="19" t="n">
        <v>17707786106</v>
      </c>
      <c r="L805" s="18" t="n">
        <v>16332763222</v>
      </c>
      <c r="M805" s="19" t="inlineStr"/>
      <c r="N805" s="18" t="inlineStr"/>
      <c r="O805" s="19" t="inlineStr"/>
      <c r="P805" s="18" t="inlineStr"/>
      <c r="Q805" s="19" t="inlineStr"/>
      <c r="R805" s="18" t="inlineStr"/>
      <c r="S805" s="20" t="inlineStr"/>
      <c r="T805" s="6" t="n">
        <v>135</v>
      </c>
      <c r="U805" s="5" t="inlineStr">
        <is>
          <t>합계 - 전체 | 건축사업본부 - 국내 | 토목환경사업본부-전체</t>
        </is>
      </c>
      <c r="V805" s="21">
        <f>HYPERLINK("https://dart.fss.or.kr/dsaf001/main.do?rcpNo=20241114002955", "공시열람")</f>
        <v/>
      </c>
    </row>
    <row r="806">
      <c r="A806" s="5" t="inlineStr">
        <is>
          <t>에이아이코리아</t>
        </is>
      </c>
      <c r="B806" s="6" t="inlineStr">
        <is>
          <t>364950</t>
        </is>
      </c>
      <c r="C806" s="6" t="inlineStr">
        <is>
          <t>2025Q4</t>
        </is>
      </c>
      <c r="D806" s="6" t="inlineStr">
        <is>
          <t>20260313</t>
        </is>
      </c>
      <c r="E806" s="16" t="inlineStr"/>
      <c r="F806" s="16" t="inlineStr"/>
      <c r="G806" s="16" t="n">
        <v>634446</v>
      </c>
      <c r="H806" s="6" t="inlineStr">
        <is>
          <t>천원</t>
        </is>
      </c>
      <c r="I806" s="17" t="n">
        <v>-95.09999999999999</v>
      </c>
      <c r="J806" s="18" t="inlineStr"/>
      <c r="K806" s="19" t="inlineStr"/>
      <c r="L806" s="18" t="inlineStr"/>
      <c r="M806" s="19" t="inlineStr"/>
      <c r="N806" s="18" t="inlineStr"/>
      <c r="O806" s="19" t="n">
        <v>16606163</v>
      </c>
      <c r="P806" s="18" t="n">
        <v>12900287</v>
      </c>
      <c r="Q806" s="19" t="n">
        <v>634446</v>
      </c>
      <c r="R806" s="18" t="inlineStr"/>
      <c r="S806" s="20" t="inlineStr"/>
      <c r="T806" s="6" t="n">
        <v>1</v>
      </c>
      <c r="U806" s="5" t="inlineStr">
        <is>
          <t>동일알루미늄 청주공장 신축공사(소방) / 2025-07</t>
        </is>
      </c>
      <c r="V806" s="21">
        <f>HYPERLINK("https://dart.fss.or.kr/dsaf001/main.do?rcpNo=20260313001213", "공시열람")</f>
        <v/>
      </c>
    </row>
    <row r="807">
      <c r="A807" s="5" t="inlineStr">
        <is>
          <t>에스와이스틸텍</t>
        </is>
      </c>
      <c r="B807" s="6" t="inlineStr">
        <is>
          <t>365330</t>
        </is>
      </c>
      <c r="C807" s="6" t="inlineStr">
        <is>
          <t>2026Q2</t>
        </is>
      </c>
      <c r="D807" s="6" t="inlineStr">
        <is>
          <t>20260814</t>
        </is>
      </c>
      <c r="E807" s="16" t="n">
        <v>84986415</v>
      </c>
      <c r="F807" s="16" t="inlineStr"/>
      <c r="G807" s="16" t="n">
        <v>58149665</v>
      </c>
      <c r="H807" s="6" t="inlineStr">
        <is>
          <t>천㎡,천원</t>
        </is>
      </c>
      <c r="I807" s="17" t="n">
        <v>43.9</v>
      </c>
      <c r="J807" s="18" t="n">
        <v>64512846</v>
      </c>
      <c r="K807" s="19" t="n">
        <v>56887936</v>
      </c>
      <c r="L807" s="18" t="n">
        <v>56091469</v>
      </c>
      <c r="M807" s="19" t="n">
        <v>32436031</v>
      </c>
      <c r="N807" s="18" t="n">
        <v>39422856</v>
      </c>
      <c r="O807" s="19" t="n">
        <v>40863398</v>
      </c>
      <c r="P807" s="18" t="n">
        <v>28886919</v>
      </c>
      <c r="Q807" s="19" t="n">
        <v>37433656</v>
      </c>
      <c r="R807" s="18" t="n">
        <v>40398240</v>
      </c>
      <c r="S807" s="20" t="n">
        <v>58149665</v>
      </c>
      <c r="T807" s="6" t="n">
        <v>22</v>
      </c>
      <c r="U807" s="5" t="inlineStr">
        <is>
          <t>기타 / - | 현대건설(주) / 더현대광주 신축공사 / 2026년7월 | 한화건설 / (1-2공구)서울역북부 1-2공구 / 20</t>
        </is>
      </c>
      <c r="V807" s="21">
        <f>HYPERLINK("https://dart.fss.or.kr/dsaf001/main.do?rcpNo=20260814003676", "공시열람")</f>
        <v/>
      </c>
    </row>
    <row r="808">
      <c r="A808" s="5" t="inlineStr">
        <is>
          <t>레몬헬스케어</t>
        </is>
      </c>
      <c r="B808" s="6" t="inlineStr">
        <is>
          <t>365660</t>
        </is>
      </c>
      <c r="C808" s="6" t="inlineStr">
        <is>
          <t>2026Q2</t>
        </is>
      </c>
      <c r="D808" s="6" t="inlineStr">
        <is>
          <t>20260814</t>
        </is>
      </c>
      <c r="E808" s="16" t="n">
        <v>16424453</v>
      </c>
      <c r="F808" s="16" t="n">
        <v>4959383</v>
      </c>
      <c r="G808" s="16" t="n">
        <v>11465069</v>
      </c>
      <c r="H808" s="6" t="inlineStr">
        <is>
          <t>천원</t>
        </is>
      </c>
      <c r="I808" s="17" t="inlineStr"/>
      <c r="J808" s="18" t="inlineStr"/>
      <c r="K808" s="19" t="inlineStr"/>
      <c r="L808" s="18" t="inlineStr"/>
      <c r="M808" s="19" t="inlineStr"/>
      <c r="N808" s="18" t="inlineStr"/>
      <c r="O808" s="19" t="inlineStr"/>
      <c r="P808" s="18" t="inlineStr"/>
      <c r="Q808" s="19" t="inlineStr"/>
      <c r="R808" s="18" t="inlineStr"/>
      <c r="S808" s="20" t="n">
        <v>11465069</v>
      </c>
      <c r="T808" s="6" t="n">
        <v>2</v>
      </c>
      <c r="U808" s="5" t="inlineStr">
        <is>
          <t>LDB-E | LDB-H</t>
        </is>
      </c>
      <c r="V808" s="21">
        <f>HYPERLINK("https://dart.fss.or.kr/dsaf001/main.do?rcpNo=20260814002913", "공시열람")</f>
        <v/>
      </c>
    </row>
    <row r="809">
      <c r="A809" s="5" t="inlineStr">
        <is>
          <t>플래티어</t>
        </is>
      </c>
      <c r="B809" s="6" t="inlineStr">
        <is>
          <t>367000</t>
        </is>
      </c>
      <c r="C809" s="6" t="inlineStr">
        <is>
          <t>2026Q2</t>
        </is>
      </c>
      <c r="D809" s="6" t="inlineStr">
        <is>
          <t>20260814</t>
        </is>
      </c>
      <c r="E809" s="16" t="inlineStr"/>
      <c r="F809" s="16" t="n">
        <v>18976</v>
      </c>
      <c r="G809" s="16" t="n">
        <v>10453</v>
      </c>
      <c r="H809" s="6" t="inlineStr">
        <is>
          <t>백만원</t>
        </is>
      </c>
      <c r="I809" s="17" t="n">
        <v>41</v>
      </c>
      <c r="J809" s="18" t="n">
        <v>5746</v>
      </c>
      <c r="K809" s="19" t="n">
        <v>5245</v>
      </c>
      <c r="L809" s="18" t="n">
        <v>5720</v>
      </c>
      <c r="M809" s="19" t="n">
        <v>2597</v>
      </c>
      <c r="N809" s="18" t="n">
        <v>19782</v>
      </c>
      <c r="O809" s="19" t="n">
        <v>13739</v>
      </c>
      <c r="P809" s="18" t="n">
        <v>8309</v>
      </c>
      <c r="Q809" s="19" t="n">
        <v>5657</v>
      </c>
      <c r="R809" s="18" t="n">
        <v>7412</v>
      </c>
      <c r="S809" s="20" t="n">
        <v>10453</v>
      </c>
      <c r="T809" s="6" t="n">
        <v>3</v>
      </c>
      <c r="U809" s="5" t="inlineStr">
        <is>
          <t>AI 커머스 | 디지털 전환 | AI CX</t>
        </is>
      </c>
      <c r="V809" s="21">
        <f>HYPERLINK("https://dart.fss.or.kr/dsaf001/main.do?rcpNo=20260814002629", "공시열람")</f>
        <v/>
      </c>
    </row>
    <row r="810">
      <c r="A810" s="5" t="inlineStr">
        <is>
          <t>파이버프로</t>
        </is>
      </c>
      <c r="B810" s="6" t="inlineStr">
        <is>
          <t>368770</t>
        </is>
      </c>
      <c r="C810" s="6" t="inlineStr">
        <is>
          <t>2026Q1</t>
        </is>
      </c>
      <c r="D810" s="6" t="inlineStr">
        <is>
          <t>20260511</t>
        </is>
      </c>
      <c r="E810" s="16" t="n">
        <v>55707</v>
      </c>
      <c r="F810" s="16" t="n">
        <v>22078</v>
      </c>
      <c r="G810" s="16" t="n">
        <v>33629</v>
      </c>
      <c r="H810" s="6" t="inlineStr">
        <is>
          <t>백만원,천$</t>
        </is>
      </c>
      <c r="I810" s="17" t="n">
        <v>-7.2</v>
      </c>
      <c r="J810" s="18" t="n">
        <v>27354</v>
      </c>
      <c r="K810" s="19" t="n">
        <v>44043</v>
      </c>
      <c r="L810" s="18" t="n">
        <v>43306</v>
      </c>
      <c r="M810" s="19" t="n">
        <v>43306</v>
      </c>
      <c r="N810" s="18" t="n">
        <v>36629</v>
      </c>
      <c r="O810" s="19" t="n">
        <v>42788</v>
      </c>
      <c r="P810" s="18" t="n">
        <v>38257</v>
      </c>
      <c r="Q810" s="19" t="n">
        <v>36249</v>
      </c>
      <c r="R810" s="18" t="n">
        <v>33629</v>
      </c>
      <c r="S810" s="20" t="inlineStr"/>
      <c r="T810" s="6" t="n">
        <v>1</v>
      </c>
      <c r="U810" s="5" t="inlineStr">
        <is>
          <t>관성측정기 외 / '23년~ '26년. / -</t>
        </is>
      </c>
      <c r="V810" s="21">
        <f>HYPERLINK("https://dart.fss.or.kr/dsaf001/main.do?rcpNo=20260511000209", "공시열람")</f>
        <v/>
      </c>
    </row>
    <row r="811">
      <c r="A811" s="5" t="inlineStr">
        <is>
          <t>퓨런티어</t>
        </is>
      </c>
      <c r="B811" s="6" t="inlineStr">
        <is>
          <t>370090</t>
        </is>
      </c>
      <c r="C811" s="6" t="inlineStr">
        <is>
          <t>2026Q2</t>
        </is>
      </c>
      <c r="D811" s="6" t="inlineStr">
        <is>
          <t>20260813</t>
        </is>
      </c>
      <c r="E811" s="16" t="n">
        <v>18396303080</v>
      </c>
      <c r="F811" s="16" t="n">
        <v>12009554809</v>
      </c>
      <c r="G811" s="16" t="n">
        <v>6386748271</v>
      </c>
      <c r="H811" s="6" t="inlineStr">
        <is>
          <t>원</t>
        </is>
      </c>
      <c r="I811" s="17" t="n">
        <v>81194258.90000001</v>
      </c>
      <c r="J811" s="18" t="n">
        <v>8966</v>
      </c>
      <c r="K811" s="19" t="n">
        <v>4614</v>
      </c>
      <c r="L811" s="18" t="n">
        <v>3665</v>
      </c>
      <c r="M811" s="19" t="n">
        <v>5995</v>
      </c>
      <c r="N811" s="18" t="n">
        <v>5990</v>
      </c>
      <c r="O811" s="19" t="n">
        <v>5992</v>
      </c>
      <c r="P811" s="18" t="n">
        <v>6155</v>
      </c>
      <c r="Q811" s="19" t="n">
        <v>7872</v>
      </c>
      <c r="R811" s="18" t="n">
        <v>7866</v>
      </c>
      <c r="S811" s="20" t="n">
        <v>6386748271</v>
      </c>
      <c r="T811" s="6" t="n">
        <v>3</v>
      </c>
      <c r="U811" s="5" t="inlineStr">
        <is>
          <t>기타 장비 / 2025~ / 2026~ | 전장용 장비 / 2025~ / 2026~ | PC,광원등 / 2025~ / 2026~</t>
        </is>
      </c>
      <c r="V811" s="21">
        <f>HYPERLINK("https://dart.fss.or.kr/dsaf001/main.do?rcpNo=20260813001157", "공시열람")</f>
        <v/>
      </c>
    </row>
    <row r="812">
      <c r="A812" s="5" t="inlineStr">
        <is>
          <t>윤성에프앤씨</t>
        </is>
      </c>
      <c r="B812" s="6" t="inlineStr">
        <is>
          <t>372170</t>
        </is>
      </c>
      <c r="C812" s="6" t="inlineStr">
        <is>
          <t>2026Q2</t>
        </is>
      </c>
      <c r="D812" s="6" t="inlineStr">
        <is>
          <t>20260814</t>
        </is>
      </c>
      <c r="E812" s="16" t="n">
        <v>274420</v>
      </c>
      <c r="F812" s="16" t="n">
        <v>81735</v>
      </c>
      <c r="G812" s="16" t="n">
        <v>192685</v>
      </c>
      <c r="H812" s="6" t="inlineStr">
        <is>
          <t>백만원</t>
        </is>
      </c>
      <c r="I812" s="17" t="n">
        <v>-8.1</v>
      </c>
      <c r="J812" s="18" t="n">
        <v>252626</v>
      </c>
      <c r="K812" s="19" t="n">
        <v>300161</v>
      </c>
      <c r="L812" s="18" t="n">
        <v>286681</v>
      </c>
      <c r="M812" s="19" t="n">
        <v>238188</v>
      </c>
      <c r="N812" s="18" t="n">
        <v>228592</v>
      </c>
      <c r="O812" s="19" t="n">
        <v>194682</v>
      </c>
      <c r="P812" s="18" t="n">
        <v>189016</v>
      </c>
      <c r="Q812" s="19" t="n">
        <v>218676</v>
      </c>
      <c r="R812" s="18" t="n">
        <v>209671</v>
      </c>
      <c r="S812" s="20" t="n">
        <v>192685</v>
      </c>
      <c r="T812" s="6" t="n">
        <v>1</v>
      </c>
      <c r="U812" s="5" t="inlineStr">
        <is>
          <t>믹싱장비 및 시스템 / -</t>
        </is>
      </c>
      <c r="V812" s="21">
        <f>HYPERLINK("https://dart.fss.or.kr/dsaf001/main.do?rcpNo=20260814000641", "공시열람")</f>
        <v/>
      </c>
    </row>
    <row r="813">
      <c r="A813" s="5" t="inlineStr">
        <is>
          <t>아이티아이즈</t>
        </is>
      </c>
      <c r="B813" s="6" t="inlineStr">
        <is>
          <t>372800</t>
        </is>
      </c>
      <c r="C813" s="6" t="inlineStr">
        <is>
          <t>2026Q2</t>
        </is>
      </c>
      <c r="D813" s="6" t="inlineStr">
        <is>
          <t>20260814</t>
        </is>
      </c>
      <c r="E813" s="16" t="n">
        <v>116472</v>
      </c>
      <c r="F813" s="16" t="n">
        <v>64638</v>
      </c>
      <c r="G813" s="16" t="n">
        <v>51834</v>
      </c>
      <c r="H813" s="6" t="inlineStr">
        <is>
          <t>백만원</t>
        </is>
      </c>
      <c r="I813" s="17" t="n">
        <v>67.59999999999999</v>
      </c>
      <c r="J813" s="18" t="n">
        <v>49616</v>
      </c>
      <c r="K813" s="19" t="n">
        <v>47487</v>
      </c>
      <c r="L813" s="18" t="n">
        <v>48765</v>
      </c>
      <c r="M813" s="19" t="n">
        <v>66734</v>
      </c>
      <c r="N813" s="18" t="n">
        <v>55729</v>
      </c>
      <c r="O813" s="19" t="n">
        <v>44280</v>
      </c>
      <c r="P813" s="18" t="n">
        <v>35435</v>
      </c>
      <c r="Q813" s="19" t="n">
        <v>34711</v>
      </c>
      <c r="R813" s="18" t="n">
        <v>30929</v>
      </c>
      <c r="S813" s="20" t="n">
        <v>51834</v>
      </c>
      <c r="T813" s="6" t="n">
        <v>21</v>
      </c>
      <c r="U813" s="5" t="inlineStr">
        <is>
          <t>2026~2029년도 전력시장운영시스템 유지관리 위탁용 | 신용보증재단 및 신보중앙회 정보시스템 통합유지보수 /  | 기타 / 2022.06.01 / 2029.12.04</t>
        </is>
      </c>
      <c r="V813" s="21">
        <f>HYPERLINK("https://dart.fss.or.kr/dsaf001/main.do?rcpNo=20260814003419", "공시열람")</f>
        <v/>
      </c>
    </row>
    <row r="814">
      <c r="A814" s="5" t="inlineStr">
        <is>
          <t>한컴라이프케어</t>
        </is>
      </c>
      <c r="B814" s="6" t="inlineStr">
        <is>
          <t>372910</t>
        </is>
      </c>
      <c r="C814" s="6" t="inlineStr">
        <is>
          <t>2025Q1</t>
        </is>
      </c>
      <c r="D814" s="6" t="inlineStr">
        <is>
          <t>20250512</t>
        </is>
      </c>
      <c r="E814" s="16" t="n">
        <v>93929</v>
      </c>
      <c r="F814" s="16" t="inlineStr"/>
      <c r="G814" s="16" t="n">
        <v>93929</v>
      </c>
      <c r="H814" s="6" t="inlineStr">
        <is>
          <t>개,백만원</t>
        </is>
      </c>
      <c r="I814" s="17" t="n">
        <v>7.2</v>
      </c>
      <c r="J814" s="18" t="n">
        <v>116585</v>
      </c>
      <c r="K814" s="19" t="n">
        <v>108259</v>
      </c>
      <c r="L814" s="18" t="n">
        <v>98588</v>
      </c>
      <c r="M814" s="19" t="n">
        <v>87636</v>
      </c>
      <c r="N814" s="18" t="n">
        <v>93929</v>
      </c>
      <c r="O814" s="19" t="inlineStr"/>
      <c r="P814" s="18" t="inlineStr"/>
      <c r="Q814" s="19" t="inlineStr"/>
      <c r="R814" s="18" t="inlineStr"/>
      <c r="S814" s="20" t="inlineStr"/>
      <c r="T814" s="6" t="n">
        <v>5</v>
      </c>
      <c r="U814" s="5" t="inlineStr">
        <is>
          <t>지상레이저 표적지시기 2차 사업 / 2023.06.23 | 23년 예비군 교전훈련장비체계 / 2023.07.12  | 기갑/기계화 중대급 교전훈련체계 연구개발 / 2024.</t>
        </is>
      </c>
      <c r="V814" s="21">
        <f>HYPERLINK("https://dart.fss.or.kr/dsaf001/main.do?rcpNo=20250512000052", "공시열람")</f>
        <v/>
      </c>
    </row>
    <row r="815">
      <c r="A815" s="5" t="inlineStr">
        <is>
          <t>엠아이큐브솔루션</t>
        </is>
      </c>
      <c r="B815" s="6" t="inlineStr">
        <is>
          <t>373170</t>
        </is>
      </c>
      <c r="C815" s="6" t="inlineStr">
        <is>
          <t>2026Q2</t>
        </is>
      </c>
      <c r="D815" s="6" t="inlineStr">
        <is>
          <t>20260814</t>
        </is>
      </c>
      <c r="E815" s="16" t="n">
        <v>36684348</v>
      </c>
      <c r="F815" s="16" t="n">
        <v>24959327</v>
      </c>
      <c r="G815" s="16" t="n">
        <v>11725021</v>
      </c>
      <c r="H815" s="6" t="inlineStr">
        <is>
          <t>천원</t>
        </is>
      </c>
      <c r="I815" s="17" t="n">
        <v>2.3</v>
      </c>
      <c r="J815" s="18" t="n">
        <v>13718864</v>
      </c>
      <c r="K815" s="19" t="n">
        <v>11491924</v>
      </c>
      <c r="L815" s="18" t="n">
        <v>10636548</v>
      </c>
      <c r="M815" s="19" t="n">
        <v>7716711</v>
      </c>
      <c r="N815" s="18" t="n">
        <v>11923582</v>
      </c>
      <c r="O815" s="19" t="n">
        <v>11834</v>
      </c>
      <c r="P815" s="18" t="n">
        <v>9573750</v>
      </c>
      <c r="Q815" s="19" t="n">
        <v>5866654</v>
      </c>
      <c r="R815" s="18" t="n">
        <v>11462098</v>
      </c>
      <c r="S815" s="20" t="n">
        <v>11725021</v>
      </c>
      <c r="T815" s="6" t="n">
        <v>1</v>
      </c>
      <c r="U815" s="5" t="inlineStr">
        <is>
          <t>IT서비스 및 SW매출 / -</t>
        </is>
      </c>
      <c r="V815" s="21">
        <f>HYPERLINK("https://dart.fss.or.kr/dsaf001/main.do?rcpNo=20260814003216", "공시열람")</f>
        <v/>
      </c>
    </row>
    <row r="816">
      <c r="A816" s="5" t="inlineStr">
        <is>
          <t>DL이앤씨</t>
        </is>
      </c>
      <c r="B816" s="6" t="inlineStr">
        <is>
          <t>375500</t>
        </is>
      </c>
      <c r="C816" s="6" t="inlineStr">
        <is>
          <t>2026Q2</t>
        </is>
      </c>
      <c r="D816" s="6" t="inlineStr">
        <is>
          <t>20260814</t>
        </is>
      </c>
      <c r="E816" s="16" t="n">
        <v>40867535</v>
      </c>
      <c r="F816" s="16" t="n">
        <v>15227906</v>
      </c>
      <c r="G816" s="16" t="n">
        <v>25639629</v>
      </c>
      <c r="H816" s="6" t="inlineStr">
        <is>
          <t>백만원</t>
        </is>
      </c>
      <c r="I816" s="17" t="n">
        <v>15.4</v>
      </c>
      <c r="J816" s="18" t="n">
        <v>21748252</v>
      </c>
      <c r="K816" s="19" t="n">
        <v>21553212</v>
      </c>
      <c r="L816" s="18" t="n">
        <v>21322311</v>
      </c>
      <c r="M816" s="19" t="n">
        <v>21872078</v>
      </c>
      <c r="N816" s="18" t="n">
        <v>21652989</v>
      </c>
      <c r="O816" s="19" t="n">
        <v>20621363</v>
      </c>
      <c r="P816" s="18" t="n">
        <v>20570366</v>
      </c>
      <c r="Q816" s="19" t="n">
        <v>22436982</v>
      </c>
      <c r="R816" s="18" t="n">
        <v>22225195</v>
      </c>
      <c r="S816" s="20" t="n">
        <v>25639629</v>
      </c>
      <c r="T816" s="6" t="n">
        <v>114</v>
      </c>
      <c r="U816" s="5" t="inlineStr">
        <is>
          <t xml:space="preserve">국내 / 성남도시개발공사 / 백현마이스 | 국내 / 부산 촉진3구역 재개발 정비사업조합 / 촉진3 | 국내 / 한남5재정비촉진구역 주택재개발정비사업조합 / </t>
        </is>
      </c>
      <c r="V816" s="21">
        <f>HYPERLINK("https://dart.fss.or.kr/dsaf001/main.do?rcpNo=20260814003712", "공시열람")</f>
        <v/>
      </c>
    </row>
    <row r="817">
      <c r="A817" s="5" t="inlineStr">
        <is>
          <t>노을</t>
        </is>
      </c>
      <c r="B817" s="6" t="inlineStr">
        <is>
          <t>376930</t>
        </is>
      </c>
      <c r="C817" s="6" t="inlineStr">
        <is>
          <t>2026Q2</t>
        </is>
      </c>
      <c r="D817" s="6" t="inlineStr">
        <is>
          <t>20260813</t>
        </is>
      </c>
      <c r="E817" s="16" t="n">
        <v>26057</v>
      </c>
      <c r="F817" s="16" t="n">
        <v>4886</v>
      </c>
      <c r="G817" s="16" t="n">
        <v>21172</v>
      </c>
      <c r="H817" s="6" t="inlineStr">
        <is>
          <t>백만원</t>
        </is>
      </c>
      <c r="I817" s="17" t="n">
        <v>-2.9</v>
      </c>
      <c r="J817" s="18" t="n">
        <v>12160</v>
      </c>
      <c r="K817" s="19" t="n">
        <v>11903</v>
      </c>
      <c r="L817" s="18" t="n">
        <v>11731</v>
      </c>
      <c r="M817" s="19" t="n">
        <v>13878</v>
      </c>
      <c r="N817" s="18" t="n">
        <v>20818</v>
      </c>
      <c r="O817" s="19" t="n">
        <v>22382</v>
      </c>
      <c r="P817" s="18" t="n">
        <v>22516</v>
      </c>
      <c r="Q817" s="19" t="n">
        <v>21923</v>
      </c>
      <c r="R817" s="18" t="n">
        <v>21799</v>
      </c>
      <c r="S817" s="20" t="n">
        <v>21172</v>
      </c>
      <c r="T817" s="6" t="n">
        <v>11</v>
      </c>
      <c r="U817" s="5" t="inlineStr">
        <is>
          <t>miLab™ 디바이스 및 카트리지 / 2023-08-0 | miLab™ 디바이스 및 카트리지 / 2025-02-2 | miLab™ 디바이스 및 카트리지 / 2024-11-0</t>
        </is>
      </c>
      <c r="V817" s="21">
        <f>HYPERLINK("https://dart.fss.or.kr/dsaf001/main.do?rcpNo=20260812000889", "공시열람")</f>
        <v/>
      </c>
    </row>
    <row r="818">
      <c r="A818" s="5" t="inlineStr">
        <is>
          <t>비트맥스</t>
        </is>
      </c>
      <c r="B818" s="6" t="inlineStr">
        <is>
          <t>377030</t>
        </is>
      </c>
      <c r="C818" s="6" t="inlineStr">
        <is>
          <t>2025Q1</t>
        </is>
      </c>
      <c r="D818" s="6" t="inlineStr">
        <is>
          <t>20250515</t>
        </is>
      </c>
      <c r="E818" s="16" t="n">
        <v>496</v>
      </c>
      <c r="F818" s="16" t="inlineStr"/>
      <c r="G818" s="16" t="n">
        <v>496</v>
      </c>
      <c r="H818" s="6" t="inlineStr">
        <is>
          <t>백만원</t>
        </is>
      </c>
      <c r="I818" s="17" t="n">
        <v>-94.7</v>
      </c>
      <c r="J818" s="18" t="n">
        <v>10823</v>
      </c>
      <c r="K818" s="19" t="n">
        <v>11630</v>
      </c>
      <c r="L818" s="18" t="n">
        <v>9529</v>
      </c>
      <c r="M818" s="19" t="n">
        <v>9443</v>
      </c>
      <c r="N818" s="18" t="n">
        <v>496</v>
      </c>
      <c r="O818" s="19" t="inlineStr"/>
      <c r="P818" s="18" t="inlineStr"/>
      <c r="Q818" s="19" t="inlineStr"/>
      <c r="R818" s="18" t="inlineStr"/>
      <c r="S818" s="20" t="inlineStr"/>
      <c r="T818" s="6" t="n">
        <v>1</v>
      </c>
      <c r="U818" s="5" t="inlineStr">
        <is>
          <t>IT서비스 / ㈜아이엘포유 / 시스템구축 및 운영 유지</t>
        </is>
      </c>
      <c r="V818" s="21">
        <f>HYPERLINK("https://dart.fss.or.kr/dsaf001/main.do?rcpNo=20250515001562", "공시열람")</f>
        <v/>
      </c>
    </row>
    <row r="819">
      <c r="A819" s="5" t="inlineStr">
        <is>
          <t>이지트로닉스</t>
        </is>
      </c>
      <c r="B819" s="6" t="inlineStr">
        <is>
          <t>377330</t>
        </is>
      </c>
      <c r="C819" s="6" t="inlineStr">
        <is>
          <t>2026Q2</t>
        </is>
      </c>
      <c r="D819" s="6" t="inlineStr">
        <is>
          <t>20260814</t>
        </is>
      </c>
      <c r="E819" s="16" t="n">
        <v>9495</v>
      </c>
      <c r="F819" s="16" t="n">
        <v>4905</v>
      </c>
      <c r="G819" s="16" t="n">
        <v>4590</v>
      </c>
      <c r="H819" s="6" t="inlineStr">
        <is>
          <t>백만원</t>
        </is>
      </c>
      <c r="I819" s="17" t="n">
        <v>-38.7</v>
      </c>
      <c r="J819" s="18" t="n">
        <v>2886</v>
      </c>
      <c r="K819" s="19" t="n">
        <v>5024</v>
      </c>
      <c r="L819" s="18" t="n">
        <v>12497</v>
      </c>
      <c r="M819" s="19" t="n">
        <v>3039</v>
      </c>
      <c r="N819" s="18" t="n">
        <v>5157</v>
      </c>
      <c r="O819" s="19" t="n">
        <v>3361</v>
      </c>
      <c r="P819" s="18" t="n">
        <v>3325</v>
      </c>
      <c r="Q819" s="19" t="n">
        <v>4939</v>
      </c>
      <c r="R819" s="18" t="n">
        <v>7486</v>
      </c>
      <c r="S819" s="20" t="n">
        <v>4590</v>
      </c>
      <c r="T819" s="6" t="n">
        <v>1</v>
      </c>
      <c r="U819" s="5" t="inlineStr">
        <is>
          <t>전력변환장치(제품) 외 / 2026년</t>
        </is>
      </c>
      <c r="V819" s="21">
        <f>HYPERLINK("https://dart.fss.or.kr/dsaf001/main.do?rcpNo=20260814002509", "공시열람")</f>
        <v/>
      </c>
    </row>
    <row r="820">
      <c r="A820" s="5" t="inlineStr">
        <is>
          <t>마음AI</t>
        </is>
      </c>
      <c r="B820" s="6" t="inlineStr">
        <is>
          <t>377480</t>
        </is>
      </c>
      <c r="C820" s="6" t="inlineStr">
        <is>
          <t>2026Q2</t>
        </is>
      </c>
      <c r="D820" s="6" t="inlineStr">
        <is>
          <t>20260814</t>
        </is>
      </c>
      <c r="E820" s="16" t="n">
        <v>4015317</v>
      </c>
      <c r="F820" s="16" t="n">
        <v>1598358</v>
      </c>
      <c r="G820" s="16" t="n">
        <v>2416959</v>
      </c>
      <c r="H820" s="6" t="inlineStr">
        <is>
          <t>천원</t>
        </is>
      </c>
      <c r="I820" s="17" t="n">
        <v>2218.6</v>
      </c>
      <c r="J820" s="18" t="n">
        <v>1395846</v>
      </c>
      <c r="K820" s="19" t="n">
        <v>1943692</v>
      </c>
      <c r="L820" s="18" t="n">
        <v>1619015</v>
      </c>
      <c r="M820" s="19" t="n">
        <v>518080</v>
      </c>
      <c r="N820" s="18" t="n">
        <v>673648</v>
      </c>
      <c r="O820" s="19" t="n">
        <v>1229587</v>
      </c>
      <c r="P820" s="18" t="n">
        <v>774501</v>
      </c>
      <c r="Q820" s="19" t="n">
        <v>2646480</v>
      </c>
      <c r="R820" s="18" t="n">
        <v>104240</v>
      </c>
      <c r="S820" s="20" t="n">
        <v>2416959</v>
      </c>
      <c r="T820" s="6" t="n">
        <v>14</v>
      </c>
      <c r="U820" s="5" t="inlineStr">
        <is>
          <t>두산밥캣 로더 무인화 / 두산밥캣 | LIG NEX1 3팀 기뢰전 해양무인체계 통합지휘통제  | 한화에어로스페이스 K10 무인화 / 한화에어로스페이스㈜</t>
        </is>
      </c>
      <c r="V820" s="21">
        <f>HYPERLINK("https://dart.fss.or.kr/dsaf001/main.do?rcpNo=20260814002855", "공시열람")</f>
        <v/>
      </c>
    </row>
    <row r="821">
      <c r="A821" s="5" t="inlineStr">
        <is>
          <t>필에너지</t>
        </is>
      </c>
      <c r="B821" s="6" t="inlineStr">
        <is>
          <t>378340</t>
        </is>
      </c>
      <c r="C821" s="6" t="inlineStr">
        <is>
          <t>2026Q2</t>
        </is>
      </c>
      <c r="D821" s="6" t="inlineStr">
        <is>
          <t>20260814</t>
        </is>
      </c>
      <c r="E821" s="16" t="n">
        <v>99387</v>
      </c>
      <c r="F821" s="16" t="n">
        <v>4129</v>
      </c>
      <c r="G821" s="16" t="n">
        <v>95258</v>
      </c>
      <c r="H821" s="6" t="inlineStr">
        <is>
          <t>백만원</t>
        </is>
      </c>
      <c r="I821" s="17" t="n">
        <v>16.4</v>
      </c>
      <c r="J821" s="18" t="n">
        <v>291171</v>
      </c>
      <c r="K821" s="19" t="n">
        <v>199885</v>
      </c>
      <c r="L821" s="18" t="n">
        <v>148244</v>
      </c>
      <c r="M821" s="19" t="n">
        <v>79163</v>
      </c>
      <c r="N821" s="18" t="n">
        <v>82878</v>
      </c>
      <c r="O821" s="19" t="n">
        <v>62162</v>
      </c>
      <c r="P821" s="18" t="n">
        <v>64638</v>
      </c>
      <c r="Q821" s="19" t="n">
        <v>73666</v>
      </c>
      <c r="R821" s="18" t="n">
        <v>81832</v>
      </c>
      <c r="S821" s="20" t="n">
        <v>95258</v>
      </c>
      <c r="T821" s="6" t="n">
        <v>1</v>
      </c>
      <c r="U821" s="5" t="inlineStr">
        <is>
          <t>이차전지 공정장비 / -</t>
        </is>
      </c>
      <c r="V821" s="21">
        <f>HYPERLINK("https://dart.fss.or.kr/dsaf001/main.do?rcpNo=20260814002628", "공시열람")</f>
        <v/>
      </c>
    </row>
    <row r="822">
      <c r="A822" s="5" t="inlineStr">
        <is>
          <t>이성씨엔아이</t>
        </is>
      </c>
      <c r="B822" s="6" t="inlineStr">
        <is>
          <t>379390</t>
        </is>
      </c>
      <c r="C822" s="6" t="inlineStr">
        <is>
          <t>2025Q4</t>
        </is>
      </c>
      <c r="D822" s="6" t="inlineStr">
        <is>
          <t>20260323</t>
        </is>
      </c>
      <c r="E822" s="16" t="n">
        <v>40691</v>
      </c>
      <c r="F822" s="16" t="n">
        <v>23305</v>
      </c>
      <c r="G822" s="16" t="n">
        <v>17386</v>
      </c>
      <c r="H822" s="6" t="inlineStr">
        <is>
          <t>백만원,천USD</t>
        </is>
      </c>
      <c r="I822" s="17" t="n">
        <v>4.6</v>
      </c>
      <c r="J822" s="18" t="inlineStr"/>
      <c r="K822" s="19" t="inlineStr"/>
      <c r="L822" s="18" t="inlineStr"/>
      <c r="M822" s="19" t="n">
        <v>16617</v>
      </c>
      <c r="N822" s="18" t="inlineStr"/>
      <c r="O822" s="19" t="inlineStr"/>
      <c r="P822" s="18" t="inlineStr"/>
      <c r="Q822" s="19" t="n">
        <v>17386</v>
      </c>
      <c r="R822" s="18" t="inlineStr"/>
      <c r="S822" s="20" t="inlineStr"/>
      <c r="T822" s="6" t="n">
        <v>5</v>
      </c>
      <c r="U822" s="5" t="inlineStr">
        <is>
          <t>교전훈련체계 / - | 운송 물류주선 사업 / - | 원자력 / -</t>
        </is>
      </c>
      <c r="V822" s="21">
        <f>HYPERLINK("https://dart.fss.or.kr/dsaf001/main.do?rcpNo=20260323000676", "공시열람")</f>
        <v/>
      </c>
    </row>
    <row r="823">
      <c r="A823" s="5" t="inlineStr">
        <is>
          <t>옵티코어</t>
        </is>
      </c>
      <c r="B823" s="6" t="inlineStr">
        <is>
          <t>380540</t>
        </is>
      </c>
      <c r="C823" s="6" t="inlineStr">
        <is>
          <t>2026Q2</t>
        </is>
      </c>
      <c r="D823" s="6" t="inlineStr">
        <is>
          <t>20260814</t>
        </is>
      </c>
      <c r="E823" s="16" t="n">
        <v>17859</v>
      </c>
      <c r="F823" s="16" t="n">
        <v>14317</v>
      </c>
      <c r="G823" s="16" t="n">
        <v>3543</v>
      </c>
      <c r="H823" s="6" t="inlineStr">
        <is>
          <t>EA,백만원</t>
        </is>
      </c>
      <c r="I823" s="17" t="n">
        <v>25.7</v>
      </c>
      <c r="J823" s="18" t="n">
        <v>2542</v>
      </c>
      <c r="K823" s="19" t="n">
        <v>3422</v>
      </c>
      <c r="L823" s="18" t="n">
        <v>6104</v>
      </c>
      <c r="M823" s="19" t="n">
        <v>1603</v>
      </c>
      <c r="N823" s="18" t="n">
        <v>837</v>
      </c>
      <c r="O823" s="19" t="n">
        <v>1859</v>
      </c>
      <c r="P823" s="18" t="n">
        <v>9151</v>
      </c>
      <c r="Q823" s="19" t="n">
        <v>10808</v>
      </c>
      <c r="R823" s="18" t="n">
        <v>2819</v>
      </c>
      <c r="S823" s="20" t="n">
        <v>3543</v>
      </c>
      <c r="T823" s="6" t="n">
        <v>2</v>
      </c>
      <c r="U823" s="5" t="inlineStr">
        <is>
          <t>광트랜시버 / - | 기타</t>
        </is>
      </c>
      <c r="V823" s="21">
        <f>HYPERLINK("https://dart.fss.or.kr/dsaf001/main.do?rcpNo=20260814003643", "공시열람")</f>
        <v/>
      </c>
    </row>
    <row r="824">
      <c r="A824" s="5" t="inlineStr">
        <is>
          <t>뉴로핏</t>
        </is>
      </c>
      <c r="B824" s="6" t="inlineStr">
        <is>
          <t>380550</t>
        </is>
      </c>
      <c r="C824" s="6" t="inlineStr">
        <is>
          <t>2026Q2</t>
        </is>
      </c>
      <c r="D824" s="6" t="inlineStr">
        <is>
          <t>20260814</t>
        </is>
      </c>
      <c r="E824" s="16" t="n">
        <v>2310528</v>
      </c>
      <c r="F824" s="16" t="inlineStr"/>
      <c r="G824" s="16" t="n">
        <v>1141644</v>
      </c>
      <c r="H824" s="6" t="inlineStr">
        <is>
          <t>천원</t>
        </is>
      </c>
      <c r="I824" s="17" t="n">
        <v>2.4</v>
      </c>
      <c r="J824" s="18" t="inlineStr"/>
      <c r="K824" s="19" t="inlineStr"/>
      <c r="L824" s="18" t="inlineStr"/>
      <c r="M824" s="19" t="inlineStr"/>
      <c r="N824" s="18" t="inlineStr"/>
      <c r="O824" s="19" t="n">
        <v>1386125</v>
      </c>
      <c r="P824" s="18" t="n">
        <v>1146114</v>
      </c>
      <c r="Q824" s="19" t="n">
        <v>1161535</v>
      </c>
      <c r="R824" s="18" t="n">
        <v>1114642</v>
      </c>
      <c r="S824" s="20" t="n">
        <v>1141644</v>
      </c>
      <c r="T824" s="6" t="n">
        <v>38</v>
      </c>
      <c r="U824" s="5" t="inlineStr">
        <is>
          <t>Imaging CRO | Imaging CRO | Neurophet AQUA</t>
        </is>
      </c>
      <c r="V824" s="21">
        <f>HYPERLINK("https://dart.fss.or.kr/dsaf001/main.do?rcpNo=20260814002605", "공시열람")</f>
        <v/>
      </c>
    </row>
    <row r="825">
      <c r="A825" s="5" t="inlineStr">
        <is>
          <t>지앤비에스 에코</t>
        </is>
      </c>
      <c r="B825" s="6" t="inlineStr">
        <is>
          <t>382800</t>
        </is>
      </c>
      <c r="C825" s="6" t="inlineStr">
        <is>
          <t>2025Q1</t>
        </is>
      </c>
      <c r="D825" s="6" t="inlineStr">
        <is>
          <t>20250530</t>
        </is>
      </c>
      <c r="E825" s="16" t="inlineStr"/>
      <c r="F825" s="16" t="inlineStr"/>
      <c r="G825" s="16" t="n">
        <v>9169</v>
      </c>
      <c r="H825" s="6" t="inlineStr">
        <is>
          <t>백만원</t>
        </is>
      </c>
      <c r="I825" s="17" t="n">
        <v>-27.5</v>
      </c>
      <c r="J825" s="18" t="n">
        <v>6300</v>
      </c>
      <c r="K825" s="19" t="n">
        <v>2761</v>
      </c>
      <c r="L825" s="18" t="n">
        <v>2373</v>
      </c>
      <c r="M825" s="19" t="n">
        <v>12648</v>
      </c>
      <c r="N825" s="18" t="n">
        <v>9169</v>
      </c>
      <c r="O825" s="19" t="inlineStr"/>
      <c r="P825" s="18" t="inlineStr"/>
      <c r="Q825" s="19" t="inlineStr"/>
      <c r="R825" s="18" t="inlineStr"/>
      <c r="S825" s="20" t="inlineStr"/>
      <c r="T825" s="6" t="n">
        <v>1</v>
      </c>
      <c r="U825" s="5" t="inlineStr">
        <is>
          <t>SCRUBBER 외 / -</t>
        </is>
      </c>
      <c r="V825" s="21">
        <f>HYPERLINK("https://dart.fss.or.kr/dsaf001/main.do?rcpNo=20250530001989", "공시열람")</f>
        <v/>
      </c>
    </row>
    <row r="826">
      <c r="A826" s="5" t="inlineStr">
        <is>
          <t>원준</t>
        </is>
      </c>
      <c r="B826" s="6" t="inlineStr">
        <is>
          <t>382840</t>
        </is>
      </c>
      <c r="C826" s="6" t="inlineStr">
        <is>
          <t>2026Q2</t>
        </is>
      </c>
      <c r="D826" s="6" t="inlineStr">
        <is>
          <t>20260814</t>
        </is>
      </c>
      <c r="E826" s="16" t="n">
        <v>121812</v>
      </c>
      <c r="F826" s="16" t="n">
        <v>71639</v>
      </c>
      <c r="G826" s="16" t="n">
        <v>50173</v>
      </c>
      <c r="H826" s="6" t="inlineStr">
        <is>
          <t>백만원</t>
        </is>
      </c>
      <c r="I826" s="17" t="n">
        <v>3.3</v>
      </c>
      <c r="J826" s="18" t="n">
        <v>246010</v>
      </c>
      <c r="K826" s="19" t="n">
        <v>198246</v>
      </c>
      <c r="L826" s="18" t="n">
        <v>178613</v>
      </c>
      <c r="M826" s="19" t="n">
        <v>147154</v>
      </c>
      <c r="N826" s="18" t="n">
        <v>53005</v>
      </c>
      <c r="O826" s="19" t="n">
        <v>48866</v>
      </c>
      <c r="P826" s="18" t="n">
        <v>47606</v>
      </c>
      <c r="Q826" s="19" t="n">
        <v>48218</v>
      </c>
      <c r="R826" s="18" t="n">
        <v>48589</v>
      </c>
      <c r="S826" s="20" t="n">
        <v>50173</v>
      </c>
      <c r="T826" s="6" t="n">
        <v>1</v>
      </c>
      <c r="U826" s="5" t="inlineStr">
        <is>
          <t>열처리 장비 및 공정설비 / -</t>
        </is>
      </c>
      <c r="V826" s="21">
        <f>HYPERLINK("https://dart.fss.or.kr/dsaf001/main.do?rcpNo=20260814003223", "공시열람")</f>
        <v/>
      </c>
    </row>
    <row r="827">
      <c r="A827" s="5" t="inlineStr">
        <is>
          <t>범한퓨얼셀</t>
        </is>
      </c>
      <c r="B827" s="6" t="inlineStr">
        <is>
          <t>382900</t>
        </is>
      </c>
      <c r="C827" s="6" t="inlineStr">
        <is>
          <t>2026Q2</t>
        </is>
      </c>
      <c r="D827" s="6" t="inlineStr">
        <is>
          <t>20260814</t>
        </is>
      </c>
      <c r="E827" s="16" t="n">
        <v>87645</v>
      </c>
      <c r="F827" s="16" t="n">
        <v>26574</v>
      </c>
      <c r="G827" s="16" t="n">
        <v>61071</v>
      </c>
      <c r="H827" s="6" t="inlineStr">
        <is>
          <t>백만원</t>
        </is>
      </c>
      <c r="I827" s="17" t="n">
        <v>-19.5</v>
      </c>
      <c r="J827" s="18" t="n">
        <v>3382</v>
      </c>
      <c r="K827" s="19" t="n">
        <v>2971</v>
      </c>
      <c r="L827" s="18" t="n">
        <v>2560</v>
      </c>
      <c r="M827" s="19" t="n">
        <v>12934</v>
      </c>
      <c r="N827" s="18" t="n">
        <v>12667</v>
      </c>
      <c r="O827" s="19" t="n">
        <v>13550</v>
      </c>
      <c r="P827" s="18" t="n">
        <v>76263</v>
      </c>
      <c r="Q827" s="19" t="n">
        <v>67853</v>
      </c>
      <c r="R827" s="18" t="n">
        <v>75879</v>
      </c>
      <c r="S827" s="20" t="n">
        <v>61071</v>
      </c>
      <c r="T827" s="6" t="n">
        <v>1</v>
      </c>
      <c r="U827" s="5" t="inlineStr">
        <is>
          <t xml:space="preserve">수소충전소 / '21.07.23~'26.04.29 / </t>
        </is>
      </c>
      <c r="V827" s="21">
        <f>HYPERLINK("https://dart.fss.or.kr/dsaf001/main.do?rcpNo=20260814003724", "공시열람")</f>
        <v/>
      </c>
    </row>
    <row r="828">
      <c r="A828" s="5" t="inlineStr">
        <is>
          <t>에코프로에이치엔</t>
        </is>
      </c>
      <c r="B828" s="6" t="inlineStr">
        <is>
          <t>383310</t>
        </is>
      </c>
      <c r="C828" s="6" t="inlineStr">
        <is>
          <t>2026Q2</t>
        </is>
      </c>
      <c r="D828" s="6" t="inlineStr">
        <is>
          <t>20260814</t>
        </is>
      </c>
      <c r="E828" s="16" t="n">
        <v>162441</v>
      </c>
      <c r="F828" s="16" t="n">
        <v>79411</v>
      </c>
      <c r="G828" s="16" t="n">
        <v>83030</v>
      </c>
      <c r="H828" s="6" t="inlineStr">
        <is>
          <t>백만원</t>
        </is>
      </c>
      <c r="I828" s="17" t="n">
        <v>-7.5</v>
      </c>
      <c r="J828" s="18" t="n">
        <v>129684</v>
      </c>
      <c r="K828" s="19" t="n">
        <v>105484</v>
      </c>
      <c r="L828" s="18" t="n">
        <v>89347</v>
      </c>
      <c r="M828" s="19" t="n">
        <v>77099</v>
      </c>
      <c r="N828" s="18" t="n">
        <v>72058</v>
      </c>
      <c r="O828" s="19" t="n">
        <v>78334</v>
      </c>
      <c r="P828" s="18" t="n">
        <v>82744</v>
      </c>
      <c r="Q828" s="19" t="n">
        <v>64269</v>
      </c>
      <c r="R828" s="18" t="n">
        <v>89753</v>
      </c>
      <c r="S828" s="20" t="n">
        <v>83030</v>
      </c>
      <c r="T828" s="6" t="n">
        <v>5</v>
      </c>
      <c r="U828" s="5" t="inlineStr">
        <is>
          <t>온실가스 감축 솔루션 / ~2026.06.30 / - | 미세먼지 저감 솔루션 / ~2026.06.30 / - | 클린룸 케미컬 필터 / ~2026.06.30 / -</t>
        </is>
      </c>
      <c r="V828" s="21">
        <f>HYPERLINK("https://dart.fss.or.kr/dsaf001/main.do?rcpNo=20260814001912", "공시열람")</f>
        <v/>
      </c>
    </row>
    <row r="829">
      <c r="A829" s="5" t="inlineStr">
        <is>
          <t>디티앤씨알오</t>
        </is>
      </c>
      <c r="B829" s="6" t="inlineStr">
        <is>
          <t>383930</t>
        </is>
      </c>
      <c r="C829" s="6" t="inlineStr">
        <is>
          <t>2026Q2</t>
        </is>
      </c>
      <c r="D829" s="6" t="inlineStr">
        <is>
          <t>20260814</t>
        </is>
      </c>
      <c r="E829" s="16" t="n">
        <v>113413974</v>
      </c>
      <c r="F829" s="16" t="n">
        <v>57221612</v>
      </c>
      <c r="G829" s="16" t="n">
        <v>56192362</v>
      </c>
      <c r="H829" s="6" t="inlineStr">
        <is>
          <t>천원</t>
        </is>
      </c>
      <c r="I829" s="17" t="n">
        <v>8.6</v>
      </c>
      <c r="J829" s="18" t="n">
        <v>39874739</v>
      </c>
      <c r="K829" s="19" t="n">
        <v>42712496</v>
      </c>
      <c r="L829" s="18" t="n">
        <v>42739514</v>
      </c>
      <c r="M829" s="19" t="n">
        <v>47914244</v>
      </c>
      <c r="N829" s="18" t="n">
        <v>44770378</v>
      </c>
      <c r="O829" s="19" t="n">
        <v>48764533</v>
      </c>
      <c r="P829" s="18" t="n">
        <v>49558403</v>
      </c>
      <c r="Q829" s="19" t="n">
        <v>51756226</v>
      </c>
      <c r="R829" s="18" t="n">
        <v>51756226</v>
      </c>
      <c r="S829" s="20" t="n">
        <v>56192362</v>
      </c>
      <c r="T829" s="6" t="n">
        <v>4</v>
      </c>
      <c r="U829" s="5" t="inlineStr">
        <is>
          <t>임상사업부 / - | 안전성센터 / - | 효능평가센터 / -</t>
        </is>
      </c>
      <c r="V829" s="21">
        <f>HYPERLINK("https://dart.fss.or.kr/dsaf001/main.do?rcpNo=20260814003017", "공시열람")</f>
        <v/>
      </c>
    </row>
    <row r="830">
      <c r="A830" s="5" t="inlineStr">
        <is>
          <t>지투파워</t>
        </is>
      </c>
      <c r="B830" s="6" t="inlineStr">
        <is>
          <t>388050</t>
        </is>
      </c>
      <c r="C830" s="6" t="inlineStr">
        <is>
          <t>2026Q2</t>
        </is>
      </c>
      <c r="D830" s="6" t="inlineStr">
        <is>
          <t>20260930</t>
        </is>
      </c>
      <c r="E830" s="16" t="n">
        <v>114135</v>
      </c>
      <c r="F830" s="16" t="inlineStr"/>
      <c r="G830" s="16" t="n">
        <v>114135</v>
      </c>
      <c r="H830" s="6" t="inlineStr">
        <is>
          <t>백만원</t>
        </is>
      </c>
      <c r="I830" s="17" t="n">
        <v>6.8</v>
      </c>
      <c r="J830" s="18" t="n">
        <v>55747</v>
      </c>
      <c r="K830" s="19" t="n">
        <v>71115</v>
      </c>
      <c r="L830" s="18" t="n">
        <v>80667</v>
      </c>
      <c r="M830" s="19" t="n">
        <v>76880</v>
      </c>
      <c r="N830" s="18" t="n">
        <v>120348</v>
      </c>
      <c r="O830" s="19" t="n">
        <v>129623</v>
      </c>
      <c r="P830" s="18" t="n">
        <v>128156</v>
      </c>
      <c r="Q830" s="19" t="n">
        <v>115314</v>
      </c>
      <c r="R830" s="18" t="n">
        <v>106896</v>
      </c>
      <c r="S830" s="20" t="n">
        <v>114135</v>
      </c>
      <c r="T830" s="6" t="n">
        <v>5</v>
      </c>
      <c r="U830" s="5" t="inlineStr">
        <is>
          <t xml:space="preserve">수배전반 / 2022-04-06 ~2026-06-30  | 태양광 / 2023-06-23 ~ 2026-06-30  | ESS / 2024-08-28 ~ 2026-06-01 </t>
        </is>
      </c>
      <c r="V830" s="21">
        <f>HYPERLINK("https://dart.fss.or.kr/dsaf001/main.do?rcpNo=20260930000636", "공시열람")</f>
        <v/>
      </c>
    </row>
    <row r="831">
      <c r="A831" s="5" t="inlineStr">
        <is>
          <t>유일로보틱스</t>
        </is>
      </c>
      <c r="B831" s="6" t="inlineStr">
        <is>
          <t>388720</t>
        </is>
      </c>
      <c r="C831" s="6" t="inlineStr">
        <is>
          <t>2026Q2</t>
        </is>
      </c>
      <c r="D831" s="6" t="inlineStr">
        <is>
          <t>20260814</t>
        </is>
      </c>
      <c r="E831" s="16" t="n">
        <v>11120</v>
      </c>
      <c r="F831" s="16" t="inlineStr"/>
      <c r="G831" s="16" t="n">
        <v>11120</v>
      </c>
      <c r="H831" s="6" t="inlineStr">
        <is>
          <t>백만원</t>
        </is>
      </c>
      <c r="I831" s="17" t="n">
        <v>87.7</v>
      </c>
      <c r="J831" s="18" t="inlineStr"/>
      <c r="K831" s="19" t="inlineStr"/>
      <c r="L831" s="18" t="inlineStr"/>
      <c r="M831" s="19" t="inlineStr"/>
      <c r="N831" s="18" t="inlineStr"/>
      <c r="O831" s="19" t="inlineStr"/>
      <c r="P831" s="18" t="inlineStr"/>
      <c r="Q831" s="19" t="n">
        <v>5925</v>
      </c>
      <c r="R831" s="18" t="n">
        <v>5925</v>
      </c>
      <c r="S831" s="20" t="n">
        <v>11120</v>
      </c>
      <c r="T831" s="6" t="n">
        <v>2</v>
      </c>
      <c r="U831" s="5" t="inlineStr">
        <is>
          <t>진공기상건조로 제4호기, 제5호기 / 2026.02.1 | 신공장 자동화 구축 (물류자동화+MES시스템) / 20</t>
        </is>
      </c>
      <c r="V831" s="21">
        <f>HYPERLINK("https://dart.fss.or.kr/dsaf001/main.do?rcpNo=20260814002610", "공시열람")</f>
        <v/>
      </c>
    </row>
    <row r="832">
      <c r="A832" s="5" t="inlineStr">
        <is>
          <t>라이콤</t>
        </is>
      </c>
      <c r="B832" s="6" t="inlineStr">
        <is>
          <t>388790</t>
        </is>
      </c>
      <c r="C832" s="6" t="inlineStr">
        <is>
          <t>2026Q2</t>
        </is>
      </c>
      <c r="D832" s="6" t="inlineStr">
        <is>
          <t>20260814</t>
        </is>
      </c>
      <c r="E832" s="16" t="n">
        <v>26337</v>
      </c>
      <c r="F832" s="16" t="n">
        <v>7224</v>
      </c>
      <c r="G832" s="16" t="n">
        <v>19115</v>
      </c>
      <c r="H832" s="6" t="inlineStr">
        <is>
          <t>백만원</t>
        </is>
      </c>
      <c r="I832" s="17" t="n">
        <v>78.2</v>
      </c>
      <c r="J832" s="18" t="n">
        <v>5099</v>
      </c>
      <c r="K832" s="19" t="n">
        <v>4345</v>
      </c>
      <c r="L832" s="18" t="n">
        <v>5331</v>
      </c>
      <c r="M832" s="19" t="n">
        <v>4706</v>
      </c>
      <c r="N832" s="18" t="n">
        <v>3180</v>
      </c>
      <c r="O832" s="19" t="n">
        <v>3902</v>
      </c>
      <c r="P832" s="18" t="n">
        <v>10200</v>
      </c>
      <c r="Q832" s="19" t="n">
        <v>6583</v>
      </c>
      <c r="R832" s="18" t="n">
        <v>10726</v>
      </c>
      <c r="S832" s="20" t="n">
        <v>19115</v>
      </c>
      <c r="T832" s="6" t="n">
        <v>4</v>
      </c>
      <c r="U832" s="5" t="inlineStr">
        <is>
          <t>광증폭기 / - | 광섬유레이저 / - | 광중계기 / -</t>
        </is>
      </c>
      <c r="V832" s="21">
        <f>HYPERLINK("https://dart.fss.or.kr/dsaf001/main.do?rcpNo=20260814001795", "공시열람")</f>
        <v/>
      </c>
    </row>
    <row r="833">
      <c r="A833" s="5" t="inlineStr">
        <is>
          <t>자람테크놀로지</t>
        </is>
      </c>
      <c r="B833" s="6" t="inlineStr">
        <is>
          <t>389020</t>
        </is>
      </c>
      <c r="C833" s="6" t="inlineStr">
        <is>
          <t>2026Q2</t>
        </is>
      </c>
      <c r="D833" s="6" t="inlineStr">
        <is>
          <t>20260929</t>
        </is>
      </c>
      <c r="E833" s="16" t="inlineStr"/>
      <c r="F833" s="16" t="inlineStr"/>
      <c r="G833" s="16" t="n">
        <v>24178</v>
      </c>
      <c r="H833" s="6" t="inlineStr">
        <is>
          <t>백만원</t>
        </is>
      </c>
      <c r="I833" s="17" t="n">
        <v>-7.8</v>
      </c>
      <c r="J833" s="18" t="n">
        <v>12805</v>
      </c>
      <c r="K833" s="19" t="n">
        <v>10508</v>
      </c>
      <c r="L833" s="18" t="n">
        <v>6926</v>
      </c>
      <c r="M833" s="19" t="n">
        <v>5184</v>
      </c>
      <c r="N833" s="18" t="n">
        <v>4820</v>
      </c>
      <c r="O833" s="19" t="n">
        <v>5080</v>
      </c>
      <c r="P833" s="18" t="n">
        <v>4927</v>
      </c>
      <c r="Q833" s="19" t="n">
        <v>27886</v>
      </c>
      <c r="R833" s="18" t="n">
        <v>26228</v>
      </c>
      <c r="S833" s="20" t="n">
        <v>24178</v>
      </c>
      <c r="T833" s="6" t="n">
        <v>2</v>
      </c>
      <c r="U833" s="5" t="inlineStr">
        <is>
          <t>N社 등 / XGSPON 및 개발비 | B社 등 / 광트랜시버</t>
        </is>
      </c>
      <c r="V833" s="21">
        <f>HYPERLINK("https://dart.fss.or.kr/dsaf001/main.do?rcpNo=20260929000500", "공시열람")</f>
        <v/>
      </c>
    </row>
    <row r="834">
      <c r="A834" s="5" t="inlineStr">
        <is>
          <t>포바이포</t>
        </is>
      </c>
      <c r="B834" s="6" t="inlineStr">
        <is>
          <t>389140</t>
        </is>
      </c>
      <c r="C834" s="6" t="inlineStr">
        <is>
          <t>2026Q2</t>
        </is>
      </c>
      <c r="D834" s="6" t="inlineStr">
        <is>
          <t>20260814</t>
        </is>
      </c>
      <c r="E834" s="16" t="n">
        <v>14444</v>
      </c>
      <c r="F834" s="16" t="n">
        <v>8143</v>
      </c>
      <c r="G834" s="16" t="n">
        <v>6301</v>
      </c>
      <c r="H834" s="6" t="inlineStr">
        <is>
          <t>백만원</t>
        </is>
      </c>
      <c r="I834" s="17" t="n">
        <v>-37.2</v>
      </c>
      <c r="J834" s="18" t="inlineStr"/>
      <c r="K834" s="19" t="inlineStr"/>
      <c r="L834" s="18" t="inlineStr"/>
      <c r="M834" s="19" t="inlineStr"/>
      <c r="N834" s="18" t="inlineStr"/>
      <c r="O834" s="19" t="n">
        <v>11660</v>
      </c>
      <c r="P834" s="18" t="n">
        <v>12417</v>
      </c>
      <c r="Q834" s="19" t="n">
        <v>12343</v>
      </c>
      <c r="R834" s="18" t="n">
        <v>10029</v>
      </c>
      <c r="S834" s="20" t="n">
        <v>6301</v>
      </c>
      <c r="T834" s="6" t="n">
        <v>5</v>
      </c>
      <c r="U834" s="5" t="inlineStr">
        <is>
          <t xml:space="preserve">경상북도교육청유아교육진흥원전시·체험물 설계및 제작·설치 | The Wave 사업 미디어파사드 제작 및 설치 / 2 | 김해시립김영원미술관 전시체험시설 등연출 설계 및 제작 </t>
        </is>
      </c>
      <c r="V834" s="21">
        <f>HYPERLINK("https://dart.fss.or.kr/dsaf001/main.do?rcpNo=20260814002740", "공시열람")</f>
        <v/>
      </c>
    </row>
    <row r="835">
      <c r="A835" s="5" t="inlineStr">
        <is>
          <t>대명에너지</t>
        </is>
      </c>
      <c r="B835" s="6" t="inlineStr">
        <is>
          <t>389260</t>
        </is>
      </c>
      <c r="C835" s="6" t="inlineStr">
        <is>
          <t>2026Q2</t>
        </is>
      </c>
      <c r="D835" s="6" t="inlineStr">
        <is>
          <t>20260814</t>
        </is>
      </c>
      <c r="E835" s="16" t="n">
        <v>693698738</v>
      </c>
      <c r="F835" s="16" t="n">
        <v>238515675</v>
      </c>
      <c r="G835" s="16" t="n">
        <v>455183064</v>
      </c>
      <c r="H835" s="6" t="inlineStr">
        <is>
          <t>천원</t>
        </is>
      </c>
      <c r="I835" s="17" t="n">
        <v>292895.4</v>
      </c>
      <c r="J835" s="18" t="n">
        <v>266114002</v>
      </c>
      <c r="K835" s="19" t="n">
        <v>239306177</v>
      </c>
      <c r="L835" s="18" t="n">
        <v>223076312</v>
      </c>
      <c r="M835" s="19" t="n">
        <v>210571971</v>
      </c>
      <c r="N835" s="18" t="n">
        <v>201797290</v>
      </c>
      <c r="O835" s="19" t="n">
        <v>284434629</v>
      </c>
      <c r="P835" s="18" t="n">
        <v>251950525</v>
      </c>
      <c r="Q835" s="19" t="n">
        <v>238608268</v>
      </c>
      <c r="R835" s="18" t="n">
        <v>155355</v>
      </c>
      <c r="S835" s="20" t="n">
        <v>455183064</v>
      </c>
      <c r="T835" s="6" t="n">
        <v>45</v>
      </c>
      <c r="U835" s="5" t="inlineStr">
        <is>
          <t>개발 / 2026.02.05 / 2029.03.01 | 개발 / 2026.03.18 / 2027.03.31 | 운영 / 2021.07.23 / 2043.06.26</t>
        </is>
      </c>
      <c r="V835" s="21">
        <f>HYPERLINK("https://dart.fss.or.kr/dsaf001/main.do?rcpNo=20260814000931", "공시열람")</f>
        <v/>
      </c>
    </row>
    <row r="836">
      <c r="A836" s="5" t="inlineStr">
        <is>
          <t>인벤티지랩</t>
        </is>
      </c>
      <c r="B836" s="6" t="inlineStr">
        <is>
          <t>389470</t>
        </is>
      </c>
      <c r="C836" s="6" t="inlineStr">
        <is>
          <t>2026Q2</t>
        </is>
      </c>
      <c r="D836" s="6" t="inlineStr">
        <is>
          <t>20260826</t>
        </is>
      </c>
      <c r="E836" s="16" t="n">
        <v>6891</v>
      </c>
      <c r="F836" s="16" t="n">
        <v>6457</v>
      </c>
      <c r="G836" s="16" t="n">
        <v>434</v>
      </c>
      <c r="H836" s="6" t="inlineStr">
        <is>
          <t>백만원</t>
        </is>
      </c>
      <c r="I836" s="17" t="n">
        <v>-32.4</v>
      </c>
      <c r="J836" s="18" t="inlineStr"/>
      <c r="K836" s="19" t="inlineStr"/>
      <c r="L836" s="18" t="inlineStr"/>
      <c r="M836" s="19" t="inlineStr"/>
      <c r="N836" s="18" t="inlineStr"/>
      <c r="O836" s="19" t="n">
        <v>6891</v>
      </c>
      <c r="P836" s="18" t="n">
        <v>6891</v>
      </c>
      <c r="Q836" s="19" t="n">
        <v>4627</v>
      </c>
      <c r="R836" s="18" t="n">
        <v>642</v>
      </c>
      <c r="S836" s="20" t="n">
        <v>434</v>
      </c>
      <c r="T836" s="6" t="n">
        <v>1</v>
      </c>
      <c r="U836" s="5" t="inlineStr">
        <is>
          <t>장기지속형 주사제 제조설비구축 / 2026.02.</t>
        </is>
      </c>
      <c r="V836" s="21">
        <f>HYPERLINK("https://dart.fss.or.kr/dsaf001/main.do?rcpNo=20260826000836", "공시열람")</f>
        <v/>
      </c>
    </row>
    <row r="837">
      <c r="A837" s="5" t="inlineStr">
        <is>
          <t>에스비비테크</t>
        </is>
      </c>
      <c r="B837" s="6" t="inlineStr">
        <is>
          <t>389500</t>
        </is>
      </c>
      <c r="C837" s="6" t="inlineStr">
        <is>
          <t>2026Q2</t>
        </is>
      </c>
      <c r="D837" s="6" t="inlineStr">
        <is>
          <t>20260814</t>
        </is>
      </c>
      <c r="E837" s="16" t="n">
        <v>15400</v>
      </c>
      <c r="F837" s="16" t="n">
        <v>4284</v>
      </c>
      <c r="G837" s="16" t="n">
        <v>11116</v>
      </c>
      <c r="H837" s="6" t="inlineStr">
        <is>
          <t>백만원</t>
        </is>
      </c>
      <c r="I837" s="17" t="n">
        <v>-1.5</v>
      </c>
      <c r="J837" s="18" t="n">
        <v>5263</v>
      </c>
      <c r="K837" s="19" t="n">
        <v>9186</v>
      </c>
      <c r="L837" s="18" t="n">
        <v>4474</v>
      </c>
      <c r="M837" s="19" t="n">
        <v>7772</v>
      </c>
      <c r="N837" s="18" t="n">
        <v>7633</v>
      </c>
      <c r="O837" s="19" t="n">
        <v>7571</v>
      </c>
      <c r="P837" s="18" t="n">
        <v>7530</v>
      </c>
      <c r="Q837" s="19" t="n">
        <v>10069</v>
      </c>
      <c r="R837" s="18" t="n">
        <v>11280</v>
      </c>
      <c r="S837" s="20" t="n">
        <v>11116</v>
      </c>
      <c r="T837" s="6" t="n">
        <v>1</v>
      </c>
      <c r="U837" s="5" t="inlineStr">
        <is>
          <t>감속기 / 2024.01 ~ 2026.06 / 2024</t>
        </is>
      </c>
      <c r="V837" s="21">
        <f>HYPERLINK("https://dart.fss.or.kr/dsaf001/main.do?rcpNo=20260814000984", "공시열람")</f>
        <v/>
      </c>
    </row>
    <row r="838">
      <c r="A838" s="5" t="inlineStr">
        <is>
          <t>토마토시스템</t>
        </is>
      </c>
      <c r="B838" s="6" t="inlineStr">
        <is>
          <t>393210</t>
        </is>
      </c>
      <c r="C838" s="6" t="inlineStr">
        <is>
          <t>2026Q2</t>
        </is>
      </c>
      <c r="D838" s="6" t="inlineStr">
        <is>
          <t>20260812</t>
        </is>
      </c>
      <c r="E838" s="16" t="n">
        <v>45381687</v>
      </c>
      <c r="F838" s="16" t="inlineStr"/>
      <c r="G838" s="16" t="n">
        <v>18414317</v>
      </c>
      <c r="H838" s="6" t="inlineStr">
        <is>
          <t>천원</t>
        </is>
      </c>
      <c r="I838" s="17" t="n">
        <v>-22.1</v>
      </c>
      <c r="J838" s="18" t="n">
        <v>11517922</v>
      </c>
      <c r="K838" s="19" t="n">
        <v>8361159</v>
      </c>
      <c r="L838" s="18" t="n">
        <v>6117139</v>
      </c>
      <c r="M838" s="19" t="n">
        <v>19477998</v>
      </c>
      <c r="N838" s="18" t="n">
        <v>19239044</v>
      </c>
      <c r="O838" s="19" t="n">
        <v>17557845</v>
      </c>
      <c r="P838" s="18" t="n">
        <v>29956698</v>
      </c>
      <c r="Q838" s="19" t="n">
        <v>27622934</v>
      </c>
      <c r="R838" s="18" t="n">
        <v>23638058</v>
      </c>
      <c r="S838" s="20" t="n">
        <v>18414317</v>
      </c>
      <c r="T838" s="6" t="n">
        <v>10</v>
      </c>
      <c r="U838" s="5" t="inlineStr">
        <is>
          <t>기타 / - | 원광대학교 / 2025-09-25 / 2027-09-1 | 서울대학교 / 2024-12-30 / 2028-02-2</t>
        </is>
      </c>
      <c r="V838" s="21">
        <f>HYPERLINK("https://dart.fss.or.kr/dsaf001/main.do?rcpNo=20260812000435", "공시열람")</f>
        <v/>
      </c>
    </row>
    <row r="839">
      <c r="A839" s="5" t="inlineStr">
        <is>
          <t>쓰리빌리언</t>
        </is>
      </c>
      <c r="B839" s="6" t="inlineStr">
        <is>
          <t>394800</t>
        </is>
      </c>
      <c r="C839" s="6" t="inlineStr">
        <is>
          <t>2026Q2</t>
        </is>
      </c>
      <c r="D839" s="6" t="inlineStr">
        <is>
          <t>20260813</t>
        </is>
      </c>
      <c r="E839" s="16" t="n">
        <v>2631818</v>
      </c>
      <c r="F839" s="16" t="n">
        <v>916601</v>
      </c>
      <c r="G839" s="16" t="n">
        <v>1715217</v>
      </c>
      <c r="H839" s="6" t="inlineStr">
        <is>
          <t>건,천원</t>
        </is>
      </c>
      <c r="I839" s="17" t="n">
        <v>376.4</v>
      </c>
      <c r="J839" s="18" t="inlineStr"/>
      <c r="K839" s="19" t="inlineStr"/>
      <c r="L839" s="18" t="inlineStr"/>
      <c r="M839" s="19" t="inlineStr"/>
      <c r="N839" s="18" t="n">
        <v>654545</v>
      </c>
      <c r="O839" s="19" t="n">
        <v>208636</v>
      </c>
      <c r="P839" s="18" t="n">
        <v>486819</v>
      </c>
      <c r="Q839" s="19" t="n">
        <v>306819</v>
      </c>
      <c r="R839" s="18" t="n">
        <v>360000</v>
      </c>
      <c r="S839" s="20" t="n">
        <v>1715217</v>
      </c>
      <c r="T839" s="6" t="n">
        <v>3</v>
      </c>
      <c r="U839" s="5" t="inlineStr">
        <is>
          <t>전장유전체 염기서열기반 신생아 선별검사 / 2026.0 | 전장유전체 염기서열 분석 / 2026.04.09 / 2 | 급성 중증 신생아 희귀질환 진단 / 2025.07.01</t>
        </is>
      </c>
      <c r="V839" s="21">
        <f>HYPERLINK("https://dart.fss.or.kr/dsaf001/main.do?rcpNo=20260813000733", "공시열람")</f>
        <v/>
      </c>
    </row>
    <row r="840">
      <c r="A840" s="5" t="inlineStr">
        <is>
          <t>세아메카닉스</t>
        </is>
      </c>
      <c r="B840" s="6" t="inlineStr">
        <is>
          <t>396300</t>
        </is>
      </c>
      <c r="C840" s="6" t="inlineStr">
        <is>
          <t>2026Q2</t>
        </is>
      </c>
      <c r="D840" s="6" t="inlineStr">
        <is>
          <t>20260813</t>
        </is>
      </c>
      <c r="E840" s="16" t="inlineStr"/>
      <c r="F840" s="16" t="inlineStr"/>
      <c r="G840" s="16" t="n">
        <v>577539</v>
      </c>
      <c r="H840" s="6" t="inlineStr">
        <is>
          <t>백만원</t>
        </is>
      </c>
      <c r="I840" s="17" t="n">
        <v>-5.6</v>
      </c>
      <c r="J840" s="18" t="n">
        <v>553975</v>
      </c>
      <c r="K840" s="19" t="n">
        <v>461535</v>
      </c>
      <c r="L840" s="18" t="n">
        <v>467737</v>
      </c>
      <c r="M840" s="19" t="n">
        <v>555070</v>
      </c>
      <c r="N840" s="18" t="n">
        <v>727579</v>
      </c>
      <c r="O840" s="19" t="n">
        <v>708425</v>
      </c>
      <c r="P840" s="18" t="n">
        <v>705298</v>
      </c>
      <c r="Q840" s="19" t="n">
        <v>611844</v>
      </c>
      <c r="R840" s="18" t="n">
        <v>611910</v>
      </c>
      <c r="S840" s="20" t="n">
        <v>577539</v>
      </c>
      <c r="T840" s="6" t="n">
        <v>1</v>
      </c>
      <c r="U840" s="5" t="inlineStr">
        <is>
          <t>자동차부품 / -</t>
        </is>
      </c>
      <c r="V840" s="21">
        <f>HYPERLINK("https://dart.fss.or.kr/dsaf001/main.do?rcpNo=20260813001552", "공시열람")</f>
        <v/>
      </c>
    </row>
    <row r="841">
      <c r="A841" s="5" t="inlineStr">
        <is>
          <t>에스지헬스케어</t>
        </is>
      </c>
      <c r="B841" s="6" t="inlineStr">
        <is>
          <t>398120</t>
        </is>
      </c>
      <c r="C841" s="6" t="inlineStr">
        <is>
          <t>2026Q2</t>
        </is>
      </c>
      <c r="D841" s="6" t="inlineStr">
        <is>
          <t>20260831</t>
        </is>
      </c>
      <c r="E841" s="16" t="n">
        <v>14269</v>
      </c>
      <c r="F841" s="16" t="n">
        <v>12842</v>
      </c>
      <c r="G841" s="16" t="n">
        <v>1427</v>
      </c>
      <c r="H841" s="6" t="inlineStr">
        <is>
          <t>백만</t>
        </is>
      </c>
      <c r="I841" s="17" t="n">
        <v>-27</v>
      </c>
      <c r="J841" s="18" t="inlineStr"/>
      <c r="K841" s="19" t="inlineStr"/>
      <c r="L841" s="18" t="inlineStr"/>
      <c r="M841" s="19" t="n">
        <v>1909.5</v>
      </c>
      <c r="N841" s="18" t="n">
        <v>1448</v>
      </c>
      <c r="O841" s="19" t="n">
        <v>13257</v>
      </c>
      <c r="P841" s="18" t="n">
        <v>12987</v>
      </c>
      <c r="Q841" s="19" t="n">
        <v>3442</v>
      </c>
      <c r="R841" s="18" t="n">
        <v>1954</v>
      </c>
      <c r="S841" s="20" t="n">
        <v>1427</v>
      </c>
      <c r="T841" s="6" t="n">
        <v>2</v>
      </c>
      <c r="U841" s="5" t="inlineStr">
        <is>
          <t>Jumong GeneralC-arm 외2 / 2025. | 의료기자재 / 2025.08.29 / 2026.10.3</t>
        </is>
      </c>
      <c r="V841" s="21">
        <f>HYPERLINK("https://dart.fss.or.kr/dsaf001/main.do?rcpNo=20260831001202", "공시열람")</f>
        <v/>
      </c>
    </row>
    <row r="842">
      <c r="A842" s="5" t="inlineStr">
        <is>
          <t>가온칩스</t>
        </is>
      </c>
      <c r="B842" s="6" t="inlineStr">
        <is>
          <t>399720</t>
        </is>
      </c>
      <c r="C842" s="6" t="inlineStr">
        <is>
          <t>2026Q2</t>
        </is>
      </c>
      <c r="D842" s="6" t="inlineStr">
        <is>
          <t>20260814</t>
        </is>
      </c>
      <c r="E842" s="16" t="n">
        <v>151279</v>
      </c>
      <c r="F842" s="16" t="inlineStr"/>
      <c r="G842" s="16" t="n">
        <v>76412</v>
      </c>
      <c r="H842" s="6" t="inlineStr">
        <is>
          <t>백만원</t>
        </is>
      </c>
      <c r="I842" s="17" t="n">
        <v>52</v>
      </c>
      <c r="J842" s="18" t="inlineStr"/>
      <c r="K842" s="19" t="inlineStr"/>
      <c r="L842" s="18" t="inlineStr"/>
      <c r="M842" s="19" t="inlineStr"/>
      <c r="N842" s="18" t="inlineStr"/>
      <c r="O842" s="19" t="n">
        <v>25003</v>
      </c>
      <c r="P842" s="18" t="n">
        <v>34747</v>
      </c>
      <c r="Q842" s="19" t="n">
        <v>61051</v>
      </c>
      <c r="R842" s="18" t="n">
        <v>50267</v>
      </c>
      <c r="S842" s="20" t="n">
        <v>76412</v>
      </c>
      <c r="T842" s="6" t="n">
        <v>5</v>
      </c>
      <c r="U842" s="5" t="inlineStr">
        <is>
          <t>주문형 반도체 설계 개발 / 2026-06-10 / 2 | 주문형 반도체 설계 개발 / 2025-10-29 / 2 | 주문형 반도체 설계 개발 / 2025-12-26 / 2</t>
        </is>
      </c>
      <c r="V842" s="21">
        <f>HYPERLINK("https://dart.fss.or.kr/dsaf001/main.do?rcpNo=20260814003050", "공시열람")</f>
        <v/>
      </c>
    </row>
    <row r="843">
      <c r="A843" s="5" t="inlineStr">
        <is>
          <t>코난테크놀로지</t>
        </is>
      </c>
      <c r="B843" s="6" t="inlineStr">
        <is>
          <t>402030</t>
        </is>
      </c>
      <c r="C843" s="6" t="inlineStr">
        <is>
          <t>2026Q2</t>
        </is>
      </c>
      <c r="D843" s="6" t="inlineStr">
        <is>
          <t>20260814</t>
        </is>
      </c>
      <c r="E843" s="16" t="inlineStr"/>
      <c r="F843" s="16" t="inlineStr"/>
      <c r="G843" s="16" t="n">
        <v>22501</v>
      </c>
      <c r="H843" s="6" t="inlineStr">
        <is>
          <t>백만원</t>
        </is>
      </c>
      <c r="I843" s="17" t="n">
        <v>853</v>
      </c>
      <c r="J843" s="18" t="n">
        <v>5286</v>
      </c>
      <c r="K843" s="19" t="n">
        <v>5676</v>
      </c>
      <c r="L843" s="18" t="n">
        <v>15007</v>
      </c>
      <c r="M843" s="19" t="n">
        <v>8067</v>
      </c>
      <c r="N843" s="18" t="n">
        <v>4379</v>
      </c>
      <c r="O843" s="19" t="n">
        <v>7487</v>
      </c>
      <c r="P843" s="18" t="n">
        <v>18434</v>
      </c>
      <c r="Q843" s="19" t="n">
        <v>14077</v>
      </c>
      <c r="R843" s="18" t="n">
        <v>2361</v>
      </c>
      <c r="S843" s="20" t="n">
        <v>22501</v>
      </c>
      <c r="T843" s="6" t="n">
        <v>1</v>
      </c>
      <c r="U843" s="5" t="inlineStr"/>
      <c r="V843" s="21">
        <f>HYPERLINK("https://dart.fss.or.kr/dsaf001/main.do?rcpNo=20260814002288", "공시열람")</f>
        <v/>
      </c>
    </row>
    <row r="844">
      <c r="A844" s="5" t="inlineStr">
        <is>
          <t>라피치</t>
        </is>
      </c>
      <c r="B844" s="6" t="inlineStr">
        <is>
          <t>403360</t>
        </is>
      </c>
      <c r="C844" s="6" t="inlineStr">
        <is>
          <t>2026Q2</t>
        </is>
      </c>
      <c r="D844" s="6" t="inlineStr">
        <is>
          <t>20260814</t>
        </is>
      </c>
      <c r="E844" s="16" t="n">
        <v>32180</v>
      </c>
      <c r="F844" s="16" t="n">
        <v>19427</v>
      </c>
      <c r="G844" s="16" t="n">
        <v>12752</v>
      </c>
      <c r="H844" s="6" t="inlineStr">
        <is>
          <t>백만원</t>
        </is>
      </c>
      <c r="I844" s="17" t="n">
        <v>-99.5</v>
      </c>
      <c r="J844" s="18" t="inlineStr"/>
      <c r="K844" s="19" t="n">
        <v>4348331</v>
      </c>
      <c r="L844" s="18" t="inlineStr"/>
      <c r="M844" s="19" t="n">
        <v>2725658</v>
      </c>
      <c r="N844" s="18" t="inlineStr"/>
      <c r="O844" s="19" t="inlineStr"/>
      <c r="P844" s="18" t="inlineStr"/>
      <c r="Q844" s="19" t="n">
        <v>2684112</v>
      </c>
      <c r="R844" s="18" t="inlineStr"/>
      <c r="S844" s="20" t="n">
        <v>12752</v>
      </c>
      <c r="T844" s="6" t="n">
        <v>6</v>
      </c>
      <c r="U844" s="5" t="inlineStr">
        <is>
          <t>AI 인프라(국내) / 진행중 | AI 인프라(국내) / 진행중 | ConvAI / 진행중</t>
        </is>
      </c>
      <c r="V844" s="21">
        <f>HYPERLINK("https://dart.fss.or.kr/dsaf001/main.do?rcpNo=20260814001610", "공시열람")</f>
        <v/>
      </c>
    </row>
    <row r="845">
      <c r="A845" s="5" t="inlineStr">
        <is>
          <t>아이엘로보틱스</t>
        </is>
      </c>
      <c r="B845" s="6" t="inlineStr">
        <is>
          <t>403810</t>
        </is>
      </c>
      <c r="C845" s="6" t="inlineStr">
        <is>
          <t>2025Q4</t>
        </is>
      </c>
      <c r="D845" s="6" t="inlineStr">
        <is>
          <t>20260320</t>
        </is>
      </c>
      <c r="E845" s="16" t="n">
        <v>3738</v>
      </c>
      <c r="F845" s="16" t="n">
        <v>134</v>
      </c>
      <c r="G845" s="16" t="n">
        <v>3604</v>
      </c>
      <c r="H845" s="6" t="inlineStr">
        <is>
          <t>백만원</t>
        </is>
      </c>
      <c r="I845" s="17" t="n">
        <v>-3.6</v>
      </c>
      <c r="J845" s="18" t="inlineStr"/>
      <c r="K845" s="19" t="inlineStr"/>
      <c r="L845" s="18" t="inlineStr"/>
      <c r="M845" s="19" t="n">
        <v>3738</v>
      </c>
      <c r="N845" s="18" t="inlineStr"/>
      <c r="O845" s="19" t="inlineStr"/>
      <c r="P845" s="18" t="inlineStr"/>
      <c r="Q845" s="19" t="n">
        <v>3604</v>
      </c>
      <c r="R845" s="18" t="inlineStr"/>
      <c r="S845" s="20" t="inlineStr"/>
      <c r="T845" s="6" t="n">
        <v>3</v>
      </c>
      <c r="U845" s="5" t="inlineStr">
        <is>
          <t>미세먼지 측정 보안등 / - | 터널등 제어 시스템 / - | IoT 제어 시스템 / -</t>
        </is>
      </c>
      <c r="V845" s="21">
        <f>HYPERLINK("https://dart.fss.or.kr/dsaf001/main.do?rcpNo=20260320001132", "공시열람")</f>
        <v/>
      </c>
    </row>
    <row r="846">
      <c r="A846" s="5" t="inlineStr">
        <is>
          <t>제일엠앤에스</t>
        </is>
      </c>
      <c r="B846" s="6" t="inlineStr">
        <is>
          <t>412540</t>
        </is>
      </c>
      <c r="C846" s="6" t="inlineStr">
        <is>
          <t>2026Q2</t>
        </is>
      </c>
      <c r="D846" s="6" t="inlineStr">
        <is>
          <t>20260814</t>
        </is>
      </c>
      <c r="E846" s="16" t="n">
        <v>421407</v>
      </c>
      <c r="F846" s="16" t="n">
        <v>127076</v>
      </c>
      <c r="G846" s="16" t="n">
        <v>294331</v>
      </c>
      <c r="H846" s="6" t="inlineStr">
        <is>
          <t>백만원</t>
        </is>
      </c>
      <c r="I846" s="17" t="n">
        <v>-25.4</v>
      </c>
      <c r="J846" s="18" t="inlineStr"/>
      <c r="K846" s="19" t="n">
        <v>289130</v>
      </c>
      <c r="L846" s="18" t="n">
        <v>338297</v>
      </c>
      <c r="M846" s="19" t="n">
        <v>579212</v>
      </c>
      <c r="N846" s="18" t="n">
        <v>278268</v>
      </c>
      <c r="O846" s="19" t="n">
        <v>248229</v>
      </c>
      <c r="P846" s="18" t="n">
        <v>393928</v>
      </c>
      <c r="Q846" s="19" t="n">
        <v>393120</v>
      </c>
      <c r="R846" s="18" t="n">
        <v>394291</v>
      </c>
      <c r="S846" s="20" t="n">
        <v>294331</v>
      </c>
      <c r="T846" s="6" t="n">
        <v>1</v>
      </c>
      <c r="U846" s="5" t="inlineStr">
        <is>
          <t>믹싱장비 및 믹싱시스템 / -</t>
        </is>
      </c>
      <c r="V846" s="21">
        <f>HYPERLINK("https://dart.fss.or.kr/dsaf001/main.do?rcpNo=20260814000819", "공시열람")</f>
        <v/>
      </c>
    </row>
    <row r="847">
      <c r="A847" s="5" t="inlineStr">
        <is>
          <t>티엘엔지니어링</t>
        </is>
      </c>
      <c r="B847" s="6" t="inlineStr">
        <is>
          <t>413300</t>
        </is>
      </c>
      <c r="C847" s="6" t="inlineStr">
        <is>
          <t>2025Q4</t>
        </is>
      </c>
      <c r="D847" s="6" t="inlineStr">
        <is>
          <t>20260323</t>
        </is>
      </c>
      <c r="E847" s="16" t="n">
        <v>7533807754</v>
      </c>
      <c r="F847" s="16" t="inlineStr"/>
      <c r="G847" s="16" t="n">
        <v>1633785854</v>
      </c>
      <c r="H847" s="6" t="inlineStr">
        <is>
          <t>원</t>
        </is>
      </c>
      <c r="I847" s="17" t="n">
        <v>-51.8</v>
      </c>
      <c r="J847" s="18" t="inlineStr"/>
      <c r="K847" s="19" t="inlineStr"/>
      <c r="L847" s="18" t="inlineStr"/>
      <c r="M847" s="19" t="n">
        <v>3388457253</v>
      </c>
      <c r="N847" s="18" t="inlineStr"/>
      <c r="O847" s="19" t="inlineStr"/>
      <c r="P847" s="18" t="inlineStr"/>
      <c r="Q847" s="19" t="n">
        <v>1633785854</v>
      </c>
      <c r="R847" s="18" t="inlineStr"/>
      <c r="S847" s="20" t="inlineStr"/>
      <c r="T847" s="6" t="n">
        <v>28</v>
      </c>
      <c r="U847" s="5" t="inlineStr">
        <is>
          <t>N / 2025-11-24 | AA / 2026-01-12 | BB / 2026-01-05</t>
        </is>
      </c>
      <c r="V847" s="21">
        <f>HYPERLINK("https://dart.fss.or.kr/dsaf001/main.do?rcpNo=20260323000750", "공시열람")</f>
        <v/>
      </c>
    </row>
    <row r="848">
      <c r="A848" s="5" t="inlineStr">
        <is>
          <t>비아이매트릭스</t>
        </is>
      </c>
      <c r="B848" s="6" t="inlineStr">
        <is>
          <t>413640</t>
        </is>
      </c>
      <c r="C848" s="6" t="inlineStr">
        <is>
          <t>2026Q2</t>
        </is>
      </c>
      <c r="D848" s="6" t="inlineStr">
        <is>
          <t>20260814</t>
        </is>
      </c>
      <c r="E848" s="16" t="n">
        <v>49635</v>
      </c>
      <c r="F848" s="16" t="inlineStr"/>
      <c r="G848" s="16" t="n">
        <v>13868</v>
      </c>
      <c r="H848" s="6" t="inlineStr">
        <is>
          <t>백만원</t>
        </is>
      </c>
      <c r="I848" s="17" t="n">
        <v>3.1</v>
      </c>
      <c r="J848" s="18" t="n">
        <v>3855</v>
      </c>
      <c r="K848" s="19" t="n">
        <v>3850</v>
      </c>
      <c r="L848" s="18" t="n">
        <v>6956</v>
      </c>
      <c r="M848" s="19" t="n">
        <v>7435</v>
      </c>
      <c r="N848" s="18" t="n">
        <v>10173</v>
      </c>
      <c r="O848" s="19" t="n">
        <v>10234</v>
      </c>
      <c r="P848" s="18" t="n">
        <v>10543</v>
      </c>
      <c r="Q848" s="19" t="n">
        <v>11651</v>
      </c>
      <c r="R848" s="18" t="n">
        <v>13447</v>
      </c>
      <c r="S848" s="20" t="n">
        <v>13868</v>
      </c>
      <c r="T848" s="6" t="n">
        <v>9</v>
      </c>
      <c r="U848" s="5" t="inlineStr">
        <is>
          <t>비아이매트릭스 / 기타 / - | 비아이매트릭스 / 솔루션 외 / 2026-06-01 / | 비아이매트릭스 / 솔루션 / 2026-03-27 / 2</t>
        </is>
      </c>
      <c r="V848" s="21">
        <f>HYPERLINK("https://dart.fss.or.kr/dsaf001/main.do?rcpNo=20260814003267", "공시열람")</f>
        <v/>
      </c>
    </row>
    <row r="849">
      <c r="A849" s="5" t="inlineStr">
        <is>
          <t>니어스랩</t>
        </is>
      </c>
      <c r="B849" s="6" t="inlineStr">
        <is>
          <t>417030</t>
        </is>
      </c>
      <c r="C849" s="6" t="inlineStr">
        <is>
          <t>2026Q2</t>
        </is>
      </c>
      <c r="D849" s="6" t="inlineStr">
        <is>
          <t>20260828</t>
        </is>
      </c>
      <c r="E849" s="16" t="n">
        <v>6490</v>
      </c>
      <c r="F849" s="16" t="inlineStr"/>
      <c r="G849" s="16" t="n">
        <v>5922</v>
      </c>
      <c r="H849" s="6" t="inlineStr">
        <is>
          <t>백만원</t>
        </is>
      </c>
      <c r="I849" s="17" t="inlineStr"/>
      <c r="J849" s="18" t="inlineStr"/>
      <c r="K849" s="19" t="inlineStr"/>
      <c r="L849" s="18" t="inlineStr"/>
      <c r="M849" s="19" t="inlineStr"/>
      <c r="N849" s="18" t="inlineStr"/>
      <c r="O849" s="19" t="inlineStr"/>
      <c r="P849" s="18" t="inlineStr"/>
      <c r="Q849" s="19" t="inlineStr"/>
      <c r="R849" s="18" t="inlineStr"/>
      <c r="S849" s="20" t="n">
        <v>5922</v>
      </c>
      <c r="T849" s="6" t="n">
        <v>10</v>
      </c>
      <c r="U849" s="5" t="inlineStr">
        <is>
          <t>국내 A사 / KAiDEN 시제품 개발 / 2026-0 | 기타 / 풍력발전기 점검솔루션 / 계약일 | UAE A사 / XAiDEN 교육훈련 서비스 / 202</t>
        </is>
      </c>
      <c r="V849" s="21">
        <f>HYPERLINK("https://dart.fss.or.kr/dsaf001/main.do?rcpNo=20260828000598", "공시열람")</f>
        <v/>
      </c>
    </row>
    <row r="850">
      <c r="A850" s="5" t="inlineStr">
        <is>
          <t>오브젠</t>
        </is>
      </c>
      <c r="B850" s="6" t="inlineStr">
        <is>
          <t>417860</t>
        </is>
      </c>
      <c r="C850" s="6" t="inlineStr">
        <is>
          <t>2026Q2</t>
        </is>
      </c>
      <c r="D850" s="6" t="inlineStr">
        <is>
          <t>20260814</t>
        </is>
      </c>
      <c r="E850" s="16" t="n">
        <v>52960</v>
      </c>
      <c r="F850" s="16" t="n">
        <v>25600</v>
      </c>
      <c r="G850" s="16" t="n">
        <v>27360</v>
      </c>
      <c r="H850" s="6" t="inlineStr">
        <is>
          <t>백만원</t>
        </is>
      </c>
      <c r="I850" s="17" t="n">
        <v>22.4</v>
      </c>
      <c r="J850" s="18" t="n">
        <v>5993</v>
      </c>
      <c r="K850" s="19" t="n">
        <v>9936</v>
      </c>
      <c r="L850" s="18" t="n">
        <v>7903</v>
      </c>
      <c r="M850" s="19" t="n">
        <v>16262</v>
      </c>
      <c r="N850" s="18" t="n">
        <v>14409</v>
      </c>
      <c r="O850" s="19" t="n">
        <v>10682</v>
      </c>
      <c r="P850" s="18" t="n">
        <v>7948</v>
      </c>
      <c r="Q850" s="19" t="n">
        <v>12172145</v>
      </c>
      <c r="R850" s="18" t="n">
        <v>22355</v>
      </c>
      <c r="S850" s="20" t="n">
        <v>27360</v>
      </c>
      <c r="T850" s="6" t="n">
        <v>7</v>
      </c>
      <c r="U850" s="5" t="inlineStr">
        <is>
          <t>데이터 분석 플랫폼 사업부문 / 용역 / - | 고객 데이터&amp; 경험관리 플랫폼(CDXP+) 사업부문 / | 데이터 분석 플랫폼 사업부문 / 유지보수 / -</t>
        </is>
      </c>
      <c r="V850" s="21">
        <f>HYPERLINK("https://dart.fss.or.kr/dsaf001/main.do?rcpNo=20260814003882", "공시열람")</f>
        <v/>
      </c>
    </row>
    <row r="851">
      <c r="A851" s="5" t="inlineStr">
        <is>
          <t>제이오</t>
        </is>
      </c>
      <c r="B851" s="6" t="inlineStr">
        <is>
          <t>418550</t>
        </is>
      </c>
      <c r="C851" s="6" t="inlineStr">
        <is>
          <t>2026Q2</t>
        </is>
      </c>
      <c r="D851" s="6" t="inlineStr">
        <is>
          <t>20260814</t>
        </is>
      </c>
      <c r="E851" s="16" t="n">
        <v>92030314</v>
      </c>
      <c r="F851" s="16" t="inlineStr"/>
      <c r="G851" s="16" t="n">
        <v>13111428</v>
      </c>
      <c r="H851" s="6" t="inlineStr">
        <is>
          <t>천원</t>
        </is>
      </c>
      <c r="I851" s="17" t="n">
        <v>267.8</v>
      </c>
      <c r="J851" s="18" t="n">
        <v>52816834</v>
      </c>
      <c r="K851" s="19" t="n">
        <v>39991099</v>
      </c>
      <c r="L851" s="18" t="n">
        <v>23146090</v>
      </c>
      <c r="M851" s="19" t="n">
        <v>10964569</v>
      </c>
      <c r="N851" s="18" t="n">
        <v>20946902</v>
      </c>
      <c r="O851" s="19" t="n">
        <v>16110238</v>
      </c>
      <c r="P851" s="18" t="n">
        <v>8177068</v>
      </c>
      <c r="Q851" s="19" t="n">
        <v>5511204</v>
      </c>
      <c r="R851" s="18" t="n">
        <v>3565238</v>
      </c>
      <c r="S851" s="20" t="n">
        <v>13111428</v>
      </c>
      <c r="T851" s="6" t="n">
        <v>1</v>
      </c>
      <c r="U851" s="5" t="inlineStr">
        <is>
          <t>국내 / 에코프로머티리얼즈 등 / 플랜트공사 외</t>
        </is>
      </c>
      <c r="V851" s="21">
        <f>HYPERLINK("https://dart.fss.or.kr/dsaf001/main.do?rcpNo=20260814001514", "공시열람")</f>
        <v/>
      </c>
    </row>
    <row r="852">
      <c r="A852" s="5" t="inlineStr">
        <is>
          <t>E8</t>
        </is>
      </c>
      <c r="B852" s="6" t="inlineStr">
        <is>
          <t>418620</t>
        </is>
      </c>
      <c r="C852" s="6" t="inlineStr">
        <is>
          <t>2026Q2</t>
        </is>
      </c>
      <c r="D852" s="6" t="inlineStr">
        <is>
          <t>20260814</t>
        </is>
      </c>
      <c r="E852" s="16" t="n">
        <v>11540115</v>
      </c>
      <c r="F852" s="16" t="inlineStr"/>
      <c r="G852" s="16" t="n">
        <v>7406797</v>
      </c>
      <c r="H852" s="6" t="inlineStr">
        <is>
          <t>천원</t>
        </is>
      </c>
      <c r="I852" s="17" t="n">
        <v>-6.5</v>
      </c>
      <c r="J852" s="18" t="n">
        <v>6973600</v>
      </c>
      <c r="K852" s="19" t="n">
        <v>6583</v>
      </c>
      <c r="L852" s="18" t="n">
        <v>6876946</v>
      </c>
      <c r="M852" s="19" t="n">
        <v>6703241</v>
      </c>
      <c r="N852" s="18" t="n">
        <v>6450193</v>
      </c>
      <c r="O852" s="19" t="n">
        <v>6417667</v>
      </c>
      <c r="P852" s="18" t="n">
        <v>7252909</v>
      </c>
      <c r="Q852" s="19" t="n">
        <v>7161634</v>
      </c>
      <c r="R852" s="18" t="n">
        <v>7919338</v>
      </c>
      <c r="S852" s="20" t="n">
        <v>7406797</v>
      </c>
      <c r="T852" s="6" t="n">
        <v>2</v>
      </c>
      <c r="U852" s="5" t="inlineStr">
        <is>
          <t>용역 | 서비스</t>
        </is>
      </c>
      <c r="V852" s="21">
        <f>HYPERLINK("https://dart.fss.or.kr/dsaf001/main.do?rcpNo=20260814002560", "공시열람")</f>
        <v/>
      </c>
    </row>
    <row r="853">
      <c r="A853" s="5" t="inlineStr">
        <is>
          <t>삼기에너지솔루션즈</t>
        </is>
      </c>
      <c r="B853" s="6" t="inlineStr">
        <is>
          <t>419050</t>
        </is>
      </c>
      <c r="C853" s="6" t="inlineStr">
        <is>
          <t>2026Q2</t>
        </is>
      </c>
      <c r="D853" s="6" t="inlineStr">
        <is>
          <t>20260813</t>
        </is>
      </c>
      <c r="E853" s="16" t="n">
        <v>535943</v>
      </c>
      <c r="F853" s="16" t="n">
        <v>433448</v>
      </c>
      <c r="G853" s="16" t="n">
        <v>146838</v>
      </c>
      <c r="H853" s="6" t="inlineStr">
        <is>
          <t>백만원</t>
        </is>
      </c>
      <c r="I853" s="17" t="n">
        <v>-11.8</v>
      </c>
      <c r="J853" s="18" t="n">
        <v>859330924</v>
      </c>
      <c r="K853" s="19" t="n">
        <v>847035043</v>
      </c>
      <c r="L853" s="18" t="n">
        <v>830674207</v>
      </c>
      <c r="M853" s="19" t="n">
        <v>279496</v>
      </c>
      <c r="N853" s="18" t="n">
        <v>266391</v>
      </c>
      <c r="O853" s="19" t="n">
        <v>257201</v>
      </c>
      <c r="P853" s="18" t="n">
        <v>257201</v>
      </c>
      <c r="Q853" s="19" t="n">
        <v>181246</v>
      </c>
      <c r="R853" s="18" t="n">
        <v>166559</v>
      </c>
      <c r="S853" s="20" t="n">
        <v>146838</v>
      </c>
      <c r="T853" s="6" t="n">
        <v>4</v>
      </c>
      <c r="U853" s="5" t="inlineStr">
        <is>
          <t>End-Plate | End-Plate | End-Plate</t>
        </is>
      </c>
      <c r="V853" s="21">
        <f>HYPERLINK("https://dart.fss.or.kr/dsaf001/main.do?rcpNo=20260813000643", "공시열람")</f>
        <v/>
      </c>
    </row>
    <row r="854">
      <c r="A854" s="5" t="inlineStr">
        <is>
          <t>산돌</t>
        </is>
      </c>
      <c r="B854" s="6" t="inlineStr">
        <is>
          <t>419120</t>
        </is>
      </c>
      <c r="C854" s="6" t="inlineStr">
        <is>
          <t>2026Q2</t>
        </is>
      </c>
      <c r="D854" s="6" t="inlineStr">
        <is>
          <t>20260814</t>
        </is>
      </c>
      <c r="E854" s="16" t="n">
        <v>3362535620</v>
      </c>
      <c r="F854" s="16" t="inlineStr"/>
      <c r="G854" s="16" t="n">
        <v>1629888881</v>
      </c>
      <c r="H854" s="6" t="inlineStr">
        <is>
          <t>연결,원</t>
        </is>
      </c>
      <c r="I854" s="17" t="n">
        <v>-17.1</v>
      </c>
      <c r="J854" s="18" t="n">
        <v>252200000</v>
      </c>
      <c r="K854" s="19" t="n">
        <v>264198488</v>
      </c>
      <c r="L854" s="18" t="n">
        <v>520200046</v>
      </c>
      <c r="M854" s="19" t="n">
        <v>1493318867</v>
      </c>
      <c r="N854" s="18" t="n">
        <v>2255671606</v>
      </c>
      <c r="O854" s="19" t="n">
        <v>2393741288</v>
      </c>
      <c r="P854" s="18" t="n">
        <v>2121142108</v>
      </c>
      <c r="Q854" s="19" t="n">
        <v>2556153560</v>
      </c>
      <c r="R854" s="18" t="n">
        <v>1965102545</v>
      </c>
      <c r="S854" s="20" t="n">
        <v>1629888881</v>
      </c>
      <c r="T854" s="6" t="n">
        <v>1</v>
      </c>
      <c r="U854" s="5" t="inlineStr">
        <is>
          <t>커스텀폰트</t>
        </is>
      </c>
      <c r="V854" s="21">
        <f>HYPERLINK("https://dart.fss.or.kr/dsaf001/main.do?rcpNo=20260814000109", "공시열람")</f>
        <v/>
      </c>
    </row>
    <row r="855">
      <c r="A855" s="5" t="inlineStr">
        <is>
          <t>기가비스</t>
        </is>
      </c>
      <c r="B855" s="6" t="inlineStr">
        <is>
          <t>420770</t>
        </is>
      </c>
      <c r="C855" s="6" t="inlineStr">
        <is>
          <t>2026Q2</t>
        </is>
      </c>
      <c r="D855" s="6" t="inlineStr">
        <is>
          <t>20260814</t>
        </is>
      </c>
      <c r="E855" s="16" t="inlineStr"/>
      <c r="F855" s="16" t="inlineStr"/>
      <c r="G855" s="16" t="n">
        <v>65266</v>
      </c>
      <c r="H855" s="6" t="inlineStr">
        <is>
          <t>백만원</t>
        </is>
      </c>
      <c r="I855" s="17" t="n">
        <v>251.4</v>
      </c>
      <c r="J855" s="18" t="inlineStr"/>
      <c r="K855" s="19" t="inlineStr"/>
      <c r="L855" s="18" t="inlineStr"/>
      <c r="M855" s="19" t="inlineStr"/>
      <c r="N855" s="18" t="n">
        <v>33402</v>
      </c>
      <c r="O855" s="19" t="n">
        <v>34423</v>
      </c>
      <c r="P855" s="18" t="n">
        <v>34604</v>
      </c>
      <c r="Q855" s="19" t="n">
        <v>13566</v>
      </c>
      <c r="R855" s="18" t="n">
        <v>18575</v>
      </c>
      <c r="S855" s="20" t="n">
        <v>65266</v>
      </c>
      <c r="T855" s="6" t="n">
        <v>1</v>
      </c>
      <c r="U855" s="5" t="inlineStr">
        <is>
          <t>반도체 기판 검사 및 수리장비</t>
        </is>
      </c>
      <c r="V855" s="21">
        <f>HYPERLINK("https://dart.fss.or.kr/dsaf001/main.do?rcpNo=20260814003218", "공시열람")</f>
        <v/>
      </c>
    </row>
    <row r="856">
      <c r="A856" s="5" t="inlineStr">
        <is>
          <t>벨로크</t>
        </is>
      </c>
      <c r="B856" s="6" t="inlineStr">
        <is>
          <t>424760</t>
        </is>
      </c>
      <c r="C856" s="6" t="inlineStr">
        <is>
          <t>2026Q2</t>
        </is>
      </c>
      <c r="D856" s="6" t="inlineStr">
        <is>
          <t>20260814</t>
        </is>
      </c>
      <c r="E856" s="16" t="n">
        <v>23653</v>
      </c>
      <c r="F856" s="16" t="n">
        <v>8952</v>
      </c>
      <c r="G856" s="16" t="n">
        <v>14700</v>
      </c>
      <c r="H856" s="6" t="inlineStr">
        <is>
          <t>백만원</t>
        </is>
      </c>
      <c r="I856" s="17" t="n">
        <v>-1.2</v>
      </c>
      <c r="J856" s="18" t="n">
        <v>10016</v>
      </c>
      <c r="K856" s="19" t="n">
        <v>8613</v>
      </c>
      <c r="L856" s="18" t="n">
        <v>9280</v>
      </c>
      <c r="M856" s="19" t="n">
        <v>6130</v>
      </c>
      <c r="N856" s="18" t="n">
        <v>6069</v>
      </c>
      <c r="O856" s="19" t="n">
        <v>8753</v>
      </c>
      <c r="P856" s="18" t="n">
        <v>19064</v>
      </c>
      <c r="Q856" s="19" t="n">
        <v>14845</v>
      </c>
      <c r="R856" s="18" t="n">
        <v>14885</v>
      </c>
      <c r="S856" s="20" t="n">
        <v>14700</v>
      </c>
      <c r="T856" s="6" t="n">
        <v>2</v>
      </c>
      <c r="U856" s="5" t="inlineStr">
        <is>
          <t>보안서비스 / 주1) | 보안솔루션 / 주1)</t>
        </is>
      </c>
      <c r="V856" s="21">
        <f>HYPERLINK("https://dart.fss.or.kr/dsaf001/main.do?rcpNo=20260814002442", "공시열람")</f>
        <v/>
      </c>
    </row>
    <row r="857">
      <c r="A857" s="5" t="inlineStr">
        <is>
          <t>스마트레이더시스템</t>
        </is>
      </c>
      <c r="B857" s="6" t="inlineStr">
        <is>
          <t>424960</t>
        </is>
      </c>
      <c r="C857" s="6" t="inlineStr">
        <is>
          <t>2023Q4</t>
        </is>
      </c>
      <c r="D857" s="6" t="inlineStr">
        <is>
          <t>20240320</t>
        </is>
      </c>
      <c r="E857" s="16" t="n">
        <v>2505</v>
      </c>
      <c r="F857" s="16" t="n">
        <v>473</v>
      </c>
      <c r="G857" s="16" t="n">
        <v>2032</v>
      </c>
      <c r="H857" s="6" t="inlineStr"/>
      <c r="I857" s="17" t="inlineStr"/>
      <c r="J857" s="18" t="inlineStr"/>
      <c r="K857" s="19" t="inlineStr"/>
      <c r="L857" s="18" t="inlineStr"/>
      <c r="M857" s="19" t="inlineStr"/>
      <c r="N857" s="18" t="inlineStr"/>
      <c r="O857" s="19" t="inlineStr"/>
      <c r="P857" s="18" t="inlineStr"/>
      <c r="Q857" s="19" t="inlineStr"/>
      <c r="R857" s="18" t="inlineStr"/>
      <c r="S857" s="20" t="inlineStr"/>
      <c r="T857" s="6" t="n">
        <v>6</v>
      </c>
      <c r="U857" s="5" t="inlineStr">
        <is>
          <t>비모빌리티 / 스마트시티 / 2023~ | 비모빌리티 / 산업 / 2023~ | 모빌리티 / 특수장비차 / 2023~</t>
        </is>
      </c>
      <c r="V857" s="21">
        <f>HYPERLINK("https://dart.fss.or.kr/dsaf001/main.do?rcpNo=20240320001173", "공시열람")</f>
        <v/>
      </c>
    </row>
    <row r="858">
      <c r="A858" s="5" t="inlineStr">
        <is>
          <t>케이쓰리아이</t>
        </is>
      </c>
      <c r="B858" s="6" t="inlineStr">
        <is>
          <t>431190</t>
        </is>
      </c>
      <c r="C858" s="6" t="inlineStr">
        <is>
          <t>2026Q2</t>
        </is>
      </c>
      <c r="D858" s="6" t="inlineStr">
        <is>
          <t>20260813</t>
        </is>
      </c>
      <c r="E858" s="16" t="n">
        <v>7103</v>
      </c>
      <c r="F858" s="16" t="n">
        <v>6103</v>
      </c>
      <c r="G858" s="16" t="n">
        <v>7783</v>
      </c>
      <c r="H858" s="6" t="inlineStr">
        <is>
          <t>백만원</t>
        </is>
      </c>
      <c r="I858" s="17" t="n">
        <v>30.7</v>
      </c>
      <c r="J858" s="18" t="inlineStr"/>
      <c r="K858" s="19" t="inlineStr"/>
      <c r="L858" s="18" t="n">
        <v>5952</v>
      </c>
      <c r="M858" s="19" t="n">
        <v>4677</v>
      </c>
      <c r="N858" s="18" t="n">
        <v>3230</v>
      </c>
      <c r="O858" s="19" t="n">
        <v>7058</v>
      </c>
      <c r="P858" s="18" t="n">
        <v>8413</v>
      </c>
      <c r="Q858" s="19" t="n">
        <v>6783</v>
      </c>
      <c r="R858" s="18" t="n">
        <v>5955</v>
      </c>
      <c r="S858" s="20" t="n">
        <v>7783</v>
      </c>
      <c r="T858" s="6" t="n">
        <v>2</v>
      </c>
      <c r="U858" s="5" t="inlineStr">
        <is>
          <t>XR 사업 / - | 디지털트윈 및 기타 / -</t>
        </is>
      </c>
      <c r="V858" s="21">
        <f>HYPERLINK("https://dart.fss.or.kr/dsaf001/main.do?rcpNo=20260813001741", "공시열람")</f>
        <v/>
      </c>
    </row>
    <row r="859">
      <c r="A859" s="5" t="inlineStr">
        <is>
          <t>와이랩</t>
        </is>
      </c>
      <c r="B859" s="6" t="inlineStr">
        <is>
          <t>432430</t>
        </is>
      </c>
      <c r="C859" s="6" t="inlineStr">
        <is>
          <t>2026Q2</t>
        </is>
      </c>
      <c r="D859" s="6" t="inlineStr">
        <is>
          <t>20260814</t>
        </is>
      </c>
      <c r="E859" s="16" t="n">
        <v>5600000</v>
      </c>
      <c r="F859" s="16" t="inlineStr"/>
      <c r="G859" s="16" t="n">
        <v>5600000</v>
      </c>
      <c r="H859" s="6" t="inlineStr">
        <is>
          <t>천원</t>
        </is>
      </c>
      <c r="I859" s="17" t="n">
        <v>0</v>
      </c>
      <c r="J859" s="18" t="inlineStr"/>
      <c r="K859" s="19" t="inlineStr"/>
      <c r="L859" s="18" t="inlineStr"/>
      <c r="M859" s="19" t="inlineStr"/>
      <c r="N859" s="18" t="inlineStr"/>
      <c r="O859" s="19" t="n">
        <v>5600000</v>
      </c>
      <c r="P859" s="18" t="n">
        <v>5600000</v>
      </c>
      <c r="Q859" s="19" t="n">
        <v>5600000</v>
      </c>
      <c r="R859" s="18" t="n">
        <v>5600000</v>
      </c>
      <c r="S859" s="20" t="n">
        <v>5600000</v>
      </c>
      <c r="T859" s="6" t="n">
        <v>1</v>
      </c>
      <c r="U859" s="5" t="inlineStr">
        <is>
          <t>드라마 제작 대행 계약 / 2024-06-28 / 20</t>
        </is>
      </c>
      <c r="V859" s="21">
        <f>HYPERLINK("https://dart.fss.or.kr/dsaf001/main.do?rcpNo=20260814001850", "공시열람")</f>
        <v/>
      </c>
    </row>
    <row r="860">
      <c r="A860" s="5" t="inlineStr">
        <is>
          <t>버넥트</t>
        </is>
      </c>
      <c r="B860" s="6" t="inlineStr">
        <is>
          <t>438700</t>
        </is>
      </c>
      <c r="C860" s="6" t="inlineStr">
        <is>
          <t>2026Q2</t>
        </is>
      </c>
      <c r="D860" s="6" t="inlineStr">
        <is>
          <t>20260814</t>
        </is>
      </c>
      <c r="E860" s="16" t="n">
        <v>1038</v>
      </c>
      <c r="F860" s="16" t="n">
        <v>727</v>
      </c>
      <c r="G860" s="16" t="n">
        <v>311</v>
      </c>
      <c r="H860" s="6" t="inlineStr"/>
      <c r="I860" s="17" t="n">
        <v>-65.90000000000001</v>
      </c>
      <c r="J860" s="18" t="n">
        <v>1032</v>
      </c>
      <c r="K860" s="19" t="n">
        <v>874</v>
      </c>
      <c r="L860" s="18" t="n">
        <v>835</v>
      </c>
      <c r="M860" s="19" t="n">
        <v>558</v>
      </c>
      <c r="N860" s="18" t="n">
        <v>764</v>
      </c>
      <c r="O860" s="19" t="n">
        <v>1274</v>
      </c>
      <c r="P860" s="18" t="n">
        <v>1061</v>
      </c>
      <c r="Q860" s="19" t="n">
        <v>892</v>
      </c>
      <c r="R860" s="18" t="n">
        <v>912</v>
      </c>
      <c r="S860" s="20" t="n">
        <v>311</v>
      </c>
      <c r="T860" s="6" t="n">
        <v>5</v>
      </c>
      <c r="U860" s="5" t="inlineStr">
        <is>
          <t>D / 라이선스 / 2026.01.19 | E / 솔루션 / 2026.06.04 | B / 솔루션 / 2026.01.14</t>
        </is>
      </c>
      <c r="V860" s="21">
        <f>HYPERLINK("https://dart.fss.or.kr/dsaf001/main.do?rcpNo=20260814002340", "공시열람")</f>
        <v/>
      </c>
    </row>
    <row r="861">
      <c r="A861" s="5" t="inlineStr">
        <is>
          <t>대한조선</t>
        </is>
      </c>
      <c r="B861" s="6" t="inlineStr">
        <is>
          <t>439260</t>
        </is>
      </c>
      <c r="C861" s="6" t="inlineStr">
        <is>
          <t>2026Q2</t>
        </is>
      </c>
      <c r="D861" s="6" t="inlineStr">
        <is>
          <t>20260814</t>
        </is>
      </c>
      <c r="E861" s="16" t="inlineStr"/>
      <c r="F861" s="16" t="n">
        <v>657618</v>
      </c>
      <c r="G861" s="16" t="n">
        <v>2366510</v>
      </c>
      <c r="H861" s="6" t="inlineStr">
        <is>
          <t>척,백만원</t>
        </is>
      </c>
      <c r="I861" s="17" t="n">
        <v>39.7</v>
      </c>
      <c r="J861" s="18" t="inlineStr"/>
      <c r="K861" s="19" t="inlineStr"/>
      <c r="L861" s="18" t="inlineStr"/>
      <c r="M861" s="19" t="inlineStr"/>
      <c r="N861" s="18" t="inlineStr"/>
      <c r="O861" s="19" t="n">
        <v>1821580</v>
      </c>
      <c r="P861" s="18" t="n">
        <v>1572066</v>
      </c>
      <c r="Q861" s="19" t="n">
        <v>1723129</v>
      </c>
      <c r="R861" s="18" t="n">
        <v>1694146</v>
      </c>
      <c r="S861" s="20" t="n">
        <v>2366510</v>
      </c>
      <c r="T861" s="6" t="n">
        <v>1</v>
      </c>
      <c r="U861" s="5" t="inlineStr">
        <is>
          <t>선박 / 26년 6월 30일까지 / -</t>
        </is>
      </c>
      <c r="V861" s="21">
        <f>HYPERLINK("https://dart.fss.or.kr/dsaf001/main.do?rcpNo=20260814001422", "공시열람")</f>
        <v/>
      </c>
    </row>
    <row r="862">
      <c r="A862" s="5" t="inlineStr">
        <is>
          <t>파두</t>
        </is>
      </c>
      <c r="B862" s="6" t="inlineStr">
        <is>
          <t>440110</t>
        </is>
      </c>
      <c r="C862" s="6" t="inlineStr">
        <is>
          <t>2026Q2</t>
        </is>
      </c>
      <c r="D862" s="6" t="inlineStr">
        <is>
          <t>20260813</t>
        </is>
      </c>
      <c r="E862" s="16" t="n">
        <v>205625</v>
      </c>
      <c r="F862" s="16" t="n">
        <v>13870</v>
      </c>
      <c r="G862" s="16" t="n">
        <v>191755</v>
      </c>
      <c r="H862" s="6" t="inlineStr">
        <is>
          <t>천USD</t>
        </is>
      </c>
      <c r="I862" s="17" t="n">
        <v>65</v>
      </c>
      <c r="J862" s="18" t="inlineStr"/>
      <c r="K862" s="19" t="n">
        <v>13985</v>
      </c>
      <c r="L862" s="18" t="n">
        <v>17671</v>
      </c>
      <c r="M862" s="19" t="n">
        <v>28971</v>
      </c>
      <c r="N862" s="18" t="n">
        <v>24070</v>
      </c>
      <c r="O862" s="19" t="n">
        <v>6292</v>
      </c>
      <c r="P862" s="18" t="n">
        <v>20675</v>
      </c>
      <c r="Q862" s="19" t="n">
        <v>69906</v>
      </c>
      <c r="R862" s="18" t="n">
        <v>116208</v>
      </c>
      <c r="S862" s="20" t="n">
        <v>191755</v>
      </c>
      <c r="T862" s="6" t="n">
        <v>11</v>
      </c>
      <c r="U862" s="5" t="inlineStr">
        <is>
          <t>SSD 컨트롤러 (주1) / 2026.05.05 / 2 | SSD 완제품 (주1) / 2025.11.04 / 20 | SSD 컨트롤러 / 2026.05.28 / 2026.1</t>
        </is>
      </c>
      <c r="V862" s="21">
        <f>HYPERLINK("https://dart.fss.or.kr/dsaf001/main.do?rcpNo=20260813001260", "공시열람")</f>
        <v/>
      </c>
    </row>
    <row r="863">
      <c r="A863" s="5" t="inlineStr">
        <is>
          <t>오픈놀</t>
        </is>
      </c>
      <c r="B863" s="6" t="inlineStr">
        <is>
          <t>440320</t>
        </is>
      </c>
      <c r="C863" s="6" t="inlineStr">
        <is>
          <t>2026Q2</t>
        </is>
      </c>
      <c r="D863" s="6" t="inlineStr">
        <is>
          <t>20260812</t>
        </is>
      </c>
      <c r="E863" s="16" t="n">
        <v>63805</v>
      </c>
      <c r="F863" s="16" t="n">
        <v>39285</v>
      </c>
      <c r="G863" s="16" t="n">
        <v>24520</v>
      </c>
      <c r="H863" s="6" t="inlineStr">
        <is>
          <t>백만원</t>
        </is>
      </c>
      <c r="I863" s="17" t="n">
        <v>-17.6</v>
      </c>
      <c r="J863" s="18" t="n">
        <v>17333</v>
      </c>
      <c r="K863" s="19" t="n">
        <v>13782</v>
      </c>
      <c r="L863" s="18" t="n">
        <v>8543</v>
      </c>
      <c r="M863" s="19" t="n">
        <v>626</v>
      </c>
      <c r="N863" s="18" t="n">
        <v>17577</v>
      </c>
      <c r="O863" s="19" t="n">
        <v>17477</v>
      </c>
      <c r="P863" s="18" t="n">
        <v>9512</v>
      </c>
      <c r="Q863" s="19" t="n">
        <v>5995</v>
      </c>
      <c r="R863" s="18" t="n">
        <v>29769</v>
      </c>
      <c r="S863" s="20" t="n">
        <v>24520</v>
      </c>
      <c r="T863" s="6" t="n">
        <v>1</v>
      </c>
      <c r="U863" s="5" t="inlineStr">
        <is>
          <t xml:space="preserve">미니인턴 및 플랫폼서비스 등 / 수주과업에 따라 다름 </t>
        </is>
      </c>
      <c r="V863" s="21">
        <f>HYPERLINK("https://dart.fss.or.kr/dsaf001/main.do?rcpNo=20260812000706", "공시열람")</f>
        <v/>
      </c>
    </row>
    <row r="864">
      <c r="A864" s="5" t="inlineStr">
        <is>
          <t>HD현대마린솔루션</t>
        </is>
      </c>
      <c r="B864" s="6" t="inlineStr">
        <is>
          <t>443060</t>
        </is>
      </c>
      <c r="C864" s="6" t="inlineStr">
        <is>
          <t>2026Q2</t>
        </is>
      </c>
      <c r="D864" s="6" t="inlineStr">
        <is>
          <t>20260814</t>
        </is>
      </c>
      <c r="E864" s="16" t="inlineStr"/>
      <c r="F864" s="16" t="n">
        <v>50122</v>
      </c>
      <c r="G864" s="16" t="n">
        <v>206776</v>
      </c>
      <c r="H864" s="6" t="inlineStr">
        <is>
          <t>백만원</t>
        </is>
      </c>
      <c r="I864" s="17" t="n">
        <v>-7.7</v>
      </c>
      <c r="J864" s="18" t="inlineStr"/>
      <c r="K864" s="19" t="n">
        <v>212169</v>
      </c>
      <c r="L864" s="18" t="n">
        <v>208069</v>
      </c>
      <c r="M864" s="19" t="n">
        <v>189745</v>
      </c>
      <c r="N864" s="18" t="n">
        <v>166251</v>
      </c>
      <c r="O864" s="19" t="n">
        <v>198690</v>
      </c>
      <c r="P864" s="18" t="n">
        <v>245057</v>
      </c>
      <c r="Q864" s="19" t="n">
        <v>230592</v>
      </c>
      <c r="R864" s="18" t="n">
        <v>224108</v>
      </c>
      <c r="S864" s="20" t="n">
        <v>206776</v>
      </c>
      <c r="T864" s="6" t="n">
        <v>1</v>
      </c>
      <c r="U864" s="5" t="inlineStr">
        <is>
          <t>친환경솔루션(FSRU, FSU, EPLO, EGCS 등</t>
        </is>
      </c>
      <c r="V864" s="21">
        <f>HYPERLINK("https://dart.fss.or.kr/dsaf001/main.do?rcpNo=20260814001752", "공시열람")</f>
        <v/>
      </c>
    </row>
    <row r="865">
      <c r="A865" s="5" t="inlineStr">
        <is>
          <t>에스피소프트</t>
        </is>
      </c>
      <c r="B865" s="6" t="inlineStr">
        <is>
          <t>443670</t>
        </is>
      </c>
      <c r="C865" s="6" t="inlineStr">
        <is>
          <t>2026Q2</t>
        </is>
      </c>
      <c r="D865" s="6" t="inlineStr">
        <is>
          <t>20260813</t>
        </is>
      </c>
      <c r="E865" s="16" t="n">
        <v>3407554637</v>
      </c>
      <c r="F865" s="16" t="n">
        <v>1946409832</v>
      </c>
      <c r="G865" s="16" t="n">
        <v>1461144805</v>
      </c>
      <c r="H865" s="6" t="inlineStr">
        <is>
          <t>원</t>
        </is>
      </c>
      <c r="I865" s="17" t="n">
        <v>-15.2</v>
      </c>
      <c r="J865" s="18" t="n">
        <v>233127200</v>
      </c>
      <c r="K865" s="19" t="n">
        <v>281341222</v>
      </c>
      <c r="L865" s="18" t="n">
        <v>725537324</v>
      </c>
      <c r="M865" s="19" t="n">
        <v>587056645</v>
      </c>
      <c r="N865" s="18" t="n">
        <v>771439808</v>
      </c>
      <c r="O865" s="19" t="n">
        <v>735886927</v>
      </c>
      <c r="P865" s="18" t="n">
        <v>1244237864</v>
      </c>
      <c r="Q865" s="19" t="n">
        <v>1656260847</v>
      </c>
      <c r="R865" s="18" t="n">
        <v>1723488129</v>
      </c>
      <c r="S865" s="20" t="n">
        <v>1461144805</v>
      </c>
      <c r="T865" s="6" t="n">
        <v>3</v>
      </c>
      <c r="U865" s="5" t="inlineStr">
        <is>
          <t>M365 / - | SPLA / - | 라이선스 / -</t>
        </is>
      </c>
      <c r="V865" s="21">
        <f>HYPERLINK("https://dart.fss.or.kr/dsaf001/main.do?rcpNo=20260813001182", "공시열람")</f>
        <v/>
      </c>
    </row>
    <row r="866">
      <c r="A866" s="5" t="inlineStr">
        <is>
          <t>심플랫폼</t>
        </is>
      </c>
      <c r="B866" s="6" t="inlineStr">
        <is>
          <t>444530</t>
        </is>
      </c>
      <c r="C866" s="6" t="inlineStr">
        <is>
          <t>2026Q2</t>
        </is>
      </c>
      <c r="D866" s="6" t="inlineStr">
        <is>
          <t>20260814</t>
        </is>
      </c>
      <c r="E866" s="16" t="n">
        <v>8009183</v>
      </c>
      <c r="F866" s="16" t="inlineStr"/>
      <c r="G866" s="16" t="n">
        <v>5291531</v>
      </c>
      <c r="H866" s="6" t="inlineStr">
        <is>
          <t>천원</t>
        </is>
      </c>
      <c r="I866" s="17" t="n">
        <v>45.4</v>
      </c>
      <c r="J866" s="18" t="inlineStr"/>
      <c r="K866" s="19" t="inlineStr"/>
      <c r="L866" s="18" t="inlineStr"/>
      <c r="M866" s="19" t="inlineStr"/>
      <c r="N866" s="18" t="inlineStr"/>
      <c r="O866" s="19" t="inlineStr"/>
      <c r="P866" s="18" t="n">
        <v>3467214</v>
      </c>
      <c r="Q866" s="19" t="n">
        <v>707420</v>
      </c>
      <c r="R866" s="18" t="n">
        <v>3638291</v>
      </c>
      <c r="S866" s="20" t="n">
        <v>5291531</v>
      </c>
      <c r="T866" s="6" t="n">
        <v>1</v>
      </c>
      <c r="U866" s="5" t="inlineStr">
        <is>
          <t>NUBISON AX</t>
        </is>
      </c>
      <c r="V866" s="21">
        <f>HYPERLINK("https://dart.fss.or.kr/dsaf001/main.do?rcpNo=20260814002308", "공시열람")</f>
        <v/>
      </c>
    </row>
    <row r="867">
      <c r="A867" s="5" t="inlineStr">
        <is>
          <t>에이직랜드</t>
        </is>
      </c>
      <c r="B867" s="6" t="inlineStr">
        <is>
          <t>445090</t>
        </is>
      </c>
      <c r="C867" s="6" t="inlineStr">
        <is>
          <t>2026Q2</t>
        </is>
      </c>
      <c r="D867" s="6" t="inlineStr">
        <is>
          <t>20260814</t>
        </is>
      </c>
      <c r="E867" s="16" t="n">
        <v>179082</v>
      </c>
      <c r="F867" s="16" t="n">
        <v>16510</v>
      </c>
      <c r="G867" s="16" t="n">
        <v>61821</v>
      </c>
      <c r="H867" s="6" t="inlineStr">
        <is>
          <t>백만원</t>
        </is>
      </c>
      <c r="I867" s="17" t="n">
        <v>-29.6</v>
      </c>
      <c r="J867" s="18" t="n">
        <v>93489</v>
      </c>
      <c r="K867" s="19" t="inlineStr"/>
      <c r="L867" s="18" t="inlineStr"/>
      <c r="M867" s="19" t="n">
        <v>62757</v>
      </c>
      <c r="N867" s="18" t="n">
        <v>64207</v>
      </c>
      <c r="O867" s="19" t="inlineStr"/>
      <c r="P867" s="18" t="n">
        <v>84994</v>
      </c>
      <c r="Q867" s="19" t="n">
        <v>100686</v>
      </c>
      <c r="R867" s="18" t="n">
        <v>87824</v>
      </c>
      <c r="S867" s="20" t="n">
        <v>61821</v>
      </c>
      <c r="T867" s="6" t="n">
        <v>7</v>
      </c>
      <c r="U867" s="5" t="inlineStr">
        <is>
          <t>주문형 반도체 설계 / 2024.11.01 / 2026 | 주문형 반도체 설계 / 2025.05.27 / 2027 | 양산 계약 / 2026.01.08 / 2026.12.3</t>
        </is>
      </c>
      <c r="V867" s="21">
        <f>HYPERLINK("https://dart.fss.or.kr/dsaf001/main.do?rcpNo=20260814000520", "공시열람")</f>
        <v/>
      </c>
    </row>
    <row r="868">
      <c r="A868" s="5" t="inlineStr">
        <is>
          <t>큐리옥스바이오시스템즈</t>
        </is>
      </c>
      <c r="B868" s="6" t="inlineStr">
        <is>
          <t>445680</t>
        </is>
      </c>
      <c r="C868" s="6" t="inlineStr">
        <is>
          <t>2026Q2</t>
        </is>
      </c>
      <c r="D868" s="6" t="inlineStr">
        <is>
          <t>20260814</t>
        </is>
      </c>
      <c r="E868" s="16" t="n">
        <v>3532</v>
      </c>
      <c r="F868" s="16" t="n">
        <v>619</v>
      </c>
      <c r="G868" s="16" t="n">
        <v>2913</v>
      </c>
      <c r="H868" s="6" t="inlineStr">
        <is>
          <t>대,백만원</t>
        </is>
      </c>
      <c r="I868" s="17" t="n">
        <v>0</v>
      </c>
      <c r="J868" s="18" t="n">
        <v>2643056640</v>
      </c>
      <c r="K868" s="19" t="n">
        <v>2643056640</v>
      </c>
      <c r="L868" s="18" t="n">
        <v>2643056640</v>
      </c>
      <c r="M868" s="19" t="n">
        <v>2643</v>
      </c>
      <c r="N868" s="18" t="n">
        <v>2643</v>
      </c>
      <c r="O868" s="19" t="n">
        <v>3454</v>
      </c>
      <c r="P868" s="18" t="n">
        <v>2934</v>
      </c>
      <c r="Q868" s="19" t="n">
        <v>2913</v>
      </c>
      <c r="R868" s="18" t="n">
        <v>2913</v>
      </c>
      <c r="S868" s="20" t="n">
        <v>2913</v>
      </c>
      <c r="T868" s="6" t="n">
        <v>1</v>
      </c>
      <c r="U868" s="5" t="inlineStr">
        <is>
          <t>Laminar Wash HT 2000 시스템/Lamin</t>
        </is>
      </c>
      <c r="V868" s="21">
        <f>HYPERLINK("https://dart.fss.or.kr/dsaf001/main.do?rcpNo=20260814004125", "공시열람")</f>
        <v/>
      </c>
    </row>
    <row r="869">
      <c r="A869" s="5" t="inlineStr">
        <is>
          <t>에코아이</t>
        </is>
      </c>
      <c r="B869" s="6" t="inlineStr">
        <is>
          <t>448280</t>
        </is>
      </c>
      <c r="C869" s="6" t="inlineStr">
        <is>
          <t>2026Q2</t>
        </is>
      </c>
      <c r="D869" s="6" t="inlineStr">
        <is>
          <t>20260814</t>
        </is>
      </c>
      <c r="E869" s="16" t="n">
        <v>2825303</v>
      </c>
      <c r="F869" s="16" t="n">
        <v>6999</v>
      </c>
      <c r="G869" s="16" t="n">
        <v>8480</v>
      </c>
      <c r="H869" s="6" t="inlineStr">
        <is>
          <t>톤,백만원</t>
        </is>
      </c>
      <c r="I869" s="17" t="n">
        <v>0</v>
      </c>
      <c r="J869" s="18" t="n">
        <v>8476</v>
      </c>
      <c r="K869" s="19" t="n">
        <v>8476</v>
      </c>
      <c r="L869" s="18" t="n">
        <v>8476</v>
      </c>
      <c r="M869" s="19" t="n">
        <v>8476</v>
      </c>
      <c r="N869" s="18" t="n">
        <v>8476</v>
      </c>
      <c r="O869" s="19" t="n">
        <v>8480</v>
      </c>
      <c r="P869" s="18" t="n">
        <v>8480</v>
      </c>
      <c r="Q869" s="19" t="n">
        <v>8480</v>
      </c>
      <c r="R869" s="18" t="n">
        <v>8480</v>
      </c>
      <c r="S869" s="20" t="n">
        <v>8480</v>
      </c>
      <c r="T869" s="6" t="n">
        <v>11</v>
      </c>
      <c r="U869" s="5" t="inlineStr">
        <is>
          <t>방글라데시 / 쿡스토브 / i-KOC / 2019-09 | 미얀마 / 쿡스토브 / i-KOC / 2020-02-2 | 미얀마 / 쿡스토브 / i-KOC / 2020-02-2</t>
        </is>
      </c>
      <c r="V869" s="21">
        <f>HYPERLINK("https://dart.fss.or.kr/dsaf001/main.do?rcpNo=20260814000143", "공시열람")</f>
        <v/>
      </c>
    </row>
    <row r="870">
      <c r="A870" s="5" t="inlineStr">
        <is>
          <t>한국피아이엠</t>
        </is>
      </c>
      <c r="B870" s="6" t="inlineStr">
        <is>
          <t>448900</t>
        </is>
      </c>
      <c r="C870" s="6" t="inlineStr">
        <is>
          <t>2026Q2</t>
        </is>
      </c>
      <c r="D870" s="6" t="inlineStr">
        <is>
          <t>20260814</t>
        </is>
      </c>
      <c r="E870" s="16" t="n">
        <v>48337998</v>
      </c>
      <c r="F870" s="16" t="n">
        <v>5920553</v>
      </c>
      <c r="G870" s="16" t="n">
        <v>42417445</v>
      </c>
      <c r="H870" s="6" t="inlineStr">
        <is>
          <t>천원</t>
        </is>
      </c>
      <c r="I870" s="17" t="n">
        <v>7.4</v>
      </c>
      <c r="J870" s="18" t="inlineStr"/>
      <c r="K870" s="19" t="inlineStr"/>
      <c r="L870" s="18" t="inlineStr"/>
      <c r="M870" s="19" t="n">
        <v>27015058</v>
      </c>
      <c r="N870" s="18" t="n">
        <v>31114346</v>
      </c>
      <c r="O870" s="19" t="n">
        <v>35687974</v>
      </c>
      <c r="P870" s="18" t="n">
        <v>35516371</v>
      </c>
      <c r="Q870" s="19" t="n">
        <v>39811667</v>
      </c>
      <c r="R870" s="18" t="n">
        <v>39492025</v>
      </c>
      <c r="S870" s="20" t="n">
        <v>42417445</v>
      </c>
      <c r="T870" s="6" t="n">
        <v>10</v>
      </c>
      <c r="U870" s="5" t="inlineStr">
        <is>
          <t>V / 수시 | M / 수시 | A / 수시</t>
        </is>
      </c>
      <c r="V870" s="21">
        <f>HYPERLINK("https://dart.fss.or.kr/dsaf001/main.do?rcpNo=20260814004093", "공시열람")</f>
        <v/>
      </c>
    </row>
    <row r="871">
      <c r="A871" s="5" t="inlineStr">
        <is>
          <t>인스웨이브</t>
        </is>
      </c>
      <c r="B871" s="6" t="inlineStr">
        <is>
          <t>450520</t>
        </is>
      </c>
      <c r="C871" s="6" t="inlineStr">
        <is>
          <t>2026Q2</t>
        </is>
      </c>
      <c r="D871" s="6" t="inlineStr">
        <is>
          <t>20260813</t>
        </is>
      </c>
      <c r="E871" s="16" t="n">
        <v>57030</v>
      </c>
      <c r="F871" s="16" t="n">
        <v>12916</v>
      </c>
      <c r="G871" s="16" t="n">
        <v>44114</v>
      </c>
      <c r="H871" s="6" t="inlineStr">
        <is>
          <t>백만원</t>
        </is>
      </c>
      <c r="I871" s="17" t="n">
        <v>39.9</v>
      </c>
      <c r="J871" s="18" t="n">
        <v>8064</v>
      </c>
      <c r="K871" s="19" t="n">
        <v>7103</v>
      </c>
      <c r="L871" s="18" t="n">
        <v>14142</v>
      </c>
      <c r="M871" s="19" t="n">
        <v>12212</v>
      </c>
      <c r="N871" s="18" t="n">
        <v>12176</v>
      </c>
      <c r="O871" s="19" t="n">
        <v>10862</v>
      </c>
      <c r="P871" s="18" t="n">
        <v>13744</v>
      </c>
      <c r="Q871" s="19" t="n">
        <v>20855</v>
      </c>
      <c r="R871" s="18" t="n">
        <v>31529</v>
      </c>
      <c r="S871" s="20" t="n">
        <v>44114</v>
      </c>
      <c r="T871" s="6" t="n">
        <v>4</v>
      </c>
      <c r="U871" s="5" t="inlineStr">
        <is>
          <t>농협은행 계정계 차세대 (프로젝트 NEO) / 2026 | 기타 | 코어뱅킹현대화_웹단말전환 / 2026-06-01 / 2</t>
        </is>
      </c>
      <c r="V871" s="21">
        <f>HYPERLINK("https://dart.fss.or.kr/dsaf001/main.do?rcpNo=20260813001397", "공시열람")</f>
        <v/>
      </c>
    </row>
    <row r="872">
      <c r="A872" s="5" t="inlineStr">
        <is>
          <t>아이엠티</t>
        </is>
      </c>
      <c r="B872" s="6" t="inlineStr">
        <is>
          <t>451220</t>
        </is>
      </c>
      <c r="C872" s="6" t="inlineStr">
        <is>
          <t>2026Q2</t>
        </is>
      </c>
      <c r="D872" s="6" t="inlineStr">
        <is>
          <t>20260814</t>
        </is>
      </c>
      <c r="E872" s="16" t="n">
        <v>1280000</v>
      </c>
      <c r="F872" s="16" t="inlineStr"/>
      <c r="G872" s="16" t="n">
        <v>1280000</v>
      </c>
      <c r="H872" s="6" t="inlineStr">
        <is>
          <t>대,USD</t>
        </is>
      </c>
      <c r="I872" s="17" t="n">
        <v>0</v>
      </c>
      <c r="J872" s="18" t="inlineStr"/>
      <c r="K872" s="19" t="inlineStr"/>
      <c r="L872" s="18" t="inlineStr"/>
      <c r="M872" s="19" t="n">
        <v>1295000</v>
      </c>
      <c r="N872" s="18" t="n">
        <v>1295000</v>
      </c>
      <c r="O872" s="19" t="n">
        <v>2625000</v>
      </c>
      <c r="P872" s="18" t="n">
        <v>2742000</v>
      </c>
      <c r="Q872" s="19" t="n">
        <v>2742000</v>
      </c>
      <c r="R872" s="18" t="n">
        <v>1280000</v>
      </c>
      <c r="S872" s="20" t="n">
        <v>1280000</v>
      </c>
      <c r="T872" s="6" t="n">
        <v>1</v>
      </c>
      <c r="U872" s="5" t="inlineStr">
        <is>
          <t>HBM용 Wafer 세정장비 / 2025-09-02 /</t>
        </is>
      </c>
      <c r="V872" s="21">
        <f>HYPERLINK("https://dart.fss.or.kr/dsaf001/main.do?rcpNo=20260814001618", "공시열람")</f>
        <v/>
      </c>
    </row>
    <row r="873">
      <c r="A873" s="5" t="inlineStr">
        <is>
          <t>컨텍</t>
        </is>
      </c>
      <c r="B873" s="6" t="inlineStr">
        <is>
          <t>451760</t>
        </is>
      </c>
      <c r="C873" s="6" t="inlineStr">
        <is>
          <t>2026Q2</t>
        </is>
      </c>
      <c r="D873" s="6" t="inlineStr">
        <is>
          <t>20260814</t>
        </is>
      </c>
      <c r="E873" s="16" t="inlineStr"/>
      <c r="F873" s="16" t="inlineStr"/>
      <c r="G873" s="16" t="n">
        <v>32777553</v>
      </c>
      <c r="H873" s="6" t="inlineStr">
        <is>
          <t>천원</t>
        </is>
      </c>
      <c r="I873" s="17" t="n">
        <v>-51.8</v>
      </c>
      <c r="J873" s="18" t="n">
        <v>26019</v>
      </c>
      <c r="K873" s="19" t="n">
        <v>21362334</v>
      </c>
      <c r="L873" s="18" t="n">
        <v>70717698</v>
      </c>
      <c r="M873" s="19" t="n">
        <v>70647949</v>
      </c>
      <c r="N873" s="18" t="n">
        <v>70225551</v>
      </c>
      <c r="O873" s="19" t="n">
        <v>58061079</v>
      </c>
      <c r="P873" s="18" t="n">
        <v>56043528</v>
      </c>
      <c r="Q873" s="19" t="n">
        <v>63004833</v>
      </c>
      <c r="R873" s="18" t="n">
        <v>68071376</v>
      </c>
      <c r="S873" s="20" t="n">
        <v>32777553</v>
      </c>
      <c r="T873" s="6" t="n">
        <v>4</v>
      </c>
      <c r="U873" s="5" t="inlineStr">
        <is>
          <t>위성제조 및 서비스 솔루션 | 기 타 | 지상국솔루션 / -</t>
        </is>
      </c>
      <c r="V873" s="21">
        <f>HYPERLINK("https://dart.fss.or.kr/dsaf001/main.do?rcpNo=20260814001522", "공시열람")</f>
        <v/>
      </c>
    </row>
    <row r="874">
      <c r="A874" s="5" t="inlineStr">
        <is>
          <t>제이엔비</t>
        </is>
      </c>
      <c r="B874" s="6" t="inlineStr">
        <is>
          <t>452160</t>
        </is>
      </c>
      <c r="C874" s="6" t="inlineStr">
        <is>
          <t>2024Q1</t>
        </is>
      </c>
      <c r="D874" s="6" t="inlineStr">
        <is>
          <t>20240514</t>
        </is>
      </c>
      <c r="E874" s="16" t="inlineStr"/>
      <c r="F874" s="16" t="inlineStr"/>
      <c r="G874" s="16" t="n">
        <v>1773800</v>
      </c>
      <c r="H874" s="6" t="inlineStr">
        <is>
          <t>USD</t>
        </is>
      </c>
      <c r="I874" s="17" t="n">
        <v>0</v>
      </c>
      <c r="J874" s="18" t="n">
        <v>1773800</v>
      </c>
      <c r="K874" s="19" t="inlineStr"/>
      <c r="L874" s="18" t="inlineStr"/>
      <c r="M874" s="19" t="inlineStr"/>
      <c r="N874" s="18" t="inlineStr"/>
      <c r="O874" s="19" t="inlineStr"/>
      <c r="P874" s="18" t="inlineStr"/>
      <c r="Q874" s="19" t="inlineStr"/>
      <c r="R874" s="18" t="inlineStr"/>
      <c r="S874" s="20" t="inlineStr"/>
      <c r="T874" s="6" t="n">
        <v>1</v>
      </c>
      <c r="U874" s="5" t="inlineStr">
        <is>
          <t>통화선물환 / 중소기업은행</t>
        </is>
      </c>
      <c r="V874" s="21">
        <f>HYPERLINK("https://dart.fss.or.kr/dsaf001/main.do?rcpNo=20240514001502", "공시열람")</f>
        <v/>
      </c>
    </row>
    <row r="875">
      <c r="A875" s="5" t="inlineStr">
        <is>
          <t>한빛레이저</t>
        </is>
      </c>
      <c r="B875" s="6" t="inlineStr">
        <is>
          <t>452190</t>
        </is>
      </c>
      <c r="C875" s="6" t="inlineStr">
        <is>
          <t>2026Q2</t>
        </is>
      </c>
      <c r="D875" s="6" t="inlineStr">
        <is>
          <t>20260813</t>
        </is>
      </c>
      <c r="E875" s="16" t="inlineStr"/>
      <c r="F875" s="16" t="inlineStr"/>
      <c r="G875" s="16" t="n">
        <v>11569483</v>
      </c>
      <c r="H875" s="6" t="inlineStr">
        <is>
          <t>천원</t>
        </is>
      </c>
      <c r="I875" s="17" t="n">
        <v>-4.5</v>
      </c>
      <c r="J875" s="18" t="n">
        <v>13255538</v>
      </c>
      <c r="K875" s="19" t="n">
        <v>14992788</v>
      </c>
      <c r="L875" s="18" t="n">
        <v>12317390</v>
      </c>
      <c r="M875" s="19" t="n">
        <v>12297801</v>
      </c>
      <c r="N875" s="18" t="n">
        <v>18611946</v>
      </c>
      <c r="O875" s="19" t="n">
        <v>14920180</v>
      </c>
      <c r="P875" s="18" t="n">
        <v>15709023</v>
      </c>
      <c r="Q875" s="19" t="n">
        <v>10190703</v>
      </c>
      <c r="R875" s="18" t="n">
        <v>12109195</v>
      </c>
      <c r="S875" s="20" t="n">
        <v>11569483</v>
      </c>
      <c r="T875" s="6" t="n">
        <v>0</v>
      </c>
      <c r="U875" s="5" t="inlineStr"/>
      <c r="V875" s="21">
        <f>HYPERLINK("https://dart.fss.or.kr/dsaf001/main.do?rcpNo=20260813001626", "공시열람")</f>
        <v/>
      </c>
    </row>
    <row r="876">
      <c r="A876" s="5" t="inlineStr">
        <is>
          <t>민테크</t>
        </is>
      </c>
      <c r="B876" s="6" t="inlineStr">
        <is>
          <t>452200</t>
        </is>
      </c>
      <c r="C876" s="6" t="inlineStr">
        <is>
          <t>2026Q2</t>
        </is>
      </c>
      <c r="D876" s="6" t="inlineStr">
        <is>
          <t>20260814</t>
        </is>
      </c>
      <c r="E876" s="16" t="n">
        <v>5486</v>
      </c>
      <c r="F876" s="16" t="n">
        <v>3143</v>
      </c>
      <c r="G876" s="16" t="n">
        <v>2343</v>
      </c>
      <c r="H876" s="6" t="inlineStr">
        <is>
          <t>백만원</t>
        </is>
      </c>
      <c r="I876" s="17" t="n">
        <v>-19.2</v>
      </c>
      <c r="J876" s="18" t="inlineStr"/>
      <c r="K876" s="19" t="n">
        <v>11595</v>
      </c>
      <c r="L876" s="18" t="n">
        <v>11535</v>
      </c>
      <c r="M876" s="19" t="n">
        <v>13841</v>
      </c>
      <c r="N876" s="18" t="n">
        <v>14035</v>
      </c>
      <c r="O876" s="19" t="n">
        <v>17366</v>
      </c>
      <c r="P876" s="18" t="n">
        <v>9319</v>
      </c>
      <c r="Q876" s="19" t="n">
        <v>3917</v>
      </c>
      <c r="R876" s="18" t="n">
        <v>2901</v>
      </c>
      <c r="S876" s="20" t="n">
        <v>2343</v>
      </c>
      <c r="T876" s="6" t="n">
        <v>3</v>
      </c>
      <c r="U876" s="5" t="inlineStr">
        <is>
          <t>기타 / - | 배터리 진단시스템 / - | 충방전검사장비 / -</t>
        </is>
      </c>
      <c r="V876" s="21">
        <f>HYPERLINK("https://dart.fss.or.kr/dsaf001/main.do?rcpNo=20260814002464", "공시열람")</f>
        <v/>
      </c>
    </row>
    <row r="877">
      <c r="A877" s="5" t="inlineStr">
        <is>
          <t>피아이이</t>
        </is>
      </c>
      <c r="B877" s="6" t="inlineStr">
        <is>
          <t>452450</t>
        </is>
      </c>
      <c r="C877" s="6" t="inlineStr">
        <is>
          <t>2026Q2</t>
        </is>
      </c>
      <c r="D877" s="6" t="inlineStr">
        <is>
          <t>20260813</t>
        </is>
      </c>
      <c r="E877" s="16" t="n">
        <v>44944443</v>
      </c>
      <c r="F877" s="16" t="n">
        <v>14691076</v>
      </c>
      <c r="G877" s="16" t="n">
        <v>30253367</v>
      </c>
      <c r="H877" s="6" t="inlineStr">
        <is>
          <t>천원</t>
        </is>
      </c>
      <c r="I877" s="17" t="n">
        <v>-21</v>
      </c>
      <c r="J877" s="18" t="inlineStr"/>
      <c r="K877" s="19" t="inlineStr"/>
      <c r="L877" s="18" t="inlineStr"/>
      <c r="M877" s="19" t="n">
        <v>29345690821</v>
      </c>
      <c r="N877" s="18" t="n">
        <v>29458734</v>
      </c>
      <c r="O877" s="19" t="n">
        <v>28596758</v>
      </c>
      <c r="P877" s="18" t="n">
        <v>31483810</v>
      </c>
      <c r="Q877" s="19" t="n">
        <v>24862774</v>
      </c>
      <c r="R877" s="18" t="n">
        <v>38319372</v>
      </c>
      <c r="S877" s="20" t="n">
        <v>30253367</v>
      </c>
      <c r="T877" s="6" t="n">
        <v>2</v>
      </c>
      <c r="U877" s="5" t="inlineStr">
        <is>
          <t>비전 및 장비 솔루션 | 기타</t>
        </is>
      </c>
      <c r="V877" s="21">
        <f>HYPERLINK("https://dart.fss.or.kr/dsaf001/main.do?rcpNo=20260813001351", "공시열람")</f>
        <v/>
      </c>
    </row>
    <row r="878">
      <c r="A878" s="5" t="inlineStr">
        <is>
          <t>두산로보틱스</t>
        </is>
      </c>
      <c r="B878" s="6" t="inlineStr">
        <is>
          <t>454910</t>
        </is>
      </c>
      <c r="C878" s="6" t="inlineStr">
        <is>
          <t>2026Q1</t>
        </is>
      </c>
      <c r="D878" s="6" t="inlineStr">
        <is>
          <t>20260515</t>
        </is>
      </c>
      <c r="E878" s="16" t="n">
        <v>18100</v>
      </c>
      <c r="F878" s="16" t="n">
        <v>4553</v>
      </c>
      <c r="G878" s="16" t="n">
        <v>13547</v>
      </c>
      <c r="H878" s="6" t="inlineStr">
        <is>
          <t>USD천</t>
        </is>
      </c>
      <c r="I878" s="17" t="n">
        <v>-9</v>
      </c>
      <c r="J878" s="18" t="inlineStr"/>
      <c r="K878" s="19" t="inlineStr"/>
      <c r="L878" s="18" t="inlineStr"/>
      <c r="M878" s="19" t="inlineStr"/>
      <c r="N878" s="18" t="inlineStr"/>
      <c r="O878" s="19" t="inlineStr"/>
      <c r="P878" s="18" t="n">
        <v>9343</v>
      </c>
      <c r="Q878" s="19" t="n">
        <v>14884</v>
      </c>
      <c r="R878" s="18" t="n">
        <v>13547</v>
      </c>
      <c r="S878" s="20" t="inlineStr"/>
      <c r="T878" s="6" t="n">
        <v>1</v>
      </c>
      <c r="U878" s="5" t="inlineStr">
        <is>
          <t>자동화 솔루션 / EOL/CMI 등</t>
        </is>
      </c>
      <c r="V878" s="21">
        <f>HYPERLINK("https://dart.fss.or.kr/dsaf001/main.do?rcpNo=20260515001834", "공시열람")</f>
        <v/>
      </c>
    </row>
    <row r="879">
      <c r="A879" s="5" t="inlineStr">
        <is>
          <t>케이지에이</t>
        </is>
      </c>
      <c r="B879" s="6" t="inlineStr">
        <is>
          <t>455180</t>
        </is>
      </c>
      <c r="C879" s="6" t="inlineStr">
        <is>
          <t>2026Q2</t>
        </is>
      </c>
      <c r="D879" s="6" t="inlineStr">
        <is>
          <t>20260814</t>
        </is>
      </c>
      <c r="E879" s="16" t="n">
        <v>22483930</v>
      </c>
      <c r="F879" s="16" t="n">
        <v>2558748</v>
      </c>
      <c r="G879" s="16" t="n">
        <v>19925182</v>
      </c>
      <c r="H879" s="6" t="inlineStr">
        <is>
          <t>천원</t>
        </is>
      </c>
      <c r="I879" s="17" t="n">
        <v>-99.7</v>
      </c>
      <c r="J879" s="18" t="inlineStr"/>
      <c r="K879" s="19" t="inlineStr"/>
      <c r="L879" s="18" t="inlineStr"/>
      <c r="M879" s="19" t="inlineStr"/>
      <c r="N879" s="18" t="inlineStr"/>
      <c r="O879" s="19" t="inlineStr"/>
      <c r="P879" s="18" t="inlineStr"/>
      <c r="Q879" s="19" t="inlineStr"/>
      <c r="R879" s="18" t="n">
        <v>7546000000</v>
      </c>
      <c r="S879" s="20" t="n">
        <v>19925182</v>
      </c>
      <c r="T879" s="6" t="n">
        <v>2</v>
      </c>
      <c r="U879" s="5" t="inlineStr">
        <is>
          <t>2차전지 전극공정 장비 / - | 기타 / -</t>
        </is>
      </c>
      <c r="V879" s="21">
        <f>HYPERLINK("https://dart.fss.or.kr/dsaf001/main.do?rcpNo=20260814002235", "공시열람")</f>
        <v/>
      </c>
    </row>
    <row r="880">
      <c r="A880" s="5" t="inlineStr">
        <is>
          <t>아이씨티케이</t>
        </is>
      </c>
      <c r="B880" s="6" t="inlineStr">
        <is>
          <t>456010</t>
        </is>
      </c>
      <c r="C880" s="6" t="inlineStr">
        <is>
          <t>2026Q2</t>
        </is>
      </c>
      <c r="D880" s="6" t="inlineStr">
        <is>
          <t>20260814</t>
        </is>
      </c>
      <c r="E880" s="16" t="n">
        <v>14772860</v>
      </c>
      <c r="F880" s="16" t="n">
        <v>3365175</v>
      </c>
      <c r="G880" s="16" t="n">
        <v>11407685</v>
      </c>
      <c r="H880" s="6" t="inlineStr">
        <is>
          <t>천원</t>
        </is>
      </c>
      <c r="I880" s="17" t="n">
        <v>-6.3</v>
      </c>
      <c r="J880" s="18" t="n">
        <v>3710000</v>
      </c>
      <c r="K880" s="19" t="n">
        <v>3345000</v>
      </c>
      <c r="L880" s="18" t="n">
        <v>1700000</v>
      </c>
      <c r="M880" s="19" t="n">
        <v>329700</v>
      </c>
      <c r="N880" s="18" t="n">
        <v>250000</v>
      </c>
      <c r="O880" s="19" t="n">
        <v>360561</v>
      </c>
      <c r="P880" s="18" t="n">
        <v>228859</v>
      </c>
      <c r="Q880" s="19" t="n">
        <v>12761850</v>
      </c>
      <c r="R880" s="18" t="n">
        <v>12180535</v>
      </c>
      <c r="S880" s="20" t="n">
        <v>11407685</v>
      </c>
      <c r="T880" s="6" t="n">
        <v>3</v>
      </c>
      <c r="U880" s="5" t="inlineStr">
        <is>
          <t>개발용역 / 양자암호 솔루션 개발 | 개발용역 / 이동통신사 | 연구용역 / 보안기술연구소</t>
        </is>
      </c>
      <c r="V880" s="21">
        <f>HYPERLINK("https://dart.fss.or.kr/dsaf001/main.do?rcpNo=20260814003391", "공시열람")</f>
        <v/>
      </c>
    </row>
    <row r="881">
      <c r="A881" s="5" t="inlineStr">
        <is>
          <t>이엔셀</t>
        </is>
      </c>
      <c r="B881" s="6" t="inlineStr">
        <is>
          <t>456070</t>
        </is>
      </c>
      <c r="C881" s="6" t="inlineStr">
        <is>
          <t>2026Q2</t>
        </is>
      </c>
      <c r="D881" s="6" t="inlineStr">
        <is>
          <t>20260814</t>
        </is>
      </c>
      <c r="E881" s="16" t="n">
        <v>14676</v>
      </c>
      <c r="F881" s="16" t="n">
        <v>5491</v>
      </c>
      <c r="G881" s="16" t="n">
        <v>9185</v>
      </c>
      <c r="H881" s="6" t="inlineStr">
        <is>
          <t>백만원</t>
        </is>
      </c>
      <c r="I881" s="17" t="n">
        <v>19.6</v>
      </c>
      <c r="J881" s="18" t="inlineStr"/>
      <c r="K881" s="19" t="inlineStr"/>
      <c r="L881" s="18" t="n">
        <v>9202</v>
      </c>
      <c r="M881" s="19" t="n">
        <v>4014</v>
      </c>
      <c r="N881" s="18" t="n">
        <v>3858</v>
      </c>
      <c r="O881" s="19" t="n">
        <v>5047</v>
      </c>
      <c r="P881" s="18" t="n">
        <v>9101</v>
      </c>
      <c r="Q881" s="19" t="n">
        <v>8001</v>
      </c>
      <c r="R881" s="18" t="n">
        <v>7681</v>
      </c>
      <c r="S881" s="20" t="n">
        <v>9185</v>
      </c>
      <c r="T881" s="6" t="n">
        <v>1</v>
      </c>
      <c r="U881" s="5" t="inlineStr">
        <is>
          <t>CDMO / 2023년~ (계약별 상이) / ~2029</t>
        </is>
      </c>
      <c r="V881" s="21">
        <f>HYPERLINK("https://dart.fss.or.kr/dsaf001/main.do?rcpNo=20260814003945", "공시열람")</f>
        <v/>
      </c>
    </row>
    <row r="882">
      <c r="A882" s="5" t="inlineStr">
        <is>
          <t>우진엔텍</t>
        </is>
      </c>
      <c r="B882" s="6" t="inlineStr">
        <is>
          <t>457550</t>
        </is>
      </c>
      <c r="C882" s="6" t="inlineStr">
        <is>
          <t>2026Q2</t>
        </is>
      </c>
      <c r="D882" s="6" t="inlineStr">
        <is>
          <t>20260814</t>
        </is>
      </c>
      <c r="E882" s="16" t="n">
        <v>167239</v>
      </c>
      <c r="F882" s="16" t="n">
        <v>146153</v>
      </c>
      <c r="G882" s="16" t="n">
        <v>21086</v>
      </c>
      <c r="H882" s="6" t="inlineStr">
        <is>
          <t>백만원</t>
        </is>
      </c>
      <c r="I882" s="17" t="n">
        <v>-17.8</v>
      </c>
      <c r="J882" s="18" t="n">
        <v>50044</v>
      </c>
      <c r="K882" s="19" t="n">
        <v>40484</v>
      </c>
      <c r="L882" s="18" t="n">
        <v>53494</v>
      </c>
      <c r="M882" s="19" t="n">
        <v>45661</v>
      </c>
      <c r="N882" s="18" t="n">
        <v>43724</v>
      </c>
      <c r="O882" s="19" t="n">
        <v>36259</v>
      </c>
      <c r="P882" s="18" t="n">
        <v>32608</v>
      </c>
      <c r="Q882" s="19" t="n">
        <v>26383</v>
      </c>
      <c r="R882" s="18" t="n">
        <v>25641</v>
      </c>
      <c r="S882" s="20" t="n">
        <v>21086</v>
      </c>
      <c r="T882" s="6" t="n">
        <v>9</v>
      </c>
      <c r="U882" s="5" t="inlineStr">
        <is>
          <t>한빛2발전소 계측제어설비 정비용역 / 2024.08.0 | 강릉안인화력 계측제어설비 정비용역 / 2021.09.1 | 고리2발전소 계측제어설비 정비용역 / 2023.10.0</t>
        </is>
      </c>
      <c r="V882" s="21">
        <f>HYPERLINK("https://dart.fss.or.kr/dsaf001/main.do?rcpNo=20260814000513", "공시열람")</f>
        <v/>
      </c>
    </row>
    <row r="883">
      <c r="A883" s="5" t="inlineStr">
        <is>
          <t>나우로보틱스</t>
        </is>
      </c>
      <c r="B883" s="6" t="inlineStr">
        <is>
          <t>459510</t>
        </is>
      </c>
      <c r="C883" s="6" t="inlineStr">
        <is>
          <t>2025Q4</t>
        </is>
      </c>
      <c r="D883" s="6" t="inlineStr">
        <is>
          <t>20260323</t>
        </is>
      </c>
      <c r="E883" s="16" t="inlineStr"/>
      <c r="F883" s="16" t="inlineStr"/>
      <c r="G883" s="16" t="n">
        <v>723234</v>
      </c>
      <c r="H883" s="6" t="inlineStr">
        <is>
          <t>천원</t>
        </is>
      </c>
      <c r="I883" s="17" t="inlineStr"/>
      <c r="J883" s="18" t="inlineStr"/>
      <c r="K883" s="19" t="inlineStr"/>
      <c r="L883" s="18" t="inlineStr"/>
      <c r="M883" s="19" t="inlineStr"/>
      <c r="N883" s="18" t="inlineStr"/>
      <c r="O883" s="19" t="inlineStr"/>
      <c r="P883" s="18" t="inlineStr"/>
      <c r="Q883" s="19" t="n">
        <v>723234</v>
      </c>
      <c r="R883" s="18" t="inlineStr"/>
      <c r="S883" s="20" t="inlineStr"/>
      <c r="T883" s="6" t="n">
        <v>1</v>
      </c>
      <c r="U883" s="5" t="inlineStr">
        <is>
          <t>주문제작 방식 산업용로봇 / -</t>
        </is>
      </c>
      <c r="V883" s="21">
        <f>HYPERLINK("https://dart.fss.or.kr/dsaf001/main.do?rcpNo=20260323000990", "공시열람")</f>
        <v/>
      </c>
    </row>
    <row r="884">
      <c r="A884" s="5" t="inlineStr">
        <is>
          <t>아이빔테크놀로지</t>
        </is>
      </c>
      <c r="B884" s="6" t="inlineStr">
        <is>
          <t>460470</t>
        </is>
      </c>
      <c r="C884" s="6" t="inlineStr">
        <is>
          <t>2026Q2</t>
        </is>
      </c>
      <c r="D884" s="6" t="inlineStr">
        <is>
          <t>20260813</t>
        </is>
      </c>
      <c r="E884" s="16" t="n">
        <v>301837</v>
      </c>
      <c r="F884" s="16" t="inlineStr"/>
      <c r="G884" s="16" t="n">
        <v>301837</v>
      </c>
      <c r="H884" s="6" t="inlineStr">
        <is>
          <t>천원</t>
        </is>
      </c>
      <c r="I884" s="17" t="n">
        <v>-83</v>
      </c>
      <c r="J884" s="18" t="inlineStr"/>
      <c r="K884" s="19" t="n">
        <v>782352</v>
      </c>
      <c r="L884" s="18" t="n">
        <v>647060</v>
      </c>
      <c r="M884" s="19" t="n">
        <v>525603</v>
      </c>
      <c r="N884" s="18" t="n">
        <v>572245</v>
      </c>
      <c r="O884" s="19" t="n">
        <v>880989</v>
      </c>
      <c r="P884" s="18" t="n">
        <v>532362</v>
      </c>
      <c r="Q884" s="19" t="n">
        <v>711083</v>
      </c>
      <c r="R884" s="18" t="n">
        <v>1772405</v>
      </c>
      <c r="S884" s="20" t="n">
        <v>301837</v>
      </c>
      <c r="T884" s="6" t="n">
        <v>8</v>
      </c>
      <c r="U884" s="5" t="inlineStr">
        <is>
          <t>CRO서비스 / 2025-03-18 / 2026년 예정 | CRO서비스 / 2026-06-05 / 2026년 예정 | CRO서비스 / 2026-05-26 / 2026년 예정</t>
        </is>
      </c>
      <c r="V884" s="21">
        <f>HYPERLINK("https://dart.fss.or.kr/dsaf001/main.do?rcpNo=20260813000688", "공시열람")</f>
        <v/>
      </c>
    </row>
    <row r="885">
      <c r="A885" s="5" t="inlineStr">
        <is>
          <t>동국제강</t>
        </is>
      </c>
      <c r="B885" s="6" t="inlineStr">
        <is>
          <t>460860</t>
        </is>
      </c>
      <c r="C885" s="6" t="inlineStr">
        <is>
          <t>2026Q2</t>
        </is>
      </c>
      <c r="D885" s="6" t="inlineStr">
        <is>
          <t>20260814</t>
        </is>
      </c>
      <c r="E885" s="16" t="n">
        <v>699010</v>
      </c>
      <c r="F885" s="16" t="n">
        <v>87896</v>
      </c>
      <c r="G885" s="16" t="n">
        <v>611114</v>
      </c>
      <c r="H885" s="6" t="inlineStr">
        <is>
          <t>톤,백만원</t>
        </is>
      </c>
      <c r="I885" s="17" t="n">
        <v>-5.3</v>
      </c>
      <c r="J885" s="18" t="n">
        <v>86719</v>
      </c>
      <c r="K885" s="19" t="n">
        <v>239931</v>
      </c>
      <c r="L885" s="18" t="n">
        <v>198900</v>
      </c>
      <c r="M885" s="19" t="n">
        <v>140695</v>
      </c>
      <c r="N885" s="18" t="n">
        <v>109957</v>
      </c>
      <c r="O885" s="19" t="n">
        <v>58781</v>
      </c>
      <c r="P885" s="18" t="n">
        <v>19179</v>
      </c>
      <c r="Q885" s="19" t="n">
        <v>668827</v>
      </c>
      <c r="R885" s="18" t="n">
        <v>645314</v>
      </c>
      <c r="S885" s="20" t="n">
        <v>611114</v>
      </c>
      <c r="T885" s="6" t="n">
        <v>1</v>
      </c>
      <c r="U885" s="5" t="inlineStr">
        <is>
          <t>이형철근 / 조달청 / 2025.10.29</t>
        </is>
      </c>
      <c r="V885" s="21">
        <f>HYPERLINK("https://dart.fss.or.kr/dsaf001/main.do?rcpNo=20260814001702", "공시열람")</f>
        <v/>
      </c>
    </row>
    <row r="886">
      <c r="A886" s="5" t="inlineStr">
        <is>
          <t>현대힘스</t>
        </is>
      </c>
      <c r="B886" s="6" t="inlineStr">
        <is>
          <t>460930</t>
        </is>
      </c>
      <c r="C886" s="6" t="inlineStr">
        <is>
          <t>2026Q2</t>
        </is>
      </c>
      <c r="D886" s="6" t="inlineStr">
        <is>
          <t>20260813</t>
        </is>
      </c>
      <c r="E886" s="16" t="n">
        <v>202343</v>
      </c>
      <c r="F886" s="16" t="n">
        <v>152481</v>
      </c>
      <c r="G886" s="16" t="n">
        <v>49862</v>
      </c>
      <c r="H886" s="6" t="inlineStr">
        <is>
          <t>백만원</t>
        </is>
      </c>
      <c r="I886" s="17" t="n">
        <v>-13.5</v>
      </c>
      <c r="J886" s="18" t="n">
        <v>38283</v>
      </c>
      <c r="K886" s="19" t="n">
        <v>36280</v>
      </c>
      <c r="L886" s="18" t="n">
        <v>34724</v>
      </c>
      <c r="M886" s="19" t="n">
        <v>35684</v>
      </c>
      <c r="N886" s="18" t="n">
        <v>41194</v>
      </c>
      <c r="O886" s="19" t="n">
        <v>60520</v>
      </c>
      <c r="P886" s="18" t="n">
        <v>54815</v>
      </c>
      <c r="Q886" s="19" t="n">
        <v>65375</v>
      </c>
      <c r="R886" s="18" t="n">
        <v>57628</v>
      </c>
      <c r="S886" s="20" t="n">
        <v>49862</v>
      </c>
      <c r="T886" s="6" t="n">
        <v>4</v>
      </c>
      <c r="U886" s="5" t="inlineStr">
        <is>
          <t>블록 / '26.06.30까지 / - | 항만크레인 / '26.06.30까지 / - | 배관/철의장 / '26.06.30까지 / -</t>
        </is>
      </c>
      <c r="V886" s="21">
        <f>HYPERLINK("https://dart.fss.or.kr/dsaf001/main.do?rcpNo=20260813000095", "공시열람")</f>
        <v/>
      </c>
    </row>
    <row r="887">
      <c r="A887" s="5" t="inlineStr">
        <is>
          <t>이노스페이스</t>
        </is>
      </c>
      <c r="B887" s="6" t="inlineStr">
        <is>
          <t>462350</t>
        </is>
      </c>
      <c r="C887" s="6" t="inlineStr">
        <is>
          <t>2026Q2</t>
        </is>
      </c>
      <c r="D887" s="6" t="inlineStr">
        <is>
          <t>20260814</t>
        </is>
      </c>
      <c r="E887" s="16" t="n">
        <v>11750</v>
      </c>
      <c r="F887" s="16" t="n">
        <v>5827</v>
      </c>
      <c r="G887" s="16" t="n">
        <v>5923</v>
      </c>
      <c r="H887" s="6" t="inlineStr">
        <is>
          <t>백만원</t>
        </is>
      </c>
      <c r="I887" s="17" t="n">
        <v>-27.3</v>
      </c>
      <c r="J887" s="18" t="n">
        <v>12608</v>
      </c>
      <c r="K887" s="19" t="n">
        <v>14149</v>
      </c>
      <c r="L887" s="18" t="n">
        <v>14932</v>
      </c>
      <c r="M887" s="19" t="n">
        <v>16204</v>
      </c>
      <c r="N887" s="18" t="n">
        <v>14389</v>
      </c>
      <c r="O887" s="19" t="n">
        <v>14432</v>
      </c>
      <c r="P887" s="18" t="n">
        <v>7374</v>
      </c>
      <c r="Q887" s="19" t="n">
        <v>9065</v>
      </c>
      <c r="R887" s="18" t="n">
        <v>8148</v>
      </c>
      <c r="S887" s="20" t="n">
        <v>5923</v>
      </c>
      <c r="T887" s="6" t="n">
        <v>2</v>
      </c>
      <c r="U887" s="5" t="inlineStr">
        <is>
          <t>모의 발사체 공급계약 / 2025년 / 2025년 ~  | 재사용 기술 시연체 유공압 엄빌리컬 위탁 개발 계약 /</t>
        </is>
      </c>
      <c r="V887" s="21">
        <f>HYPERLINK("https://dart.fss.or.kr/dsaf001/main.do?rcpNo=20260814003448", "공시열람")</f>
        <v/>
      </c>
    </row>
    <row r="888">
      <c r="A888" s="5" t="inlineStr">
        <is>
          <t>라메디텍</t>
        </is>
      </c>
      <c r="B888" s="6" t="inlineStr">
        <is>
          <t>462510</t>
        </is>
      </c>
      <c r="C888" s="6" t="inlineStr">
        <is>
          <t>2025Q1</t>
        </is>
      </c>
      <c r="D888" s="6" t="inlineStr">
        <is>
          <t>20250514</t>
        </is>
      </c>
      <c r="E888" s="16" t="n">
        <v>1493379</v>
      </c>
      <c r="F888" s="16" t="n">
        <v>1391379</v>
      </c>
      <c r="G888" s="16" t="n">
        <v>102000</v>
      </c>
      <c r="H888" s="6" t="inlineStr">
        <is>
          <t>천원</t>
        </is>
      </c>
      <c r="I888" s="17" t="n">
        <v>51.7</v>
      </c>
      <c r="J888" s="18" t="inlineStr"/>
      <c r="K888" s="19" t="n">
        <v>749000</v>
      </c>
      <c r="L888" s="18" t="n">
        <v>433000</v>
      </c>
      <c r="M888" s="19" t="n">
        <v>67244</v>
      </c>
      <c r="N888" s="18" t="n">
        <v>102000</v>
      </c>
      <c r="O888" s="19" t="inlineStr"/>
      <c r="P888" s="18" t="inlineStr"/>
      <c r="Q888" s="19" t="inlineStr"/>
      <c r="R888" s="18" t="inlineStr"/>
      <c r="S888" s="20" t="inlineStr"/>
      <c r="T888" s="6" t="n">
        <v>1</v>
      </c>
      <c r="U888" s="5" t="inlineStr">
        <is>
          <t>레이저 미용기기 / 2025-01-02 / 2025-0</t>
        </is>
      </c>
      <c r="V888" s="21">
        <f>HYPERLINK("https://dart.fss.or.kr/dsaf001/main.do?rcpNo=20250514000373", "공시열람")</f>
        <v/>
      </c>
    </row>
    <row r="889">
      <c r="A889" s="5" t="inlineStr">
        <is>
          <t>조선내화</t>
        </is>
      </c>
      <c r="B889" s="6" t="inlineStr">
        <is>
          <t>462520</t>
        </is>
      </c>
      <c r="C889" s="6" t="inlineStr">
        <is>
          <t>2023Q4</t>
        </is>
      </c>
      <c r="D889" s="6" t="inlineStr">
        <is>
          <t>20240315</t>
        </is>
      </c>
      <c r="E889" s="16" t="inlineStr"/>
      <c r="F889" s="16" t="inlineStr"/>
      <c r="G889" s="16" t="n">
        <v>49000000</v>
      </c>
      <c r="H889" s="6" t="inlineStr">
        <is>
          <t>천원</t>
        </is>
      </c>
      <c r="I889" s="17" t="inlineStr"/>
      <c r="J889" s="18" t="inlineStr"/>
      <c r="K889" s="19" t="inlineStr"/>
      <c r="L889" s="18" t="inlineStr"/>
      <c r="M889" s="19" t="inlineStr"/>
      <c r="N889" s="18" t="inlineStr"/>
      <c r="O889" s="19" t="inlineStr"/>
      <c r="P889" s="18" t="inlineStr"/>
      <c r="Q889" s="19" t="inlineStr"/>
      <c r="R889" s="18" t="inlineStr"/>
      <c r="S889" s="20" t="inlineStr"/>
      <c r="T889" s="6" t="n">
        <v>1</v>
      </c>
      <c r="U889" s="5" t="inlineStr">
        <is>
          <t>국내플랜트공사 / -</t>
        </is>
      </c>
      <c r="V889" s="21">
        <f>HYPERLINK("https://dart.fss.or.kr/dsaf001/main.do?rcpNo=20240315000658", "공시열람")</f>
        <v/>
      </c>
    </row>
    <row r="890">
      <c r="A890" s="5" t="inlineStr">
        <is>
          <t>에스오에스랩</t>
        </is>
      </c>
      <c r="B890" s="6" t="inlineStr">
        <is>
          <t>464080</t>
        </is>
      </c>
      <c r="C890" s="6" t="inlineStr">
        <is>
          <t>2026Q2</t>
        </is>
      </c>
      <c r="D890" s="6" t="inlineStr">
        <is>
          <t>20260814</t>
        </is>
      </c>
      <c r="E890" s="16" t="n">
        <v>2240</v>
      </c>
      <c r="F890" s="16" t="inlineStr"/>
      <c r="G890" s="16" t="n">
        <v>1808</v>
      </c>
      <c r="H890" s="6" t="inlineStr">
        <is>
          <t>백만원</t>
        </is>
      </c>
      <c r="I890" s="17" t="n">
        <v>203.4</v>
      </c>
      <c r="J890" s="18" t="inlineStr"/>
      <c r="K890" s="19" t="n">
        <v>2986</v>
      </c>
      <c r="L890" s="18" t="n">
        <v>2247</v>
      </c>
      <c r="M890" s="19" t="n">
        <v>2038</v>
      </c>
      <c r="N890" s="18" t="n">
        <v>2674</v>
      </c>
      <c r="O890" s="19" t="n">
        <v>1503</v>
      </c>
      <c r="P890" s="18" t="n">
        <v>1503</v>
      </c>
      <c r="Q890" s="19" t="n">
        <v>370</v>
      </c>
      <c r="R890" s="18" t="n">
        <v>596</v>
      </c>
      <c r="S890" s="20" t="n">
        <v>1808</v>
      </c>
      <c r="T890" s="6" t="n">
        <v>7</v>
      </c>
      <c r="U890" s="5" t="inlineStr">
        <is>
          <t>인프라 / 스마트시티 / E사 / ML / 2026-0 | 인프라 / 기타 / E사 / 2023-08-16 | 모빌리티 / 로보틱스 / C사 / GL / 2026-0</t>
        </is>
      </c>
      <c r="V890" s="21">
        <f>HYPERLINK("https://dart.fss.or.kr/dsaf001/main.do?rcpNo=20260814003376", "공시열람")</f>
        <v/>
      </c>
    </row>
    <row r="891">
      <c r="A891" s="5" t="inlineStr">
        <is>
          <t>닷밀</t>
        </is>
      </c>
      <c r="B891" s="6" t="inlineStr">
        <is>
          <t>464580</t>
        </is>
      </c>
      <c r="C891" s="6" t="inlineStr">
        <is>
          <t>2026Q2</t>
        </is>
      </c>
      <c r="D891" s="6" t="inlineStr">
        <is>
          <t>20260814</t>
        </is>
      </c>
      <c r="E891" s="16" t="n">
        <v>27443</v>
      </c>
      <c r="F891" s="16" t="n">
        <v>24763</v>
      </c>
      <c r="G891" s="16" t="n">
        <v>2680</v>
      </c>
      <c r="H891" s="6" t="inlineStr">
        <is>
          <t>백만원</t>
        </is>
      </c>
      <c r="I891" s="17" t="n">
        <v>-59.8</v>
      </c>
      <c r="J891" s="18" t="inlineStr"/>
      <c r="K891" s="19" t="inlineStr"/>
      <c r="L891" s="18" t="inlineStr"/>
      <c r="M891" s="19" t="n">
        <v>7371</v>
      </c>
      <c r="N891" s="18" t="n">
        <v>8263</v>
      </c>
      <c r="O891" s="19" t="n">
        <v>9922</v>
      </c>
      <c r="P891" s="18" t="n">
        <v>1378</v>
      </c>
      <c r="Q891" s="19" t="n">
        <v>9012</v>
      </c>
      <c r="R891" s="18" t="n">
        <v>6669</v>
      </c>
      <c r="S891" s="20" t="n">
        <v>2680</v>
      </c>
      <c r="T891" s="6" t="n">
        <v>7</v>
      </c>
      <c r="U891" s="5" t="inlineStr">
        <is>
          <t>프로젝트 4 / 2025.06.20 / 2027.06. | 프로젝트 5 / 2025.12.24 / 2026.11. | 프로젝트 6 / 2025.12.29 / 2026.12.</t>
        </is>
      </c>
      <c r="V891" s="21">
        <f>HYPERLINK("https://dart.fss.or.kr/dsaf001/main.do?rcpNo=20260814000901", "공시열람")</f>
        <v/>
      </c>
    </row>
    <row r="892">
      <c r="A892" s="5" t="inlineStr">
        <is>
          <t>인스피언</t>
        </is>
      </c>
      <c r="B892" s="6" t="inlineStr">
        <is>
          <t>465480</t>
        </is>
      </c>
      <c r="C892" s="6" t="inlineStr">
        <is>
          <t>2026Q2</t>
        </is>
      </c>
      <c r="D892" s="6" t="inlineStr">
        <is>
          <t>20260813</t>
        </is>
      </c>
      <c r="E892" s="16" t="n">
        <v>17672576</v>
      </c>
      <c r="F892" s="16" t="inlineStr"/>
      <c r="G892" s="16" t="n">
        <v>8634035</v>
      </c>
      <c r="H892" s="6" t="inlineStr">
        <is>
          <t>건,천원</t>
        </is>
      </c>
      <c r="I892" s="17" t="n">
        <v>-4.5</v>
      </c>
      <c r="J892" s="18" t="inlineStr"/>
      <c r="K892" s="19" t="inlineStr"/>
      <c r="L892" s="18" t="inlineStr"/>
      <c r="M892" s="19" t="n">
        <v>8523195</v>
      </c>
      <c r="N892" s="18" t="n">
        <v>11527551</v>
      </c>
      <c r="O892" s="19" t="n">
        <v>10814854</v>
      </c>
      <c r="P892" s="18" t="n">
        <v>10676233</v>
      </c>
      <c r="Q892" s="19" t="n">
        <v>7686628</v>
      </c>
      <c r="R892" s="18" t="n">
        <v>9040396</v>
      </c>
      <c r="S892" s="20" t="n">
        <v>8634035</v>
      </c>
      <c r="T892" s="6" t="n">
        <v>7</v>
      </c>
      <c r="U892" s="5" t="inlineStr">
        <is>
          <t>솔루션 사업 / SW/HW | 솔루션 사업 / 유지보수 | 컨설팅 사업 / SM</t>
        </is>
      </c>
      <c r="V892" s="21">
        <f>HYPERLINK("https://dart.fss.or.kr/dsaf001/main.do?rcpNo=20260813001070", "공시열람")</f>
        <v/>
      </c>
    </row>
    <row r="893">
      <c r="A893" s="5" t="inlineStr">
        <is>
          <t>이노테크</t>
        </is>
      </c>
      <c r="B893" s="6" t="inlineStr">
        <is>
          <t>469610</t>
        </is>
      </c>
      <c r="C893" s="6" t="inlineStr">
        <is>
          <t>2026Q2</t>
        </is>
      </c>
      <c r="D893" s="6" t="inlineStr">
        <is>
          <t>20260811</t>
        </is>
      </c>
      <c r="E893" s="16" t="n">
        <v>3841</v>
      </c>
      <c r="F893" s="16" t="n">
        <v>602</v>
      </c>
      <c r="G893" s="16" t="n">
        <v>3239</v>
      </c>
      <c r="H893" s="6" t="inlineStr">
        <is>
          <t>백만원</t>
        </is>
      </c>
      <c r="I893" s="17" t="n">
        <v>-14.2</v>
      </c>
      <c r="J893" s="18" t="inlineStr"/>
      <c r="K893" s="19" t="inlineStr"/>
      <c r="L893" s="18" t="inlineStr"/>
      <c r="M893" s="19" t="inlineStr"/>
      <c r="N893" s="18" t="inlineStr"/>
      <c r="O893" s="19" t="inlineStr"/>
      <c r="P893" s="18" t="n">
        <v>3355830.98</v>
      </c>
      <c r="Q893" s="19" t="n">
        <v>3352366663</v>
      </c>
      <c r="R893" s="18" t="n">
        <v>3774</v>
      </c>
      <c r="S893" s="20" t="n">
        <v>3239</v>
      </c>
      <c r="T893" s="6" t="n">
        <v>3</v>
      </c>
      <c r="U893" s="5" t="inlineStr">
        <is>
          <t>디스플레이 | 반도체 | 기타</t>
        </is>
      </c>
      <c r="V893" s="21">
        <f>HYPERLINK("https://dart.fss.or.kr/dsaf001/main.do?rcpNo=20260811000295", "공시열람")</f>
        <v/>
      </c>
    </row>
    <row r="894">
      <c r="A894" s="5" t="inlineStr">
        <is>
          <t>아이비젼웍스</t>
        </is>
      </c>
      <c r="B894" s="6" t="inlineStr">
        <is>
          <t>469750</t>
        </is>
      </c>
      <c r="C894" s="6" t="inlineStr">
        <is>
          <t>2026Q2</t>
        </is>
      </c>
      <c r="D894" s="6" t="inlineStr">
        <is>
          <t>20260929</t>
        </is>
      </c>
      <c r="E894" s="16" t="n">
        <v>11579</v>
      </c>
      <c r="F894" s="16" t="n">
        <v>1742</v>
      </c>
      <c r="G894" s="16" t="n">
        <v>9508</v>
      </c>
      <c r="H894" s="6" t="inlineStr">
        <is>
          <t>백만원</t>
        </is>
      </c>
      <c r="I894" s="17" t="n">
        <v>45.4</v>
      </c>
      <c r="J894" s="18" t="inlineStr"/>
      <c r="K894" s="19" t="inlineStr"/>
      <c r="L894" s="18" t="n">
        <v>9175</v>
      </c>
      <c r="M894" s="19" t="n">
        <v>10423</v>
      </c>
      <c r="N894" s="18" t="n">
        <v>10744</v>
      </c>
      <c r="O894" s="19" t="n">
        <v>16645</v>
      </c>
      <c r="P894" s="18" t="n">
        <v>8244</v>
      </c>
      <c r="Q894" s="19" t="n">
        <v>7077</v>
      </c>
      <c r="R894" s="18" t="n">
        <v>6538</v>
      </c>
      <c r="S894" s="20" t="n">
        <v>9508</v>
      </c>
      <c r="T894" s="6" t="n">
        <v>1</v>
      </c>
      <c r="U894" s="5" t="inlineStr">
        <is>
          <t>이차전지검사시스템</t>
        </is>
      </c>
      <c r="V894" s="21">
        <f>HYPERLINK("https://dart.fss.or.kr/dsaf001/main.do?rcpNo=20260929000426", "공시열람")</f>
        <v/>
      </c>
    </row>
    <row r="895">
      <c r="A895" s="5" t="inlineStr">
        <is>
          <t>루미르</t>
        </is>
      </c>
      <c r="B895" s="6" t="inlineStr">
        <is>
          <t>474170</t>
        </is>
      </c>
      <c r="C895" s="6" t="inlineStr">
        <is>
          <t>2026Q2</t>
        </is>
      </c>
      <c r="D895" s="6" t="inlineStr">
        <is>
          <t>20260814</t>
        </is>
      </c>
      <c r="E895" s="16" t="n">
        <v>30992654</v>
      </c>
      <c r="F895" s="16" t="n">
        <v>26537861</v>
      </c>
      <c r="G895" s="16" t="n">
        <v>4454793</v>
      </c>
      <c r="H895" s="6" t="inlineStr">
        <is>
          <t>천원</t>
        </is>
      </c>
      <c r="I895" s="17" t="n">
        <v>-37.1</v>
      </c>
      <c r="J895" s="18" t="inlineStr"/>
      <c r="K895" s="19" t="inlineStr"/>
      <c r="L895" s="18" t="inlineStr"/>
      <c r="M895" s="19" t="n">
        <v>13201090</v>
      </c>
      <c r="N895" s="18" t="n">
        <v>11992186</v>
      </c>
      <c r="O895" s="19" t="n">
        <v>11103409</v>
      </c>
      <c r="P895" s="18" t="n">
        <v>8775404</v>
      </c>
      <c r="Q895" s="19" t="n">
        <v>7471105</v>
      </c>
      <c r="R895" s="18" t="n">
        <v>7083658</v>
      </c>
      <c r="S895" s="20" t="n">
        <v>4454793</v>
      </c>
      <c r="T895" s="6" t="n">
        <v>1</v>
      </c>
      <c r="U895" s="5" t="inlineStr">
        <is>
          <t>위성제조 분야</t>
        </is>
      </c>
      <c r="V895" s="21">
        <f>HYPERLINK("https://dart.fss.or.kr/dsaf001/main.do?rcpNo=20260814002463", "공시열람")</f>
        <v/>
      </c>
    </row>
    <row r="896">
      <c r="A896" s="5" t="inlineStr">
        <is>
          <t>SK이터닉스</t>
        </is>
      </c>
      <c r="B896" s="6" t="inlineStr">
        <is>
          <t>475150</t>
        </is>
      </c>
      <c r="C896" s="6" t="inlineStr">
        <is>
          <t>2026Q2</t>
        </is>
      </c>
      <c r="D896" s="6" t="inlineStr">
        <is>
          <t>20260813</t>
        </is>
      </c>
      <c r="E896" s="16" t="n">
        <v>614961</v>
      </c>
      <c r="F896" s="16" t="n">
        <v>385443</v>
      </c>
      <c r="G896" s="16" t="n">
        <v>229518</v>
      </c>
      <c r="H896" s="6" t="inlineStr">
        <is>
          <t>백만원</t>
        </is>
      </c>
      <c r="I896" s="17" t="n">
        <v>-49.6</v>
      </c>
      <c r="J896" s="18" t="n">
        <v>506429</v>
      </c>
      <c r="K896" s="19" t="n">
        <v>504048</v>
      </c>
      <c r="L896" s="18" t="n">
        <v>727912</v>
      </c>
      <c r="M896" s="19" t="n">
        <v>598423</v>
      </c>
      <c r="N896" s="18" t="n">
        <v>587955</v>
      </c>
      <c r="O896" s="19" t="n">
        <v>561909</v>
      </c>
      <c r="P896" s="18" t="n">
        <v>638702</v>
      </c>
      <c r="Q896" s="19" t="n">
        <v>457876</v>
      </c>
      <c r="R896" s="18" t="n">
        <v>455070</v>
      </c>
      <c r="S896" s="20" t="n">
        <v>229518</v>
      </c>
      <c r="T896" s="6" t="n">
        <v>4</v>
      </c>
      <c r="U896" s="5" t="inlineStr">
        <is>
          <t>SK이터닉스㈜ / 의성황학산풍력발전㈜ / 의성황학산풍력 | SK이터닉스㈜ / 파주에코그린에너지㈜ / 파주에코그린에 | SK이터닉스㈜ / 풍백풍력발전㈜ / 풍백풍력발전단지 E</t>
        </is>
      </c>
      <c r="V896" s="21">
        <f>HYPERLINK("https://dart.fss.or.kr/dsaf001/main.do?rcpNo=20260813000561", "공시열람")</f>
        <v/>
      </c>
    </row>
    <row r="897">
      <c r="A897" s="5" t="inlineStr">
        <is>
          <t>엔알비</t>
        </is>
      </c>
      <c r="B897" s="6" t="inlineStr">
        <is>
          <t>475230</t>
        </is>
      </c>
      <c r="C897" s="6" t="inlineStr">
        <is>
          <t>2026Q2</t>
        </is>
      </c>
      <c r="D897" s="6" t="inlineStr">
        <is>
          <t>20260814</t>
        </is>
      </c>
      <c r="E897" s="16" t="n">
        <v>194985</v>
      </c>
      <c r="F897" s="16" t="n">
        <v>53989</v>
      </c>
      <c r="G897" s="16" t="n">
        <v>140996</v>
      </c>
      <c r="H897" s="6" t="inlineStr">
        <is>
          <t>백만원,%</t>
        </is>
      </c>
      <c r="I897" s="17" t="n">
        <v>-2.8</v>
      </c>
      <c r="J897" s="18" t="inlineStr"/>
      <c r="K897" s="19" t="inlineStr"/>
      <c r="L897" s="18" t="inlineStr"/>
      <c r="M897" s="19" t="inlineStr"/>
      <c r="N897" s="18" t="inlineStr"/>
      <c r="O897" s="19" t="n">
        <v>152323</v>
      </c>
      <c r="P897" s="18" t="n">
        <v>160603</v>
      </c>
      <c r="Q897" s="19" t="inlineStr"/>
      <c r="R897" s="18" t="n">
        <v>145000</v>
      </c>
      <c r="S897" s="20" t="n">
        <v>140996</v>
      </c>
      <c r="T897" s="6" t="n">
        <v>2</v>
      </c>
      <c r="U897" s="5" t="inlineStr">
        <is>
          <t>주거시설 | 교육시설</t>
        </is>
      </c>
      <c r="V897" s="21">
        <f>HYPERLINK("https://dart.fss.or.kr/dsaf001/main.do?rcpNo=20260814001087", "공시열람")</f>
        <v/>
      </c>
    </row>
    <row r="898">
      <c r="A898" s="5" t="inlineStr">
        <is>
          <t>씨메스로보틱스</t>
        </is>
      </c>
      <c r="B898" s="6" t="inlineStr">
        <is>
          <t>475400</t>
        </is>
      </c>
      <c r="C898" s="6" t="inlineStr">
        <is>
          <t>2026Q2</t>
        </is>
      </c>
      <c r="D898" s="6" t="inlineStr">
        <is>
          <t>20260813</t>
        </is>
      </c>
      <c r="E898" s="16" t="inlineStr"/>
      <c r="F898" s="16" t="inlineStr"/>
      <c r="G898" s="16" t="n">
        <v>22552014</v>
      </c>
      <c r="H898" s="6" t="inlineStr">
        <is>
          <t>천원</t>
        </is>
      </c>
      <c r="I898" s="17" t="n">
        <v>143.9</v>
      </c>
      <c r="J898" s="18" t="inlineStr"/>
      <c r="K898" s="19" t="inlineStr"/>
      <c r="L898" s="18" t="inlineStr"/>
      <c r="M898" s="19" t="n">
        <v>7021</v>
      </c>
      <c r="N898" s="18" t="n">
        <v>7127971</v>
      </c>
      <c r="O898" s="19" t="n">
        <v>7559603</v>
      </c>
      <c r="P898" s="18" t="n">
        <v>10912070</v>
      </c>
      <c r="Q898" s="19" t="n">
        <v>9796130</v>
      </c>
      <c r="R898" s="18" t="n">
        <v>9245848</v>
      </c>
      <c r="S898" s="20" t="n">
        <v>22552014</v>
      </c>
      <c r="T898" s="6" t="n">
        <v>0</v>
      </c>
      <c r="U898" s="5" t="inlineStr"/>
      <c r="V898" s="21">
        <f>HYPERLINK("https://dart.fss.or.kr/dsaf001/main.do?rcpNo=20260813000340", "공시열람")</f>
        <v/>
      </c>
    </row>
    <row r="899">
      <c r="A899" s="5" t="inlineStr">
        <is>
          <t>키스트론</t>
        </is>
      </c>
      <c r="B899" s="6" t="inlineStr">
        <is>
          <t>475430</t>
        </is>
      </c>
      <c r="C899" s="6" t="inlineStr">
        <is>
          <t>2025Q3</t>
        </is>
      </c>
      <c r="D899" s="6" t="inlineStr">
        <is>
          <t>20251114</t>
        </is>
      </c>
      <c r="E899" s="16" t="n">
        <v>61298</v>
      </c>
      <c r="F899" s="16" t="n">
        <v>47915</v>
      </c>
      <c r="G899" s="16" t="n">
        <v>13383</v>
      </c>
      <c r="H899" s="6" t="inlineStr">
        <is>
          <t>톤,백만원</t>
        </is>
      </c>
      <c r="I899" s="17" t="n">
        <v>94.7</v>
      </c>
      <c r="J899" s="18" t="inlineStr"/>
      <c r="K899" s="19" t="inlineStr"/>
      <c r="L899" s="18" t="inlineStr"/>
      <c r="M899" s="19" t="inlineStr"/>
      <c r="N899" s="18" t="inlineStr"/>
      <c r="O899" s="19" t="n">
        <v>6875</v>
      </c>
      <c r="P899" s="18" t="n">
        <v>13383</v>
      </c>
      <c r="Q899" s="19" t="inlineStr"/>
      <c r="R899" s="18" t="inlineStr"/>
      <c r="S899" s="20" t="inlineStr"/>
      <c r="T899" s="6" t="n">
        <v>2</v>
      </c>
      <c r="U899" s="5" t="inlineStr">
        <is>
          <t>전자부품용 | 케이블용</t>
        </is>
      </c>
      <c r="V899" s="21">
        <f>HYPERLINK("https://dart.fss.or.kr/dsaf001/main.do?rcpNo=20251114001576", "공시열람")</f>
        <v/>
      </c>
    </row>
    <row r="900">
      <c r="A900" s="5" t="inlineStr">
        <is>
          <t>에이럭스</t>
        </is>
      </c>
      <c r="B900" s="6" t="inlineStr">
        <is>
          <t>475580</t>
        </is>
      </c>
      <c r="C900" s="6" t="inlineStr">
        <is>
          <t>2026Q2</t>
        </is>
      </c>
      <c r="D900" s="6" t="inlineStr">
        <is>
          <t>20260814</t>
        </is>
      </c>
      <c r="E900" s="16" t="n">
        <v>2593962</v>
      </c>
      <c r="F900" s="16" t="n">
        <v>381146640</v>
      </c>
      <c r="G900" s="16" t="n">
        <v>2212815</v>
      </c>
      <c r="H900" s="6" t="inlineStr">
        <is>
          <t>건,천원</t>
        </is>
      </c>
      <c r="I900" s="17" t="n">
        <v>-14.7</v>
      </c>
      <c r="J900" s="18" t="inlineStr"/>
      <c r="K900" s="19" t="inlineStr"/>
      <c r="L900" s="18" t="inlineStr"/>
      <c r="M900" s="19" t="n">
        <v>2512817</v>
      </c>
      <c r="N900" s="18" t="n">
        <v>3964234</v>
      </c>
      <c r="O900" s="19" t="n">
        <v>2358111</v>
      </c>
      <c r="P900" s="18" t="n">
        <v>1917027</v>
      </c>
      <c r="Q900" s="19" t="n">
        <v>2343761</v>
      </c>
      <c r="R900" s="18" t="n">
        <v>2593962</v>
      </c>
      <c r="S900" s="20" t="n">
        <v>2212815</v>
      </c>
      <c r="T900" s="6" t="n">
        <v>6</v>
      </c>
      <c r="U900" s="5" t="inlineStr">
        <is>
          <t>로보링크주식회사 / 드론 / 2026-08-07 / 2 | 로보링크주식회사 / 드론 / 2026-01-07 / 2 | 로보링크주식회사 / 드론 / 2026-07-13 / 2</t>
        </is>
      </c>
      <c r="V900" s="21">
        <f>HYPERLINK("https://dart.fss.or.kr/dsaf001/main.do?rcpNo=20260814002568", "공시열람")</f>
        <v/>
      </c>
    </row>
    <row r="901">
      <c r="A901" s="5" t="inlineStr">
        <is>
          <t>토모큐브</t>
        </is>
      </c>
      <c r="B901" s="6" t="inlineStr">
        <is>
          <t>475960</t>
        </is>
      </c>
      <c r="C901" s="6" t="inlineStr">
        <is>
          <t>2026Q2</t>
        </is>
      </c>
      <c r="D901" s="6" t="inlineStr">
        <is>
          <t>20260814</t>
        </is>
      </c>
      <c r="E901" s="16" t="n">
        <v>4879</v>
      </c>
      <c r="F901" s="16" t="inlineStr"/>
      <c r="G901" s="16" t="n">
        <v>2006</v>
      </c>
      <c r="H901" s="6" t="inlineStr">
        <is>
          <t>백만원</t>
        </is>
      </c>
      <c r="I901" s="17" t="n">
        <v>-43.6</v>
      </c>
      <c r="J901" s="18" t="inlineStr"/>
      <c r="K901" s="19" t="inlineStr"/>
      <c r="L901" s="18" t="inlineStr"/>
      <c r="M901" s="19" t="inlineStr"/>
      <c r="N901" s="18" t="inlineStr"/>
      <c r="O901" s="19" t="n">
        <v>1731</v>
      </c>
      <c r="P901" s="18" t="n">
        <v>2535</v>
      </c>
      <c r="Q901" s="19" t="n">
        <v>1422</v>
      </c>
      <c r="R901" s="18" t="n">
        <v>3555</v>
      </c>
      <c r="S901" s="20" t="n">
        <v>2006</v>
      </c>
      <c r="T901" s="6" t="n">
        <v>1</v>
      </c>
      <c r="U901" s="5" t="inlineStr">
        <is>
          <t>HT 제품군 등</t>
        </is>
      </c>
      <c r="V901" s="21">
        <f>HYPERLINK("https://dart.fss.or.kr/dsaf001/main.do?rcpNo=20260814001367", "공시열람")</f>
        <v/>
      </c>
    </row>
    <row r="902">
      <c r="A902" s="5" t="inlineStr">
        <is>
          <t>오가노이드사이언스</t>
        </is>
      </c>
      <c r="B902" s="6" t="inlineStr">
        <is>
          <t>476040</t>
        </is>
      </c>
      <c r="C902" s="6" t="inlineStr">
        <is>
          <t>2026Q2</t>
        </is>
      </c>
      <c r="D902" s="6" t="inlineStr">
        <is>
          <t>20260814</t>
        </is>
      </c>
      <c r="E902" s="16" t="n">
        <v>422525882</v>
      </c>
      <c r="F902" s="16" t="n">
        <v>162313417</v>
      </c>
      <c r="G902" s="16" t="n">
        <v>260212465</v>
      </c>
      <c r="H902" s="6" t="inlineStr">
        <is>
          <t>원</t>
        </is>
      </c>
      <c r="I902" s="17" t="n">
        <v>66.59999999999999</v>
      </c>
      <c r="J902" s="18" t="inlineStr"/>
      <c r="K902" s="19" t="inlineStr"/>
      <c r="L902" s="18" t="inlineStr"/>
      <c r="M902" s="19" t="inlineStr"/>
      <c r="N902" s="18" t="inlineStr"/>
      <c r="O902" s="19" t="n">
        <v>620345026</v>
      </c>
      <c r="P902" s="18" t="n">
        <v>279593635</v>
      </c>
      <c r="Q902" s="19" t="n">
        <v>88671815</v>
      </c>
      <c r="R902" s="18" t="n">
        <v>156184575</v>
      </c>
      <c r="S902" s="20" t="n">
        <v>260212465</v>
      </c>
      <c r="T902" s="6" t="n">
        <v>10</v>
      </c>
      <c r="U902" s="5" t="inlineStr">
        <is>
          <t>약물평가 / 2026-02-01 / 2028-02-01 | 약물평가 / 2026-05-05 / 2026-12-31 | 약물평가 / 2026-05-01 / 2027-02-28</t>
        </is>
      </c>
      <c r="V902" s="21">
        <f>HYPERLINK("https://dart.fss.or.kr/dsaf001/main.do?rcpNo=20260814002513", "공시열람")</f>
        <v/>
      </c>
    </row>
    <row r="903">
      <c r="A903" s="5" t="inlineStr">
        <is>
          <t>M83</t>
        </is>
      </c>
      <c r="B903" s="6" t="inlineStr">
        <is>
          <t>476080</t>
        </is>
      </c>
      <c r="C903" s="6" t="inlineStr">
        <is>
          <t>2026Q2</t>
        </is>
      </c>
      <c r="D903" s="6" t="inlineStr">
        <is>
          <t>20260813</t>
        </is>
      </c>
      <c r="E903" s="16" t="n">
        <v>21588</v>
      </c>
      <c r="F903" s="16" t="n">
        <v>8873</v>
      </c>
      <c r="G903" s="16" t="n">
        <v>12715</v>
      </c>
      <c r="H903" s="6" t="inlineStr">
        <is>
          <t>백만원</t>
        </is>
      </c>
      <c r="I903" s="17" t="n">
        <v>11.6</v>
      </c>
      <c r="J903" s="18" t="inlineStr"/>
      <c r="K903" s="19" t="inlineStr"/>
      <c r="L903" s="18" t="n">
        <v>6546</v>
      </c>
      <c r="M903" s="19" t="n">
        <v>3246</v>
      </c>
      <c r="N903" s="18" t="n">
        <v>1234</v>
      </c>
      <c r="O903" s="19" t="n">
        <v>4987</v>
      </c>
      <c r="P903" s="18" t="n">
        <v>4013</v>
      </c>
      <c r="Q903" s="19" t="n">
        <v>3821</v>
      </c>
      <c r="R903" s="18" t="n">
        <v>11390</v>
      </c>
      <c r="S903" s="20" t="n">
        <v>12715</v>
      </c>
      <c r="T903" s="6" t="n">
        <v>3</v>
      </c>
      <c r="U903" s="5" t="inlineStr">
        <is>
          <t>VFX 용역(주3) / 2026년 03월 26일. /  | VFX 용역 / 2026년 06월 29일 / 최종 납품 | J(가제) VFX 용역(주4) / 2025년 06월 0</t>
        </is>
      </c>
      <c r="V903" s="21">
        <f>HYPERLINK("https://dart.fss.or.kr/dsaf001/main.do?rcpNo=20260813000320", "공시열람")</f>
        <v/>
      </c>
    </row>
    <row r="904">
      <c r="A904" s="5" t="inlineStr">
        <is>
          <t>마키나락스</t>
        </is>
      </c>
      <c r="B904" s="6" t="inlineStr">
        <is>
          <t>477850</t>
        </is>
      </c>
      <c r="C904" s="6" t="inlineStr">
        <is>
          <t>2026Q2</t>
        </is>
      </c>
      <c r="D904" s="6" t="inlineStr">
        <is>
          <t>20260814</t>
        </is>
      </c>
      <c r="E904" s="16" t="n">
        <v>23687</v>
      </c>
      <c r="F904" s="16" t="n">
        <v>8884</v>
      </c>
      <c r="G904" s="16" t="n">
        <v>14777</v>
      </c>
      <c r="H904" s="6" t="inlineStr">
        <is>
          <t>백만원</t>
        </is>
      </c>
      <c r="I904" s="17" t="n">
        <v>-100</v>
      </c>
      <c r="J904" s="18" t="inlineStr"/>
      <c r="K904" s="19" t="inlineStr"/>
      <c r="L904" s="18" t="inlineStr"/>
      <c r="M904" s="19" t="inlineStr"/>
      <c r="N904" s="18" t="inlineStr"/>
      <c r="O904" s="19" t="inlineStr"/>
      <c r="P904" s="18" t="inlineStr"/>
      <c r="Q904" s="19" t="inlineStr"/>
      <c r="R904" s="18" t="n">
        <v>15191903640</v>
      </c>
      <c r="S904" s="20" t="n">
        <v>14777</v>
      </c>
      <c r="T904" s="6" t="n">
        <v>3</v>
      </c>
      <c r="U904" s="5" t="inlineStr">
        <is>
          <t>AI 연구개발 / 특화 AI 솔루션 연구개발 | AI 운영체제 / AI 솔루션 공급 | AI 운영체제 / AI OS (Runway)</t>
        </is>
      </c>
      <c r="V904" s="21">
        <f>HYPERLINK("https://dart.fss.or.kr/dsaf001/main.do?rcpNo=20260814001400", "공시열람")</f>
        <v/>
      </c>
    </row>
    <row r="905">
      <c r="A905" s="5" t="inlineStr">
        <is>
          <t>나라스페이스테크놀로지</t>
        </is>
      </c>
      <c r="B905" s="6" t="inlineStr">
        <is>
          <t>478340</t>
        </is>
      </c>
      <c r="C905" s="6" t="inlineStr">
        <is>
          <t>2026Q2</t>
        </is>
      </c>
      <c r="D905" s="6" t="inlineStr">
        <is>
          <t>20260814</t>
        </is>
      </c>
      <c r="E905" s="16" t="n">
        <v>43128614</v>
      </c>
      <c r="F905" s="16" t="inlineStr"/>
      <c r="G905" s="16" t="n">
        <v>28605889</v>
      </c>
      <c r="H905" s="6" t="inlineStr">
        <is>
          <t>천원</t>
        </is>
      </c>
      <c r="I905" s="17" t="n">
        <v>46.1</v>
      </c>
      <c r="J905" s="18" t="inlineStr"/>
      <c r="K905" s="19" t="inlineStr"/>
      <c r="L905" s="18" t="inlineStr"/>
      <c r="M905" s="19" t="inlineStr"/>
      <c r="N905" s="18" t="inlineStr"/>
      <c r="O905" s="19" t="inlineStr"/>
      <c r="P905" s="18" t="n">
        <v>19815524</v>
      </c>
      <c r="Q905" s="19" t="n">
        <v>17637906</v>
      </c>
      <c r="R905" s="18" t="n">
        <v>19583035</v>
      </c>
      <c r="S905" s="20" t="n">
        <v>28605889</v>
      </c>
      <c r="T905" s="6" t="n">
        <v>11</v>
      </c>
      <c r="U905" s="5" t="inlineStr">
        <is>
          <t>위성제조 분야 / 2026-06-19 / 2030-07 | 위성영상 분야 등 / 2025-05-26 / 2029- | 위성제조 분야 / 2024-11-07 / 2028-12</t>
        </is>
      </c>
      <c r="V905" s="21">
        <f>HYPERLINK("https://dart.fss.or.kr/dsaf001/main.do?rcpNo=20260814002537", "공시열람")</f>
        <v/>
      </c>
    </row>
    <row r="906">
      <c r="A906" s="5" t="inlineStr">
        <is>
          <t>씨케이솔루션</t>
        </is>
      </c>
      <c r="B906" s="6" t="inlineStr">
        <is>
          <t>480370</t>
        </is>
      </c>
      <c r="C906" s="6" t="inlineStr">
        <is>
          <t>2026Q2</t>
        </is>
      </c>
      <c r="D906" s="6" t="inlineStr">
        <is>
          <t>20260814</t>
        </is>
      </c>
      <c r="E906" s="16" t="n">
        <v>660947</v>
      </c>
      <c r="F906" s="16" t="n">
        <v>407631</v>
      </c>
      <c r="G906" s="16" t="n">
        <v>253316</v>
      </c>
      <c r="H906" s="6" t="inlineStr">
        <is>
          <t>백만원</t>
        </is>
      </c>
      <c r="I906" s="17" t="n">
        <v>19.5</v>
      </c>
      <c r="J906" s="18" t="inlineStr"/>
      <c r="K906" s="19" t="inlineStr"/>
      <c r="L906" s="18" t="inlineStr"/>
      <c r="M906" s="19" t="n">
        <v>252345</v>
      </c>
      <c r="N906" s="18" t="n">
        <v>202545</v>
      </c>
      <c r="O906" s="19" t="n">
        <v>192631</v>
      </c>
      <c r="P906" s="18" t="n">
        <v>250229</v>
      </c>
      <c r="Q906" s="19" t="n">
        <v>238406</v>
      </c>
      <c r="R906" s="18" t="n">
        <v>211974</v>
      </c>
      <c r="S906" s="20" t="n">
        <v>253316</v>
      </c>
      <c r="T906" s="6" t="n">
        <v>3</v>
      </c>
      <c r="U906" s="5" t="inlineStr">
        <is>
          <t>드라이룸 | 클린룸 | 기타</t>
        </is>
      </c>
      <c r="V906" s="21">
        <f>HYPERLINK("https://dart.fss.or.kr/dsaf001/main.do?rcpNo=20260814001347", "공시열람")</f>
        <v/>
      </c>
    </row>
    <row r="907">
      <c r="A907" s="5" t="inlineStr">
        <is>
          <t>삼양컴텍</t>
        </is>
      </c>
      <c r="B907" s="6" t="inlineStr">
        <is>
          <t>484590</t>
        </is>
      </c>
      <c r="C907" s="6" t="inlineStr">
        <is>
          <t>2025Q2</t>
        </is>
      </c>
      <c r="D907" s="6" t="inlineStr">
        <is>
          <t>20250822</t>
        </is>
      </c>
      <c r="E907" s="16" t="n">
        <v>281584</v>
      </c>
      <c r="F907" s="16" t="n">
        <v>65514</v>
      </c>
      <c r="G907" s="16" t="n">
        <v>216070</v>
      </c>
      <c r="H907" s="6" t="inlineStr">
        <is>
          <t>백만원</t>
        </is>
      </c>
      <c r="I907" s="17" t="inlineStr"/>
      <c r="J907" s="18" t="inlineStr"/>
      <c r="K907" s="19" t="inlineStr"/>
      <c r="L907" s="18" t="inlineStr"/>
      <c r="M907" s="19" t="inlineStr"/>
      <c r="N907" s="18" t="inlineStr"/>
      <c r="O907" s="19" t="n">
        <v>216070</v>
      </c>
      <c r="P907" s="18" t="inlineStr"/>
      <c r="Q907" s="19" t="inlineStr"/>
      <c r="R907" s="18" t="inlineStr"/>
      <c r="S907" s="20" t="inlineStr"/>
      <c r="T907" s="6" t="n">
        <v>1</v>
      </c>
      <c r="U907" s="5" t="inlineStr">
        <is>
          <t>방산부품 / 2025.06.30 / -</t>
        </is>
      </c>
      <c r="V907" s="21">
        <f>HYPERLINK("https://dart.fss.or.kr/dsaf001/main.do?rcpNo=20250822000351", "공시열람")</f>
        <v/>
      </c>
    </row>
    <row r="908">
      <c r="A908" s="5" t="inlineStr">
        <is>
          <t>엠앤씨솔루션</t>
        </is>
      </c>
      <c r="B908" s="6" t="inlineStr">
        <is>
          <t>484870</t>
        </is>
      </c>
      <c r="C908" s="6" t="inlineStr">
        <is>
          <t>2026Q2</t>
        </is>
      </c>
      <c r="D908" s="6" t="inlineStr">
        <is>
          <t>20260814</t>
        </is>
      </c>
      <c r="E908" s="16" t="n">
        <v>17788</v>
      </c>
      <c r="F908" s="16" t="n">
        <v>8457</v>
      </c>
      <c r="G908" s="16" t="n">
        <v>28938</v>
      </c>
      <c r="H908" s="6" t="inlineStr">
        <is>
          <t>억원</t>
        </is>
      </c>
      <c r="I908" s="17" t="n">
        <v>-1</v>
      </c>
      <c r="J908" s="18" t="inlineStr"/>
      <c r="K908" s="19" t="inlineStr"/>
      <c r="L908" s="18" t="inlineStr"/>
      <c r="M908" s="19" t="n">
        <v>9570</v>
      </c>
      <c r="N908" s="18" t="n">
        <v>9035</v>
      </c>
      <c r="O908" s="19" t="n">
        <v>8797</v>
      </c>
      <c r="P908" s="18" t="n">
        <v>8273</v>
      </c>
      <c r="Q908" s="19" t="n">
        <v>10037</v>
      </c>
      <c r="R908" s="18" t="n">
        <v>29229</v>
      </c>
      <c r="S908" s="20" t="n">
        <v>28938</v>
      </c>
      <c r="T908" s="6" t="n">
        <v>3</v>
      </c>
      <c r="U908" s="5" t="inlineStr">
        <is>
          <t>방산부품 / 2025.12.31 / - | 방산부품 / 2024.12.31 / - | 방산부품 / 2026.06.30 / -</t>
        </is>
      </c>
      <c r="V908" s="21">
        <f>HYPERLINK("https://dart.fss.or.kr/dsaf001/main.do?rcpNo=20260814000987", "공시열람")</f>
        <v/>
      </c>
    </row>
    <row r="909">
      <c r="A909" s="5" t="inlineStr">
        <is>
          <t>노타</t>
        </is>
      </c>
      <c r="B909" s="6" t="inlineStr">
        <is>
          <t>486990</t>
        </is>
      </c>
      <c r="C909" s="6" t="inlineStr">
        <is>
          <t>2026Q2</t>
        </is>
      </c>
      <c r="D909" s="6" t="inlineStr">
        <is>
          <t>20260814</t>
        </is>
      </c>
      <c r="E909" s="16" t="inlineStr"/>
      <c r="F909" s="16" t="n">
        <v>7407957</v>
      </c>
      <c r="G909" s="16" t="n">
        <v>11600415</v>
      </c>
      <c r="H909" s="6" t="inlineStr">
        <is>
          <t>천원</t>
        </is>
      </c>
      <c r="I909" s="17" t="n">
        <v>-4.3</v>
      </c>
      <c r="J909" s="18" t="inlineStr"/>
      <c r="K909" s="19" t="inlineStr"/>
      <c r="L909" s="18" t="inlineStr"/>
      <c r="M909" s="19" t="inlineStr"/>
      <c r="N909" s="18" t="inlineStr"/>
      <c r="O909" s="19" t="inlineStr"/>
      <c r="P909" s="18" t="n">
        <v>9228051</v>
      </c>
      <c r="Q909" s="19" t="n">
        <v>1090864</v>
      </c>
      <c r="R909" s="18" t="n">
        <v>12123360</v>
      </c>
      <c r="S909" s="20" t="n">
        <v>11600415</v>
      </c>
      <c r="T909" s="6" t="n">
        <v>2</v>
      </c>
      <c r="U909" s="5" t="inlineStr">
        <is>
          <t>플랫폼 / 6건 | 솔루션 / 33건</t>
        </is>
      </c>
      <c r="V909" s="21">
        <f>HYPERLINK("https://dart.fss.or.kr/dsaf001/main.do?rcpNo=20260814003297", "공시열람")</f>
        <v/>
      </c>
    </row>
    <row r="910">
      <c r="A910" s="5" t="inlineStr">
        <is>
          <t>케이앤에스아이앤씨</t>
        </is>
      </c>
      <c r="B910" s="6" t="inlineStr">
        <is>
          <t>487400</t>
        </is>
      </c>
      <c r="C910" s="6" t="inlineStr">
        <is>
          <t>2026Q2</t>
        </is>
      </c>
      <c r="D910" s="6" t="inlineStr">
        <is>
          <t>20260814</t>
        </is>
      </c>
      <c r="E910" s="16" t="inlineStr"/>
      <c r="F910" s="16" t="inlineStr"/>
      <c r="G910" s="16" t="n">
        <v>33999743</v>
      </c>
      <c r="H910" s="6" t="inlineStr">
        <is>
          <t>천원</t>
        </is>
      </c>
      <c r="I910" s="17" t="inlineStr"/>
      <c r="J910" s="18" t="inlineStr"/>
      <c r="K910" s="19" t="inlineStr"/>
      <c r="L910" s="18" t="inlineStr"/>
      <c r="M910" s="19" t="inlineStr"/>
      <c r="N910" s="18" t="inlineStr"/>
      <c r="O910" s="19" t="inlineStr"/>
      <c r="P910" s="18" t="inlineStr"/>
      <c r="Q910" s="19" t="inlineStr"/>
      <c r="R910" s="18" t="inlineStr"/>
      <c r="S910" s="20" t="n">
        <v>33999743</v>
      </c>
      <c r="T910" s="6" t="n">
        <v>5</v>
      </c>
      <c r="U910" s="5" t="inlineStr">
        <is>
          <t>A고객사 / 군용 VSAT | B고객사 / 군용 VSAT | C고객사 / 상용 VSAT</t>
        </is>
      </c>
      <c r="V910" s="21">
        <f>HYPERLINK("https://dart.fss.or.kr/dsaf001/main.do?rcpNo=20260814000925", "공시열람")</f>
        <v/>
      </c>
    </row>
    <row r="911">
      <c r="A911" s="5" t="inlineStr">
        <is>
          <t>에스투더블유</t>
        </is>
      </c>
      <c r="B911" s="6" t="inlineStr">
        <is>
          <t>488280</t>
        </is>
      </c>
      <c r="C911" s="6" t="inlineStr">
        <is>
          <t>2026Q2</t>
        </is>
      </c>
      <c r="D911" s="6" t="inlineStr">
        <is>
          <t>20260813</t>
        </is>
      </c>
      <c r="E911" s="16" t="n">
        <v>11195</v>
      </c>
      <c r="F911" s="16" t="n">
        <v>5844</v>
      </c>
      <c r="G911" s="16" t="n">
        <v>5351</v>
      </c>
      <c r="H911" s="6" t="inlineStr">
        <is>
          <t>백만원</t>
        </is>
      </c>
      <c r="I911" s="17" t="n">
        <v>-9</v>
      </c>
      <c r="J911" s="18" t="inlineStr"/>
      <c r="K911" s="19" t="inlineStr"/>
      <c r="L911" s="18" t="inlineStr"/>
      <c r="M911" s="19" t="inlineStr"/>
      <c r="N911" s="18" t="inlineStr"/>
      <c r="O911" s="19" t="inlineStr"/>
      <c r="P911" s="18" t="n">
        <v>6544</v>
      </c>
      <c r="Q911" s="19" t="n">
        <v>5825</v>
      </c>
      <c r="R911" s="18" t="n">
        <v>5881</v>
      </c>
      <c r="S911" s="20" t="n">
        <v>5351</v>
      </c>
      <c r="T911" s="6" t="n">
        <v>1</v>
      </c>
      <c r="U911" s="5" t="inlineStr">
        <is>
          <t>서비스</t>
        </is>
      </c>
      <c r="V911" s="21">
        <f>HYPERLINK("https://dart.fss.or.kr/dsaf001/main.do?rcpNo=20260813001570", "공시열람")</f>
        <v/>
      </c>
    </row>
    <row r="912">
      <c r="A912" s="5" t="inlineStr">
        <is>
          <t>비츠로넥스텍</t>
        </is>
      </c>
      <c r="B912" s="6" t="inlineStr">
        <is>
          <t>488900</t>
        </is>
      </c>
      <c r="C912" s="6" t="inlineStr">
        <is>
          <t>2026Q1</t>
        </is>
      </c>
      <c r="D912" s="6" t="inlineStr">
        <is>
          <t>20260515</t>
        </is>
      </c>
      <c r="E912" s="16" t="n">
        <v>137393</v>
      </c>
      <c r="F912" s="16" t="n">
        <v>71658</v>
      </c>
      <c r="G912" s="16" t="n">
        <v>65735</v>
      </c>
      <c r="H912" s="6" t="inlineStr">
        <is>
          <t>백만원</t>
        </is>
      </c>
      <c r="I912" s="17" t="inlineStr"/>
      <c r="J912" s="18" t="inlineStr"/>
      <c r="K912" s="19" t="inlineStr"/>
      <c r="L912" s="18" t="inlineStr"/>
      <c r="M912" s="19" t="inlineStr"/>
      <c r="N912" s="18" t="inlineStr"/>
      <c r="O912" s="19" t="inlineStr"/>
      <c r="P912" s="18" t="inlineStr"/>
      <c r="Q912" s="19" t="inlineStr"/>
      <c r="R912" s="18" t="n">
        <v>65735</v>
      </c>
      <c r="S912" s="20" t="inlineStr"/>
      <c r="T912" s="6" t="n">
        <v>1</v>
      </c>
      <c r="U912" s="5" t="inlineStr">
        <is>
          <t>연소기외 / -</t>
        </is>
      </c>
      <c r="V912" s="21">
        <f>HYPERLINK("https://dart.fss.or.kr/dsaf001/main.do?rcpNo=20260515002341", "공시열람")</f>
        <v/>
      </c>
    </row>
    <row r="913">
      <c r="A913" s="5" t="inlineStr">
        <is>
          <t>한화비전</t>
        </is>
      </c>
      <c r="B913" s="6" t="inlineStr">
        <is>
          <t>489790</t>
        </is>
      </c>
      <c r="C913" s="6" t="inlineStr">
        <is>
          <t>2026Q2</t>
        </is>
      </c>
      <c r="D913" s="6" t="inlineStr">
        <is>
          <t>20260813</t>
        </is>
      </c>
      <c r="E913" s="16" t="n">
        <v>29459</v>
      </c>
      <c r="F913" s="16" t="n">
        <v>16154</v>
      </c>
      <c r="G913" s="16" t="n">
        <v>13305</v>
      </c>
      <c r="H913" s="6" t="inlineStr">
        <is>
          <t>백만원</t>
        </is>
      </c>
      <c r="I913" s="17" t="n">
        <v>-14</v>
      </c>
      <c r="J913" s="18" t="inlineStr"/>
      <c r="K913" s="19" t="inlineStr"/>
      <c r="L913" s="18" t="n">
        <v>44966</v>
      </c>
      <c r="M913" s="19" t="n">
        <v>41331</v>
      </c>
      <c r="N913" s="18" t="n">
        <v>27365</v>
      </c>
      <c r="O913" s="19" t="n">
        <v>40652</v>
      </c>
      <c r="P913" s="18" t="n">
        <v>29986</v>
      </c>
      <c r="Q913" s="19" t="n">
        <v>22106</v>
      </c>
      <c r="R913" s="18" t="n">
        <v>15476</v>
      </c>
      <c r="S913" s="20" t="n">
        <v>13305</v>
      </c>
      <c r="T913" s="6" t="n">
        <v>1</v>
      </c>
      <c r="U913" s="5" t="inlineStr">
        <is>
          <t>CCTV설치공사 등 / -</t>
        </is>
      </c>
      <c r="V913" s="21">
        <f>HYPERLINK("https://dart.fss.or.kr/dsaf001/main.do?rcpNo=20260813001301", "공시열람")</f>
        <v/>
      </c>
    </row>
    <row r="914">
      <c r="A914" s="5" t="inlineStr">
        <is>
          <t>지에프아이</t>
        </is>
      </c>
      <c r="B914" s="6" t="inlineStr">
        <is>
          <t>493330</t>
        </is>
      </c>
      <c r="C914" s="6" t="inlineStr">
        <is>
          <t>2026Q2</t>
        </is>
      </c>
      <c r="D914" s="6" t="inlineStr">
        <is>
          <t>20260813</t>
        </is>
      </c>
      <c r="E914" s="16" t="n">
        <v>1088896</v>
      </c>
      <c r="F914" s="16" t="n">
        <v>1088896</v>
      </c>
      <c r="G914" s="16" t="n">
        <v>0</v>
      </c>
      <c r="H914" s="6" t="inlineStr">
        <is>
          <t>천원</t>
        </is>
      </c>
      <c r="I914" s="17" t="n">
        <v>-100</v>
      </c>
      <c r="J914" s="18" t="inlineStr"/>
      <c r="K914" s="19" t="inlineStr"/>
      <c r="L914" s="18" t="inlineStr"/>
      <c r="M914" s="19" t="inlineStr"/>
      <c r="N914" s="18" t="inlineStr"/>
      <c r="O914" s="19" t="inlineStr"/>
      <c r="P914" s="18" t="n">
        <v>663499</v>
      </c>
      <c r="Q914" s="19" t="n">
        <v>552241</v>
      </c>
      <c r="R914" s="18" t="n">
        <v>80864</v>
      </c>
      <c r="S914" s="20" t="n">
        <v>0</v>
      </c>
      <c r="T914" s="6" t="n">
        <v>2</v>
      </c>
      <c r="U914" s="5" t="inlineStr">
        <is>
          <t>국내 ESS 직분사 확대적용 300MWh_13차 / - | 국내 소규모 ESS Site 직분사 / - / 2026</t>
        </is>
      </c>
      <c r="V914" s="21">
        <f>HYPERLINK("https://dart.fss.or.kr/dsaf001/main.do?rcpNo=20260813000372", "공시열람")</f>
        <v/>
      </c>
    </row>
    <row r="915">
      <c r="A915" s="5" t="inlineStr">
        <is>
          <t>유비씨</t>
        </is>
      </c>
      <c r="B915" s="6" t="inlineStr">
        <is>
          <t>495810</t>
        </is>
      </c>
      <c r="C915" s="6" t="inlineStr">
        <is>
          <t>2025Q4</t>
        </is>
      </c>
      <c r="D915" s="6" t="inlineStr">
        <is>
          <t>20260323</t>
        </is>
      </c>
      <c r="E915" s="16" t="n">
        <v>1942940</v>
      </c>
      <c r="F915" s="16" t="n">
        <v>1160275</v>
      </c>
      <c r="G915" s="16" t="n">
        <v>782665</v>
      </c>
      <c r="H915" s="6" t="inlineStr">
        <is>
          <t>천원</t>
        </is>
      </c>
      <c r="I915" s="17" t="n">
        <v>28.2</v>
      </c>
      <c r="J915" s="18" t="inlineStr"/>
      <c r="K915" s="19" t="inlineStr"/>
      <c r="L915" s="18" t="inlineStr"/>
      <c r="M915" s="19" t="n">
        <v>610375</v>
      </c>
      <c r="N915" s="18" t="inlineStr"/>
      <c r="O915" s="19" t="inlineStr"/>
      <c r="P915" s="18" t="inlineStr"/>
      <c r="Q915" s="19" t="n">
        <v>782665</v>
      </c>
      <c r="R915" s="18" t="inlineStr"/>
      <c r="S915" s="20" t="inlineStr"/>
      <c r="T915" s="6" t="n">
        <v>13</v>
      </c>
      <c r="U915" s="5" t="inlineStr">
        <is>
          <t>On-Premise DT / 2025-08-11 / 2 | On-Premise DT / 2025-10-15 / 2 | On-Premise DT / 2024-12-26 / 2</t>
        </is>
      </c>
      <c r="V915" s="21">
        <f>HYPERLINK("https://dart.fss.or.kr/dsaf001/main.do?rcpNo=20260323000238", "공시열람")</f>
        <v/>
      </c>
    </row>
    <row r="916">
      <c r="A916" s="5" t="inlineStr">
        <is>
          <t>본시스템즈</t>
        </is>
      </c>
      <c r="B916" s="6" t="inlineStr">
        <is>
          <t>496320</t>
        </is>
      </c>
      <c r="C916" s="6" t="inlineStr">
        <is>
          <t>2025Q4</t>
        </is>
      </c>
      <c r="D916" s="6" t="inlineStr">
        <is>
          <t>20260804</t>
        </is>
      </c>
      <c r="E916" s="16" t="inlineStr"/>
      <c r="F916" s="16" t="inlineStr"/>
      <c r="G916" s="16" t="n">
        <v>1221466</v>
      </c>
      <c r="H916" s="6" t="inlineStr">
        <is>
          <t>천원</t>
        </is>
      </c>
      <c r="I916" s="17" t="n">
        <v>-43.4</v>
      </c>
      <c r="J916" s="18" t="inlineStr"/>
      <c r="K916" s="19" t="inlineStr"/>
      <c r="L916" s="18" t="inlineStr"/>
      <c r="M916" s="19" t="n">
        <v>2156946</v>
      </c>
      <c r="N916" s="18" t="inlineStr"/>
      <c r="O916" s="19" t="inlineStr"/>
      <c r="P916" s="18" t="inlineStr"/>
      <c r="Q916" s="19" t="n">
        <v>1221466</v>
      </c>
      <c r="R916" s="18" t="inlineStr"/>
      <c r="S916" s="20" t="inlineStr"/>
      <c r="T916" s="6" t="n">
        <v>1</v>
      </c>
      <c r="U916" s="5" t="inlineStr">
        <is>
          <t>건설공사</t>
        </is>
      </c>
      <c r="V916" s="21">
        <f>HYPERLINK("https://dart.fss.or.kr/dsaf001/main.do?rcpNo=20260804000177", "공시열람")</f>
        <v/>
      </c>
    </row>
    <row r="917">
      <c r="A917" s="5" t="inlineStr">
        <is>
          <t>크리스탈신소재</t>
        </is>
      </c>
      <c r="B917" s="6" t="inlineStr">
        <is>
          <t>900250</t>
        </is>
      </c>
      <c r="C917" s="6" t="inlineStr">
        <is>
          <t>2023Q4</t>
        </is>
      </c>
      <c r="D917" s="6" t="inlineStr">
        <is>
          <t>20240422</t>
        </is>
      </c>
      <c r="E917" s="16" t="n">
        <v>52000000</v>
      </c>
      <c r="F917" s="16" t="n">
        <v>23200000</v>
      </c>
      <c r="G917" s="16" t="n">
        <v>28800000</v>
      </c>
      <c r="H917" s="6" t="inlineStr">
        <is>
          <t>kg,RMB</t>
        </is>
      </c>
      <c r="I917" s="17" t="inlineStr"/>
      <c r="J917" s="18" t="inlineStr"/>
      <c r="K917" s="19" t="inlineStr"/>
      <c r="L917" s="18" t="inlineStr"/>
      <c r="M917" s="19" t="inlineStr"/>
      <c r="N917" s="18" t="inlineStr"/>
      <c r="O917" s="19" t="inlineStr"/>
      <c r="P917" s="18" t="inlineStr"/>
      <c r="Q917" s="19" t="inlineStr"/>
      <c r="R917" s="18" t="inlineStr"/>
      <c r="S917" s="20" t="inlineStr"/>
      <c r="T917" s="6" t="n">
        <v>2</v>
      </c>
      <c r="U917" s="5" t="inlineStr">
        <is>
          <t>그래핀 파우더 / 2023.08.29 / 2024.03 | 그래핀 파우더 / 2023.10.18 / 2024.02</t>
        </is>
      </c>
      <c r="V917" s="21">
        <f>HYPERLINK("https://dart.fss.or.kr/dsaf001/main.do?rcpNo=20240422000050", "공시열람")</f>
        <v/>
      </c>
    </row>
    <row r="918">
      <c r="A918" s="5" t="inlineStr">
        <is>
          <t>오가닉티코스메틱</t>
        </is>
      </c>
      <c r="B918" s="6" t="inlineStr">
        <is>
          <t>900300</t>
        </is>
      </c>
      <c r="C918" s="6" t="inlineStr">
        <is>
          <t>2026Q2</t>
        </is>
      </c>
      <c r="D918" s="6" t="inlineStr">
        <is>
          <t>20260831</t>
        </is>
      </c>
      <c r="E918" s="16" t="n">
        <v>409698532</v>
      </c>
      <c r="F918" s="16" t="n">
        <v>409698532</v>
      </c>
      <c r="G918" s="16" t="n">
        <v>0</v>
      </c>
      <c r="H918" s="6" t="inlineStr">
        <is>
          <t>CNY</t>
        </is>
      </c>
      <c r="I918" s="17" t="inlineStr"/>
      <c r="J918" s="18" t="n">
        <v>0</v>
      </c>
      <c r="K918" s="19" t="n">
        <v>0</v>
      </c>
      <c r="L918" s="18" t="n">
        <v>0</v>
      </c>
      <c r="M918" s="19" t="n">
        <v>0</v>
      </c>
      <c r="N918" s="18" t="n">
        <v>0</v>
      </c>
      <c r="O918" s="19" t="n">
        <v>0</v>
      </c>
      <c r="P918" s="18" t="n">
        <v>0</v>
      </c>
      <c r="Q918" s="19" t="n">
        <v>0</v>
      </c>
      <c r="R918" s="18" t="n">
        <v>0</v>
      </c>
      <c r="S918" s="20" t="n">
        <v>0</v>
      </c>
      <c r="T918" s="6" t="n">
        <v>8</v>
      </c>
      <c r="U918" s="5" t="inlineStr">
        <is>
          <t>클렌징 화장품 / 2026.03.03~2026.06.3 | 여름용 화장품 / 2026.03.03~2026.06.3 | 기능성 화장품 / 2026.03.03~2026.06.3</t>
        </is>
      </c>
      <c r="V918" s="21">
        <f>HYPERLINK("https://dart.fss.or.kr/dsaf001/main.do?rcpNo=20260831001530", "공시열람")</f>
        <v/>
      </c>
    </row>
    <row r="919">
      <c r="A919" s="5" t="inlineStr">
        <is>
          <t>컬러레이</t>
        </is>
      </c>
      <c r="B919" s="6" t="inlineStr">
        <is>
          <t>900310</t>
        </is>
      </c>
      <c r="C919" s="6" t="inlineStr">
        <is>
          <t>2026Q2</t>
        </is>
      </c>
      <c r="D919" s="6" t="inlineStr">
        <is>
          <t>20260825</t>
        </is>
      </c>
      <c r="E919" s="16" t="n">
        <v>17388650</v>
      </c>
      <c r="F919" s="16" t="inlineStr"/>
      <c r="G919" s="16" t="n">
        <v>17635917</v>
      </c>
      <c r="H919" s="6" t="inlineStr">
        <is>
          <t>RMB</t>
        </is>
      </c>
      <c r="I919" s="17" t="n">
        <v>0</v>
      </c>
      <c r="J919" s="18" t="n">
        <v>18915869</v>
      </c>
      <c r="K919" s="19" t="n">
        <v>18915869</v>
      </c>
      <c r="L919" s="18" t="n">
        <v>18915869</v>
      </c>
      <c r="M919" s="19" t="n">
        <v>18915869</v>
      </c>
      <c r="N919" s="18" t="n">
        <v>17571498</v>
      </c>
      <c r="O919" s="19" t="n">
        <v>17571498</v>
      </c>
      <c r="P919" s="18" t="n">
        <v>17571498</v>
      </c>
      <c r="Q919" s="19" t="n">
        <v>17571498</v>
      </c>
      <c r="R919" s="18" t="n">
        <v>17635917</v>
      </c>
      <c r="S919" s="20" t="n">
        <v>17635917</v>
      </c>
      <c r="T919" s="6" t="n">
        <v>10</v>
      </c>
      <c r="U919" s="5" t="inlineStr">
        <is>
          <t>골든시리즈 | 실버화이트시리즈 | 색조컬러시리즈</t>
        </is>
      </c>
      <c r="V919" s="21">
        <f>HYPERLINK("https://dart.fss.or.kr/dsaf001/main.do?rcpNo=20260825000446", "공시열람")</f>
        <v/>
      </c>
    </row>
    <row r="920">
      <c r="A920" s="5" t="inlineStr">
        <is>
          <t>윙입푸드</t>
        </is>
      </c>
      <c r="B920" s="6" t="inlineStr">
        <is>
          <t>900340</t>
        </is>
      </c>
      <c r="C920" s="6" t="inlineStr">
        <is>
          <t>2026Q2</t>
        </is>
      </c>
      <c r="D920" s="6" t="inlineStr">
        <is>
          <t>20260831</t>
        </is>
      </c>
      <c r="E920" s="16" t="n">
        <v>436831792</v>
      </c>
      <c r="F920" s="16" t="n">
        <v>436831792</v>
      </c>
      <c r="G920" s="16" t="n">
        <v>0</v>
      </c>
      <c r="H920" s="6" t="inlineStr">
        <is>
          <t>KG,RMB</t>
        </is>
      </c>
      <c r="I920" s="17" t="inlineStr"/>
      <c r="J920" s="18" t="n">
        <v>0</v>
      </c>
      <c r="K920" s="19" t="n">
        <v>0</v>
      </c>
      <c r="L920" s="18" t="n">
        <v>0</v>
      </c>
      <c r="M920" s="19" t="n">
        <v>0</v>
      </c>
      <c r="N920" s="18" t="n">
        <v>0</v>
      </c>
      <c r="O920" s="19" t="n">
        <v>0</v>
      </c>
      <c r="P920" s="18" t="n">
        <v>0</v>
      </c>
      <c r="Q920" s="19" t="n">
        <v>0</v>
      </c>
      <c r="R920" s="18" t="n">
        <v>0</v>
      </c>
      <c r="S920" s="20" t="n">
        <v>0</v>
      </c>
      <c r="T920" s="6" t="n">
        <v>3</v>
      </c>
      <c r="U920" s="5" t="inlineStr">
        <is>
          <t>전통식품 / 2026.01.01~2026.06.30 | 간편식품 / 2026.01.01~2026.06.30 | 냉동식품 / 2026.01.01~2026.06.30</t>
        </is>
      </c>
      <c r="V920" s="21">
        <f>HYPERLINK("https://dart.fss.or.kr/dsaf001/main.do?rcpNo=20260831001473", "공시열람")</f>
        <v/>
      </c>
    </row>
    <row r="921">
      <c r="A921" s="5" t="inlineStr">
        <is>
          <t>프레스티지바이오파마</t>
        </is>
      </c>
      <c r="B921" s="6" t="inlineStr">
        <is>
          <t>950210</t>
        </is>
      </c>
      <c r="C921" s="6" t="inlineStr">
        <is>
          <t>2026Q2</t>
        </is>
      </c>
      <c r="D921" s="6" t="inlineStr">
        <is>
          <t>20260923</t>
        </is>
      </c>
      <c r="E921" s="16" t="n">
        <v>33539987</v>
      </c>
      <c r="F921" s="16" t="n">
        <v>14208431</v>
      </c>
      <c r="G921" s="16" t="n">
        <v>9722962</v>
      </c>
      <c r="H921" s="6" t="inlineStr">
        <is>
          <t>USD</t>
        </is>
      </c>
      <c r="I921" s="17" t="n">
        <v>1028.7</v>
      </c>
      <c r="J921" s="18" t="n">
        <v>136320000</v>
      </c>
      <c r="K921" s="19" t="n">
        <v>136320000</v>
      </c>
      <c r="L921" s="18" t="n">
        <v>136320000</v>
      </c>
      <c r="M921" s="19" t="n">
        <v>141071840</v>
      </c>
      <c r="N921" s="18" t="n">
        <v>141321730</v>
      </c>
      <c r="O921" s="19" t="n">
        <v>149592656</v>
      </c>
      <c r="P921" s="18" t="n">
        <v>13171629</v>
      </c>
      <c r="Q921" s="19" t="n">
        <v>48008</v>
      </c>
      <c r="R921" s="18" t="n">
        <v>861413</v>
      </c>
      <c r="S921" s="20" t="n">
        <v>9722962</v>
      </c>
      <c r="T921" s="6" t="n">
        <v>5</v>
      </c>
      <c r="U921" s="5" t="inlineStr">
        <is>
          <t xml:space="preserve">바이오 의약품 위탁생산(주2) / 2025년4분기 /  | 바이오 의약품 위탁생산(주2) / 2025년3분기 /  | 바이오 의약품 위탁생산 (주2) / 2026년 2분기 </t>
        </is>
      </c>
      <c r="V921" s="21">
        <f>HYPERLINK("https://dart.fss.or.kr/dsaf001/main.do?rcpNo=20260923000252", "공시열람")</f>
        <v/>
      </c>
    </row>
  </sheetData>
  <autoFilter ref="A1:V9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2026-10-12T12:35:49Z</dcterms:created>
  <dcterms:modified xmlns:dcterms="http://purl.org/dc/terms/" xmlns:xsi="http://www.w3.org/2001/XMLSchema-instance" xsi:type="dcterms:W3CDTF">2026-10-12T12:35:53Z</dcterms:modified>
</cp:coreProperties>
</file>